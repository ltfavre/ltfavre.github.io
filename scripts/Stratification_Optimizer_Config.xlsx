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TART_HERE_WORKFLOW" sheetId="1" state="visible" r:id="rId1"/>
    <sheet xmlns:r="http://schemas.openxmlformats.org/officeDocument/2006/relationships" name="1_Project_Files" sheetId="2" state="visible" r:id="rId2"/>
    <sheet xmlns:r="http://schemas.openxmlformats.org/officeDocument/2006/relationships" name="2_Data_Map" sheetId="3" state="visible" r:id="rId3"/>
    <sheet xmlns:r="http://schemas.openxmlformats.org/officeDocument/2006/relationships" name="3_Pools_Constraints" sheetId="4" state="visible" r:id="rId4"/>
    <sheet xmlns:r="http://schemas.openxmlformats.org/officeDocument/2006/relationships" name="4_Targets_Weights" sheetId="5" state="visible" r:id="rId5"/>
    <sheet xmlns:r="http://schemas.openxmlformats.org/officeDocument/2006/relationships" name="5_Reference_Guide" sheetId="6" state="visible" r:id="rId6"/>
  </sheets>
  <definedNames>
    <definedName name="DataPrepChoice">START_HERE_WORKFLOW!$G$8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sz val="11"/>
    </font>
    <font>
      <name val="Carlito"/>
      <b val="1"/>
      <color rgb="FFFFFFFF"/>
      <sz val="16"/>
    </font>
    <font>
      <name val="Carlito"/>
      <color theme="1"/>
      <sz val="11"/>
    </font>
    <font>
      <name val="Carlito"/>
      <sz val="12"/>
    </font>
    <font>
      <name val="Carlito"/>
      <b val="1"/>
      <i val="1"/>
      <color rgb="FF1F1F1F"/>
      <sz val="12"/>
    </font>
    <font>
      <name val="Carlito"/>
      <b val="1"/>
      <color theme="8" tint="-0.249977111117893"/>
      <sz val="12"/>
    </font>
    <font>
      <name val="Carlito"/>
      <b val="1"/>
      <i val="1"/>
      <color theme="8" tint="-0.249977111117893"/>
      <sz val="12"/>
    </font>
    <font>
      <name val="Carlito"/>
      <color theme="8" tint="-0.249977111117893"/>
      <sz val="11"/>
    </font>
    <font>
      <name val="Carlito"/>
      <color rgb="FF1F1F1F"/>
      <sz val="11"/>
    </font>
    <font>
      <name val="Carlito"/>
      <b val="1"/>
      <color rgb="FF000000"/>
      <sz val="11"/>
    </font>
    <font>
      <name val="Carlito"/>
      <b val="1"/>
      <color rgb="FFFFFFFF"/>
      <sz val="12"/>
    </font>
    <font>
      <name val="Carlito"/>
      <b val="1"/>
      <i val="1"/>
      <color theme="8" tint="-0.249977111117893"/>
      <sz val="14"/>
    </font>
    <font>
      <name val="Carlito"/>
      <b val="1"/>
      <color rgb="FF1F1F1F"/>
      <sz val="14"/>
    </font>
    <font>
      <name val="Carlito"/>
      <b val="1"/>
      <color rgb="FF1F1F1F"/>
      <sz val="11"/>
    </font>
    <font>
      <name val="Carlito"/>
      <b val="1"/>
      <color rgb="FF0563C1"/>
      <sz val="11"/>
    </font>
    <font>
      <name val="Carlito"/>
      <i val="1"/>
      <color rgb="FF404040"/>
      <sz val="10"/>
    </font>
    <font>
      <name val="Carlito"/>
      <b val="1"/>
      <color theme="8" tint="-0.499984740745262"/>
      <sz val="12"/>
    </font>
    <font>
      <name val="Carlito"/>
      <b val="1"/>
      <i val="1"/>
      <color theme="8" tint="-0.499984740745262"/>
      <sz val="12"/>
    </font>
    <font>
      <name val="Carlito"/>
      <b val="1"/>
      <color theme="8" tint="-0.499984740745262"/>
      <sz val="11"/>
    </font>
    <font>
      <name val="Carlito"/>
      <b val="1"/>
      <i val="1"/>
      <color theme="8" tint="-0.499984740745262"/>
      <sz val="10"/>
    </font>
    <font>
      <name val="Carlito"/>
      <b val="1"/>
      <color theme="8" tint="-0.499984740745262"/>
      <sz val="14"/>
    </font>
    <font>
      <name val="Carlito"/>
      <b val="1"/>
      <color theme="8" tint="-0.499984740745262"/>
      <sz val="18"/>
    </font>
  </fonts>
  <fills count="1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theme="3" tint="0.8999298074282052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6E0F8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E6E0F8"/>
      </patternFill>
    </fill>
    <fill>
      <patternFill patternType="solid">
        <fgColor rgb="FFDDD2F3"/>
      </patternFill>
    </fill>
    <fill>
      <patternFill patternType="solid">
        <fgColor rgb="FFF7F9FB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8999908444471572"/>
        <bgColor indexed="64"/>
      </patternFill>
    </fill>
  </fills>
  <borders count="13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/>
      <top/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8" tint="-0.49992370372631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49992370372631"/>
      </right>
      <top/>
      <bottom/>
      <diagonal/>
    </border>
    <border>
      <left/>
      <right style="medium">
        <color theme="8" tint="-0.49992370372631"/>
      </right>
      <top style="medium">
        <color theme="8" tint="-0.249977111117893"/>
      </top>
      <bottom/>
      <diagonal/>
    </border>
    <border>
      <left/>
      <right style="medium">
        <color theme="8" tint="-0.49992370372631"/>
      </right>
      <top style="thin">
        <color theme="3" tint="0.8999298074282052"/>
      </top>
      <bottom style="thin">
        <color theme="3" tint="0.8999298074282052"/>
      </bottom>
      <diagonal/>
    </border>
    <border>
      <left/>
      <right style="medium">
        <color theme="8" tint="-0.49992370372631"/>
      </right>
      <top/>
      <bottom/>
      <diagonal/>
    </border>
    <border>
      <left style="medium">
        <color theme="8" tint="-0.49992370372631"/>
      </left>
      <right style="medium">
        <color theme="8" tint="-0.49992370372631"/>
      </right>
      <top style="medium">
        <color theme="8" tint="-0.249977111117893"/>
      </top>
      <bottom style="medium">
        <color theme="8" tint="-0.49992370372631"/>
      </bottom>
      <diagonal/>
    </border>
    <border>
      <left/>
      <right style="medium">
        <color theme="8" tint="-0.49992370372631"/>
      </right>
      <top/>
      <bottom style="thin">
        <color theme="3" tint="0.8999298074282052"/>
      </bottom>
      <diagonal/>
    </border>
    <border>
      <left/>
      <right/>
      <top style="medium">
        <color theme="8" tint="-0.49992370372631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49992370372631"/>
      </bottom>
      <diagonal/>
    </border>
    <border>
      <left style="medium">
        <color theme="8" tint="-0.249977111117893"/>
      </left>
      <right/>
      <top/>
      <bottom style="medium">
        <color theme="8" tint="-0.49992370372631"/>
      </bottom>
      <diagonal/>
    </border>
    <border>
      <left style="medium">
        <color theme="8" tint="-0.249977111117893"/>
      </left>
      <right style="medium">
        <color theme="8" tint="-0.49992370372631"/>
      </right>
      <top/>
      <bottom style="medium">
        <color theme="8" tint="-0.49992370372631"/>
      </bottom>
      <diagonal/>
    </border>
    <border>
      <left/>
      <right style="medium">
        <color theme="8" tint="-0.49992370372631"/>
      </right>
      <top style="thin">
        <color theme="3" tint="0.8999298074282052"/>
      </top>
      <bottom style="medium">
        <color theme="8" tint="-0.49992370372631"/>
      </bottom>
      <diagonal/>
    </border>
    <border>
      <left/>
      <right style="medium">
        <color theme="8" tint="-0.249977111117893"/>
      </right>
      <top/>
      <bottom style="medium">
        <color theme="8" tint="-0.49992370372631"/>
      </bottom>
      <diagonal/>
    </border>
    <border>
      <left/>
      <right/>
      <top/>
      <bottom style="medium">
        <color theme="8" tint="-0.49992370372631"/>
      </bottom>
      <diagonal/>
    </border>
    <border>
      <left style="medium">
        <color theme="8" tint="-0.249977111117893"/>
      </left>
      <right style="medium">
        <color theme="8" tint="-0.49992370372631"/>
      </right>
      <top/>
      <bottom style="medium">
        <color theme="8" tint="-0.249977111117893"/>
      </bottom>
      <diagonal/>
    </border>
    <border>
      <left/>
      <right style="medium">
        <color theme="8" tint="-0.49992370372631"/>
      </right>
      <top/>
      <bottom style="medium">
        <color theme="8" tint="-0.249977111117893"/>
      </bottom>
      <diagonal/>
    </border>
    <border>
      <left style="medium">
        <color theme="8" tint="-0.49992370372631"/>
      </left>
      <right style="medium">
        <color theme="8" tint="-0.49992370372631"/>
      </right>
      <top/>
      <bottom style="medium">
        <color theme="8" tint="-0.49992370372631"/>
      </bottom>
      <diagonal/>
    </border>
    <border>
      <left style="medium">
        <color theme="8" tint="-0.49992370372631"/>
      </left>
      <right/>
      <top/>
      <bottom style="medium">
        <color theme="8" tint="-0.49992370372631"/>
      </bottom>
      <diagonal/>
    </border>
    <border>
      <left/>
      <right/>
      <top style="medium">
        <color theme="8" tint="-0.249977111117893"/>
      </top>
      <bottom style="medium">
        <color theme="8" tint="-0.49992370372631"/>
      </bottom>
      <diagonal/>
    </border>
    <border>
      <left/>
      <right style="medium">
        <color theme="8" tint="-0.49992370372631"/>
      </right>
      <top style="medium">
        <color theme="8" tint="-0.249977111117893"/>
      </top>
      <bottom style="medium">
        <color theme="8" tint="-0.49992370372631"/>
      </bottom>
      <diagonal/>
    </border>
    <border>
      <left style="medium">
        <color theme="8" tint="-0.49992370372631"/>
      </left>
      <right/>
      <top/>
      <bottom/>
      <diagonal/>
    </border>
    <border>
      <left/>
      <right style="medium">
        <color theme="8" tint="-0.49992370372631"/>
      </right>
      <top style="medium">
        <color theme="8" tint="-0.49992370372631"/>
      </top>
      <bottom/>
      <diagonal/>
    </border>
    <border>
      <left style="medium">
        <color theme="8" tint="-0.49992370372631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49992370372631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49992370372631"/>
      </left>
      <right style="medium">
        <color theme="8" tint="-0.49992370372631"/>
      </right>
      <top style="medium">
        <color theme="8" tint="-0.49992370372631"/>
      </top>
      <bottom/>
      <diagonal/>
    </border>
    <border>
      <left style="medium">
        <color theme="8" tint="-0.249977111117893"/>
      </left>
      <right style="medium">
        <color theme="8" tint="-0.49992370372631"/>
      </right>
      <top style="medium">
        <color theme="8" tint="-0.249977111117893"/>
      </top>
      <bottom/>
      <diagonal/>
    </border>
    <border>
      <left style="medium">
        <color theme="8" tint="-0.49992370372631"/>
      </left>
      <right style="medium">
        <color theme="8" tint="-0.49992370372631"/>
      </right>
      <top/>
      <bottom style="medium">
        <color theme="8" tint="-0.249977111117893"/>
      </bottom>
      <diagonal/>
    </border>
    <border>
      <left style="medium">
        <color theme="8" tint="-0.49992370372631"/>
      </left>
      <right style="medium">
        <color theme="8" tint="-0.49992370372631"/>
      </right>
      <top style="medium">
        <color theme="8" tint="-0.249977111117893"/>
      </top>
      <bottom style="medium">
        <color theme="8" tint="-0.249977111117893"/>
      </bottom>
      <diagonal/>
    </border>
    <border>
      <left/>
      <right/>
      <top/>
      <bottom/>
      <diagonal/>
    </border>
    <border>
      <left style="medium">
        <color theme="8" tint="-0.499954222235786"/>
      </left>
      <right style="medium">
        <color theme="8" tint="-0.499954222235786"/>
      </right>
      <top style="medium">
        <color theme="8" tint="-0.499954222235786"/>
      </top>
      <bottom style="medium">
        <color theme="8" tint="-0.499954222235786"/>
      </bottom>
      <diagonal/>
    </border>
    <border>
      <left/>
      <right/>
      <top style="medium">
        <color theme="8" tint="-0.499954222235786"/>
      </top>
      <bottom/>
      <diagonal/>
    </border>
    <border>
      <left/>
      <right style="medium">
        <color theme="8" tint="-0.499954222235786"/>
      </right>
      <top style="medium">
        <color theme="8" tint="-0.499954222235786"/>
      </top>
      <bottom/>
      <diagonal/>
    </border>
    <border>
      <left style="medium">
        <color theme="8" tint="-0.499954222235786"/>
      </left>
      <right/>
      <top/>
      <bottom style="medium">
        <color theme="8" tint="-0.499954222235786"/>
      </bottom>
      <diagonal/>
    </border>
    <border>
      <left/>
      <right style="medium">
        <color theme="8" tint="-0.499954222235786"/>
      </right>
      <top/>
      <bottom style="medium">
        <color theme="8" tint="-0.499954222235786"/>
      </bottom>
      <diagonal/>
    </border>
    <border>
      <left style="medium">
        <color theme="8" tint="-0.499954222235786"/>
      </left>
      <right/>
      <top style="medium">
        <color theme="8" tint="-0.499954222235786"/>
      </top>
      <bottom style="medium">
        <color theme="8" tint="-0.499954222235786"/>
      </bottom>
      <diagonal/>
    </border>
    <border>
      <left/>
      <right/>
      <top style="medium">
        <color theme="8" tint="-0.499954222235786"/>
      </top>
      <bottom style="medium">
        <color theme="8" tint="-0.499954222235786"/>
      </bottom>
      <diagonal/>
    </border>
    <border>
      <left/>
      <right style="medium">
        <color theme="8" tint="-0.499954222235786"/>
      </right>
      <top style="medium">
        <color theme="8" tint="-0.499954222235786"/>
      </top>
      <bottom style="medium">
        <color theme="8" tint="-0.499954222235786"/>
      </bottom>
      <diagonal/>
    </border>
    <border>
      <left style="medium">
        <color theme="8" tint="-0.499954222235786"/>
      </left>
      <right style="medium">
        <color theme="8" tint="-0.499954222235786"/>
      </right>
      <top/>
      <bottom style="medium">
        <color theme="8" tint="-0.499954222235786"/>
      </bottom>
      <diagonal/>
    </border>
    <border>
      <left style="medium">
        <color theme="8" tint="-0.499954222235786"/>
      </left>
      <right/>
      <top/>
      <bottom/>
      <diagonal/>
    </border>
    <border>
      <left/>
      <right style="medium">
        <color theme="8" tint="-0.499954222235786"/>
      </right>
      <top/>
      <bottom/>
      <diagonal/>
    </border>
    <border>
      <left style="medium">
        <color theme="8" tint="-0.499954222235786"/>
      </left>
      <right style="medium">
        <color theme="8" tint="-0.499954222235786"/>
      </right>
      <top/>
      <bottom/>
      <diagonal/>
    </border>
    <border>
      <left style="medium">
        <color theme="8" tint="-0.499954222235786"/>
      </left>
      <right style="medium">
        <color theme="8" tint="-0.499954222235786"/>
      </right>
      <top style="medium">
        <color theme="8" tint="-0.499954222235786"/>
      </top>
      <bottom/>
      <diagonal/>
    </border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double">
        <color theme="8" tint="-0.249977111117893"/>
      </left>
      <right style="medium">
        <color rgb="FF1F4E78"/>
      </right>
      <top style="double">
        <color theme="8" tint="-0.249977111117893"/>
      </top>
      <bottom style="double">
        <color theme="8" tint="-0.249977111117893"/>
      </bottom>
      <diagonal/>
    </border>
    <border>
      <left/>
      <right/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-0.249977111117893"/>
      </left>
      <right style="medium">
        <color rgb="FF7030A0"/>
      </right>
      <top style="double">
        <color theme="8" tint="-0.249977111117893"/>
      </top>
      <bottom style="medium">
        <color rgb="FF7030A0"/>
      </bottom>
      <diagonal/>
    </border>
    <border>
      <left/>
      <right/>
      <top style="double">
        <color theme="8" tint="-0.249977111117893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theme="8" tint="-0.249977111117893"/>
      </bottom>
      <diagonal/>
    </border>
    <border>
      <left/>
      <right/>
      <top style="thin">
        <color rgb="FFB7B7B7"/>
      </top>
      <bottom style="medium">
        <color theme="8" tint="-0.249977111117893"/>
      </bottom>
      <diagonal/>
    </border>
    <border>
      <left style="double">
        <color theme="8" tint="-0.249977111117893"/>
      </left>
      <right/>
      <top/>
      <bottom/>
      <diagonal/>
    </border>
    <border>
      <left/>
      <right style="double">
        <color theme="8" tint="-0.249977111117893"/>
      </right>
      <top/>
      <bottom/>
      <diagonal/>
    </border>
    <border>
      <left/>
      <right style="double">
        <color theme="8" tint="-0.249977111117893"/>
      </right>
      <top style="medium">
        <color theme="8" tint="-0.249977111117893"/>
      </top>
      <bottom/>
      <diagonal/>
    </border>
    <border>
      <left/>
      <right style="double">
        <color theme="8" tint="-0.249977111117893"/>
      </right>
      <top/>
      <bottom style="thin">
        <color rgb="FFB7B7B7"/>
      </bottom>
      <diagonal/>
    </border>
    <border>
      <left style="double">
        <color theme="8" tint="-0.249977111117893"/>
      </left>
      <right style="thin">
        <color rgb="FFB7B7B7"/>
      </right>
      <top style="double">
        <color theme="8" tint="-0.249977111117893"/>
      </top>
      <bottom style="thin">
        <color rgb="FFB7B7B7"/>
      </bottom>
      <diagonal/>
    </border>
    <border>
      <left/>
      <right/>
      <top/>
      <bottom style="double">
        <color theme="8" tint="-0.249977111117893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double">
        <color theme="8" tint="-0.249977111117893"/>
      </left>
      <right/>
      <top style="double">
        <color theme="8" tint="-0.249977111117893"/>
      </top>
      <bottom style="double">
        <color theme="8" tint="-0.249977111117893"/>
      </bottom>
      <diagonal/>
    </border>
    <border>
      <left style="thin">
        <color rgb="FFB7B7B7"/>
      </left>
      <right style="thin">
        <color rgb="FFB7B7B7"/>
      </right>
      <top style="medium">
        <color rgb="FF1F4E78"/>
      </top>
      <bottom style="thin">
        <color rgb="FFB7B7B7"/>
      </bottom>
      <diagonal/>
    </border>
    <border>
      <left/>
      <right/>
      <top style="medium">
        <color rgb="FF1F4E78"/>
      </top>
      <bottom style="thin">
        <color rgb="FFB7B7B7"/>
      </bottom>
      <diagonal/>
    </border>
    <border>
      <left style="thick">
        <color theme="7" tint="0.3999755851924192"/>
      </left>
      <right style="thick">
        <color theme="7" tint="0.3999755851924192"/>
      </right>
      <top style="thick">
        <color theme="7" tint="0.3999755851924192"/>
      </top>
      <bottom style="thick">
        <color theme="7" tint="0.3999755851924192"/>
      </bottom>
      <diagonal/>
    </border>
    <border>
      <left style="thick">
        <color theme="7" tint="0.3999755851924192"/>
      </left>
      <right style="medium">
        <color rgb="FF7030A0"/>
      </right>
      <top style="thick">
        <color theme="7" tint="0.3999755851924192"/>
      </top>
      <bottom style="thick">
        <color theme="7" tint="0.3999755851924192"/>
      </bottom>
      <diagonal/>
    </border>
    <border>
      <left/>
      <right/>
      <top style="thick">
        <color theme="7" tint="0.3999755851924192"/>
      </top>
      <bottom style="thick">
        <color theme="7" tint="0.3999755851924192"/>
      </bottom>
      <diagonal/>
    </border>
    <border>
      <left style="thick">
        <color theme="7" tint="0.3999755851924192"/>
      </left>
      <right style="medium">
        <color rgb="FF1F4E78"/>
      </right>
      <top style="thick">
        <color theme="7" tint="0.3999755851924192"/>
      </top>
      <bottom style="thick">
        <color theme="7" tint="0.3999755851924192"/>
      </bottom>
      <diagonal/>
    </border>
    <border>
      <left style="double">
        <color theme="8" tint="-0.249977111117893"/>
      </left>
      <right style="medium">
        <color rgb="FF1F4E78"/>
      </right>
      <top/>
      <bottom style="double">
        <color theme="8" tint="-0.249977111117893"/>
      </bottom>
      <diagonal/>
    </border>
    <border>
      <left style="thick">
        <color theme="7" tint="0.3999755851924192"/>
      </left>
      <right style="thin">
        <color rgb="FFB7B7B7"/>
      </right>
      <top style="thick">
        <color theme="7" tint="0.3999755851924192"/>
      </top>
      <bottom style="thick">
        <color theme="7" tint="0.3999755851924192"/>
      </bottom>
      <diagonal/>
    </border>
    <border>
      <left/>
      <right style="double">
        <color theme="8" tint="-0.249977111117893"/>
      </right>
      <top style="medium">
        <color rgb="FF1F4E78"/>
      </top>
      <bottom/>
      <diagonal/>
    </border>
    <border>
      <left style="thin">
        <color rgb="FFB7B7B7"/>
      </left>
      <right style="thin">
        <color theme="8" tint="-0.249977111117893"/>
      </right>
      <top style="thin">
        <color rgb="FFB7B7B7"/>
      </top>
      <bottom style="thin">
        <color rgb="FFB7B7B7"/>
      </bottom>
      <diagonal/>
    </border>
    <border>
      <left/>
      <right/>
      <top style="thin">
        <color theme="8" tint="-0.249977111117893"/>
      </top>
      <bottom/>
      <diagonal/>
    </border>
    <border>
      <left style="thin">
        <color rgb="FFB7B7B7"/>
      </left>
      <right style="thin">
        <color theme="8" tint="-0.249977111117893"/>
      </right>
      <top style="thin">
        <color rgb="FFB7B7B7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B7B7B7"/>
      </right>
      <top style="thin">
        <color theme="8" tint="-0.249977111117893"/>
      </top>
      <bottom style="thin">
        <color rgb="FFB7B7B7"/>
      </bottom>
      <diagonal/>
    </border>
    <border>
      <left style="thin">
        <color theme="8" tint="-0.249977111117893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8" tint="-0.249977111117893"/>
      </left>
      <right style="medium">
        <color rgb="FF7030A0"/>
      </right>
      <top/>
      <bottom style="thin">
        <color theme="8" tint="-0.249977111117893"/>
      </bottom>
      <diagonal/>
    </border>
    <border>
      <left/>
      <right style="medium">
        <color theme="8" tint="-0.249977111117893"/>
      </right>
      <top style="thin">
        <color rgb="FFB7B7B7"/>
      </top>
      <bottom style="thin">
        <color rgb="FFB7B7B7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rgb="FFB7B7B7"/>
      </top>
      <bottom style="thin">
        <color theme="8" tint="-0.249977111117893"/>
      </bottom>
      <diagonal/>
    </border>
    <border>
      <left/>
      <right style="medium">
        <color theme="8" tint="-0.249977111117893"/>
      </right>
      <top style="thin">
        <color rgb="FFB7B7B7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B7B7B7"/>
      </right>
      <top style="thin">
        <color rgb="FFB7B7B7"/>
      </top>
      <bottom style="thin">
        <color theme="8" tint="-0.249977111117893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medium">
        <color rgb="FF1F4E78"/>
      </top>
      <bottom style="thin">
        <color theme="8" tint="-0.249977111117893"/>
      </bottom>
      <diagonal/>
    </border>
    <border>
      <left/>
      <right style="medium">
        <color theme="8" tint="-0.249977111117893"/>
      </right>
      <top style="medium">
        <color rgb="FF1F4E78"/>
      </top>
      <bottom style="thin">
        <color rgb="FFB7B7B7"/>
      </bottom>
      <diagonal/>
    </border>
    <border>
      <left/>
      <right style="thin">
        <color rgb="FFB7B7B7"/>
      </right>
      <top style="thin">
        <color theme="8" tint="-0.249977111117893"/>
      </top>
      <bottom style="thin">
        <color rgb="FFB7B7B7"/>
      </bottom>
      <diagonal/>
    </border>
    <border>
      <left/>
      <right style="medium">
        <color rgb="FF7030A0"/>
      </right>
      <top/>
      <bottom style="thin">
        <color theme="8" tint="-0.249977111117893"/>
      </bottom>
      <diagonal/>
    </border>
    <border>
      <left/>
      <right style="thin">
        <color rgb="FFB7B7B7"/>
      </right>
      <top style="thick">
        <color theme="7" tint="0.3999755851924192"/>
      </top>
      <bottom style="thick">
        <color theme="7" tint="0.3999755851924192"/>
      </bottom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rgb="FF1F4E78"/>
      </right>
      <top style="double">
        <color theme="8" tint="-0.249977111117893"/>
      </top>
      <bottom style="double">
        <color theme="8" tint="-0.249977111117893"/>
      </bottom>
      <diagonal/>
    </border>
    <border>
      <left/>
      <right style="thin">
        <color rgb="FFB7B7B7"/>
      </right>
      <top style="double">
        <color theme="8" tint="-0.249977111117893"/>
      </top>
      <bottom/>
      <diagonal/>
    </border>
    <border>
      <left style="double">
        <color theme="8" tint="-0.249977111117893"/>
      </left>
      <right/>
      <top/>
      <bottom style="thin">
        <color rgb="FFB7B7B7"/>
      </bottom>
      <diagonal/>
    </border>
    <border>
      <left/>
      <right style="medium">
        <color rgb="FF7030A0"/>
      </right>
      <top style="thick">
        <color theme="7" tint="0.3999755851924192"/>
      </top>
      <bottom style="thick">
        <color theme="7" tint="0.3999755851924192"/>
      </bottom>
      <diagonal/>
    </border>
    <border>
      <left/>
      <right style="medium">
        <color rgb="FF1F4E78"/>
      </right>
      <top style="thick">
        <color theme="7" tint="0.3999755851924192"/>
      </top>
      <bottom style="thick">
        <color theme="7" tint="0.3999755851924192"/>
      </bottom>
      <diagonal/>
    </border>
    <border>
      <left/>
      <right style="double">
        <color theme="8" tint="-0.249977111117893"/>
      </right>
      <top style="medium">
        <color rgb="FF1F4E78"/>
      </top>
      <bottom style="thin">
        <color rgb="FFB7B7B7"/>
      </bottom>
      <diagonal/>
    </border>
    <border>
      <left/>
      <right style="thin">
        <color rgb="FFB7B7B7"/>
      </right>
      <top style="medium">
        <color rgb="FF1F4E78"/>
      </top>
      <bottom style="thin">
        <color rgb="FFB7B7B7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/>
      <bottom style="double">
        <color theme="8" tint="-0.249977111117893"/>
      </bottom>
      <diagonal/>
    </border>
    <border>
      <left/>
      <right style="thin">
        <color rgb="FFB7B7B7"/>
      </right>
      <top style="thin">
        <color rgb="FFB7B7B7"/>
      </top>
      <bottom style="medium">
        <color theme="8" tint="-0.249977111117893"/>
      </bottom>
      <diagonal/>
    </border>
    <border>
      <left/>
      <right style="thin">
        <color rgb="FFB7B7B7"/>
      </right>
      <top style="thin">
        <color rgb="FFB7B7B7"/>
      </top>
      <bottom style="thin">
        <color theme="8" tint="-0.249977111117893"/>
      </bottom>
      <diagonal/>
    </border>
    <border>
      <left/>
      <right style="medium">
        <color rgb="FF7030A0"/>
      </right>
      <top/>
      <bottom/>
      <diagonal/>
    </border>
    <border>
      <left/>
      <right style="thin">
        <color rgb="FFB7B7B7"/>
      </right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thin">
        <color rgb="FFB7B7B7"/>
      </right>
      <top style="thin">
        <color theme="8" tint="-0.249977111117893"/>
      </top>
      <bottom/>
      <diagonal/>
    </border>
    <border>
      <left/>
      <right/>
      <top style="thick">
        <color theme="7" tint="0.3999755851924192"/>
      </top>
      <bottom/>
      <diagonal/>
    </border>
    <border>
      <left/>
      <right style="thin">
        <color rgb="FFB7B7B7"/>
      </right>
      <top style="thick">
        <color theme="7" tint="0.3999755851924192"/>
      </top>
      <bottom/>
      <diagonal/>
    </border>
    <border>
      <left/>
      <right style="medium">
        <color rgb="FF1F4E78"/>
      </right>
      <top/>
      <bottom/>
      <diagonal/>
    </border>
    <border>
      <left/>
      <right style="medium">
        <color rgb="FF1F4E78"/>
      </right>
      <top style="double">
        <color theme="8" tint="-0.249977111117893"/>
      </top>
      <bottom/>
      <diagonal/>
    </border>
    <border>
      <left/>
      <right style="medium">
        <color rgb="FF7030A0"/>
      </right>
      <top style="thick">
        <color theme="7" tint="0.3999755851924192"/>
      </top>
      <bottom/>
      <diagonal/>
    </border>
    <border>
      <left/>
      <right style="medium">
        <color rgb="FF1F4E78"/>
      </right>
      <top style="thick">
        <color theme="7" tint="0.3999755851924192"/>
      </top>
      <bottom/>
      <diagonal/>
    </border>
  </borders>
  <cellStyleXfs count="1">
    <xf numFmtId="0" fontId="0" fillId="0" borderId="58"/>
  </cellStyleXfs>
  <cellXfs count="199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5" fillId="5" borderId="1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4" borderId="14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5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4" borderId="15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top" wrapText="1"/>
    </xf>
    <xf numFmtId="0" fontId="0" fillId="4" borderId="2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5" borderId="6" applyAlignment="1" pivotButton="0" quotePrefix="0" xfId="0">
      <alignment horizontal="center" vertical="top" wrapText="1"/>
    </xf>
    <xf numFmtId="0" fontId="0" fillId="4" borderId="8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5" borderId="7" applyAlignment="1" pivotButton="0" quotePrefix="0" xfId="0">
      <alignment horizontal="center" vertical="top" wrapText="1"/>
    </xf>
    <xf numFmtId="0" fontId="0" fillId="4" borderId="7" applyAlignment="1" pivotButton="0" quotePrefix="0" xfId="0">
      <alignment horizontal="center" vertical="top" wrapText="1"/>
    </xf>
    <xf numFmtId="0" fontId="5" fillId="5" borderId="16" applyAlignment="1" pivotButton="0" quotePrefix="0" xfId="0">
      <alignment horizontal="center" vertical="center" wrapText="1"/>
    </xf>
    <xf numFmtId="0" fontId="0" fillId="4" borderId="17" applyAlignment="1" pivotButton="0" quotePrefix="0" xfId="0">
      <alignment horizontal="center" vertical="top" wrapText="1"/>
    </xf>
    <xf numFmtId="0" fontId="0" fillId="5" borderId="17" applyAlignment="1" pivotButton="0" quotePrefix="0" xfId="0">
      <alignment horizontal="center" vertical="top" wrapText="1"/>
    </xf>
    <xf numFmtId="0" fontId="5" fillId="5" borderId="13" applyAlignment="1" pivotButton="0" quotePrefix="0" xfId="0">
      <alignment horizontal="center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30" applyAlignment="1" pivotButton="0" quotePrefix="0" xfId="0">
      <alignment horizontal="center" vertical="center" wrapText="1"/>
    </xf>
    <xf numFmtId="0" fontId="5" fillId="5" borderId="32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center" vertical="center" wrapText="1"/>
    </xf>
    <xf numFmtId="0" fontId="2" fillId="5" borderId="19" applyAlignment="1" pivotButton="0" quotePrefix="0" xfId="0">
      <alignment horizontal="center" vertical="top" wrapText="1"/>
    </xf>
    <xf numFmtId="0" fontId="2" fillId="4" borderId="22" applyAlignment="1" pivotButton="0" quotePrefix="0" xfId="0">
      <alignment horizontal="center" vertical="top" wrapText="1"/>
    </xf>
    <xf numFmtId="0" fontId="2" fillId="4" borderId="19" applyAlignment="1" pivotButton="0" quotePrefix="0" xfId="0">
      <alignment horizontal="center" vertical="top" wrapText="1"/>
    </xf>
    <xf numFmtId="0" fontId="5" fillId="5" borderId="38" applyAlignment="1" pivotButton="0" quotePrefix="0" xfId="0">
      <alignment horizontal="center" vertical="center" wrapText="1"/>
    </xf>
    <xf numFmtId="0" fontId="0" fillId="4" borderId="36" applyAlignment="1" pivotButton="0" quotePrefix="0" xfId="0">
      <alignment horizontal="center" vertical="top" wrapText="1"/>
    </xf>
    <xf numFmtId="0" fontId="0" fillId="5" borderId="36" applyAlignment="1" pivotButton="0" quotePrefix="0" xfId="0">
      <alignment horizontal="center" vertical="top" wrapText="1"/>
    </xf>
    <xf numFmtId="0" fontId="0" fillId="5" borderId="33" applyAlignment="1" pivotButton="0" quotePrefix="0" xfId="0">
      <alignment horizontal="center" vertical="top" wrapText="1"/>
    </xf>
    <xf numFmtId="0" fontId="0" fillId="5" borderId="26" applyAlignment="1" pivotButton="0" quotePrefix="0" xfId="0">
      <alignment horizontal="center" vertical="top" wrapText="1"/>
    </xf>
    <xf numFmtId="0" fontId="2" fillId="5" borderId="27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0" fillId="0" borderId="44" pivotButton="0" quotePrefix="0" xfId="0"/>
    <xf numFmtId="0" fontId="0" fillId="0" borderId="44" applyAlignment="1" pivotButton="0" quotePrefix="0" xfId="0">
      <alignment vertical="top" wrapText="1"/>
    </xf>
    <xf numFmtId="0" fontId="9" fillId="7" borderId="50" applyAlignment="1" pivotButton="0" quotePrefix="0" xfId="0">
      <alignment horizontal="center" vertical="center" wrapText="1"/>
    </xf>
    <xf numFmtId="0" fontId="9" fillId="7" borderId="48" applyAlignment="1" pivotButton="0" quotePrefix="0" xfId="0">
      <alignment horizontal="center" vertical="center" wrapText="1"/>
    </xf>
    <xf numFmtId="0" fontId="9" fillId="7" borderId="49" applyAlignment="1" pivotButton="0" quotePrefix="0" xfId="0">
      <alignment horizontal="center" vertical="center" wrapText="1"/>
    </xf>
    <xf numFmtId="0" fontId="0" fillId="0" borderId="54" applyAlignment="1" pivotButton="0" quotePrefix="0" xfId="0">
      <alignment vertical="top" wrapText="1"/>
    </xf>
    <xf numFmtId="0" fontId="8" fillId="0" borderId="48" applyAlignment="1" pivotButton="0" quotePrefix="0" xfId="0">
      <alignment vertical="top" wrapText="1"/>
    </xf>
    <xf numFmtId="0" fontId="8" fillId="0" borderId="49" applyAlignment="1" pivotButton="0" quotePrefix="0" xfId="0">
      <alignment vertical="top" wrapText="1"/>
    </xf>
    <xf numFmtId="0" fontId="9" fillId="7" borderId="45" applyAlignment="1" pivotButton="0" quotePrefix="0" xfId="0">
      <alignment horizontal="center" vertical="center" wrapText="1"/>
    </xf>
    <xf numFmtId="0" fontId="8" fillId="0" borderId="53" applyAlignment="1" pivotButton="0" quotePrefix="0" xfId="0">
      <alignment vertical="top" wrapText="1"/>
    </xf>
    <xf numFmtId="0" fontId="9" fillId="7" borderId="53" applyAlignment="1" pivotButton="0" quotePrefix="0" xfId="0">
      <alignment horizontal="center" vertical="center" wrapText="1"/>
    </xf>
    <xf numFmtId="0" fontId="8" fillId="0" borderId="54" applyAlignment="1" pivotButton="0" quotePrefix="0" xfId="0">
      <alignment horizontal="left" vertical="top" wrapText="1"/>
    </xf>
    <xf numFmtId="0" fontId="8" fillId="0" borderId="56" applyAlignment="1" pivotButton="0" quotePrefix="0" xfId="0">
      <alignment horizontal="left" vertical="top" wrapText="1"/>
    </xf>
    <xf numFmtId="0" fontId="8" fillId="0" borderId="55" applyAlignment="1" pivotButton="0" quotePrefix="0" xfId="0">
      <alignment horizontal="left" vertical="top" wrapText="1"/>
    </xf>
    <xf numFmtId="0" fontId="8" fillId="0" borderId="48" applyAlignment="1" pivotButton="0" quotePrefix="0" xfId="0">
      <alignment horizontal="left" vertical="top" wrapText="1"/>
    </xf>
    <xf numFmtId="0" fontId="8" fillId="0" borderId="53" applyAlignment="1" pivotButton="0" quotePrefix="0" xfId="0">
      <alignment horizontal="left" vertical="top" wrapText="1"/>
    </xf>
    <xf numFmtId="0" fontId="8" fillId="0" borderId="49" applyAlignment="1" pivotButton="0" quotePrefix="0" xfId="0">
      <alignment horizontal="left" vertical="top" wrapText="1"/>
    </xf>
    <xf numFmtId="0" fontId="2" fillId="8" borderId="22" applyAlignment="1" pivotButton="0" quotePrefix="0" xfId="0">
      <alignment horizontal="center" vertical="top" wrapText="1"/>
    </xf>
    <xf numFmtId="0" fontId="0" fillId="8" borderId="5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8" borderId="15" applyAlignment="1" pivotButton="0" quotePrefix="0" xfId="0">
      <alignment horizontal="center" vertical="top" wrapText="1"/>
    </xf>
    <xf numFmtId="0" fontId="2" fillId="8" borderId="19" applyAlignment="1" pivotButton="0" quotePrefix="0" xfId="0">
      <alignment horizontal="center" vertical="top" wrapText="1"/>
    </xf>
    <xf numFmtId="0" fontId="0" fillId="8" borderId="7" applyAlignment="1" pivotButton="0" quotePrefix="0" xfId="0">
      <alignment horizontal="center" vertical="top" wrapText="1"/>
    </xf>
    <xf numFmtId="0" fontId="0" fillId="8" borderId="2" applyAlignment="1" pivotButton="0" quotePrefix="0" xfId="0">
      <alignment horizontal="center" vertical="top" wrapText="1"/>
    </xf>
    <xf numFmtId="0" fontId="0" fillId="8" borderId="20" applyAlignment="1" pivotButton="0" quotePrefix="0" xfId="0">
      <alignment horizontal="center" vertical="top" wrapText="1"/>
    </xf>
    <xf numFmtId="0" fontId="0" fillId="8" borderId="6" applyAlignment="1" pivotButton="0" quotePrefix="0" xfId="0">
      <alignment horizontal="center" vertical="top" wrapText="1"/>
    </xf>
    <xf numFmtId="0" fontId="0" fillId="8" borderId="28" applyAlignment="1" pivotButton="0" quotePrefix="0" xfId="0">
      <alignment horizontal="center" vertical="top" wrapText="1"/>
    </xf>
    <xf numFmtId="0" fontId="0" fillId="8" borderId="29" applyAlignment="1" pivotButton="0" quotePrefix="0" xfId="0">
      <alignment horizontal="center" vertical="top" wrapText="1"/>
    </xf>
    <xf numFmtId="0" fontId="0" fillId="8" borderId="24" applyAlignment="1" pivotButton="0" quotePrefix="0" xfId="0">
      <alignment horizontal="center" vertical="top" wrapText="1"/>
    </xf>
    <xf numFmtId="0" fontId="0" fillId="8" borderId="25" applyAlignment="1" pivotButton="0" quotePrefix="0" xfId="0">
      <alignment horizontal="center" vertical="top" wrapText="1"/>
    </xf>
    <xf numFmtId="0" fontId="8" fillId="0" borderId="58" applyAlignment="1" pivotButton="0" quotePrefix="0" xfId="0">
      <alignment vertical="top" wrapText="1"/>
    </xf>
    <xf numFmtId="0" fontId="8" fillId="0" borderId="60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10" fillId="6" borderId="63" applyAlignment="1" pivotButton="0" quotePrefix="0" xfId="0">
      <alignment horizontal="center" vertical="center" wrapText="1"/>
    </xf>
    <xf numFmtId="0" fontId="13" fillId="13" borderId="61" applyAlignment="1" pivotButton="0" quotePrefix="0" xfId="0">
      <alignment horizontal="center" vertical="center" wrapText="1"/>
    </xf>
    <xf numFmtId="0" fontId="15" fillId="13" borderId="62" applyAlignment="1" pivotButton="0" quotePrefix="0" xfId="0">
      <alignment horizontal="center" vertical="center" wrapText="1"/>
    </xf>
    <xf numFmtId="0" fontId="0" fillId="0" borderId="78" pivotButton="0" quotePrefix="0" xfId="0"/>
    <xf numFmtId="0" fontId="8" fillId="0" borderId="80" applyAlignment="1" pivotButton="0" quotePrefix="0" xfId="0">
      <alignment vertical="top" wrapText="1"/>
    </xf>
    <xf numFmtId="0" fontId="8" fillId="0" borderId="79" applyAlignment="1" pivotButton="0" quotePrefix="0" xfId="0">
      <alignment vertical="top" wrapText="1"/>
    </xf>
    <xf numFmtId="0" fontId="13" fillId="13" borderId="62" applyAlignment="1" pivotButton="0" quotePrefix="0" xfId="0">
      <alignment horizontal="center" vertical="center" wrapText="1"/>
    </xf>
    <xf numFmtId="0" fontId="0" fillId="0" borderId="58" pivotButton="0" quotePrefix="0" xfId="0"/>
    <xf numFmtId="0" fontId="8" fillId="0" borderId="85" applyAlignment="1" pivotButton="0" quotePrefix="0" xfId="0">
      <alignment vertical="top" wrapText="1"/>
    </xf>
    <xf numFmtId="0" fontId="21" fillId="12" borderId="88" applyAlignment="1" pivotButton="0" quotePrefix="0" xfId="0">
      <alignment horizontal="center" vertical="center" wrapText="1"/>
    </xf>
    <xf numFmtId="0" fontId="18" fillId="11" borderId="74" applyAlignment="1" pivotButton="0" quotePrefix="0" xfId="0">
      <alignment horizontal="center" vertical="center" wrapText="1"/>
    </xf>
    <xf numFmtId="0" fontId="18" fillId="11" borderId="64" applyAlignment="1" pivotButton="0" quotePrefix="0" xfId="0">
      <alignment horizontal="center" vertical="center" wrapText="1"/>
    </xf>
    <xf numFmtId="0" fontId="18" fillId="11" borderId="69" applyAlignment="1" pivotButton="0" quotePrefix="0" xfId="0">
      <alignment horizontal="center" vertical="center" wrapText="1"/>
    </xf>
    <xf numFmtId="0" fontId="13" fillId="15" borderId="95" applyAlignment="1" pivotButton="0" quotePrefix="0" xfId="0">
      <alignment horizontal="center" vertical="center" wrapText="1"/>
    </xf>
    <xf numFmtId="0" fontId="8" fillId="0" borderId="96" applyAlignment="1" pivotButton="0" quotePrefix="0" xfId="0">
      <alignment vertical="top" wrapText="1"/>
    </xf>
    <xf numFmtId="0" fontId="13" fillId="9" borderId="95" applyAlignment="1" pivotButton="0" quotePrefix="0" xfId="0">
      <alignment horizontal="center" vertical="center" wrapText="1"/>
    </xf>
    <xf numFmtId="0" fontId="8" fillId="9" borderId="101" applyAlignment="1" pivotButton="0" quotePrefix="0" xfId="0">
      <alignment horizontal="left" vertical="center" wrapText="1"/>
    </xf>
    <xf numFmtId="0" fontId="8" fillId="15" borderId="101" applyAlignment="1" pivotButton="0" quotePrefix="0" xfId="0">
      <alignment horizontal="left" vertical="center" wrapText="1"/>
    </xf>
    <xf numFmtId="0" fontId="14" fillId="8" borderId="102" applyAlignment="1" pivotButton="0" quotePrefix="0" xfId="0">
      <alignment horizontal="center" vertical="center" wrapText="1"/>
    </xf>
    <xf numFmtId="0" fontId="13" fillId="15" borderId="103" applyAlignment="1" pivotButton="0" quotePrefix="0" xfId="0">
      <alignment horizontal="center" vertical="center" wrapText="1"/>
    </xf>
    <xf numFmtId="0" fontId="14" fillId="8" borderId="104" applyAlignment="1" pivotButton="0" quotePrefix="0" xfId="0">
      <alignment horizontal="center" vertical="center" wrapText="1"/>
    </xf>
    <xf numFmtId="0" fontId="8" fillId="9" borderId="105" applyAlignment="1" pivotButton="0" quotePrefix="0" xfId="0">
      <alignment horizontal="left" vertical="center" wrapText="1"/>
    </xf>
    <xf numFmtId="0" fontId="13" fillId="9" borderId="97" applyAlignment="1" pivotButton="0" quotePrefix="0" xfId="0">
      <alignment horizontal="center" vertical="center" wrapText="1"/>
    </xf>
    <xf numFmtId="0" fontId="10" fillId="2" borderId="107" applyAlignment="1" pivotButton="0" quotePrefix="0" xfId="0">
      <alignment horizontal="center" vertical="center" wrapText="1"/>
    </xf>
    <xf numFmtId="0" fontId="10" fillId="2" borderId="87" applyAlignment="1" pivotButton="0" quotePrefix="0" xfId="0">
      <alignment horizontal="center" vertical="center" wrapText="1"/>
    </xf>
    <xf numFmtId="0" fontId="10" fillId="2" borderId="109" applyAlignment="1" pivotButton="0" quotePrefix="0" xfId="0">
      <alignment horizontal="center" vertical="center" wrapText="1"/>
    </xf>
    <xf numFmtId="0" fontId="8" fillId="15" borderId="99" applyAlignment="1" pivotButton="0" quotePrefix="0" xfId="0">
      <alignment horizontal="left" vertical="center" wrapText="1"/>
    </xf>
    <xf numFmtId="0" fontId="0" fillId="0" borderId="116" pivotButton="0" quotePrefix="0" xfId="0"/>
    <xf numFmtId="0" fontId="10" fillId="14" borderId="92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125" pivotButton="0" quotePrefix="0" xfId="0"/>
    <xf numFmtId="0" fontId="10" fillId="6" borderId="122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94" pivotButton="0" quotePrefix="0" xfId="0"/>
    <xf numFmtId="0" fontId="0" fillId="0" borderId="68" pivotButton="0" quotePrefix="0" xfId="0"/>
    <xf numFmtId="0" fontId="0" fillId="0" borderId="81" pivotButton="0" quotePrefix="0" xfId="0"/>
    <xf numFmtId="0" fontId="10" fillId="6" borderId="63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124" pivotButton="0" quotePrefix="0" xfId="0"/>
    <xf numFmtId="0" fontId="8" fillId="13" borderId="76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126" pivotButton="0" quotePrefix="0" xfId="0"/>
    <xf numFmtId="0" fontId="14" fillId="15" borderId="100" applyAlignment="1" pivotButton="0" quotePrefix="0" xfId="0">
      <alignment horizontal="center" vertical="center" wrapText="1"/>
    </xf>
    <xf numFmtId="0" fontId="0" fillId="0" borderId="111" pivotButton="0" quotePrefix="0" xfId="0"/>
    <xf numFmtId="0" fontId="18" fillId="10" borderId="62" applyAlignment="1" pivotButton="0" quotePrefix="0" xfId="0">
      <alignment horizontal="left" vertical="center" wrapText="1"/>
    </xf>
    <xf numFmtId="0" fontId="0" fillId="0" borderId="67" pivotButton="0" quotePrefix="0" xfId="0"/>
    <xf numFmtId="0" fontId="10" fillId="2" borderId="108" applyAlignment="1" pivotButton="0" quotePrefix="0" xfId="0">
      <alignment horizontal="center" vertical="center" wrapText="1"/>
    </xf>
    <xf numFmtId="0" fontId="0" fillId="0" borderId="108" pivotButton="0" quotePrefix="0" xfId="0"/>
    <xf numFmtId="0" fontId="18" fillId="10" borderId="70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0" borderId="115" pivotButton="0" quotePrefix="0" xfId="0"/>
    <xf numFmtId="0" fontId="8" fillId="13" borderId="86" applyAlignment="1" pivotButton="0" quotePrefix="0" xfId="0">
      <alignment horizontal="left" vertical="center" wrapText="1"/>
    </xf>
    <xf numFmtId="0" fontId="0" fillId="0" borderId="87" pivotButton="0" quotePrefix="0" xfId="0"/>
    <xf numFmtId="0" fontId="0" fillId="0" borderId="123" pivotButton="0" quotePrefix="0" xfId="0"/>
    <xf numFmtId="0" fontId="8" fillId="9" borderId="106" applyAlignment="1" pivotButton="0" quotePrefix="0" xfId="0">
      <alignment horizontal="left" vertical="center" wrapText="1"/>
    </xf>
    <xf numFmtId="0" fontId="0" fillId="0" borderId="127" pivotButton="0" quotePrefix="0" xfId="0"/>
    <xf numFmtId="0" fontId="8" fillId="9" borderId="98" applyAlignment="1" pivotButton="0" quotePrefix="0" xfId="0">
      <alignment horizontal="left" vertical="center" wrapText="1"/>
    </xf>
    <xf numFmtId="0" fontId="0" fillId="0" borderId="110" pivotButton="0" quotePrefix="0" xfId="0"/>
    <xf numFmtId="0" fontId="19" fillId="15" borderId="93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0" borderId="112" pivotButton="0" quotePrefix="0" xfId="0"/>
    <xf numFmtId="0" fontId="14" fillId="15" borderId="71" applyAlignment="1" pivotButton="0" quotePrefix="0" xfId="0">
      <alignment horizontal="center" vertical="center" wrapText="1"/>
    </xf>
    <xf numFmtId="0" fontId="0" fillId="0" borderId="71" pivotButton="0" quotePrefix="0" xfId="0"/>
    <xf numFmtId="0" fontId="18" fillId="10" borderId="84" applyAlignment="1" pivotButton="0" quotePrefix="0" xfId="0">
      <alignment horizontal="left" vertical="center" wrapText="1"/>
    </xf>
    <xf numFmtId="0" fontId="0" fillId="0" borderId="114" pivotButton="0" quotePrefix="0" xfId="0"/>
    <xf numFmtId="0" fontId="17" fillId="15" borderId="62" applyAlignment="1" pivotButton="0" quotePrefix="0" xfId="0">
      <alignment horizontal="left" wrapText="1"/>
    </xf>
    <xf numFmtId="0" fontId="8" fillId="9" borderId="99" applyAlignment="1" pivotButton="0" quotePrefix="0" xfId="0">
      <alignment horizontal="left" vertical="center" wrapText="1"/>
    </xf>
    <xf numFmtId="0" fontId="15" fillId="13" borderId="62" applyAlignment="1" pivotButton="0" quotePrefix="0" xfId="0">
      <alignment horizontal="center" vertical="center" wrapText="1"/>
    </xf>
    <xf numFmtId="0" fontId="10" fillId="14" borderId="72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117" pivotButton="0" quotePrefix="0" xfId="0"/>
    <xf numFmtId="0" fontId="20" fillId="15" borderId="8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118" pivotButton="0" quotePrefix="0" xfId="0"/>
    <xf numFmtId="0" fontId="0" fillId="0" borderId="78" pivotButton="0" quotePrefix="0" xfId="0"/>
    <xf numFmtId="0" fontId="0" fillId="0" borderId="0" pivotButton="0" quotePrefix="0" xfId="0"/>
    <xf numFmtId="0" fontId="0" fillId="0" borderId="113" pivotButton="0" quotePrefix="0" xfId="0"/>
    <xf numFmtId="0" fontId="0" fillId="0" borderId="119" pivotButton="0" quotePrefix="0" xfId="0"/>
    <xf numFmtId="0" fontId="16" fillId="12" borderId="89" applyAlignment="1" pivotButton="0" quotePrefix="0" xfId="0">
      <alignment horizontal="center" vertical="center" wrapText="1"/>
    </xf>
    <xf numFmtId="0" fontId="0" fillId="0" borderId="120" pivotButton="0" quotePrefix="0" xfId="0"/>
    <xf numFmtId="0" fontId="1" fillId="14" borderId="91" applyAlignment="1" pivotButton="0" quotePrefix="0" xfId="0">
      <alignment horizontal="center" vertical="center" wrapText="1"/>
    </xf>
    <xf numFmtId="0" fontId="0" fillId="0" borderId="121" pivotButton="0" quotePrefix="0" xfId="0"/>
    <xf numFmtId="0" fontId="4" fillId="3" borderId="14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4" borderId="3" applyAlignment="1" pivotButton="0" quotePrefix="0" xfId="0">
      <alignment horizontal="left" wrapText="1"/>
    </xf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left" wrapText="1"/>
    </xf>
    <xf numFmtId="0" fontId="4" fillId="3" borderId="10" applyAlignment="1" pivotButton="0" quotePrefix="0" xfId="0">
      <alignment horizontal="center" vertical="top" wrapText="1"/>
    </xf>
    <xf numFmtId="0" fontId="1" fillId="2" borderId="41" applyAlignment="1" pivotButton="0" quotePrefix="0" xfId="0">
      <alignment horizontal="center" vertical="center" wrapText="1"/>
    </xf>
    <xf numFmtId="0" fontId="0" fillId="0" borderId="18" pivotButton="0" quotePrefix="0" xfId="0"/>
    <xf numFmtId="0" fontId="4" fillId="3" borderId="30" applyAlignment="1" pivotButton="0" quotePrefix="0" xfId="0">
      <alignment horizontal="center" vertical="top" wrapText="1"/>
    </xf>
    <xf numFmtId="0" fontId="0" fillId="0" borderId="31" pivotButton="0" quotePrefix="0" xfId="0"/>
    <xf numFmtId="0" fontId="6" fillId="4" borderId="21" applyAlignment="1" pivotButton="0" quotePrefix="0" xfId="0">
      <alignment horizontal="left" wrapText="1"/>
    </xf>
    <xf numFmtId="0" fontId="0" fillId="0" borderId="34" pivotButton="0" quotePrefix="0" xfId="0"/>
    <xf numFmtId="0" fontId="0" fillId="0" borderId="35" pivotButton="0" quotePrefix="0" xfId="0"/>
    <xf numFmtId="0" fontId="6" fillId="4" borderId="43" applyAlignment="1" pivotButton="0" quotePrefix="0" xfId="0">
      <alignment horizontal="left" wrapText="1"/>
    </xf>
    <xf numFmtId="0" fontId="0" fillId="0" borderId="12" pivotButton="0" quotePrefix="0" xfId="0"/>
    <xf numFmtId="0" fontId="0" fillId="0" borderId="39" pivotButton="0" quotePrefix="0" xfId="0"/>
    <xf numFmtId="0" fontId="4" fillId="3" borderId="42" applyAlignment="1" pivotButton="0" quotePrefix="0" xfId="0">
      <alignment horizontal="center" vertical="top" wrapText="1"/>
    </xf>
    <xf numFmtId="0" fontId="1" fillId="2" borderId="4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37" pivotButton="0" quotePrefix="0" xfId="0"/>
    <xf numFmtId="0" fontId="11" fillId="7" borderId="45" applyAlignment="1" pivotButton="0" quotePrefix="0" xfId="0">
      <alignment horizontal="left" vertical="center" wrapText="1"/>
    </xf>
    <xf numFmtId="0" fontId="0" fillId="0" borderId="51" pivotButton="0" quotePrefix="0" xfId="0"/>
    <xf numFmtId="0" fontId="0" fillId="0" borderId="52" pivotButton="0" quotePrefix="0" xfId="0"/>
    <xf numFmtId="0" fontId="12" fillId="8" borderId="57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12" fillId="8" borderId="45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top" wrapText="1"/>
    </xf>
    <xf numFmtId="0" fontId="0" fillId="0" borderId="56" pivotButton="0" quotePrefix="0" xfId="0"/>
    <xf numFmtId="0" fontId="1" fillId="6" borderId="56" applyAlignment="1" pivotButton="0" quotePrefix="0" xfId="0">
      <alignment horizontal="center" vertical="center" wrapText="1"/>
    </xf>
    <xf numFmtId="0" fontId="0" fillId="0" borderId="55" pivotButton="0" quotePrefix="0" xfId="0"/>
    <xf numFmtId="0" fontId="8" fillId="0" borderId="57" applyAlignment="1" pivotButton="0" quotePrefix="0" xfId="0">
      <alignment horizontal="center" vertical="top" wrapText="1"/>
    </xf>
  </cellXfs>
  <cellStyles count="1">
    <cellStyle name="Normal" xfId="0" builtinId="0"/>
  </cellStyles>
  <dxfs count="11">
    <dxf>
      <font>
        <name val="Carlito"/>
        <color rgb="FF1F1F1F"/>
        <sz val="11"/>
      </font>
      <fill>
        <patternFill>
          <bgColor rgb="FFE6E0F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rlito"/>
        <color rgb="FF1F1F1F"/>
        <sz val="11"/>
      </font>
      <fill>
        <patternFill>
          <bgColor rgb="FFD9EAF7"/>
        </patternFill>
      </fill>
    </dxf>
    <dxf>
      <font>
        <name val="Carlito"/>
        <color rgb="FF1F1F1F"/>
        <sz val="11"/>
      </font>
      <fill>
        <patternFill>
          <bgColor rgb="FFE6E0F8"/>
        </patternFill>
      </fill>
    </dxf>
    <dxf>
      <font>
        <name val="Carlito"/>
        <color rgb="FF1F1F1F"/>
        <sz val="11"/>
      </font>
      <fill>
        <patternFill>
          <bgColor rgb="FFE6E0F8"/>
        </patternFill>
      </fill>
    </dxf>
    <dxf>
      <font>
        <name val="Carlito"/>
        <color rgb="FF1F1F1F"/>
        <sz val="11"/>
      </font>
      <fill>
        <patternFill>
          <bgColor rgb="FFD9EAF7"/>
        </patternFill>
      </fill>
    </dxf>
    <dxf>
      <font>
        <name val="Carlito"/>
        <color rgb="FF1F1F1F"/>
        <sz val="11"/>
      </font>
      <fill>
        <patternFill>
          <bgColor rgb="FFD9EAF7"/>
        </patternFill>
      </fill>
    </dxf>
    <dxf>
      <font>
        <name val="Carlito"/>
        <color rgb="FF1F1F1F"/>
        <sz val="11"/>
      </font>
      <fill>
        <patternFill>
          <bgColor rgb="FFD9EAF7"/>
        </patternFill>
      </fill>
    </dxf>
    <dxf>
      <font>
        <name val="Carlito"/>
        <color rgb="FF1F1F1F"/>
        <sz val="11"/>
      </font>
      <fill>
        <patternFill>
          <bgColor rgb="FFD9EAF7"/>
        </patternFill>
      </fill>
    </dxf>
    <dxf>
      <font>
        <name val="Carlito"/>
        <color rgb="FF1F1F1F"/>
        <sz val="11"/>
      </font>
      <fill>
        <patternFill>
          <bgColor rgb="FFE6E0F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 tint="-0.49992370372631"/>
    <outlinePr summaryBelow="1" summaryRight="1"/>
    <pageSetUpPr/>
  </sheetPr>
  <dimension ref="A1:N99"/>
  <sheetViews>
    <sheetView showGridLines="0" tabSelected="1" topLeftCell="A4" zoomScale="85" zoomScaleNormal="85" workbookViewId="0">
      <selection activeCell="D17" sqref="D17"/>
    </sheetView>
  </sheetViews>
  <sheetFormatPr baseColWidth="8" defaultRowHeight="14.25"/>
  <cols>
    <col width="10.875" customWidth="1" style="156" min="1" max="1"/>
    <col width="22.75" customWidth="1" style="156" min="2" max="2"/>
    <col width="19.25" customWidth="1" style="156" min="3" max="3"/>
    <col width="26.375" customWidth="1" style="156" min="4" max="4"/>
    <col width="30" customWidth="1" style="156" min="5" max="5"/>
    <col hidden="1" width="4" customWidth="1" style="156" min="6" max="6"/>
    <col width="20.125" customWidth="1" style="156" min="7" max="7"/>
    <col width="18" customWidth="1" style="156" min="8" max="12"/>
  </cols>
  <sheetData>
    <row r="1" ht="24" customFormat="1" customHeight="1" s="1" thickBot="1">
      <c r="A1" s="77" t="n"/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</row>
    <row r="2" ht="33.95" customHeight="1" s="156" thickBot="1" thickTop="1">
      <c r="A2" s="112" t="inlineStr">
        <is>
          <t>START HERE: WORKFLOW</t>
        </is>
      </c>
      <c r="B2" s="113" t="n"/>
      <c r="C2" s="113" t="n"/>
      <c r="D2" s="113" t="n"/>
      <c r="E2" s="114" t="n"/>
      <c r="F2" s="89" t="n"/>
      <c r="G2" s="149" t="inlineStr">
        <is>
          <t>Project Status (update as you go)</t>
        </is>
      </c>
      <c r="H2" s="150" t="n"/>
      <c r="I2" s="150" t="n"/>
      <c r="J2" s="150" t="n"/>
      <c r="K2" s="150" t="n"/>
      <c r="L2" s="151" t="n"/>
      <c r="M2" s="155" t="n"/>
      <c r="N2" s="88" t="n"/>
    </row>
    <row r="3" ht="27.95" customHeight="1" s="156" thickBot="1" thickTop="1">
      <c r="A3" s="115" t="n"/>
      <c r="B3" s="115" t="n"/>
      <c r="C3" s="115" t="n"/>
      <c r="D3" s="115" t="n"/>
      <c r="E3" s="116" t="n"/>
      <c r="F3" s="77" t="n"/>
      <c r="G3" s="91">
        <f>IF(LEN($G$8)&gt;0,"[x]","[ ]")</f>
        <v/>
      </c>
      <c r="H3" s="144" t="inlineStr">
        <is>
          <t>Workflow selected</t>
        </is>
      </c>
      <c r="I3" s="115" t="n"/>
      <c r="J3" s="115" t="n"/>
      <c r="K3" s="115" t="n"/>
      <c r="L3" s="145" t="n"/>
      <c r="M3" s="155" t="n"/>
    </row>
    <row r="4" ht="30" customHeight="1" s="156" thickBot="1">
      <c r="A4" s="146" t="inlineStr">
        <is>
          <t>Only complete the worksheets required for your workflow.</t>
        </is>
      </c>
      <c r="B4" s="126" t="n"/>
      <c r="C4" s="126" t="n"/>
      <c r="D4" s="126" t="n"/>
      <c r="E4" s="108" t="n"/>
      <c r="F4" s="77" t="n"/>
      <c r="G4" s="92" t="inlineStr">
        <is>
          <t>[x]</t>
        </is>
      </c>
      <c r="H4" s="125" t="inlineStr">
        <is>
          <t>Input files added</t>
        </is>
      </c>
      <c r="I4" s="126" t="n"/>
      <c r="J4" s="126" t="n"/>
      <c r="K4" s="126" t="n"/>
      <c r="L4" s="108" t="n"/>
      <c r="M4" s="88" t="n"/>
    </row>
    <row r="5" ht="30" customHeight="1" s="156" thickBot="1">
      <c r="A5" s="148" t="inlineStr">
        <is>
          <t>Current workflow:</t>
        </is>
      </c>
      <c r="B5" s="87">
        <f>IF(LEN($G$8)&gt;0,$G$8,"")</f>
        <v/>
      </c>
      <c r="C5" s="148">
        <f>IF($G$8="A","Build Optimizer Package from Raw Data",IF($G$8="B","Optimize Existing Prepared Data","Choose A or B"))</f>
        <v/>
      </c>
      <c r="D5" s="126" t="n"/>
      <c r="E5" s="108" t="n"/>
      <c r="F5" s="77" t="n"/>
      <c r="G5" s="92" t="inlineStr">
        <is>
          <t>[x]</t>
        </is>
      </c>
      <c r="H5" s="125" t="inlineStr">
        <is>
          <t>Data prep complete</t>
        </is>
      </c>
      <c r="I5" s="126" t="n"/>
      <c r="J5" s="126" t="n"/>
      <c r="K5" s="126" t="n"/>
      <c r="L5" s="108" t="n"/>
      <c r="M5" s="88" t="n"/>
    </row>
    <row r="6" ht="24" customHeight="1" s="156" thickBot="1">
      <c r="A6" s="77" t="n"/>
      <c r="B6" s="77" t="n"/>
      <c r="C6" s="77" t="n"/>
      <c r="D6" s="77" t="n"/>
      <c r="E6" s="86" t="n"/>
      <c r="F6" s="77" t="n"/>
      <c r="G6" s="93" t="inlineStr">
        <is>
          <t>[ ]</t>
        </is>
      </c>
      <c r="H6" s="129" t="inlineStr">
        <is>
          <t>Optimization complete</t>
        </is>
      </c>
      <c r="I6" s="130" t="n"/>
      <c r="J6" s="130" t="n"/>
      <c r="K6" s="130" t="n"/>
      <c r="L6" s="131" t="n"/>
      <c r="M6" s="88" t="n"/>
    </row>
    <row r="7" ht="27.95" customHeight="1" s="156" thickBot="1" thickTop="1">
      <c r="A7" s="117" t="inlineStr">
        <is>
          <t>Option</t>
        </is>
      </c>
      <c r="B7" s="117" t="inlineStr">
        <is>
          <t>Workflow</t>
        </is>
      </c>
      <c r="C7" s="117" t="inlineStr">
        <is>
          <t>When to choose it</t>
        </is>
      </c>
      <c r="D7" s="118" t="n"/>
      <c r="E7" s="119" t="n"/>
      <c r="F7" s="77" t="n"/>
      <c r="G7" s="161" t="inlineStr">
        <is>
          <t>Select Workflow (required)</t>
        </is>
      </c>
      <c r="H7" s="140" t="n"/>
      <c r="I7" s="140" t="n"/>
      <c r="J7" s="140" t="n"/>
      <c r="K7" s="140" t="n"/>
      <c r="L7" s="162" t="n"/>
      <c r="M7" s="88" t="n"/>
    </row>
    <row r="8" ht="48" customHeight="1" s="156" thickBot="1" thickTop="1">
      <c r="A8" s="82" t="inlineStr">
        <is>
          <t>A</t>
        </is>
      </c>
      <c r="B8" s="82" t="inlineStr">
        <is>
          <t>Build Optimizer Package from Raw Data</t>
        </is>
      </c>
      <c r="C8" s="132" t="inlineStr">
        <is>
          <t>I have scored/raw assessment files and need to prepare the optimizer inputs.</t>
        </is>
      </c>
      <c r="D8" s="133" t="n"/>
      <c r="E8" s="134" t="n"/>
      <c r="F8" s="77" t="n"/>
      <c r="G8" s="90" t="inlineStr">
        <is>
          <t>A</t>
        </is>
      </c>
      <c r="H8" s="159">
        <f>IF($G$8="A","Build Optimizer Package from Raw Data",IF($G$8="B","Optimize Existing Prepared Data","Choose A or B"))</f>
        <v/>
      </c>
      <c r="I8" s="140" t="n"/>
      <c r="J8" s="140" t="n"/>
      <c r="K8" s="140" t="n"/>
      <c r="L8" s="160" t="n"/>
      <c r="M8" s="88" t="n"/>
    </row>
    <row r="9" ht="30" customHeight="1" s="156" thickBot="1" thickTop="1">
      <c r="A9" s="82" t="inlineStr">
        <is>
          <t>B</t>
        </is>
      </c>
      <c r="B9" s="82" t="inlineStr">
        <is>
          <t>Optimize Existing Prepared Data</t>
        </is>
      </c>
      <c r="C9" s="120" t="inlineStr">
        <is>
          <t>I already have a MASTER_SAMPLE, replacement pools, and TARGETS workbook.</t>
        </is>
      </c>
      <c r="D9" s="121" t="n"/>
      <c r="E9" s="122" t="n"/>
      <c r="F9" s="77" t="n"/>
      <c r="G9" s="139" t="inlineStr">
        <is>
          <t>Entry field: Use the dropdown option above to choose A or B.</t>
        </is>
      </c>
      <c r="H9" s="140" t="n"/>
      <c r="I9" s="140" t="n"/>
      <c r="J9" s="140" t="n"/>
      <c r="K9" s="140" t="n"/>
      <c r="L9" s="141" t="n"/>
      <c r="M9" s="88" t="n"/>
    </row>
    <row r="10" ht="27.95" customHeight="1" s="156" thickBot="1">
      <c r="A10" s="78" t="n"/>
      <c r="B10" s="79" t="n"/>
      <c r="C10" s="79" t="n"/>
      <c r="D10" s="79" t="n"/>
      <c r="E10" s="85" t="n"/>
      <c r="F10" s="79" t="n"/>
      <c r="G10" s="109" t="inlineStr">
        <is>
          <t>Workflow at a glance</t>
        </is>
      </c>
      <c r="H10" s="110" t="n"/>
      <c r="I10" s="110" t="n"/>
      <c r="J10" s="110" t="n"/>
      <c r="K10" s="110" t="n"/>
      <c r="L10" s="111" t="n"/>
      <c r="M10" s="88" t="n"/>
    </row>
    <row r="11" ht="56.1" customHeight="1" s="156" thickBot="1" thickTop="1">
      <c r="A11" s="117">
        <f>IF($G$8="A","Checklist: Build Optimizer Package from Raw Data",IF($G$8="B","Checklist: Optimize Existing Prepared Data","Checklist: Select a workflow above"))</f>
        <v/>
      </c>
      <c r="B11" s="118" t="n"/>
      <c r="C11" s="118" t="n"/>
      <c r="D11" s="118" t="n"/>
      <c r="E11" s="119" t="n"/>
      <c r="F11" s="79" t="n"/>
      <c r="G11" s="152">
        <f>IF($G$8="A","Raw Data -&gt; Prepare Package -&gt; Run Optimizer",IF($G$8="B","Prepared Data -&gt; Run Optimizer","Choose A or B above"))</f>
        <v/>
      </c>
      <c r="H11" s="153" t="n"/>
      <c r="I11" s="153" t="n"/>
      <c r="J11" s="153" t="n"/>
      <c r="K11" s="153" t="n"/>
      <c r="L11" s="154" t="n"/>
      <c r="M11" s="88" t="n"/>
    </row>
    <row r="12" ht="30" customHeight="1" s="156">
      <c r="A12" s="104" t="inlineStr">
        <is>
          <t>Step</t>
        </is>
      </c>
      <c r="B12" s="127" t="inlineStr">
        <is>
          <t>What to do</t>
        </is>
      </c>
      <c r="C12" s="128" t="n"/>
      <c r="D12" s="105" t="inlineStr">
        <is>
          <t>Go To</t>
        </is>
      </c>
      <c r="E12" s="106" t="inlineStr">
        <is>
          <t>What happens automatically</t>
        </is>
      </c>
      <c r="F12" s="77" t="n"/>
      <c r="G12" s="155" t="n"/>
      <c r="L12" s="157" t="n"/>
      <c r="M12" s="88" t="n"/>
    </row>
    <row r="13" ht="42" customHeight="1" s="156" thickBot="1">
      <c r="A13" s="96" t="inlineStr">
        <is>
          <t>Done</t>
        </is>
      </c>
      <c r="B13" s="137">
        <f>IF($G$8="A","Copy all Option A required files into: inputs\raw_data",IF($G$8="B","Copy MASTER_SAMPLE.xlsx into: inputs\master_sample","Choose workflow A or B above"))</f>
        <v/>
      </c>
      <c r="C13" s="138" t="n"/>
      <c r="D13" s="99">
        <f>IF($G$8="A",HYPERLINK("..\inputs\raw_data","Open raw_data folder"),IF($G$8="B",HYPERLINK("..\inputs\master_sample","Open master_sample folder"),""))</f>
        <v/>
      </c>
      <c r="E13" s="97">
        <f>IF($G$8="A","Requires summary, tolerance rules, FR TEIDs, and scored SAS files",IF($G$8="B","Uses existing prepared sample","The checklist updates after workflow selection"))</f>
        <v/>
      </c>
      <c r="F13" s="80" t="n"/>
      <c r="G13" s="158" t="n"/>
      <c r="H13" s="115" t="n"/>
      <c r="I13" s="115" t="n"/>
      <c r="J13" s="115" t="n"/>
      <c r="K13" s="115" t="n"/>
      <c r="L13" s="145" t="n"/>
      <c r="M13" s="88" t="n"/>
    </row>
    <row r="14" ht="42" customHeight="1" s="156">
      <c r="A14" s="94" t="inlineStr">
        <is>
          <t>Done</t>
        </is>
      </c>
      <c r="B14" s="107">
        <f>IF($G$8="A","Copy TARGETS.xlsx into: inputs\targets",IF($G$8="B","Copy replacement pools into: inputs\replacement_pools","Then follow the workflow-specific setup steps"))</f>
        <v/>
      </c>
      <c r="C14" s="108" t="n"/>
      <c r="D14" s="99">
        <f>IF($G$8="A",HYPERLINK("..\inputs\targets","Open targets folder"),IF($G$8="B",HYPERLINK("..\inputs\replacement_pools","Open replacement_pools"),""))</f>
        <v/>
      </c>
      <c r="E14" s="98">
        <f>IF($G$8="A","Runner checks this folder before prep starts",IF($G$8="B","Uses existing replacement pools","Required folders/files are shown after selection"))</f>
        <v/>
      </c>
      <c r="F14" s="77" t="n"/>
      <c r="G14" s="77" t="n"/>
      <c r="H14" s="77" t="n"/>
      <c r="I14" s="77" t="n"/>
      <c r="J14" s="77" t="n"/>
      <c r="K14" s="77" t="n"/>
      <c r="L14" s="77" t="n"/>
    </row>
    <row r="15" ht="42" customHeight="1" s="156">
      <c r="A15" s="96" t="inlineStr">
        <is>
          <t>Done</t>
        </is>
      </c>
      <c r="B15" s="147">
        <f>IF($G$8="A","Open app folder, then double-click 1_RUN_OPTION_A_DATA_PREP.bat",IF($G$8="B","Copy TARGETS.xlsx into: inputs\targets",""))</f>
        <v/>
      </c>
      <c r="C15" s="108" t="n"/>
      <c r="D15" s="99">
        <f>IF($G$8="A",HYPERLINK("..\","Open app folder"),IF($G$8="B",HYPERLINK("..\inputs\targets","Open targets folder"),""))</f>
        <v/>
      </c>
      <c r="E15" s="97">
        <f>IF($G$8="A","Excel opens folders reliably; run the clearly named launcher from the app folder",IF($G$8="B","Reads target workbook",""))</f>
        <v/>
      </c>
      <c r="F15" s="77" t="n"/>
      <c r="G15" s="77" t="n"/>
      <c r="H15" s="77" t="n"/>
      <c r="I15" s="77" t="n"/>
      <c r="J15" s="77" t="n"/>
      <c r="K15" s="77" t="n"/>
      <c r="L15" s="77" t="n"/>
    </row>
    <row r="16" ht="42" customHeight="1" s="156">
      <c r="A16" s="94" t="inlineStr">
        <is>
          <t>Done</t>
        </is>
      </c>
      <c r="B16" s="107">
        <f>IF($G$8="A","Review generated config and variable names",IF($G$8="B","Review worksheets 2-4",""))</f>
        <v/>
      </c>
      <c r="C16" s="108" t="n"/>
      <c r="D16" s="99">
        <f>IF(OR($G$8="A",$G$8="B"),HYPERLINK("#'2_Data_Map'!A1","Open Variable Mapping"),"")</f>
        <v/>
      </c>
      <c r="E16" s="98">
        <f>IF($G$8="A","Confirm workbook mappings before optimizing",IF($G$8="B","Confirms configuration",""))</f>
        <v/>
      </c>
      <c r="F16" s="77" t="n"/>
      <c r="G16" s="77" t="n"/>
      <c r="H16" s="77" t="n"/>
      <c r="I16" s="77" t="n"/>
      <c r="J16" s="77" t="n"/>
      <c r="K16" s="77" t="n"/>
      <c r="L16" s="77" t="n"/>
    </row>
    <row r="17" ht="39.75" customHeight="1" s="156">
      <c r="A17" s="103" t="inlineStr">
        <is>
          <t>Done</t>
        </is>
      </c>
      <c r="B17" s="135">
        <f>IF(OR($G$8="A",$G$8="B"),"Open app folder, then double-click 3_RUN_OPTIMIZER.bat","")</f>
        <v/>
      </c>
      <c r="C17" s="136" t="n"/>
      <c r="D17" s="101">
        <f>IF(OR($G$8="A",$G$8="B"),HYPERLINK("..\","Open app folder"),"")</f>
        <v/>
      </c>
      <c r="E17" s="102">
        <f>IF($G$8="A","Runs optimization after data prep using the top-level launcher",IF($G$8="B","Runs optimization using the top-level launcher",""))</f>
        <v/>
      </c>
      <c r="F17" s="77" t="n"/>
      <c r="G17" s="77" t="n"/>
      <c r="H17" s="77" t="n"/>
      <c r="I17" s="77" t="n"/>
      <c r="J17" s="77" t="n"/>
      <c r="K17" s="77" t="n"/>
      <c r="L17" s="77" t="n"/>
    </row>
    <row r="18" ht="32.1" customHeight="1" s="156" thickBot="1">
      <c r="A18" s="100" t="inlineStr">
        <is>
          <t>Reference Guide</t>
        </is>
      </c>
      <c r="B18" s="123">
        <f>HYPERLINK("#'5_Reference_Guide'!A4","Open Reference Guide")</f>
        <v/>
      </c>
      <c r="C18" s="124" t="n"/>
      <c r="D18" s="142">
        <f>HYPERLINK("#'3_Pools_Constraints'!A1","Review replacement pools")</f>
        <v/>
      </c>
      <c r="E18" s="143" t="n"/>
      <c r="F18" s="77" t="n"/>
      <c r="G18" s="77" t="n"/>
      <c r="H18" s="77" t="n"/>
      <c r="I18" s="77" t="n"/>
      <c r="J18" s="77" t="n"/>
      <c r="K18" s="77" t="n"/>
      <c r="L18" s="77" t="n"/>
    </row>
    <row r="19" ht="24" customHeight="1" s="156">
      <c r="A19" s="95" t="n"/>
      <c r="B19" s="77" t="n"/>
      <c r="C19" s="77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</row>
    <row r="20" ht="24" customHeight="1" s="156">
      <c r="A20" s="77" t="n"/>
      <c r="B20" s="77" t="n"/>
      <c r="C20" s="77" t="n"/>
      <c r="D20" s="77" t="n"/>
      <c r="E20" s="77" t="n"/>
      <c r="F20" s="77" t="n"/>
      <c r="G20" s="77" t="n"/>
      <c r="H20" s="77" t="n"/>
      <c r="I20" s="77" t="n"/>
      <c r="J20" s="77" t="n"/>
      <c r="K20" s="77" t="n"/>
      <c r="L20" s="77" t="n"/>
    </row>
    <row r="21" ht="24" customHeight="1" s="156">
      <c r="A21" s="77" t="n"/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</row>
    <row r="22" ht="24" customHeight="1" s="156">
      <c r="A22" s="77" t="n"/>
      <c r="B22" s="77" t="n"/>
      <c r="C22" s="77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</row>
    <row r="23" ht="24" customHeight="1" s="156">
      <c r="A23" s="77" t="n"/>
      <c r="B23" s="77" t="n"/>
      <c r="C23" s="77" t="n"/>
      <c r="D23" s="77" t="n"/>
      <c r="E23" s="77" t="n"/>
      <c r="F23" s="77" t="n"/>
      <c r="G23" s="77" t="n"/>
      <c r="H23" s="77" t="n"/>
      <c r="I23" s="77" t="n"/>
      <c r="J23" s="77" t="n"/>
      <c r="K23" s="77" t="n"/>
      <c r="L23" s="77" t="n"/>
    </row>
    <row r="24" ht="15" customHeight="1" s="156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15" customHeight="1" s="156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15" customHeight="1" s="15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 ht="15" customHeight="1" s="156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 s="156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 s="156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 s="156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 s="15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 s="15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 s="15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 s="15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 s="156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 s="15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 s="156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 s="156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 s="156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 s="15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 s="15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 s="15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 s="15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 s="15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 s="15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 s="15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 s="15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 s="15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 s="15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 s="15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 s="15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 s="15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 s="15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 s="15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 s="15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 s="1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 s="15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 s="15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 s="15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 s="15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 s="15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 s="15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 s="15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 s="15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 s="15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 s="15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 s="15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 s="15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 s="15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 s="15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 s="15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 s="15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 s="15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 s="15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 s="15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 s="15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 s="15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 s="15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 s="15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 s="15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 s="15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 s="15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 s="156">
      <c r="H83" s="2" t="n"/>
      <c r="I83" s="2" t="n"/>
      <c r="J83" s="2" t="n"/>
      <c r="K83" s="2" t="n"/>
    </row>
    <row r="84" ht="15" customHeight="1" s="156">
      <c r="H84" s="2" t="n"/>
      <c r="I84" s="2" t="n"/>
      <c r="J84" s="2" t="n"/>
      <c r="K84" s="2" t="n"/>
    </row>
    <row r="85" ht="15" customHeight="1" s="156">
      <c r="H85" s="2" t="n"/>
      <c r="I85" s="2" t="n"/>
      <c r="J85" s="2" t="n"/>
      <c r="K85" s="2" t="n"/>
    </row>
    <row r="86" ht="15" customHeight="1" s="156">
      <c r="H86" s="2" t="n"/>
      <c r="I86" s="2" t="n"/>
      <c r="J86" s="2" t="n"/>
      <c r="K86" s="2" t="n"/>
    </row>
    <row r="87" ht="15" customHeight="1" s="156">
      <c r="H87" s="2" t="n"/>
      <c r="I87" s="2" t="n"/>
      <c r="J87" s="2" t="n"/>
      <c r="K87" s="2" t="n"/>
    </row>
    <row r="88" ht="15" customHeight="1" s="156">
      <c r="H88" s="2" t="n"/>
      <c r="I88" s="2" t="n"/>
      <c r="J88" s="2" t="n"/>
      <c r="K88" s="2" t="n"/>
    </row>
    <row r="89" ht="15" customHeight="1" s="156">
      <c r="H89" s="2" t="n"/>
      <c r="I89" s="2" t="n"/>
      <c r="J89" s="2" t="n"/>
      <c r="K89" s="2" t="n"/>
    </row>
    <row r="90" ht="15" customHeight="1" s="156">
      <c r="H90" s="2" t="n"/>
      <c r="I90" s="2" t="n"/>
      <c r="J90" s="2" t="n"/>
      <c r="K90" s="2" t="n"/>
    </row>
    <row r="91" ht="15" customHeight="1" s="156">
      <c r="H91" s="2" t="n"/>
      <c r="I91" s="2" t="n"/>
      <c r="J91" s="2" t="n"/>
      <c r="K91" s="2" t="n"/>
    </row>
    <row r="92" ht="15" customHeight="1" s="156">
      <c r="H92" s="2" t="n"/>
      <c r="I92" s="2" t="n"/>
      <c r="J92" s="2" t="n"/>
      <c r="K92" s="2" t="n"/>
    </row>
    <row r="93" ht="15" customHeight="1" s="156">
      <c r="H93" s="2" t="n"/>
      <c r="I93" s="2" t="n"/>
      <c r="J93" s="2" t="n"/>
      <c r="K93" s="2" t="n"/>
    </row>
    <row r="94" ht="15" customHeight="1" s="156">
      <c r="H94" s="2" t="n"/>
      <c r="I94" s="2" t="n"/>
      <c r="J94" s="2" t="n"/>
      <c r="K94" s="2" t="n"/>
    </row>
    <row r="95" ht="15" customHeight="1" s="156">
      <c r="H95" s="2" t="n"/>
      <c r="I95" s="2" t="n"/>
      <c r="J95" s="2" t="n"/>
      <c r="K95" s="2" t="n"/>
    </row>
    <row r="96" ht="15" customHeight="1" s="156">
      <c r="H96" s="2" t="n"/>
      <c r="I96" s="2" t="n"/>
      <c r="J96" s="2" t="n"/>
      <c r="K96" s="2" t="n"/>
    </row>
    <row r="97" ht="15" customHeight="1" s="156">
      <c r="H97" s="2" t="n"/>
      <c r="I97" s="2" t="n"/>
      <c r="J97" s="2" t="n"/>
      <c r="K97" s="2" t="n"/>
    </row>
    <row r="98" ht="15" customHeight="1" s="156">
      <c r="H98" s="2" t="n"/>
      <c r="I98" s="2" t="n"/>
      <c r="J98" s="2" t="n"/>
      <c r="K98" s="2" t="n"/>
    </row>
    <row r="99" ht="15" customHeight="1" s="156">
      <c r="H99" s="2" t="n"/>
      <c r="I99" s="2" t="n"/>
      <c r="J99" s="2" t="n"/>
      <c r="K99" s="2" t="n"/>
    </row>
  </sheetData>
  <mergeCells count="25">
    <mergeCell ref="B16:C16"/>
    <mergeCell ref="G10:L10"/>
    <mergeCell ref="A2:E3"/>
    <mergeCell ref="A11:E11"/>
    <mergeCell ref="C9:E9"/>
    <mergeCell ref="B18:C18"/>
    <mergeCell ref="H4:L4"/>
    <mergeCell ref="B12:C12"/>
    <mergeCell ref="H6:L6"/>
    <mergeCell ref="C8:E8"/>
    <mergeCell ref="B14:C14"/>
    <mergeCell ref="B17:C17"/>
    <mergeCell ref="C7:E7"/>
    <mergeCell ref="B13:C13"/>
    <mergeCell ref="G9:L9"/>
    <mergeCell ref="D18:E18"/>
    <mergeCell ref="H3:L3"/>
    <mergeCell ref="A4:E4"/>
    <mergeCell ref="B15:C15"/>
    <mergeCell ref="C5:E5"/>
    <mergeCell ref="G2:L2"/>
    <mergeCell ref="H5:L5"/>
    <mergeCell ref="G11:L13"/>
    <mergeCell ref="H8:L8"/>
    <mergeCell ref="G7:L7"/>
  </mergeCells>
  <dataValidations count="1">
    <dataValidation sqref="G8" showDropDown="0" showInputMessage="0" showErrorMessage="0" allowBlank="0" errorTitle="Workflow required" error="Choose A or B." promptTitle="Choose workflow" prompt="A = Build package from raw data. B = Optimize existing prepared data." type="list">
      <formula1>"A,B"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topLeftCell="A8" workbookViewId="0">
      <selection activeCell="A24" sqref="A24"/>
    </sheetView>
  </sheetViews>
  <sheetFormatPr baseColWidth="8" defaultRowHeight="14.25"/>
  <cols>
    <col width="8.875" customWidth="1" style="156" min="1" max="1"/>
    <col width="30" customWidth="1" style="156" min="2" max="2"/>
    <col width="63" customWidth="1" style="156" min="3" max="3"/>
    <col width="11.125" customWidth="1" style="156" min="4" max="4"/>
    <col width="20.375" customWidth="1" style="156" min="5" max="5"/>
    <col width="36.5" customWidth="1" style="156" min="6" max="6"/>
    <col width="56" customWidth="1" style="156" min="7" max="7"/>
    <col width="41.125" customWidth="1" style="156" min="8" max="8"/>
  </cols>
  <sheetData>
    <row r="1" ht="42" customHeight="1" s="156">
      <c r="A1" s="170" t="inlineStr">
        <is>
          <t>1. Project, Files, Outputs, &amp; Optional Settings</t>
        </is>
      </c>
      <c r="B1" s="164" t="n"/>
      <c r="C1" s="164" t="n"/>
      <c r="D1" s="164" t="n"/>
      <c r="E1" s="164" t="n"/>
      <c r="F1" s="164" t="n"/>
      <c r="G1" s="164" t="n"/>
      <c r="H1" s="165" t="n"/>
      <c r="I1" s="2" t="n"/>
      <c r="J1" s="2" t="n"/>
      <c r="K1" s="2" t="n"/>
      <c r="L1" s="2" t="n"/>
    </row>
    <row r="2" ht="21.75" customHeight="1" s="156">
      <c r="A2" s="163" t="inlineStr">
        <is>
          <t>This sheet tells the script where everything is and what output to create.</t>
        </is>
      </c>
      <c r="B2" s="164" t="n"/>
      <c r="C2" s="164" t="n"/>
      <c r="D2" s="164" t="n"/>
      <c r="E2" s="164" t="n"/>
      <c r="F2" s="164" t="n"/>
      <c r="G2" s="164" t="n"/>
      <c r="H2" s="165" t="n"/>
      <c r="I2" s="2" t="n"/>
      <c r="J2" s="2" t="n"/>
      <c r="K2" s="2" t="n"/>
      <c r="L2" s="2" t="n"/>
    </row>
    <row r="3" ht="5.25" customHeight="1" s="156">
      <c r="A3" s="166">
        <f>IF(DataPrepChoice="B","Edit the purple Value cells highlighted for the prepared-data workflow.","Script 01 refreshes package paths after data prep; review project labels and outputs as needed.")</f>
        <v/>
      </c>
      <c r="B3" s="164" t="n"/>
      <c r="C3" s="164" t="n"/>
      <c r="D3" s="164" t="n"/>
      <c r="E3" s="164" t="n"/>
      <c r="F3" s="164" t="n"/>
      <c r="G3" s="164" t="n"/>
      <c r="H3" s="165" t="n"/>
      <c r="I3" s="2" t="n"/>
      <c r="J3" s="2" t="n"/>
      <c r="K3" s="2" t="n"/>
      <c r="L3" s="2" t="n"/>
    </row>
    <row r="4" ht="15" customHeight="1" s="156">
      <c r="A4" s="167" t="n"/>
      <c r="B4" s="168" t="n"/>
      <c r="C4" s="168" t="n"/>
      <c r="D4" s="168" t="n"/>
      <c r="E4" s="168" t="n"/>
      <c r="F4" s="168" t="n"/>
      <c r="G4" s="168" t="n"/>
      <c r="H4" s="169" t="n"/>
      <c r="I4" s="2" t="n"/>
      <c r="J4" s="2" t="n"/>
      <c r="K4" s="2" t="n"/>
      <c r="L4" s="2" t="n"/>
    </row>
    <row r="5" ht="21.75" customFormat="1" customHeight="1" s="16">
      <c r="A5" s="6" t="inlineStr">
        <is>
          <t>Section</t>
        </is>
      </c>
      <c r="B5" s="7" t="inlineStr">
        <is>
          <t>Setting</t>
        </is>
      </c>
      <c r="C5" s="7" t="inlineStr">
        <is>
          <t>Value</t>
        </is>
      </c>
      <c r="D5" s="7" t="inlineStr">
        <is>
          <t>Required-&gt;</t>
        </is>
      </c>
      <c r="E5" s="8" t="inlineStr">
        <is>
          <t>User Edits Needed-&gt;</t>
        </is>
      </c>
      <c r="F5" s="7" t="inlineStr">
        <is>
          <t>Python variable / config key</t>
        </is>
      </c>
      <c r="G5" s="8" t="inlineStr">
        <is>
          <t>What changes in the script behavior</t>
        </is>
      </c>
      <c r="H5" s="7" t="inlineStr">
        <is>
          <t>Example / Notes</t>
        </is>
      </c>
      <c r="I5" s="15" t="n"/>
      <c r="J5" s="15" t="n"/>
      <c r="K5" s="15" t="n"/>
      <c r="L5" s="15" t="n"/>
    </row>
    <row r="6" ht="15" customFormat="1" customHeight="1" s="5">
      <c r="A6" s="19" t="inlineStr">
        <is>
          <t>Project</t>
        </is>
      </c>
      <c r="B6" s="14" t="inlineStr">
        <is>
          <t>assessment_name</t>
        </is>
      </c>
      <c r="C6" s="67" t="inlineStr">
        <is>
          <t>CHANGE_ME_ASSESSMENT</t>
        </is>
      </c>
      <c r="D6" s="10" t="inlineStr">
        <is>
          <t>Y</t>
        </is>
      </c>
      <c r="E6" s="11" t="inlineStr">
        <is>
          <t>Y</t>
        </is>
      </c>
      <c r="F6" s="14" t="inlineStr">
        <is>
          <t>assessment_name</t>
        </is>
      </c>
      <c r="G6" s="11" t="inlineStr">
        <is>
          <t>Used for documentation/readability in output logs</t>
        </is>
      </c>
      <c r="H6" s="14" t="inlineStr">
        <is>
          <t>BASC-4 NB, CELF-6, KTEA-4</t>
        </is>
      </c>
      <c r="I6" s="4" t="n"/>
      <c r="J6" s="4" t="n"/>
      <c r="K6" s="4" t="n"/>
      <c r="L6" s="4" t="n"/>
    </row>
    <row r="7" ht="26.45" customHeight="1" s="156">
      <c r="A7" s="20" t="inlineStr">
        <is>
          <t>Project</t>
        </is>
      </c>
      <c r="B7" s="12" t="inlineStr">
        <is>
          <t>project_name</t>
        </is>
      </c>
      <c r="C7" s="66" t="inlineStr">
        <is>
          <t>CHANGE_ME_PROJECT</t>
        </is>
      </c>
      <c r="D7" s="12" t="inlineStr">
        <is>
          <t>Y</t>
        </is>
      </c>
      <c r="E7" s="13" t="inlineStr">
        <is>
          <t>Y</t>
        </is>
      </c>
      <c r="F7" s="12" t="inlineStr">
        <is>
          <t>project_name</t>
        </is>
      </c>
      <c r="G7" s="13" t="inlineStr">
        <is>
          <t>Used to label the run and documentation</t>
        </is>
      </c>
      <c r="H7" s="12" t="inlineStr">
        <is>
          <t>ADHD, ASD, Vocabulary, Formulated Sentences</t>
        </is>
      </c>
      <c r="I7" s="2" t="n"/>
      <c r="J7" s="2" t="n"/>
      <c r="K7" s="2" t="n"/>
      <c r="L7" s="2" t="n"/>
    </row>
    <row r="8" ht="26.45" customFormat="1" customHeight="1" s="5">
      <c r="A8" s="19" t="inlineStr">
        <is>
          <t>Project</t>
        </is>
      </c>
      <c r="B8" s="14" t="inlineStr">
        <is>
          <t>project_dir</t>
        </is>
      </c>
      <c r="C8" s="66" t="inlineStr">
        <is>
          <t>C:\Users\UFAVRLA\PythonProjects\StratificationOptimizer_App</t>
        </is>
      </c>
      <c r="D8" s="14" t="inlineStr">
        <is>
          <t>Y</t>
        </is>
      </c>
      <c r="E8" s="11" t="inlineStr">
        <is>
          <t>Y</t>
        </is>
      </c>
      <c r="F8" s="14" t="inlineStr">
        <is>
          <t>PROJECT_DIR</t>
        </is>
      </c>
      <c r="G8" s="11" t="inlineStr">
        <is>
          <t>All relative paths below are resolved from this folder</t>
        </is>
      </c>
      <c r="H8" s="14" t="inlineStr">
        <is>
          <t>Root folder for the project</t>
        </is>
      </c>
      <c r="I8" s="4" t="n"/>
      <c r="J8" s="4" t="n"/>
      <c r="K8" s="4" t="n"/>
      <c r="L8" s="4" t="n"/>
    </row>
    <row r="9" ht="15" customHeight="1" s="156">
      <c r="A9" s="20" t="inlineStr">
        <is>
          <t>Project</t>
        </is>
      </c>
      <c r="B9" s="12" t="inlineStr">
        <is>
          <t>run_label</t>
        </is>
      </c>
      <c r="C9" s="66" t="inlineStr">
        <is>
          <t>plug_play_test_run</t>
        </is>
      </c>
      <c r="D9" s="12" t="inlineStr">
        <is>
          <t>Y</t>
        </is>
      </c>
      <c r="E9" s="13" t="inlineStr">
        <is>
          <t>Y</t>
        </is>
      </c>
      <c r="F9" s="12" t="inlineStr">
        <is>
          <t>RUN_LABEL</t>
        </is>
      </c>
      <c r="G9" s="13" t="inlineStr">
        <is>
          <t>Added to the timestamped output folder name</t>
        </is>
      </c>
      <c r="H9" s="12" t="inlineStr">
        <is>
          <t>short_no_spaces_recommended</t>
        </is>
      </c>
      <c r="I9" s="2" t="n"/>
      <c r="J9" s="2" t="n"/>
      <c r="K9" s="2" t="n"/>
      <c r="L9" s="2" t="n"/>
    </row>
    <row r="10" ht="26.45" customFormat="1" customHeight="1" s="5">
      <c r="A10" s="19" t="inlineStr">
        <is>
          <t>Inputs</t>
        </is>
      </c>
      <c r="B10" s="14" t="inlineStr">
        <is>
          <t>master_sample_file</t>
        </is>
      </c>
      <c r="C10" s="66" t="inlineStr">
        <is>
          <t>inputs\master_sample\MASTER_SAMPLE.xlsx</t>
        </is>
      </c>
      <c r="D10" s="14" t="inlineStr">
        <is>
          <t>Y</t>
        </is>
      </c>
      <c r="E10" s="11" t="inlineStr">
        <is>
          <t>Y</t>
        </is>
      </c>
      <c r="F10" s="14" t="inlineStr">
        <is>
          <t>MASTER_SAMPLE_FILE</t>
        </is>
      </c>
      <c r="G10" s="11" t="inlineStr">
        <is>
          <t>Reads the current selected sample from this workbook</t>
        </is>
      </c>
      <c r="H10" s="14" t="inlineStr">
        <is>
          <t>Must contain the master sample sheet below</t>
        </is>
      </c>
      <c r="I10" s="4" t="n"/>
      <c r="J10" s="4" t="n"/>
      <c r="K10" s="4" t="n"/>
      <c r="L10" s="4" t="n"/>
    </row>
    <row r="11" ht="26.45" customHeight="1" s="156">
      <c r="A11" s="20" t="inlineStr">
        <is>
          <t>Inputs</t>
        </is>
      </c>
      <c r="B11" s="12" t="inlineStr">
        <is>
          <t>master_sample_sheet</t>
        </is>
      </c>
      <c r="C11" s="66" t="inlineStr">
        <is>
          <t>final_all</t>
        </is>
      </c>
      <c r="D11" s="12" t="inlineStr">
        <is>
          <t>Y</t>
        </is>
      </c>
      <c r="E11" s="13" t="inlineStr">
        <is>
          <t>Y</t>
        </is>
      </c>
      <c r="F11" s="12" t="inlineStr">
        <is>
          <t>master_sample_sheet</t>
        </is>
      </c>
      <c r="G11" s="13" t="inlineStr">
        <is>
          <t>Reads this sheet from the master sample workbook</t>
        </is>
      </c>
      <c r="H11" s="12" t="inlineStr">
        <is>
          <t>Default: final_all</t>
        </is>
      </c>
      <c r="I11" s="2" t="n"/>
      <c r="J11" s="2" t="n"/>
      <c r="K11" s="2" t="n"/>
      <c r="L11" s="2" t="n"/>
    </row>
    <row r="12" ht="26.45" customFormat="1" customHeight="1" s="5">
      <c r="A12" s="19" t="inlineStr">
        <is>
          <t>Inputs</t>
        </is>
      </c>
      <c r="B12" s="14" t="inlineStr">
        <is>
          <t>replacement_pool_dir</t>
        </is>
      </c>
      <c r="C12" s="66" t="inlineStr">
        <is>
          <t>inputs\replacement_pools</t>
        </is>
      </c>
      <c r="D12" s="14" t="inlineStr">
        <is>
          <t>Y</t>
        </is>
      </c>
      <c r="E12" s="11" t="inlineStr">
        <is>
          <t>Y</t>
        </is>
      </c>
      <c r="F12" s="14" t="inlineStr">
        <is>
          <t>QA_DIR / replacement_pool_dir</t>
        </is>
      </c>
      <c r="G12" s="11" t="inlineStr">
        <is>
          <t>Looks here for all replacement-pool workbooks listed on sheet 3</t>
        </is>
      </c>
      <c r="H12" s="14" t="inlineStr">
        <is>
          <t>Can be relative or full path</t>
        </is>
      </c>
      <c r="I12" s="4" t="n"/>
      <c r="J12" s="4" t="n"/>
      <c r="K12" s="4" t="n"/>
      <c r="L12" s="4" t="n"/>
    </row>
    <row r="13" ht="26.45" customHeight="1" s="156">
      <c r="A13" s="20" t="inlineStr">
        <is>
          <t>Inputs</t>
        </is>
      </c>
      <c r="B13" s="12" t="inlineStr">
        <is>
          <t>target_workbook</t>
        </is>
      </c>
      <c r="C13" s="66" t="inlineStr">
        <is>
          <t>inputs\targets\Demo _OSEP_Targets _Template.xlsx</t>
        </is>
      </c>
      <c r="D13" s="12" t="inlineStr">
        <is>
          <t>Y</t>
        </is>
      </c>
      <c r="E13" s="13" t="inlineStr">
        <is>
          <t>Y</t>
        </is>
      </c>
      <c r="F13" s="12" t="inlineStr">
        <is>
          <t>TARGET_WORKBOOK</t>
        </is>
      </c>
      <c r="G13" s="13" t="inlineStr">
        <is>
          <t>Reads clinical/OSEP and demographic targets from this workbook</t>
        </is>
      </c>
      <c r="H13" s="12" t="inlineStr">
        <is>
          <t>Existing stratification target workbook</t>
        </is>
      </c>
      <c r="I13" s="2" t="n"/>
      <c r="J13" s="2" t="n"/>
      <c r="K13" s="2" t="n"/>
      <c r="L13" s="2" t="n"/>
    </row>
    <row r="14" ht="15" customFormat="1" customHeight="1" s="5">
      <c r="A14" s="19" t="inlineStr">
        <is>
          <t>Inputs</t>
        </is>
      </c>
      <c r="B14" s="14" t="inlineStr">
        <is>
          <t>target_osep_sheet</t>
        </is>
      </c>
      <c r="C14" s="66" t="inlineStr">
        <is>
          <t>osep</t>
        </is>
      </c>
      <c r="D14" s="14" t="inlineStr">
        <is>
          <t>Y</t>
        </is>
      </c>
      <c r="E14" s="11" t="inlineStr">
        <is>
          <t>Y</t>
        </is>
      </c>
      <c r="F14" s="14" t="inlineStr">
        <is>
          <t>target_osep_sheet</t>
        </is>
      </c>
      <c r="G14" s="11" t="inlineStr">
        <is>
          <t>Reads clinical target rows from this sheet</t>
        </is>
      </c>
      <c r="H14" s="14" t="inlineStr">
        <is>
          <t>Default: osep</t>
        </is>
      </c>
      <c r="I14" s="4" t="n"/>
      <c r="J14" s="4" t="n"/>
      <c r="K14" s="4" t="n"/>
      <c r="L14" s="4" t="n"/>
    </row>
    <row r="15" ht="26.45" customHeight="1" s="156">
      <c r="A15" s="20" t="inlineStr">
        <is>
          <t>Outputs</t>
        </is>
      </c>
      <c r="B15" s="12" t="inlineStr">
        <is>
          <t>output_dir</t>
        </is>
      </c>
      <c r="C15" s="66" t="inlineStr">
        <is>
          <t>outputs</t>
        </is>
      </c>
      <c r="D15" s="12" t="inlineStr">
        <is>
          <t>Y</t>
        </is>
      </c>
      <c r="E15" s="13" t="inlineStr">
        <is>
          <t>Y</t>
        </is>
      </c>
      <c r="F15" s="12" t="inlineStr">
        <is>
          <t>RUN_DIR base</t>
        </is>
      </c>
      <c r="G15" s="13" t="inlineStr">
        <is>
          <t>Creates timestamped run folder under this location</t>
        </is>
      </c>
      <c r="H15" s="12" t="inlineStr">
        <is>
          <t>Output folder root</t>
        </is>
      </c>
      <c r="I15" s="2" t="n"/>
      <c r="J15" s="2" t="n"/>
      <c r="K15" s="2" t="n"/>
      <c r="L15" s="2" t="n"/>
    </row>
    <row r="16" ht="15" customFormat="1" customHeight="1" s="5">
      <c r="A16" s="19" t="inlineStr">
        <is>
          <t>Outputs</t>
        </is>
      </c>
      <c r="B16" s="14" t="inlineStr">
        <is>
          <t>output_workbook_name</t>
        </is>
      </c>
      <c r="C16" s="66" t="inlineStr">
        <is>
          <t>optimized_sample_output.xlsx</t>
        </is>
      </c>
      <c r="D16" s="14" t="inlineStr">
        <is>
          <t>Y</t>
        </is>
      </c>
      <c r="E16" s="11" t="inlineStr">
        <is>
          <t>Y</t>
        </is>
      </c>
      <c r="F16" s="14" t="inlineStr">
        <is>
          <t>OUTPUT_WORKBOOK</t>
        </is>
      </c>
      <c r="G16" s="11" t="inlineStr">
        <is>
          <t>Names the final optimized output workbook</t>
        </is>
      </c>
      <c r="H16" s="14" t="inlineStr">
        <is>
          <t>Final Excel output file</t>
        </is>
      </c>
      <c r="I16" s="4" t="n"/>
      <c r="J16" s="4" t="n"/>
      <c r="K16" s="4" t="n"/>
      <c r="L16" s="4" t="n"/>
    </row>
    <row r="17" ht="15" customHeight="1" s="156">
      <c r="A17" s="20" t="inlineStr">
        <is>
          <t>Outputs</t>
        </is>
      </c>
      <c r="B17" s="12" t="inlineStr">
        <is>
          <t>optimized_sample</t>
        </is>
      </c>
      <c r="C17" s="66" t="inlineStr">
        <is>
          <t>Y</t>
        </is>
      </c>
      <c r="D17" s="12" t="inlineStr">
        <is>
          <t>Y</t>
        </is>
      </c>
      <c r="E17" s="13" t="inlineStr">
        <is>
          <t>Y</t>
        </is>
      </c>
      <c r="F17" s="12" t="inlineStr">
        <is>
          <t>output_options.optimized_sample</t>
        </is>
      </c>
      <c r="G17" s="13" t="inlineStr">
        <is>
          <t>Writes final selected sample after swaps</t>
        </is>
      </c>
      <c r="H17" s="12" t="inlineStr">
        <is>
          <t>Recommended Y</t>
        </is>
      </c>
      <c r="I17" s="2" t="n"/>
      <c r="J17" s="2" t="n"/>
      <c r="K17" s="2" t="n"/>
      <c r="L17" s="2" t="n"/>
    </row>
    <row r="18" ht="15" customFormat="1" customHeight="1" s="5">
      <c r="A18" s="19" t="inlineStr">
        <is>
          <t>Outputs</t>
        </is>
      </c>
      <c r="B18" s="14" t="inlineStr">
        <is>
          <t>swap_pairs</t>
        </is>
      </c>
      <c r="C18" s="66" t="inlineStr">
        <is>
          <t>Y</t>
        </is>
      </c>
      <c r="D18" s="14" t="inlineStr">
        <is>
          <t>Y</t>
        </is>
      </c>
      <c r="E18" s="11" t="inlineStr">
        <is>
          <t>Y</t>
        </is>
      </c>
      <c r="F18" s="14" t="inlineStr">
        <is>
          <t>output_options.swap_pairs</t>
        </is>
      </c>
      <c r="G18" s="11" t="inlineStr">
        <is>
          <t>Writes selected swaps</t>
        </is>
      </c>
      <c r="H18" s="14" t="inlineStr">
        <is>
          <t>Recommended Y</t>
        </is>
      </c>
      <c r="I18" s="4" t="n"/>
      <c r="J18" s="4" t="n"/>
      <c r="K18" s="4" t="n"/>
      <c r="L18" s="4" t="n"/>
    </row>
    <row r="19" ht="15" customHeight="1" s="156">
      <c r="A19" s="20" t="inlineStr">
        <is>
          <t>Outputs</t>
        </is>
      </c>
      <c r="B19" s="12" t="inlineStr">
        <is>
          <t>all_candidate_swaps</t>
        </is>
      </c>
      <c r="C19" s="66" t="inlineStr">
        <is>
          <t>Y</t>
        </is>
      </c>
      <c r="D19" s="12" t="inlineStr">
        <is>
          <t>N</t>
        </is>
      </c>
      <c r="E19" s="13" t="inlineStr">
        <is>
          <t>Y</t>
        </is>
      </c>
      <c r="F19" s="12" t="inlineStr">
        <is>
          <t>output_options.all_candidate_swaps</t>
        </is>
      </c>
      <c r="G19" s="13" t="inlineStr">
        <is>
          <t>Writes candidate swap graph; can be large</t>
        </is>
      </c>
      <c r="H19" s="12" t="inlineStr">
        <is>
          <t>Set N for smaller outputs</t>
        </is>
      </c>
      <c r="I19" s="2" t="n"/>
      <c r="J19" s="2" t="n"/>
      <c r="K19" s="2" t="n"/>
      <c r="L19" s="2" t="n"/>
    </row>
    <row r="20" ht="15" customFormat="1" customHeight="1" s="5">
      <c r="A20" s="19" t="inlineStr">
        <is>
          <t>Outputs</t>
        </is>
      </c>
      <c r="B20" s="14" t="inlineStr">
        <is>
          <t>osep_table</t>
        </is>
      </c>
      <c r="C20" s="66" t="inlineStr">
        <is>
          <t>Y</t>
        </is>
      </c>
      <c r="D20" s="14" t="inlineStr">
        <is>
          <t>Y</t>
        </is>
      </c>
      <c r="E20" s="11" t="inlineStr">
        <is>
          <t>Y</t>
        </is>
      </c>
      <c r="F20" s="14" t="inlineStr">
        <is>
          <t>output_options.osep_table</t>
        </is>
      </c>
      <c r="G20" s="11" t="inlineStr">
        <is>
          <t>Writes clinical/OSEP summary</t>
        </is>
      </c>
      <c r="H20" s="14" t="inlineStr">
        <is>
          <t>Recommended Y</t>
        </is>
      </c>
      <c r="I20" s="4" t="n"/>
      <c r="J20" s="4" t="n"/>
      <c r="K20" s="4" t="n"/>
      <c r="L20" s="4" t="n"/>
    </row>
    <row r="21" ht="15" customHeight="1" s="156">
      <c r="A21" s="20" t="inlineStr">
        <is>
          <t>Outputs</t>
        </is>
      </c>
      <c r="B21" s="12" t="inlineStr">
        <is>
          <t>demo_tables</t>
        </is>
      </c>
      <c r="C21" s="66" t="inlineStr">
        <is>
          <t>Y</t>
        </is>
      </c>
      <c r="D21" s="12" t="inlineStr">
        <is>
          <t>Y</t>
        </is>
      </c>
      <c r="E21" s="13" t="inlineStr">
        <is>
          <t>Y</t>
        </is>
      </c>
      <c r="F21" s="12" t="inlineStr">
        <is>
          <t>output_options.demo_tables</t>
        </is>
      </c>
      <c r="G21" s="13" t="inlineStr">
        <is>
          <t>Writes demographic target summaries</t>
        </is>
      </c>
      <c r="H21" s="12" t="inlineStr">
        <is>
          <t>Recommended Y</t>
        </is>
      </c>
      <c r="I21" s="2" t="n"/>
      <c r="J21" s="2" t="n"/>
      <c r="K21" s="2" t="n"/>
      <c r="L21" s="2" t="n"/>
    </row>
    <row r="22" ht="15" customFormat="1" customHeight="1" s="5">
      <c r="A22" s="19" t="inlineStr">
        <is>
          <t>Outputs</t>
        </is>
      </c>
      <c r="B22" s="14" t="inlineStr">
        <is>
          <t>sex_balance</t>
        </is>
      </c>
      <c r="C22" s="66" t="inlineStr">
        <is>
          <t>Y</t>
        </is>
      </c>
      <c r="D22" s="14" t="inlineStr">
        <is>
          <t>Y</t>
        </is>
      </c>
      <c r="E22" s="11" t="inlineStr">
        <is>
          <t>Y</t>
        </is>
      </c>
      <c r="F22" s="14" t="inlineStr">
        <is>
          <t>output_options.sex_balance</t>
        </is>
      </c>
      <c r="G22" s="11" t="inlineStr">
        <is>
          <t>Writes exact-sex-balance QA sheet</t>
        </is>
      </c>
      <c r="H22" s="14" t="inlineStr">
        <is>
          <t>Relevant if sex balance enabled</t>
        </is>
      </c>
      <c r="I22" s="4" t="n"/>
      <c r="J22" s="4" t="n"/>
      <c r="K22" s="4" t="n"/>
      <c r="L22" s="4" t="n"/>
    </row>
    <row r="23" ht="15" customHeight="1" s="156">
      <c r="A23" s="20" t="inlineStr">
        <is>
          <t>Outputs</t>
        </is>
      </c>
      <c r="B23" s="12" t="inlineStr">
        <is>
          <t>read_log</t>
        </is>
      </c>
      <c r="C23" s="66" t="inlineStr">
        <is>
          <t>Y</t>
        </is>
      </c>
      <c r="D23" s="12" t="inlineStr">
        <is>
          <t>Y</t>
        </is>
      </c>
      <c r="E23" s="13" t="inlineStr">
        <is>
          <t>Y</t>
        </is>
      </c>
      <c r="F23" s="12" t="inlineStr">
        <is>
          <t>output_options.read_log</t>
        </is>
      </c>
      <c r="G23" s="13" t="inlineStr">
        <is>
          <t>Writes input file audit trail</t>
        </is>
      </c>
      <c r="H23" s="12" t="inlineStr">
        <is>
          <t>Recommended Y</t>
        </is>
      </c>
      <c r="I23" s="2" t="n"/>
      <c r="J23" s="2" t="n"/>
      <c r="K23" s="2" t="n"/>
      <c r="L23" s="2" t="n"/>
    </row>
    <row r="24" ht="26.45" customFormat="1" customHeight="1" s="5">
      <c r="A24" s="19" t="inlineStr">
        <is>
          <t>Optional</t>
        </is>
      </c>
      <c r="B24" s="14" t="inlineStr">
        <is>
          <t>max_candidate_adds_per_remove</t>
        </is>
      </c>
      <c r="C24" s="66" t="n">
        <v>40</v>
      </c>
      <c r="D24" s="14" t="inlineStr">
        <is>
          <t>Y</t>
        </is>
      </c>
      <c r="E24" s="11" t="inlineStr">
        <is>
          <t>Optional</t>
        </is>
      </c>
      <c r="F24" s="14" t="inlineStr">
        <is>
          <t>MAX_CANDIDATE_ADDS_PER_REMOVE</t>
        </is>
      </c>
      <c r="G24" s="11" t="inlineStr">
        <is>
          <t>Controls how many add candidates are kept per remove case</t>
        </is>
      </c>
      <c r="H24" s="14" t="inlineStr">
        <is>
          <t>Higher = broader search but slower</t>
        </is>
      </c>
      <c r="I24" s="4" t="n"/>
      <c r="J24" s="4" t="n"/>
      <c r="K24" s="4" t="n"/>
      <c r="L24" s="4" t="n"/>
    </row>
    <row r="25" ht="15" customHeight="1" s="156">
      <c r="A25" s="20" t="inlineStr">
        <is>
          <t>Optional</t>
        </is>
      </c>
      <c r="B25" s="12" t="inlineStr">
        <is>
          <t>max_solver_seconds</t>
        </is>
      </c>
      <c r="C25" s="66" t="n">
        <v>900</v>
      </c>
      <c r="D25" s="12" t="inlineStr">
        <is>
          <t>Y</t>
        </is>
      </c>
      <c r="E25" s="13" t="inlineStr">
        <is>
          <t>Optional</t>
        </is>
      </c>
      <c r="F25" s="12" t="inlineStr">
        <is>
          <t>MAX_SOLVER_SECONDS</t>
        </is>
      </c>
      <c r="G25" s="13" t="inlineStr">
        <is>
          <t>Maximum CP-SAT solver runtime</t>
        </is>
      </c>
      <c r="H25" s="12" t="inlineStr">
        <is>
          <t>900 seconds default</t>
        </is>
      </c>
      <c r="I25" s="2" t="n"/>
      <c r="J25" s="2" t="n"/>
      <c r="K25" s="2" t="n"/>
      <c r="L25" s="2" t="n"/>
    </row>
    <row r="26" ht="15" customFormat="1" customHeight="1" s="5">
      <c r="A26" s="19" t="inlineStr">
        <is>
          <t>Optional</t>
        </is>
      </c>
      <c r="B26" s="14" t="inlineStr">
        <is>
          <t>num_workers</t>
        </is>
      </c>
      <c r="C26" s="66" t="n">
        <v>8</v>
      </c>
      <c r="D26" s="14" t="inlineStr">
        <is>
          <t>Y</t>
        </is>
      </c>
      <c r="E26" s="11" t="inlineStr">
        <is>
          <t>Optional</t>
        </is>
      </c>
      <c r="F26" s="14" t="inlineStr">
        <is>
          <t>NUM_WORKERS</t>
        </is>
      </c>
      <c r="G26" s="11" t="inlineStr">
        <is>
          <t>Parallel solver workers</t>
        </is>
      </c>
      <c r="H26" s="14" t="inlineStr">
        <is>
          <t>Usually 4–8</t>
        </is>
      </c>
      <c r="I26" s="4" t="n"/>
      <c r="J26" s="4" t="n"/>
      <c r="K26" s="4" t="n"/>
      <c r="L26" s="4" t="n"/>
    </row>
    <row r="27" ht="17.25" customHeight="1" s="156">
      <c r="A27" s="20" t="inlineStr">
        <is>
          <t>Optional</t>
        </is>
      </c>
      <c r="B27" s="12" t="inlineStr">
        <is>
          <t>scale</t>
        </is>
      </c>
      <c r="C27" s="66" t="n">
        <v>1000</v>
      </c>
      <c r="D27" s="12" t="inlineStr">
        <is>
          <t>Y</t>
        </is>
      </c>
      <c r="E27" s="13" t="inlineStr">
        <is>
          <t>Optional</t>
        </is>
      </c>
      <c r="F27" s="12" t="inlineStr">
        <is>
          <t>SCALE</t>
        </is>
      </c>
      <c r="G27" s="13" t="inlineStr">
        <is>
          <t>Integer scaling for percentage constraints/objective</t>
        </is>
      </c>
      <c r="H27" s="12" t="inlineStr">
        <is>
          <t>Do not change unless needed</t>
        </is>
      </c>
      <c r="I27" s="2" t="n"/>
      <c r="J27" s="2" t="n"/>
      <c r="K27" s="2" t="n"/>
      <c r="L27" s="2" t="n"/>
    </row>
    <row r="28" ht="15" customFormat="1" customHeight="1" s="5">
      <c r="A28" s="21" t="inlineStr">
        <is>
          <t>Optional</t>
        </is>
      </c>
      <c r="B28" s="17" t="inlineStr">
        <is>
          <t>fail_if_hard_constraints_impossible</t>
        </is>
      </c>
      <c r="C28" s="70" t="inlineStr">
        <is>
          <t>Y</t>
        </is>
      </c>
      <c r="D28" s="17" t="inlineStr">
        <is>
          <t>Y</t>
        </is>
      </c>
      <c r="E28" s="18" t="inlineStr">
        <is>
          <t>Optional</t>
        </is>
      </c>
      <c r="F28" s="17" t="inlineStr">
        <is>
          <t>fail_if_hard_constraints_impossible</t>
        </is>
      </c>
      <c r="G28" s="18" t="inlineStr">
        <is>
          <t>Stops run if hard constraints cannot be met</t>
        </is>
      </c>
      <c r="H28" s="17" t="inlineStr">
        <is>
          <t>Recommended Y</t>
        </is>
      </c>
      <c r="I28" s="4" t="n"/>
      <c r="J28" s="4" t="n"/>
      <c r="K28" s="4" t="n"/>
      <c r="L28" s="4" t="n"/>
    </row>
    <row r="29" ht="15" customHeight="1" s="156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15" customHeight="1" s="156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15" customHeight="1" s="15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15" customHeight="1" s="15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5" customHeight="1" s="15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5" customHeight="1" s="15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5" customHeight="1" s="156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5" customHeight="1" s="15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5" customHeight="1" s="156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5" customHeight="1" s="156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15" customHeight="1" s="156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15" customHeight="1" s="15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15" customHeight="1" s="15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15" customHeight="1" s="15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15" customHeight="1" s="15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15" customHeight="1" s="15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15" customHeight="1" s="15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15" customHeight="1" s="15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15" customHeight="1" s="15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15" customHeight="1" s="15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 ht="15" customHeight="1" s="15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15" customHeight="1" s="15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15" customHeight="1" s="15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15" customHeight="1" s="15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15" customHeight="1" s="15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 ht="15" customHeight="1" s="15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15" customHeight="1" s="15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15" customHeight="1" s="1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 ht="15" customHeight="1" s="15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 ht="15" customHeight="1" s="15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15" customHeight="1" s="15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 ht="15" customHeight="1" s="15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 ht="15" customHeight="1" s="15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15" customHeight="1" s="15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 ht="15" customHeight="1" s="15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15" customHeight="1" s="15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15" customHeight="1" s="15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15" customHeight="1" s="15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15" customHeight="1" s="15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 ht="15" customHeight="1" s="15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15" customHeight="1" s="15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15" customHeight="1" s="15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15" customHeight="1" s="15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15" customHeight="1" s="15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 ht="15" customHeight="1" s="15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 ht="15" customHeight="1" s="15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 ht="15" customHeight="1" s="15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 ht="15" customHeight="1" s="15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 ht="15" customHeight="1" s="15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 ht="15" customHeight="1" s="15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 ht="15" customHeight="1" s="15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 ht="15" customHeight="1" s="15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 ht="15" customHeight="1" s="15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 ht="15" customHeight="1" s="15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 ht="15" customHeight="1" s="15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 ht="15" customHeight="1" s="15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 ht="15" customHeight="1" s="15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 ht="15" customHeight="1" s="15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 ht="15" customHeight="1" s="15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 ht="15" customHeight="1" s="15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 ht="15" customHeight="1" s="15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 ht="15" customHeight="1" s="15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 ht="15" customHeight="1" s="15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 ht="15" customHeight="1" s="15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 ht="15" customHeight="1" s="15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 ht="15" customHeight="1" s="15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 ht="15" customHeight="1" s="15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 ht="15" customHeight="1" s="15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 ht="15" customHeight="1" s="15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 ht="15" customHeight="1" s="15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 ht="15" customHeight="1" s="15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</sheetData>
  <mergeCells count="3">
    <mergeCell ref="A2:H2"/>
    <mergeCell ref="A3:H4"/>
    <mergeCell ref="A1:H1"/>
  </mergeCells>
  <conditionalFormatting sqref="C6:C23">
    <cfRule type="expression" priority="6" dxfId="0">
      <formula>DataPrepChoice="B"</formula>
    </cfRule>
  </conditionalFormatting>
  <conditionalFormatting sqref="C8">
    <cfRule type="expression" priority="7" dxfId="3">
      <formula>DataPrepChoice="A"</formula>
    </cfRule>
  </conditionalFormatting>
  <conditionalFormatting sqref="C10">
    <cfRule type="expression" priority="8" dxfId="3">
      <formula>DataPrepChoice="A"</formula>
    </cfRule>
  </conditionalFormatting>
  <conditionalFormatting sqref="C12:C13">
    <cfRule type="expression" priority="9" dxfId="3">
      <formula>DataPrepChoice="A"</formula>
    </cfRule>
  </conditionalFormatting>
  <conditionalFormatting sqref="C15">
    <cfRule type="expression" priority="10" dxfId="3">
      <formula>DataPrepChoice="A"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:J1"/>
    </sheetView>
  </sheetViews>
  <sheetFormatPr baseColWidth="8" defaultRowHeight="14.25"/>
  <cols>
    <col width="19.375" customWidth="1" style="156" min="1" max="1"/>
    <col width="32" customWidth="1" style="156" min="2" max="2"/>
    <col width="33.625" customWidth="1" style="156" min="3" max="3"/>
    <col width="10.5" customWidth="1" style="156" min="4" max="4"/>
    <col width="11.375" customWidth="1" style="156" min="5" max="5"/>
    <col width="48.375" customWidth="1" style="156" min="6" max="6"/>
    <col width="38.875" customWidth="1" style="156" min="7" max="7"/>
    <col width="21.25" customWidth="1" style="156" min="8" max="8"/>
    <col width="17.375" customWidth="1" style="156" min="9" max="9"/>
    <col width="49.25" customWidth="1" style="156" min="10" max="10"/>
  </cols>
  <sheetData>
    <row r="1" ht="43.5" customHeight="1" s="156">
      <c r="A1" s="170" t="inlineStr">
        <is>
          <t>2. Data Map: Python Names ↔ Raw Data Names</t>
        </is>
      </c>
      <c r="B1" s="164" t="n"/>
      <c r="C1" s="164" t="n"/>
      <c r="D1" s="164" t="n"/>
      <c r="E1" s="164" t="n"/>
      <c r="F1" s="164" t="n"/>
      <c r="G1" s="164" t="n"/>
      <c r="H1" s="164" t="n"/>
      <c r="I1" s="164" t="n"/>
      <c r="J1" s="165" t="n"/>
    </row>
    <row r="2" ht="20.25" customHeight="1" s="156">
      <c r="A2" s="172" t="inlineStr">
        <is>
          <t xml:space="preserve">This is the translation layer. </t>
        </is>
      </c>
      <c r="B2" s="168" t="n"/>
      <c r="C2" s="168" t="n"/>
      <c r="D2" s="168" t="n"/>
      <c r="E2" s="168" t="n"/>
      <c r="F2" s="168" t="n"/>
      <c r="G2" s="168" t="n"/>
      <c r="H2" s="168" t="n"/>
      <c r="I2" s="168" t="n"/>
      <c r="J2" s="169" t="n"/>
    </row>
    <row r="3" ht="18" customHeight="1" s="156">
      <c r="A3" s="171">
        <f>IF(DataPrepChoice="B","Edit the purple variable-name cells for the prepared-data workflow.","Review variable names if raw/source columns changed; prep can use these as the package mapping guide.")</f>
        <v/>
      </c>
      <c r="B3" s="168" t="n"/>
      <c r="C3" s="168" t="n"/>
      <c r="D3" s="168" t="n"/>
      <c r="E3" s="168" t="n"/>
      <c r="F3" s="168" t="n"/>
      <c r="G3" s="168" t="n"/>
      <c r="H3" s="168" t="n"/>
      <c r="I3" s="168" t="n"/>
      <c r="J3" s="169" t="n"/>
    </row>
    <row r="4" ht="23.25" customFormat="1" customHeight="1" s="9">
      <c r="A4" s="6" t="inlineStr">
        <is>
          <t>Variable Category</t>
        </is>
      </c>
      <c r="B4" s="25" t="inlineStr">
        <is>
          <t>Variable Name: In Python</t>
        </is>
      </c>
      <c r="C4" s="29" t="inlineStr">
        <is>
          <t>Variable Name:  In Raw Data</t>
        </is>
      </c>
      <c r="D4" s="28" t="inlineStr">
        <is>
          <t>Enabled-&gt;</t>
        </is>
      </c>
      <c r="E4" s="8" t="inlineStr">
        <is>
          <t>Required-&gt;</t>
        </is>
      </c>
      <c r="F4" s="7" t="inlineStr">
        <is>
          <t>Purpose</t>
        </is>
      </c>
      <c r="G4" s="8" t="inlineStr">
        <is>
          <t>Notes</t>
        </is>
      </c>
      <c r="H4" s="7" t="inlineStr">
        <is>
          <t>Expected Data Type</t>
        </is>
      </c>
      <c r="I4" s="7" t="inlineStr">
        <is>
          <t>Example Values</t>
        </is>
      </c>
      <c r="J4" s="7" t="inlineStr">
        <is>
          <t>What to change for a new assessment</t>
        </is>
      </c>
    </row>
    <row r="5" ht="26.45" customHeight="1" s="156">
      <c r="A5" s="19" t="inlineStr">
        <is>
          <t>Case ID</t>
        </is>
      </c>
      <c r="B5" s="26" t="inlineStr">
        <is>
          <t>CASE_ID / teid</t>
        </is>
      </c>
      <c r="C5" s="64" t="inlineStr">
        <is>
          <t>teid</t>
        </is>
      </c>
      <c r="D5" s="22" t="inlineStr">
        <is>
          <t>Y</t>
        </is>
      </c>
      <c r="E5" s="11" t="inlineStr">
        <is>
          <t>Y</t>
        </is>
      </c>
      <c r="F5" s="14" t="inlineStr">
        <is>
          <t>Unique IDs; duplicate prevention; selected swap pairs</t>
        </is>
      </c>
      <c r="G5" s="11" t="inlineStr">
        <is>
          <t>Must be unique in final sample</t>
        </is>
      </c>
      <c r="H5" s="14" t="inlineStr">
        <is>
          <t>text/integer</t>
        </is>
      </c>
      <c r="I5" s="14" t="inlineStr">
        <is>
          <t>604440</t>
        </is>
      </c>
      <c r="J5" s="14" t="inlineStr">
        <is>
          <t>Change to your unique case/person ID column</t>
        </is>
      </c>
    </row>
    <row r="6" ht="26.45" customHeight="1" s="156">
      <c r="A6" s="20" t="inlineStr">
        <is>
          <t>Form</t>
        </is>
      </c>
      <c r="B6" s="27" t="inlineStr">
        <is>
          <t>FORM / vform</t>
        </is>
      </c>
      <c r="C6" s="68" t="inlineStr">
        <is>
          <t>vform</t>
        </is>
      </c>
      <c r="D6" s="23" t="inlineStr">
        <is>
          <t>Y</t>
        </is>
      </c>
      <c r="E6" s="13" t="inlineStr">
        <is>
          <t>Y</t>
        </is>
      </c>
      <c r="F6" s="12" t="inlineStr">
        <is>
          <t>Form/rater grouping and form-level OSEP targets</t>
        </is>
      </c>
      <c r="G6" s="13" t="inlineStr">
        <is>
          <t>Output groups are based on this</t>
        </is>
      </c>
      <c r="H6" s="12" t="inlineStr">
        <is>
          <t>text</t>
        </is>
      </c>
      <c r="I6" s="12" t="inlineStr">
        <is>
          <t>TRS_C, PRS_A</t>
        </is>
      </c>
      <c r="J6" s="12" t="inlineStr">
        <is>
          <t>Change to your form/rater/version column</t>
        </is>
      </c>
    </row>
    <row r="7" ht="15" customHeight="1" s="156">
      <c r="A7" s="19" t="inlineStr">
        <is>
          <t>Age group</t>
        </is>
      </c>
      <c r="B7" s="26" t="inlineStr">
        <is>
          <t>AGE_GROUP / agegrp</t>
        </is>
      </c>
      <c r="C7" s="68" t="inlineStr">
        <is>
          <t>agegrp</t>
        </is>
      </c>
      <c r="D7" s="24" t="inlineStr">
        <is>
          <t>Y</t>
        </is>
      </c>
      <c r="E7" s="11" t="inlineStr">
        <is>
          <t>Y</t>
        </is>
      </c>
      <c r="F7" s="14" t="inlineStr">
        <is>
          <t>Age-cell constraints and replacement-pool matching</t>
        </is>
      </c>
      <c r="G7" s="11" t="inlineStr">
        <is>
          <t>Usually integer-coded</t>
        </is>
      </c>
      <c r="H7" s="14" t="inlineStr">
        <is>
          <t>integer</t>
        </is>
      </c>
      <c r="I7" s="14" t="inlineStr">
        <is>
          <t>3, 4, 5, 6</t>
        </is>
      </c>
      <c r="J7" s="14" t="inlineStr">
        <is>
          <t>Change to your age band/cell column</t>
        </is>
      </c>
    </row>
    <row r="8" ht="26.45" customHeight="1" s="156">
      <c r="A8" s="20" t="inlineStr">
        <is>
          <t>Age year</t>
        </is>
      </c>
      <c r="B8" s="27" t="inlineStr">
        <is>
          <t>AGE_YEAR / agey</t>
        </is>
      </c>
      <c r="C8" s="68" t="inlineStr">
        <is>
          <t>agey</t>
        </is>
      </c>
      <c r="D8" s="23" t="inlineStr">
        <is>
          <t>Y</t>
        </is>
      </c>
      <c r="E8" s="13" t="inlineStr">
        <is>
          <t>N</t>
        </is>
      </c>
      <c r="F8" s="12" t="inlineStr">
        <is>
          <t>By-age output sheet only</t>
        </is>
      </c>
      <c r="G8" s="13" t="inlineStr">
        <is>
          <t>Optional</t>
        </is>
      </c>
      <c r="H8" s="12" t="inlineStr">
        <is>
          <t>numeric</t>
        </is>
      </c>
      <c r="I8" s="12" t="inlineStr">
        <is>
          <t>6–18</t>
        </is>
      </c>
      <c r="J8" s="12" t="inlineStr">
        <is>
          <t>Use your age-in-years column if available</t>
        </is>
      </c>
    </row>
    <row r="9" ht="15" customHeight="1" s="156">
      <c r="A9" s="19" t="inlineStr">
        <is>
          <t>Demographic</t>
        </is>
      </c>
      <c r="B9" s="26" t="inlineStr">
        <is>
          <t>DEMO_COLS</t>
        </is>
      </c>
      <c r="C9" s="68" t="inlineStr">
        <is>
          <t>sex</t>
        </is>
      </c>
      <c r="D9" s="24" t="inlineStr">
        <is>
          <t>Y</t>
        </is>
      </c>
      <c r="E9" s="11" t="inlineStr">
        <is>
          <t>Y</t>
        </is>
      </c>
      <c r="F9" s="14" t="inlineStr">
        <is>
          <t>Sex balance and/or same-sex locks</t>
        </is>
      </c>
      <c r="G9" s="11" t="inlineStr">
        <is>
          <t>Needed for exact sex balance</t>
        </is>
      </c>
      <c r="H9" s="14" t="inlineStr">
        <is>
          <t>text</t>
        </is>
      </c>
      <c r="I9" s="14" t="inlineStr">
        <is>
          <t>F, M</t>
        </is>
      </c>
      <c r="J9" s="14" t="inlineStr">
        <is>
          <t>Change to your sex/gender column</t>
        </is>
      </c>
    </row>
    <row r="10" ht="15" customHeight="1" s="156">
      <c r="A10" s="20" t="inlineStr">
        <is>
          <t>Demographic</t>
        </is>
      </c>
      <c r="B10" s="27" t="inlineStr">
        <is>
          <t>DEMO_COLS</t>
        </is>
      </c>
      <c r="C10" s="68" t="inlineStr">
        <is>
          <t>eth</t>
        </is>
      </c>
      <c r="D10" s="23" t="inlineStr">
        <is>
          <t>Y</t>
        </is>
      </c>
      <c r="E10" s="13" t="inlineStr">
        <is>
          <t>N</t>
        </is>
      </c>
      <c r="F10" s="12" t="inlineStr">
        <is>
          <t>Census/demo target deviation</t>
        </is>
      </c>
      <c r="G10" s="13" t="inlineStr">
        <is>
          <t>Values must match target workbook coding</t>
        </is>
      </c>
      <c r="H10" s="12" t="inlineStr">
        <is>
          <t>text</t>
        </is>
      </c>
      <c r="I10" s="12" t="inlineStr">
        <is>
          <t>H, NH, BL</t>
        </is>
      </c>
      <c r="J10" s="12" t="inlineStr">
        <is>
          <t>Change to ethnicity/race variable if applicable</t>
        </is>
      </c>
    </row>
    <row r="11" ht="15" customHeight="1" s="156">
      <c r="A11" s="19" t="inlineStr">
        <is>
          <t>Demographic</t>
        </is>
      </c>
      <c r="B11" s="26" t="inlineStr">
        <is>
          <t>DEMO_COLS</t>
        </is>
      </c>
      <c r="C11" s="68" t="inlineStr">
        <is>
          <t>edl</t>
        </is>
      </c>
      <c r="D11" s="24" t="inlineStr">
        <is>
          <t>Y</t>
        </is>
      </c>
      <c r="E11" s="11" t="inlineStr">
        <is>
          <t>N</t>
        </is>
      </c>
      <c r="F11" s="14" t="inlineStr">
        <is>
          <t>Census/demo target deviation</t>
        </is>
      </c>
      <c r="G11" s="11" t="inlineStr">
        <is>
          <t>Optional</t>
        </is>
      </c>
      <c r="H11" s="14" t="inlineStr">
        <is>
          <t>text/integer</t>
        </is>
      </c>
      <c r="I11" s="14" t="inlineStr">
        <is>
          <t>1, 2, 3, 4</t>
        </is>
      </c>
      <c r="J11" s="14" t="inlineStr">
        <is>
          <t>Change to education/SES variable if applicable</t>
        </is>
      </c>
    </row>
    <row r="12" ht="15" customHeight="1" s="156">
      <c r="A12" s="20" t="inlineStr">
        <is>
          <t>Demographic</t>
        </is>
      </c>
      <c r="B12" s="27" t="inlineStr">
        <is>
          <t>DEMO_COLS</t>
        </is>
      </c>
      <c r="C12" s="68" t="inlineStr">
        <is>
          <t>region</t>
        </is>
      </c>
      <c r="D12" s="23" t="inlineStr">
        <is>
          <t>Y</t>
        </is>
      </c>
      <c r="E12" s="13" t="inlineStr">
        <is>
          <t>N</t>
        </is>
      </c>
      <c r="F12" s="12" t="inlineStr">
        <is>
          <t>Census/demo target deviation</t>
        </is>
      </c>
      <c r="G12" s="13" t="inlineStr">
        <is>
          <t>Optional</t>
        </is>
      </c>
      <c r="H12" s="12" t="inlineStr">
        <is>
          <t>text/integer</t>
        </is>
      </c>
      <c r="I12" s="12" t="inlineStr">
        <is>
          <t>NE, MW, S, W</t>
        </is>
      </c>
      <c r="J12" s="12" t="inlineStr">
        <is>
          <t>Change to region variable if applicable</t>
        </is>
      </c>
    </row>
    <row r="13" ht="15" customHeight="1" s="156">
      <c r="A13" s="19" t="inlineStr">
        <is>
          <t>Clinical flag</t>
        </is>
      </c>
      <c r="B13" s="26" t="inlineStr">
        <is>
          <t>OSEP_COMPONENT_FLAG_COLS</t>
        </is>
      </c>
      <c r="C13" s="68" t="inlineStr">
        <is>
          <t>tmp_ADHD</t>
        </is>
      </c>
      <c r="D13" s="24" t="inlineStr">
        <is>
          <t>Y</t>
        </is>
      </c>
      <c r="E13" s="11" t="inlineStr">
        <is>
          <t>N</t>
        </is>
      </c>
      <c r="F13" s="14" t="inlineStr">
        <is>
          <t>Primary or clinical target flag</t>
        </is>
      </c>
      <c r="G13" s="11" t="inlineStr">
        <is>
          <t>0/1 flag</t>
        </is>
      </c>
      <c r="H13" s="14" t="inlineStr">
        <is>
          <t>binary</t>
        </is>
      </c>
      <c r="I13" s="14" t="inlineStr">
        <is>
          <t>0, 1</t>
        </is>
      </c>
      <c r="J13" s="14" t="inlineStr">
        <is>
          <t>Replace/rename for another project construct</t>
        </is>
      </c>
    </row>
    <row r="14" ht="15" customHeight="1" s="156">
      <c r="A14" s="20" t="inlineStr">
        <is>
          <t>Clinical flag</t>
        </is>
      </c>
      <c r="B14" s="27" t="inlineStr">
        <is>
          <t>OSEP_COMPONENT_FLAG_COLS</t>
        </is>
      </c>
      <c r="C14" s="68" t="inlineStr">
        <is>
          <t>tmp_EBD</t>
        </is>
      </c>
      <c r="D14" s="23" t="inlineStr">
        <is>
          <t>Y</t>
        </is>
      </c>
      <c r="E14" s="13" t="inlineStr">
        <is>
          <t>N</t>
        </is>
      </c>
      <c r="F14" s="12" t="inlineStr">
        <is>
          <t>Clinical target flag</t>
        </is>
      </c>
      <c r="G14" s="13" t="inlineStr">
        <is>
          <t>0/1 flag</t>
        </is>
      </c>
      <c r="H14" s="12" t="inlineStr">
        <is>
          <t>binary</t>
        </is>
      </c>
      <c r="I14" s="12" t="inlineStr">
        <is>
          <t>0, 1</t>
        </is>
      </c>
      <c r="J14" s="12" t="inlineStr">
        <is>
          <t>Edit/add/remove based on project</t>
        </is>
      </c>
    </row>
    <row r="15" ht="26.45" customHeight="1" s="156">
      <c r="A15" s="19" t="inlineStr">
        <is>
          <t>Clinical flag</t>
        </is>
      </c>
      <c r="B15" s="26" t="inlineStr">
        <is>
          <t>OSEP_COMPONENT_FLAG_COLS</t>
        </is>
      </c>
      <c r="C15" s="68" t="inlineStr">
        <is>
          <t>tmp_ASD</t>
        </is>
      </c>
      <c r="D15" s="24" t="inlineStr">
        <is>
          <t>Y</t>
        </is>
      </c>
      <c r="E15" s="11" t="inlineStr">
        <is>
          <t>N</t>
        </is>
      </c>
      <c r="F15" s="14" t="inlineStr">
        <is>
          <t>Clinical target flag</t>
        </is>
      </c>
      <c r="G15" s="11" t="inlineStr">
        <is>
          <t>0/1 flag</t>
        </is>
      </c>
      <c r="H15" s="14" t="inlineStr">
        <is>
          <t>binary</t>
        </is>
      </c>
      <c r="I15" s="14" t="inlineStr">
        <is>
          <t>0, 1</t>
        </is>
      </c>
      <c r="J15" s="14" t="inlineStr">
        <is>
          <t>Edit/add/remove based on project</t>
        </is>
      </c>
    </row>
    <row r="16" ht="26.45" customHeight="1" s="156">
      <c r="A16" s="20" t="inlineStr">
        <is>
          <t>Clinical flag</t>
        </is>
      </c>
      <c r="B16" s="27" t="inlineStr">
        <is>
          <t>OSEP_COMPONENT_FLAG_COLS</t>
        </is>
      </c>
      <c r="C16" s="68" t="inlineStr">
        <is>
          <t>tmp_DD</t>
        </is>
      </c>
      <c r="D16" s="23" t="inlineStr">
        <is>
          <t>Y</t>
        </is>
      </c>
      <c r="E16" s="13" t="inlineStr">
        <is>
          <t>N</t>
        </is>
      </c>
      <c r="F16" s="12" t="inlineStr">
        <is>
          <t>Clinical target flag</t>
        </is>
      </c>
      <c r="G16" s="13" t="inlineStr">
        <is>
          <t>0/1 flag</t>
        </is>
      </c>
      <c r="H16" s="12" t="inlineStr">
        <is>
          <t>binary</t>
        </is>
      </c>
      <c r="I16" s="12" t="inlineStr">
        <is>
          <t>0, 1</t>
        </is>
      </c>
      <c r="J16" s="12" t="inlineStr">
        <is>
          <t>Edit/add/remove based on project</t>
        </is>
      </c>
    </row>
    <row r="17" ht="15" customHeight="1" s="156">
      <c r="A17" s="19" t="inlineStr">
        <is>
          <t>Clinical flag</t>
        </is>
      </c>
      <c r="B17" s="26" t="inlineStr">
        <is>
          <t>OSEP_COMPONENT_FLAG_COLS</t>
        </is>
      </c>
      <c r="C17" s="68" t="inlineStr">
        <is>
          <t>tmp_SLD</t>
        </is>
      </c>
      <c r="D17" s="24" t="inlineStr">
        <is>
          <t>Y</t>
        </is>
      </c>
      <c r="E17" s="11" t="inlineStr">
        <is>
          <t>N</t>
        </is>
      </c>
      <c r="F17" s="14" t="inlineStr">
        <is>
          <t>Clinical target flag</t>
        </is>
      </c>
      <c r="G17" s="11" t="inlineStr">
        <is>
          <t>0/1 flag</t>
        </is>
      </c>
      <c r="H17" s="14" t="inlineStr">
        <is>
          <t>binary</t>
        </is>
      </c>
      <c r="I17" s="14" t="inlineStr">
        <is>
          <t>0, 1</t>
        </is>
      </c>
      <c r="J17" s="14" t="inlineStr">
        <is>
          <t>Edit/add/remove based on project</t>
        </is>
      </c>
    </row>
    <row r="18" ht="15" customHeight="1" s="156">
      <c r="A18" s="20" t="inlineStr">
        <is>
          <t>Clinical flag</t>
        </is>
      </c>
      <c r="B18" s="27" t="inlineStr">
        <is>
          <t>OSEP_COMPONENT_FLAG_COLS</t>
        </is>
      </c>
      <c r="C18" s="68" t="inlineStr">
        <is>
          <t>tmp_SLI</t>
        </is>
      </c>
      <c r="D18" s="23" t="inlineStr">
        <is>
          <t>Y</t>
        </is>
      </c>
      <c r="E18" s="13" t="inlineStr">
        <is>
          <t>N</t>
        </is>
      </c>
      <c r="F18" s="12" t="inlineStr">
        <is>
          <t>Clinical target flag</t>
        </is>
      </c>
      <c r="G18" s="13" t="inlineStr">
        <is>
          <t>0/1 flag</t>
        </is>
      </c>
      <c r="H18" s="12" t="inlineStr">
        <is>
          <t>binary</t>
        </is>
      </c>
      <c r="I18" s="12" t="inlineStr">
        <is>
          <t>0, 1</t>
        </is>
      </c>
      <c r="J18" s="12" t="inlineStr">
        <is>
          <t>Edit/add/remove based on project</t>
        </is>
      </c>
    </row>
    <row r="19" ht="15" customHeight="1" s="156">
      <c r="A19" s="19" t="inlineStr">
        <is>
          <t>Clinical flag</t>
        </is>
      </c>
      <c r="B19" s="26" t="inlineStr">
        <is>
          <t>OSEP_COMPONENT_FLAG_COLS</t>
        </is>
      </c>
      <c r="C19" s="68" t="inlineStr">
        <is>
          <t>tmp_OTHER</t>
        </is>
      </c>
      <c r="D19" s="24" t="inlineStr">
        <is>
          <t>Y</t>
        </is>
      </c>
      <c r="E19" s="11" t="inlineStr">
        <is>
          <t>N</t>
        </is>
      </c>
      <c r="F19" s="14" t="inlineStr">
        <is>
          <t>Clinical target flag</t>
        </is>
      </c>
      <c r="G19" s="11" t="inlineStr">
        <is>
          <t>0/1 flag</t>
        </is>
      </c>
      <c r="H19" s="14" t="inlineStr">
        <is>
          <t>binary</t>
        </is>
      </c>
      <c r="I19" s="14" t="inlineStr">
        <is>
          <t>0, 1</t>
        </is>
      </c>
      <c r="J19" s="14" t="inlineStr">
        <is>
          <t>Edit/add/remove based on project</t>
        </is>
      </c>
    </row>
    <row r="20" ht="15" customHeight="1" s="156">
      <c r="A20" s="20" t="inlineStr">
        <is>
          <t>Derived flag</t>
        </is>
      </c>
      <c r="B20" s="27" t="inlineStr">
        <is>
          <t>tmp_clin</t>
        </is>
      </c>
      <c r="C20" s="68" t="inlineStr">
        <is>
          <t>calculated from enabled clinical flags</t>
        </is>
      </c>
      <c r="D20" s="23" t="inlineStr">
        <is>
          <t>Y</t>
        </is>
      </c>
      <c r="E20" s="13" t="inlineStr">
        <is>
          <t>N</t>
        </is>
      </c>
      <c r="F20" s="12" t="inlineStr">
        <is>
          <t>Overall clinical percentage/range target</t>
        </is>
      </c>
      <c r="G20" s="13" t="inlineStr">
        <is>
          <t>1 if any component flag = 1</t>
        </is>
      </c>
      <c r="H20" s="12" t="inlineStr">
        <is>
          <t>derived binary</t>
        </is>
      </c>
      <c r="I20" s="12" t="inlineStr">
        <is>
          <t>0, 1</t>
        </is>
      </c>
      <c r="J20" s="12" t="inlineStr">
        <is>
          <t>Usually do not map to raw data; script calculates it</t>
        </is>
      </c>
      <c r="K20" s="2" t="n"/>
    </row>
    <row r="21" ht="15" customHeight="1" s="156">
      <c r="A21" s="19" t="inlineStr">
        <is>
          <t>Target workbook</t>
        </is>
      </c>
      <c r="B21" s="26" t="inlineStr">
        <is>
          <t>clinical target sheet</t>
        </is>
      </c>
      <c r="C21" s="68" t="inlineStr">
        <is>
          <t>osep</t>
        </is>
      </c>
      <c r="D21" s="24" t="inlineStr">
        <is>
          <t>Y</t>
        </is>
      </c>
      <c r="E21" s="11" t="inlineStr">
        <is>
          <t>Y</t>
        </is>
      </c>
      <c r="F21" s="14" t="inlineStr">
        <is>
          <t>Clinical/OSEP target values</t>
        </is>
      </c>
      <c r="G21" s="11" t="inlineStr">
        <is>
          <t>Also set in sheet 1 target_osep_sheet</t>
        </is>
      </c>
      <c r="H21" s="14" t="inlineStr">
        <is>
          <t>sheet name</t>
        </is>
      </c>
      <c r="I21" s="14" t="inlineStr">
        <is>
          <t>osep</t>
        </is>
      </c>
      <c r="J21" s="14" t="inlineStr">
        <is>
          <t>Change if target workbook uses a different sheet name</t>
        </is>
      </c>
      <c r="K21" s="2" t="n"/>
    </row>
    <row r="22" ht="15" customHeight="1" s="156">
      <c r="A22" s="20" t="inlineStr">
        <is>
          <t>Target workbook</t>
        </is>
      </c>
      <c r="B22" s="27" t="inlineStr">
        <is>
          <t>demo target sheet</t>
        </is>
      </c>
      <c r="C22" s="68" t="inlineStr">
        <is>
          <t>trs → TRS</t>
        </is>
      </c>
      <c r="D22" s="23" t="inlineStr">
        <is>
          <t>Y</t>
        </is>
      </c>
      <c r="E22" s="13" t="inlineStr">
        <is>
          <t>N</t>
        </is>
      </c>
      <c r="F22" s="12" t="inlineStr">
        <is>
          <t>Demographic targets for TRS family</t>
        </is>
      </c>
      <c r="G22" s="13" t="inlineStr">
        <is>
          <t>Header row = 5; data starts = 6</t>
        </is>
      </c>
      <c r="H22" s="12" t="inlineStr">
        <is>
          <t>sheet mapping</t>
        </is>
      </c>
      <c r="I22" s="12" t="inlineStr">
        <is>
          <t>trs</t>
        </is>
      </c>
      <c r="J22" s="12" t="inlineStr">
        <is>
          <t>Add/remove rows for other families/forms</t>
        </is>
      </c>
      <c r="K22" s="2" t="n"/>
    </row>
    <row r="23" ht="15" customHeight="1" s="156">
      <c r="A23" s="19" t="inlineStr">
        <is>
          <t>Target workbook</t>
        </is>
      </c>
      <c r="B23" s="26" t="inlineStr">
        <is>
          <t>demo target sheet</t>
        </is>
      </c>
      <c r="C23" s="68" t="inlineStr">
        <is>
          <t>prs → PRS</t>
        </is>
      </c>
      <c r="D23" s="24" t="inlineStr">
        <is>
          <t>Y</t>
        </is>
      </c>
      <c r="E23" s="11" t="inlineStr">
        <is>
          <t>N</t>
        </is>
      </c>
      <c r="F23" s="14" t="inlineStr">
        <is>
          <t>Demographic targets for PRS family</t>
        </is>
      </c>
      <c r="G23" s="11" t="inlineStr">
        <is>
          <t>Header row = 5; data starts = 6</t>
        </is>
      </c>
      <c r="H23" s="14" t="inlineStr">
        <is>
          <t>sheet mapping</t>
        </is>
      </c>
      <c r="I23" s="14" t="inlineStr">
        <is>
          <t>prs</t>
        </is>
      </c>
      <c r="J23" s="14" t="inlineStr">
        <is>
          <t>Add/remove rows for other families/forms</t>
        </is>
      </c>
      <c r="K23" s="2" t="n"/>
    </row>
    <row r="24" ht="15" customHeight="1" s="156">
      <c r="A24" s="20" t="inlineStr">
        <is>
          <t>Target workbook</t>
        </is>
      </c>
      <c r="B24" s="27" t="inlineStr">
        <is>
          <t>demo target sheet</t>
        </is>
      </c>
      <c r="C24" s="68" t="inlineStr">
        <is>
          <t>srp → SRP</t>
        </is>
      </c>
      <c r="D24" s="23" t="inlineStr">
        <is>
          <t>Y</t>
        </is>
      </c>
      <c r="E24" s="13" t="inlineStr">
        <is>
          <t>N</t>
        </is>
      </c>
      <c r="F24" s="12" t="inlineStr">
        <is>
          <t>Demographic targets for SRP family</t>
        </is>
      </c>
      <c r="G24" s="13" t="inlineStr">
        <is>
          <t>Header row = 5; data starts = 6</t>
        </is>
      </c>
      <c r="H24" s="12" t="inlineStr">
        <is>
          <t>sheet mapping</t>
        </is>
      </c>
      <c r="I24" s="12" t="inlineStr">
        <is>
          <t>srp</t>
        </is>
      </c>
      <c r="J24" s="12" t="inlineStr">
        <is>
          <t>Add/remove rows for other families/forms</t>
        </is>
      </c>
      <c r="K24" s="2" t="n"/>
    </row>
    <row r="25" ht="15" customHeight="1" s="156">
      <c r="A25" s="19" t="n"/>
      <c r="B25" s="26" t="n"/>
      <c r="C25" s="71" t="n"/>
      <c r="D25" s="24" t="n"/>
      <c r="E25" s="11" t="n"/>
      <c r="F25" s="14" t="n"/>
      <c r="G25" s="11" t="n"/>
      <c r="H25" s="14" t="n"/>
      <c r="I25" s="14" t="n"/>
      <c r="J25" s="14" t="n"/>
      <c r="K25" s="2" t="n"/>
    </row>
    <row r="26" ht="15" customHeight="1" s="156">
      <c r="A26" s="20" t="n"/>
      <c r="B26" s="12" t="n"/>
      <c r="C26" s="71" t="n"/>
      <c r="D26" s="23" t="n"/>
      <c r="E26" s="13" t="n"/>
      <c r="F26" s="12" t="n"/>
      <c r="G26" s="13" t="n"/>
      <c r="H26" s="12" t="n"/>
      <c r="I26" s="12" t="n"/>
      <c r="J26" s="12" t="n"/>
      <c r="K26" s="2" t="n"/>
    </row>
    <row r="27" ht="15" customHeight="1" s="156">
      <c r="A27" s="21" t="n"/>
      <c r="B27" s="17" t="n"/>
      <c r="C27" s="70" t="n"/>
      <c r="D27" s="17" t="n"/>
      <c r="E27" s="18" t="n"/>
      <c r="F27" s="17" t="n"/>
      <c r="G27" s="18" t="n"/>
      <c r="H27" s="17" t="n"/>
      <c r="I27" s="17" t="n"/>
      <c r="J27" s="17" t="n"/>
      <c r="K27" s="2" t="n"/>
    </row>
    <row r="28" ht="15" customHeight="1" s="156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 s="156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 s="156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 s="15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 s="15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 s="15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 s="15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 s="156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 s="15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 s="156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 s="156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 s="156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 s="15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 s="15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 s="15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 s="15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 s="15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 s="15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 s="15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 s="15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 s="15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 s="15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 s="15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 s="15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 s="15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 s="15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 s="15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 s="15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 s="1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 s="15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 s="15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 s="15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 s="15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 s="15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 s="15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 s="15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 s="15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 s="15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 s="15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 s="15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 s="15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 s="15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 s="15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 s="15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 s="15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 s="15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 s="15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 s="15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 s="15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 s="15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 s="15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 s="15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 s="15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 s="15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 s="15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 s="15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 s="15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 s="15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 s="15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 s="15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 s="15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 s="15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 s="15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 s="156">
      <c r="K91" s="2" t="n"/>
    </row>
    <row r="92" ht="15" customHeight="1" s="156">
      <c r="K92" s="2" t="n"/>
    </row>
    <row r="93" ht="15" customHeight="1" s="156">
      <c r="K93" s="2" t="n"/>
    </row>
    <row r="94" ht="15" customHeight="1" s="156">
      <c r="K94" s="2" t="n"/>
    </row>
    <row r="95" ht="15" customHeight="1" s="156">
      <c r="K95" s="2" t="n"/>
    </row>
    <row r="96" ht="15" customHeight="1" s="156">
      <c r="K96" s="2" t="n"/>
    </row>
    <row r="97" ht="15" customHeight="1" s="156">
      <c r="K97" s="2" t="n"/>
    </row>
    <row r="98" ht="15" customHeight="1" s="156">
      <c r="K98" s="2" t="n"/>
    </row>
    <row r="99" ht="15" customHeight="1" s="156">
      <c r="K99" s="2" t="n"/>
    </row>
    <row r="100" ht="15" customHeight="1" s="156">
      <c r="K100" s="2" t="n"/>
    </row>
    <row r="101" ht="15" customHeight="1" s="156">
      <c r="K101" s="2" t="n"/>
    </row>
    <row r="102" ht="15" customHeight="1" s="156">
      <c r="K102" s="2" t="n"/>
    </row>
    <row r="103" ht="15" customHeight="1" s="156">
      <c r="K103" s="2" t="n"/>
    </row>
    <row r="104" ht="15" customHeight="1" s="156">
      <c r="K104" s="2" t="n"/>
    </row>
    <row r="105" ht="15" customHeight="1" s="156">
      <c r="K105" s="2" t="n"/>
    </row>
    <row r="106" ht="15" customHeight="1" s="156">
      <c r="K106" s="2" t="n"/>
    </row>
    <row r="107" ht="15" customHeight="1" s="156">
      <c r="K107" s="2" t="n"/>
    </row>
    <row r="108" ht="15" customHeight="1" s="156">
      <c r="K108" s="2" t="n"/>
    </row>
    <row r="109" ht="15" customHeight="1" s="156">
      <c r="K109" s="2" t="n"/>
    </row>
    <row r="110" ht="15" customHeight="1" s="156">
      <c r="K110" s="2" t="n"/>
    </row>
    <row r="111" ht="15" customHeight="1" s="156">
      <c r="K111" s="2" t="n"/>
    </row>
    <row r="112" ht="15" customHeight="1" s="156">
      <c r="K112" s="2" t="n"/>
    </row>
    <row r="113" ht="15" customHeight="1" s="156">
      <c r="K113" s="2" t="n"/>
    </row>
    <row r="114" ht="15" customHeight="1" s="156">
      <c r="K114" s="2" t="n"/>
    </row>
  </sheetData>
  <mergeCells count="3">
    <mergeCell ref="A1:J1"/>
    <mergeCell ref="A3:J3"/>
    <mergeCell ref="A2:J2"/>
  </mergeCells>
  <conditionalFormatting sqref="C5:C24">
    <cfRule type="expression" priority="6" dxfId="0">
      <formula>DataPrepChoice="B"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:I1"/>
    </sheetView>
  </sheetViews>
  <sheetFormatPr baseColWidth="8" defaultRowHeight="14.25"/>
  <cols>
    <col width="17.875" customWidth="1" style="156" min="1" max="1"/>
    <col width="41.125" customWidth="1" style="156" min="2" max="2"/>
    <col width="12.625" customWidth="1" style="156" min="3" max="3"/>
    <col width="41.125" customWidth="1" style="156" min="4" max="4"/>
    <col width="8.5" customWidth="1" style="156" min="5" max="5"/>
    <col width="14.25" customWidth="1" style="156" min="6" max="6"/>
    <col width="28" customWidth="1" style="156" min="7" max="7"/>
    <col width="75.375" customWidth="1" style="156" min="8" max="8"/>
    <col width="48.625" customWidth="1" style="156" min="9" max="9"/>
  </cols>
  <sheetData>
    <row r="1" ht="39.75" customHeight="1" s="156">
      <c r="A1" s="173" t="inlineStr">
        <is>
          <t>3. Replacement Pools &amp; Hard Constraints</t>
        </is>
      </c>
      <c r="B1" s="164" t="n"/>
      <c r="C1" s="164" t="n"/>
      <c r="D1" s="164" t="n"/>
      <c r="E1" s="164" t="n"/>
      <c r="F1" s="164" t="n"/>
      <c r="G1" s="164" t="n"/>
      <c r="H1" s="164" t="n"/>
      <c r="I1" s="174" t="n"/>
      <c r="J1" s="2" t="n"/>
      <c r="K1" s="2" t="n"/>
      <c r="L1" s="2" t="n"/>
    </row>
    <row r="2" ht="18.75" customHeight="1" s="156">
      <c r="A2" s="175" t="inlineStr">
        <is>
          <t>This sheet defines the feasible case swaps, which replacement files exist, and which rules cannot be broken.</t>
        </is>
      </c>
      <c r="B2" s="168" t="n"/>
      <c r="C2" s="168" t="n"/>
      <c r="D2" s="168" t="n"/>
      <c r="E2" s="168" t="n"/>
      <c r="F2" s="168" t="n"/>
      <c r="G2" s="168" t="n"/>
      <c r="H2" s="168" t="n"/>
      <c r="I2" s="176" t="n"/>
      <c r="J2" s="2" t="n"/>
      <c r="K2" s="2" t="n"/>
      <c r="L2" s="2" t="n"/>
    </row>
    <row r="3" ht="26.45" customHeight="1" s="156">
      <c r="A3" s="177">
        <f>IF(DataPrepChoice="B","Edit the purple replacement-pool and constraint fields for the prepared-data workflow.","Script 01 refreshes replacement-pool rows after data prep.")</f>
        <v/>
      </c>
      <c r="B3" s="178" t="n"/>
      <c r="C3" s="178" t="n"/>
      <c r="D3" s="178" t="n"/>
      <c r="E3" s="178" t="n"/>
      <c r="F3" s="178" t="n"/>
      <c r="G3" s="178" t="n"/>
      <c r="H3" s="178" t="n"/>
      <c r="I3" s="179" t="n"/>
      <c r="J3" s="2" t="n"/>
      <c r="K3" s="2" t="n"/>
      <c r="L3" s="2" t="n"/>
    </row>
    <row r="4" ht="26.45" customHeight="1" s="156">
      <c r="A4" s="30" t="inlineStr">
        <is>
          <t>Section</t>
        </is>
      </c>
      <c r="B4" s="31" t="inlineStr">
        <is>
          <t>Item / Constraint</t>
        </is>
      </c>
      <c r="C4" s="32" t="inlineStr">
        <is>
          <t>Enabled-&gt;</t>
        </is>
      </c>
      <c r="D4" s="33" t="inlineStr">
        <is>
          <t>File or Column</t>
        </is>
      </c>
      <c r="E4" s="34" t="inlineStr">
        <is>
          <t>Vform</t>
        </is>
      </c>
      <c r="F4" s="35" t="inlineStr">
        <is>
          <t>Age Group</t>
        </is>
      </c>
      <c r="G4" s="34" t="inlineStr">
        <is>
          <t>Mode</t>
        </is>
      </c>
      <c r="H4" s="35" t="inlineStr">
        <is>
          <t>Script behavior</t>
        </is>
      </c>
      <c r="I4" s="31" t="inlineStr">
        <is>
          <t>Notes</t>
        </is>
      </c>
      <c r="J4" s="2" t="n"/>
      <c r="K4" s="2" t="n"/>
      <c r="L4" s="2" t="n"/>
    </row>
    <row r="5" ht="26.45" customHeight="1" s="156">
      <c r="A5" t="inlineStr">
        <is>
          <t>Replacement Pool</t>
        </is>
      </c>
      <c r="B5" t="inlineStr">
        <is>
          <t>ADHD_SRP_A_AGEGRP6_case_swap.xlsx</t>
        </is>
      </c>
      <c r="C5" t="inlineStr">
        <is>
          <t>Y</t>
        </is>
      </c>
      <c r="D5" t="inlineStr">
        <is>
          <t>ADHD_SRP_A_AGEGRP6_case_swap.xlsx</t>
        </is>
      </c>
      <c r="E5" t="inlineStr">
        <is>
          <t>SRP_A</t>
        </is>
      </c>
      <c r="F5" t="n">
        <v>6</v>
      </c>
      <c r="G5" t="inlineStr">
        <is>
          <t>replacement_pool sheet</t>
        </is>
      </c>
      <c r="H5" t="inlineStr">
        <is>
          <t>Reads eligible replacement cases from this workbook</t>
        </is>
      </c>
    </row>
    <row r="6" ht="15" customHeight="1" s="156">
      <c r="A6" t="inlineStr">
        <is>
          <t>Hard Constraint</t>
        </is>
      </c>
      <c r="B6" t="inlineStr">
        <is>
          <t>preserve_case_id_uniqueness</t>
        </is>
      </c>
      <c r="C6" t="inlineStr">
        <is>
          <t>Y</t>
        </is>
      </c>
      <c r="D6" t="inlineStr">
        <is>
          <t>teid</t>
        </is>
      </c>
      <c r="G6" t="inlineStr">
        <is>
          <t>unique</t>
        </is>
      </c>
      <c r="H6" t="inlineStr">
        <is>
          <t>No case ID can appear twice in final sample</t>
        </is>
      </c>
      <c r="I6" t="inlineStr">
        <is>
          <t>Always keep enabled</t>
        </is>
      </c>
    </row>
    <row r="7" ht="15" customHeight="1" s="156">
      <c r="A7" t="inlineStr">
        <is>
          <t>Hard Constraint</t>
        </is>
      </c>
      <c r="B7" t="inlineStr">
        <is>
          <t>preserve_sample_size</t>
        </is>
      </c>
      <c r="C7" t="inlineStr">
        <is>
          <t>Y</t>
        </is>
      </c>
      <c r="G7" t="inlineStr">
        <is>
          <t>constant_n</t>
        </is>
      </c>
      <c r="H7" t="inlineStr">
        <is>
          <t>Final sample N equals starting sample N</t>
        </is>
      </c>
      <c r="I7" t="inlineStr">
        <is>
          <t>Always keep enabled</t>
        </is>
      </c>
    </row>
    <row r="8" ht="15" customHeight="1" s="156">
      <c r="A8" t="inlineStr">
        <is>
          <t>Hard Constraint</t>
        </is>
      </c>
      <c r="B8" t="inlineStr">
        <is>
          <t>preserve_form</t>
        </is>
      </c>
      <c r="C8" t="inlineStr">
        <is>
          <t>Y</t>
        </is>
      </c>
      <c r="D8" t="inlineStr">
        <is>
          <t>vform</t>
        </is>
      </c>
      <c r="G8" t="inlineStr">
        <is>
          <t>same_value_swap</t>
        </is>
      </c>
      <c r="H8" t="inlineStr">
        <is>
          <t>Replacement must match removed case on form</t>
        </is>
      </c>
      <c r="I8" t="inlineStr">
        <is>
          <t>Keep enabled if form counts must stay fixed</t>
        </is>
      </c>
    </row>
    <row r="9" ht="15" customHeight="1" s="156">
      <c r="A9" t="inlineStr">
        <is>
          <t>Hard Constraint</t>
        </is>
      </c>
      <c r="B9" t="inlineStr">
        <is>
          <t>preserve_age_group</t>
        </is>
      </c>
      <c r="C9" t="inlineStr">
        <is>
          <t>Y</t>
        </is>
      </c>
      <c r="D9" t="inlineStr">
        <is>
          <t>agegrp</t>
        </is>
      </c>
      <c r="G9" t="inlineStr">
        <is>
          <t>same_value_swap</t>
        </is>
      </c>
      <c r="H9" t="inlineStr">
        <is>
          <t>Replacement must match removed case on age group</t>
        </is>
      </c>
      <c r="I9" t="inlineStr">
        <is>
          <t>Keep enabled if age-cell N must stay fixed</t>
        </is>
      </c>
    </row>
    <row r="10" ht="26.45" customHeight="1" s="156">
      <c r="A10" t="inlineStr">
        <is>
          <t>Hard Constraint</t>
        </is>
      </c>
      <c r="B10" t="inlineStr">
        <is>
          <t>preserve_primary_flag</t>
        </is>
      </c>
      <c r="C10" t="inlineStr">
        <is>
          <t>Y</t>
        </is>
      </c>
      <c r="D10" t="inlineStr">
        <is>
          <t>tmp_ADHD</t>
        </is>
      </c>
      <c r="G10" t="inlineStr">
        <is>
          <t>same_value_swap</t>
        </is>
      </c>
      <c r="H10" t="inlineStr">
        <is>
          <t>Replacement must match removed case on the primary flag</t>
        </is>
      </c>
      <c r="I10" t="inlineStr">
        <is>
          <t>Preserves primary target such as ADHD = 5%</t>
        </is>
      </c>
    </row>
    <row r="11" ht="26.45" customHeight="1" s="156">
      <c r="A11" t="inlineStr">
        <is>
          <t>Hard Constraint</t>
        </is>
      </c>
      <c r="B11" t="inlineStr">
        <is>
          <t>force_exact_sex_balance</t>
        </is>
      </c>
      <c r="C11" t="inlineStr">
        <is>
          <t>Y</t>
        </is>
      </c>
      <c r="D11" t="inlineStr">
        <is>
          <t>sex</t>
        </is>
      </c>
      <c r="G11" t="inlineStr">
        <is>
          <t>exact_50_50_by_form_agegrp</t>
        </is>
      </c>
      <c r="H11" t="inlineStr">
        <is>
          <t>Solver may cross-swap sex to force F/M balance in each even-N form/age cell</t>
        </is>
      </c>
      <c r="I11" t="inlineStr">
        <is>
          <t>This absorbs old Script 64a</t>
        </is>
      </c>
    </row>
    <row r="12" ht="26.45" customHeight="1" s="156">
      <c r="A12" t="inlineStr">
        <is>
          <t>Hard Constraint</t>
        </is>
      </c>
      <c r="B12" t="inlineStr">
        <is>
          <t>preserve_sex_when_not_balancing</t>
        </is>
      </c>
      <c r="C12" t="inlineStr">
        <is>
          <t>N</t>
        </is>
      </c>
      <c r="D12" t="inlineStr">
        <is>
          <t>sex</t>
        </is>
      </c>
      <c r="G12" t="inlineStr">
        <is>
          <t>same_value_swap</t>
        </is>
      </c>
      <c r="H12" t="inlineStr">
        <is>
          <t>Replacement must match removed case on sex; preserves existing sex counts only</t>
        </is>
      </c>
      <c r="I12" t="inlineStr">
        <is>
          <t>Use instead of exact balance if balance is already fixed</t>
        </is>
      </c>
    </row>
    <row r="13" ht="15" customHeight="1" s="156"/>
    <row r="14" ht="15" customHeight="1" s="156"/>
    <row r="15" ht="21.75" customHeight="1" s="156"/>
    <row r="16" ht="18" customHeight="1" s="156"/>
    <row r="17" ht="46.5" customHeight="1" s="156"/>
    <row r="18" ht="15" customHeight="1" s="156"/>
    <row r="19" ht="15" customHeight="1" s="156"/>
    <row r="20" ht="15" customHeight="1" s="156"/>
    <row r="21" ht="15" customHeight="1" s="156"/>
    <row r="22" ht="15" customHeight="1" s="156"/>
    <row r="23" ht="15" customHeight="1" s="156"/>
    <row r="24" ht="15" customHeight="1" s="156"/>
    <row r="25" ht="15" customHeight="1" s="156"/>
    <row r="26" ht="15" customHeight="1" s="156"/>
    <row r="27" ht="15" customHeight="1" s="156"/>
    <row r="28" ht="15" customHeight="1" s="156"/>
    <row r="29" ht="15" customHeight="1" s="156"/>
    <row r="30" ht="15" customHeight="1" s="156"/>
    <row r="31" ht="15" customHeight="1" s="156"/>
    <row r="32" ht="15" customHeight="1" s="156"/>
    <row r="33" ht="15" customHeight="1" s="156"/>
    <row r="34" ht="15" customHeight="1" s="156"/>
    <row r="35" ht="15" customHeight="1" s="156"/>
    <row r="36" ht="15" customHeight="1" s="156"/>
    <row r="37" ht="15" customHeight="1" s="156"/>
    <row r="38" ht="15" customHeight="1" s="156"/>
    <row r="39" ht="15" customHeight="1" s="156"/>
    <row r="40" ht="15" customHeight="1" s="156"/>
    <row r="41" ht="15" customHeight="1" s="156"/>
    <row r="42" ht="15" customHeight="1" s="156"/>
    <row r="43" ht="15" customHeight="1" s="156"/>
    <row r="44" ht="15" customHeight="1" s="156"/>
    <row r="45" ht="15" customHeight="1" s="156"/>
    <row r="46" ht="15" customHeight="1" s="156"/>
    <row r="47" ht="15" customHeight="1" s="156"/>
    <row r="48" ht="15" customHeight="1" s="156"/>
    <row r="49" ht="15" customHeight="1" s="156"/>
    <row r="50" ht="15" customHeight="1" s="156"/>
    <row r="51" ht="15" customHeight="1" s="156"/>
    <row r="52" ht="15" customHeight="1" s="156"/>
    <row r="53" ht="15" customHeight="1" s="156"/>
    <row r="54" ht="15" customHeight="1" s="156"/>
    <row r="55" ht="15" customHeight="1" s="156"/>
    <row r="56" ht="15" customHeight="1" s="156"/>
    <row r="57" ht="15" customHeight="1" s="156"/>
    <row r="58" ht="15" customHeight="1" s="156"/>
    <row r="59" ht="15" customHeight="1" s="156"/>
    <row r="60" ht="15" customHeight="1" s="156"/>
    <row r="61" ht="15" customHeight="1" s="156"/>
    <row r="62" ht="15" customHeight="1" s="156"/>
    <row r="63" ht="15" customHeight="1" s="156"/>
    <row r="64" ht="15" customHeight="1" s="156"/>
    <row r="65" ht="15" customHeight="1" s="156"/>
    <row r="66" ht="15" customHeight="1" s="156"/>
    <row r="67" ht="15" customHeight="1" s="156"/>
    <row r="68" ht="15" customHeight="1" s="156"/>
    <row r="69" ht="15" customHeight="1" s="156"/>
    <row r="70" ht="15" customHeight="1" s="156"/>
    <row r="71" ht="15" customHeight="1" s="156"/>
    <row r="72" ht="15" customHeight="1" s="156"/>
    <row r="73" ht="15" customHeight="1" s="156"/>
    <row r="74" ht="15" customHeight="1" s="156"/>
    <row r="75" ht="15" customHeight="1" s="156"/>
    <row r="76" ht="15" customHeight="1" s="156"/>
    <row r="77" ht="15" customHeight="1" s="156"/>
    <row r="78" ht="15" customHeight="1" s="156"/>
    <row r="79" ht="15" customHeight="1" s="156"/>
    <row r="80" ht="15" customHeight="1" s="156"/>
    <row r="81" ht="15" customHeight="1" s="156"/>
    <row r="82" ht="15" customHeight="1" s="156"/>
    <row r="83" ht="15" customHeight="1" s="156"/>
    <row r="84" ht="15" customHeight="1" s="156"/>
    <row r="85" ht="15" customHeight="1" s="156"/>
    <row r="86" ht="15" customHeight="1" s="156"/>
    <row r="87" ht="15" customHeight="1" s="156"/>
    <row r="88" ht="15" customHeight="1" s="156"/>
    <row r="89" ht="15" customHeight="1" s="156"/>
    <row r="90" ht="15" customHeight="1" s="156"/>
    <row r="91" ht="15" customHeight="1" s="156"/>
    <row r="92" ht="15" customHeight="1" s="156"/>
    <row r="93" ht="15" customHeight="1" s="156"/>
    <row r="94" ht="15" customHeight="1" s="156"/>
    <row r="95" ht="15" customHeight="1" s="156"/>
    <row r="96" ht="15" customHeight="1" s="156"/>
    <row r="97" ht="15" customHeight="1" s="156"/>
    <row r="98" ht="15" customHeight="1" s="156"/>
    <row r="99" ht="15" customHeight="1" s="156"/>
    <row r="100" ht="15" customHeight="1" s="156"/>
    <row r="101" ht="15" customHeight="1" s="156"/>
    <row r="102" ht="15" customHeight="1" s="156"/>
    <row r="103" ht="15" customHeight="1" s="156"/>
    <row r="104" ht="15" customHeight="1" s="156"/>
    <row r="105" ht="15" customHeight="1" s="156"/>
    <row r="106" ht="15" customHeight="1" s="156"/>
    <row r="107" ht="15" customHeight="1" s="156"/>
    <row r="108" ht="15" customHeight="1" s="156"/>
    <row r="109" ht="15" customHeight="1" s="156"/>
    <row r="110" ht="15" customHeight="1" s="156"/>
    <row r="111" ht="15" customHeight="1" s="156"/>
    <row r="112" ht="15" customHeight="1" s="156"/>
    <row r="113" ht="15" customHeight="1" s="156"/>
    <row r="114" ht="15" customHeight="1" s="156"/>
    <row r="115" ht="15" customHeight="1" s="156"/>
  </sheetData>
  <mergeCells count="3">
    <mergeCell ref="A1:I1"/>
    <mergeCell ref="A2:I2"/>
    <mergeCell ref="A3:I3"/>
  </mergeCells>
  <conditionalFormatting sqref="B5:F21">
    <cfRule type="expression" priority="6" dxfId="0">
      <formula>DataPrepChoice="B"</formula>
    </cfRule>
  </conditionalFormatting>
  <conditionalFormatting sqref="B5:H15">
    <cfRule type="expression" priority="7" dxfId="3">
      <formula>DataPrepChoice="A"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D20" sqref="D20"/>
    </sheetView>
  </sheetViews>
  <sheetFormatPr baseColWidth="8" defaultRowHeight="14.25"/>
  <cols>
    <col width="17.875" customWidth="1" style="156" min="1" max="1"/>
    <col width="16" customWidth="1" style="156" min="2" max="2"/>
    <col width="26" customWidth="1" style="156" min="3" max="3"/>
    <col width="18" customWidth="1" style="156" min="4" max="5"/>
    <col width="10" customWidth="1" style="156" min="6" max="8"/>
    <col width="18" customWidth="1" style="156" min="9" max="9"/>
    <col width="12" customWidth="1" style="156" min="10" max="10"/>
    <col width="10" customWidth="1" style="156" min="11" max="11"/>
    <col width="46" customWidth="1" style="156" min="12" max="12"/>
  </cols>
  <sheetData>
    <row r="1" ht="31.5" customHeight="1" s="156">
      <c r="A1" s="184" t="inlineStr">
        <is>
          <t>4. Targets and Priorities</t>
        </is>
      </c>
      <c r="B1" s="185" t="n"/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6" t="n"/>
    </row>
    <row r="2" ht="15" customHeight="1" s="156">
      <c r="A2" s="183" t="inlineStr">
        <is>
          <t>This sheet defines what “better” means. The optimizer minimizes weighted distance from these targets.</t>
        </is>
      </c>
      <c r="B2" s="168" t="n"/>
      <c r="C2" s="168" t="n"/>
      <c r="D2" s="168" t="n"/>
      <c r="E2" s="168" t="n"/>
      <c r="F2" s="168" t="n"/>
      <c r="G2" s="168" t="n"/>
      <c r="H2" s="168" t="n"/>
      <c r="I2" s="168" t="n"/>
      <c r="J2" s="168" t="n"/>
      <c r="K2" s="168" t="n"/>
      <c r="L2" s="176" t="n"/>
    </row>
    <row r="3" ht="15" customHeight="1" s="156">
      <c r="A3" s="180">
        <f>IF(DataPrepChoice="B","Edit the purple target, weight, and enabled fields for the prepared-data workflow.","Review targets and weights; prep leaves optimizer priorities available for final review.")</f>
        <v/>
      </c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2" t="n"/>
    </row>
    <row r="4" ht="15" customHeight="1" s="156">
      <c r="A4" s="39" t="inlineStr">
        <is>
          <t>Section</t>
        </is>
      </c>
      <c r="B4" s="25" t="inlineStr">
        <is>
          <t>Target Type</t>
        </is>
      </c>
      <c r="C4" s="29" t="inlineStr">
        <is>
          <t>Target Name</t>
        </is>
      </c>
      <c r="D4" s="28" t="inlineStr">
        <is>
          <t>Column Name</t>
        </is>
      </c>
      <c r="E4" s="8" t="inlineStr">
        <is>
          <t>Mode</t>
        </is>
      </c>
      <c r="F4" s="7" t="inlineStr">
        <is>
          <t>Target %</t>
        </is>
      </c>
      <c r="G4" s="8" t="inlineStr">
        <is>
          <t>Min %</t>
        </is>
      </c>
      <c r="H4" s="7" t="inlineStr">
        <is>
          <t>Max %</t>
        </is>
      </c>
      <c r="I4" s="7" t="inlineStr">
        <is>
          <t>Weight Group</t>
        </is>
      </c>
      <c r="J4" s="7" t="inlineStr">
        <is>
          <t>Weight</t>
        </is>
      </c>
      <c r="K4" s="6" t="inlineStr">
        <is>
          <t>Enabled-&gt;</t>
        </is>
      </c>
      <c r="L4" s="25" t="inlineStr">
        <is>
          <t>Script behavior / notes</t>
        </is>
      </c>
    </row>
    <row r="5" ht="15" customHeight="1" s="156">
      <c r="A5" s="40" t="inlineStr">
        <is>
          <t>Clinical Target</t>
        </is>
      </c>
      <c r="B5" s="26" t="inlineStr">
        <is>
          <t>CLINICAL</t>
        </is>
      </c>
      <c r="C5" s="37" t="inlineStr">
        <is>
          <t>primary_flag</t>
        </is>
      </c>
      <c r="D5" s="65" t="inlineStr">
        <is>
          <t>tmp_ADHD</t>
        </is>
      </c>
      <c r="E5" s="66" t="inlineStr">
        <is>
          <t>target</t>
        </is>
      </c>
      <c r="F5" s="67" t="n">
        <v>5</v>
      </c>
      <c r="G5" s="66" t="n"/>
      <c r="H5" s="67" t="n"/>
      <c r="I5" s="67" t="inlineStr">
        <is>
          <t>primary_flag</t>
        </is>
      </c>
      <c r="J5" s="67" t="n">
        <v>1000000</v>
      </c>
      <c r="K5" s="72" t="inlineStr">
        <is>
          <t>Y</t>
        </is>
      </c>
      <c r="L5" s="26" t="inlineStr">
        <is>
          <t>Must-have. Keeps primary construct at target when paired with preserve_primary_flag.</t>
        </is>
      </c>
    </row>
    <row r="6" ht="15" customHeight="1" s="156">
      <c r="A6" s="41" t="inlineStr">
        <is>
          <t>Clinical Target</t>
        </is>
      </c>
      <c r="B6" s="27" t="inlineStr">
        <is>
          <t>CLINICAL</t>
        </is>
      </c>
      <c r="C6" s="36" t="inlineStr">
        <is>
          <t>pct_clin</t>
        </is>
      </c>
      <c r="D6" s="69" t="inlineStr">
        <is>
          <t>tmp_clin</t>
        </is>
      </c>
      <c r="E6" s="66" t="inlineStr">
        <is>
          <t>range</t>
        </is>
      </c>
      <c r="F6" s="67" t="n"/>
      <c r="G6" s="66" t="n">
        <v>11</v>
      </c>
      <c r="H6" s="67" t="n">
        <v>13</v>
      </c>
      <c r="I6" s="67" t="inlineStr">
        <is>
          <t>pct_clin</t>
        </is>
      </c>
      <c r="J6" s="67" t="n">
        <v>200000</v>
      </c>
      <c r="K6" s="72" t="inlineStr">
        <is>
          <t>Y</t>
        </is>
      </c>
      <c r="L6" s="27" t="inlineStr">
        <is>
          <t>Must-have range. Error is zero inside range.</t>
        </is>
      </c>
    </row>
    <row r="7" ht="15" customHeight="1" s="156">
      <c r="A7" s="40" t="inlineStr">
        <is>
          <t>Clinical Target</t>
        </is>
      </c>
      <c r="B7" s="26" t="inlineStr">
        <is>
          <t>CLINICAL</t>
        </is>
      </c>
      <c r="C7" s="38" t="inlineStr">
        <is>
          <t>EBD</t>
        </is>
      </c>
      <c r="D7" s="69" t="inlineStr">
        <is>
          <t>tmp_EBD</t>
        </is>
      </c>
      <c r="E7" s="66" t="inlineStr">
        <is>
          <t>target</t>
        </is>
      </c>
      <c r="F7" s="67" t="n">
        <v>0.7</v>
      </c>
      <c r="G7" s="66" t="n"/>
      <c r="H7" s="67" t="n"/>
      <c r="I7" s="67" t="inlineStr">
        <is>
          <t>middle_tier</t>
        </is>
      </c>
      <c r="J7" s="67" t="n">
        <v>40000</v>
      </c>
      <c r="K7" s="72" t="inlineStr">
        <is>
          <t>Y</t>
        </is>
      </c>
      <c r="L7" s="26" t="inlineStr">
        <is>
          <t>Middle-tier clinical target.</t>
        </is>
      </c>
    </row>
    <row r="8" ht="15" customHeight="1" s="156">
      <c r="A8" s="41" t="inlineStr">
        <is>
          <t>Clinical Target</t>
        </is>
      </c>
      <c r="B8" s="27" t="inlineStr">
        <is>
          <t>CLINICAL</t>
        </is>
      </c>
      <c r="C8" s="36" t="inlineStr">
        <is>
          <t>ASD</t>
        </is>
      </c>
      <c r="D8" s="69" t="inlineStr">
        <is>
          <t>tmp_ASD</t>
        </is>
      </c>
      <c r="E8" s="66" t="inlineStr">
        <is>
          <t>target</t>
        </is>
      </c>
      <c r="F8" s="67" t="n">
        <v>2</v>
      </c>
      <c r="G8" s="66" t="n"/>
      <c r="H8" s="67" t="n"/>
      <c r="I8" s="67" t="inlineStr">
        <is>
          <t>middle_tier</t>
        </is>
      </c>
      <c r="J8" s="67" t="n">
        <v>40000</v>
      </c>
      <c r="K8" s="72" t="inlineStr">
        <is>
          <t>Y</t>
        </is>
      </c>
      <c r="L8" s="27" t="inlineStr">
        <is>
          <t>Middle-tier clinical target.</t>
        </is>
      </c>
    </row>
    <row r="9" ht="15" customHeight="1" s="156">
      <c r="A9" s="40" t="inlineStr">
        <is>
          <t>Clinical Target</t>
        </is>
      </c>
      <c r="B9" s="26" t="inlineStr">
        <is>
          <t>CLINICAL</t>
        </is>
      </c>
      <c r="C9" s="38" t="inlineStr">
        <is>
          <t>SLD</t>
        </is>
      </c>
      <c r="D9" s="69" t="inlineStr">
        <is>
          <t>tmp_SLD</t>
        </is>
      </c>
      <c r="E9" s="66" t="inlineStr">
        <is>
          <t>target</t>
        </is>
      </c>
      <c r="F9" s="67" t="n">
        <v>3</v>
      </c>
      <c r="G9" s="66" t="n"/>
      <c r="H9" s="67" t="n"/>
      <c r="I9" s="67" t="inlineStr">
        <is>
          <t>middle_tier</t>
        </is>
      </c>
      <c r="J9" s="67" t="n">
        <v>40000</v>
      </c>
      <c r="K9" s="72" t="inlineStr">
        <is>
          <t>Y</t>
        </is>
      </c>
      <c r="L9" s="26" t="inlineStr">
        <is>
          <t>Middle-tier clinical target.</t>
        </is>
      </c>
    </row>
    <row r="10" ht="15" customHeight="1" s="156">
      <c r="A10" s="41" t="inlineStr">
        <is>
          <t>Clinical Target</t>
        </is>
      </c>
      <c r="B10" s="27" t="inlineStr">
        <is>
          <t>CLINICAL</t>
        </is>
      </c>
      <c r="C10" s="36" t="inlineStr">
        <is>
          <t>DD</t>
        </is>
      </c>
      <c r="D10" s="69" t="inlineStr">
        <is>
          <t>tmp_DD</t>
        </is>
      </c>
      <c r="E10" s="66" t="inlineStr">
        <is>
          <t>target</t>
        </is>
      </c>
      <c r="F10" s="67" t="n">
        <v>0.7</v>
      </c>
      <c r="G10" s="66" t="n"/>
      <c r="H10" s="67" t="n"/>
      <c r="I10" s="67" t="inlineStr">
        <is>
          <t>low_tier</t>
        </is>
      </c>
      <c r="J10" s="67" t="n">
        <v>500</v>
      </c>
      <c r="K10" s="72" t="inlineStr">
        <is>
          <t>Y</t>
        </is>
      </c>
      <c r="L10" s="27" t="inlineStr">
        <is>
          <t>Lower-priority clinical target.</t>
        </is>
      </c>
    </row>
    <row r="11" ht="15" customHeight="1" s="156">
      <c r="A11" s="40" t="inlineStr">
        <is>
          <t>Clinical Target</t>
        </is>
      </c>
      <c r="B11" s="26" t="inlineStr">
        <is>
          <t>CLINICAL</t>
        </is>
      </c>
      <c r="C11" s="38" t="inlineStr">
        <is>
          <t>SLI</t>
        </is>
      </c>
      <c r="D11" s="69" t="inlineStr">
        <is>
          <t>tmp_SLI</t>
        </is>
      </c>
      <c r="E11" s="66" t="inlineStr">
        <is>
          <t>target</t>
        </is>
      </c>
      <c r="F11" s="67" t="n">
        <v>2</v>
      </c>
      <c r="G11" s="66" t="n"/>
      <c r="H11" s="67" t="n"/>
      <c r="I11" s="67" t="inlineStr">
        <is>
          <t>low_tier</t>
        </is>
      </c>
      <c r="J11" s="67" t="n">
        <v>500</v>
      </c>
      <c r="K11" s="72" t="inlineStr">
        <is>
          <t>Y</t>
        </is>
      </c>
      <c r="L11" s="26" t="inlineStr">
        <is>
          <t>Lower-priority clinical target.</t>
        </is>
      </c>
    </row>
    <row r="12" ht="15" customHeight="1" s="156">
      <c r="A12" s="41" t="inlineStr">
        <is>
          <t>Clinical Target</t>
        </is>
      </c>
      <c r="B12" s="27" t="inlineStr">
        <is>
          <t>CLINICAL</t>
        </is>
      </c>
      <c r="C12" s="36" t="inlineStr">
        <is>
          <t>OTHER</t>
        </is>
      </c>
      <c r="D12" s="69" t="inlineStr">
        <is>
          <t>tmp_OTHER</t>
        </is>
      </c>
      <c r="E12" s="66" t="inlineStr">
        <is>
          <t>optional</t>
        </is>
      </c>
      <c r="F12" s="67" t="n"/>
      <c r="G12" s="66" t="n"/>
      <c r="H12" s="67" t="n"/>
      <c r="I12" s="67" t="inlineStr">
        <is>
          <t>low_tier</t>
        </is>
      </c>
      <c r="J12" s="67" t="n">
        <v>500</v>
      </c>
      <c r="K12" s="72" t="inlineStr">
        <is>
          <t>N</t>
        </is>
      </c>
      <c r="L12" s="27" t="inlineStr">
        <is>
          <t>Enable only if target exists.</t>
        </is>
      </c>
    </row>
    <row r="13" ht="15" customHeight="1" s="156">
      <c r="A13" s="40" t="inlineStr">
        <is>
          <t>Demographic Target</t>
        </is>
      </c>
      <c r="B13" s="26" t="inlineStr">
        <is>
          <t>DEMOGRAPHIC</t>
        </is>
      </c>
      <c r="C13" s="38" t="inlineStr">
        <is>
          <t>demographics_from_target_workbook</t>
        </is>
      </c>
      <c r="D13" s="69" t="inlineStr">
        <is>
          <t>eth;edl;region</t>
        </is>
      </c>
      <c r="E13" s="66" t="inlineStr">
        <is>
          <t>target_workbook</t>
        </is>
      </c>
      <c r="F13" s="67" t="n"/>
      <c r="G13" s="66" t="n"/>
      <c r="H13" s="67" t="n"/>
      <c r="I13" s="67" t="inlineStr">
        <is>
          <t>demo</t>
        </is>
      </c>
      <c r="J13" s="67" t="n">
        <v>4000</v>
      </c>
      <c r="K13" s="72" t="inlineStr">
        <is>
          <t>Y</t>
        </is>
      </c>
      <c r="L13" s="26" t="inlineStr">
        <is>
          <t>Script reads demographic targets from target workbook mapping on sheet 2.</t>
        </is>
      </c>
    </row>
    <row r="14" ht="15" customHeight="1" s="156">
      <c r="A14" s="42" t="inlineStr">
        <is>
          <t>Swap Control</t>
        </is>
      </c>
      <c r="B14" s="43" t="inlineStr">
        <is>
          <t>OPTIMIZER</t>
        </is>
      </c>
      <c r="C14" s="44" t="inlineStr">
        <is>
          <t>swap_penalty</t>
        </is>
      </c>
      <c r="D14" s="73" t="inlineStr">
        <is>
          <t>selected_swaps</t>
        </is>
      </c>
      <c r="E14" s="74" t="inlineStr">
        <is>
          <t>minimize</t>
        </is>
      </c>
      <c r="F14" s="75" t="n"/>
      <c r="G14" s="74" t="n"/>
      <c r="H14" s="75" t="n"/>
      <c r="I14" s="75" t="inlineStr">
        <is>
          <t>swap</t>
        </is>
      </c>
      <c r="J14" s="75" t="n">
        <v>10</v>
      </c>
      <c r="K14" s="76" t="inlineStr">
        <is>
          <t>Y</t>
        </is>
      </c>
      <c r="L14" s="43" t="inlineStr">
        <is>
          <t>Small penalty to avoid unnecessary churn once target fit is good.</t>
        </is>
      </c>
    </row>
    <row r="15" ht="15" customHeight="1" s="156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15" customHeight="1" s="15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15" customHeight="1" s="156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15" customHeight="1" s="156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15" customHeight="1" s="156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15" customHeight="1" s="156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15" customHeight="1" s="156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15" customHeight="1" s="156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15" customHeight="1" s="156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15" customHeight="1" s="156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15" customHeight="1" s="156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15" customHeight="1" s="15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15" customHeight="1" s="156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15" customHeight="1" s="156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15" customHeight="1" s="156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15" customHeight="1" s="156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15" customHeight="1" s="15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 ht="15" customHeight="1" s="15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5" customHeight="1" s="15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5" customHeight="1" s="15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5" customHeight="1" s="156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 ht="15" customHeight="1" s="15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15" customHeight="1" s="156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15" customHeight="1" s="156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15" customHeight="1" s="156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15" customHeight="1" s="15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 ht="15" customHeight="1" s="15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15" customHeight="1" s="15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15" customHeight="1" s="15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15" customHeight="1" s="15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 ht="15" customHeight="1" s="15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 ht="15" customHeight="1" s="15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15" customHeight="1" s="15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 ht="15" customHeight="1" s="15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 ht="15" customHeight="1" s="15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15" customHeight="1" s="15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 ht="15" customHeight="1" s="15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 ht="15" customHeight="1" s="15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 ht="15" customHeight="1" s="15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 ht="15" customHeight="1" s="15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15" customHeight="1" s="15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15" customHeight="1" s="1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 ht="15" customHeight="1" s="15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 ht="15" customHeight="1" s="15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 ht="15" customHeight="1" s="15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 ht="15" customHeight="1" s="15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 ht="15" customHeight="1" s="15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 ht="15" customHeight="1" s="15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 ht="15" customHeight="1" s="15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 ht="15" customHeight="1" s="15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 ht="15" customHeight="1" s="15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 ht="15" customHeight="1" s="15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 ht="15" customHeight="1" s="15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 ht="15" customHeight="1" s="15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 ht="15" customHeight="1" s="15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 ht="15" customHeight="1" s="15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15" customHeight="1" s="15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15" customHeight="1" s="15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 ht="15" customHeight="1" s="15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 ht="15" customHeight="1" s="15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 ht="15" customHeight="1" s="15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 ht="15" customHeight="1" s="15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 ht="15" customHeight="1" s="15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 ht="15" customHeight="1" s="15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 ht="15" customHeight="1" s="15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 ht="15" customHeight="1" s="15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 ht="15" customHeight="1" s="15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 ht="15" customHeight="1" s="15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 ht="15" customHeight="1" s="15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 ht="15" customHeight="1" s="15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 ht="15" customHeight="1" s="15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 ht="15" customHeight="1" s="15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 ht="15" customHeight="1" s="15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 ht="15" customHeight="1" s="15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 ht="15" customHeight="1" s="15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 ht="15" customHeight="1" s="15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 ht="15" customHeight="1" s="15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 ht="15" customHeight="1" s="15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 ht="15" customHeight="1" s="15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 ht="15" customHeight="1" s="15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 ht="15" customHeight="1" s="15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 ht="15" customHeight="1" s="15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 ht="15" customHeight="1" s="15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 ht="15" customHeight="1" s="15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 ht="15" customHeight="1" s="15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 ht="15" customHeight="1" s="15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 ht="15" customHeight="1" s="15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</sheetData>
  <mergeCells count="3">
    <mergeCell ref="A3:L3"/>
    <mergeCell ref="A2:L2"/>
    <mergeCell ref="A1:L1"/>
  </mergeCells>
  <conditionalFormatting sqref="B5:C5">
    <cfRule type="duplicateValues" priority="1" dxfId="1"/>
    <cfRule type="duplicateValues" priority="2" dxfId="1"/>
  </conditionalFormatting>
  <conditionalFormatting sqref="C5:K101">
    <cfRule type="expression" priority="6" dxfId="0">
      <formula>DataPrepChoice="B"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:I1"/>
    </sheetView>
  </sheetViews>
  <sheetFormatPr baseColWidth="8" defaultRowHeight="14.25"/>
  <cols>
    <col width="24.375" customWidth="1" style="156" min="1" max="1"/>
    <col width="49.875" customWidth="1" style="156" min="2" max="2"/>
    <col width="37.375" customWidth="1" style="156" min="3" max="3"/>
    <col width="42.375" customWidth="1" style="156" min="4" max="4"/>
    <col width="3.375" customWidth="1" style="156" min="5" max="5"/>
    <col width="22.125" customWidth="1" style="156" min="6" max="6"/>
    <col width="31.5" customWidth="1" style="156" min="7" max="7"/>
    <col width="28" customWidth="1" style="156" min="8" max="8"/>
    <col width="48.75" customWidth="1" style="156" min="9" max="9"/>
  </cols>
  <sheetData>
    <row r="1" ht="48.75" customHeight="1" s="156">
      <c r="A1" s="196" t="inlineStr">
        <is>
          <t>5. Index &amp; Dictionary</t>
        </is>
      </c>
      <c r="I1" s="197" t="n"/>
      <c r="J1" s="2" t="n"/>
      <c r="K1" s="2" t="n"/>
      <c r="L1" s="2" t="n"/>
    </row>
    <row r="2" ht="42.75" customHeight="1" s="156">
      <c r="A2" s="187" t="inlineStr">
        <is>
          <t xml:space="preserve">Use this page as a map for the optimizer package (e.g., what to place where, what each script/app does, what outputs are created, and how workbook terms map to raw-data terms) </t>
        </is>
      </c>
      <c r="B2" s="188" t="n"/>
      <c r="C2" s="188" t="n"/>
      <c r="D2" s="188" t="n"/>
      <c r="E2" s="188" t="n"/>
      <c r="F2" s="188" t="n"/>
      <c r="G2" s="188" t="n"/>
      <c r="H2" s="188" t="n"/>
      <c r="I2" s="189" t="n"/>
      <c r="J2" s="2" t="n"/>
      <c r="K2" s="2" t="n"/>
      <c r="L2" s="2" t="n"/>
    </row>
    <row r="3" ht="15" customHeight="1" s="156">
      <c r="A3" s="198" t="n"/>
      <c r="B3" s="191" t="n"/>
      <c r="C3" s="191" t="n"/>
      <c r="D3" s="191" t="n"/>
      <c r="E3" s="191" t="n"/>
      <c r="F3" s="191" t="n"/>
      <c r="G3" s="191" t="n"/>
      <c r="H3" s="191" t="n"/>
      <c r="I3" s="192" t="n"/>
      <c r="J3" s="2" t="n"/>
      <c r="K3" s="2" t="n"/>
      <c r="L3" s="2" t="n"/>
    </row>
    <row r="4" ht="44.25" customHeight="1" s="156">
      <c r="A4" s="193" t="inlineStr">
        <is>
          <t>QUICK WORKFLOW INDEX</t>
        </is>
      </c>
      <c r="B4" s="188" t="n"/>
      <c r="C4" s="188" t="n"/>
      <c r="D4" s="189" t="n"/>
      <c r="E4" s="194" t="n"/>
      <c r="F4" s="193" t="inlineStr">
        <is>
          <t>INPUT PLACEMENT INDEX</t>
        </is>
      </c>
      <c r="G4" s="188" t="n"/>
      <c r="H4" s="188" t="n"/>
      <c r="I4" s="189" t="n"/>
      <c r="J4" s="2" t="n"/>
      <c r="K4" s="2" t="n"/>
      <c r="L4" s="2" t="n"/>
    </row>
    <row r="5" ht="33.95" customHeight="1" s="156">
      <c r="A5" s="49" t="inlineStr">
        <is>
          <t>Phase</t>
        </is>
      </c>
      <c r="B5" s="55" t="inlineStr">
        <is>
          <t>What the user does</t>
        </is>
      </c>
      <c r="C5" s="55" t="inlineStr">
        <is>
          <t>Where it happens</t>
        </is>
      </c>
      <c r="D5" s="55" t="inlineStr">
        <is>
          <t>What gets created or changed</t>
        </is>
      </c>
      <c r="E5" s="195" t="n"/>
      <c r="F5" s="55" t="inlineStr">
        <is>
          <t>Input item</t>
        </is>
      </c>
      <c r="G5" s="55" t="inlineStr">
        <is>
          <t>If workflow = Build Optimizer Package from Raw Data</t>
        </is>
      </c>
      <c r="H5" s="55" t="inlineStr">
        <is>
          <t>If workflow = Optimize Existing Prepared Data</t>
        </is>
      </c>
      <c r="I5" s="55" t="inlineStr">
        <is>
          <t>Notes</t>
        </is>
      </c>
      <c r="J5" s="2" t="n"/>
      <c r="K5" s="2" t="n"/>
      <c r="L5" s="2" t="n"/>
    </row>
    <row r="6" ht="42" customHeight="1" s="156">
      <c r="A6" s="58" t="inlineStr">
        <is>
          <t>Start</t>
        </is>
      </c>
      <c r="B6" s="59" t="inlineStr">
        <is>
          <t>Open START_HERE_WORKFLOW and choose your starting point.</t>
        </is>
      </c>
      <c r="C6" s="59" t="inlineStr">
        <is>
          <t>START_HERE_WORKFLOW</t>
        </is>
      </c>
      <c r="D6" s="60" t="inlineStr">
        <is>
          <t>Determines whether the package should prepare raw data first or use already-prepped files.</t>
        </is>
      </c>
      <c r="E6" s="195" t="n"/>
      <c r="F6" s="59" t="inlineStr">
        <is>
          <t>Raw scored/source data</t>
        </is>
      </c>
      <c r="G6" s="59" t="inlineStr">
        <is>
          <t>Place in inputs\raw_data\</t>
        </is>
      </c>
      <c r="H6" s="59" t="inlineStr">
        <is>
          <t>Not used</t>
        </is>
      </c>
      <c r="I6" s="59" t="inlineStr">
        <is>
          <t>Raw workflow only. Script 01 converts these into prepared optimizer inputs.</t>
        </is>
      </c>
      <c r="J6" s="2" t="n"/>
      <c r="K6" s="2" t="n"/>
      <c r="L6" s="2" t="n"/>
    </row>
    <row r="7" ht="42" customHeight="1" s="156">
      <c r="A7" s="58" t="inlineStr">
        <is>
          <t>Build package from raw data</t>
        </is>
      </c>
      <c r="B7" s="59" t="inlineStr">
        <is>
          <t>Place raw BASC/source files in the raw-data input folder, then run the prep/package step.</t>
        </is>
      </c>
      <c r="C7" s="59" t="inlineStr">
        <is>
          <t>inputs\raw_data\ and Script 01</t>
        </is>
      </c>
      <c r="D7" s="60" t="inlineStr">
        <is>
          <t>Creates MASTER_SAMPLE.xlsx and replacement-pool workbooks, then refreshes package inputs.</t>
        </is>
      </c>
      <c r="E7" s="195" t="n"/>
      <c r="F7" s="59" t="inlineStr">
        <is>
          <t>TEID / clinical membership file</t>
        </is>
      </c>
      <c r="G7" s="59" t="inlineStr">
        <is>
          <t>Place in inputs\raw_data\ or configured raw-data location</t>
        </is>
      </c>
      <c r="H7" s="59" t="inlineStr">
        <is>
          <t>Not used as master sample</t>
        </is>
      </c>
      <c r="I7" s="59" t="inlineStr">
        <is>
          <t>Used during prep to define selected/clinical groups. Do not use this as MASTER_SAMPLE.xlsx.</t>
        </is>
      </c>
      <c r="J7" s="2" t="n"/>
      <c r="K7" s="2" t="n"/>
      <c r="L7" s="2" t="n"/>
    </row>
    <row r="8" ht="42" customHeight="1" s="156">
      <c r="A8" s="58" t="inlineStr">
        <is>
          <t>Optimize existing prepared data</t>
        </is>
      </c>
      <c r="B8" s="59" t="inlineStr">
        <is>
          <t>Skip Script 01. Place prepped master sample, replacement pools, and target workbook into the standard input folders.</t>
        </is>
      </c>
      <c r="C8" s="59" t="inlineStr">
        <is>
          <t>inputs\master_sample\, inputs\replacement_pools\, inputs\targets\</t>
        </is>
      </c>
      <c r="D8" s="60" t="inlineStr">
        <is>
          <t>Allows the optimizer app to run directly from prepared files.</t>
        </is>
      </c>
      <c r="E8" s="195" t="n"/>
      <c r="F8" s="59" t="inlineStr">
        <is>
          <t>MASTER_SAMPLE.xlsx</t>
        </is>
      </c>
      <c r="G8" s="59" t="inlineStr">
        <is>
          <t>Created by Script 01</t>
        </is>
      </c>
      <c r="H8" s="59" t="inlineStr">
        <is>
          <t>Place in inputs\master_sample\</t>
        </is>
      </c>
      <c r="I8" s="59" t="inlineStr">
        <is>
          <t>Must contain one row per selected TEID and sheet final_all, unless another sheet is specified.</t>
        </is>
      </c>
      <c r="J8" s="2" t="n"/>
      <c r="K8" s="2" t="n"/>
      <c r="L8" s="2" t="n"/>
    </row>
    <row r="9" ht="42" customHeight="1" s="156">
      <c r="A9" s="58" t="inlineStr">
        <is>
          <t>Configure</t>
        </is>
      </c>
      <c r="B9" s="59" t="inlineStr">
        <is>
          <t>Review file paths, variable mappings, locks, targets, and weights.</t>
        </is>
      </c>
      <c r="C9" s="59" t="inlineStr">
        <is>
          <t>1_Project_Files through 4_Targets_Weights</t>
        </is>
      </c>
      <c r="D9" s="60" t="inlineStr">
        <is>
          <t>Changes optimizer behavior without editing Python.</t>
        </is>
      </c>
      <c r="E9" s="195" t="n"/>
      <c r="F9" s="59" t="inlineStr">
        <is>
          <t>Replacement-pool workbooks</t>
        </is>
      </c>
      <c r="G9" s="59" t="inlineStr">
        <is>
          <t>Created/copied by Script 01</t>
        </is>
      </c>
      <c r="H9" s="59" t="inlineStr">
        <is>
          <t>Place in inputs\replacement_pools\</t>
        </is>
      </c>
      <c r="I9" s="59" t="inlineStr">
        <is>
          <t>Each workbook should contain a replacement_pool sheet. Case-swap workbooks may also include final_sample.</t>
        </is>
      </c>
      <c r="J9" s="2" t="n"/>
      <c r="K9" s="2" t="n"/>
      <c r="L9" s="2" t="n"/>
    </row>
    <row r="10" ht="42" customHeight="1" s="156">
      <c r="A10" s="58" t="inlineStr">
        <is>
          <t>Optimize</t>
        </is>
      </c>
      <c r="B10" s="59" t="inlineStr">
        <is>
          <t>Double-click StratificationOptimizer.exe.</t>
        </is>
      </c>
      <c r="C10" s="59" t="inlineStr">
        <is>
          <t>Main app folder</t>
        </is>
      </c>
      <c r="D10" s="60" t="inlineStr">
        <is>
          <t>Runs CP-SAT optimization and creates output workbook/logs.</t>
        </is>
      </c>
      <c r="E10" s="195" t="n"/>
      <c r="F10" s="59" t="inlineStr">
        <is>
          <t>TARGETS.xlsx</t>
        </is>
      </c>
      <c r="G10" s="59" t="inlineStr">
        <is>
          <t>Place/copy to inputs\targets\</t>
        </is>
      </c>
      <c r="H10" s="59" t="inlineStr">
        <is>
          <t>Place/copy to inputs\targets\</t>
        </is>
      </c>
      <c r="I10" s="59" t="inlineStr">
        <is>
          <t>Contains OSEP/clinical targets and demographic target tables.</t>
        </is>
      </c>
      <c r="J10" s="2" t="n"/>
      <c r="K10" s="2" t="n"/>
      <c r="L10" s="2" t="n"/>
    </row>
    <row r="11" ht="42" customHeight="1" s="156">
      <c r="A11" s="61" t="inlineStr">
        <is>
          <t>Review</t>
        </is>
      </c>
      <c r="B11" s="62" t="inlineStr">
        <is>
          <t>Open the newest run folder and review OSEP, demo, sex-balance, and swap outputs.</t>
        </is>
      </c>
      <c r="C11" s="62" t="inlineStr">
        <is>
          <t>outputs\stratification_runs\</t>
        </is>
      </c>
      <c r="D11" s="63" t="inlineStr">
        <is>
          <t>Provides audit trail and final optimized sample.</t>
        </is>
      </c>
      <c r="E11" s="195" t="n"/>
      <c r="F11" s="59" t="inlineStr">
        <is>
          <t>Stratification_Optimizer_Config.xlsx</t>
        </is>
      </c>
      <c r="G11" s="59" t="inlineStr">
        <is>
          <t>Start with minimal workflow info; Script 01 can populate later sections.</t>
        </is>
      </c>
      <c r="H11" s="59" t="inlineStr">
        <is>
          <t>Review and complete all relevant sections before running .exe.</t>
        </is>
      </c>
      <c r="I11" s="59" t="inlineStr">
        <is>
          <t>This workbook is the control center.</t>
        </is>
      </c>
      <c r="J11" s="2" t="n"/>
      <c r="K11" s="2" t="n"/>
      <c r="L11" s="2" t="n"/>
    </row>
    <row r="12" ht="42" customHeight="1" s="156">
      <c r="A12" s="190" t="inlineStr">
        <is>
          <t>DICTIONARY: PYTHON / WORKBOOK / RAW DATA TERMS</t>
        </is>
      </c>
      <c r="B12" s="191" t="n"/>
      <c r="C12" s="191" t="n"/>
      <c r="D12" s="192" t="n"/>
      <c r="E12" s="195" t="n"/>
      <c r="F12" s="193" t="inlineStr">
        <is>
          <t>OUTPUT INDEX</t>
        </is>
      </c>
      <c r="G12" s="188" t="n"/>
      <c r="H12" s="188" t="n"/>
      <c r="I12" s="189" t="n"/>
      <c r="J12" s="52" t="n"/>
      <c r="K12" s="2" t="n"/>
      <c r="L12" s="2" t="n"/>
    </row>
    <row r="13" ht="24" customHeight="1" s="156">
      <c r="A13" s="57" t="inlineStr">
        <is>
          <t>Python/internal term</t>
        </is>
      </c>
      <c r="B13" s="57" t="inlineStr">
        <is>
          <t>Description</t>
        </is>
      </c>
      <c r="C13" s="57" t="inlineStr">
        <is>
          <t>Raw data or workbook equivalent</t>
        </is>
      </c>
      <c r="D13" s="51" t="inlineStr">
        <is>
          <t>Where controlled / mapped</t>
        </is>
      </c>
      <c r="E13" s="195" t="n"/>
      <c r="F13" s="50" t="inlineStr">
        <is>
          <t>Output</t>
        </is>
      </c>
      <c r="G13" s="57" t="inlineStr">
        <is>
          <t>Created by</t>
        </is>
      </c>
      <c r="H13" s="57" t="inlineStr">
        <is>
          <t>Where to find it</t>
        </is>
      </c>
      <c r="I13" s="57" t="inlineStr">
        <is>
          <t>How to use it</t>
        </is>
      </c>
      <c r="J13" s="2" t="n"/>
      <c r="K13" s="2" t="n"/>
      <c r="L13" s="2" t="n"/>
    </row>
    <row r="14" ht="42" customHeight="1" s="156">
      <c r="A14" s="59" t="inlineStr">
        <is>
          <t>project_dir</t>
        </is>
      </c>
      <c r="B14" s="59" t="inlineStr">
        <is>
          <t>Base project/app folder</t>
        </is>
      </c>
      <c r="C14" s="59" t="inlineStr">
        <is>
          <t>Folder containing the app package</t>
        </is>
      </c>
      <c r="D14" s="60" t="inlineStr">
        <is>
          <t>1_Project_Files</t>
        </is>
      </c>
      <c r="E14" s="195" t="n"/>
      <c r="F14" s="58" t="inlineStr">
        <is>
          <t>optimized_stratification_output.xlsx</t>
        </is>
      </c>
      <c r="G14" s="59" t="inlineStr">
        <is>
          <t>StratificationOptimizer.exe</t>
        </is>
      </c>
      <c r="H14" s="59" t="inlineStr">
        <is>
          <t>outputs\stratification_runs\run_&lt;timestamp&gt;_&lt;label&gt;\</t>
        </is>
      </c>
      <c r="I14" s="59" t="inlineStr">
        <is>
          <t>Main results workbook.</t>
        </is>
      </c>
      <c r="J14" s="2" t="n"/>
      <c r="K14" s="2" t="n"/>
      <c r="L14" s="2" t="n"/>
    </row>
    <row r="15" ht="42" customHeight="1" s="156">
      <c r="A15" s="59" t="inlineStr">
        <is>
          <t>master_sample_file</t>
        </is>
      </c>
      <c r="B15" s="59" t="inlineStr">
        <is>
          <t>Starting selected sample entering optimization</t>
        </is>
      </c>
      <c r="C15" s="59" t="inlineStr">
        <is>
          <t>MASTER_SAMPLE.xlsx</t>
        </is>
      </c>
      <c r="D15" s="60" t="inlineStr">
        <is>
          <t>1_Project_Files</t>
        </is>
      </c>
      <c r="E15" s="195" t="n"/>
      <c r="F15" s="58" t="inlineStr">
        <is>
          <t>final optimized sample / final_teids</t>
        </is>
      </c>
      <c r="G15" s="59" t="inlineStr">
        <is>
          <t>Optimizer</t>
        </is>
      </c>
      <c r="H15" s="59" t="inlineStr">
        <is>
          <t>Inside the output workbook</t>
        </is>
      </c>
      <c r="I15" s="59" t="inlineStr">
        <is>
          <t>Use as the final selected sample after swaps.</t>
        </is>
      </c>
      <c r="J15" s="2" t="n"/>
      <c r="K15" s="2" t="n"/>
      <c r="L15" s="2" t="n"/>
    </row>
    <row r="16" ht="42" customHeight="1" s="156">
      <c r="A16" s="59" t="inlineStr">
        <is>
          <t>master_sample_sheet</t>
        </is>
      </c>
      <c r="B16" s="59" t="inlineStr">
        <is>
          <t>Worksheet with the starting sample</t>
        </is>
      </c>
      <c r="C16" s="59" t="inlineStr">
        <is>
          <t>Usually final_all</t>
        </is>
      </c>
      <c r="D16" s="60" t="inlineStr">
        <is>
          <t>1_Project_Files</t>
        </is>
      </c>
      <c r="E16" s="195" t="n"/>
      <c r="F16" s="58" t="inlineStr">
        <is>
          <t>swap_pairs</t>
        </is>
      </c>
      <c r="G16" s="59" t="inlineStr">
        <is>
          <t>Optimizer</t>
        </is>
      </c>
      <c r="H16" s="59" t="inlineStr">
        <is>
          <t>Inside the output workbook</t>
        </is>
      </c>
      <c r="I16" s="60" t="inlineStr">
        <is>
          <t>Audit which TEIDs were removed and added.</t>
        </is>
      </c>
      <c r="J16" s="2" t="n"/>
      <c r="K16" s="2" t="n"/>
      <c r="L16" s="2" t="n"/>
    </row>
    <row r="17" ht="42" customHeight="1" s="156">
      <c r="A17" s="59" t="inlineStr">
        <is>
          <t>qa_dir</t>
        </is>
      </c>
      <c r="B17" s="59" t="inlineStr">
        <is>
          <t>Folder holding replacement-pool files</t>
        </is>
      </c>
      <c r="C17" s="59" t="inlineStr">
        <is>
          <t>inputs\replacement_pools\</t>
        </is>
      </c>
      <c r="D17" s="60" t="inlineStr">
        <is>
          <t>1_Project_Files</t>
        </is>
      </c>
      <c r="E17" s="195" t="n"/>
      <c r="F17" s="58" t="inlineStr">
        <is>
          <t>all_candidate_swaps</t>
        </is>
      </c>
      <c r="G17" s="59" t="inlineStr">
        <is>
          <t>Optimizer</t>
        </is>
      </c>
      <c r="H17" s="59" t="inlineStr">
        <is>
          <t>Inside the output workbook</t>
        </is>
      </c>
      <c r="I17" s="60" t="inlineStr">
        <is>
          <t>Debugging/audit table showing feasible swap graph considered by the solver.</t>
        </is>
      </c>
      <c r="J17" s="2" t="n"/>
      <c r="K17" s="2" t="n"/>
      <c r="L17" s="2" t="n"/>
    </row>
    <row r="18" ht="42" customHeight="1" s="156">
      <c r="A18" s="59" t="inlineStr">
        <is>
          <t>target_workbook</t>
        </is>
      </c>
      <c r="B18" s="59" t="inlineStr">
        <is>
          <t>Workbook with targets</t>
        </is>
      </c>
      <c r="C18" s="59" t="inlineStr">
        <is>
          <t>TARGETS.xlsx</t>
        </is>
      </c>
      <c r="D18" s="60" t="inlineStr">
        <is>
          <t>1_Project_Files</t>
        </is>
      </c>
      <c r="E18" s="195" t="n"/>
      <c r="F18" s="58" t="inlineStr">
        <is>
          <t>osep</t>
        </is>
      </c>
      <c r="G18" s="59" t="inlineStr">
        <is>
          <t>Optimizer</t>
        </is>
      </c>
      <c r="H18" s="59" t="inlineStr">
        <is>
          <t>Inside the output workbook</t>
        </is>
      </c>
      <c r="I18" s="60" t="inlineStr">
        <is>
          <t>Confirms clinical/OSEP target fit after optimization.</t>
        </is>
      </c>
      <c r="J18" s="2" t="n"/>
      <c r="K18" s="2" t="n"/>
      <c r="L18" s="2" t="n"/>
    </row>
    <row r="19" ht="42" customHeight="1" s="156">
      <c r="A19" s="59" t="inlineStr">
        <is>
          <t>teid</t>
        </is>
      </c>
      <c r="B19" s="59" t="inlineStr">
        <is>
          <t>Unique case/person ID</t>
        </is>
      </c>
      <c r="C19" s="59" t="inlineStr">
        <is>
          <t>TEID, ID, case_id, participant_id</t>
        </is>
      </c>
      <c r="D19" s="60" t="inlineStr">
        <is>
          <t>2_Data_Map</t>
        </is>
      </c>
      <c r="E19" s="195" t="n"/>
      <c r="F19" s="58" t="inlineStr">
        <is>
          <t>trs / prs / srp demo tables</t>
        </is>
      </c>
      <c r="G19" s="59" t="inlineStr">
        <is>
          <t>Optimizer</t>
        </is>
      </c>
      <c r="H19" s="59" t="inlineStr">
        <is>
          <t>Inside the output workbook</t>
        </is>
      </c>
      <c r="I19" s="60" t="inlineStr">
        <is>
          <t>Confirms demographic target fit after optimization.</t>
        </is>
      </c>
      <c r="J19" s="2" t="n"/>
      <c r="K19" s="2" t="n"/>
      <c r="L19" s="2" t="n"/>
    </row>
    <row r="20" ht="42" customHeight="1" s="156">
      <c r="A20" s="59" t="inlineStr">
        <is>
          <t>vform</t>
        </is>
      </c>
      <c r="B20" s="59" t="inlineStr">
        <is>
          <t>Form/rater version</t>
        </is>
      </c>
      <c r="C20" s="59" t="inlineStr">
        <is>
          <t>TRS_C, TRS_A, PRS_C, PRS_A, SRP_C, SRP_A</t>
        </is>
      </c>
      <c r="D20" s="60" t="inlineStr">
        <is>
          <t>2_Data_Map</t>
        </is>
      </c>
      <c r="E20" s="195" t="n"/>
      <c r="F20" s="58" t="inlineStr">
        <is>
          <t>sex_balance</t>
        </is>
      </c>
      <c r="G20" s="59" t="inlineStr">
        <is>
          <t>Optimizer</t>
        </is>
      </c>
      <c r="H20" s="59" t="inlineStr">
        <is>
          <t>Inside the output workbook</t>
        </is>
      </c>
      <c r="I20" s="60" t="inlineStr">
        <is>
          <t>Confirms exact-sex-balance behavior that used to be handled by Script 64a.</t>
        </is>
      </c>
      <c r="J20" s="2" t="n"/>
      <c r="K20" s="2" t="n"/>
      <c r="L20" s="2" t="n"/>
    </row>
    <row r="21" ht="42" customHeight="1" s="156">
      <c r="A21" s="59" t="inlineStr">
        <is>
          <t>agegrp</t>
        </is>
      </c>
      <c r="B21" s="59" t="inlineStr">
        <is>
          <t>Optimization age group/cell</t>
        </is>
      </c>
      <c r="C21" s="59" t="inlineStr">
        <is>
          <t>agegrp, age_group, age_band</t>
        </is>
      </c>
      <c r="D21" s="60" t="inlineStr">
        <is>
          <t>2_Data_Map</t>
        </is>
      </c>
      <c r="E21" s="195" t="n"/>
      <c r="F21" s="58" t="inlineStr">
        <is>
          <t>read_log</t>
        </is>
      </c>
      <c r="G21" s="59" t="inlineStr">
        <is>
          <t>Optimizer</t>
        </is>
      </c>
      <c r="H21" s="59" t="inlineStr">
        <is>
          <t>Inside the output workbook</t>
        </is>
      </c>
      <c r="I21" s="60" t="inlineStr">
        <is>
          <t>Lists files read during the run.</t>
        </is>
      </c>
      <c r="J21" s="2" t="n"/>
      <c r="K21" s="2" t="n"/>
      <c r="L21" s="2" t="n"/>
    </row>
    <row r="22" ht="24" customHeight="1" s="156">
      <c r="A22" s="59" t="inlineStr">
        <is>
          <t>agey</t>
        </is>
      </c>
      <c r="B22" s="59" t="inlineStr">
        <is>
          <t>Age in years</t>
        </is>
      </c>
      <c r="C22" s="59" t="inlineStr">
        <is>
          <t>agey, age, basc4_agey, adjagey</t>
        </is>
      </c>
      <c r="D22" s="60" t="inlineStr">
        <is>
          <t>2_Data_Map</t>
        </is>
      </c>
      <c r="E22" s="195" t="n"/>
      <c r="F22" s="61" t="inlineStr">
        <is>
          <t>log file</t>
        </is>
      </c>
      <c r="G22" s="62" t="inlineStr">
        <is>
          <t>Optimizer app</t>
        </is>
      </c>
      <c r="H22" s="62" t="inlineStr">
        <is>
          <t>logs\</t>
        </is>
      </c>
      <c r="I22" s="63" t="inlineStr">
        <is>
          <t>Use if the app fails or closes unexpectedly.</t>
        </is>
      </c>
      <c r="J22" s="2" t="n"/>
      <c r="K22" s="2" t="n"/>
      <c r="L22" s="2" t="n"/>
    </row>
    <row r="23" ht="42" customHeight="1" s="156">
      <c r="A23" s="59" t="inlineStr">
        <is>
          <t>sex</t>
        </is>
      </c>
      <c r="B23" s="59" t="inlineStr">
        <is>
          <t>Sex/gender grouping variable</t>
        </is>
      </c>
      <c r="C23" s="59" t="inlineStr">
        <is>
          <t>F/M or mapped values</t>
        </is>
      </c>
      <c r="D23" s="60" t="inlineStr">
        <is>
          <t>2_Data_Map and 3_Pools_Constraints</t>
        </is>
      </c>
      <c r="E23" s="2" t="n"/>
      <c r="J23" s="2" t="n"/>
      <c r="K23" s="2" t="n"/>
      <c r="L23" s="2" t="n"/>
    </row>
    <row r="24" ht="42" customHeight="1" s="156">
      <c r="A24" s="59" t="inlineStr">
        <is>
          <t>eth / edl / region</t>
        </is>
      </c>
      <c r="B24" s="59" t="inlineStr">
        <is>
          <t>Demographic target variables</t>
        </is>
      </c>
      <c r="C24" s="59" t="inlineStr">
        <is>
          <t>Ethnicity, education level, census region</t>
        </is>
      </c>
      <c r="D24" s="60" t="inlineStr">
        <is>
          <t>2_Data_Map and target workbook</t>
        </is>
      </c>
      <c r="E24" s="2" t="n"/>
      <c r="J24" s="2" t="n"/>
      <c r="K24" s="2" t="n"/>
      <c r="L24" s="2" t="n"/>
    </row>
    <row r="25" ht="42" customHeight="1" s="156">
      <c r="A25" s="59" t="inlineStr">
        <is>
          <t>tmp_ADHD, tmp_EBD, etc.</t>
        </is>
      </c>
      <c r="B25" s="59" t="inlineStr">
        <is>
          <t>0/1 clinical/OSEP flags</t>
        </is>
      </c>
      <c r="C25" s="59" t="inlineStr">
        <is>
          <t>Raw clinical indicator columns</t>
        </is>
      </c>
      <c r="D25" s="60" t="inlineStr">
        <is>
          <t>2_Data_Map and 4_Targets_Weights</t>
        </is>
      </c>
      <c r="E25" s="2" t="n"/>
      <c r="J25" s="2" t="n"/>
      <c r="K25" s="2" t="n"/>
      <c r="L25" s="2" t="n"/>
    </row>
    <row r="26" ht="42" customHeight="1" s="156">
      <c r="A26" s="62" t="inlineStr">
        <is>
          <t>tmp_clin</t>
        </is>
      </c>
      <c r="B26" s="62" t="inlineStr">
        <is>
          <t>Any enabled clinical flag = 1</t>
        </is>
      </c>
      <c r="C26" s="62" t="inlineStr">
        <is>
          <t>Computed from component tmp_* flags</t>
        </is>
      </c>
      <c r="D26" s="63" t="inlineStr">
        <is>
          <t>Computed by Python; target controlled in 4_Targets_Weights</t>
        </is>
      </c>
      <c r="E26" s="52" t="n"/>
      <c r="F26" s="47" t="n"/>
      <c r="J26" s="2" t="n"/>
      <c r="K26" s="2" t="n"/>
      <c r="L26" s="2" t="n"/>
    </row>
    <row r="27" ht="42" customHeight="1" s="156">
      <c r="E27" s="2" t="n"/>
      <c r="J27" s="2" t="n"/>
      <c r="K27" s="2" t="n"/>
      <c r="L27" s="2" t="n"/>
    </row>
    <row r="28" ht="42" customHeight="1" s="156">
      <c r="E28" s="2" t="n"/>
      <c r="J28" s="2" t="n"/>
      <c r="K28" s="2" t="n"/>
      <c r="L28" s="2" t="n"/>
    </row>
    <row r="29" ht="42" customHeight="1" s="156">
      <c r="E29" s="2" t="n"/>
      <c r="J29" s="2" t="n"/>
      <c r="K29" s="2" t="n"/>
      <c r="L29" s="2" t="n"/>
    </row>
    <row r="30" ht="42" customHeight="1" s="156">
      <c r="E30" s="2" t="n"/>
      <c r="J30" s="2" t="n"/>
      <c r="K30" s="2" t="n"/>
      <c r="L30" s="2" t="n"/>
    </row>
    <row r="31" ht="42" customHeight="1" s="156">
      <c r="E31" s="2" t="n"/>
      <c r="J31" s="2" t="n"/>
      <c r="K31" s="2" t="n"/>
      <c r="L31" s="2" t="n"/>
    </row>
    <row r="32" ht="42" customHeight="1" s="156">
      <c r="E32" s="2" t="n"/>
      <c r="J32" s="2" t="n"/>
      <c r="K32" s="2" t="n"/>
      <c r="L32" s="2" t="n"/>
    </row>
    <row r="33" ht="42" customHeight="1" s="156">
      <c r="E33" s="2" t="n"/>
      <c r="J33" s="2" t="n"/>
      <c r="K33" s="2" t="n"/>
      <c r="L33" s="2" t="n"/>
    </row>
    <row r="34" ht="42" customHeight="1" s="156">
      <c r="E34" s="48" t="n"/>
      <c r="J34" s="2" t="n"/>
      <c r="K34" s="2" t="n"/>
      <c r="L34" s="2" t="n"/>
    </row>
    <row r="35" ht="24" customHeight="1" s="156">
      <c r="E35" s="2" t="n"/>
      <c r="J35" s="2" t="n"/>
      <c r="K35" s="2" t="n"/>
      <c r="L35" s="2" t="n"/>
    </row>
    <row r="36" ht="42" customHeight="1" s="156">
      <c r="E36" s="2" t="n"/>
      <c r="J36" s="2" t="n"/>
      <c r="K36" s="2" t="n"/>
      <c r="L36" s="2" t="n"/>
    </row>
    <row r="37" ht="42" customHeight="1" s="156">
      <c r="E37" s="2" t="n"/>
      <c r="J37" s="2" t="n"/>
      <c r="K37" s="2" t="n"/>
      <c r="L37" s="2" t="n"/>
    </row>
    <row r="38" ht="42" customHeight="1" s="156">
      <c r="E38" s="2" t="n"/>
      <c r="J38" s="2" t="n"/>
      <c r="K38" s="2" t="n"/>
      <c r="L38" s="2" t="n"/>
    </row>
    <row r="39" hidden="1" ht="42" customHeight="1" s="156">
      <c r="E39" s="2" t="n"/>
      <c r="F39" s="53" t="inlineStr">
        <is>
          <t>PACKAGE_MANIFEST.xlsx</t>
        </is>
      </c>
      <c r="G39" s="56" t="inlineStr">
        <is>
          <t>Script 01 package step</t>
        </is>
      </c>
      <c r="H39" s="56" t="inlineStr">
        <is>
          <t>Main app folder</t>
        </is>
      </c>
      <c r="I39" s="54" t="inlineStr">
        <is>
          <t>Shows what files were packaged and where they were copied.</t>
        </is>
      </c>
      <c r="J39" s="2" t="n"/>
      <c r="K39" s="2" t="n"/>
      <c r="L39" s="2" t="n"/>
    </row>
    <row r="40" ht="42" customHeight="1" s="156">
      <c r="E40" s="2" t="n"/>
      <c r="F40" s="2" t="n"/>
      <c r="G40" s="2" t="n"/>
      <c r="H40" s="2" t="n"/>
    </row>
    <row r="41" ht="42" customHeight="1" s="156">
      <c r="E41" s="2" t="n"/>
      <c r="F41" s="2" t="n"/>
      <c r="G41" s="2" t="n"/>
      <c r="H41" s="2" t="n"/>
    </row>
    <row r="42" ht="42" customHeight="1" s="156">
      <c r="E42" s="2" t="n"/>
    </row>
    <row r="43" ht="42" customHeight="1" s="156">
      <c r="A43" s="9" t="n"/>
      <c r="B43" s="9" t="n"/>
      <c r="C43" s="9" t="n"/>
      <c r="D43" s="9" t="n"/>
    </row>
    <row r="44" ht="42" customHeight="1" s="156"/>
    <row r="45" ht="42" customHeight="1" s="156"/>
    <row r="46" ht="42" customHeight="1" s="156"/>
    <row r="47" ht="42" customHeight="1" s="156"/>
    <row r="48" ht="42" customHeight="1" s="156"/>
    <row r="49" ht="42" customHeight="1" s="156">
      <c r="A49" s="2" t="n"/>
      <c r="B49" s="2" t="n"/>
      <c r="C49" s="2" t="n"/>
      <c r="D49" s="3" t="n"/>
      <c r="E49" s="1" t="n"/>
      <c r="F49" s="9" t="n"/>
      <c r="G49" s="9" t="n"/>
      <c r="H49" s="9" t="n"/>
      <c r="I49" s="9" t="n"/>
    </row>
    <row r="50" ht="42" customFormat="1" customHeight="1" s="9">
      <c r="A50" s="2" t="n"/>
      <c r="B50" s="2" t="n"/>
      <c r="C50" s="2" t="n"/>
      <c r="D50" s="3" t="n"/>
      <c r="E50" s="46" t="n"/>
    </row>
    <row r="51" ht="42" customHeight="1" s="156">
      <c r="A51" s="2" t="n"/>
      <c r="B51" s="2" t="n"/>
      <c r="C51" s="2" t="n"/>
      <c r="D51" s="2" t="n"/>
      <c r="E51" s="1" t="n"/>
    </row>
    <row r="52" ht="42" customHeight="1" s="156">
      <c r="A52" s="2" t="n"/>
      <c r="B52" s="2" t="n"/>
      <c r="C52" s="2" t="n"/>
      <c r="D52" s="2" t="n"/>
      <c r="E52" s="1" t="n"/>
    </row>
    <row r="53" ht="42" customHeight="1" s="156">
      <c r="A53" s="2" t="n"/>
      <c r="B53" s="2" t="n"/>
      <c r="C53" s="2" t="n"/>
      <c r="D53" s="2" t="n"/>
      <c r="E53" s="1" t="n"/>
    </row>
    <row r="54" ht="42" customHeight="1" s="156">
      <c r="A54" s="2" t="n"/>
      <c r="B54" s="2" t="n"/>
      <c r="C54" s="2" t="n"/>
      <c r="D54" s="2" t="n"/>
      <c r="E54" s="1" t="n"/>
    </row>
    <row r="55" ht="42" customHeight="1" s="156">
      <c r="A55" s="2" t="n"/>
      <c r="B55" s="2" t="n"/>
      <c r="C55" s="2" t="n"/>
      <c r="D55" s="2" t="n"/>
      <c r="E55" s="1" t="n"/>
    </row>
    <row r="56" ht="42" customHeight="1" s="156">
      <c r="A56" s="2" t="n"/>
      <c r="B56" s="2" t="n"/>
      <c r="C56" s="2" t="n"/>
      <c r="D56" s="2" t="n"/>
      <c r="E56" s="1" t="n"/>
    </row>
    <row r="57" ht="24" customHeight="1" s="156">
      <c r="A57" s="2" t="n"/>
      <c r="B57" s="2" t="n"/>
      <c r="C57" s="2" t="n"/>
      <c r="D57" s="2" t="n"/>
      <c r="E57" s="1" t="n"/>
    </row>
    <row r="58" ht="42" customHeight="1" s="156">
      <c r="A58" s="2" t="n"/>
      <c r="B58" s="2" t="n"/>
      <c r="C58" s="2" t="n"/>
      <c r="D58" s="2" t="n"/>
      <c r="E58" s="1" t="n"/>
      <c r="F58" s="2" t="n"/>
      <c r="G58" s="2" t="n"/>
      <c r="H58" s="2" t="n"/>
      <c r="I58" s="2" t="n"/>
    </row>
    <row r="59" ht="42" customHeight="1" s="156">
      <c r="A59" s="2" t="n"/>
      <c r="B59" s="2" t="n"/>
      <c r="C59" s="2" t="n"/>
      <c r="D59" s="2" t="n"/>
      <c r="E59" s="3" t="n"/>
      <c r="F59" s="2" t="n"/>
      <c r="G59" s="2" t="n"/>
      <c r="H59" s="2" t="n"/>
      <c r="I59" s="2" t="n"/>
      <c r="J59" s="2" t="n"/>
      <c r="K59" s="2" t="n"/>
      <c r="L59" s="2" t="n"/>
    </row>
    <row r="60" ht="42" customHeight="1" s="156">
      <c r="A60" s="2" t="n"/>
      <c r="B60" s="2" t="n"/>
      <c r="C60" s="2" t="n"/>
      <c r="D60" s="2" t="n"/>
      <c r="E60" s="3" t="n"/>
      <c r="F60" s="2" t="n"/>
      <c r="G60" s="2" t="n"/>
      <c r="H60" s="2" t="n"/>
      <c r="I60" s="2" t="n"/>
      <c r="J60" s="2" t="n"/>
      <c r="K60" s="2" t="n"/>
      <c r="L60" s="2" t="n"/>
    </row>
    <row r="61" ht="42" customHeight="1" s="156">
      <c r="A61" s="2" t="n"/>
      <c r="B61" s="2" t="n"/>
      <c r="C61" s="2" t="n"/>
      <c r="D61" s="2" t="n"/>
      <c r="E61" s="3" t="n"/>
      <c r="F61" s="2" t="n"/>
      <c r="G61" s="2" t="n"/>
      <c r="H61" s="2" t="n"/>
      <c r="I61" s="2" t="n"/>
      <c r="J61" s="2" t="n"/>
      <c r="K61" s="2" t="n"/>
      <c r="L61" s="2" t="n"/>
    </row>
    <row r="62" ht="42" customHeight="1" s="156">
      <c r="A62" s="2" t="n"/>
      <c r="B62" s="2" t="n"/>
      <c r="C62" s="2" t="n"/>
      <c r="D62" s="2" t="n"/>
      <c r="E62" s="3" t="n"/>
      <c r="F62" s="2" t="n"/>
      <c r="G62" s="2" t="n"/>
      <c r="H62" s="2" t="n"/>
      <c r="I62" s="2" t="n"/>
      <c r="J62" s="2" t="n"/>
      <c r="K62" s="2" t="n"/>
      <c r="L62" s="2" t="n"/>
    </row>
    <row r="63" ht="42" customHeight="1" s="156">
      <c r="A63" s="2" t="n"/>
      <c r="B63" s="2" t="n"/>
      <c r="C63" s="2" t="n"/>
      <c r="D63" s="2" t="n"/>
      <c r="E63" s="3" t="n"/>
      <c r="F63" s="2" t="n"/>
      <c r="G63" s="2" t="n"/>
      <c r="H63" s="2" t="n"/>
      <c r="I63" s="2" t="n"/>
      <c r="J63" s="2" t="n"/>
      <c r="K63" s="2" t="n"/>
      <c r="L63" s="2" t="n"/>
    </row>
    <row r="64" ht="42" customHeight="1" s="156">
      <c r="A64" s="2" t="n"/>
      <c r="B64" s="2" t="n"/>
      <c r="C64" s="2" t="n"/>
      <c r="D64" s="2" t="n"/>
      <c r="E64" s="3" t="n"/>
      <c r="F64" s="2" t="n"/>
      <c r="G64" s="2" t="n"/>
      <c r="H64" s="2" t="n"/>
      <c r="I64" s="2" t="n"/>
      <c r="J64" s="2" t="n"/>
      <c r="K64" s="2" t="n"/>
      <c r="L64" s="2" t="n"/>
    </row>
    <row r="65" ht="15" customHeight="1" s="156">
      <c r="A65" s="2" t="n"/>
      <c r="B65" s="2" t="n"/>
      <c r="C65" s="2" t="n"/>
      <c r="D65" s="2" t="n"/>
      <c r="E65" s="3" t="n"/>
      <c r="F65" s="2" t="n"/>
      <c r="G65" s="2" t="n"/>
      <c r="H65" s="2" t="n"/>
      <c r="I65" s="2" t="n"/>
      <c r="J65" s="2" t="n"/>
      <c r="K65" s="2" t="n"/>
      <c r="L65" s="2" t="n"/>
    </row>
    <row r="66" ht="15" customHeight="1" s="156">
      <c r="E66" s="3" t="n"/>
      <c r="F66" s="2" t="n"/>
      <c r="G66" s="2" t="n"/>
      <c r="H66" s="2" t="n"/>
      <c r="I66" s="2" t="n"/>
      <c r="J66" s="2" t="n"/>
      <c r="K66" s="2" t="n"/>
      <c r="L66" s="2" t="n"/>
    </row>
    <row r="67" ht="15" customHeight="1" s="156">
      <c r="E67" s="3" t="n"/>
      <c r="F67" s="2" t="n"/>
      <c r="G67" s="2" t="n"/>
      <c r="H67" s="2" t="n"/>
      <c r="I67" s="2" t="n"/>
      <c r="J67" s="2" t="n"/>
      <c r="K67" s="2" t="n"/>
      <c r="L67" s="2" t="n"/>
    </row>
    <row r="68" ht="15" customHeight="1" s="156">
      <c r="E68" s="3" t="n"/>
      <c r="F68" s="2" t="n"/>
      <c r="G68" s="2" t="n"/>
      <c r="H68" s="2" t="n"/>
      <c r="I68" s="2" t="n"/>
      <c r="J68" s="2" t="n"/>
      <c r="K68" s="2" t="n"/>
      <c r="L68" s="2" t="n"/>
    </row>
    <row r="69" ht="15" customHeight="1" s="156">
      <c r="E69" s="3" t="n"/>
      <c r="F69" s="2" t="n"/>
      <c r="G69" s="2" t="n"/>
      <c r="H69" s="2" t="n"/>
      <c r="I69" s="2" t="n"/>
      <c r="J69" s="2" t="n"/>
      <c r="K69" s="2" t="n"/>
      <c r="L69" s="2" t="n"/>
    </row>
    <row r="70" ht="15" customHeight="1" s="156"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15" customHeight="1" s="156">
      <c r="E71" s="2" t="n"/>
      <c r="F71" s="2" t="n"/>
      <c r="G71" s="2" t="n"/>
      <c r="H71" s="2" t="n"/>
      <c r="I71" s="2" t="n"/>
      <c r="J71" s="2" t="n"/>
      <c r="K71" s="2" t="n"/>
      <c r="L71" s="2" t="n"/>
    </row>
    <row r="72" ht="15" customHeight="1" s="156">
      <c r="E72" s="2" t="n"/>
      <c r="F72" s="2" t="n"/>
      <c r="G72" s="45" t="n"/>
      <c r="H72" s="2" t="n"/>
      <c r="I72" s="2" t="n"/>
      <c r="J72" s="2" t="n"/>
      <c r="K72" s="2" t="n"/>
      <c r="L72" s="2" t="n"/>
    </row>
    <row r="73" ht="15" customHeight="1" s="156">
      <c r="E73" s="2" t="n"/>
      <c r="F73" s="2" t="n"/>
      <c r="G73" s="2" t="n"/>
      <c r="H73" s="2" t="n"/>
      <c r="I73" s="2" t="n"/>
      <c r="J73" s="2" t="n"/>
      <c r="K73" s="2" t="n"/>
      <c r="L73" s="2" t="n"/>
    </row>
    <row r="74" ht="15" customHeight="1" s="156">
      <c r="E74" s="2" t="n"/>
      <c r="F74" s="2" t="n"/>
      <c r="G74" s="2" t="n"/>
      <c r="H74" s="2" t="n"/>
      <c r="I74" s="2" t="n"/>
      <c r="J74" s="2" t="n"/>
      <c r="K74" s="2" t="n"/>
      <c r="L74" s="2" t="n"/>
    </row>
    <row r="75" ht="15" customHeight="1" s="156">
      <c r="E75" s="2" t="n"/>
      <c r="F75" s="2" t="n"/>
      <c r="G75" s="2" t="n"/>
      <c r="H75" s="2" t="n"/>
      <c r="I75" s="2" t="n"/>
      <c r="J75" s="2" t="n"/>
      <c r="K75" s="2" t="n"/>
      <c r="L75" s="2" t="n"/>
    </row>
    <row r="76" ht="15" customHeight="1" s="156">
      <c r="E76" s="2" t="n"/>
      <c r="F76" s="2" t="n"/>
      <c r="G76" s="2" t="n"/>
      <c r="H76" s="2" t="n"/>
      <c r="I76" s="2" t="n"/>
      <c r="J76" s="2" t="n"/>
      <c r="K76" s="2" t="n"/>
      <c r="L76" s="2" t="n"/>
    </row>
    <row r="77" ht="15" customHeight="1" s="156">
      <c r="E77" s="2" t="n"/>
      <c r="F77" s="2" t="n"/>
      <c r="G77" s="2" t="n"/>
      <c r="H77" s="2" t="n"/>
      <c r="I77" s="2" t="n"/>
      <c r="J77" s="2" t="n"/>
      <c r="K77" s="2" t="n"/>
      <c r="L77" s="2" t="n"/>
    </row>
    <row r="78" ht="15" customHeight="1" s="156">
      <c r="E78" s="2" t="n"/>
      <c r="F78" s="2" t="n"/>
      <c r="G78" s="2" t="n"/>
      <c r="H78" s="2" t="n"/>
      <c r="I78" s="2" t="n"/>
      <c r="J78" s="2" t="n"/>
      <c r="K78" s="2" t="n"/>
      <c r="L78" s="2" t="n"/>
    </row>
    <row r="79" ht="15" customHeight="1" s="156">
      <c r="E79" s="2" t="n"/>
      <c r="F79" s="2" t="n"/>
      <c r="G79" s="2" t="n"/>
      <c r="H79" s="2" t="n"/>
      <c r="I79" s="2" t="n"/>
      <c r="J79" s="2" t="n"/>
      <c r="K79" s="2" t="n"/>
      <c r="L79" s="2" t="n"/>
    </row>
    <row r="80" ht="15" customHeight="1" s="156">
      <c r="E80" s="2" t="n"/>
      <c r="F80" s="2" t="n"/>
      <c r="G80" s="2" t="n"/>
      <c r="H80" s="2" t="n"/>
      <c r="I80" s="2" t="n"/>
      <c r="J80" s="2" t="n"/>
      <c r="K80" s="2" t="n"/>
      <c r="L80" s="2" t="n"/>
    </row>
    <row r="81" ht="15" customHeight="1" s="156">
      <c r="E81" s="2" t="n"/>
      <c r="F81" s="2" t="n"/>
      <c r="G81" s="2" t="n"/>
      <c r="H81" s="2" t="n"/>
      <c r="I81" s="2" t="n"/>
      <c r="J81" s="2" t="n"/>
      <c r="K81" s="2" t="n"/>
      <c r="L81" s="2" t="n"/>
    </row>
    <row r="82" ht="15" customHeight="1" s="156">
      <c r="E82" s="2" t="n"/>
      <c r="F82" s="2" t="n"/>
      <c r="G82" s="2" t="n"/>
      <c r="H82" s="2" t="n"/>
      <c r="I82" s="2" t="n"/>
      <c r="J82" s="2" t="n"/>
      <c r="K82" s="2" t="n"/>
      <c r="L82" s="2" t="n"/>
    </row>
    <row r="83" ht="15" customHeight="1" s="156">
      <c r="E83" s="2" t="n"/>
      <c r="F83" s="2" t="n"/>
      <c r="G83" s="2" t="n"/>
      <c r="H83" s="2" t="n"/>
      <c r="I83" s="2" t="n"/>
      <c r="J83" s="2" t="n"/>
      <c r="K83" s="2" t="n"/>
      <c r="L83" s="2" t="n"/>
    </row>
    <row r="84" ht="15" customHeight="1" s="156">
      <c r="E84" s="2" t="n"/>
      <c r="I84" s="2" t="n"/>
      <c r="J84" s="2" t="n"/>
      <c r="K84" s="2" t="n"/>
      <c r="L84" s="2" t="n"/>
    </row>
    <row r="85" ht="15" customHeight="1" s="156">
      <c r="I85" s="2" t="n"/>
      <c r="J85" s="2" t="n"/>
      <c r="K85" s="2" t="n"/>
      <c r="L85" s="2" t="n"/>
    </row>
    <row r="86" ht="15" customHeight="1" s="156">
      <c r="I86" s="2" t="n"/>
      <c r="J86" s="2" t="n"/>
      <c r="K86" s="2" t="n"/>
      <c r="L86" s="2" t="n"/>
    </row>
    <row r="87" ht="15" customHeight="1" s="156">
      <c r="I87" s="2" t="n"/>
      <c r="J87" s="2" t="n"/>
      <c r="K87" s="2" t="n"/>
      <c r="L87" s="2" t="n"/>
    </row>
    <row r="88" ht="15" customHeight="1" s="156">
      <c r="I88" s="2" t="n"/>
      <c r="J88" s="2" t="n"/>
      <c r="K88" s="2" t="n"/>
      <c r="L88" s="2" t="n"/>
    </row>
    <row r="89" ht="15" customHeight="1" s="156">
      <c r="I89" s="2" t="n"/>
      <c r="J89" s="2" t="n"/>
      <c r="K89" s="2" t="n"/>
      <c r="L89" s="2" t="n"/>
    </row>
    <row r="90" ht="15" customHeight="1" s="156">
      <c r="I90" s="2" t="n"/>
      <c r="J90" s="2" t="n"/>
      <c r="K90" s="2" t="n"/>
      <c r="L90" s="2" t="n"/>
    </row>
    <row r="91" ht="15" customHeight="1" s="156">
      <c r="I91" s="2" t="n"/>
      <c r="J91" s="2" t="n"/>
      <c r="K91" s="2" t="n"/>
      <c r="L91" s="2" t="n"/>
    </row>
    <row r="92" ht="15" customHeight="1" s="156">
      <c r="I92" s="2" t="n"/>
      <c r="J92" s="2" t="n"/>
      <c r="K92" s="2" t="n"/>
      <c r="L92" s="2" t="n"/>
    </row>
    <row r="93" ht="15" customHeight="1" s="156">
      <c r="I93" s="2" t="n"/>
      <c r="J93" s="2" t="n"/>
      <c r="K93" s="2" t="n"/>
      <c r="L93" s="2" t="n"/>
    </row>
    <row r="94" ht="15" customHeight="1" s="156">
      <c r="I94" s="2" t="n"/>
      <c r="J94" s="2" t="n"/>
      <c r="K94" s="2" t="n"/>
      <c r="L94" s="2" t="n"/>
    </row>
    <row r="95" ht="15" customHeight="1" s="156">
      <c r="I95" s="2" t="n"/>
      <c r="J95" s="2" t="n"/>
      <c r="K95" s="2" t="n"/>
      <c r="L95" s="2" t="n"/>
    </row>
    <row r="96" ht="15" customHeight="1" s="156">
      <c r="I96" s="2" t="n"/>
      <c r="J96" s="2" t="n"/>
      <c r="K96" s="2" t="n"/>
      <c r="L96" s="2" t="n"/>
    </row>
    <row r="97" ht="15" customHeight="1" s="156">
      <c r="I97" s="2" t="n"/>
      <c r="J97" s="2" t="n"/>
      <c r="K97" s="2" t="n"/>
      <c r="L97" s="2" t="n"/>
    </row>
    <row r="98" ht="15" customHeight="1" s="156">
      <c r="I98" s="2" t="n"/>
      <c r="J98" s="2" t="n"/>
      <c r="K98" s="2" t="n"/>
      <c r="L98" s="2" t="n"/>
    </row>
    <row r="99" ht="15" customHeight="1" s="156">
      <c r="I99" s="2" t="n"/>
      <c r="J99" s="2" t="n"/>
      <c r="K99" s="2" t="n"/>
      <c r="L99" s="2" t="n"/>
    </row>
    <row r="100" ht="15" customHeight="1" s="156">
      <c r="I100" s="2" t="n"/>
      <c r="J100" s="2" t="n"/>
      <c r="K100" s="2" t="n"/>
      <c r="L100" s="2" t="n"/>
    </row>
    <row r="101" ht="15" customHeight="1" s="156">
      <c r="I101" s="2" t="n"/>
      <c r="J101" s="2" t="n"/>
      <c r="K101" s="2" t="n"/>
      <c r="L101" s="2" t="n"/>
    </row>
    <row r="102" ht="15" customHeight="1" s="156">
      <c r="I102" s="2" t="n"/>
      <c r="J102" s="2" t="n"/>
      <c r="K102" s="2" t="n"/>
      <c r="L102" s="2" t="n"/>
    </row>
    <row r="103" ht="15" customHeight="1" s="156">
      <c r="I103" s="2" t="n"/>
      <c r="J103" s="2" t="n"/>
      <c r="K103" s="2" t="n"/>
      <c r="L103" s="2" t="n"/>
    </row>
    <row r="104" ht="15" customHeight="1" s="156">
      <c r="I104" s="2" t="n"/>
      <c r="J104" s="2" t="n"/>
      <c r="K104" s="2" t="n"/>
      <c r="L104" s="2" t="n"/>
    </row>
    <row r="105" ht="15" customHeight="1" s="156">
      <c r="I105" s="2" t="n"/>
      <c r="J105" s="2" t="n"/>
      <c r="K105" s="2" t="n"/>
      <c r="L105" s="2" t="n"/>
    </row>
    <row r="106" ht="15" customHeight="1" s="156">
      <c r="J106" s="2" t="n"/>
      <c r="K106" s="2" t="n"/>
      <c r="L106" s="2" t="n"/>
    </row>
    <row r="124">
      <c r="G124" s="47" t="n"/>
      <c r="H124" s="47" t="n"/>
    </row>
  </sheetData>
  <mergeCells count="8">
    <mergeCell ref="A2:I2"/>
    <mergeCell ref="A12:D12"/>
    <mergeCell ref="A4:D4"/>
    <mergeCell ref="F4:I4"/>
    <mergeCell ref="E4:E22"/>
    <mergeCell ref="F12:I12"/>
    <mergeCell ref="A1:I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2026-07-02T11:09:28Z</dcterms:created>
  <dcterms:modified xmlns:dcterms="http://purl.org/dc/terms/" xmlns:xsi="http://www.w3.org/2001/XMLSchema-instance" xsi:type="dcterms:W3CDTF">2026-07-02T13:22:58Z</dcterms:modified>
  <cp:lastModifiedBy>LaToya Favre</cp:lastModifiedBy>
</cp:coreProperties>
</file>