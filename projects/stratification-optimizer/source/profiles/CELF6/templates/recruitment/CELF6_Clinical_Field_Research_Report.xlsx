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FAVRLA\PythonProjects\Psych_Hub\Tools\SCOPE\documents\Output\Recruitment_Planning_Tables\"/>
    </mc:Choice>
  </mc:AlternateContent>
  <xr:revisionPtr revIDLastSave="0" documentId="8_{C17A2A3C-6743-47AF-9583-6CCD2570EDA9}" xr6:coauthVersionLast="47" xr6:coauthVersionMax="47" xr10:uidLastSave="{00000000-0000-0000-0000-000000000000}"/>
  <bookViews>
    <workbookView xWindow="-120" yWindow="-120" windowWidth="29040" windowHeight="15720" tabRatio="795" firstSheet="2" activeTab="3" xr2:uid="{63BBDDF6-41CB-814F-AB87-2DEB9C76692D}"/>
  </bookViews>
  <sheets>
    <sheet name="setup" sheetId="8" state="hidden" r:id="rId1"/>
    <sheet name="aurora_data" sheetId="2" state="hidden" r:id="rId2"/>
    <sheet name="Summary" sheetId="5" r:id="rId3"/>
    <sheet name="C_LD" sheetId="120" r:id="rId4"/>
    <sheet name="C_HH" sheetId="130" r:id="rId5"/>
    <sheet name="C_ASDL" sheetId="131" r:id="rId6"/>
    <sheet name="C_SLDRW" sheetId="132" r:id="rId7"/>
    <sheet name="OSEP_DD" sheetId="138" r:id="rId8"/>
    <sheet name="OSEP_SI" sheetId="136" r:id="rId9"/>
    <sheet name="OSEP_ID" sheetId="133" r:id="rId10"/>
    <sheet name="OSEP_ADHD" sheetId="134" r:id="rId11"/>
    <sheet name="OSEP_SLD" sheetId="135" r:id="rId12"/>
    <sheet name="OSEP_GT" sheetId="137" r:id="rId13"/>
  </sheets>
  <definedNames>
    <definedName name="_xlnm._FilterDatabase" localSheetId="6" hidden="1">C_SLDRW!$B$8:$X$35</definedName>
    <definedName name="ExternalData_1" localSheetId="0" hidden="1">setup!$H$15:$M$52</definedName>
    <definedName name="ExternalData_1" localSheetId="2" hidden="1">Summary!$A$2:$F$13</definedName>
    <definedName name="ExternalData_10" localSheetId="1" hidden="1">aurora_data!#REF!</definedName>
    <definedName name="ExternalData_100" localSheetId="1" hidden="1">aurora_data!#REF!</definedName>
    <definedName name="ExternalData_101" localSheetId="1" hidden="1">aurora_data!#REF!</definedName>
    <definedName name="ExternalData_102" localSheetId="1" hidden="1">aurora_data!$A$531:$V$547</definedName>
    <definedName name="ExternalData_103" localSheetId="1" hidden="1">aurora_data!#REF!</definedName>
    <definedName name="ExternalData_104" localSheetId="1" hidden="1">aurora_data!#REF!</definedName>
    <definedName name="ExternalData_105" localSheetId="1" hidden="1">aurora_data!$A$1031:$V$1047</definedName>
    <definedName name="ExternalData_106" localSheetId="1" hidden="1">aurora_data!$A$1331:$V$1355</definedName>
    <definedName name="ExternalData_107" localSheetId="1" hidden="1">aurora_data!#REF!</definedName>
    <definedName name="ExternalData_108" localSheetId="1" hidden="1">aurora_data!$A$631:$V$647</definedName>
    <definedName name="ExternalData_109" localSheetId="1" hidden="1">aurora_data!$A$731:$V$747</definedName>
    <definedName name="ExternalData_110" localSheetId="1" hidden="1">aurora_data!$A$1381:$V$1408</definedName>
    <definedName name="ExternalData_111" localSheetId="1" hidden="1">aurora_data!$A$831:$V$847</definedName>
    <definedName name="ExternalData_112" localSheetId="1" hidden="1">aurora_data!$A$931:$V$947</definedName>
    <definedName name="ExternalData_113" localSheetId="1" hidden="1">aurora_data!$A$1131:$V$1147</definedName>
    <definedName name="ExternalData_114" localSheetId="1" hidden="1">aurora_data!$A$1231:$V$1247</definedName>
    <definedName name="ExternalData_115" localSheetId="1" hidden="1">aurora_data!$A$1431:$V$1447</definedName>
    <definedName name="ExternalData_116" localSheetId="1" hidden="1">aurora_data!$A$1531:$V$1547</definedName>
    <definedName name="ExternalData_117" localSheetId="1" hidden="1">aurora_data!$A$1631:$V$1647</definedName>
    <definedName name="ExternalData_118" localSheetId="1" hidden="1">aurora_data!$A$1731:$V$1755</definedName>
    <definedName name="ExternalData_119" localSheetId="1" hidden="1">aurora_data!#REF!</definedName>
    <definedName name="ExternalData_12" localSheetId="1" hidden="1">aurora_data!#REF!</definedName>
    <definedName name="ExternalData_120" localSheetId="1" hidden="1">aurora_data!$A$1831:$V$1847</definedName>
    <definedName name="ExternalData_13" localSheetId="1" hidden="1">aurora_data!$A$231:$V$247</definedName>
    <definedName name="ExternalData_14" localSheetId="1" hidden="1">aurora_data!#REF!</definedName>
    <definedName name="ExternalData_15" localSheetId="1" hidden="1">aurora_data!#REF!</definedName>
    <definedName name="ExternalData_17" localSheetId="1" hidden="1">aurora_data!#REF!</definedName>
    <definedName name="ExternalData_19" localSheetId="1" hidden="1">aurora_data!#REF!</definedName>
    <definedName name="ExternalData_20" localSheetId="1" hidden="1">aurora_data!#REF!</definedName>
    <definedName name="ExternalData_21" localSheetId="1" hidden="1">aurora_data!#REF!</definedName>
    <definedName name="ExternalData_22" localSheetId="1" hidden="1">aurora_data!#REF!</definedName>
    <definedName name="ExternalData_23" localSheetId="1" hidden="1">aurora_data!#REF!</definedName>
    <definedName name="ExternalData_24" localSheetId="1" hidden="1">aurora_data!#REF!</definedName>
    <definedName name="ExternalData_25" localSheetId="1" hidden="1">aurora_data!#REF!</definedName>
    <definedName name="ExternalData_26" localSheetId="1" hidden="1">aurora_data!#REF!</definedName>
    <definedName name="ExternalData_27" localSheetId="1" hidden="1">aurora_data!#REF!</definedName>
    <definedName name="ExternalData_28" localSheetId="1" hidden="1">aurora_data!#REF!</definedName>
    <definedName name="ExternalData_29" localSheetId="1" hidden="1">aurora_data!#REF!</definedName>
    <definedName name="ExternalData_30" localSheetId="1" hidden="1">aurora_data!#REF!</definedName>
    <definedName name="ExternalData_31" localSheetId="1" hidden="1">aurora_data!#REF!</definedName>
    <definedName name="ExternalData_32" localSheetId="1" hidden="1">aurora_data!#REF!</definedName>
    <definedName name="ExternalData_33" localSheetId="1" hidden="1">aurora_data!#REF!</definedName>
    <definedName name="ExternalData_34" localSheetId="1" hidden="1">aurora_data!#REF!</definedName>
    <definedName name="ExternalData_35" localSheetId="1" hidden="1">aurora_data!#REF!</definedName>
    <definedName name="ExternalData_36" localSheetId="1" hidden="1">aurora_data!#REF!</definedName>
    <definedName name="ExternalData_37" localSheetId="1" hidden="1">aurora_data!#REF!</definedName>
    <definedName name="ExternalData_38" localSheetId="1" hidden="1">aurora_data!#REF!</definedName>
    <definedName name="ExternalData_39" localSheetId="1" hidden="1">aurora_data!#REF!</definedName>
    <definedName name="ExternalData_40" localSheetId="1" hidden="1">aurora_data!#REF!</definedName>
    <definedName name="ExternalData_41" localSheetId="1" hidden="1">aurora_data!#REF!</definedName>
    <definedName name="ExternalData_42" localSheetId="1" hidden="1">aurora_data!#REF!</definedName>
    <definedName name="ExternalData_43" localSheetId="1" hidden="1">aurora_data!#REF!</definedName>
    <definedName name="ExternalData_44" localSheetId="1" hidden="1">aurora_data!#REF!</definedName>
    <definedName name="ExternalData_48" localSheetId="1" hidden="1">aurora_data!#REF!</definedName>
    <definedName name="ExternalData_49" localSheetId="1" hidden="1">aurora_data!#REF!</definedName>
    <definedName name="ExternalData_50" localSheetId="1" hidden="1">aurora_data!#REF!</definedName>
    <definedName name="ExternalData_51" localSheetId="1" hidden="1">aurora_data!#REF!</definedName>
    <definedName name="ExternalData_52" localSheetId="1" hidden="1">aurora_data!#REF!</definedName>
    <definedName name="ExternalData_53" localSheetId="1" hidden="1">aurora_data!$A$3:$V$19</definedName>
    <definedName name="ExternalData_54" localSheetId="1" hidden="1">aurora_data!$A$131:$V$147</definedName>
    <definedName name="ExternalData_55" localSheetId="1" hidden="1">aurora_data!$A$431:$V$447</definedName>
    <definedName name="ExternalData_56" localSheetId="1" hidden="1">aurora_data!#REF!</definedName>
    <definedName name="ExternalData_57" localSheetId="1" hidden="1">aurora_data!#REF!</definedName>
    <definedName name="ExternalData_58" localSheetId="1" hidden="1">aurora_data!#REF!</definedName>
    <definedName name="ExternalData_59" localSheetId="1" hidden="1">aurora_data!#REF!</definedName>
    <definedName name="ExternalData_60" localSheetId="1" hidden="1">aurora_data!#REF!</definedName>
    <definedName name="ExternalData_61" localSheetId="1" hidden="1">aurora_data!#REF!</definedName>
    <definedName name="ExternalData_62" localSheetId="1" hidden="1">aurora_data!#REF!</definedName>
    <definedName name="ExternalData_63" localSheetId="1" hidden="1">aurora_data!#REF!</definedName>
    <definedName name="ExternalData_64" localSheetId="1" hidden="1">aurora_data!#REF!</definedName>
    <definedName name="ExternalData_65" localSheetId="1" hidden="1">aurora_data!#REF!</definedName>
    <definedName name="ExternalData_66" localSheetId="1" hidden="1">aurora_data!#REF!</definedName>
    <definedName name="ExternalData_67" localSheetId="1" hidden="1">aurora_data!#REF!</definedName>
    <definedName name="ExternalData_68" localSheetId="1" hidden="1">aurora_data!#REF!</definedName>
    <definedName name="ExternalData_69" localSheetId="1" hidden="1">aurora_data!#REF!</definedName>
    <definedName name="ExternalData_70" localSheetId="1" hidden="1">aurora_data!$A$331:$V$347</definedName>
    <definedName name="ExternalData_71" localSheetId="1" hidden="1">aurora_data!#REF!</definedName>
    <definedName name="ExternalData_72" localSheetId="1" hidden="1">aurora_data!#REF!</definedName>
    <definedName name="ExternalData_73" localSheetId="1" hidden="1">aurora_data!#REF!</definedName>
    <definedName name="ExternalData_74" localSheetId="1" hidden="1">aurora_data!#REF!</definedName>
    <definedName name="ExternalData_75" localSheetId="1" hidden="1">aurora_data!#REF!</definedName>
    <definedName name="ExternalData_76" localSheetId="1" hidden="1">aurora_data!#REF!</definedName>
    <definedName name="ExternalData_77" localSheetId="1" hidden="1">aurora_data!#REF!</definedName>
    <definedName name="ExternalData_78" localSheetId="1" hidden="1">aurora_data!#REF!</definedName>
    <definedName name="ExternalData_79" localSheetId="1" hidden="1">aurora_data!#REF!</definedName>
    <definedName name="ExternalData_80" localSheetId="1" hidden="1">aurora_data!#REF!</definedName>
    <definedName name="ExternalData_81" localSheetId="1" hidden="1">aurora_data!#REF!</definedName>
    <definedName name="ExternalData_82" localSheetId="1" hidden="1">aurora_data!#REF!</definedName>
    <definedName name="ExternalData_83" localSheetId="1" hidden="1">aurora_data!#REF!</definedName>
    <definedName name="ExternalData_84" localSheetId="1" hidden="1">aurora_data!#REF!</definedName>
    <definedName name="ExternalData_85" localSheetId="1" hidden="1">aurora_data!#REF!</definedName>
    <definedName name="ExternalData_86" localSheetId="1" hidden="1">aurora_data!#REF!</definedName>
    <definedName name="ExternalData_87" localSheetId="1" hidden="1">aurora_data!#REF!</definedName>
    <definedName name="ExternalData_88" localSheetId="1" hidden="1">aurora_data!#REF!</definedName>
    <definedName name="ExternalData_89" localSheetId="1" hidden="1">aurora_data!#REF!</definedName>
    <definedName name="ExternalData_9" localSheetId="1" hidden="1">aurora_data!#REF!</definedName>
    <definedName name="ExternalData_90" localSheetId="1" hidden="1">aurora_data!#REF!</definedName>
    <definedName name="ExternalData_91" localSheetId="1" hidden="1">aurora_data!#REF!</definedName>
    <definedName name="ExternalData_92" localSheetId="1" hidden="1">aurora_data!#REF!</definedName>
    <definedName name="ExternalData_93" localSheetId="1" hidden="1">aurora_data!#REF!</definedName>
    <definedName name="ExternalData_94" localSheetId="1" hidden="1">aurora_data!#REF!</definedName>
    <definedName name="ExternalData_95" localSheetId="1" hidden="1">aurora_data!#REF!</definedName>
    <definedName name="ExternalData_96" localSheetId="1" hidden="1">aurora_data!#REF!</definedName>
    <definedName name="ExternalData_97" localSheetId="1" hidden="1">aurora_data!#REF!</definedName>
    <definedName name="ExternalData_98" localSheetId="1" hidden="1">aurora_data!#REF!</definedName>
    <definedName name="ExternalData_99" localSheetId="1" hidden="1">aurora_data!#REF!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36" l="1"/>
  <c r="W22" i="132"/>
  <c r="W23" i="132"/>
  <c r="W24" i="132"/>
  <c r="W25" i="132"/>
  <c r="W21" i="132"/>
  <c r="G15" i="132"/>
  <c r="T27" i="138"/>
  <c r="S27" i="138"/>
  <c r="R27" i="138"/>
  <c r="Q27" i="138"/>
  <c r="P27" i="138"/>
  <c r="O27" i="138"/>
  <c r="N27" i="138"/>
  <c r="M27" i="138"/>
  <c r="L27" i="138"/>
  <c r="K27" i="138"/>
  <c r="J27" i="138"/>
  <c r="I27" i="138"/>
  <c r="H27" i="138"/>
  <c r="G27" i="138"/>
  <c r="F27" i="138"/>
  <c r="E27" i="138"/>
  <c r="T26" i="138"/>
  <c r="S26" i="138"/>
  <c r="R26" i="138"/>
  <c r="Q26" i="138"/>
  <c r="P26" i="138"/>
  <c r="O26" i="138"/>
  <c r="N26" i="138"/>
  <c r="M26" i="138"/>
  <c r="L26" i="138"/>
  <c r="K26" i="138"/>
  <c r="J26" i="138"/>
  <c r="I26" i="138"/>
  <c r="H26" i="138"/>
  <c r="G26" i="138"/>
  <c r="F26" i="138"/>
  <c r="E26" i="138"/>
  <c r="T25" i="138"/>
  <c r="S25" i="138"/>
  <c r="R25" i="138"/>
  <c r="Q25" i="138"/>
  <c r="P25" i="138"/>
  <c r="O25" i="138"/>
  <c r="N25" i="138"/>
  <c r="M25" i="138"/>
  <c r="L25" i="138"/>
  <c r="K25" i="138"/>
  <c r="J25" i="138"/>
  <c r="I25" i="138"/>
  <c r="H25" i="138"/>
  <c r="G25" i="138"/>
  <c r="F25" i="138"/>
  <c r="E25" i="138"/>
  <c r="T24" i="138"/>
  <c r="S24" i="138"/>
  <c r="R24" i="138"/>
  <c r="Q24" i="138"/>
  <c r="P24" i="138"/>
  <c r="O24" i="138"/>
  <c r="N24" i="138"/>
  <c r="M24" i="138"/>
  <c r="L24" i="138"/>
  <c r="K24" i="138"/>
  <c r="J24" i="138"/>
  <c r="I24" i="138"/>
  <c r="H24" i="138"/>
  <c r="G24" i="138"/>
  <c r="F24" i="138"/>
  <c r="E24" i="138"/>
  <c r="T23" i="138"/>
  <c r="S23" i="138"/>
  <c r="R23" i="138"/>
  <c r="Q23" i="138"/>
  <c r="P23" i="138"/>
  <c r="O23" i="138"/>
  <c r="N23" i="138"/>
  <c r="M23" i="138"/>
  <c r="L23" i="138"/>
  <c r="K23" i="138"/>
  <c r="J23" i="138"/>
  <c r="I23" i="138"/>
  <c r="H23" i="138"/>
  <c r="G23" i="138"/>
  <c r="F23" i="138"/>
  <c r="E23" i="138"/>
  <c r="T22" i="138"/>
  <c r="S22" i="138"/>
  <c r="R22" i="138"/>
  <c r="P22" i="138"/>
  <c r="O22" i="138"/>
  <c r="N22" i="138"/>
  <c r="M22" i="138"/>
  <c r="L22" i="138"/>
  <c r="K22" i="138"/>
  <c r="J22" i="138"/>
  <c r="I22" i="138"/>
  <c r="H22" i="138"/>
  <c r="G22" i="138"/>
  <c r="F22" i="138"/>
  <c r="E22" i="138"/>
  <c r="T21" i="138"/>
  <c r="S21" i="138"/>
  <c r="R21" i="138"/>
  <c r="Q21" i="138"/>
  <c r="P21" i="138"/>
  <c r="O21" i="138"/>
  <c r="N21" i="138"/>
  <c r="M21" i="138"/>
  <c r="L21" i="138"/>
  <c r="K21" i="138"/>
  <c r="J21" i="138"/>
  <c r="I21" i="138"/>
  <c r="H21" i="138"/>
  <c r="G21" i="138"/>
  <c r="F21" i="138"/>
  <c r="E21" i="138"/>
  <c r="T20" i="138"/>
  <c r="S20" i="138"/>
  <c r="R20" i="138"/>
  <c r="Q20" i="138"/>
  <c r="P20" i="138"/>
  <c r="O20" i="138"/>
  <c r="N20" i="138"/>
  <c r="M20" i="138"/>
  <c r="L20" i="138"/>
  <c r="K20" i="138"/>
  <c r="J20" i="138"/>
  <c r="I20" i="138"/>
  <c r="H20" i="138"/>
  <c r="G20" i="138"/>
  <c r="F20" i="138"/>
  <c r="E20" i="138"/>
  <c r="T19" i="138"/>
  <c r="S19" i="138"/>
  <c r="R19" i="138"/>
  <c r="Q19" i="138"/>
  <c r="P19" i="138"/>
  <c r="O19" i="138"/>
  <c r="N19" i="138"/>
  <c r="M19" i="138"/>
  <c r="L19" i="138"/>
  <c r="K19" i="138"/>
  <c r="J19" i="138"/>
  <c r="I19" i="138"/>
  <c r="H19" i="138"/>
  <c r="G19" i="138"/>
  <c r="F19" i="138"/>
  <c r="E19" i="138"/>
  <c r="T18" i="138"/>
  <c r="S18" i="138"/>
  <c r="R18" i="138"/>
  <c r="Q18" i="138"/>
  <c r="P18" i="138"/>
  <c r="O18" i="138"/>
  <c r="N18" i="138"/>
  <c r="M18" i="138"/>
  <c r="L18" i="138"/>
  <c r="K18" i="138"/>
  <c r="J18" i="138"/>
  <c r="I18" i="138"/>
  <c r="H18" i="138"/>
  <c r="G18" i="138"/>
  <c r="F18" i="138"/>
  <c r="E18" i="138"/>
  <c r="T17" i="138"/>
  <c r="S17" i="138"/>
  <c r="R17" i="138"/>
  <c r="Q17" i="138"/>
  <c r="P17" i="138"/>
  <c r="O17" i="138"/>
  <c r="N17" i="138"/>
  <c r="M17" i="138"/>
  <c r="L17" i="138"/>
  <c r="K17" i="138"/>
  <c r="J17" i="138"/>
  <c r="I17" i="138"/>
  <c r="H17" i="138"/>
  <c r="G17" i="138"/>
  <c r="F17" i="138"/>
  <c r="E17" i="138"/>
  <c r="T16" i="138"/>
  <c r="S16" i="138"/>
  <c r="R16" i="138"/>
  <c r="Q16" i="138"/>
  <c r="P16" i="138"/>
  <c r="O16" i="138"/>
  <c r="N16" i="138"/>
  <c r="M16" i="138"/>
  <c r="L16" i="138"/>
  <c r="K16" i="138"/>
  <c r="J16" i="138"/>
  <c r="I16" i="138"/>
  <c r="H16" i="138"/>
  <c r="G16" i="138"/>
  <c r="F16" i="138"/>
  <c r="E16" i="138"/>
  <c r="T15" i="138"/>
  <c r="S15" i="138"/>
  <c r="R15" i="138"/>
  <c r="Q15" i="138"/>
  <c r="P15" i="138"/>
  <c r="O15" i="138"/>
  <c r="N15" i="138"/>
  <c r="M15" i="138"/>
  <c r="L15" i="138"/>
  <c r="K15" i="138"/>
  <c r="J15" i="138"/>
  <c r="I15" i="138"/>
  <c r="H15" i="138"/>
  <c r="G15" i="138"/>
  <c r="F15" i="138"/>
  <c r="E15" i="138"/>
  <c r="T14" i="138"/>
  <c r="S14" i="138"/>
  <c r="R14" i="138"/>
  <c r="Q14" i="138"/>
  <c r="P14" i="138"/>
  <c r="O14" i="138"/>
  <c r="N14" i="138"/>
  <c r="M14" i="138"/>
  <c r="L14" i="138"/>
  <c r="K14" i="138"/>
  <c r="J14" i="138"/>
  <c r="I14" i="138"/>
  <c r="H14" i="138"/>
  <c r="G14" i="138"/>
  <c r="F14" i="138"/>
  <c r="E14" i="138"/>
  <c r="T13" i="138"/>
  <c r="S13" i="138"/>
  <c r="R13" i="138"/>
  <c r="Q13" i="138"/>
  <c r="P13" i="138"/>
  <c r="O13" i="138"/>
  <c r="N13" i="138"/>
  <c r="M13" i="138"/>
  <c r="L13" i="138"/>
  <c r="K13" i="138"/>
  <c r="J13" i="138"/>
  <c r="I13" i="138"/>
  <c r="H13" i="138"/>
  <c r="G13" i="138"/>
  <c r="F13" i="138"/>
  <c r="E13" i="138"/>
  <c r="T12" i="138"/>
  <c r="S12" i="138"/>
  <c r="R12" i="138"/>
  <c r="Q12" i="138"/>
  <c r="P12" i="138"/>
  <c r="O12" i="138"/>
  <c r="N12" i="138"/>
  <c r="M12" i="138"/>
  <c r="L12" i="138"/>
  <c r="K12" i="138"/>
  <c r="J12" i="138"/>
  <c r="I12" i="138"/>
  <c r="H12" i="138"/>
  <c r="G12" i="138"/>
  <c r="F12" i="138"/>
  <c r="E12" i="138"/>
  <c r="U27" i="138"/>
  <c r="U26" i="138"/>
  <c r="U25" i="138"/>
  <c r="U24" i="138"/>
  <c r="U23" i="138"/>
  <c r="U22" i="138"/>
  <c r="U21" i="138"/>
  <c r="U20" i="138"/>
  <c r="U19" i="138"/>
  <c r="U18" i="138"/>
  <c r="U17" i="138"/>
  <c r="U16" i="138"/>
  <c r="U15" i="138"/>
  <c r="U14" i="138"/>
  <c r="U13" i="138"/>
  <c r="U12" i="138"/>
  <c r="D2" i="133"/>
  <c r="F34" i="8"/>
  <c r="F33" i="8"/>
  <c r="F32" i="8"/>
  <c r="F31" i="8"/>
  <c r="F30" i="8"/>
  <c r="F29" i="8"/>
  <c r="F28" i="8"/>
  <c r="F27" i="8"/>
  <c r="F26" i="8"/>
  <c r="F25" i="8"/>
  <c r="F24" i="8"/>
  <c r="H7" i="5" s="1"/>
  <c r="F23" i="8"/>
  <c r="F22" i="8"/>
  <c r="F21" i="8"/>
  <c r="F20" i="8"/>
  <c r="F19" i="8"/>
  <c r="F18" i="8"/>
  <c r="F17" i="8"/>
  <c r="F16" i="8"/>
  <c r="W13" i="138"/>
  <c r="W14" i="138"/>
  <c r="W15" i="138"/>
  <c r="W16" i="138"/>
  <c r="W17" i="138"/>
  <c r="W18" i="138"/>
  <c r="W19" i="138"/>
  <c r="W20" i="138"/>
  <c r="X20" i="138" s="1"/>
  <c r="W21" i="138"/>
  <c r="W22" i="138"/>
  <c r="W23" i="138"/>
  <c r="W24" i="138"/>
  <c r="W25" i="138"/>
  <c r="W26" i="138"/>
  <c r="W27" i="138"/>
  <c r="W12" i="138"/>
  <c r="X12" i="138" s="1"/>
  <c r="C12" i="138"/>
  <c r="B8" i="138"/>
  <c r="A1830" i="2"/>
  <c r="A1829" i="2"/>
  <c r="A830" i="2"/>
  <c r="A930" i="2"/>
  <c r="A929" i="2"/>
  <c r="A829" i="2"/>
  <c r="C20" i="133"/>
  <c r="C12" i="133"/>
  <c r="D3" i="138"/>
  <c r="D2" i="138"/>
  <c r="E37" i="137"/>
  <c r="F37" i="137"/>
  <c r="G37" i="137"/>
  <c r="H37" i="137"/>
  <c r="I37" i="137"/>
  <c r="J37" i="137"/>
  <c r="K37" i="137"/>
  <c r="L37" i="137"/>
  <c r="M37" i="137"/>
  <c r="N37" i="137"/>
  <c r="O37" i="137"/>
  <c r="P37" i="137"/>
  <c r="Q37" i="137"/>
  <c r="R37" i="137"/>
  <c r="S37" i="137"/>
  <c r="T37" i="137"/>
  <c r="U37" i="137"/>
  <c r="W37" i="137"/>
  <c r="E38" i="137"/>
  <c r="F38" i="137"/>
  <c r="G38" i="137"/>
  <c r="H38" i="137"/>
  <c r="I38" i="137"/>
  <c r="J38" i="137"/>
  <c r="K38" i="137"/>
  <c r="L38" i="137"/>
  <c r="M38" i="137"/>
  <c r="N38" i="137"/>
  <c r="O38" i="137"/>
  <c r="P38" i="137"/>
  <c r="Q38" i="137"/>
  <c r="R38" i="137"/>
  <c r="S38" i="137"/>
  <c r="T38" i="137"/>
  <c r="U38" i="137"/>
  <c r="W38" i="137"/>
  <c r="E39" i="137"/>
  <c r="F39" i="137"/>
  <c r="G39" i="137"/>
  <c r="H39" i="137"/>
  <c r="I39" i="137"/>
  <c r="J39" i="137"/>
  <c r="K39" i="137"/>
  <c r="L39" i="137"/>
  <c r="M39" i="137"/>
  <c r="N39" i="137"/>
  <c r="O39" i="137"/>
  <c r="P39" i="137"/>
  <c r="Q39" i="137"/>
  <c r="R39" i="137"/>
  <c r="S39" i="137"/>
  <c r="T39" i="137"/>
  <c r="U39" i="137"/>
  <c r="W39" i="137"/>
  <c r="E40" i="137"/>
  <c r="F40" i="137"/>
  <c r="G40" i="137"/>
  <c r="H40" i="137"/>
  <c r="I40" i="137"/>
  <c r="J40" i="137"/>
  <c r="K40" i="137"/>
  <c r="L40" i="137"/>
  <c r="M40" i="137"/>
  <c r="N40" i="137"/>
  <c r="O40" i="137"/>
  <c r="P40" i="137"/>
  <c r="Q40" i="137"/>
  <c r="R40" i="137"/>
  <c r="S40" i="137"/>
  <c r="T40" i="137"/>
  <c r="U40" i="137"/>
  <c r="W40" i="137"/>
  <c r="E41" i="137"/>
  <c r="F41" i="137"/>
  <c r="G41" i="137"/>
  <c r="H41" i="137"/>
  <c r="I41" i="137"/>
  <c r="J41" i="137"/>
  <c r="K41" i="137"/>
  <c r="L41" i="137"/>
  <c r="M41" i="137"/>
  <c r="N41" i="137"/>
  <c r="O41" i="137"/>
  <c r="P41" i="137"/>
  <c r="Q41" i="137"/>
  <c r="R41" i="137"/>
  <c r="S41" i="137"/>
  <c r="T41" i="137"/>
  <c r="U41" i="137"/>
  <c r="W41" i="137"/>
  <c r="E42" i="137"/>
  <c r="F42" i="137"/>
  <c r="G42" i="137"/>
  <c r="H42" i="137"/>
  <c r="I42" i="137"/>
  <c r="J42" i="137"/>
  <c r="K42" i="137"/>
  <c r="L42" i="137"/>
  <c r="M42" i="137"/>
  <c r="N42" i="137"/>
  <c r="O42" i="137"/>
  <c r="P42" i="137"/>
  <c r="Q42" i="137"/>
  <c r="R42" i="137"/>
  <c r="S42" i="137"/>
  <c r="T42" i="137"/>
  <c r="U42" i="137"/>
  <c r="W42" i="137"/>
  <c r="E43" i="137"/>
  <c r="F43" i="137"/>
  <c r="G43" i="137"/>
  <c r="H43" i="137"/>
  <c r="I43" i="137"/>
  <c r="J43" i="137"/>
  <c r="K43" i="137"/>
  <c r="L43" i="137"/>
  <c r="M43" i="137"/>
  <c r="N43" i="137"/>
  <c r="O43" i="137"/>
  <c r="P43" i="137"/>
  <c r="Q43" i="137"/>
  <c r="R43" i="137"/>
  <c r="S43" i="137"/>
  <c r="T43" i="137"/>
  <c r="U43" i="137"/>
  <c r="W43" i="137"/>
  <c r="W36" i="137"/>
  <c r="F36" i="137"/>
  <c r="G36" i="137"/>
  <c r="H36" i="137"/>
  <c r="I36" i="137"/>
  <c r="J36" i="137"/>
  <c r="K36" i="137"/>
  <c r="L36" i="137"/>
  <c r="M36" i="137"/>
  <c r="N36" i="137"/>
  <c r="O36" i="137"/>
  <c r="P36" i="137"/>
  <c r="Q36" i="137"/>
  <c r="R36" i="137"/>
  <c r="S36" i="137"/>
  <c r="T36" i="137"/>
  <c r="U36" i="137"/>
  <c r="E36" i="137"/>
  <c r="W35" i="137"/>
  <c r="U35" i="137"/>
  <c r="T35" i="137"/>
  <c r="S35" i="137"/>
  <c r="R35" i="137"/>
  <c r="Q35" i="137"/>
  <c r="P35" i="137"/>
  <c r="O35" i="137"/>
  <c r="N35" i="137"/>
  <c r="M35" i="137"/>
  <c r="L35" i="137"/>
  <c r="K35" i="137"/>
  <c r="J35" i="137"/>
  <c r="I35" i="137"/>
  <c r="H35" i="137"/>
  <c r="G35" i="137"/>
  <c r="F35" i="137"/>
  <c r="E35" i="137"/>
  <c r="W34" i="137"/>
  <c r="U34" i="137"/>
  <c r="T34" i="137"/>
  <c r="S34" i="137"/>
  <c r="R34" i="137"/>
  <c r="Q34" i="137"/>
  <c r="P34" i="137"/>
  <c r="O34" i="137"/>
  <c r="N34" i="137"/>
  <c r="M34" i="137"/>
  <c r="L34" i="137"/>
  <c r="K34" i="137"/>
  <c r="J34" i="137"/>
  <c r="I34" i="137"/>
  <c r="H34" i="137"/>
  <c r="G34" i="137"/>
  <c r="F34" i="137"/>
  <c r="E34" i="137"/>
  <c r="W33" i="137"/>
  <c r="U33" i="137"/>
  <c r="T33" i="137"/>
  <c r="S33" i="137"/>
  <c r="R33" i="137"/>
  <c r="Q33" i="137"/>
  <c r="P33" i="137"/>
  <c r="O33" i="137"/>
  <c r="N33" i="137"/>
  <c r="M33" i="137"/>
  <c r="L33" i="137"/>
  <c r="K33" i="137"/>
  <c r="J33" i="137"/>
  <c r="I33" i="137"/>
  <c r="H33" i="137"/>
  <c r="G33" i="137"/>
  <c r="F33" i="137"/>
  <c r="E33" i="137"/>
  <c r="W32" i="137"/>
  <c r="U32" i="137"/>
  <c r="T32" i="137"/>
  <c r="S32" i="137"/>
  <c r="R32" i="137"/>
  <c r="Q32" i="137"/>
  <c r="P32" i="137"/>
  <c r="O32" i="137"/>
  <c r="N32" i="137"/>
  <c r="M32" i="137"/>
  <c r="L32" i="137"/>
  <c r="K32" i="137"/>
  <c r="J32" i="137"/>
  <c r="I32" i="137"/>
  <c r="H32" i="137"/>
  <c r="G32" i="137"/>
  <c r="F32" i="137"/>
  <c r="E32" i="137"/>
  <c r="W31" i="137"/>
  <c r="U31" i="137"/>
  <c r="T31" i="137"/>
  <c r="S31" i="137"/>
  <c r="R31" i="137"/>
  <c r="Q31" i="137"/>
  <c r="P31" i="137"/>
  <c r="O31" i="137"/>
  <c r="N31" i="137"/>
  <c r="M31" i="137"/>
  <c r="L31" i="137"/>
  <c r="K31" i="137"/>
  <c r="J31" i="137"/>
  <c r="I31" i="137"/>
  <c r="H31" i="137"/>
  <c r="G31" i="137"/>
  <c r="F31" i="137"/>
  <c r="E31" i="137"/>
  <c r="W30" i="137"/>
  <c r="U30" i="137"/>
  <c r="T30" i="137"/>
  <c r="S30" i="137"/>
  <c r="R30" i="137"/>
  <c r="Q30" i="137"/>
  <c r="P30" i="137"/>
  <c r="O30" i="137"/>
  <c r="N30" i="137"/>
  <c r="M30" i="137"/>
  <c r="L30" i="137"/>
  <c r="K30" i="137"/>
  <c r="J30" i="137"/>
  <c r="I30" i="137"/>
  <c r="H30" i="137"/>
  <c r="G30" i="137"/>
  <c r="F30" i="137"/>
  <c r="E30" i="137"/>
  <c r="W29" i="137"/>
  <c r="U29" i="137"/>
  <c r="T29" i="137"/>
  <c r="S29" i="137"/>
  <c r="R29" i="137"/>
  <c r="Q29" i="137"/>
  <c r="P29" i="137"/>
  <c r="O29" i="137"/>
  <c r="N29" i="137"/>
  <c r="M29" i="137"/>
  <c r="L29" i="137"/>
  <c r="K29" i="137"/>
  <c r="J29" i="137"/>
  <c r="I29" i="137"/>
  <c r="H29" i="137"/>
  <c r="G29" i="137"/>
  <c r="F29" i="137"/>
  <c r="E29" i="137"/>
  <c r="W28" i="137"/>
  <c r="X28" i="137" s="1"/>
  <c r="U28" i="137"/>
  <c r="T28" i="137"/>
  <c r="S28" i="137"/>
  <c r="R28" i="137"/>
  <c r="Q28" i="137"/>
  <c r="P28" i="137"/>
  <c r="O28" i="137"/>
  <c r="N28" i="137"/>
  <c r="M28" i="137"/>
  <c r="L28" i="137"/>
  <c r="K28" i="137"/>
  <c r="J28" i="137"/>
  <c r="I28" i="137"/>
  <c r="H28" i="137"/>
  <c r="G28" i="137"/>
  <c r="F28" i="137"/>
  <c r="E28" i="137"/>
  <c r="C28" i="137"/>
  <c r="B8" i="137"/>
  <c r="C12" i="137"/>
  <c r="A1730" i="2"/>
  <c r="A1729" i="2"/>
  <c r="A1630" i="2"/>
  <c r="A1629" i="2"/>
  <c r="E21" i="137"/>
  <c r="F21" i="137"/>
  <c r="G21" i="137"/>
  <c r="H21" i="137"/>
  <c r="I21" i="137"/>
  <c r="J21" i="137"/>
  <c r="K21" i="137"/>
  <c r="L21" i="137"/>
  <c r="M21" i="137"/>
  <c r="N21" i="137"/>
  <c r="O21" i="137"/>
  <c r="P21" i="137"/>
  <c r="Q21" i="137"/>
  <c r="R21" i="137"/>
  <c r="S21" i="137"/>
  <c r="T21" i="137"/>
  <c r="U21" i="137"/>
  <c r="W21" i="137"/>
  <c r="E22" i="137"/>
  <c r="F22" i="137"/>
  <c r="G22" i="137"/>
  <c r="H22" i="137"/>
  <c r="I22" i="137"/>
  <c r="J22" i="137"/>
  <c r="K22" i="137"/>
  <c r="L22" i="137"/>
  <c r="M22" i="137"/>
  <c r="N22" i="137"/>
  <c r="O22" i="137"/>
  <c r="P22" i="137"/>
  <c r="Q22" i="137"/>
  <c r="R22" i="137"/>
  <c r="S22" i="137"/>
  <c r="T22" i="137"/>
  <c r="U22" i="137"/>
  <c r="W22" i="137"/>
  <c r="E23" i="137"/>
  <c r="F23" i="137"/>
  <c r="G23" i="137"/>
  <c r="H23" i="137"/>
  <c r="I23" i="137"/>
  <c r="J23" i="137"/>
  <c r="K23" i="137"/>
  <c r="L23" i="137"/>
  <c r="M23" i="137"/>
  <c r="N23" i="137"/>
  <c r="O23" i="137"/>
  <c r="P23" i="137"/>
  <c r="Q23" i="137"/>
  <c r="R23" i="137"/>
  <c r="S23" i="137"/>
  <c r="T23" i="137"/>
  <c r="U23" i="137"/>
  <c r="W23" i="137"/>
  <c r="E24" i="137"/>
  <c r="F24" i="137"/>
  <c r="G24" i="137"/>
  <c r="H24" i="137"/>
  <c r="I24" i="137"/>
  <c r="J24" i="137"/>
  <c r="K24" i="137"/>
  <c r="L24" i="137"/>
  <c r="M24" i="137"/>
  <c r="N24" i="137"/>
  <c r="O24" i="137"/>
  <c r="P24" i="137"/>
  <c r="Q24" i="137"/>
  <c r="R24" i="137"/>
  <c r="S24" i="137"/>
  <c r="T24" i="137"/>
  <c r="U24" i="137"/>
  <c r="W24" i="137"/>
  <c r="E25" i="137"/>
  <c r="F25" i="137"/>
  <c r="G25" i="137"/>
  <c r="H25" i="137"/>
  <c r="I25" i="137"/>
  <c r="J25" i="137"/>
  <c r="K25" i="137"/>
  <c r="L25" i="137"/>
  <c r="M25" i="137"/>
  <c r="N25" i="137"/>
  <c r="O25" i="137"/>
  <c r="P25" i="137"/>
  <c r="Q25" i="137"/>
  <c r="R25" i="137"/>
  <c r="S25" i="137"/>
  <c r="T25" i="137"/>
  <c r="U25" i="137"/>
  <c r="W25" i="137"/>
  <c r="E26" i="137"/>
  <c r="F26" i="137"/>
  <c r="G26" i="137"/>
  <c r="H26" i="137"/>
  <c r="I26" i="137"/>
  <c r="J26" i="137"/>
  <c r="K26" i="137"/>
  <c r="L26" i="137"/>
  <c r="M26" i="137"/>
  <c r="N26" i="137"/>
  <c r="O26" i="137"/>
  <c r="P26" i="137"/>
  <c r="Q26" i="137"/>
  <c r="R26" i="137"/>
  <c r="S26" i="137"/>
  <c r="T26" i="137"/>
  <c r="U26" i="137"/>
  <c r="W26" i="137"/>
  <c r="E27" i="137"/>
  <c r="F27" i="137"/>
  <c r="G27" i="137"/>
  <c r="H27" i="137"/>
  <c r="I27" i="137"/>
  <c r="J27" i="137"/>
  <c r="K27" i="137"/>
  <c r="L27" i="137"/>
  <c r="M27" i="137"/>
  <c r="N27" i="137"/>
  <c r="O27" i="137"/>
  <c r="P27" i="137"/>
  <c r="Q27" i="137"/>
  <c r="R27" i="137"/>
  <c r="S27" i="137"/>
  <c r="T27" i="137"/>
  <c r="U27" i="137"/>
  <c r="W27" i="137"/>
  <c r="W20" i="137"/>
  <c r="F20" i="137"/>
  <c r="G20" i="137"/>
  <c r="H20" i="137"/>
  <c r="I20" i="137"/>
  <c r="J20" i="137"/>
  <c r="K20" i="137"/>
  <c r="L20" i="137"/>
  <c r="M20" i="137"/>
  <c r="N20" i="137"/>
  <c r="O20" i="137"/>
  <c r="P20" i="137"/>
  <c r="Q20" i="137"/>
  <c r="R20" i="137"/>
  <c r="S20" i="137"/>
  <c r="T20" i="137"/>
  <c r="U20" i="137"/>
  <c r="E20" i="137"/>
  <c r="E13" i="137"/>
  <c r="F13" i="137"/>
  <c r="G13" i="137"/>
  <c r="H13" i="137"/>
  <c r="I13" i="137"/>
  <c r="J13" i="137"/>
  <c r="K13" i="137"/>
  <c r="L13" i="137"/>
  <c r="M13" i="137"/>
  <c r="N13" i="137"/>
  <c r="O13" i="137"/>
  <c r="P13" i="137"/>
  <c r="Q13" i="137"/>
  <c r="R13" i="137"/>
  <c r="S13" i="137"/>
  <c r="T13" i="137"/>
  <c r="U13" i="137"/>
  <c r="W13" i="137"/>
  <c r="E14" i="137"/>
  <c r="F14" i="137"/>
  <c r="G14" i="137"/>
  <c r="H14" i="137"/>
  <c r="I14" i="137"/>
  <c r="J14" i="137"/>
  <c r="K14" i="137"/>
  <c r="L14" i="137"/>
  <c r="M14" i="137"/>
  <c r="N14" i="137"/>
  <c r="O14" i="137"/>
  <c r="P14" i="137"/>
  <c r="Q14" i="137"/>
  <c r="R14" i="137"/>
  <c r="S14" i="137"/>
  <c r="T14" i="137"/>
  <c r="U14" i="137"/>
  <c r="W14" i="137"/>
  <c r="E15" i="137"/>
  <c r="F15" i="137"/>
  <c r="G15" i="137"/>
  <c r="H15" i="137"/>
  <c r="I15" i="137"/>
  <c r="J15" i="137"/>
  <c r="K15" i="137"/>
  <c r="L15" i="137"/>
  <c r="M15" i="137"/>
  <c r="N15" i="137"/>
  <c r="O15" i="137"/>
  <c r="P15" i="137"/>
  <c r="Q15" i="137"/>
  <c r="R15" i="137"/>
  <c r="S15" i="137"/>
  <c r="T15" i="137"/>
  <c r="U15" i="137"/>
  <c r="W15" i="137"/>
  <c r="E16" i="137"/>
  <c r="F16" i="137"/>
  <c r="G16" i="137"/>
  <c r="H16" i="137"/>
  <c r="I16" i="137"/>
  <c r="J16" i="137"/>
  <c r="K16" i="137"/>
  <c r="L16" i="137"/>
  <c r="M16" i="137"/>
  <c r="N16" i="137"/>
  <c r="O16" i="137"/>
  <c r="P16" i="137"/>
  <c r="Q16" i="137"/>
  <c r="R16" i="137"/>
  <c r="S16" i="137"/>
  <c r="T16" i="137"/>
  <c r="U16" i="137"/>
  <c r="W16" i="137"/>
  <c r="E17" i="137"/>
  <c r="F17" i="137"/>
  <c r="G17" i="137"/>
  <c r="H17" i="137"/>
  <c r="I17" i="137"/>
  <c r="J17" i="137"/>
  <c r="K17" i="137"/>
  <c r="L17" i="137"/>
  <c r="M17" i="137"/>
  <c r="N17" i="137"/>
  <c r="O17" i="137"/>
  <c r="P17" i="137"/>
  <c r="Q17" i="137"/>
  <c r="R17" i="137"/>
  <c r="S17" i="137"/>
  <c r="T17" i="137"/>
  <c r="U17" i="137"/>
  <c r="W17" i="137"/>
  <c r="E18" i="137"/>
  <c r="F18" i="137"/>
  <c r="G18" i="137"/>
  <c r="H18" i="137"/>
  <c r="I18" i="137"/>
  <c r="J18" i="137"/>
  <c r="K18" i="137"/>
  <c r="L18" i="137"/>
  <c r="M18" i="137"/>
  <c r="N18" i="137"/>
  <c r="O18" i="137"/>
  <c r="P18" i="137"/>
  <c r="Q18" i="137"/>
  <c r="R18" i="137"/>
  <c r="S18" i="137"/>
  <c r="T18" i="137"/>
  <c r="U18" i="137"/>
  <c r="W18" i="137"/>
  <c r="E19" i="137"/>
  <c r="F19" i="137"/>
  <c r="G19" i="137"/>
  <c r="H19" i="137"/>
  <c r="I19" i="137"/>
  <c r="J19" i="137"/>
  <c r="K19" i="137"/>
  <c r="L19" i="137"/>
  <c r="M19" i="137"/>
  <c r="N19" i="137"/>
  <c r="O19" i="137"/>
  <c r="P19" i="137"/>
  <c r="Q19" i="137"/>
  <c r="R19" i="137"/>
  <c r="S19" i="137"/>
  <c r="T19" i="137"/>
  <c r="U19" i="137"/>
  <c r="W19" i="137"/>
  <c r="F12" i="137"/>
  <c r="G12" i="137"/>
  <c r="H12" i="137"/>
  <c r="I12" i="137"/>
  <c r="J12" i="137"/>
  <c r="K12" i="137"/>
  <c r="L12" i="137"/>
  <c r="M12" i="137"/>
  <c r="N12" i="137"/>
  <c r="O12" i="137"/>
  <c r="P12" i="137"/>
  <c r="Q12" i="137"/>
  <c r="R12" i="137"/>
  <c r="S12" i="137"/>
  <c r="T12" i="137"/>
  <c r="U12" i="137"/>
  <c r="W12" i="137"/>
  <c r="E12" i="137"/>
  <c r="C20" i="137"/>
  <c r="D3" i="137"/>
  <c r="D2" i="137"/>
  <c r="E29" i="136"/>
  <c r="F29" i="136"/>
  <c r="G29" i="136"/>
  <c r="H29" i="136"/>
  <c r="I29" i="136"/>
  <c r="J29" i="136"/>
  <c r="K29" i="136"/>
  <c r="L29" i="136"/>
  <c r="M29" i="136"/>
  <c r="N29" i="136"/>
  <c r="O29" i="136"/>
  <c r="P29" i="136"/>
  <c r="Q29" i="136"/>
  <c r="R29" i="136"/>
  <c r="S29" i="136"/>
  <c r="T29" i="136"/>
  <c r="U29" i="136"/>
  <c r="W29" i="136"/>
  <c r="E30" i="136"/>
  <c r="F30" i="136"/>
  <c r="G30" i="136"/>
  <c r="H30" i="136"/>
  <c r="I30" i="136"/>
  <c r="J30" i="136"/>
  <c r="K30" i="136"/>
  <c r="L30" i="136"/>
  <c r="M30" i="136"/>
  <c r="N30" i="136"/>
  <c r="O30" i="136"/>
  <c r="P30" i="136"/>
  <c r="Q30" i="136"/>
  <c r="R30" i="136"/>
  <c r="S30" i="136"/>
  <c r="T30" i="136"/>
  <c r="U30" i="136"/>
  <c r="W30" i="136"/>
  <c r="E31" i="136"/>
  <c r="F31" i="136"/>
  <c r="G31" i="136"/>
  <c r="H31" i="136"/>
  <c r="I31" i="136"/>
  <c r="J31" i="136"/>
  <c r="K31" i="136"/>
  <c r="L31" i="136"/>
  <c r="M31" i="136"/>
  <c r="N31" i="136"/>
  <c r="O31" i="136"/>
  <c r="P31" i="136"/>
  <c r="Q31" i="136"/>
  <c r="R31" i="136"/>
  <c r="S31" i="136"/>
  <c r="T31" i="136"/>
  <c r="U31" i="136"/>
  <c r="W31" i="136"/>
  <c r="E32" i="136"/>
  <c r="F32" i="136"/>
  <c r="G32" i="136"/>
  <c r="H32" i="136"/>
  <c r="I32" i="136"/>
  <c r="J32" i="136"/>
  <c r="K32" i="136"/>
  <c r="L32" i="136"/>
  <c r="M32" i="136"/>
  <c r="N32" i="136"/>
  <c r="O32" i="136"/>
  <c r="P32" i="136"/>
  <c r="Q32" i="136"/>
  <c r="R32" i="136"/>
  <c r="S32" i="136"/>
  <c r="T32" i="136"/>
  <c r="U32" i="136"/>
  <c r="W32" i="136"/>
  <c r="E33" i="136"/>
  <c r="F33" i="136"/>
  <c r="G33" i="136"/>
  <c r="H33" i="136"/>
  <c r="I33" i="136"/>
  <c r="J33" i="136"/>
  <c r="K33" i="136"/>
  <c r="L33" i="136"/>
  <c r="M33" i="136"/>
  <c r="N33" i="136"/>
  <c r="O33" i="136"/>
  <c r="P33" i="136"/>
  <c r="Q33" i="136"/>
  <c r="R33" i="136"/>
  <c r="S33" i="136"/>
  <c r="T33" i="136"/>
  <c r="U33" i="136"/>
  <c r="W33" i="136"/>
  <c r="E34" i="136"/>
  <c r="F34" i="136"/>
  <c r="G34" i="136"/>
  <c r="H34" i="136"/>
  <c r="I34" i="136"/>
  <c r="J34" i="136"/>
  <c r="K34" i="136"/>
  <c r="L34" i="136"/>
  <c r="M34" i="136"/>
  <c r="N34" i="136"/>
  <c r="O34" i="136"/>
  <c r="P34" i="136"/>
  <c r="Q34" i="136"/>
  <c r="R34" i="136"/>
  <c r="S34" i="136"/>
  <c r="T34" i="136"/>
  <c r="U34" i="136"/>
  <c r="W34" i="136"/>
  <c r="E35" i="136"/>
  <c r="F35" i="136"/>
  <c r="G35" i="136"/>
  <c r="H35" i="136"/>
  <c r="I35" i="136"/>
  <c r="J35" i="136"/>
  <c r="K35" i="136"/>
  <c r="L35" i="136"/>
  <c r="M35" i="136"/>
  <c r="N35" i="136"/>
  <c r="O35" i="136"/>
  <c r="P35" i="136"/>
  <c r="Q35" i="136"/>
  <c r="R35" i="136"/>
  <c r="S35" i="136"/>
  <c r="T35" i="136"/>
  <c r="U35" i="136"/>
  <c r="W35" i="136"/>
  <c r="W28" i="136"/>
  <c r="X28" i="136" s="1"/>
  <c r="F28" i="136"/>
  <c r="G28" i="136"/>
  <c r="H28" i="136"/>
  <c r="I28" i="136"/>
  <c r="J28" i="136"/>
  <c r="K28" i="136"/>
  <c r="L28" i="136"/>
  <c r="M28" i="136"/>
  <c r="N28" i="136"/>
  <c r="O28" i="136"/>
  <c r="P28" i="136"/>
  <c r="Q28" i="136"/>
  <c r="R28" i="136"/>
  <c r="S28" i="136"/>
  <c r="T28" i="136"/>
  <c r="U28" i="136"/>
  <c r="E28" i="136"/>
  <c r="E21" i="136"/>
  <c r="F21" i="136"/>
  <c r="G21" i="136"/>
  <c r="H21" i="136"/>
  <c r="I21" i="136"/>
  <c r="J21" i="136"/>
  <c r="K21" i="136"/>
  <c r="L21" i="136"/>
  <c r="M21" i="136"/>
  <c r="N21" i="136"/>
  <c r="O21" i="136"/>
  <c r="P21" i="136"/>
  <c r="Q21" i="136"/>
  <c r="R21" i="136"/>
  <c r="S21" i="136"/>
  <c r="T21" i="136"/>
  <c r="U21" i="136"/>
  <c r="W21" i="136"/>
  <c r="E22" i="136"/>
  <c r="F22" i="136"/>
  <c r="G22" i="136"/>
  <c r="H22" i="136"/>
  <c r="I22" i="136"/>
  <c r="J22" i="136"/>
  <c r="K22" i="136"/>
  <c r="L22" i="136"/>
  <c r="M22" i="136"/>
  <c r="N22" i="136"/>
  <c r="O22" i="136"/>
  <c r="P22" i="136"/>
  <c r="Q22" i="136"/>
  <c r="R22" i="136"/>
  <c r="S22" i="136"/>
  <c r="T22" i="136"/>
  <c r="U22" i="136"/>
  <c r="W22" i="136"/>
  <c r="E23" i="136"/>
  <c r="F23" i="136"/>
  <c r="G23" i="136"/>
  <c r="H23" i="136"/>
  <c r="I23" i="136"/>
  <c r="J23" i="136"/>
  <c r="K23" i="136"/>
  <c r="L23" i="136"/>
  <c r="M23" i="136"/>
  <c r="N23" i="136"/>
  <c r="O23" i="136"/>
  <c r="P23" i="136"/>
  <c r="Q23" i="136"/>
  <c r="R23" i="136"/>
  <c r="S23" i="136"/>
  <c r="T23" i="136"/>
  <c r="U23" i="136"/>
  <c r="W23" i="136"/>
  <c r="E24" i="136"/>
  <c r="F24" i="136"/>
  <c r="G24" i="136"/>
  <c r="H24" i="136"/>
  <c r="I24" i="136"/>
  <c r="J24" i="136"/>
  <c r="K24" i="136"/>
  <c r="L24" i="136"/>
  <c r="M24" i="136"/>
  <c r="N24" i="136"/>
  <c r="O24" i="136"/>
  <c r="P24" i="136"/>
  <c r="Q24" i="136"/>
  <c r="R24" i="136"/>
  <c r="S24" i="136"/>
  <c r="T24" i="136"/>
  <c r="U24" i="136"/>
  <c r="W24" i="136"/>
  <c r="E25" i="136"/>
  <c r="F25" i="136"/>
  <c r="G25" i="136"/>
  <c r="H25" i="136"/>
  <c r="I25" i="136"/>
  <c r="J25" i="136"/>
  <c r="K25" i="136"/>
  <c r="L25" i="136"/>
  <c r="M25" i="136"/>
  <c r="N25" i="136"/>
  <c r="O25" i="136"/>
  <c r="P25" i="136"/>
  <c r="Q25" i="136"/>
  <c r="R25" i="136"/>
  <c r="S25" i="136"/>
  <c r="T25" i="136"/>
  <c r="U25" i="136"/>
  <c r="W25" i="136"/>
  <c r="E26" i="136"/>
  <c r="F26" i="136"/>
  <c r="G26" i="136"/>
  <c r="H26" i="136"/>
  <c r="I26" i="136"/>
  <c r="J26" i="136"/>
  <c r="K26" i="136"/>
  <c r="L26" i="136"/>
  <c r="M26" i="136"/>
  <c r="N26" i="136"/>
  <c r="O26" i="136"/>
  <c r="P26" i="136"/>
  <c r="Q26" i="136"/>
  <c r="R26" i="136"/>
  <c r="S26" i="136"/>
  <c r="T26" i="136"/>
  <c r="U26" i="136"/>
  <c r="W26" i="136"/>
  <c r="E27" i="136"/>
  <c r="F27" i="136"/>
  <c r="G27" i="136"/>
  <c r="H27" i="136"/>
  <c r="I27" i="136"/>
  <c r="J27" i="136"/>
  <c r="K27" i="136"/>
  <c r="L27" i="136"/>
  <c r="M27" i="136"/>
  <c r="N27" i="136"/>
  <c r="O27" i="136"/>
  <c r="P27" i="136"/>
  <c r="Q27" i="136"/>
  <c r="R27" i="136"/>
  <c r="S27" i="136"/>
  <c r="T27" i="136"/>
  <c r="U27" i="136"/>
  <c r="W27" i="136"/>
  <c r="W20" i="136"/>
  <c r="F20" i="136"/>
  <c r="G20" i="136"/>
  <c r="H20" i="136"/>
  <c r="I20" i="136"/>
  <c r="J20" i="136"/>
  <c r="K20" i="136"/>
  <c r="L20" i="136"/>
  <c r="M20" i="136"/>
  <c r="N20" i="136"/>
  <c r="O20" i="136"/>
  <c r="P20" i="136"/>
  <c r="Q20" i="136"/>
  <c r="R20" i="136"/>
  <c r="S20" i="136"/>
  <c r="T20" i="136"/>
  <c r="U20" i="136"/>
  <c r="E20" i="136"/>
  <c r="E13" i="136"/>
  <c r="F13" i="136"/>
  <c r="G13" i="136"/>
  <c r="H13" i="136"/>
  <c r="I13" i="136"/>
  <c r="J13" i="136"/>
  <c r="K13" i="136"/>
  <c r="L13" i="136"/>
  <c r="M13" i="136"/>
  <c r="N13" i="136"/>
  <c r="O13" i="136"/>
  <c r="P13" i="136"/>
  <c r="Q13" i="136"/>
  <c r="R13" i="136"/>
  <c r="S13" i="136"/>
  <c r="T13" i="136"/>
  <c r="U13" i="136"/>
  <c r="W13" i="136"/>
  <c r="E14" i="136"/>
  <c r="F14" i="136"/>
  <c r="G14" i="136"/>
  <c r="H14" i="136"/>
  <c r="I14" i="136"/>
  <c r="J14" i="136"/>
  <c r="K14" i="136"/>
  <c r="L14" i="136"/>
  <c r="M14" i="136"/>
  <c r="N14" i="136"/>
  <c r="O14" i="136"/>
  <c r="P14" i="136"/>
  <c r="Q14" i="136"/>
  <c r="R14" i="136"/>
  <c r="S14" i="136"/>
  <c r="T14" i="136"/>
  <c r="U14" i="136"/>
  <c r="W14" i="136"/>
  <c r="E15" i="136"/>
  <c r="F15" i="136"/>
  <c r="G15" i="136"/>
  <c r="H15" i="136"/>
  <c r="I15" i="136"/>
  <c r="J15" i="136"/>
  <c r="K15" i="136"/>
  <c r="L15" i="136"/>
  <c r="M15" i="136"/>
  <c r="N15" i="136"/>
  <c r="O15" i="136"/>
  <c r="P15" i="136"/>
  <c r="Q15" i="136"/>
  <c r="R15" i="136"/>
  <c r="S15" i="136"/>
  <c r="T15" i="136"/>
  <c r="U15" i="136"/>
  <c r="W15" i="136"/>
  <c r="E16" i="136"/>
  <c r="G16" i="136"/>
  <c r="H16" i="136"/>
  <c r="I16" i="136"/>
  <c r="J16" i="136"/>
  <c r="K16" i="136"/>
  <c r="L16" i="136"/>
  <c r="M16" i="136"/>
  <c r="N16" i="136"/>
  <c r="O16" i="136"/>
  <c r="P16" i="136"/>
  <c r="Q16" i="136"/>
  <c r="R16" i="136"/>
  <c r="S16" i="136"/>
  <c r="T16" i="136"/>
  <c r="U16" i="136"/>
  <c r="W16" i="136"/>
  <c r="E17" i="136"/>
  <c r="F17" i="136"/>
  <c r="G17" i="136"/>
  <c r="H17" i="136"/>
  <c r="I17" i="136"/>
  <c r="J17" i="136"/>
  <c r="K17" i="136"/>
  <c r="L17" i="136"/>
  <c r="M17" i="136"/>
  <c r="N17" i="136"/>
  <c r="O17" i="136"/>
  <c r="P17" i="136"/>
  <c r="Q17" i="136"/>
  <c r="R17" i="136"/>
  <c r="S17" i="136"/>
  <c r="T17" i="136"/>
  <c r="U17" i="136"/>
  <c r="W17" i="136"/>
  <c r="E18" i="136"/>
  <c r="F18" i="136"/>
  <c r="G18" i="136"/>
  <c r="H18" i="136"/>
  <c r="I18" i="136"/>
  <c r="J18" i="136"/>
  <c r="K18" i="136"/>
  <c r="L18" i="136"/>
  <c r="M18" i="136"/>
  <c r="N18" i="136"/>
  <c r="O18" i="136"/>
  <c r="P18" i="136"/>
  <c r="Q18" i="136"/>
  <c r="R18" i="136"/>
  <c r="S18" i="136"/>
  <c r="T18" i="136"/>
  <c r="U18" i="136"/>
  <c r="W18" i="136"/>
  <c r="E19" i="136"/>
  <c r="F19" i="136"/>
  <c r="G19" i="136"/>
  <c r="H19" i="136"/>
  <c r="I19" i="136"/>
  <c r="J19" i="136"/>
  <c r="K19" i="136"/>
  <c r="L19" i="136"/>
  <c r="M19" i="136"/>
  <c r="N19" i="136"/>
  <c r="O19" i="136"/>
  <c r="P19" i="136"/>
  <c r="Q19" i="136"/>
  <c r="R19" i="136"/>
  <c r="S19" i="136"/>
  <c r="T19" i="136"/>
  <c r="U19" i="136"/>
  <c r="W19" i="136"/>
  <c r="W12" i="136"/>
  <c r="X12" i="136" s="1"/>
  <c r="F12" i="136"/>
  <c r="G12" i="136"/>
  <c r="H12" i="136"/>
  <c r="I12" i="136"/>
  <c r="J12" i="136"/>
  <c r="K12" i="136"/>
  <c r="L12" i="136"/>
  <c r="M12" i="136"/>
  <c r="N12" i="136"/>
  <c r="O12" i="136"/>
  <c r="P12" i="136"/>
  <c r="Q12" i="136"/>
  <c r="R12" i="136"/>
  <c r="S12" i="136"/>
  <c r="T12" i="136"/>
  <c r="U12" i="136"/>
  <c r="E12" i="136"/>
  <c r="A1530" i="2"/>
  <c r="A1529" i="2"/>
  <c r="A1430" i="2"/>
  <c r="A1429" i="2"/>
  <c r="C20" i="136"/>
  <c r="C12" i="136"/>
  <c r="B8" i="136"/>
  <c r="D3" i="136"/>
  <c r="D2" i="136"/>
  <c r="D2" i="135"/>
  <c r="E37" i="135"/>
  <c r="F37" i="135"/>
  <c r="G37" i="135"/>
  <c r="H37" i="135"/>
  <c r="I37" i="135"/>
  <c r="J37" i="135"/>
  <c r="K37" i="135"/>
  <c r="L37" i="135"/>
  <c r="M37" i="135"/>
  <c r="N37" i="135"/>
  <c r="O37" i="135"/>
  <c r="P37" i="135"/>
  <c r="Q37" i="135"/>
  <c r="R37" i="135"/>
  <c r="S37" i="135"/>
  <c r="T37" i="135"/>
  <c r="U37" i="135"/>
  <c r="W37" i="135"/>
  <c r="E38" i="135"/>
  <c r="F38" i="135"/>
  <c r="G38" i="135"/>
  <c r="H38" i="135"/>
  <c r="I38" i="135"/>
  <c r="J38" i="135"/>
  <c r="K38" i="135"/>
  <c r="L38" i="135"/>
  <c r="M38" i="135"/>
  <c r="N38" i="135"/>
  <c r="O38" i="135"/>
  <c r="P38" i="135"/>
  <c r="Q38" i="135"/>
  <c r="R38" i="135"/>
  <c r="S38" i="135"/>
  <c r="T38" i="135"/>
  <c r="U38" i="135"/>
  <c r="W38" i="135"/>
  <c r="E39" i="135"/>
  <c r="F39" i="135"/>
  <c r="G39" i="135"/>
  <c r="H39" i="135"/>
  <c r="I39" i="135"/>
  <c r="J39" i="135"/>
  <c r="K39" i="135"/>
  <c r="L39" i="135"/>
  <c r="M39" i="135"/>
  <c r="N39" i="135"/>
  <c r="O39" i="135"/>
  <c r="P39" i="135"/>
  <c r="Q39" i="135"/>
  <c r="R39" i="135"/>
  <c r="S39" i="135"/>
  <c r="T39" i="135"/>
  <c r="U39" i="135"/>
  <c r="W39" i="135"/>
  <c r="E40" i="135"/>
  <c r="F40" i="135"/>
  <c r="G40" i="135"/>
  <c r="H40" i="135"/>
  <c r="I40" i="135"/>
  <c r="J40" i="135"/>
  <c r="K40" i="135"/>
  <c r="L40" i="135"/>
  <c r="M40" i="135"/>
  <c r="N40" i="135"/>
  <c r="O40" i="135"/>
  <c r="P40" i="135"/>
  <c r="Q40" i="135"/>
  <c r="R40" i="135"/>
  <c r="S40" i="135"/>
  <c r="T40" i="135"/>
  <c r="U40" i="135"/>
  <c r="W40" i="135"/>
  <c r="E41" i="135"/>
  <c r="F41" i="135"/>
  <c r="G41" i="135"/>
  <c r="H41" i="135"/>
  <c r="I41" i="135"/>
  <c r="J41" i="135"/>
  <c r="K41" i="135"/>
  <c r="L41" i="135"/>
  <c r="M41" i="135"/>
  <c r="N41" i="135"/>
  <c r="O41" i="135"/>
  <c r="P41" i="135"/>
  <c r="Q41" i="135"/>
  <c r="R41" i="135"/>
  <c r="S41" i="135"/>
  <c r="T41" i="135"/>
  <c r="U41" i="135"/>
  <c r="W41" i="135"/>
  <c r="E42" i="135"/>
  <c r="F42" i="135"/>
  <c r="G42" i="135"/>
  <c r="H42" i="135"/>
  <c r="I42" i="135"/>
  <c r="J42" i="135"/>
  <c r="K42" i="135"/>
  <c r="L42" i="135"/>
  <c r="M42" i="135"/>
  <c r="N42" i="135"/>
  <c r="O42" i="135"/>
  <c r="P42" i="135"/>
  <c r="Q42" i="135"/>
  <c r="R42" i="135"/>
  <c r="S42" i="135"/>
  <c r="T42" i="135"/>
  <c r="U42" i="135"/>
  <c r="W42" i="135"/>
  <c r="E43" i="135"/>
  <c r="F43" i="135"/>
  <c r="G43" i="135"/>
  <c r="H43" i="135"/>
  <c r="I43" i="135"/>
  <c r="J43" i="135"/>
  <c r="K43" i="135"/>
  <c r="L43" i="135"/>
  <c r="M43" i="135"/>
  <c r="N43" i="135"/>
  <c r="O43" i="135"/>
  <c r="P43" i="135"/>
  <c r="Q43" i="135"/>
  <c r="R43" i="135"/>
  <c r="S43" i="135"/>
  <c r="T43" i="135"/>
  <c r="U43" i="135"/>
  <c r="W43" i="135"/>
  <c r="W36" i="135"/>
  <c r="F36" i="135"/>
  <c r="G36" i="135"/>
  <c r="H36" i="135"/>
  <c r="I36" i="135"/>
  <c r="J36" i="135"/>
  <c r="K36" i="135"/>
  <c r="L36" i="135"/>
  <c r="M36" i="135"/>
  <c r="N36" i="135"/>
  <c r="O36" i="135"/>
  <c r="P36" i="135"/>
  <c r="Q36" i="135"/>
  <c r="R36" i="135"/>
  <c r="S36" i="135"/>
  <c r="T36" i="135"/>
  <c r="U36" i="135"/>
  <c r="E36" i="135"/>
  <c r="E21" i="135"/>
  <c r="F21" i="135"/>
  <c r="G21" i="135"/>
  <c r="H21" i="135"/>
  <c r="I21" i="135"/>
  <c r="J21" i="135"/>
  <c r="K21" i="135"/>
  <c r="L21" i="135"/>
  <c r="M21" i="135"/>
  <c r="N21" i="135"/>
  <c r="O21" i="135"/>
  <c r="P21" i="135"/>
  <c r="Q21" i="135"/>
  <c r="R21" i="135"/>
  <c r="S21" i="135"/>
  <c r="T21" i="135"/>
  <c r="U21" i="135"/>
  <c r="W21" i="135"/>
  <c r="E22" i="135"/>
  <c r="F22" i="135"/>
  <c r="G22" i="135"/>
  <c r="H22" i="135"/>
  <c r="I22" i="135"/>
  <c r="J22" i="135"/>
  <c r="K22" i="135"/>
  <c r="L22" i="135"/>
  <c r="M22" i="135"/>
  <c r="N22" i="135"/>
  <c r="O22" i="135"/>
  <c r="P22" i="135"/>
  <c r="Q22" i="135"/>
  <c r="R22" i="135"/>
  <c r="S22" i="135"/>
  <c r="T22" i="135"/>
  <c r="U22" i="135"/>
  <c r="W22" i="135"/>
  <c r="E23" i="135"/>
  <c r="F23" i="135"/>
  <c r="G23" i="135"/>
  <c r="H23" i="135"/>
  <c r="I23" i="135"/>
  <c r="J23" i="135"/>
  <c r="K23" i="135"/>
  <c r="L23" i="135"/>
  <c r="M23" i="135"/>
  <c r="N23" i="135"/>
  <c r="O23" i="135"/>
  <c r="P23" i="135"/>
  <c r="Q23" i="135"/>
  <c r="R23" i="135"/>
  <c r="S23" i="135"/>
  <c r="T23" i="135"/>
  <c r="U23" i="135"/>
  <c r="W23" i="135"/>
  <c r="E24" i="135"/>
  <c r="F24" i="135"/>
  <c r="G24" i="135"/>
  <c r="H24" i="135"/>
  <c r="I24" i="135"/>
  <c r="J24" i="135"/>
  <c r="K24" i="135"/>
  <c r="L24" i="135"/>
  <c r="M24" i="135"/>
  <c r="N24" i="135"/>
  <c r="O24" i="135"/>
  <c r="P24" i="135"/>
  <c r="Q24" i="135"/>
  <c r="R24" i="135"/>
  <c r="S24" i="135"/>
  <c r="T24" i="135"/>
  <c r="U24" i="135"/>
  <c r="W24" i="135"/>
  <c r="E25" i="135"/>
  <c r="F25" i="135"/>
  <c r="G25" i="135"/>
  <c r="H25" i="135"/>
  <c r="I25" i="135"/>
  <c r="J25" i="135"/>
  <c r="K25" i="135"/>
  <c r="L25" i="135"/>
  <c r="M25" i="135"/>
  <c r="N25" i="135"/>
  <c r="O25" i="135"/>
  <c r="P25" i="135"/>
  <c r="Q25" i="135"/>
  <c r="R25" i="135"/>
  <c r="S25" i="135"/>
  <c r="T25" i="135"/>
  <c r="U25" i="135"/>
  <c r="W25" i="135"/>
  <c r="E26" i="135"/>
  <c r="F26" i="135"/>
  <c r="G26" i="135"/>
  <c r="H26" i="135"/>
  <c r="I26" i="135"/>
  <c r="J26" i="135"/>
  <c r="K26" i="135"/>
  <c r="L26" i="135"/>
  <c r="M26" i="135"/>
  <c r="N26" i="135"/>
  <c r="O26" i="135"/>
  <c r="P26" i="135"/>
  <c r="Q26" i="135"/>
  <c r="R26" i="135"/>
  <c r="S26" i="135"/>
  <c r="T26" i="135"/>
  <c r="U26" i="135"/>
  <c r="W26" i="135"/>
  <c r="E27" i="135"/>
  <c r="F27" i="135"/>
  <c r="G27" i="135"/>
  <c r="H27" i="135"/>
  <c r="I27" i="135"/>
  <c r="J27" i="135"/>
  <c r="K27" i="135"/>
  <c r="L27" i="135"/>
  <c r="M27" i="135"/>
  <c r="N27" i="135"/>
  <c r="O27" i="135"/>
  <c r="P27" i="135"/>
  <c r="Q27" i="135"/>
  <c r="R27" i="135"/>
  <c r="S27" i="135"/>
  <c r="T27" i="135"/>
  <c r="U27" i="135"/>
  <c r="W27" i="135"/>
  <c r="E28" i="135"/>
  <c r="F28" i="135"/>
  <c r="G28" i="135"/>
  <c r="H28" i="135"/>
  <c r="I28" i="135"/>
  <c r="J28" i="135"/>
  <c r="K28" i="135"/>
  <c r="L28" i="135"/>
  <c r="M28" i="135"/>
  <c r="N28" i="135"/>
  <c r="O28" i="135"/>
  <c r="P28" i="135"/>
  <c r="Q28" i="135"/>
  <c r="R28" i="135"/>
  <c r="S28" i="135"/>
  <c r="T28" i="135"/>
  <c r="U28" i="135"/>
  <c r="W28" i="135"/>
  <c r="E29" i="135"/>
  <c r="F29" i="135"/>
  <c r="G29" i="135"/>
  <c r="H29" i="135"/>
  <c r="I29" i="135"/>
  <c r="J29" i="135"/>
  <c r="K29" i="135"/>
  <c r="L29" i="135"/>
  <c r="M29" i="135"/>
  <c r="N29" i="135"/>
  <c r="O29" i="135"/>
  <c r="P29" i="135"/>
  <c r="Q29" i="135"/>
  <c r="R29" i="135"/>
  <c r="S29" i="135"/>
  <c r="T29" i="135"/>
  <c r="U29" i="135"/>
  <c r="W29" i="135"/>
  <c r="E30" i="135"/>
  <c r="F30" i="135"/>
  <c r="G30" i="135"/>
  <c r="H30" i="135"/>
  <c r="I30" i="135"/>
  <c r="J30" i="135"/>
  <c r="K30" i="135"/>
  <c r="L30" i="135"/>
  <c r="M30" i="135"/>
  <c r="N30" i="135"/>
  <c r="O30" i="135"/>
  <c r="P30" i="135"/>
  <c r="Q30" i="135"/>
  <c r="R30" i="135"/>
  <c r="S30" i="135"/>
  <c r="T30" i="135"/>
  <c r="U30" i="135"/>
  <c r="W30" i="135"/>
  <c r="E31" i="135"/>
  <c r="F31" i="135"/>
  <c r="G31" i="135"/>
  <c r="H31" i="135"/>
  <c r="I31" i="135"/>
  <c r="J31" i="135"/>
  <c r="K31" i="135"/>
  <c r="L31" i="135"/>
  <c r="M31" i="135"/>
  <c r="N31" i="135"/>
  <c r="O31" i="135"/>
  <c r="P31" i="135"/>
  <c r="Q31" i="135"/>
  <c r="R31" i="135"/>
  <c r="S31" i="135"/>
  <c r="T31" i="135"/>
  <c r="U31" i="135"/>
  <c r="W31" i="135"/>
  <c r="E32" i="135"/>
  <c r="F32" i="135"/>
  <c r="G32" i="135"/>
  <c r="H32" i="135"/>
  <c r="I32" i="135"/>
  <c r="J32" i="135"/>
  <c r="K32" i="135"/>
  <c r="L32" i="135"/>
  <c r="M32" i="135"/>
  <c r="N32" i="135"/>
  <c r="O32" i="135"/>
  <c r="P32" i="135"/>
  <c r="Q32" i="135"/>
  <c r="R32" i="135"/>
  <c r="S32" i="135"/>
  <c r="T32" i="135"/>
  <c r="U32" i="135"/>
  <c r="W32" i="135"/>
  <c r="E33" i="135"/>
  <c r="F33" i="135"/>
  <c r="G33" i="135"/>
  <c r="H33" i="135"/>
  <c r="I33" i="135"/>
  <c r="J33" i="135"/>
  <c r="K33" i="135"/>
  <c r="L33" i="135"/>
  <c r="M33" i="135"/>
  <c r="N33" i="135"/>
  <c r="O33" i="135"/>
  <c r="P33" i="135"/>
  <c r="Q33" i="135"/>
  <c r="R33" i="135"/>
  <c r="S33" i="135"/>
  <c r="T33" i="135"/>
  <c r="U33" i="135"/>
  <c r="W33" i="135"/>
  <c r="E34" i="135"/>
  <c r="F34" i="135"/>
  <c r="G34" i="135"/>
  <c r="H34" i="135"/>
  <c r="I34" i="135"/>
  <c r="J34" i="135"/>
  <c r="K34" i="135"/>
  <c r="L34" i="135"/>
  <c r="M34" i="135"/>
  <c r="N34" i="135"/>
  <c r="O34" i="135"/>
  <c r="P34" i="135"/>
  <c r="Q34" i="135"/>
  <c r="R34" i="135"/>
  <c r="S34" i="135"/>
  <c r="T34" i="135"/>
  <c r="U34" i="135"/>
  <c r="W34" i="135"/>
  <c r="E35" i="135"/>
  <c r="F35" i="135"/>
  <c r="G35" i="135"/>
  <c r="H35" i="135"/>
  <c r="I35" i="135"/>
  <c r="J35" i="135"/>
  <c r="K35" i="135"/>
  <c r="L35" i="135"/>
  <c r="M35" i="135"/>
  <c r="N35" i="135"/>
  <c r="O35" i="135"/>
  <c r="P35" i="135"/>
  <c r="Q35" i="135"/>
  <c r="R35" i="135"/>
  <c r="S35" i="135"/>
  <c r="T35" i="135"/>
  <c r="U35" i="135"/>
  <c r="W35" i="135"/>
  <c r="F20" i="135"/>
  <c r="G20" i="135"/>
  <c r="H20" i="135"/>
  <c r="I20" i="135"/>
  <c r="J20" i="135"/>
  <c r="K20" i="135"/>
  <c r="L20" i="135"/>
  <c r="M20" i="135"/>
  <c r="N20" i="135"/>
  <c r="O20" i="135"/>
  <c r="P20" i="135"/>
  <c r="Q20" i="135"/>
  <c r="R20" i="135"/>
  <c r="S20" i="135"/>
  <c r="T20" i="135"/>
  <c r="U20" i="135"/>
  <c r="W20" i="135"/>
  <c r="X20" i="135" s="1"/>
  <c r="E20" i="135"/>
  <c r="C28" i="135"/>
  <c r="E13" i="135"/>
  <c r="F13" i="135"/>
  <c r="G13" i="135"/>
  <c r="H13" i="135"/>
  <c r="I13" i="135"/>
  <c r="J13" i="135"/>
  <c r="K13" i="135"/>
  <c r="L13" i="135"/>
  <c r="M13" i="135"/>
  <c r="N13" i="135"/>
  <c r="O13" i="135"/>
  <c r="P13" i="135"/>
  <c r="Q13" i="135"/>
  <c r="R13" i="135"/>
  <c r="S13" i="135"/>
  <c r="T13" i="135"/>
  <c r="U13" i="135"/>
  <c r="W13" i="135"/>
  <c r="E14" i="135"/>
  <c r="F14" i="135"/>
  <c r="G14" i="135"/>
  <c r="H14" i="135"/>
  <c r="I14" i="135"/>
  <c r="J14" i="135"/>
  <c r="K14" i="135"/>
  <c r="L14" i="135"/>
  <c r="M14" i="135"/>
  <c r="N14" i="135"/>
  <c r="O14" i="135"/>
  <c r="P14" i="135"/>
  <c r="Q14" i="135"/>
  <c r="R14" i="135"/>
  <c r="S14" i="135"/>
  <c r="T14" i="135"/>
  <c r="U14" i="135"/>
  <c r="W14" i="135"/>
  <c r="E15" i="135"/>
  <c r="F15" i="135"/>
  <c r="G15" i="135"/>
  <c r="H15" i="135"/>
  <c r="I15" i="135"/>
  <c r="J15" i="135"/>
  <c r="K15" i="135"/>
  <c r="L15" i="135"/>
  <c r="M15" i="135"/>
  <c r="N15" i="135"/>
  <c r="O15" i="135"/>
  <c r="P15" i="135"/>
  <c r="Q15" i="135"/>
  <c r="R15" i="135"/>
  <c r="S15" i="135"/>
  <c r="T15" i="135"/>
  <c r="U15" i="135"/>
  <c r="W15" i="135"/>
  <c r="E16" i="135"/>
  <c r="F16" i="135"/>
  <c r="G16" i="135"/>
  <c r="H16" i="135"/>
  <c r="I16" i="135"/>
  <c r="J16" i="135"/>
  <c r="K16" i="135"/>
  <c r="L16" i="135"/>
  <c r="M16" i="135"/>
  <c r="N16" i="135"/>
  <c r="O16" i="135"/>
  <c r="P16" i="135"/>
  <c r="Q16" i="135"/>
  <c r="R16" i="135"/>
  <c r="S16" i="135"/>
  <c r="T16" i="135"/>
  <c r="U16" i="135"/>
  <c r="W16" i="135"/>
  <c r="E17" i="135"/>
  <c r="F17" i="135"/>
  <c r="G17" i="135"/>
  <c r="H17" i="135"/>
  <c r="I17" i="135"/>
  <c r="J17" i="135"/>
  <c r="K17" i="135"/>
  <c r="L17" i="135"/>
  <c r="M17" i="135"/>
  <c r="N17" i="135"/>
  <c r="O17" i="135"/>
  <c r="P17" i="135"/>
  <c r="Q17" i="135"/>
  <c r="R17" i="135"/>
  <c r="S17" i="135"/>
  <c r="T17" i="135"/>
  <c r="U17" i="135"/>
  <c r="W17" i="135"/>
  <c r="E18" i="135"/>
  <c r="F18" i="135"/>
  <c r="G18" i="135"/>
  <c r="H18" i="135"/>
  <c r="I18" i="135"/>
  <c r="J18" i="135"/>
  <c r="K18" i="135"/>
  <c r="L18" i="135"/>
  <c r="M18" i="135"/>
  <c r="N18" i="135"/>
  <c r="O18" i="135"/>
  <c r="P18" i="135"/>
  <c r="Q18" i="135"/>
  <c r="R18" i="135"/>
  <c r="S18" i="135"/>
  <c r="T18" i="135"/>
  <c r="U18" i="135"/>
  <c r="W18" i="135"/>
  <c r="E19" i="135"/>
  <c r="F19" i="135"/>
  <c r="G19" i="135"/>
  <c r="H19" i="135"/>
  <c r="I19" i="135"/>
  <c r="J19" i="135"/>
  <c r="K19" i="135"/>
  <c r="L19" i="135"/>
  <c r="M19" i="135"/>
  <c r="N19" i="135"/>
  <c r="O19" i="135"/>
  <c r="P19" i="135"/>
  <c r="Q19" i="135"/>
  <c r="R19" i="135"/>
  <c r="S19" i="135"/>
  <c r="T19" i="135"/>
  <c r="U19" i="135"/>
  <c r="W19" i="135"/>
  <c r="W12" i="135"/>
  <c r="X12" i="135" s="1"/>
  <c r="F12" i="135"/>
  <c r="G12" i="135"/>
  <c r="H12" i="135"/>
  <c r="I12" i="135"/>
  <c r="J12" i="135"/>
  <c r="K12" i="135"/>
  <c r="L12" i="135"/>
  <c r="M12" i="135"/>
  <c r="N12" i="135"/>
  <c r="O12" i="135"/>
  <c r="P12" i="135"/>
  <c r="Q12" i="135"/>
  <c r="R12" i="135"/>
  <c r="S12" i="135"/>
  <c r="T12" i="135"/>
  <c r="U12" i="135"/>
  <c r="E12" i="135"/>
  <c r="A1330" i="2"/>
  <c r="A1329" i="2"/>
  <c r="A1230" i="2"/>
  <c r="A1229" i="2"/>
  <c r="C20" i="135"/>
  <c r="C12" i="135"/>
  <c r="B8" i="135"/>
  <c r="D3" i="135"/>
  <c r="D2" i="134"/>
  <c r="E29" i="134"/>
  <c r="F29" i="134"/>
  <c r="G29" i="134"/>
  <c r="H29" i="134"/>
  <c r="I29" i="134"/>
  <c r="J29" i="134"/>
  <c r="K29" i="134"/>
  <c r="L29" i="134"/>
  <c r="M29" i="134"/>
  <c r="N29" i="134"/>
  <c r="O29" i="134"/>
  <c r="P29" i="134"/>
  <c r="Q29" i="134"/>
  <c r="R29" i="134"/>
  <c r="S29" i="134"/>
  <c r="T29" i="134"/>
  <c r="U29" i="134"/>
  <c r="W29" i="134"/>
  <c r="E30" i="134"/>
  <c r="F30" i="134"/>
  <c r="G30" i="134"/>
  <c r="H30" i="134"/>
  <c r="I30" i="134"/>
  <c r="J30" i="134"/>
  <c r="K30" i="134"/>
  <c r="L30" i="134"/>
  <c r="M30" i="134"/>
  <c r="N30" i="134"/>
  <c r="O30" i="134"/>
  <c r="P30" i="134"/>
  <c r="Q30" i="134"/>
  <c r="R30" i="134"/>
  <c r="S30" i="134"/>
  <c r="T30" i="134"/>
  <c r="U30" i="134"/>
  <c r="W30" i="134"/>
  <c r="E31" i="134"/>
  <c r="F31" i="134"/>
  <c r="G31" i="134"/>
  <c r="H31" i="134"/>
  <c r="I31" i="134"/>
  <c r="J31" i="134"/>
  <c r="K31" i="134"/>
  <c r="L31" i="134"/>
  <c r="M31" i="134"/>
  <c r="N31" i="134"/>
  <c r="O31" i="134"/>
  <c r="P31" i="134"/>
  <c r="Q31" i="134"/>
  <c r="R31" i="134"/>
  <c r="S31" i="134"/>
  <c r="T31" i="134"/>
  <c r="U31" i="134"/>
  <c r="W31" i="134"/>
  <c r="E32" i="134"/>
  <c r="F32" i="134"/>
  <c r="G32" i="134"/>
  <c r="H32" i="134"/>
  <c r="I32" i="134"/>
  <c r="J32" i="134"/>
  <c r="K32" i="134"/>
  <c r="L32" i="134"/>
  <c r="M32" i="134"/>
  <c r="N32" i="134"/>
  <c r="O32" i="134"/>
  <c r="P32" i="134"/>
  <c r="Q32" i="134"/>
  <c r="R32" i="134"/>
  <c r="S32" i="134"/>
  <c r="T32" i="134"/>
  <c r="U32" i="134"/>
  <c r="W32" i="134"/>
  <c r="E33" i="134"/>
  <c r="F33" i="134"/>
  <c r="G33" i="134"/>
  <c r="H33" i="134"/>
  <c r="I33" i="134"/>
  <c r="J33" i="134"/>
  <c r="K33" i="134"/>
  <c r="L33" i="134"/>
  <c r="M33" i="134"/>
  <c r="N33" i="134"/>
  <c r="O33" i="134"/>
  <c r="P33" i="134"/>
  <c r="Q33" i="134"/>
  <c r="R33" i="134"/>
  <c r="S33" i="134"/>
  <c r="T33" i="134"/>
  <c r="U33" i="134"/>
  <c r="W33" i="134"/>
  <c r="E34" i="134"/>
  <c r="F34" i="134"/>
  <c r="G34" i="134"/>
  <c r="H34" i="134"/>
  <c r="I34" i="134"/>
  <c r="J34" i="134"/>
  <c r="K34" i="134"/>
  <c r="L34" i="134"/>
  <c r="M34" i="134"/>
  <c r="N34" i="134"/>
  <c r="O34" i="134"/>
  <c r="P34" i="134"/>
  <c r="Q34" i="134"/>
  <c r="R34" i="134"/>
  <c r="S34" i="134"/>
  <c r="T34" i="134"/>
  <c r="U34" i="134"/>
  <c r="W34" i="134"/>
  <c r="E35" i="134"/>
  <c r="F35" i="134"/>
  <c r="G35" i="134"/>
  <c r="H35" i="134"/>
  <c r="I35" i="134"/>
  <c r="J35" i="134"/>
  <c r="K35" i="134"/>
  <c r="L35" i="134"/>
  <c r="M35" i="134"/>
  <c r="N35" i="134"/>
  <c r="O35" i="134"/>
  <c r="P35" i="134"/>
  <c r="Q35" i="134"/>
  <c r="R35" i="134"/>
  <c r="S35" i="134"/>
  <c r="T35" i="134"/>
  <c r="U35" i="134"/>
  <c r="W35" i="134"/>
  <c r="F28" i="134"/>
  <c r="G28" i="134"/>
  <c r="H28" i="134"/>
  <c r="I28" i="134"/>
  <c r="J28" i="134"/>
  <c r="K28" i="134"/>
  <c r="L28" i="134"/>
  <c r="M28" i="134"/>
  <c r="N28" i="134"/>
  <c r="O28" i="134"/>
  <c r="P28" i="134"/>
  <c r="Q28" i="134"/>
  <c r="R28" i="134"/>
  <c r="S28" i="134"/>
  <c r="T28" i="134"/>
  <c r="U28" i="134"/>
  <c r="W28" i="134"/>
  <c r="X28" i="134" s="1"/>
  <c r="E28" i="134"/>
  <c r="E21" i="134"/>
  <c r="F21" i="134"/>
  <c r="G21" i="134"/>
  <c r="H21" i="134"/>
  <c r="I21" i="134"/>
  <c r="J21" i="134"/>
  <c r="K21" i="134"/>
  <c r="L21" i="134"/>
  <c r="M21" i="134"/>
  <c r="N21" i="134"/>
  <c r="O21" i="134"/>
  <c r="P21" i="134"/>
  <c r="Q21" i="134"/>
  <c r="R21" i="134"/>
  <c r="S21" i="134"/>
  <c r="T21" i="134"/>
  <c r="U21" i="134"/>
  <c r="W21" i="134"/>
  <c r="E22" i="134"/>
  <c r="F22" i="134"/>
  <c r="G22" i="134"/>
  <c r="H22" i="134"/>
  <c r="I22" i="134"/>
  <c r="J22" i="134"/>
  <c r="K22" i="134"/>
  <c r="L22" i="134"/>
  <c r="M22" i="134"/>
  <c r="N22" i="134"/>
  <c r="O22" i="134"/>
  <c r="P22" i="134"/>
  <c r="Q22" i="134"/>
  <c r="R22" i="134"/>
  <c r="S22" i="134"/>
  <c r="T22" i="134"/>
  <c r="U22" i="134"/>
  <c r="W22" i="134"/>
  <c r="E23" i="134"/>
  <c r="F23" i="134"/>
  <c r="G23" i="134"/>
  <c r="H23" i="134"/>
  <c r="I23" i="134"/>
  <c r="J23" i="134"/>
  <c r="K23" i="134"/>
  <c r="L23" i="134"/>
  <c r="M23" i="134"/>
  <c r="N23" i="134"/>
  <c r="O23" i="134"/>
  <c r="P23" i="134"/>
  <c r="Q23" i="134"/>
  <c r="R23" i="134"/>
  <c r="S23" i="134"/>
  <c r="T23" i="134"/>
  <c r="U23" i="134"/>
  <c r="W23" i="134"/>
  <c r="E24" i="134"/>
  <c r="F24" i="134"/>
  <c r="G24" i="134"/>
  <c r="H24" i="134"/>
  <c r="I24" i="134"/>
  <c r="J24" i="134"/>
  <c r="K24" i="134"/>
  <c r="L24" i="134"/>
  <c r="M24" i="134"/>
  <c r="N24" i="134"/>
  <c r="O24" i="134"/>
  <c r="P24" i="134"/>
  <c r="Q24" i="134"/>
  <c r="R24" i="134"/>
  <c r="S24" i="134"/>
  <c r="T24" i="134"/>
  <c r="U24" i="134"/>
  <c r="W24" i="134"/>
  <c r="E25" i="134"/>
  <c r="F25" i="134"/>
  <c r="G25" i="134"/>
  <c r="H25" i="134"/>
  <c r="I25" i="134"/>
  <c r="J25" i="134"/>
  <c r="K25" i="134"/>
  <c r="L25" i="134"/>
  <c r="M25" i="134"/>
  <c r="N25" i="134"/>
  <c r="O25" i="134"/>
  <c r="P25" i="134"/>
  <c r="Q25" i="134"/>
  <c r="R25" i="134"/>
  <c r="S25" i="134"/>
  <c r="T25" i="134"/>
  <c r="U25" i="134"/>
  <c r="W25" i="134"/>
  <c r="E26" i="134"/>
  <c r="F26" i="134"/>
  <c r="G26" i="134"/>
  <c r="H26" i="134"/>
  <c r="I26" i="134"/>
  <c r="J26" i="134"/>
  <c r="K26" i="134"/>
  <c r="L26" i="134"/>
  <c r="M26" i="134"/>
  <c r="N26" i="134"/>
  <c r="O26" i="134"/>
  <c r="P26" i="134"/>
  <c r="Q26" i="134"/>
  <c r="R26" i="134"/>
  <c r="S26" i="134"/>
  <c r="T26" i="134"/>
  <c r="U26" i="134"/>
  <c r="W26" i="134"/>
  <c r="E27" i="134"/>
  <c r="F27" i="134"/>
  <c r="G27" i="134"/>
  <c r="H27" i="134"/>
  <c r="I27" i="134"/>
  <c r="J27" i="134"/>
  <c r="K27" i="134"/>
  <c r="L27" i="134"/>
  <c r="M27" i="134"/>
  <c r="N27" i="134"/>
  <c r="O27" i="134"/>
  <c r="P27" i="134"/>
  <c r="Q27" i="134"/>
  <c r="R27" i="134"/>
  <c r="S27" i="134"/>
  <c r="T27" i="134"/>
  <c r="U27" i="134"/>
  <c r="W27" i="134"/>
  <c r="W20" i="134"/>
  <c r="F20" i="134"/>
  <c r="G20" i="134"/>
  <c r="H20" i="134"/>
  <c r="I20" i="134"/>
  <c r="J20" i="134"/>
  <c r="K20" i="134"/>
  <c r="L20" i="134"/>
  <c r="M20" i="134"/>
  <c r="N20" i="134"/>
  <c r="O20" i="134"/>
  <c r="P20" i="134"/>
  <c r="Q20" i="134"/>
  <c r="R20" i="134"/>
  <c r="S20" i="134"/>
  <c r="T20" i="134"/>
  <c r="U20" i="134"/>
  <c r="E20" i="134"/>
  <c r="E13" i="134"/>
  <c r="F13" i="134"/>
  <c r="G13" i="134"/>
  <c r="H13" i="134"/>
  <c r="I13" i="134"/>
  <c r="J13" i="134"/>
  <c r="K13" i="134"/>
  <c r="L13" i="134"/>
  <c r="M13" i="134"/>
  <c r="N13" i="134"/>
  <c r="O13" i="134"/>
  <c r="P13" i="134"/>
  <c r="Q13" i="134"/>
  <c r="R13" i="134"/>
  <c r="S13" i="134"/>
  <c r="T13" i="134"/>
  <c r="U13" i="134"/>
  <c r="W13" i="134"/>
  <c r="E14" i="134"/>
  <c r="F14" i="134"/>
  <c r="G14" i="134"/>
  <c r="H14" i="134"/>
  <c r="I14" i="134"/>
  <c r="J14" i="134"/>
  <c r="K14" i="134"/>
  <c r="L14" i="134"/>
  <c r="M14" i="134"/>
  <c r="N14" i="134"/>
  <c r="O14" i="134"/>
  <c r="P14" i="134"/>
  <c r="Q14" i="134"/>
  <c r="R14" i="134"/>
  <c r="S14" i="134"/>
  <c r="T14" i="134"/>
  <c r="U14" i="134"/>
  <c r="W14" i="134"/>
  <c r="E15" i="134"/>
  <c r="F15" i="134"/>
  <c r="G15" i="134"/>
  <c r="H15" i="134"/>
  <c r="I15" i="134"/>
  <c r="J15" i="134"/>
  <c r="K15" i="134"/>
  <c r="L15" i="134"/>
  <c r="M15" i="134"/>
  <c r="N15" i="134"/>
  <c r="O15" i="134"/>
  <c r="P15" i="134"/>
  <c r="Q15" i="134"/>
  <c r="R15" i="134"/>
  <c r="S15" i="134"/>
  <c r="T15" i="134"/>
  <c r="U15" i="134"/>
  <c r="W15" i="134"/>
  <c r="E16" i="134"/>
  <c r="F16" i="134"/>
  <c r="G16" i="134"/>
  <c r="H16" i="134"/>
  <c r="I16" i="134"/>
  <c r="J16" i="134"/>
  <c r="K16" i="134"/>
  <c r="L16" i="134"/>
  <c r="M16" i="134"/>
  <c r="N16" i="134"/>
  <c r="O16" i="134"/>
  <c r="P16" i="134"/>
  <c r="Q16" i="134"/>
  <c r="R16" i="134"/>
  <c r="S16" i="134"/>
  <c r="T16" i="134"/>
  <c r="U16" i="134"/>
  <c r="W16" i="134"/>
  <c r="E17" i="134"/>
  <c r="F17" i="134"/>
  <c r="G17" i="134"/>
  <c r="H17" i="134"/>
  <c r="I17" i="134"/>
  <c r="J17" i="134"/>
  <c r="K17" i="134"/>
  <c r="L17" i="134"/>
  <c r="M17" i="134"/>
  <c r="N17" i="134"/>
  <c r="O17" i="134"/>
  <c r="P17" i="134"/>
  <c r="Q17" i="134"/>
  <c r="R17" i="134"/>
  <c r="S17" i="134"/>
  <c r="T17" i="134"/>
  <c r="U17" i="134"/>
  <c r="W17" i="134"/>
  <c r="E18" i="134"/>
  <c r="F18" i="134"/>
  <c r="G18" i="134"/>
  <c r="H18" i="134"/>
  <c r="I18" i="134"/>
  <c r="J18" i="134"/>
  <c r="K18" i="134"/>
  <c r="L18" i="134"/>
  <c r="M18" i="134"/>
  <c r="N18" i="134"/>
  <c r="O18" i="134"/>
  <c r="P18" i="134"/>
  <c r="Q18" i="134"/>
  <c r="R18" i="134"/>
  <c r="S18" i="134"/>
  <c r="T18" i="134"/>
  <c r="U18" i="134"/>
  <c r="W18" i="134"/>
  <c r="E19" i="134"/>
  <c r="F19" i="134"/>
  <c r="G19" i="134"/>
  <c r="H19" i="134"/>
  <c r="I19" i="134"/>
  <c r="J19" i="134"/>
  <c r="K19" i="134"/>
  <c r="L19" i="134"/>
  <c r="M19" i="134"/>
  <c r="N19" i="134"/>
  <c r="O19" i="134"/>
  <c r="P19" i="134"/>
  <c r="Q19" i="134"/>
  <c r="R19" i="134"/>
  <c r="S19" i="134"/>
  <c r="T19" i="134"/>
  <c r="U19" i="134"/>
  <c r="W19" i="134"/>
  <c r="F12" i="134"/>
  <c r="G12" i="134"/>
  <c r="H12" i="134"/>
  <c r="I12" i="134"/>
  <c r="J12" i="134"/>
  <c r="K12" i="134"/>
  <c r="L12" i="134"/>
  <c r="M12" i="134"/>
  <c r="N12" i="134"/>
  <c r="O12" i="134"/>
  <c r="P12" i="134"/>
  <c r="Q12" i="134"/>
  <c r="R12" i="134"/>
  <c r="S12" i="134"/>
  <c r="T12" i="134"/>
  <c r="U12" i="134"/>
  <c r="W12" i="134"/>
  <c r="E12" i="134"/>
  <c r="A1130" i="2"/>
  <c r="A1129" i="2"/>
  <c r="A1030" i="2"/>
  <c r="A1029" i="2"/>
  <c r="C20" i="134"/>
  <c r="C12" i="134"/>
  <c r="B8" i="134"/>
  <c r="D3" i="134"/>
  <c r="E29" i="133"/>
  <c r="F29" i="133"/>
  <c r="G29" i="133"/>
  <c r="H29" i="133"/>
  <c r="I29" i="133"/>
  <c r="J29" i="133"/>
  <c r="K29" i="133"/>
  <c r="L29" i="133"/>
  <c r="M29" i="133"/>
  <c r="N29" i="133"/>
  <c r="O29" i="133"/>
  <c r="P29" i="133"/>
  <c r="Q29" i="133"/>
  <c r="R29" i="133"/>
  <c r="S29" i="133"/>
  <c r="T29" i="133"/>
  <c r="U29" i="133"/>
  <c r="W29" i="133"/>
  <c r="E30" i="133"/>
  <c r="F30" i="133"/>
  <c r="G30" i="133"/>
  <c r="H30" i="133"/>
  <c r="I30" i="133"/>
  <c r="J30" i="133"/>
  <c r="K30" i="133"/>
  <c r="L30" i="133"/>
  <c r="M30" i="133"/>
  <c r="N30" i="133"/>
  <c r="O30" i="133"/>
  <c r="P30" i="133"/>
  <c r="Q30" i="133"/>
  <c r="R30" i="133"/>
  <c r="S30" i="133"/>
  <c r="T30" i="133"/>
  <c r="U30" i="133"/>
  <c r="W30" i="133"/>
  <c r="E31" i="133"/>
  <c r="F31" i="133"/>
  <c r="G31" i="133"/>
  <c r="H31" i="133"/>
  <c r="I31" i="133"/>
  <c r="J31" i="133"/>
  <c r="K31" i="133"/>
  <c r="L31" i="133"/>
  <c r="M31" i="133"/>
  <c r="N31" i="133"/>
  <c r="O31" i="133"/>
  <c r="P31" i="133"/>
  <c r="Q31" i="133"/>
  <c r="R31" i="133"/>
  <c r="S31" i="133"/>
  <c r="T31" i="133"/>
  <c r="U31" i="133"/>
  <c r="W31" i="133"/>
  <c r="E32" i="133"/>
  <c r="F32" i="133"/>
  <c r="G32" i="133"/>
  <c r="H32" i="133"/>
  <c r="I32" i="133"/>
  <c r="J32" i="133"/>
  <c r="K32" i="133"/>
  <c r="L32" i="133"/>
  <c r="M32" i="133"/>
  <c r="N32" i="133"/>
  <c r="O32" i="133"/>
  <c r="P32" i="133"/>
  <c r="Q32" i="133"/>
  <c r="R32" i="133"/>
  <c r="S32" i="133"/>
  <c r="T32" i="133"/>
  <c r="U32" i="133"/>
  <c r="W32" i="133"/>
  <c r="E33" i="133"/>
  <c r="F33" i="133"/>
  <c r="G33" i="133"/>
  <c r="H33" i="133"/>
  <c r="I33" i="133"/>
  <c r="J33" i="133"/>
  <c r="K33" i="133"/>
  <c r="L33" i="133"/>
  <c r="M33" i="133"/>
  <c r="N33" i="133"/>
  <c r="O33" i="133"/>
  <c r="P33" i="133"/>
  <c r="Q33" i="133"/>
  <c r="R33" i="133"/>
  <c r="S33" i="133"/>
  <c r="T33" i="133"/>
  <c r="U33" i="133"/>
  <c r="W33" i="133"/>
  <c r="E34" i="133"/>
  <c r="F34" i="133"/>
  <c r="G34" i="133"/>
  <c r="H34" i="133"/>
  <c r="I34" i="133"/>
  <c r="J34" i="133"/>
  <c r="K34" i="133"/>
  <c r="L34" i="133"/>
  <c r="M34" i="133"/>
  <c r="N34" i="133"/>
  <c r="O34" i="133"/>
  <c r="P34" i="133"/>
  <c r="Q34" i="133"/>
  <c r="R34" i="133"/>
  <c r="S34" i="133"/>
  <c r="T34" i="133"/>
  <c r="U34" i="133"/>
  <c r="W34" i="133"/>
  <c r="E35" i="133"/>
  <c r="F35" i="133"/>
  <c r="G35" i="133"/>
  <c r="H35" i="133"/>
  <c r="I35" i="133"/>
  <c r="J35" i="133"/>
  <c r="K35" i="133"/>
  <c r="L35" i="133"/>
  <c r="M35" i="133"/>
  <c r="N35" i="133"/>
  <c r="O35" i="133"/>
  <c r="P35" i="133"/>
  <c r="Q35" i="133"/>
  <c r="R35" i="133"/>
  <c r="S35" i="133"/>
  <c r="T35" i="133"/>
  <c r="U35" i="133"/>
  <c r="W35" i="133"/>
  <c r="W28" i="133"/>
  <c r="F28" i="133"/>
  <c r="G28" i="133"/>
  <c r="H28" i="133"/>
  <c r="I28" i="133"/>
  <c r="J28" i="133"/>
  <c r="K28" i="133"/>
  <c r="L28" i="133"/>
  <c r="M28" i="133"/>
  <c r="N28" i="133"/>
  <c r="O28" i="133"/>
  <c r="P28" i="133"/>
  <c r="Q28" i="133"/>
  <c r="R28" i="133"/>
  <c r="S28" i="133"/>
  <c r="T28" i="133"/>
  <c r="U28" i="133"/>
  <c r="E28" i="133"/>
  <c r="E21" i="133"/>
  <c r="F21" i="133"/>
  <c r="G21" i="133"/>
  <c r="H21" i="133"/>
  <c r="I21" i="133"/>
  <c r="J21" i="133"/>
  <c r="K21" i="133"/>
  <c r="L21" i="133"/>
  <c r="M21" i="133"/>
  <c r="N21" i="133"/>
  <c r="O21" i="133"/>
  <c r="P21" i="133"/>
  <c r="Q21" i="133"/>
  <c r="R21" i="133"/>
  <c r="S21" i="133"/>
  <c r="T21" i="133"/>
  <c r="U21" i="133"/>
  <c r="W21" i="133"/>
  <c r="E22" i="133"/>
  <c r="F22" i="133"/>
  <c r="G22" i="133"/>
  <c r="H22" i="133"/>
  <c r="I22" i="133"/>
  <c r="J22" i="133"/>
  <c r="K22" i="133"/>
  <c r="L22" i="133"/>
  <c r="M22" i="133"/>
  <c r="N22" i="133"/>
  <c r="O22" i="133"/>
  <c r="P22" i="133"/>
  <c r="Q22" i="133"/>
  <c r="R22" i="133"/>
  <c r="S22" i="133"/>
  <c r="T22" i="133"/>
  <c r="U22" i="133"/>
  <c r="W22" i="133"/>
  <c r="E23" i="133"/>
  <c r="F23" i="133"/>
  <c r="G23" i="133"/>
  <c r="H23" i="133"/>
  <c r="I23" i="133"/>
  <c r="J23" i="133"/>
  <c r="K23" i="133"/>
  <c r="L23" i="133"/>
  <c r="M23" i="133"/>
  <c r="N23" i="133"/>
  <c r="O23" i="133"/>
  <c r="P23" i="133"/>
  <c r="Q23" i="133"/>
  <c r="R23" i="133"/>
  <c r="S23" i="133"/>
  <c r="T23" i="133"/>
  <c r="U23" i="133"/>
  <c r="W23" i="133"/>
  <c r="E24" i="133"/>
  <c r="F24" i="133"/>
  <c r="G24" i="133"/>
  <c r="H24" i="133"/>
  <c r="I24" i="133"/>
  <c r="J24" i="133"/>
  <c r="K24" i="133"/>
  <c r="L24" i="133"/>
  <c r="M24" i="133"/>
  <c r="N24" i="133"/>
  <c r="O24" i="133"/>
  <c r="P24" i="133"/>
  <c r="Q24" i="133"/>
  <c r="R24" i="133"/>
  <c r="S24" i="133"/>
  <c r="T24" i="133"/>
  <c r="U24" i="133"/>
  <c r="W24" i="133"/>
  <c r="E25" i="133"/>
  <c r="F25" i="133"/>
  <c r="G25" i="133"/>
  <c r="H25" i="133"/>
  <c r="I25" i="133"/>
  <c r="J25" i="133"/>
  <c r="K25" i="133"/>
  <c r="L25" i="133"/>
  <c r="M25" i="133"/>
  <c r="N25" i="133"/>
  <c r="O25" i="133"/>
  <c r="P25" i="133"/>
  <c r="Q25" i="133"/>
  <c r="R25" i="133"/>
  <c r="S25" i="133"/>
  <c r="T25" i="133"/>
  <c r="U25" i="133"/>
  <c r="W25" i="133"/>
  <c r="E26" i="133"/>
  <c r="F26" i="133"/>
  <c r="G26" i="133"/>
  <c r="H26" i="133"/>
  <c r="I26" i="133"/>
  <c r="J26" i="133"/>
  <c r="K26" i="133"/>
  <c r="L26" i="133"/>
  <c r="M26" i="133"/>
  <c r="N26" i="133"/>
  <c r="O26" i="133"/>
  <c r="P26" i="133"/>
  <c r="Q26" i="133"/>
  <c r="R26" i="133"/>
  <c r="S26" i="133"/>
  <c r="T26" i="133"/>
  <c r="U26" i="133"/>
  <c r="W26" i="133"/>
  <c r="E27" i="133"/>
  <c r="F27" i="133"/>
  <c r="G27" i="133"/>
  <c r="H27" i="133"/>
  <c r="I27" i="133"/>
  <c r="J27" i="133"/>
  <c r="K27" i="133"/>
  <c r="L27" i="133"/>
  <c r="M27" i="133"/>
  <c r="N27" i="133"/>
  <c r="O27" i="133"/>
  <c r="P27" i="133"/>
  <c r="Q27" i="133"/>
  <c r="R27" i="133"/>
  <c r="S27" i="133"/>
  <c r="T27" i="133"/>
  <c r="U27" i="133"/>
  <c r="W27" i="133"/>
  <c r="W20" i="133"/>
  <c r="F20" i="133"/>
  <c r="G20" i="133"/>
  <c r="H20" i="133"/>
  <c r="I20" i="133"/>
  <c r="J20" i="133"/>
  <c r="K20" i="133"/>
  <c r="L20" i="133"/>
  <c r="M20" i="133"/>
  <c r="N20" i="133"/>
  <c r="O20" i="133"/>
  <c r="P20" i="133"/>
  <c r="Q20" i="133"/>
  <c r="R20" i="133"/>
  <c r="S20" i="133"/>
  <c r="T20" i="133"/>
  <c r="U20" i="133"/>
  <c r="E20" i="133"/>
  <c r="E13" i="133"/>
  <c r="F13" i="133"/>
  <c r="G13" i="133"/>
  <c r="H13" i="133"/>
  <c r="I13" i="133"/>
  <c r="J13" i="133"/>
  <c r="K13" i="133"/>
  <c r="L13" i="133"/>
  <c r="M13" i="133"/>
  <c r="N13" i="133"/>
  <c r="O13" i="133"/>
  <c r="P13" i="133"/>
  <c r="Q13" i="133"/>
  <c r="R13" i="133"/>
  <c r="S13" i="133"/>
  <c r="T13" i="133"/>
  <c r="U13" i="133"/>
  <c r="W13" i="133"/>
  <c r="E14" i="133"/>
  <c r="F14" i="133"/>
  <c r="G14" i="133"/>
  <c r="H14" i="133"/>
  <c r="I14" i="133"/>
  <c r="J14" i="133"/>
  <c r="K14" i="133"/>
  <c r="L14" i="133"/>
  <c r="M14" i="133"/>
  <c r="N14" i="133"/>
  <c r="O14" i="133"/>
  <c r="P14" i="133"/>
  <c r="Q14" i="133"/>
  <c r="R14" i="133"/>
  <c r="S14" i="133"/>
  <c r="T14" i="133"/>
  <c r="U14" i="133"/>
  <c r="W14" i="133"/>
  <c r="E15" i="133"/>
  <c r="F15" i="133"/>
  <c r="G15" i="133"/>
  <c r="H15" i="133"/>
  <c r="I15" i="133"/>
  <c r="J15" i="133"/>
  <c r="K15" i="133"/>
  <c r="L15" i="133"/>
  <c r="M15" i="133"/>
  <c r="N15" i="133"/>
  <c r="O15" i="133"/>
  <c r="P15" i="133"/>
  <c r="Q15" i="133"/>
  <c r="R15" i="133"/>
  <c r="S15" i="133"/>
  <c r="T15" i="133"/>
  <c r="U15" i="133"/>
  <c r="W15" i="133"/>
  <c r="E16" i="133"/>
  <c r="F16" i="133"/>
  <c r="G16" i="133"/>
  <c r="H16" i="133"/>
  <c r="I16" i="133"/>
  <c r="J16" i="133"/>
  <c r="K16" i="133"/>
  <c r="L16" i="133"/>
  <c r="M16" i="133"/>
  <c r="N16" i="133"/>
  <c r="O16" i="133"/>
  <c r="P16" i="133"/>
  <c r="Q16" i="133"/>
  <c r="R16" i="133"/>
  <c r="S16" i="133"/>
  <c r="T16" i="133"/>
  <c r="U16" i="133"/>
  <c r="W16" i="133"/>
  <c r="E17" i="133"/>
  <c r="F17" i="133"/>
  <c r="G17" i="133"/>
  <c r="H17" i="133"/>
  <c r="I17" i="133"/>
  <c r="J17" i="133"/>
  <c r="K17" i="133"/>
  <c r="L17" i="133"/>
  <c r="M17" i="133"/>
  <c r="N17" i="133"/>
  <c r="O17" i="133"/>
  <c r="P17" i="133"/>
  <c r="Q17" i="133"/>
  <c r="R17" i="133"/>
  <c r="S17" i="133"/>
  <c r="T17" i="133"/>
  <c r="U17" i="133"/>
  <c r="W17" i="133"/>
  <c r="E18" i="133"/>
  <c r="F18" i="133"/>
  <c r="G18" i="133"/>
  <c r="H18" i="133"/>
  <c r="I18" i="133"/>
  <c r="J18" i="133"/>
  <c r="K18" i="133"/>
  <c r="L18" i="133"/>
  <c r="M18" i="133"/>
  <c r="N18" i="133"/>
  <c r="O18" i="133"/>
  <c r="P18" i="133"/>
  <c r="Q18" i="133"/>
  <c r="R18" i="133"/>
  <c r="S18" i="133"/>
  <c r="T18" i="133"/>
  <c r="U18" i="133"/>
  <c r="W18" i="133"/>
  <c r="E19" i="133"/>
  <c r="F19" i="133"/>
  <c r="G19" i="133"/>
  <c r="H19" i="133"/>
  <c r="I19" i="133"/>
  <c r="J19" i="133"/>
  <c r="K19" i="133"/>
  <c r="L19" i="133"/>
  <c r="M19" i="133"/>
  <c r="N19" i="133"/>
  <c r="O19" i="133"/>
  <c r="P19" i="133"/>
  <c r="Q19" i="133"/>
  <c r="R19" i="133"/>
  <c r="S19" i="133"/>
  <c r="T19" i="133"/>
  <c r="U19" i="133"/>
  <c r="W19" i="133"/>
  <c r="W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E12" i="133"/>
  <c r="B8" i="133"/>
  <c r="D3" i="133"/>
  <c r="E29" i="132"/>
  <c r="F29" i="132"/>
  <c r="G29" i="132"/>
  <c r="H29" i="132"/>
  <c r="I29" i="132"/>
  <c r="J29" i="132"/>
  <c r="K29" i="132"/>
  <c r="L29" i="132"/>
  <c r="M29" i="132"/>
  <c r="N29" i="132"/>
  <c r="O29" i="132"/>
  <c r="P29" i="132"/>
  <c r="Q29" i="132"/>
  <c r="R29" i="132"/>
  <c r="S29" i="132"/>
  <c r="T29" i="132"/>
  <c r="U29" i="132"/>
  <c r="W29" i="132"/>
  <c r="E30" i="132"/>
  <c r="F30" i="132"/>
  <c r="G30" i="132"/>
  <c r="H30" i="132"/>
  <c r="I30" i="132"/>
  <c r="J30" i="132"/>
  <c r="K30" i="132"/>
  <c r="L30" i="132"/>
  <c r="M30" i="132"/>
  <c r="N30" i="132"/>
  <c r="O30" i="132"/>
  <c r="P30" i="132"/>
  <c r="Q30" i="132"/>
  <c r="R30" i="132"/>
  <c r="S30" i="132"/>
  <c r="T30" i="132"/>
  <c r="U30" i="132"/>
  <c r="W30" i="132"/>
  <c r="E31" i="132"/>
  <c r="F31" i="132"/>
  <c r="G31" i="132"/>
  <c r="H31" i="132"/>
  <c r="I31" i="132"/>
  <c r="J31" i="132"/>
  <c r="K31" i="132"/>
  <c r="L31" i="132"/>
  <c r="M31" i="132"/>
  <c r="N31" i="132"/>
  <c r="O31" i="132"/>
  <c r="P31" i="132"/>
  <c r="Q31" i="132"/>
  <c r="R31" i="132"/>
  <c r="S31" i="132"/>
  <c r="T31" i="132"/>
  <c r="U31" i="132"/>
  <c r="W31" i="132"/>
  <c r="E32" i="132"/>
  <c r="F32" i="132"/>
  <c r="G32" i="132"/>
  <c r="H32" i="132"/>
  <c r="I32" i="132"/>
  <c r="J32" i="132"/>
  <c r="K32" i="132"/>
  <c r="L32" i="132"/>
  <c r="M32" i="132"/>
  <c r="N32" i="132"/>
  <c r="O32" i="132"/>
  <c r="P32" i="132"/>
  <c r="Q32" i="132"/>
  <c r="R32" i="132"/>
  <c r="S32" i="132"/>
  <c r="T32" i="132"/>
  <c r="U32" i="132"/>
  <c r="W32" i="132"/>
  <c r="E33" i="132"/>
  <c r="F33" i="132"/>
  <c r="G33" i="132"/>
  <c r="H33" i="132"/>
  <c r="I33" i="132"/>
  <c r="J33" i="132"/>
  <c r="K33" i="132"/>
  <c r="L33" i="132"/>
  <c r="M33" i="132"/>
  <c r="N33" i="132"/>
  <c r="O33" i="132"/>
  <c r="P33" i="132"/>
  <c r="Q33" i="132"/>
  <c r="R33" i="132"/>
  <c r="S33" i="132"/>
  <c r="T33" i="132"/>
  <c r="U33" i="132"/>
  <c r="W33" i="132"/>
  <c r="E34" i="132"/>
  <c r="F34" i="132"/>
  <c r="G34" i="132"/>
  <c r="H34" i="132"/>
  <c r="I34" i="132"/>
  <c r="J34" i="132"/>
  <c r="K34" i="132"/>
  <c r="L34" i="132"/>
  <c r="M34" i="132"/>
  <c r="N34" i="132"/>
  <c r="O34" i="132"/>
  <c r="P34" i="132"/>
  <c r="Q34" i="132"/>
  <c r="R34" i="132"/>
  <c r="S34" i="132"/>
  <c r="T34" i="132"/>
  <c r="U34" i="132"/>
  <c r="W34" i="132"/>
  <c r="E35" i="132"/>
  <c r="F35" i="132"/>
  <c r="G35" i="132"/>
  <c r="H35" i="132"/>
  <c r="I35" i="132"/>
  <c r="J35" i="132"/>
  <c r="K35" i="132"/>
  <c r="L35" i="132"/>
  <c r="M35" i="132"/>
  <c r="N35" i="132"/>
  <c r="O35" i="132"/>
  <c r="P35" i="132"/>
  <c r="Q35" i="132"/>
  <c r="R35" i="132"/>
  <c r="S35" i="132"/>
  <c r="T35" i="132"/>
  <c r="U35" i="132"/>
  <c r="W35" i="132"/>
  <c r="W28" i="132"/>
  <c r="F28" i="132"/>
  <c r="G28" i="132"/>
  <c r="H28" i="132"/>
  <c r="I28" i="132"/>
  <c r="J28" i="132"/>
  <c r="K28" i="132"/>
  <c r="L28" i="132"/>
  <c r="M28" i="132"/>
  <c r="N28" i="132"/>
  <c r="O28" i="132"/>
  <c r="P28" i="132"/>
  <c r="Q28" i="132"/>
  <c r="R28" i="132"/>
  <c r="S28" i="132"/>
  <c r="T28" i="132"/>
  <c r="U28" i="132"/>
  <c r="E28" i="132"/>
  <c r="E21" i="132"/>
  <c r="F21" i="132"/>
  <c r="G21" i="132"/>
  <c r="H21" i="132"/>
  <c r="I21" i="132"/>
  <c r="J21" i="132"/>
  <c r="K21" i="132"/>
  <c r="L21" i="132"/>
  <c r="M21" i="132"/>
  <c r="N21" i="132"/>
  <c r="O21" i="132"/>
  <c r="P21" i="132"/>
  <c r="Q21" i="132"/>
  <c r="R21" i="132"/>
  <c r="S21" i="132"/>
  <c r="T21" i="132"/>
  <c r="U21" i="132"/>
  <c r="E22" i="132"/>
  <c r="F22" i="132"/>
  <c r="G22" i="132"/>
  <c r="H22" i="132"/>
  <c r="I22" i="132"/>
  <c r="J22" i="132"/>
  <c r="K22" i="132"/>
  <c r="L22" i="132"/>
  <c r="M22" i="132"/>
  <c r="N22" i="132"/>
  <c r="O22" i="132"/>
  <c r="P22" i="132"/>
  <c r="Q22" i="132"/>
  <c r="R22" i="132"/>
  <c r="S22" i="132"/>
  <c r="T22" i="132"/>
  <c r="U22" i="132"/>
  <c r="E23" i="132"/>
  <c r="F23" i="132"/>
  <c r="G23" i="132"/>
  <c r="H23" i="132"/>
  <c r="I23" i="132"/>
  <c r="J23" i="132"/>
  <c r="K23" i="132"/>
  <c r="L23" i="132"/>
  <c r="M23" i="132"/>
  <c r="N23" i="132"/>
  <c r="O23" i="132"/>
  <c r="P23" i="132"/>
  <c r="Q23" i="132"/>
  <c r="R23" i="132"/>
  <c r="S23" i="132"/>
  <c r="T23" i="132"/>
  <c r="U23" i="132"/>
  <c r="E24" i="132"/>
  <c r="F24" i="132"/>
  <c r="G24" i="132"/>
  <c r="H24" i="132"/>
  <c r="I24" i="132"/>
  <c r="J24" i="132"/>
  <c r="K24" i="132"/>
  <c r="L24" i="132"/>
  <c r="M24" i="132"/>
  <c r="N24" i="132"/>
  <c r="O24" i="132"/>
  <c r="P24" i="132"/>
  <c r="Q24" i="132"/>
  <c r="R24" i="132"/>
  <c r="S24" i="132"/>
  <c r="T24" i="132"/>
  <c r="U24" i="132"/>
  <c r="E25" i="132"/>
  <c r="F25" i="132"/>
  <c r="G25" i="132"/>
  <c r="H25" i="132"/>
  <c r="I25" i="132"/>
  <c r="J25" i="132"/>
  <c r="K25" i="132"/>
  <c r="L25" i="132"/>
  <c r="M25" i="132"/>
  <c r="N25" i="132"/>
  <c r="O25" i="132"/>
  <c r="P25" i="132"/>
  <c r="Q25" i="132"/>
  <c r="R25" i="132"/>
  <c r="S25" i="132"/>
  <c r="T25" i="132"/>
  <c r="U25" i="132"/>
  <c r="E26" i="132"/>
  <c r="F26" i="132"/>
  <c r="G26" i="132"/>
  <c r="H26" i="132"/>
  <c r="I26" i="132"/>
  <c r="J26" i="132"/>
  <c r="K26" i="132"/>
  <c r="L26" i="132"/>
  <c r="M26" i="132"/>
  <c r="N26" i="132"/>
  <c r="O26" i="132"/>
  <c r="P26" i="132"/>
  <c r="Q26" i="132"/>
  <c r="R26" i="132"/>
  <c r="S26" i="132"/>
  <c r="T26" i="132"/>
  <c r="U26" i="132"/>
  <c r="W26" i="132"/>
  <c r="E27" i="132"/>
  <c r="F27" i="132"/>
  <c r="G27" i="132"/>
  <c r="H27" i="132"/>
  <c r="I27" i="132"/>
  <c r="J27" i="132"/>
  <c r="K27" i="132"/>
  <c r="L27" i="132"/>
  <c r="M27" i="132"/>
  <c r="N27" i="132"/>
  <c r="O27" i="132"/>
  <c r="P27" i="132"/>
  <c r="Q27" i="132"/>
  <c r="R27" i="132"/>
  <c r="S27" i="132"/>
  <c r="T27" i="132"/>
  <c r="U27" i="132"/>
  <c r="W27" i="132"/>
  <c r="F20" i="132"/>
  <c r="G20" i="132"/>
  <c r="H20" i="132"/>
  <c r="I20" i="132"/>
  <c r="J20" i="132"/>
  <c r="K20" i="132"/>
  <c r="L20" i="132"/>
  <c r="M20" i="132"/>
  <c r="N20" i="132"/>
  <c r="O20" i="132"/>
  <c r="P20" i="132"/>
  <c r="Q20" i="132"/>
  <c r="R20" i="132"/>
  <c r="S20" i="132"/>
  <c r="T20" i="132"/>
  <c r="U20" i="132"/>
  <c r="W20" i="132"/>
  <c r="E20" i="132"/>
  <c r="E13" i="132"/>
  <c r="F13" i="132"/>
  <c r="G13" i="132"/>
  <c r="H13" i="132"/>
  <c r="I13" i="132"/>
  <c r="J13" i="132"/>
  <c r="K13" i="132"/>
  <c r="L13" i="132"/>
  <c r="M13" i="132"/>
  <c r="N13" i="132"/>
  <c r="O13" i="132"/>
  <c r="P13" i="132"/>
  <c r="Q13" i="132"/>
  <c r="R13" i="132"/>
  <c r="S13" i="132"/>
  <c r="T13" i="132"/>
  <c r="U13" i="132"/>
  <c r="W13" i="132"/>
  <c r="E14" i="132"/>
  <c r="F14" i="132"/>
  <c r="G14" i="132"/>
  <c r="H14" i="132"/>
  <c r="I14" i="132"/>
  <c r="J14" i="132"/>
  <c r="K14" i="132"/>
  <c r="L14" i="132"/>
  <c r="M14" i="132"/>
  <c r="N14" i="132"/>
  <c r="O14" i="132"/>
  <c r="P14" i="132"/>
  <c r="Q14" i="132"/>
  <c r="R14" i="132"/>
  <c r="S14" i="132"/>
  <c r="T14" i="132"/>
  <c r="U14" i="132"/>
  <c r="W14" i="132"/>
  <c r="E15" i="132"/>
  <c r="F15" i="132"/>
  <c r="H15" i="132"/>
  <c r="I15" i="132"/>
  <c r="J15" i="132"/>
  <c r="K15" i="132"/>
  <c r="L15" i="132"/>
  <c r="M15" i="132"/>
  <c r="N15" i="132"/>
  <c r="O15" i="132"/>
  <c r="P15" i="132"/>
  <c r="Q15" i="132"/>
  <c r="R15" i="132"/>
  <c r="S15" i="132"/>
  <c r="T15" i="132"/>
  <c r="U15" i="132"/>
  <c r="W15" i="132"/>
  <c r="E16" i="132"/>
  <c r="F16" i="132"/>
  <c r="G16" i="132"/>
  <c r="H16" i="132"/>
  <c r="I16" i="132"/>
  <c r="J16" i="132"/>
  <c r="K16" i="132"/>
  <c r="L16" i="132"/>
  <c r="M16" i="132"/>
  <c r="N16" i="132"/>
  <c r="O16" i="132"/>
  <c r="P16" i="132"/>
  <c r="Q16" i="132"/>
  <c r="R16" i="132"/>
  <c r="S16" i="132"/>
  <c r="T16" i="132"/>
  <c r="U16" i="132"/>
  <c r="W16" i="132"/>
  <c r="E17" i="132"/>
  <c r="F17" i="132"/>
  <c r="G17" i="132"/>
  <c r="H17" i="132"/>
  <c r="I17" i="132"/>
  <c r="J17" i="132"/>
  <c r="K17" i="132"/>
  <c r="L17" i="132"/>
  <c r="M17" i="132"/>
  <c r="N17" i="132"/>
  <c r="O17" i="132"/>
  <c r="P17" i="132"/>
  <c r="Q17" i="132"/>
  <c r="R17" i="132"/>
  <c r="S17" i="132"/>
  <c r="T17" i="132"/>
  <c r="U17" i="132"/>
  <c r="W17" i="132"/>
  <c r="E18" i="132"/>
  <c r="F18" i="132"/>
  <c r="G18" i="132"/>
  <c r="H18" i="132"/>
  <c r="I18" i="132"/>
  <c r="J18" i="132"/>
  <c r="K18" i="132"/>
  <c r="L18" i="132"/>
  <c r="M18" i="132"/>
  <c r="N18" i="132"/>
  <c r="O18" i="132"/>
  <c r="P18" i="132"/>
  <c r="Q18" i="132"/>
  <c r="R18" i="132"/>
  <c r="S18" i="132"/>
  <c r="T18" i="132"/>
  <c r="U18" i="132"/>
  <c r="W18" i="132"/>
  <c r="E19" i="132"/>
  <c r="F19" i="132"/>
  <c r="G19" i="132"/>
  <c r="H19" i="132"/>
  <c r="I19" i="132"/>
  <c r="J19" i="132"/>
  <c r="K19" i="132"/>
  <c r="L19" i="132"/>
  <c r="M19" i="132"/>
  <c r="N19" i="132"/>
  <c r="O19" i="132"/>
  <c r="P19" i="132"/>
  <c r="Q19" i="132"/>
  <c r="R19" i="132"/>
  <c r="S19" i="132"/>
  <c r="T19" i="132"/>
  <c r="U19" i="132"/>
  <c r="W19" i="132"/>
  <c r="F12" i="132"/>
  <c r="G12" i="132"/>
  <c r="H12" i="132"/>
  <c r="I12" i="132"/>
  <c r="J12" i="132"/>
  <c r="K12" i="132"/>
  <c r="L12" i="132"/>
  <c r="M12" i="132"/>
  <c r="N12" i="132"/>
  <c r="O12" i="132"/>
  <c r="P12" i="132"/>
  <c r="Q12" i="132"/>
  <c r="R12" i="132"/>
  <c r="S12" i="132"/>
  <c r="T12" i="132"/>
  <c r="U12" i="132"/>
  <c r="W12" i="132"/>
  <c r="X12" i="132" s="1"/>
  <c r="E12" i="132"/>
  <c r="B8" i="132"/>
  <c r="C20" i="132"/>
  <c r="C12" i="132"/>
  <c r="D3" i="132"/>
  <c r="D2" i="132"/>
  <c r="E29" i="131"/>
  <c r="F29" i="131"/>
  <c r="G29" i="131"/>
  <c r="H29" i="131"/>
  <c r="I29" i="131"/>
  <c r="J29" i="131"/>
  <c r="K29" i="131"/>
  <c r="L29" i="131"/>
  <c r="M29" i="131"/>
  <c r="N29" i="131"/>
  <c r="O29" i="131"/>
  <c r="P29" i="131"/>
  <c r="Q29" i="131"/>
  <c r="R29" i="131"/>
  <c r="S29" i="131"/>
  <c r="T29" i="131"/>
  <c r="U29" i="131"/>
  <c r="W29" i="131"/>
  <c r="E30" i="131"/>
  <c r="F30" i="131"/>
  <c r="G30" i="131"/>
  <c r="H30" i="131"/>
  <c r="I30" i="131"/>
  <c r="J30" i="131"/>
  <c r="K30" i="131"/>
  <c r="L30" i="131"/>
  <c r="M30" i="131"/>
  <c r="N30" i="131"/>
  <c r="O30" i="131"/>
  <c r="P30" i="131"/>
  <c r="Q30" i="131"/>
  <c r="R30" i="131"/>
  <c r="S30" i="131"/>
  <c r="T30" i="131"/>
  <c r="U30" i="131"/>
  <c r="W30" i="131"/>
  <c r="E31" i="131"/>
  <c r="F31" i="131"/>
  <c r="G31" i="131"/>
  <c r="H31" i="131"/>
  <c r="I31" i="131"/>
  <c r="J31" i="131"/>
  <c r="K31" i="131"/>
  <c r="L31" i="131"/>
  <c r="M31" i="131"/>
  <c r="N31" i="131"/>
  <c r="O31" i="131"/>
  <c r="P31" i="131"/>
  <c r="Q31" i="131"/>
  <c r="R31" i="131"/>
  <c r="S31" i="131"/>
  <c r="T31" i="131"/>
  <c r="U31" i="131"/>
  <c r="W31" i="131"/>
  <c r="E32" i="131"/>
  <c r="F32" i="131"/>
  <c r="G32" i="131"/>
  <c r="H32" i="131"/>
  <c r="I32" i="131"/>
  <c r="J32" i="131"/>
  <c r="K32" i="131"/>
  <c r="L32" i="131"/>
  <c r="M32" i="131"/>
  <c r="N32" i="131"/>
  <c r="O32" i="131"/>
  <c r="P32" i="131"/>
  <c r="Q32" i="131"/>
  <c r="R32" i="131"/>
  <c r="S32" i="131"/>
  <c r="T32" i="131"/>
  <c r="U32" i="131"/>
  <c r="W32" i="131"/>
  <c r="E33" i="131"/>
  <c r="F33" i="131"/>
  <c r="G33" i="131"/>
  <c r="H33" i="131"/>
  <c r="I33" i="131"/>
  <c r="J33" i="131"/>
  <c r="K33" i="131"/>
  <c r="L33" i="131"/>
  <c r="M33" i="131"/>
  <c r="N33" i="131"/>
  <c r="O33" i="131"/>
  <c r="P33" i="131"/>
  <c r="Q33" i="131"/>
  <c r="R33" i="131"/>
  <c r="S33" i="131"/>
  <c r="T33" i="131"/>
  <c r="U33" i="131"/>
  <c r="W33" i="131"/>
  <c r="E34" i="131"/>
  <c r="F34" i="131"/>
  <c r="G34" i="131"/>
  <c r="H34" i="131"/>
  <c r="I34" i="131"/>
  <c r="J34" i="131"/>
  <c r="K34" i="131"/>
  <c r="L34" i="131"/>
  <c r="M34" i="131"/>
  <c r="N34" i="131"/>
  <c r="O34" i="131"/>
  <c r="P34" i="131"/>
  <c r="Q34" i="131"/>
  <c r="R34" i="131"/>
  <c r="S34" i="131"/>
  <c r="T34" i="131"/>
  <c r="U34" i="131"/>
  <c r="W34" i="131"/>
  <c r="E35" i="131"/>
  <c r="F35" i="131"/>
  <c r="G35" i="131"/>
  <c r="H35" i="131"/>
  <c r="I35" i="131"/>
  <c r="J35" i="131"/>
  <c r="K35" i="131"/>
  <c r="L35" i="131"/>
  <c r="M35" i="131"/>
  <c r="N35" i="131"/>
  <c r="O35" i="131"/>
  <c r="P35" i="131"/>
  <c r="Q35" i="131"/>
  <c r="R35" i="131"/>
  <c r="S35" i="131"/>
  <c r="T35" i="131"/>
  <c r="U35" i="131"/>
  <c r="W35" i="131"/>
  <c r="W28" i="131"/>
  <c r="X28" i="131" s="1"/>
  <c r="F28" i="131"/>
  <c r="G28" i="131"/>
  <c r="H28" i="131"/>
  <c r="I28" i="131"/>
  <c r="J28" i="131"/>
  <c r="K28" i="131"/>
  <c r="L28" i="131"/>
  <c r="M28" i="131"/>
  <c r="N28" i="131"/>
  <c r="O28" i="131"/>
  <c r="P28" i="131"/>
  <c r="Q28" i="131"/>
  <c r="R28" i="131"/>
  <c r="S28" i="131"/>
  <c r="T28" i="131"/>
  <c r="U28" i="131"/>
  <c r="E28" i="131"/>
  <c r="E21" i="131"/>
  <c r="F21" i="131"/>
  <c r="G21" i="131"/>
  <c r="H21" i="131"/>
  <c r="I21" i="131"/>
  <c r="J21" i="131"/>
  <c r="K21" i="131"/>
  <c r="L21" i="131"/>
  <c r="M21" i="131"/>
  <c r="N21" i="131"/>
  <c r="O21" i="131"/>
  <c r="P21" i="131"/>
  <c r="Q21" i="131"/>
  <c r="R21" i="131"/>
  <c r="S21" i="131"/>
  <c r="T21" i="131"/>
  <c r="U21" i="131"/>
  <c r="W21" i="131"/>
  <c r="E22" i="131"/>
  <c r="F22" i="131"/>
  <c r="G22" i="131"/>
  <c r="H22" i="131"/>
  <c r="I22" i="131"/>
  <c r="J22" i="131"/>
  <c r="K22" i="131"/>
  <c r="L22" i="131"/>
  <c r="M22" i="131"/>
  <c r="N22" i="131"/>
  <c r="O22" i="131"/>
  <c r="P22" i="131"/>
  <c r="Q22" i="131"/>
  <c r="R22" i="131"/>
  <c r="S22" i="131"/>
  <c r="T22" i="131"/>
  <c r="U22" i="131"/>
  <c r="W22" i="131"/>
  <c r="E23" i="131"/>
  <c r="F23" i="131"/>
  <c r="G23" i="131"/>
  <c r="H23" i="131"/>
  <c r="I23" i="131"/>
  <c r="J23" i="131"/>
  <c r="K23" i="131"/>
  <c r="L23" i="131"/>
  <c r="M23" i="131"/>
  <c r="N23" i="131"/>
  <c r="O23" i="131"/>
  <c r="P23" i="131"/>
  <c r="Q23" i="131"/>
  <c r="R23" i="131"/>
  <c r="S23" i="131"/>
  <c r="T23" i="131"/>
  <c r="U23" i="131"/>
  <c r="W23" i="131"/>
  <c r="E24" i="131"/>
  <c r="F24" i="131"/>
  <c r="G24" i="131"/>
  <c r="H24" i="131"/>
  <c r="I24" i="131"/>
  <c r="J24" i="131"/>
  <c r="K24" i="131"/>
  <c r="L24" i="131"/>
  <c r="M24" i="131"/>
  <c r="N24" i="131"/>
  <c r="O24" i="131"/>
  <c r="P24" i="131"/>
  <c r="Q24" i="131"/>
  <c r="R24" i="131"/>
  <c r="S24" i="131"/>
  <c r="T24" i="131"/>
  <c r="U24" i="131"/>
  <c r="W24" i="131"/>
  <c r="E25" i="131"/>
  <c r="F25" i="131"/>
  <c r="G25" i="131"/>
  <c r="H25" i="131"/>
  <c r="I25" i="131"/>
  <c r="J25" i="131"/>
  <c r="K25" i="131"/>
  <c r="L25" i="131"/>
  <c r="M25" i="131"/>
  <c r="N25" i="131"/>
  <c r="O25" i="131"/>
  <c r="P25" i="131"/>
  <c r="Q25" i="131"/>
  <c r="R25" i="131"/>
  <c r="S25" i="131"/>
  <c r="T25" i="131"/>
  <c r="U25" i="131"/>
  <c r="W25" i="131"/>
  <c r="E26" i="131"/>
  <c r="F26" i="131"/>
  <c r="G26" i="131"/>
  <c r="H26" i="131"/>
  <c r="I26" i="131"/>
  <c r="J26" i="131"/>
  <c r="K26" i="131"/>
  <c r="L26" i="131"/>
  <c r="M26" i="131"/>
  <c r="N26" i="131"/>
  <c r="O26" i="131"/>
  <c r="P26" i="131"/>
  <c r="Q26" i="131"/>
  <c r="R26" i="131"/>
  <c r="S26" i="131"/>
  <c r="T26" i="131"/>
  <c r="U26" i="131"/>
  <c r="W26" i="131"/>
  <c r="E27" i="131"/>
  <c r="F27" i="131"/>
  <c r="G27" i="131"/>
  <c r="H27" i="131"/>
  <c r="I27" i="131"/>
  <c r="J27" i="131"/>
  <c r="K27" i="131"/>
  <c r="L27" i="131"/>
  <c r="M27" i="131"/>
  <c r="N27" i="131"/>
  <c r="O27" i="131"/>
  <c r="P27" i="131"/>
  <c r="Q27" i="131"/>
  <c r="R27" i="131"/>
  <c r="S27" i="131"/>
  <c r="T27" i="131"/>
  <c r="U27" i="131"/>
  <c r="W27" i="131"/>
  <c r="F20" i="131"/>
  <c r="G20" i="131"/>
  <c r="H20" i="131"/>
  <c r="I20" i="131"/>
  <c r="J20" i="131"/>
  <c r="K20" i="131"/>
  <c r="L20" i="131"/>
  <c r="M20" i="131"/>
  <c r="N20" i="131"/>
  <c r="O20" i="131"/>
  <c r="P20" i="131"/>
  <c r="Q20" i="131"/>
  <c r="R20" i="131"/>
  <c r="S20" i="131"/>
  <c r="T20" i="131"/>
  <c r="U20" i="131"/>
  <c r="W20" i="131"/>
  <c r="X20" i="131" s="1"/>
  <c r="E20" i="131"/>
  <c r="C20" i="131"/>
  <c r="E13" i="131"/>
  <c r="F13" i="131"/>
  <c r="G13" i="131"/>
  <c r="H13" i="131"/>
  <c r="I13" i="131"/>
  <c r="J13" i="131"/>
  <c r="K13" i="131"/>
  <c r="L13" i="131"/>
  <c r="M13" i="131"/>
  <c r="N13" i="131"/>
  <c r="O13" i="131"/>
  <c r="P13" i="131"/>
  <c r="Q13" i="131"/>
  <c r="R13" i="131"/>
  <c r="S13" i="131"/>
  <c r="T13" i="131"/>
  <c r="U13" i="131"/>
  <c r="W13" i="131"/>
  <c r="E14" i="131"/>
  <c r="F14" i="131"/>
  <c r="G14" i="131"/>
  <c r="H14" i="131"/>
  <c r="I14" i="131"/>
  <c r="J14" i="131"/>
  <c r="K14" i="131"/>
  <c r="L14" i="131"/>
  <c r="M14" i="131"/>
  <c r="N14" i="131"/>
  <c r="O14" i="131"/>
  <c r="P14" i="131"/>
  <c r="Q14" i="131"/>
  <c r="R14" i="131"/>
  <c r="S14" i="131"/>
  <c r="T14" i="131"/>
  <c r="U14" i="131"/>
  <c r="W14" i="131"/>
  <c r="E15" i="131"/>
  <c r="F15" i="131"/>
  <c r="G15" i="131"/>
  <c r="H15" i="131"/>
  <c r="I15" i="131"/>
  <c r="J15" i="131"/>
  <c r="K15" i="131"/>
  <c r="L15" i="131"/>
  <c r="M15" i="131"/>
  <c r="N15" i="131"/>
  <c r="O15" i="131"/>
  <c r="P15" i="131"/>
  <c r="Q15" i="131"/>
  <c r="R15" i="131"/>
  <c r="S15" i="131"/>
  <c r="T15" i="131"/>
  <c r="U15" i="131"/>
  <c r="W15" i="131"/>
  <c r="E16" i="131"/>
  <c r="F16" i="131"/>
  <c r="G16" i="131"/>
  <c r="H16" i="131"/>
  <c r="I16" i="131"/>
  <c r="J16" i="131"/>
  <c r="K16" i="131"/>
  <c r="L16" i="131"/>
  <c r="M16" i="131"/>
  <c r="N16" i="131"/>
  <c r="O16" i="131"/>
  <c r="P16" i="131"/>
  <c r="Q16" i="131"/>
  <c r="R16" i="131"/>
  <c r="S16" i="131"/>
  <c r="T16" i="131"/>
  <c r="U16" i="131"/>
  <c r="W16" i="131"/>
  <c r="E17" i="131"/>
  <c r="F17" i="131"/>
  <c r="G17" i="131"/>
  <c r="H17" i="131"/>
  <c r="I17" i="131"/>
  <c r="J17" i="131"/>
  <c r="K17" i="131"/>
  <c r="L17" i="131"/>
  <c r="M17" i="131"/>
  <c r="N17" i="131"/>
  <c r="O17" i="131"/>
  <c r="P17" i="131"/>
  <c r="Q17" i="131"/>
  <c r="R17" i="131"/>
  <c r="S17" i="131"/>
  <c r="T17" i="131"/>
  <c r="U17" i="131"/>
  <c r="W17" i="131"/>
  <c r="E18" i="131"/>
  <c r="F18" i="131"/>
  <c r="G18" i="131"/>
  <c r="H18" i="131"/>
  <c r="I18" i="131"/>
  <c r="J18" i="131"/>
  <c r="K18" i="131"/>
  <c r="L18" i="131"/>
  <c r="M18" i="131"/>
  <c r="N18" i="131"/>
  <c r="O18" i="131"/>
  <c r="P18" i="131"/>
  <c r="Q18" i="131"/>
  <c r="R18" i="131"/>
  <c r="S18" i="131"/>
  <c r="T18" i="131"/>
  <c r="U18" i="131"/>
  <c r="W18" i="131"/>
  <c r="E19" i="131"/>
  <c r="F19" i="131"/>
  <c r="G19" i="131"/>
  <c r="H19" i="131"/>
  <c r="I19" i="131"/>
  <c r="J19" i="131"/>
  <c r="K19" i="131"/>
  <c r="L19" i="131"/>
  <c r="M19" i="131"/>
  <c r="N19" i="131"/>
  <c r="O19" i="131"/>
  <c r="P19" i="131"/>
  <c r="Q19" i="131"/>
  <c r="R19" i="131"/>
  <c r="S19" i="131"/>
  <c r="T19" i="131"/>
  <c r="U19" i="131"/>
  <c r="W19" i="131"/>
  <c r="F12" i="131"/>
  <c r="G12" i="131"/>
  <c r="H12" i="131"/>
  <c r="I12" i="131"/>
  <c r="J12" i="131"/>
  <c r="K12" i="131"/>
  <c r="L12" i="131"/>
  <c r="M12" i="131"/>
  <c r="N12" i="131"/>
  <c r="O12" i="131"/>
  <c r="P12" i="131"/>
  <c r="Q12" i="131"/>
  <c r="R12" i="131"/>
  <c r="S12" i="131"/>
  <c r="T12" i="131"/>
  <c r="U12" i="131"/>
  <c r="W12" i="131"/>
  <c r="X12" i="131" s="1"/>
  <c r="E12" i="131"/>
  <c r="C12" i="131"/>
  <c r="B8" i="131"/>
  <c r="D3" i="131"/>
  <c r="D2" i="131"/>
  <c r="E28" i="130"/>
  <c r="E29" i="130"/>
  <c r="F29" i="130"/>
  <c r="G29" i="130"/>
  <c r="H29" i="130"/>
  <c r="I29" i="130"/>
  <c r="J29" i="130"/>
  <c r="K29" i="130"/>
  <c r="L29" i="130"/>
  <c r="M29" i="130"/>
  <c r="N29" i="130"/>
  <c r="O29" i="130"/>
  <c r="P29" i="130"/>
  <c r="Q29" i="130"/>
  <c r="R29" i="130"/>
  <c r="S29" i="130"/>
  <c r="T29" i="130"/>
  <c r="U29" i="130"/>
  <c r="W29" i="130"/>
  <c r="E30" i="130"/>
  <c r="F30" i="130"/>
  <c r="G30" i="130"/>
  <c r="H30" i="130"/>
  <c r="I30" i="130"/>
  <c r="J30" i="130"/>
  <c r="K30" i="130"/>
  <c r="L30" i="130"/>
  <c r="M30" i="130"/>
  <c r="N30" i="130"/>
  <c r="O30" i="130"/>
  <c r="P30" i="130"/>
  <c r="Q30" i="130"/>
  <c r="R30" i="130"/>
  <c r="S30" i="130"/>
  <c r="T30" i="130"/>
  <c r="U30" i="130"/>
  <c r="W30" i="130"/>
  <c r="E31" i="130"/>
  <c r="F31" i="130"/>
  <c r="G31" i="130"/>
  <c r="H31" i="130"/>
  <c r="I31" i="130"/>
  <c r="J31" i="130"/>
  <c r="K31" i="130"/>
  <c r="L31" i="130"/>
  <c r="M31" i="130"/>
  <c r="N31" i="130"/>
  <c r="O31" i="130"/>
  <c r="P31" i="130"/>
  <c r="Q31" i="130"/>
  <c r="R31" i="130"/>
  <c r="S31" i="130"/>
  <c r="T31" i="130"/>
  <c r="U31" i="130"/>
  <c r="W31" i="130"/>
  <c r="E32" i="130"/>
  <c r="F32" i="130"/>
  <c r="G32" i="130"/>
  <c r="H32" i="130"/>
  <c r="I32" i="130"/>
  <c r="J32" i="130"/>
  <c r="K32" i="130"/>
  <c r="L32" i="130"/>
  <c r="M32" i="130"/>
  <c r="N32" i="130"/>
  <c r="O32" i="130"/>
  <c r="P32" i="130"/>
  <c r="Q32" i="130"/>
  <c r="R32" i="130"/>
  <c r="S32" i="130"/>
  <c r="T32" i="130"/>
  <c r="U32" i="130"/>
  <c r="W32" i="130"/>
  <c r="E33" i="130"/>
  <c r="F33" i="130"/>
  <c r="G33" i="130"/>
  <c r="H33" i="130"/>
  <c r="I33" i="130"/>
  <c r="J33" i="130"/>
  <c r="K33" i="130"/>
  <c r="L33" i="130"/>
  <c r="M33" i="130"/>
  <c r="N33" i="130"/>
  <c r="O33" i="130"/>
  <c r="P33" i="130"/>
  <c r="Q33" i="130"/>
  <c r="R33" i="130"/>
  <c r="S33" i="130"/>
  <c r="T33" i="130"/>
  <c r="U33" i="130"/>
  <c r="W33" i="130"/>
  <c r="E34" i="130"/>
  <c r="F34" i="130"/>
  <c r="G34" i="130"/>
  <c r="H34" i="130"/>
  <c r="I34" i="130"/>
  <c r="J34" i="130"/>
  <c r="K34" i="130"/>
  <c r="L34" i="130"/>
  <c r="M34" i="130"/>
  <c r="N34" i="130"/>
  <c r="O34" i="130"/>
  <c r="P34" i="130"/>
  <c r="Q34" i="130"/>
  <c r="R34" i="130"/>
  <c r="S34" i="130"/>
  <c r="T34" i="130"/>
  <c r="U34" i="130"/>
  <c r="W34" i="130"/>
  <c r="E35" i="130"/>
  <c r="F35" i="130"/>
  <c r="G35" i="130"/>
  <c r="H35" i="130"/>
  <c r="I35" i="130"/>
  <c r="J35" i="130"/>
  <c r="K35" i="130"/>
  <c r="L35" i="130"/>
  <c r="M35" i="130"/>
  <c r="N35" i="130"/>
  <c r="O35" i="130"/>
  <c r="P35" i="130"/>
  <c r="Q35" i="130"/>
  <c r="R35" i="130"/>
  <c r="S35" i="130"/>
  <c r="T35" i="130"/>
  <c r="U35" i="130"/>
  <c r="W35" i="130"/>
  <c r="E29" i="120"/>
  <c r="F29" i="120"/>
  <c r="G29" i="120"/>
  <c r="H29" i="120"/>
  <c r="I29" i="120"/>
  <c r="J29" i="120"/>
  <c r="K29" i="120"/>
  <c r="L29" i="120"/>
  <c r="M29" i="120"/>
  <c r="N29" i="120"/>
  <c r="O29" i="120"/>
  <c r="P29" i="120"/>
  <c r="Q29" i="120"/>
  <c r="R29" i="120"/>
  <c r="S29" i="120"/>
  <c r="T29" i="120"/>
  <c r="U29" i="120"/>
  <c r="W29" i="120"/>
  <c r="E30" i="120"/>
  <c r="F30" i="120"/>
  <c r="G30" i="120"/>
  <c r="H30" i="120"/>
  <c r="I30" i="120"/>
  <c r="J30" i="120"/>
  <c r="K30" i="120"/>
  <c r="L30" i="120"/>
  <c r="M30" i="120"/>
  <c r="N30" i="120"/>
  <c r="O30" i="120"/>
  <c r="P30" i="120"/>
  <c r="Q30" i="120"/>
  <c r="R30" i="120"/>
  <c r="S30" i="120"/>
  <c r="T30" i="120"/>
  <c r="U30" i="120"/>
  <c r="W30" i="120"/>
  <c r="E31" i="120"/>
  <c r="F31" i="120"/>
  <c r="G31" i="120"/>
  <c r="H31" i="120"/>
  <c r="I31" i="120"/>
  <c r="J31" i="120"/>
  <c r="K31" i="120"/>
  <c r="L31" i="120"/>
  <c r="M31" i="120"/>
  <c r="N31" i="120"/>
  <c r="O31" i="120"/>
  <c r="P31" i="120"/>
  <c r="Q31" i="120"/>
  <c r="R31" i="120"/>
  <c r="S31" i="120"/>
  <c r="T31" i="120"/>
  <c r="U31" i="120"/>
  <c r="W31" i="120"/>
  <c r="E32" i="120"/>
  <c r="F32" i="120"/>
  <c r="G32" i="120"/>
  <c r="H32" i="120"/>
  <c r="I32" i="120"/>
  <c r="J32" i="120"/>
  <c r="K32" i="120"/>
  <c r="L32" i="120"/>
  <c r="M32" i="120"/>
  <c r="N32" i="120"/>
  <c r="O32" i="120"/>
  <c r="P32" i="120"/>
  <c r="Q32" i="120"/>
  <c r="R32" i="120"/>
  <c r="S32" i="120"/>
  <c r="T32" i="120"/>
  <c r="U32" i="120"/>
  <c r="W32" i="120"/>
  <c r="E33" i="120"/>
  <c r="F33" i="120"/>
  <c r="G33" i="120"/>
  <c r="H33" i="120"/>
  <c r="I33" i="120"/>
  <c r="J33" i="120"/>
  <c r="K33" i="120"/>
  <c r="L33" i="120"/>
  <c r="M33" i="120"/>
  <c r="N33" i="120"/>
  <c r="O33" i="120"/>
  <c r="P33" i="120"/>
  <c r="Q33" i="120"/>
  <c r="R33" i="120"/>
  <c r="S33" i="120"/>
  <c r="T33" i="120"/>
  <c r="U33" i="120"/>
  <c r="W33" i="120"/>
  <c r="E34" i="120"/>
  <c r="F34" i="120"/>
  <c r="G34" i="120"/>
  <c r="H34" i="120"/>
  <c r="I34" i="120"/>
  <c r="J34" i="120"/>
  <c r="K34" i="120"/>
  <c r="L34" i="120"/>
  <c r="M34" i="120"/>
  <c r="N34" i="120"/>
  <c r="O34" i="120"/>
  <c r="P34" i="120"/>
  <c r="Q34" i="120"/>
  <c r="R34" i="120"/>
  <c r="S34" i="120"/>
  <c r="T34" i="120"/>
  <c r="U34" i="120"/>
  <c r="W34" i="120"/>
  <c r="E35" i="120"/>
  <c r="F35" i="120"/>
  <c r="G35" i="120"/>
  <c r="H35" i="120"/>
  <c r="I35" i="120"/>
  <c r="J35" i="120"/>
  <c r="K35" i="120"/>
  <c r="L35" i="120"/>
  <c r="M35" i="120"/>
  <c r="N35" i="120"/>
  <c r="O35" i="120"/>
  <c r="P35" i="120"/>
  <c r="Q35" i="120"/>
  <c r="R35" i="120"/>
  <c r="S35" i="120"/>
  <c r="T35" i="120"/>
  <c r="U35" i="120"/>
  <c r="W35" i="120"/>
  <c r="W28" i="130"/>
  <c r="X28" i="130" s="1"/>
  <c r="F28" i="130"/>
  <c r="G28" i="130"/>
  <c r="H28" i="130"/>
  <c r="I28" i="130"/>
  <c r="J28" i="130"/>
  <c r="K28" i="130"/>
  <c r="L28" i="130"/>
  <c r="M28" i="130"/>
  <c r="N28" i="130"/>
  <c r="O28" i="130"/>
  <c r="P28" i="130"/>
  <c r="Q28" i="130"/>
  <c r="R28" i="130"/>
  <c r="S28" i="130"/>
  <c r="T28" i="130"/>
  <c r="U28" i="130"/>
  <c r="E21" i="130"/>
  <c r="F21" i="130"/>
  <c r="G21" i="130"/>
  <c r="H21" i="130"/>
  <c r="I21" i="130"/>
  <c r="J21" i="130"/>
  <c r="K21" i="130"/>
  <c r="L21" i="130"/>
  <c r="M21" i="130"/>
  <c r="N21" i="130"/>
  <c r="O21" i="130"/>
  <c r="P21" i="130"/>
  <c r="Q21" i="130"/>
  <c r="R21" i="130"/>
  <c r="S21" i="130"/>
  <c r="T21" i="130"/>
  <c r="U21" i="130"/>
  <c r="W21" i="130"/>
  <c r="E22" i="130"/>
  <c r="F22" i="130"/>
  <c r="G22" i="130"/>
  <c r="H22" i="130"/>
  <c r="I22" i="130"/>
  <c r="J22" i="130"/>
  <c r="K22" i="130"/>
  <c r="L22" i="130"/>
  <c r="M22" i="130"/>
  <c r="N22" i="130"/>
  <c r="O22" i="130"/>
  <c r="P22" i="130"/>
  <c r="Q22" i="130"/>
  <c r="R22" i="130"/>
  <c r="S22" i="130"/>
  <c r="T22" i="130"/>
  <c r="U22" i="130"/>
  <c r="W22" i="130"/>
  <c r="E23" i="130"/>
  <c r="F23" i="130"/>
  <c r="G23" i="130"/>
  <c r="H23" i="130"/>
  <c r="I23" i="130"/>
  <c r="J23" i="130"/>
  <c r="K23" i="130"/>
  <c r="L23" i="130"/>
  <c r="M23" i="130"/>
  <c r="N23" i="130"/>
  <c r="O23" i="130"/>
  <c r="P23" i="130"/>
  <c r="Q23" i="130"/>
  <c r="R23" i="130"/>
  <c r="S23" i="130"/>
  <c r="T23" i="130"/>
  <c r="U23" i="130"/>
  <c r="W23" i="130"/>
  <c r="E24" i="130"/>
  <c r="F24" i="130"/>
  <c r="G24" i="130"/>
  <c r="H24" i="130"/>
  <c r="I24" i="130"/>
  <c r="J24" i="130"/>
  <c r="K24" i="130"/>
  <c r="L24" i="130"/>
  <c r="M24" i="130"/>
  <c r="N24" i="130"/>
  <c r="O24" i="130"/>
  <c r="P24" i="130"/>
  <c r="Q24" i="130"/>
  <c r="R24" i="130"/>
  <c r="S24" i="130"/>
  <c r="T24" i="130"/>
  <c r="U24" i="130"/>
  <c r="W24" i="130"/>
  <c r="E25" i="130"/>
  <c r="F25" i="130"/>
  <c r="G25" i="130"/>
  <c r="H25" i="130"/>
  <c r="I25" i="130"/>
  <c r="J25" i="130"/>
  <c r="K25" i="130"/>
  <c r="L25" i="130"/>
  <c r="M25" i="130"/>
  <c r="N25" i="130"/>
  <c r="O25" i="130"/>
  <c r="P25" i="130"/>
  <c r="Q25" i="130"/>
  <c r="R25" i="130"/>
  <c r="S25" i="130"/>
  <c r="T25" i="130"/>
  <c r="U25" i="130"/>
  <c r="W25" i="130"/>
  <c r="E26" i="130"/>
  <c r="F26" i="130"/>
  <c r="G26" i="130"/>
  <c r="H26" i="130"/>
  <c r="I26" i="130"/>
  <c r="J26" i="130"/>
  <c r="K26" i="130"/>
  <c r="L26" i="130"/>
  <c r="M26" i="130"/>
  <c r="N26" i="130"/>
  <c r="O26" i="130"/>
  <c r="P26" i="130"/>
  <c r="Q26" i="130"/>
  <c r="R26" i="130"/>
  <c r="S26" i="130"/>
  <c r="T26" i="130"/>
  <c r="U26" i="130"/>
  <c r="W26" i="130"/>
  <c r="E27" i="130"/>
  <c r="F27" i="130"/>
  <c r="G27" i="130"/>
  <c r="H27" i="130"/>
  <c r="I27" i="130"/>
  <c r="J27" i="130"/>
  <c r="K27" i="130"/>
  <c r="L27" i="130"/>
  <c r="M27" i="130"/>
  <c r="N27" i="130"/>
  <c r="O27" i="130"/>
  <c r="P27" i="130"/>
  <c r="Q27" i="130"/>
  <c r="R27" i="130"/>
  <c r="S27" i="130"/>
  <c r="T27" i="130"/>
  <c r="U27" i="130"/>
  <c r="W27" i="130"/>
  <c r="W20" i="130"/>
  <c r="X20" i="130" s="1"/>
  <c r="F20" i="130"/>
  <c r="G20" i="130"/>
  <c r="H20" i="130"/>
  <c r="I20" i="130"/>
  <c r="J20" i="130"/>
  <c r="K20" i="130"/>
  <c r="L20" i="130"/>
  <c r="M20" i="130"/>
  <c r="N20" i="130"/>
  <c r="O20" i="130"/>
  <c r="P20" i="130"/>
  <c r="Q20" i="130"/>
  <c r="R20" i="130"/>
  <c r="S20" i="130"/>
  <c r="T20" i="130"/>
  <c r="U20" i="130"/>
  <c r="E20" i="130"/>
  <c r="E13" i="130"/>
  <c r="F13" i="130"/>
  <c r="G13" i="130"/>
  <c r="H13" i="130"/>
  <c r="I13" i="130"/>
  <c r="J13" i="130"/>
  <c r="K13" i="130"/>
  <c r="L13" i="130"/>
  <c r="M13" i="130"/>
  <c r="N13" i="130"/>
  <c r="O13" i="130"/>
  <c r="P13" i="130"/>
  <c r="Q13" i="130"/>
  <c r="R13" i="130"/>
  <c r="S13" i="130"/>
  <c r="T13" i="130"/>
  <c r="U13" i="130"/>
  <c r="W13" i="130"/>
  <c r="E14" i="130"/>
  <c r="F14" i="130"/>
  <c r="G14" i="130"/>
  <c r="H14" i="130"/>
  <c r="I14" i="130"/>
  <c r="J14" i="130"/>
  <c r="K14" i="130"/>
  <c r="L14" i="130"/>
  <c r="M14" i="130"/>
  <c r="N14" i="130"/>
  <c r="O14" i="130"/>
  <c r="P14" i="130"/>
  <c r="Q14" i="130"/>
  <c r="R14" i="130"/>
  <c r="S14" i="130"/>
  <c r="T14" i="130"/>
  <c r="U14" i="130"/>
  <c r="W14" i="130"/>
  <c r="E15" i="130"/>
  <c r="F15" i="130"/>
  <c r="G15" i="130"/>
  <c r="H15" i="130"/>
  <c r="I15" i="130"/>
  <c r="J15" i="130"/>
  <c r="K15" i="130"/>
  <c r="L15" i="130"/>
  <c r="M15" i="130"/>
  <c r="N15" i="130"/>
  <c r="O15" i="130"/>
  <c r="P15" i="130"/>
  <c r="Q15" i="130"/>
  <c r="R15" i="130"/>
  <c r="S15" i="130"/>
  <c r="T15" i="130"/>
  <c r="U15" i="130"/>
  <c r="W15" i="130"/>
  <c r="E16" i="130"/>
  <c r="F16" i="130"/>
  <c r="G16" i="130"/>
  <c r="H16" i="130"/>
  <c r="I16" i="130"/>
  <c r="J16" i="130"/>
  <c r="K16" i="130"/>
  <c r="L16" i="130"/>
  <c r="M16" i="130"/>
  <c r="N16" i="130"/>
  <c r="O16" i="130"/>
  <c r="P16" i="130"/>
  <c r="Q16" i="130"/>
  <c r="R16" i="130"/>
  <c r="S16" i="130"/>
  <c r="T16" i="130"/>
  <c r="U16" i="130"/>
  <c r="W16" i="130"/>
  <c r="E17" i="130"/>
  <c r="F17" i="130"/>
  <c r="G17" i="130"/>
  <c r="H17" i="130"/>
  <c r="I17" i="130"/>
  <c r="J17" i="130"/>
  <c r="K17" i="130"/>
  <c r="L17" i="130"/>
  <c r="M17" i="130"/>
  <c r="N17" i="130"/>
  <c r="O17" i="130"/>
  <c r="P17" i="130"/>
  <c r="Q17" i="130"/>
  <c r="R17" i="130"/>
  <c r="S17" i="130"/>
  <c r="T17" i="130"/>
  <c r="U17" i="130"/>
  <c r="W17" i="130"/>
  <c r="E18" i="130"/>
  <c r="F18" i="130"/>
  <c r="G18" i="130"/>
  <c r="H18" i="130"/>
  <c r="I18" i="130"/>
  <c r="J18" i="130"/>
  <c r="K18" i="130"/>
  <c r="L18" i="130"/>
  <c r="M18" i="130"/>
  <c r="N18" i="130"/>
  <c r="O18" i="130"/>
  <c r="P18" i="130"/>
  <c r="Q18" i="130"/>
  <c r="R18" i="130"/>
  <c r="S18" i="130"/>
  <c r="T18" i="130"/>
  <c r="U18" i="130"/>
  <c r="W18" i="130"/>
  <c r="E19" i="130"/>
  <c r="F19" i="130"/>
  <c r="G19" i="130"/>
  <c r="H19" i="130"/>
  <c r="I19" i="130"/>
  <c r="J19" i="130"/>
  <c r="K19" i="130"/>
  <c r="L19" i="130"/>
  <c r="M19" i="130"/>
  <c r="N19" i="130"/>
  <c r="O19" i="130"/>
  <c r="P19" i="130"/>
  <c r="Q19" i="130"/>
  <c r="R19" i="130"/>
  <c r="S19" i="130"/>
  <c r="T19" i="130"/>
  <c r="U19" i="130"/>
  <c r="W19" i="130"/>
  <c r="W12" i="130"/>
  <c r="X12" i="130" s="1"/>
  <c r="F12" i="130"/>
  <c r="G12" i="130"/>
  <c r="H12" i="130"/>
  <c r="I12" i="130"/>
  <c r="J12" i="130"/>
  <c r="K12" i="130"/>
  <c r="L12" i="130"/>
  <c r="M12" i="130"/>
  <c r="N12" i="130"/>
  <c r="O12" i="130"/>
  <c r="P12" i="130"/>
  <c r="Q12" i="130"/>
  <c r="R12" i="130"/>
  <c r="S12" i="130"/>
  <c r="T12" i="130"/>
  <c r="U12" i="130"/>
  <c r="E12" i="130"/>
  <c r="C20" i="130"/>
  <c r="C12" i="130"/>
  <c r="B8" i="130"/>
  <c r="D3" i="130"/>
  <c r="D2" i="130"/>
  <c r="W28" i="120"/>
  <c r="F28" i="120"/>
  <c r="G28" i="120"/>
  <c r="H28" i="120"/>
  <c r="I28" i="120"/>
  <c r="J28" i="120"/>
  <c r="K28" i="120"/>
  <c r="L28" i="120"/>
  <c r="M28" i="120"/>
  <c r="N28" i="120"/>
  <c r="O28" i="120"/>
  <c r="P28" i="120"/>
  <c r="Q28" i="120"/>
  <c r="R28" i="120"/>
  <c r="S28" i="120"/>
  <c r="T28" i="120"/>
  <c r="U28" i="120"/>
  <c r="E28" i="120"/>
  <c r="E21" i="120"/>
  <c r="F21" i="120"/>
  <c r="G21" i="120"/>
  <c r="H21" i="120"/>
  <c r="I21" i="120"/>
  <c r="J21" i="120"/>
  <c r="K21" i="120"/>
  <c r="L21" i="120"/>
  <c r="M21" i="120"/>
  <c r="N21" i="120"/>
  <c r="O21" i="120"/>
  <c r="P21" i="120"/>
  <c r="Q21" i="120"/>
  <c r="R21" i="120"/>
  <c r="S21" i="120"/>
  <c r="T21" i="120"/>
  <c r="U21" i="120"/>
  <c r="W21" i="120"/>
  <c r="E22" i="120"/>
  <c r="F22" i="120"/>
  <c r="G22" i="120"/>
  <c r="H22" i="120"/>
  <c r="I22" i="120"/>
  <c r="J22" i="120"/>
  <c r="K22" i="120"/>
  <c r="L22" i="120"/>
  <c r="M22" i="120"/>
  <c r="N22" i="120"/>
  <c r="O22" i="120"/>
  <c r="P22" i="120"/>
  <c r="Q22" i="120"/>
  <c r="R22" i="120"/>
  <c r="S22" i="120"/>
  <c r="T22" i="120"/>
  <c r="U22" i="120"/>
  <c r="W22" i="120"/>
  <c r="E23" i="120"/>
  <c r="F23" i="120"/>
  <c r="G23" i="120"/>
  <c r="H23" i="120"/>
  <c r="I23" i="120"/>
  <c r="J23" i="120"/>
  <c r="K23" i="120"/>
  <c r="L23" i="120"/>
  <c r="M23" i="120"/>
  <c r="N23" i="120"/>
  <c r="O23" i="120"/>
  <c r="P23" i="120"/>
  <c r="Q23" i="120"/>
  <c r="R23" i="120"/>
  <c r="S23" i="120"/>
  <c r="T23" i="120"/>
  <c r="U23" i="120"/>
  <c r="W23" i="120"/>
  <c r="E24" i="120"/>
  <c r="F24" i="120"/>
  <c r="G24" i="120"/>
  <c r="H24" i="120"/>
  <c r="I24" i="120"/>
  <c r="J24" i="120"/>
  <c r="K24" i="120"/>
  <c r="L24" i="120"/>
  <c r="M24" i="120"/>
  <c r="N24" i="120"/>
  <c r="O24" i="120"/>
  <c r="P24" i="120"/>
  <c r="Q24" i="120"/>
  <c r="R24" i="120"/>
  <c r="S24" i="120"/>
  <c r="T24" i="120"/>
  <c r="U24" i="120"/>
  <c r="W24" i="120"/>
  <c r="E25" i="120"/>
  <c r="F25" i="120"/>
  <c r="G25" i="120"/>
  <c r="H25" i="120"/>
  <c r="I25" i="120"/>
  <c r="J25" i="120"/>
  <c r="K25" i="120"/>
  <c r="L25" i="120"/>
  <c r="M25" i="120"/>
  <c r="N25" i="120"/>
  <c r="O25" i="120"/>
  <c r="P25" i="120"/>
  <c r="Q25" i="120"/>
  <c r="R25" i="120"/>
  <c r="S25" i="120"/>
  <c r="T25" i="120"/>
  <c r="U25" i="120"/>
  <c r="W25" i="120"/>
  <c r="E26" i="120"/>
  <c r="F26" i="120"/>
  <c r="G26" i="120"/>
  <c r="H26" i="120"/>
  <c r="I26" i="120"/>
  <c r="J26" i="120"/>
  <c r="K26" i="120"/>
  <c r="L26" i="120"/>
  <c r="M26" i="120"/>
  <c r="N26" i="120"/>
  <c r="O26" i="120"/>
  <c r="P26" i="120"/>
  <c r="Q26" i="120"/>
  <c r="R26" i="120"/>
  <c r="S26" i="120"/>
  <c r="T26" i="120"/>
  <c r="U26" i="120"/>
  <c r="W26" i="120"/>
  <c r="E27" i="120"/>
  <c r="F27" i="120"/>
  <c r="G27" i="120"/>
  <c r="H27" i="120"/>
  <c r="I27" i="120"/>
  <c r="J27" i="120"/>
  <c r="K27" i="120"/>
  <c r="L27" i="120"/>
  <c r="M27" i="120"/>
  <c r="N27" i="120"/>
  <c r="O27" i="120"/>
  <c r="P27" i="120"/>
  <c r="Q27" i="120"/>
  <c r="R27" i="120"/>
  <c r="S27" i="120"/>
  <c r="T27" i="120"/>
  <c r="U27" i="120"/>
  <c r="W27" i="120"/>
  <c r="W20" i="120"/>
  <c r="F20" i="120"/>
  <c r="G20" i="120"/>
  <c r="H20" i="120"/>
  <c r="I20" i="120"/>
  <c r="J20" i="120"/>
  <c r="K20" i="120"/>
  <c r="L20" i="120"/>
  <c r="M20" i="120"/>
  <c r="N20" i="120"/>
  <c r="O20" i="120"/>
  <c r="P20" i="120"/>
  <c r="Q20" i="120"/>
  <c r="R20" i="120"/>
  <c r="S20" i="120"/>
  <c r="T20" i="120"/>
  <c r="U20" i="120"/>
  <c r="E13" i="120"/>
  <c r="F13" i="120"/>
  <c r="G13" i="120"/>
  <c r="H13" i="120"/>
  <c r="I13" i="120"/>
  <c r="J13" i="120"/>
  <c r="K13" i="120"/>
  <c r="L13" i="120"/>
  <c r="M13" i="120"/>
  <c r="N13" i="120"/>
  <c r="O13" i="120"/>
  <c r="P13" i="120"/>
  <c r="Q13" i="120"/>
  <c r="R13" i="120"/>
  <c r="S13" i="120"/>
  <c r="T13" i="120"/>
  <c r="U13" i="120"/>
  <c r="W13" i="120"/>
  <c r="E14" i="120"/>
  <c r="F14" i="120"/>
  <c r="G14" i="120"/>
  <c r="H14" i="120"/>
  <c r="I14" i="120"/>
  <c r="J14" i="120"/>
  <c r="K14" i="120"/>
  <c r="L14" i="120"/>
  <c r="M14" i="120"/>
  <c r="N14" i="120"/>
  <c r="O14" i="120"/>
  <c r="P14" i="120"/>
  <c r="Q14" i="120"/>
  <c r="R14" i="120"/>
  <c r="S14" i="120"/>
  <c r="T14" i="120"/>
  <c r="U14" i="120"/>
  <c r="W14" i="120"/>
  <c r="E15" i="120"/>
  <c r="F15" i="120"/>
  <c r="G15" i="120"/>
  <c r="H15" i="120"/>
  <c r="I15" i="120"/>
  <c r="J15" i="120"/>
  <c r="K15" i="120"/>
  <c r="L15" i="120"/>
  <c r="M15" i="120"/>
  <c r="N15" i="120"/>
  <c r="O15" i="120"/>
  <c r="P15" i="120"/>
  <c r="Q15" i="120"/>
  <c r="R15" i="120"/>
  <c r="S15" i="120"/>
  <c r="T15" i="120"/>
  <c r="U15" i="120"/>
  <c r="W15" i="120"/>
  <c r="E16" i="120"/>
  <c r="F16" i="120"/>
  <c r="G16" i="120"/>
  <c r="H16" i="120"/>
  <c r="I16" i="120"/>
  <c r="J16" i="120"/>
  <c r="K16" i="120"/>
  <c r="L16" i="120"/>
  <c r="M16" i="120"/>
  <c r="N16" i="120"/>
  <c r="O16" i="120"/>
  <c r="P16" i="120"/>
  <c r="Q16" i="120"/>
  <c r="R16" i="120"/>
  <c r="S16" i="120"/>
  <c r="T16" i="120"/>
  <c r="U16" i="120"/>
  <c r="W16" i="120"/>
  <c r="E17" i="120"/>
  <c r="F17" i="120"/>
  <c r="G17" i="120"/>
  <c r="H17" i="120"/>
  <c r="I17" i="120"/>
  <c r="J17" i="120"/>
  <c r="K17" i="120"/>
  <c r="L17" i="120"/>
  <c r="M17" i="120"/>
  <c r="N17" i="120"/>
  <c r="O17" i="120"/>
  <c r="P17" i="120"/>
  <c r="Q17" i="120"/>
  <c r="R17" i="120"/>
  <c r="S17" i="120"/>
  <c r="T17" i="120"/>
  <c r="U17" i="120"/>
  <c r="W17" i="120"/>
  <c r="E18" i="120"/>
  <c r="F18" i="120"/>
  <c r="G18" i="120"/>
  <c r="H18" i="120"/>
  <c r="I18" i="120"/>
  <c r="J18" i="120"/>
  <c r="K18" i="120"/>
  <c r="L18" i="120"/>
  <c r="M18" i="120"/>
  <c r="N18" i="120"/>
  <c r="O18" i="120"/>
  <c r="P18" i="120"/>
  <c r="Q18" i="120"/>
  <c r="R18" i="120"/>
  <c r="S18" i="120"/>
  <c r="T18" i="120"/>
  <c r="U18" i="120"/>
  <c r="W18" i="120"/>
  <c r="E19" i="120"/>
  <c r="F19" i="120"/>
  <c r="G19" i="120"/>
  <c r="H19" i="120"/>
  <c r="I19" i="120"/>
  <c r="J19" i="120"/>
  <c r="K19" i="120"/>
  <c r="L19" i="120"/>
  <c r="M19" i="120"/>
  <c r="N19" i="120"/>
  <c r="O19" i="120"/>
  <c r="P19" i="120"/>
  <c r="Q19" i="120"/>
  <c r="R19" i="120"/>
  <c r="S19" i="120"/>
  <c r="T19" i="120"/>
  <c r="U19" i="120"/>
  <c r="W19" i="120"/>
  <c r="E20" i="120"/>
  <c r="C20" i="120"/>
  <c r="W12" i="120"/>
  <c r="F12" i="120"/>
  <c r="G12" i="120"/>
  <c r="H12" i="120"/>
  <c r="I12" i="120"/>
  <c r="J12" i="120"/>
  <c r="K12" i="120"/>
  <c r="L12" i="120"/>
  <c r="M12" i="120"/>
  <c r="N12" i="120"/>
  <c r="O12" i="120"/>
  <c r="P12" i="120"/>
  <c r="Q12" i="120"/>
  <c r="R12" i="120"/>
  <c r="S12" i="120"/>
  <c r="T12" i="120"/>
  <c r="U12" i="120"/>
  <c r="E12" i="120"/>
  <c r="C12" i="120"/>
  <c r="B8" i="120"/>
  <c r="D3" i="120"/>
  <c r="D2" i="120"/>
  <c r="K13" i="8"/>
  <c r="A26" i="8"/>
  <c r="A27" i="8"/>
  <c r="A28" i="8"/>
  <c r="A29" i="8"/>
  <c r="A30" i="8"/>
  <c r="A31" i="8"/>
  <c r="A32" i="8"/>
  <c r="A33" i="8"/>
  <c r="A17" i="8"/>
  <c r="A18" i="8"/>
  <c r="A19" i="8"/>
  <c r="A20" i="8"/>
  <c r="A21" i="8"/>
  <c r="A22" i="8"/>
  <c r="A23" i="8"/>
  <c r="A24" i="8"/>
  <c r="A25" i="8"/>
  <c r="A16" i="8"/>
  <c r="A729" i="2"/>
  <c r="A629" i="2"/>
  <c r="A529" i="2"/>
  <c r="A429" i="2"/>
  <c r="A329" i="2"/>
  <c r="A229" i="2"/>
  <c r="A130" i="2"/>
  <c r="A2" i="2"/>
  <c r="A1" i="2"/>
  <c r="A129" i="2"/>
  <c r="X32" i="135" l="1"/>
  <c r="X29" i="137"/>
  <c r="X33" i="137"/>
  <c r="X30" i="137"/>
  <c r="X34" i="137"/>
  <c r="X31" i="137"/>
  <c r="X35" i="137"/>
  <c r="X32" i="137"/>
  <c r="H12" i="5"/>
  <c r="I12" i="5" s="1"/>
  <c r="X22" i="136"/>
  <c r="H11" i="5"/>
  <c r="I11" i="5" s="1"/>
  <c r="X34" i="135"/>
  <c r="X24" i="135"/>
  <c r="X26" i="135"/>
  <c r="X42" i="135"/>
  <c r="X35" i="135"/>
  <c r="X31" i="135"/>
  <c r="X27" i="135"/>
  <c r="X23" i="135"/>
  <c r="X30" i="135"/>
  <c r="X22" i="135"/>
  <c r="X33" i="135"/>
  <c r="X29" i="135"/>
  <c r="X25" i="135"/>
  <c r="X21" i="135"/>
  <c r="X28" i="135"/>
  <c r="H10" i="5"/>
  <c r="I10" i="5" s="1"/>
  <c r="X40" i="135"/>
  <c r="X41" i="135"/>
  <c r="X38" i="135"/>
  <c r="X25" i="134"/>
  <c r="X19" i="135"/>
  <c r="X15" i="135"/>
  <c r="X37" i="135"/>
  <c r="X43" i="135"/>
  <c r="X39" i="135"/>
  <c r="X18" i="135"/>
  <c r="X14" i="135"/>
  <c r="X17" i="135"/>
  <c r="X16" i="135"/>
  <c r="X13" i="135"/>
  <c r="X36" i="135"/>
  <c r="X27" i="134"/>
  <c r="H9" i="5"/>
  <c r="I9" i="5" s="1"/>
  <c r="X23" i="134"/>
  <c r="X21" i="134"/>
  <c r="H8" i="5"/>
  <c r="I8" i="5" s="1"/>
  <c r="H6" i="5"/>
  <c r="H5" i="5"/>
  <c r="L2" i="5"/>
  <c r="X19" i="130"/>
  <c r="X15" i="130"/>
  <c r="X31" i="130"/>
  <c r="X32" i="131"/>
  <c r="X35" i="131"/>
  <c r="X33" i="131"/>
  <c r="X29" i="131"/>
  <c r="X33" i="132"/>
  <c r="X30" i="132"/>
  <c r="X13" i="133"/>
  <c r="X29" i="133"/>
  <c r="X22" i="134"/>
  <c r="X21" i="136"/>
  <c r="X40" i="137"/>
  <c r="X38" i="137"/>
  <c r="X39" i="137"/>
  <c r="X37" i="137"/>
  <c r="X42" i="137"/>
  <c r="X41" i="137"/>
  <c r="X36" i="137"/>
  <c r="X43" i="137"/>
  <c r="X35" i="132"/>
  <c r="X31" i="132"/>
  <c r="X16" i="132"/>
  <c r="X30" i="131"/>
  <c r="X29" i="130"/>
  <c r="X18" i="130"/>
  <c r="X16" i="138"/>
  <c r="X17" i="138"/>
  <c r="X19" i="138"/>
  <c r="X14" i="138"/>
  <c r="X18" i="138"/>
  <c r="X13" i="138"/>
  <c r="X27" i="138"/>
  <c r="X22" i="138"/>
  <c r="X24" i="138"/>
  <c r="X15" i="138"/>
  <c r="X26" i="138"/>
  <c r="X21" i="138"/>
  <c r="X23" i="138"/>
  <c r="X25" i="138"/>
  <c r="X24" i="131"/>
  <c r="X22" i="131"/>
  <c r="X34" i="132"/>
  <c r="X32" i="132"/>
  <c r="X19" i="133"/>
  <c r="X17" i="130"/>
  <c r="X13" i="130"/>
  <c r="X23" i="130"/>
  <c r="X21" i="130"/>
  <c r="X34" i="130"/>
  <c r="X32" i="130"/>
  <c r="X30" i="130"/>
  <c r="X29" i="132"/>
  <c r="X14" i="136"/>
  <c r="X13" i="131"/>
  <c r="X23" i="132"/>
  <c r="X16" i="131"/>
  <c r="X14" i="131"/>
  <c r="X34" i="133"/>
  <c r="X18" i="131"/>
  <c r="X16" i="130"/>
  <c r="X14" i="130"/>
  <c r="X17" i="134"/>
  <c r="X15" i="134"/>
  <c r="X15" i="136"/>
  <c r="X23" i="137"/>
  <c r="X21" i="137"/>
  <c r="X24" i="137"/>
  <c r="X25" i="137"/>
  <c r="X27" i="137"/>
  <c r="X20" i="137"/>
  <c r="X22" i="137"/>
  <c r="X26" i="137"/>
  <c r="X16" i="137"/>
  <c r="X14" i="137"/>
  <c r="X13" i="137"/>
  <c r="X18" i="137"/>
  <c r="X15" i="137"/>
  <c r="X17" i="137"/>
  <c r="X12" i="137"/>
  <c r="X19" i="137"/>
  <c r="X32" i="136"/>
  <c r="X34" i="136"/>
  <c r="X30" i="136"/>
  <c r="X16" i="136"/>
  <c r="X17" i="136"/>
  <c r="X19" i="136"/>
  <c r="X29" i="136"/>
  <c r="X31" i="136"/>
  <c r="X33" i="136"/>
  <c r="X35" i="136"/>
  <c r="X24" i="136"/>
  <c r="X26" i="136"/>
  <c r="X18" i="136"/>
  <c r="X23" i="136"/>
  <c r="X13" i="136"/>
  <c r="X25" i="136"/>
  <c r="X20" i="136"/>
  <c r="X27" i="136"/>
  <c r="X30" i="134"/>
  <c r="X32" i="134"/>
  <c r="X24" i="134"/>
  <c r="X26" i="134"/>
  <c r="X18" i="134"/>
  <c r="X12" i="134"/>
  <c r="X14" i="134"/>
  <c r="X16" i="134"/>
  <c r="X13" i="134"/>
  <c r="X19" i="134"/>
  <c r="X35" i="134"/>
  <c r="X20" i="134"/>
  <c r="X34" i="134"/>
  <c r="X29" i="134"/>
  <c r="X31" i="134"/>
  <c r="X33" i="134"/>
  <c r="X31" i="133"/>
  <c r="X35" i="133"/>
  <c r="X32" i="133"/>
  <c r="X30" i="133"/>
  <c r="X33" i="133"/>
  <c r="X22" i="133"/>
  <c r="X20" i="133"/>
  <c r="X24" i="133"/>
  <c r="X26" i="133"/>
  <c r="X21" i="133"/>
  <c r="X25" i="133"/>
  <c r="X23" i="133"/>
  <c r="X27" i="133"/>
  <c r="X17" i="133"/>
  <c r="X16" i="133"/>
  <c r="X18" i="133"/>
  <c r="X14" i="133"/>
  <c r="X28" i="133"/>
  <c r="X15" i="133"/>
  <c r="X12" i="133"/>
  <c r="X28" i="132"/>
  <c r="X25" i="132"/>
  <c r="X24" i="132"/>
  <c r="X18" i="132"/>
  <c r="X13" i="132"/>
  <c r="X17" i="132"/>
  <c r="X19" i="132"/>
  <c r="X15" i="132"/>
  <c r="X20" i="132"/>
  <c r="X27" i="132"/>
  <c r="X22" i="132"/>
  <c r="X14" i="132"/>
  <c r="X26" i="132"/>
  <c r="X21" i="132"/>
  <c r="X31" i="131"/>
  <c r="X26" i="131"/>
  <c r="X27" i="131"/>
  <c r="X21" i="131"/>
  <c r="X23" i="131"/>
  <c r="X25" i="131"/>
  <c r="X17" i="131"/>
  <c r="X15" i="131"/>
  <c r="X19" i="131"/>
  <c r="X34" i="131"/>
  <c r="X25" i="130"/>
  <c r="X27" i="130"/>
  <c r="X26" i="130"/>
  <c r="X24" i="130"/>
  <c r="X22" i="130"/>
  <c r="X33" i="130"/>
  <c r="X35" i="130"/>
  <c r="X31" i="120"/>
  <c r="X32" i="120"/>
  <c r="H4" i="5"/>
  <c r="X34" i="120"/>
  <c r="H3" i="5"/>
  <c r="X29" i="120"/>
  <c r="X35" i="120"/>
  <c r="X33" i="120"/>
  <c r="X30" i="120"/>
  <c r="X27" i="120"/>
  <c r="X16" i="120"/>
  <c r="X21" i="120"/>
  <c r="X22" i="120"/>
  <c r="X26" i="120"/>
  <c r="X24" i="120"/>
  <c r="X23" i="120"/>
  <c r="X13" i="120"/>
  <c r="X19" i="120"/>
  <c r="X17" i="120"/>
  <c r="X14" i="120"/>
  <c r="X25" i="120"/>
  <c r="X15" i="120"/>
  <c r="X18" i="120"/>
  <c r="X28" i="120"/>
  <c r="X20" i="120"/>
  <c r="X12" i="120"/>
  <c r="H13" i="5" l="1"/>
  <c r="I13" i="5" s="1"/>
  <c r="I7" i="5"/>
  <c r="I6" i="5"/>
  <c r="I5" i="5"/>
  <c r="P2" i="5" l="1"/>
  <c r="A730" i="2" l="1"/>
  <c r="A630" i="2"/>
  <c r="I4" i="5" l="1"/>
  <c r="A530" i="2" l="1"/>
  <c r="I3" i="5" l="1"/>
  <c r="A430" i="2" l="1"/>
  <c r="A330" i="2"/>
  <c r="A230" i="2"/>
  <c r="M2" i="5" l="1"/>
  <c r="A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D247D9-0179-45AF-A8FB-86701A53000A}" name="C_ASDL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4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" xr16:uid="{EC580E66-49D8-4A03-ACF7-0802A69AC990}" name="C_ASDL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5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" xr16:uid="{EA626CCE-BC4F-4E4E-B4C6-B76DCC621181}" name="C_HH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2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4" xr16:uid="{9F6366F6-B448-4F0A-9043-157B0F138ECC}" name="C_HH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?,100);"/>
    <parameters count="3">
      <parameter name="Parameter1" parameterType="cell" cell="aurora_data!$A$3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5" xr16:uid="{9509BEA0-EC70-4CD9-807F-3E9A8CA1CFF8}" name="C_LD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6" xr16:uid="{DE0BE4F0-7478-4EA2-A901-22141B9093BE}" name="C_LD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?,100);"/>
    <parameters count="3">
      <parameter name="Parameter1" parameterType="cell" cell="aurora_data!$A$1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7" xr16:uid="{A1C775D5-4A4C-45F1-8456-2DB6A1DBF635}" name="C_SLDRW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6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8" xr16:uid="{3DB057D1-08ED-4974-AE71-AA3F1183419D}" name="C_SLDRW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7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9" xr16:uid="{B96C71A7-DF5E-49F9-AFCD-969273AC9442}" name="OSEP_ADHD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0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0" xr16:uid="{D58DF21A-6A3E-4B22-B681-F9CA1FD388AF}" name="OSEP_ADHD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1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1" xr16:uid="{00E90A0B-A310-4374-8A57-9B048F875929}" name="OSEP_DD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8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2" xr16:uid="{AC1D3BC0-E266-4DD6-BDC5-912403CF572B}" name="OSEP_GT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6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3" xr16:uid="{CDB5CCC7-8670-4AB7-B51A-22A595F9F8A7}" name="OSEP_GT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7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4" xr16:uid="{240116DD-0B37-4E81-9250-0462FDB70056}" name="OSEP_ID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8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5" xr16:uid="{45B3AF5D-8521-4EC5-8854-64273F239C8D}" name="OSEP_ID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9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6" xr16:uid="{CF590096-4AC4-49E9-AB79-BB4D806BB85C}" name="OSEP_SI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4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7" xr16:uid="{AB1EC353-5BC6-44BB-ACDF-46DC2F9549D1}" name="OSEP_SI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5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8" xr16:uid="{9E8C9C2C-831F-4794-9220-91411DC56B79}" name="OSEP_SLD_RF1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2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9" xr16:uid="{EDD0A7D6-3BB9-4B02-86B6-7C81EEAAFD67}" name="OSEP_SLD_RF2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3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0" xr16:uid="{7AAF76CA-F8BB-DC4E-B051-61489010F0AA}" name="report_matrix_phase_study_list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phase_study_list(?);"/>
    <parameters count="2">
      <parameter name="Parameter1" parameterType="cell" cell="setup!$C$4"/>
      <parameter name="Parameter2" parameterType="cell" cell="setup!$C$12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1" xr16:uid="{CB2C7A4D-ECA5-804F-A6F2-1205178E7CD8}" name="report_matrix_summary_report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summary_report_custom (402,37,100);"/>
    <parameters count="2">
      <parameter name="Parameter1" parameterType="cell" cell="setup!$C$4"/>
      <parameter name="Parameter2" parameterType="cell" cell="setup!$C$12"/>
    </parameters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sharedStrings.xml><?xml version="1.0" encoding="utf-8"?>
<sst xmlns="http://schemas.openxmlformats.org/spreadsheetml/2006/main" count="2836" uniqueCount="218">
  <si>
    <t>Phase Setup</t>
  </si>
  <si>
    <t>Phase Id</t>
  </si>
  <si>
    <t>Main Study Setup</t>
  </si>
  <si>
    <t>Stratification Types</t>
  </si>
  <si>
    <t>matrix sproc</t>
  </si>
  <si>
    <t>Stratification %</t>
  </si>
  <si>
    <t>(separate study ids by and exclamation point ! for more than one)</t>
  </si>
  <si>
    <t>Stratification Type</t>
  </si>
  <si>
    <t>1 = 2 Cross</t>
  </si>
  <si>
    <r>
      <t>call report_matrix(</t>
    </r>
    <r>
      <rPr>
        <i/>
        <sz val="10"/>
        <color rgb="FFFF0000"/>
        <rFont val="Calibri (Body)"/>
      </rPr>
      <t>studyids, stratfication type, stratification%</t>
    </r>
    <r>
      <rPr>
        <sz val="10"/>
        <color theme="1"/>
        <rFont val="Calibri"/>
        <family val="2"/>
        <scheme val="minor"/>
      </rPr>
      <t>);</t>
    </r>
  </si>
  <si>
    <t>StudyIDs (2Cross)</t>
  </si>
  <si>
    <t>2 = 3 Cross ETH/ED</t>
  </si>
  <si>
    <t>StudyIDs (3Cross)</t>
  </si>
  <si>
    <t>3 = 3 Cross SEX/ETH</t>
  </si>
  <si>
    <r>
      <t>StudyIDs</t>
    </r>
    <r>
      <rPr>
        <sz val="8"/>
        <color theme="1"/>
        <rFont val="Calibri (Body)"/>
      </rPr>
      <t xml:space="preserve"> (3Cross alternate view)</t>
    </r>
  </si>
  <si>
    <t>Validity/Reliability Setup</t>
  </si>
  <si>
    <t xml:space="preserve">Total study count for this report </t>
  </si>
  <si>
    <t>Reports will show based on the ordered list below</t>
  </si>
  <si>
    <t xml:space="preserve">Phase Study List </t>
  </si>
  <si>
    <r>
      <t>Report Order</t>
    </r>
    <r>
      <rPr>
        <sz val="6"/>
        <color theme="1"/>
        <rFont val="Calibri"/>
        <family val="2"/>
        <scheme val="minor"/>
      </rPr>
      <t xml:space="preserve">                                                        </t>
    </r>
    <r>
      <rPr>
        <sz val="6"/>
        <color rgb="FFC00000"/>
        <rFont val="Calibri (Body)"/>
      </rPr>
      <t>(do not touch)</t>
    </r>
  </si>
  <si>
    <r>
      <t xml:space="preserve">Study Id                         </t>
    </r>
    <r>
      <rPr>
        <sz val="6"/>
        <color rgb="FFC00000"/>
        <rFont val="Calibri (Body)"/>
      </rPr>
      <t>(separate studyids by !)</t>
    </r>
  </si>
  <si>
    <t>Study Name</t>
  </si>
  <si>
    <t>Study Acronym</t>
  </si>
  <si>
    <t>Total Assignment</t>
  </si>
  <si>
    <t>study_id</t>
  </si>
  <si>
    <t>study_type_description</t>
  </si>
  <si>
    <t>sort_order</t>
  </si>
  <si>
    <t>study_name</t>
  </si>
  <si>
    <t>study_acronym</t>
  </si>
  <si>
    <t>study_status</t>
  </si>
  <si>
    <t>CELF-6 RF 1 Clinical Language Disorder (Ages 5-8)</t>
  </si>
  <si>
    <t>C_LD_RF1</t>
  </si>
  <si>
    <t>Main</t>
  </si>
  <si>
    <t>CELF-6 Standardization Record Form 2 (Ages 9-21)</t>
  </si>
  <si>
    <t>CELF6_RF2_STDZ_9-21</t>
  </si>
  <si>
    <t>Active</t>
  </si>
  <si>
    <t>CELF-6 RF 2 Clinical Language Disorder (Ages 9-16)</t>
  </si>
  <si>
    <t>C_LD_RF2</t>
  </si>
  <si>
    <t>CELF-6 Standardization Record Form 1 (Ages 5-8)</t>
  </si>
  <si>
    <t>CELF6_RF1_STDZ_5-8</t>
  </si>
  <si>
    <t>CELF-6 RF 1 Clinical Hard of Hearing (Ages 5-8)</t>
  </si>
  <si>
    <t>C_HH_RF1</t>
  </si>
  <si>
    <t>Clinical</t>
  </si>
  <si>
    <t>CELF-6 RF2 OSEP Gifted and Talented (Ages 9-21)</t>
  </si>
  <si>
    <t>OSEP_GT_RF2</t>
  </si>
  <si>
    <t>CELF-6 RF 2 Clinical Hard of Hearing (Ages 9-16)</t>
  </si>
  <si>
    <t>C_HH_RF2</t>
  </si>
  <si>
    <t>CELF-6 RF1 OSEP Gifted and Talented (Ages 5-8)</t>
  </si>
  <si>
    <t>OSEP_GT_RF1</t>
  </si>
  <si>
    <t>CELF-6 RF 1 Clinical Autism Spectrum Disorder (Ages 5-8)</t>
  </si>
  <si>
    <t>C_ASDL_RF1</t>
  </si>
  <si>
    <t>CELF-6 RF2 OSEP Speech Impairment (Ages 9-21)</t>
  </si>
  <si>
    <t>OSEP_SI_RF2</t>
  </si>
  <si>
    <t>CELF-6 RF 2 Clinical Autism Spectrum Disorder (Ages 9-16)</t>
  </si>
  <si>
    <t>C_ASDL_RF2</t>
  </si>
  <si>
    <t>CELF-6 RF1 OSEP Speech Impairment (Ages 5-8)</t>
  </si>
  <si>
    <t>OSEP_SI_RF1</t>
  </si>
  <si>
    <t>CELF-6 RF 1 Clinical Specific Learning Disability in Reading and/or Writing (Age 8)</t>
  </si>
  <si>
    <t>C_SLDRW_RF1</t>
  </si>
  <si>
    <t>CELF-6 RF2 OSEP Specific Learning Disability (Ages 9-21)</t>
  </si>
  <si>
    <t>OSEP_SLD_RF2</t>
  </si>
  <si>
    <t>CELF-6 RF 2 Clinical Specific Learning Disability in Reading and/or Writing (Ages 9-21)</t>
  </si>
  <si>
    <t>C_SLDRW_RF2</t>
  </si>
  <si>
    <t>CELF-6 RF1 OSEP Specific Learning Disability (Ages 5-8)</t>
  </si>
  <si>
    <t>OSEP_SLD_RF1</t>
  </si>
  <si>
    <t>CELF-6 RF1 OSEP Developmental Delay (Ages 5-8)</t>
  </si>
  <si>
    <t>OSEP_DD_RF1</t>
  </si>
  <si>
    <t>CELF-6 RF2 OSEP ADHD (Ages 9-17)</t>
  </si>
  <si>
    <t>OSEP_ADHD_RF2</t>
  </si>
  <si>
    <t>CELF-6 RF1 OSEP Intellectual Disability (Ages 5-8)</t>
  </si>
  <si>
    <t>OSEP_ID_RF1</t>
  </si>
  <si>
    <t>CELF-6 RF1 OSEP ADHD (Ages 5-8)</t>
  </si>
  <si>
    <t>OSEP_ADHD_RF1</t>
  </si>
  <si>
    <t>CELF-6 RF2 OSEP Intellectual Disability (Ages 9-21)</t>
  </si>
  <si>
    <t>OSEP_ID_RF2</t>
  </si>
  <si>
    <t>Reliability</t>
  </si>
  <si>
    <t>Retest CELF-6 Standardization Record Form 1 (Ages 5-8)</t>
  </si>
  <si>
    <t>R_CELF6_RF1_STDZ_5-8</t>
  </si>
  <si>
    <t>Retest CELF-6 Standardization Record Form 2 (Ages 9-16)</t>
  </si>
  <si>
    <t>R_CELF6_RF2_STDZ_9-16</t>
  </si>
  <si>
    <t>Validity</t>
  </si>
  <si>
    <t>Validity CELF-6 RF1/CELFP-3 (Ages 5-6)</t>
  </si>
  <si>
    <t>V_CELFP3_RF1</t>
  </si>
  <si>
    <t>Validity CELF-6 RF1/CELF-5 (Ages 5-8)</t>
  </si>
  <si>
    <t>V_CELF5_RF1</t>
  </si>
  <si>
    <t>Validity CELF-6 RF2/CELF-5 (Ages 9-16)</t>
  </si>
  <si>
    <t>V_CELF5_RF2</t>
  </si>
  <si>
    <t>Validity CELF-6 RF2/CELF-5 Meta (Ages 9-21)</t>
  </si>
  <si>
    <t>V_META_RF2</t>
  </si>
  <si>
    <t>Validity CELF-6 RF1/CCC-2 (Ages 5-8)</t>
  </si>
  <si>
    <t>V_CCC2_RF1</t>
  </si>
  <si>
    <t>Validity CELF-6 RF2/CCC-2 (Ages 9-16)</t>
  </si>
  <si>
    <t>V_CCC2_RF2</t>
  </si>
  <si>
    <t>Counterbalance CELF-5/CELF-6 RF1 (Ages 5-8)</t>
  </si>
  <si>
    <t>CB_CELF5_RF1</t>
  </si>
  <si>
    <t>Counterbalance CELF-5/CELF-6 RF2 (Ages 9-16)</t>
  </si>
  <si>
    <t>CB_CELF5_RF2</t>
  </si>
  <si>
    <t>Counterbalance CELF-5 Meta/CELF-6 RF2 (Ages 9-21)</t>
  </si>
  <si>
    <t>CB_META_RF2</t>
  </si>
  <si>
    <t>Counterbalance CELFP-3/CELF-6 RF1 (Ages 5-6)</t>
  </si>
  <si>
    <t>CB_CELFP3_RF1</t>
  </si>
  <si>
    <t>Other</t>
  </si>
  <si>
    <t>CELF-6 Standardization Record Form 1 (Ages 5-8) Usability</t>
  </si>
  <si>
    <t>CELF6_RF1_USB</t>
  </si>
  <si>
    <t>CELF-6 Standardization Record Form 2 (Ages 9-21) Usability</t>
  </si>
  <si>
    <t>CELF6_RF2_USB</t>
  </si>
  <si>
    <t>CELF-6 RF 1 Clinical Language Disorder (Ages 5-8) Usability</t>
  </si>
  <si>
    <t>C_LD_RF1_USB</t>
  </si>
  <si>
    <t>CELF-6 RF 2 Clinical Language Disorder (Ages 9-21) Usability</t>
  </si>
  <si>
    <t>C_LD_RF2_USB</t>
  </si>
  <si>
    <t>ageband</t>
  </si>
  <si>
    <t>gradeband</t>
  </si>
  <si>
    <t>report</t>
  </si>
  <si>
    <t>1</t>
  </si>
  <si>
    <t>2</t>
  </si>
  <si>
    <t>3</t>
  </si>
  <si>
    <t>4</t>
  </si>
  <si>
    <t>5</t>
  </si>
  <si>
    <t>AS</t>
  </si>
  <si>
    <t>BL</t>
  </si>
  <si>
    <t>HI</t>
  </si>
  <si>
    <t>OT</t>
  </si>
  <si>
    <t>WH</t>
  </si>
  <si>
    <t>MW</t>
  </si>
  <si>
    <t>NE</t>
  </si>
  <si>
    <t>SO</t>
  </si>
  <si>
    <t>WE</t>
  </si>
  <si>
    <t>F</t>
  </si>
  <si>
    <t>M</t>
  </si>
  <si>
    <t>OTHER</t>
  </si>
  <si>
    <t>Total</t>
  </si>
  <si>
    <t>LastRefreshed</t>
  </si>
  <si>
    <t>05.00.00-08.11.30</t>
  </si>
  <si>
    <t/>
  </si>
  <si>
    <t>Target N</t>
  </si>
  <si>
    <t>08/06/2026 @ 7:19 AM</t>
  </si>
  <si>
    <t>Stratified Usable N</t>
  </si>
  <si>
    <t>Stratified Out Usable N</t>
  </si>
  <si>
    <t>In Process N</t>
  </si>
  <si>
    <t>Assigned Not Recd N</t>
  </si>
  <si>
    <t>Reserved Not Recd N</t>
  </si>
  <si>
    <t>Total Assignments</t>
  </si>
  <si>
    <t>Selected N</t>
  </si>
  <si>
    <t>09.00.00-16.11.30</t>
  </si>
  <si>
    <t>08.00.00-08.11.30</t>
  </si>
  <si>
    <t>09.00.00-21.11.30</t>
  </si>
  <si>
    <t>09.00.00-17.11.30</t>
  </si>
  <si>
    <t>09.00.00-12.11.30</t>
  </si>
  <si>
    <t>13.00.00-21.11.30</t>
  </si>
  <si>
    <t xml:space="preserve">Assignment Information </t>
  </si>
  <si>
    <t>Total usable from all tabs</t>
  </si>
  <si>
    <t>Tptal in-Process</t>
  </si>
  <si>
    <t>study</t>
  </si>
  <si>
    <t>Target</t>
  </si>
  <si>
    <t>usableCount</t>
  </si>
  <si>
    <t>Percentage</t>
  </si>
  <si>
    <t>Refreshed_Date</t>
  </si>
  <si>
    <t>Total Assigned</t>
  </si>
  <si>
    <t>3740,3739</t>
  </si>
  <si>
    <t>CELF-6 RF1 &amp; 2 Clinical Language Disorder (Ages 5-16)</t>
  </si>
  <si>
    <t>3741,3742</t>
  </si>
  <si>
    <t>CELF-6 RF1 &amp; 2 Clinical Hard of Hearing (Ages 5-16)</t>
  </si>
  <si>
    <t>3743,3744</t>
  </si>
  <si>
    <t>CELF-6 RF1 &amp; 2 Clinical Autism Spectrum Disorder (Ages 5-16)</t>
  </si>
  <si>
    <t>3745,3746</t>
  </si>
  <si>
    <t>CELF-6 RF1 &amp; 2 Clinical Specific Learning Disability in Reading and/or Writing (Ages 8-21)</t>
  </si>
  <si>
    <t>3747</t>
  </si>
  <si>
    <t>3748,3749</t>
  </si>
  <si>
    <t>CELF-6 RF1 &amp; 2 OSEP Intellectual Disability (Ages 5-21)</t>
  </si>
  <si>
    <t>3750,3751</t>
  </si>
  <si>
    <t>CELF-6 RF1 &amp; 2 OSEP ADHD (Ages 5-17)</t>
  </si>
  <si>
    <t>3752,3753</t>
  </si>
  <si>
    <t>CELF-6 RF1 &amp; 2 OSEP Specific Learning Disability (Ages 5-21)</t>
  </si>
  <si>
    <t>3754,3755</t>
  </si>
  <si>
    <t>CELF-6 RF1 &amp; 2 OSEP Speech Impairment (Ages 5-21)</t>
  </si>
  <si>
    <t>3756,3757</t>
  </si>
  <si>
    <t>CELF-6 RF1 &amp; 2 OSEP Gifted and Talented (Ages 5-21)</t>
  </si>
  <si>
    <t>All</t>
  </si>
  <si>
    <t>Total Assigments below Target</t>
  </si>
  <si>
    <t>Study Information</t>
  </si>
  <si>
    <t>Additional Information</t>
  </si>
  <si>
    <t>Usable greater/equal to target</t>
  </si>
  <si>
    <t>Usable = case is available to Psychometrics for this study
In Process = questionable, In Process
Assigned Not Recd = Tests assigned to examiners, no tests received (required tests)
Reserved not Received = Tests in reserved status, not received
Total Assignments = sum of Usable, Received Non Final, Assigned Partial Received, Assigned Not Received
Selected = default status for making an assignment</t>
  </si>
  <si>
    <t>Study ID:                          
3739 &amp; 3740</t>
  </si>
  <si>
    <t>Additional Requirements</t>
  </si>
  <si>
    <t>Collect some of each based on two age bands (ages 5-8, ages 9-16)</t>
  </si>
  <si>
    <t>Demographic Variables</t>
  </si>
  <si>
    <t>Totals</t>
  </si>
  <si>
    <t>Variance Tolerance:</t>
  </si>
  <si>
    <t>some of each, if possible</t>
  </si>
  <si>
    <t>Status</t>
  </si>
  <si>
    <t>Education Level</t>
  </si>
  <si>
    <t>Ethnicity</t>
  </si>
  <si>
    <t>Region</t>
  </si>
  <si>
    <t>SEX</t>
  </si>
  <si>
    <t>OTH</t>
  </si>
  <si>
    <t>INT</t>
  </si>
  <si>
    <t>CLOSED</t>
  </si>
  <si>
    <t xml:space="preserve"> </t>
  </si>
  <si>
    <t>Usable</t>
  </si>
  <si>
    <t>In Process</t>
  </si>
  <si>
    <t>Assigned Not Received</t>
  </si>
  <si>
    <t>Reserved Not Received</t>
  </si>
  <si>
    <t>Selected</t>
  </si>
  <si>
    <t>Study ID:                          
3741 &amp; 3742</t>
  </si>
  <si>
    <t>Study ID:                          
3743 &amp; 3744</t>
  </si>
  <si>
    <t>Study ID:                          
3745 &amp; 3746</t>
  </si>
  <si>
    <t>A minimum of 15 cases have to be combined reading &amp; writing; 
Ageband 8-21 must be 60.</t>
  </si>
  <si>
    <t>Study ID:                          
3747</t>
  </si>
  <si>
    <t>None</t>
  </si>
  <si>
    <t>Study ID:                          
3754 &amp; 3755</t>
  </si>
  <si>
    <t>Study ID:                          
3748 &amp; 3749</t>
  </si>
  <si>
    <t>Open</t>
  </si>
  <si>
    <t>Study ID:                          
3750 &amp; 3751</t>
  </si>
  <si>
    <t>Age 5: n=4
Ages 6-11: n=70
Ages 12-17: n=74</t>
  </si>
  <si>
    <t>Study ID:                          
3752 &amp; 3753</t>
  </si>
  <si>
    <t>Study ID:                          
3756 &amp; 3757</t>
  </si>
  <si>
    <t>There is no max to the number of GT OSEPs allowed in the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</si>
</sst>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\'##\'"/>
    <numFmt numFmtId="167" formatCode="\±#%"/>
  </numFmts>
  <fonts count="3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rgb="FFC00000"/>
      <name val="Calibri (Body)"/>
    </font>
    <font>
      <sz val="6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color theme="1"/>
      <name val="Calibri (Body)"/>
    </font>
    <font>
      <b/>
      <sz val="11"/>
      <color rgb="FFFF0000"/>
      <name val="Calibri"/>
      <family val="2"/>
      <scheme val="minor"/>
    </font>
    <font>
      <sz val="12"/>
      <color theme="0"/>
      <name val="Times New Roman"/>
      <family val="1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0"/>
      <color rgb="FFFF0000"/>
      <name val="Calibri (Body)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B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medium">
        <color indexed="64"/>
      </right>
      <top style="thick">
        <color theme="0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ck">
        <color theme="0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medium">
        <color indexed="64"/>
      </left>
      <right style="thick">
        <color theme="0"/>
      </right>
      <top/>
      <bottom/>
      <diagonal/>
    </border>
    <border>
      <left style="medium">
        <color indexed="64"/>
      </left>
      <right/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0" fontId="7" fillId="0" borderId="0"/>
    <xf numFmtId="0" fontId="24" fillId="0" borderId="0" applyNumberFormat="0" applyFill="0" applyBorder="0" applyAlignment="0" applyProtection="0"/>
    <xf numFmtId="0" fontId="3" fillId="0" borderId="0"/>
    <xf numFmtId="0" fontId="2" fillId="0" borderId="0"/>
  </cellStyleXfs>
  <cellXfs count="222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0" fillId="4" borderId="1" xfId="0" applyFill="1" applyBorder="1"/>
    <xf numFmtId="0" fontId="0" fillId="4" borderId="0" xfId="0" applyFill="1" applyAlignment="1">
      <alignment horizontal="center"/>
    </xf>
    <xf numFmtId="0" fontId="8" fillId="0" borderId="0" xfId="0" applyFont="1"/>
    <xf numFmtId="0" fontId="20" fillId="0" borderId="0" xfId="0" applyFont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center"/>
    </xf>
    <xf numFmtId="0" fontId="20" fillId="9" borderId="0" xfId="0" applyFont="1" applyFill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9" fontId="0" fillId="0" borderId="0" xfId="1" applyFont="1" applyAlignment="1">
      <alignment horizontal="center"/>
    </xf>
    <xf numFmtId="0" fontId="10" fillId="4" borderId="0" xfId="0" applyFont="1" applyFill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20" fillId="4" borderId="0" xfId="0" applyFont="1" applyFill="1"/>
    <xf numFmtId="0" fontId="23" fillId="0" borderId="15" xfId="3" applyFont="1" applyBorder="1"/>
    <xf numFmtId="0" fontId="0" fillId="0" borderId="15" xfId="0" applyBorder="1" applyAlignment="1">
      <alignment horizontal="center"/>
    </xf>
    <xf numFmtId="0" fontId="8" fillId="4" borderId="0" xfId="0" applyFont="1" applyFill="1" applyAlignment="1">
      <alignment wrapText="1"/>
    </xf>
    <xf numFmtId="0" fontId="10" fillId="4" borderId="0" xfId="0" applyFont="1" applyFill="1"/>
    <xf numFmtId="0" fontId="8" fillId="3" borderId="16" xfId="0" applyFont="1" applyFill="1" applyBorder="1" applyAlignment="1">
      <alignment horizontal="center"/>
    </xf>
    <xf numFmtId="166" fontId="8" fillId="3" borderId="14" xfId="0" applyNumberFormat="1" applyFont="1" applyFill="1" applyBorder="1" applyAlignment="1">
      <alignment horizontal="center"/>
    </xf>
    <xf numFmtId="1" fontId="8" fillId="3" borderId="14" xfId="0" applyNumberFormat="1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23" fillId="4" borderId="0" xfId="0" applyFont="1" applyFill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right" indent="1"/>
    </xf>
    <xf numFmtId="0" fontId="12" fillId="4" borderId="0" xfId="0" applyFont="1" applyFill="1" applyAlignment="1">
      <alignment horizontal="left"/>
    </xf>
    <xf numFmtId="0" fontId="9" fillId="6" borderId="14" xfId="2" applyFont="1" applyFill="1" applyBorder="1" applyAlignment="1">
      <alignment horizontal="right" vertical="center" wrapText="1" indent="1"/>
    </xf>
    <xf numFmtId="0" fontId="17" fillId="5" borderId="18" xfId="2" applyFont="1" applyFill="1" applyBorder="1" applyAlignment="1">
      <alignment horizontal="center" vertical="center"/>
    </xf>
    <xf numFmtId="0" fontId="0" fillId="4" borderId="0" xfId="0" applyFill="1" applyAlignment="1">
      <alignment horizontal="right" indent="1"/>
    </xf>
    <xf numFmtId="0" fontId="12" fillId="4" borderId="5" xfId="0" applyFont="1" applyFill="1" applyBorder="1" applyAlignment="1">
      <alignment horizontal="left"/>
    </xf>
    <xf numFmtId="0" fontId="12" fillId="4" borderId="0" xfId="0" applyFont="1" applyFill="1" applyAlignment="1">
      <alignment horizontal="right" indent="1"/>
    </xf>
    <xf numFmtId="0" fontId="16" fillId="7" borderId="3" xfId="0" applyFont="1" applyFill="1" applyBorder="1" applyAlignment="1">
      <alignment horizontal="right" indent="1"/>
    </xf>
    <xf numFmtId="0" fontId="15" fillId="4" borderId="0" xfId="0" applyFont="1" applyFill="1" applyAlignment="1">
      <alignment horizontal="right" indent="1"/>
    </xf>
    <xf numFmtId="1" fontId="28" fillId="0" borderId="5" xfId="0" applyNumberFormat="1" applyFont="1" applyBorder="1" applyAlignment="1">
      <alignment horizontal="center"/>
    </xf>
    <xf numFmtId="0" fontId="16" fillId="8" borderId="20" xfId="0" applyFont="1" applyFill="1" applyBorder="1" applyAlignment="1">
      <alignment horizontal="right" indent="1"/>
    </xf>
    <xf numFmtId="0" fontId="15" fillId="4" borderId="1" xfId="0" applyFont="1" applyFill="1" applyBorder="1" applyAlignment="1">
      <alignment horizontal="right" indent="1"/>
    </xf>
    <xf numFmtId="1" fontId="16" fillId="7" borderId="2" xfId="0" applyNumberFormat="1" applyFont="1" applyFill="1" applyBorder="1" applyAlignment="1">
      <alignment horizontal="center"/>
    </xf>
    <xf numFmtId="1" fontId="16" fillId="7" borderId="3" xfId="0" applyNumberFormat="1" applyFont="1" applyFill="1" applyBorder="1" applyAlignment="1">
      <alignment horizontal="center"/>
    </xf>
    <xf numFmtId="1" fontId="16" fillId="7" borderId="4" xfId="0" applyNumberFormat="1" applyFon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6" fillId="0" borderId="0" xfId="0" applyFont="1"/>
    <xf numFmtId="0" fontId="27" fillId="4" borderId="24" xfId="2" applyFont="1" applyFill="1" applyBorder="1" applyAlignment="1">
      <alignment horizontal="left"/>
    </xf>
    <xf numFmtId="0" fontId="0" fillId="4" borderId="16" xfId="0" applyFill="1" applyBorder="1"/>
    <xf numFmtId="0" fontId="8" fillId="4" borderId="26" xfId="0" applyFont="1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20" fillId="4" borderId="16" xfId="0" applyFont="1" applyFill="1" applyBorder="1"/>
    <xf numFmtId="0" fontId="20" fillId="4" borderId="28" xfId="0" applyFont="1" applyFill="1" applyBorder="1"/>
    <xf numFmtId="0" fontId="0" fillId="4" borderId="29" xfId="0" applyFill="1" applyBorder="1"/>
    <xf numFmtId="0" fontId="0" fillId="4" borderId="30" xfId="0" applyFill="1" applyBorder="1"/>
    <xf numFmtId="0" fontId="0" fillId="4" borderId="14" xfId="0" applyFill="1" applyBorder="1"/>
    <xf numFmtId="0" fontId="0" fillId="4" borderId="27" xfId="0" applyFill="1" applyBorder="1"/>
    <xf numFmtId="0" fontId="0" fillId="4" borderId="31" xfId="0" applyFill="1" applyBorder="1"/>
    <xf numFmtId="0" fontId="0" fillId="4" borderId="32" xfId="0" applyFill="1" applyBorder="1"/>
    <xf numFmtId="0" fontId="0" fillId="4" borderId="28" xfId="0" applyFill="1" applyBorder="1"/>
    <xf numFmtId="0" fontId="0" fillId="4" borderId="26" xfId="0" applyFill="1" applyBorder="1"/>
    <xf numFmtId="0" fontId="0" fillId="4" borderId="29" xfId="0" applyFill="1" applyBorder="1" applyAlignment="1">
      <alignment horizontal="left"/>
    </xf>
    <xf numFmtId="1" fontId="16" fillId="8" borderId="20" xfId="0" applyNumberFormat="1" applyFont="1" applyFill="1" applyBorder="1" applyAlignment="1">
      <alignment horizontal="center"/>
    </xf>
    <xf numFmtId="1" fontId="28" fillId="0" borderId="7" xfId="0" applyNumberFormat="1" applyFont="1" applyBorder="1" applyAlignment="1">
      <alignment horizontal="center"/>
    </xf>
    <xf numFmtId="1" fontId="13" fillId="4" borderId="0" xfId="0" applyNumberFormat="1" applyFont="1" applyFill="1" applyAlignment="1">
      <alignment horizontal="left"/>
    </xf>
    <xf numFmtId="1" fontId="28" fillId="0" borderId="0" xfId="0" applyNumberFormat="1" applyFont="1" applyAlignment="1">
      <alignment horizontal="center"/>
    </xf>
    <xf numFmtId="1" fontId="28" fillId="0" borderId="6" xfId="0" applyNumberFormat="1" applyFont="1" applyBorder="1" applyAlignment="1">
      <alignment horizontal="center"/>
    </xf>
    <xf numFmtId="1" fontId="29" fillId="4" borderId="0" xfId="0" applyNumberFormat="1" applyFont="1" applyFill="1" applyAlignment="1">
      <alignment horizontal="left"/>
    </xf>
    <xf numFmtId="1" fontId="16" fillId="8" borderId="9" xfId="0" applyNumberFormat="1" applyFont="1" applyFill="1" applyBorder="1" applyAlignment="1">
      <alignment horizontal="center"/>
    </xf>
    <xf numFmtId="1" fontId="16" fillId="8" borderId="21" xfId="0" applyNumberFormat="1" applyFont="1" applyFill="1" applyBorder="1" applyAlignment="1">
      <alignment horizontal="center"/>
    </xf>
    <xf numFmtId="1" fontId="30" fillId="4" borderId="0" xfId="0" applyNumberFormat="1" applyFont="1" applyFill="1" applyAlignment="1">
      <alignment horizontal="left"/>
    </xf>
    <xf numFmtId="1" fontId="28" fillId="0" borderId="1" xfId="0" applyNumberFormat="1" applyFont="1" applyBorder="1" applyAlignment="1">
      <alignment horizontal="center"/>
    </xf>
    <xf numFmtId="1" fontId="28" fillId="0" borderId="8" xfId="0" applyNumberFormat="1" applyFont="1" applyBorder="1" applyAlignment="1">
      <alignment horizontal="center"/>
    </xf>
    <xf numFmtId="9" fontId="16" fillId="7" borderId="4" xfId="1" applyFont="1" applyFill="1" applyBorder="1" applyAlignment="1">
      <alignment horizontal="center"/>
    </xf>
    <xf numFmtId="9" fontId="28" fillId="0" borderId="6" xfId="1" applyFont="1" applyFill="1" applyBorder="1" applyAlignment="1">
      <alignment horizontal="center"/>
    </xf>
    <xf numFmtId="9" fontId="16" fillId="8" borderId="21" xfId="1" applyFont="1" applyFill="1" applyBorder="1" applyAlignment="1">
      <alignment horizontal="center"/>
    </xf>
    <xf numFmtId="9" fontId="28" fillId="0" borderId="8" xfId="0" applyNumberFormat="1" applyFont="1" applyBorder="1" applyAlignment="1">
      <alignment horizontal="center"/>
    </xf>
    <xf numFmtId="1" fontId="28" fillId="0" borderId="21" xfId="0" applyNumberFormat="1" applyFont="1" applyBorder="1" applyAlignment="1">
      <alignment horizontal="center"/>
    </xf>
    <xf numFmtId="1" fontId="29" fillId="4" borderId="6" xfId="0" applyNumberFormat="1" applyFont="1" applyFill="1" applyBorder="1" applyAlignment="1">
      <alignment horizontal="left"/>
    </xf>
    <xf numFmtId="1" fontId="16" fillId="7" borderId="6" xfId="0" applyNumberFormat="1" applyFont="1" applyFill="1" applyBorder="1" applyAlignment="1">
      <alignment horizontal="center"/>
    </xf>
    <xf numFmtId="0" fontId="14" fillId="0" borderId="0" xfId="0" applyFont="1"/>
    <xf numFmtId="0" fontId="0" fillId="10" borderId="15" xfId="0" applyFill="1" applyBorder="1"/>
    <xf numFmtId="0" fontId="0" fillId="10" borderId="39" xfId="0" applyFill="1" applyBorder="1"/>
    <xf numFmtId="0" fontId="0" fillId="12" borderId="15" xfId="0" applyFill="1" applyBorder="1" applyAlignment="1">
      <alignment horizontal="center"/>
    </xf>
    <xf numFmtId="0" fontId="0" fillId="0" borderId="15" xfId="0" applyBorder="1" applyAlignment="1">
      <alignment horizontal="left"/>
    </xf>
    <xf numFmtId="10" fontId="5" fillId="0" borderId="15" xfId="1" applyNumberFormat="1" applyFont="1" applyBorder="1" applyAlignment="1">
      <alignment horizontal="center"/>
    </xf>
    <xf numFmtId="1" fontId="0" fillId="0" borderId="0" xfId="0" applyNumberFormat="1"/>
    <xf numFmtId="10" fontId="0" fillId="12" borderId="15" xfId="0" applyNumberFormat="1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9" fontId="5" fillId="10" borderId="15" xfId="1" applyFont="1" applyFill="1" applyBorder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30" fillId="5" borderId="19" xfId="2" applyFont="1" applyFill="1" applyBorder="1" applyAlignment="1">
      <alignment horizontal="center"/>
    </xf>
    <xf numFmtId="0" fontId="30" fillId="5" borderId="37" xfId="2" applyFont="1" applyFill="1" applyBorder="1" applyAlignment="1">
      <alignment horizontal="center"/>
    </xf>
    <xf numFmtId="0" fontId="30" fillId="5" borderId="36" xfId="2" applyFont="1" applyFill="1" applyBorder="1" applyAlignment="1">
      <alignment horizontal="center"/>
    </xf>
    <xf numFmtId="0" fontId="30" fillId="5" borderId="33" xfId="2" applyFont="1" applyFill="1" applyBorder="1" applyAlignment="1">
      <alignment horizontal="center"/>
    </xf>
    <xf numFmtId="0" fontId="30" fillId="5" borderId="44" xfId="2" applyFont="1" applyFill="1" applyBorder="1" applyAlignment="1">
      <alignment horizontal="center"/>
    </xf>
    <xf numFmtId="1" fontId="30" fillId="5" borderId="37" xfId="2" quotePrefix="1" applyNumberFormat="1" applyFont="1" applyFill="1" applyBorder="1" applyAlignment="1">
      <alignment horizontal="center"/>
    </xf>
    <xf numFmtId="1" fontId="30" fillId="5" borderId="37" xfId="2" applyNumberFormat="1" applyFont="1" applyFill="1" applyBorder="1" applyAlignment="1">
      <alignment horizontal="center"/>
    </xf>
    <xf numFmtId="0" fontId="30" fillId="5" borderId="7" xfId="2" quotePrefix="1" applyFont="1" applyFill="1" applyBorder="1" applyAlignment="1">
      <alignment horizontal="center"/>
    </xf>
    <xf numFmtId="0" fontId="0" fillId="4" borderId="3" xfId="0" applyFill="1" applyBorder="1"/>
    <xf numFmtId="0" fontId="12" fillId="0" borderId="0" xfId="0" applyFont="1"/>
    <xf numFmtId="0" fontId="8" fillId="0" borderId="0" xfId="0" applyFont="1" applyAlignment="1">
      <alignment vertical="center" wrapText="1"/>
    </xf>
    <xf numFmtId="0" fontId="13" fillId="5" borderId="0" xfId="0" applyFont="1" applyFill="1"/>
    <xf numFmtId="0" fontId="12" fillId="5" borderId="6" xfId="0" applyFont="1" applyFill="1" applyBorder="1" applyAlignment="1">
      <alignment horizontal="center"/>
    </xf>
    <xf numFmtId="0" fontId="12" fillId="0" borderId="48" xfId="0" applyFont="1" applyBorder="1"/>
    <xf numFmtId="164" fontId="10" fillId="4" borderId="0" xfId="2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2" applyNumberFormat="1" applyFont="1" applyFill="1" applyAlignment="1">
      <alignment horizontal="left" vertical="center" wrapText="1"/>
    </xf>
    <xf numFmtId="0" fontId="13" fillId="5" borderId="6" xfId="0" applyFont="1" applyFill="1" applyBorder="1"/>
    <xf numFmtId="1" fontId="10" fillId="4" borderId="0" xfId="2" applyNumberFormat="1" applyFont="1" applyFill="1" applyAlignment="1">
      <alignment horizontal="left" vertical="top" wrapText="1"/>
    </xf>
    <xf numFmtId="0" fontId="13" fillId="0" borderId="0" xfId="0" applyFont="1"/>
    <xf numFmtId="0" fontId="0" fillId="0" borderId="54" xfId="0" applyBorder="1"/>
    <xf numFmtId="1" fontId="15" fillId="0" borderId="5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1" fontId="8" fillId="3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0" fontId="23" fillId="0" borderId="15" xfId="3" applyFont="1" applyFill="1" applyBorder="1"/>
    <xf numFmtId="10" fontId="0" fillId="0" borderId="15" xfId="1" applyNumberFormat="1" applyFont="1" applyFill="1" applyBorder="1" applyAlignment="1">
      <alignment horizontal="center"/>
    </xf>
    <xf numFmtId="0" fontId="23" fillId="15" borderId="51" xfId="3" applyFont="1" applyFill="1" applyBorder="1"/>
    <xf numFmtId="10" fontId="0" fillId="15" borderId="51" xfId="1" applyNumberFormat="1" applyFont="1" applyFill="1" applyBorder="1" applyAlignment="1">
      <alignment horizontal="center"/>
    </xf>
    <xf numFmtId="0" fontId="0" fillId="15" borderId="0" xfId="0" applyFill="1"/>
    <xf numFmtId="0" fontId="6" fillId="16" borderId="0" xfId="0" applyFont="1" applyFill="1"/>
    <xf numFmtId="1" fontId="0" fillId="16" borderId="0" xfId="0" applyNumberFormat="1" applyFill="1"/>
    <xf numFmtId="0" fontId="0" fillId="17" borderId="0" xfId="0" applyFill="1" applyAlignment="1">
      <alignment horizontal="left"/>
    </xf>
    <xf numFmtId="0" fontId="0" fillId="17" borderId="27" xfId="0" applyFill="1" applyBorder="1" applyAlignment="1">
      <alignment horizontal="center"/>
    </xf>
    <xf numFmtId="0" fontId="14" fillId="17" borderId="0" xfId="0" applyFont="1" applyFill="1" applyAlignment="1">
      <alignment horizontal="left"/>
    </xf>
    <xf numFmtId="0" fontId="8" fillId="0" borderId="0" xfId="0" applyFont="1" applyAlignment="1">
      <alignment horizontal="right"/>
    </xf>
    <xf numFmtId="3" fontId="0" fillId="0" borderId="0" xfId="0" applyNumberFormat="1"/>
    <xf numFmtId="0" fontId="0" fillId="15" borderId="51" xfId="0" applyFill="1" applyBorder="1" applyAlignment="1">
      <alignment horizontal="left"/>
    </xf>
    <xf numFmtId="0" fontId="0" fillId="15" borderId="51" xfId="0" applyFill="1" applyBorder="1" applyAlignment="1">
      <alignment horizontal="center"/>
    </xf>
    <xf numFmtId="0" fontId="20" fillId="0" borderId="25" xfId="0" applyFont="1" applyBorder="1" applyAlignment="1">
      <alignment horizontal="center"/>
    </xf>
    <xf numFmtId="0" fontId="20" fillId="0" borderId="41" xfId="0" applyFont="1" applyBorder="1"/>
    <xf numFmtId="0" fontId="20" fillId="0" borderId="0" xfId="0" applyFont="1" applyAlignment="1">
      <alignment horizontal="right"/>
    </xf>
    <xf numFmtId="0" fontId="0" fillId="0" borderId="55" xfId="0" applyBorder="1" applyAlignment="1">
      <alignment horizontal="left"/>
    </xf>
    <xf numFmtId="0" fontId="23" fillId="0" borderId="55" xfId="3" applyFont="1" applyFill="1" applyBorder="1"/>
    <xf numFmtId="0" fontId="0" fillId="0" borderId="55" xfId="0" applyBorder="1" applyAlignment="1">
      <alignment horizontal="center"/>
    </xf>
    <xf numFmtId="10" fontId="0" fillId="0" borderId="55" xfId="1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18" borderId="15" xfId="0" applyFill="1" applyBorder="1" applyAlignment="1">
      <alignment horizontal="left"/>
    </xf>
    <xf numFmtId="0" fontId="23" fillId="18" borderId="15" xfId="3" applyFont="1" applyFill="1" applyBorder="1"/>
    <xf numFmtId="0" fontId="33" fillId="13" borderId="5" xfId="2" applyFont="1" applyFill="1" applyBorder="1" applyAlignment="1">
      <alignment horizontal="center" vertical="center"/>
    </xf>
    <xf numFmtId="0" fontId="33" fillId="13" borderId="0" xfId="2" applyFont="1" applyFill="1" applyAlignment="1">
      <alignment horizontal="center" vertical="center"/>
    </xf>
    <xf numFmtId="0" fontId="33" fillId="13" borderId="6" xfId="2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9" fillId="14" borderId="15" xfId="2" applyFont="1" applyFill="1" applyBorder="1" applyAlignment="1">
      <alignment horizontal="center" vertical="center"/>
    </xf>
    <xf numFmtId="0" fontId="9" fillId="14" borderId="47" xfId="2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wrapText="1"/>
    </xf>
    <xf numFmtId="0" fontId="1" fillId="4" borderId="40" xfId="0" applyFont="1" applyFill="1" applyBorder="1" applyAlignment="1">
      <alignment horizontal="center" wrapText="1"/>
    </xf>
    <xf numFmtId="0" fontId="1" fillId="4" borderId="50" xfId="0" applyFont="1" applyFill="1" applyBorder="1" applyAlignment="1">
      <alignment horizontal="center" wrapText="1"/>
    </xf>
    <xf numFmtId="164" fontId="10" fillId="4" borderId="5" xfId="2" applyNumberFormat="1" applyFont="1" applyFill="1" applyBorder="1" applyAlignment="1">
      <alignment horizontal="left" vertical="center" wrapText="1"/>
    </xf>
    <xf numFmtId="164" fontId="10" fillId="4" borderId="0" xfId="2" applyNumberFormat="1" applyFont="1" applyFill="1" applyAlignment="1">
      <alignment horizontal="left" vertical="center"/>
    </xf>
    <xf numFmtId="164" fontId="10" fillId="4" borderId="6" xfId="2" applyNumberFormat="1" applyFont="1" applyFill="1" applyBorder="1" applyAlignment="1">
      <alignment horizontal="left" vertical="center"/>
    </xf>
    <xf numFmtId="164" fontId="10" fillId="4" borderId="5" xfId="2" applyNumberFormat="1" applyFont="1" applyFill="1" applyBorder="1" applyAlignment="1">
      <alignment horizontal="left" vertical="center"/>
    </xf>
    <xf numFmtId="164" fontId="10" fillId="4" borderId="7" xfId="2" applyNumberFormat="1" applyFont="1" applyFill="1" applyBorder="1" applyAlignment="1">
      <alignment horizontal="left" vertical="center"/>
    </xf>
    <xf numFmtId="164" fontId="10" fillId="4" borderId="1" xfId="2" applyNumberFormat="1" applyFont="1" applyFill="1" applyBorder="1" applyAlignment="1">
      <alignment horizontal="left" vertical="center"/>
    </xf>
    <xf numFmtId="164" fontId="10" fillId="4" borderId="8" xfId="2" applyNumberFormat="1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52" xfId="0" applyFont="1" applyFill="1" applyBorder="1" applyAlignment="1">
      <alignment horizontal="center" wrapText="1"/>
    </xf>
    <xf numFmtId="0" fontId="1" fillId="4" borderId="53" xfId="0" applyFont="1" applyFill="1" applyBorder="1" applyAlignment="1">
      <alignment horizont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12" fillId="5" borderId="2" xfId="2" applyFont="1" applyFill="1" applyBorder="1" applyAlignment="1">
      <alignment horizontal="center" vertical="center"/>
    </xf>
    <xf numFmtId="0" fontId="12" fillId="5" borderId="3" xfId="2" applyFont="1" applyFill="1" applyBorder="1" applyAlignment="1">
      <alignment horizontal="center" vertical="center"/>
    </xf>
    <xf numFmtId="0" fontId="12" fillId="5" borderId="4" xfId="2" applyFont="1" applyFill="1" applyBorder="1" applyAlignment="1">
      <alignment horizontal="center" vertical="center"/>
    </xf>
    <xf numFmtId="0" fontId="19" fillId="5" borderId="2" xfId="2" applyFont="1" applyFill="1" applyBorder="1" applyAlignment="1">
      <alignment horizontal="center" vertical="center"/>
    </xf>
    <xf numFmtId="0" fontId="19" fillId="5" borderId="4" xfId="2" applyFont="1" applyFill="1" applyBorder="1" applyAlignment="1">
      <alignment horizontal="center" vertical="center"/>
    </xf>
    <xf numFmtId="0" fontId="19" fillId="5" borderId="5" xfId="2" applyFont="1" applyFill="1" applyBorder="1" applyAlignment="1">
      <alignment horizontal="center" vertical="center"/>
    </xf>
    <xf numFmtId="0" fontId="19" fillId="5" borderId="6" xfId="2" applyFont="1" applyFill="1" applyBorder="1" applyAlignment="1">
      <alignment horizontal="center" vertical="center"/>
    </xf>
    <xf numFmtId="0" fontId="19" fillId="5" borderId="7" xfId="2" applyFont="1" applyFill="1" applyBorder="1" applyAlignment="1">
      <alignment horizontal="center" vertical="center"/>
    </xf>
    <xf numFmtId="0" fontId="19" fillId="5" borderId="8" xfId="2" applyFont="1" applyFill="1" applyBorder="1" applyAlignment="1">
      <alignment horizontal="center" vertical="center"/>
    </xf>
    <xf numFmtId="0" fontId="18" fillId="0" borderId="5" xfId="2" applyFont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167" fontId="9" fillId="6" borderId="45" xfId="1" quotePrefix="1" applyNumberFormat="1" applyFont="1" applyFill="1" applyBorder="1" applyAlignment="1" applyProtection="1">
      <alignment horizontal="center" vertical="center" wrapText="1"/>
      <protection locked="0"/>
    </xf>
    <xf numFmtId="167" fontId="9" fillId="6" borderId="43" xfId="1" applyNumberFormat="1" applyFont="1" applyFill="1" applyBorder="1" applyAlignment="1" applyProtection="1">
      <alignment horizontal="center" vertical="center" wrapText="1"/>
      <protection locked="0"/>
    </xf>
    <xf numFmtId="167" fontId="9" fillId="6" borderId="11" xfId="1" quotePrefix="1" applyNumberFormat="1" applyFont="1" applyFill="1" applyBorder="1" applyAlignment="1" applyProtection="1">
      <alignment horizontal="center" vertical="center" wrapText="1"/>
      <protection locked="0"/>
    </xf>
    <xf numFmtId="167" fontId="9" fillId="6" borderId="11" xfId="1" applyNumberFormat="1" applyFont="1" applyFill="1" applyBorder="1" applyAlignment="1" applyProtection="1">
      <alignment horizontal="center" vertical="center" wrapText="1"/>
      <protection locked="0"/>
    </xf>
    <xf numFmtId="167" fontId="9" fillId="6" borderId="11" xfId="1" quotePrefix="1" applyNumberFormat="1" applyFont="1" applyFill="1" applyBorder="1" applyAlignment="1" applyProtection="1">
      <alignment horizontal="center" vertical="center"/>
      <protection locked="0"/>
    </xf>
    <xf numFmtId="167" fontId="9" fillId="6" borderId="11" xfId="1" applyNumberFormat="1" applyFont="1" applyFill="1" applyBorder="1" applyAlignment="1" applyProtection="1">
      <alignment horizontal="center" vertical="center"/>
      <protection locked="0"/>
    </xf>
    <xf numFmtId="165" fontId="9" fillId="6" borderId="35" xfId="1" quotePrefix="1" applyNumberFormat="1" applyFont="1" applyFill="1" applyBorder="1" applyAlignment="1" applyProtection="1">
      <alignment horizontal="center" vertical="center" wrapText="1"/>
      <protection locked="0"/>
    </xf>
    <xf numFmtId="165" fontId="9" fillId="6" borderId="0" xfId="1" quotePrefix="1" applyNumberFormat="1" applyFont="1" applyFill="1" applyBorder="1" applyAlignment="1" applyProtection="1">
      <alignment horizontal="center" vertical="center" wrapText="1"/>
      <protection locked="0"/>
    </xf>
    <xf numFmtId="0" fontId="17" fillId="5" borderId="5" xfId="2" applyFont="1" applyFill="1" applyBorder="1" applyAlignment="1">
      <alignment horizontal="center"/>
    </xf>
    <xf numFmtId="0" fontId="17" fillId="5" borderId="46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7" fillId="5" borderId="42" xfId="0" applyFont="1" applyFill="1" applyBorder="1" applyAlignment="1">
      <alignment horizontal="center"/>
    </xf>
    <xf numFmtId="0" fontId="17" fillId="5" borderId="10" xfId="0" applyFont="1" applyFill="1" applyBorder="1" applyAlignment="1">
      <alignment horizontal="center"/>
    </xf>
    <xf numFmtId="49" fontId="17" fillId="5" borderId="17" xfId="0" applyNumberFormat="1" applyFont="1" applyFill="1" applyBorder="1" applyAlignment="1">
      <alignment horizontal="center"/>
    </xf>
    <xf numFmtId="49" fontId="17" fillId="5" borderId="12" xfId="0" applyNumberFormat="1" applyFont="1" applyFill="1" applyBorder="1" applyAlignment="1">
      <alignment horizontal="center"/>
    </xf>
    <xf numFmtId="49" fontId="17" fillId="5" borderId="38" xfId="0" applyNumberFormat="1" applyFont="1" applyFill="1" applyBorder="1" applyAlignment="1">
      <alignment horizontal="center"/>
    </xf>
    <xf numFmtId="0" fontId="15" fillId="7" borderId="34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23" fillId="4" borderId="2" xfId="0" applyFont="1" applyFill="1" applyBorder="1" applyAlignment="1" applyProtection="1">
      <alignment horizontal="center" vertical="center"/>
      <protection locked="0"/>
    </xf>
    <xf numFmtId="0" fontId="23" fillId="4" borderId="5" xfId="0" applyFont="1" applyFill="1" applyBorder="1" applyAlignment="1" applyProtection="1">
      <alignment horizontal="center" vertical="center"/>
      <protection locked="0"/>
    </xf>
    <xf numFmtId="0" fontId="31" fillId="5" borderId="3" xfId="0" applyFont="1" applyFill="1" applyBorder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23" fillId="4" borderId="22" xfId="0" applyFont="1" applyFill="1" applyBorder="1" applyAlignment="1" applyProtection="1">
      <alignment horizontal="center" vertical="center"/>
      <protection locked="0"/>
    </xf>
    <xf numFmtId="0" fontId="23" fillId="4" borderId="23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11" fillId="0" borderId="27" xfId="0" applyFont="1" applyBorder="1" applyAlignment="1">
      <alignment horizontal="center"/>
    </xf>
    <xf numFmtId="0" fontId="11" fillId="0" borderId="31" xfId="0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0" fillId="2" borderId="18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8" fillId="3" borderId="18" xfId="0" applyFont="1" applyFill="1" applyBorder="1" applyAlignment="1">
      <alignment horizontal="left"/>
    </xf>
    <xf numFmtId="0" fontId="6" fillId="11" borderId="0" xfId="0" applyFont="1" applyFill="1" applyAlignment="1">
      <alignment horizontal="center"/>
    </xf>
    <xf numFmtId="1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0" fillId="6" borderId="40" xfId="0" applyFill="1" applyBorder="1" applyAlignment="1">
      <alignment horizontal="left"/>
    </xf>
    <xf numFmtId="0" fontId="0" fillId="12" borderId="15" xfId="0" applyFill="1" applyBorder="1" applyAlignment="1">
      <alignment horizontal="center"/>
    </xf>
    <xf numFmtId="0" fontId="34" fillId="4" borderId="49" xfId="0" applyFont="1" applyFill="1" applyBorder="1" applyAlignment="1">
      <alignment horizontal="center" wrapText="1"/>
    </xf>
    <xf numFmtId="0" fontId="34" fillId="4" borderId="40" xfId="0" applyFont="1" applyFill="1" applyBorder="1" applyAlignment="1">
      <alignment horizontal="center" wrapText="1"/>
    </xf>
    <xf numFmtId="0" fontId="34" fillId="4" borderId="50" xfId="0" applyFont="1" applyFill="1" applyBorder="1" applyAlignment="1">
      <alignment horizont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</cellXfs>
  <cellStyles count="6">
    <cellStyle name="Hyperlink" xfId="3" builtinId="8"/>
    <cellStyle name="Normal" xfId="0" builtinId="0"/>
    <cellStyle name="Normal 2" xfId="2" xr:uid="{7FEA7A88-46A5-B74B-AA81-FB3EC4CA90FA}"/>
    <cellStyle name="Normal 2 2" xfId="4" xr:uid="{177A10B9-3FF3-4AE9-AE6A-E6AE4733F053}"/>
    <cellStyle name="Normal 2 3" xfId="5" xr:uid="{2DBC21BF-F891-45A4-94E3-88675BF6B051}"/>
    <cellStyle name="Percent" xfId="1" builtinId="5"/>
  </cellStyles>
  <dxfs count="43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</font>
    </dxf>
    <dxf>
      <font>
        <b val="0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0BBFF"/>
      <color rgb="FF954ECA"/>
      <color rgb="FFFF40FF"/>
      <color rgb="FFA162D0"/>
      <color rgb="FFFF8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insertClear" adjustColumnWidth="0" connectionId="20" xr16:uid="{0F4EB717-A72E-F94E-B9AA-5CF44522ECAC}" autoFormatId="16" applyNumberFormats="0" applyBorderFormats="0" applyFontFormats="0" applyPatternFormats="0" applyAlignmentFormats="0" applyWidthHeightFormats="0">
  <queryTableRefresh nextId="29">
    <queryTableFields count="6">
      <queryTableField id="1" name="study_id" tableColumnId="1"/>
      <queryTableField id="24" name="study_type_description" tableColumnId="2"/>
      <queryTableField id="25" name="sort_order" tableColumnId="3"/>
      <queryTableField id="26" name="study_name" tableColumnId="4"/>
      <queryTableField id="27" name="study_acronym" tableColumnId="5"/>
      <queryTableField id="28" name="study_statu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growShrinkType="overwriteClear" adjustColumnWidth="0" connectionId="3" xr16:uid="{E4497600-64AD-6442-9825-14882CB37E2C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3" growShrinkType="overwriteClear" adjustColumnWidth="0" connectionId="5" xr16:uid="{E7F9EDD6-E79E-44B2-A70A-EB7DDD2A8CEF}" autoFormatId="16" applyNumberFormats="0" applyBorderFormats="0" applyFontFormats="0" applyPatternFormats="0" applyAlignmentFormats="0" applyWidthHeightFormats="0">
  <queryTableRefresh nextId="151">
    <queryTableFields count="22">
      <queryTableField id="2" name="ageband" tableColumnId="2"/>
      <queryTableField id="3" name="gradeband" tableColumnId="3"/>
      <queryTableField id="4" name="report" tableColumnId="4"/>
      <queryTableField id="129" name="1" tableColumnId="5"/>
      <queryTableField id="130" name="2" tableColumnId="6"/>
      <queryTableField id="131" name="3" tableColumnId="7"/>
      <queryTableField id="132" name="4" tableColumnId="8"/>
      <queryTableField id="133" name="5" tableColumnId="9"/>
      <queryTableField id="134" name="AS" tableColumnId="10"/>
      <queryTableField id="135" name="BL" tableColumnId="11"/>
      <queryTableField id="136" name="HI" tableColumnId="12"/>
      <queryTableField id="137" name="OT" tableColumnId="13"/>
      <queryTableField id="138" name="WH" tableColumnId="18"/>
      <queryTableField id="14" name="MW" tableColumnId="14"/>
      <queryTableField id="15" name="NE" tableColumnId="15"/>
      <queryTableField id="16" name="SO" tableColumnId="16"/>
      <queryTableField id="17" name="WE" tableColumnId="17"/>
      <queryTableField id="119" name="F" tableColumnId="50"/>
      <queryTableField id="120" name="M" tableColumnId="51"/>
      <queryTableField id="149" name="OTHER" tableColumnId="19"/>
      <queryTableField id="20" name="Total" tableColumnId="20"/>
      <queryTableField id="72" name="LastRefreshed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0" growShrinkType="overwriteClear" adjustColumnWidth="0" connectionId="4" xr16:uid="{6A72D58A-7941-4EDA-BED4-FAD3FA63FDC6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5" growShrinkType="overwriteClear" adjustColumnWidth="0" connectionId="1" xr16:uid="{0301F7E2-07EC-4D63-892F-328E67AA3C3A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4" growShrinkType="overwriteClear" adjustColumnWidth="0" connectionId="6" xr16:uid="{A018E00A-E03D-4172-8FAA-E1CFC56EF462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2" growShrinkType="overwriteClear" adjustColumnWidth="0" connectionId="2" xr16:uid="{4D15DB80-A622-4337-A03F-5024B1F00AEC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5" growShrinkType="overwriteClear" adjustColumnWidth="0" connectionId="9" xr16:uid="{B73B657C-5195-41DB-9DAE-90B33051353E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6" growShrinkType="overwriteClear" adjustColumnWidth="0" connectionId="19" xr16:uid="{FE8BCB3A-5AB8-49AD-92D3-C60B05D2DB2A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8" growShrinkType="overwriteClear" adjustColumnWidth="0" connectionId="7" xr16:uid="{DD7B51E4-5806-4659-94C3-75A7EE302366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9" growShrinkType="overwriteClear" adjustColumnWidth="0" connectionId="8" xr16:uid="{60DADE29-1453-4A09-BAE3-11AF6141F2C2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1" growShrinkType="overwriteClear" adjustColumnWidth="0" connectionId="14" xr16:uid="{5A59CE51-5729-46BE-9907-488133A58B5D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2" growShrinkType="overwriteClear" adjustColumnWidth="0" connectionId="15" xr16:uid="{96640F60-F508-4B7B-BD49-1E9BFB3A5FC7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3" growShrinkType="overwriteClear" adjustColumnWidth="0" connectionId="10" xr16:uid="{B1161BE5-234A-407F-B1B8-1E6F907D0883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4" growShrinkType="overwriteClear" adjustColumnWidth="0" connectionId="18" xr16:uid="{5FFE0FA3-2FF6-4103-95E5-87A63F9F2CE8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5" growShrinkType="overwriteClear" adjustColumnWidth="0" connectionId="16" xr16:uid="{68950465-7B11-42A4-A632-358C6015FCF5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6" growShrinkType="overwriteClear" adjustColumnWidth="0" connectionId="17" xr16:uid="{C9AF2B71-64A5-4537-B50A-116200B26B12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7" growShrinkType="overwriteClear" adjustColumnWidth="0" connectionId="12" xr16:uid="{DA63DE73-0F36-42F7-A3B5-80D59BA01A21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8" growShrinkType="overwriteClear" adjustColumnWidth="0" connectionId="13" xr16:uid="{3FEC5649-ED59-4380-A16D-6FCAA213DA39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0" growShrinkType="overwriteClear" adjustColumnWidth="0" connectionId="11" xr16:uid="{EE463159-1474-4880-BDAD-8B7A53596A6F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adjustColumnWidth="0" connectionId="21" xr16:uid="{CEDF06D5-7BDD-554E-8F38-A7B52A075D7D}" autoFormatId="16" applyNumberFormats="0" applyBorderFormats="0" applyFontFormats="0" applyPatternFormats="0" applyAlignmentFormats="0" applyWidthHeightFormats="0">
  <queryTableRefresh nextId="33">
    <queryTableFields count="6">
      <queryTableField id="1" name="study_id" tableColumnId="1"/>
      <queryTableField id="24" name="study" tableColumnId="2"/>
      <queryTableField id="25" name="Target" tableColumnId="3"/>
      <queryTableField id="26" name="usablecount" tableColumnId="4"/>
      <queryTableField id="27" name="Percentage" tableColumnId="5"/>
      <queryTableField id="28" name="Refreshed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C874BB-FBC6-F041-A70A-E2D6D38340CC}" name="Table_ExternalData_148" displayName="Table_ExternalData_148" ref="H15:M52" tableType="queryTable" totalsRowShown="0" headerRowDxfId="437" dataDxfId="436">
  <autoFilter ref="H15:M52" xr:uid="{6AC874BB-FBC6-F041-A70A-E2D6D38340CC}"/>
  <tableColumns count="6">
    <tableColumn id="1" xr3:uid="{61C3F18C-23B5-A242-A356-0041ED22AEBA}" uniqueName="1" name="study_id" queryTableFieldId="1" dataDxfId="435"/>
    <tableColumn id="2" xr3:uid="{CBBF5C4F-6130-B547-8AD2-2DE2699CB1C3}" uniqueName="2" name="study_type_description" queryTableFieldId="24" dataDxfId="434"/>
    <tableColumn id="3" xr3:uid="{BDD5250A-5E98-9442-87B2-69EF113F737F}" uniqueName="3" name="sort_order" queryTableFieldId="25" dataDxfId="433"/>
    <tableColumn id="4" xr3:uid="{3F7A1F2A-F419-AC47-B369-7C94A678A86E}" uniqueName="4" name="study_name" queryTableFieldId="26" dataDxfId="432"/>
    <tableColumn id="5" xr3:uid="{ACFAC623-EADC-DE42-9E18-3DCE33AABD11}" uniqueName="5" name="study_acronym" queryTableFieldId="27" dataDxfId="431"/>
    <tableColumn id="6" xr3:uid="{890E0F08-0F90-D748-B5BC-35064333F240}" uniqueName="6" name="study_status" queryTableFieldId="28" dataDxfId="4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B44C12-2882-CD4E-9A85-B7D4E67FD1AC}" name="Table_ExternalData_1453467" displayName="Table_ExternalData_1453467" ref="A231:V247" tableType="queryTable" totalsRowShown="0">
  <autoFilter ref="A231:V247" xr:uid="{6AB44C12-2882-CD4E-9A85-B7D4E67FD1AC}"/>
  <tableColumns count="22">
    <tableColumn id="2" xr3:uid="{AE0912CC-7688-974B-A602-A8E00EB727F8}" uniqueName="2" name="ageband" queryTableFieldId="2"/>
    <tableColumn id="3" xr3:uid="{917B61C6-D00D-144D-970C-88CD5BE76A15}" uniqueName="3" name="gradeband" queryTableFieldId="3"/>
    <tableColumn id="4" xr3:uid="{FC6F89F5-5F78-CC46-900A-E83711E456E1}" uniqueName="4" name="report" queryTableFieldId="4"/>
    <tableColumn id="52" xr3:uid="{6B8D6C37-926D-3A46-A3BC-816EA19AF097}" uniqueName="52" name="1" queryTableFieldId="176" dataDxfId="429"/>
    <tableColumn id="53" xr3:uid="{F5E3F2BA-595A-0749-AF0F-9932F025488C}" uniqueName="53" name="2" queryTableFieldId="177" dataDxfId="428"/>
    <tableColumn id="54" xr3:uid="{709A9253-ADFC-5E4C-921F-151944AC3EC3}" uniqueName="54" name="3" queryTableFieldId="178" dataDxfId="427"/>
    <tableColumn id="55" xr3:uid="{008C6060-633F-8541-BFD5-833B9F3B44B3}" uniqueName="55" name="4" queryTableFieldId="179" dataDxfId="426"/>
    <tableColumn id="56" xr3:uid="{8BDD153C-E023-2843-87EC-2AD3E483D89C}" uniqueName="56" name="5" queryTableFieldId="180" dataDxfId="425"/>
    <tableColumn id="67" xr3:uid="{9D2866DB-320F-4E45-9663-3916703FC530}" uniqueName="67" name="AS" queryTableFieldId="197" dataDxfId="424"/>
    <tableColumn id="68" xr3:uid="{545CED6A-0D8F-2C47-BA24-53BEB90AC374}" uniqueName="68" name="BL" queryTableFieldId="198" dataDxfId="423"/>
    <tableColumn id="69" xr3:uid="{4432ABA5-FA63-6144-9C11-D3304EF9A430}" uniqueName="69" name="HI" queryTableFieldId="199" dataDxfId="422"/>
    <tableColumn id="70" xr3:uid="{849598A7-FC04-4F49-8724-BD4A7BDB4A07}" uniqueName="70" name="OT" queryTableFieldId="200" dataDxfId="421"/>
    <tableColumn id="71" xr3:uid="{1AA4AAF0-9513-2D4A-8F58-CB68911413D9}" uniqueName="71" name="WH" queryTableFieldId="201" dataDxfId="420"/>
    <tableColumn id="14" xr3:uid="{7A5B6748-353A-DD43-BDC3-D04045EA4FC7}" uniqueName="14" name="MW" queryTableFieldId="14" dataDxfId="419"/>
    <tableColumn id="15" xr3:uid="{46D75919-A5E7-8445-BA8C-23F732E63A72}" uniqueName="15" name="NE" queryTableFieldId="15" dataDxfId="418"/>
    <tableColumn id="16" xr3:uid="{08D0275F-1040-9449-9457-CC4D12E7954D}" uniqueName="16" name="SO" queryTableFieldId="16" dataDxfId="417"/>
    <tableColumn id="17" xr3:uid="{BB43B2E3-A146-0A42-83E9-AB6D8CAE3F6F}" uniqueName="17" name="WE" queryTableFieldId="17" dataDxfId="416"/>
    <tableColumn id="72" xr3:uid="{C0EB4EDD-1EC2-B544-BDC2-FC390F6F4E34}" uniqueName="72" name="F" queryTableFieldId="202" dataDxfId="415"/>
    <tableColumn id="73" xr3:uid="{7B2EA526-8318-3945-84AA-7D3B7122ABB9}" uniqueName="73" name="M" queryTableFieldId="203" dataDxfId="414"/>
    <tableColumn id="5" xr3:uid="{F8B4D32D-ECB0-45A9-B0B1-BA49A90DF6D5}" uniqueName="5" name="OTHER" queryTableFieldId="211" dataDxfId="413"/>
    <tableColumn id="20" xr3:uid="{1CFE8D3D-891E-E740-9C80-755582F98BF4}" uniqueName="20" name="Total" queryTableFieldId="20" dataDxfId="412"/>
    <tableColumn id="1" xr3:uid="{28A4E882-3E58-0F48-8BB4-E52192656164}" uniqueName="1" name="LastRefreshed" queryTableFieldId="127" dataDxfId="4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D7BB05-1E47-4739-9714-A7D79D6C8A55}" name="Table_ExternalData_145411" displayName="Table_ExternalData_145411" ref="A3:V19" tableType="queryTable" totalsRowShown="0">
  <autoFilter ref="A3:V19" xr:uid="{1CD7BB05-1E47-4739-9714-A7D79D6C8A55}"/>
  <tableColumns count="22">
    <tableColumn id="2" xr3:uid="{5F06B3F8-D876-4EC8-BA68-C782108FAD18}" uniqueName="2" name="ageband" queryTableFieldId="2"/>
    <tableColumn id="3" xr3:uid="{EAA3611E-5742-4E23-9B35-E8179507FCF1}" uniqueName="3" name="gradeband" queryTableFieldId="3"/>
    <tableColumn id="4" xr3:uid="{2D0CBC19-5219-4C15-B730-FAF03D349366}" uniqueName="4" name="report" queryTableFieldId="4"/>
    <tableColumn id="5" xr3:uid="{2268ED9D-F5CB-4A41-81F9-3D4539BA11A0}" uniqueName="5" name="1" queryTableFieldId="129"/>
    <tableColumn id="6" xr3:uid="{2C5CAD08-7440-4911-B753-6EF7135A7EFA}" uniqueName="6" name="2" queryTableFieldId="130"/>
    <tableColumn id="7" xr3:uid="{079D9583-6A83-4468-B093-F3629D393BD4}" uniqueName="7" name="3" queryTableFieldId="131"/>
    <tableColumn id="8" xr3:uid="{668561EA-FC2E-4BD7-90EA-5A12A0653280}" uniqueName="8" name="4" queryTableFieldId="132"/>
    <tableColumn id="9" xr3:uid="{1D472BBE-B96F-44D2-9939-42EAC81F8178}" uniqueName="9" name="5" queryTableFieldId="133"/>
    <tableColumn id="10" xr3:uid="{AE61572D-786F-4A5D-851C-2194E509D10D}" uniqueName="10" name="AS" queryTableFieldId="134"/>
    <tableColumn id="11" xr3:uid="{90CF99A0-7253-4AAF-BB23-419EA5ED548F}" uniqueName="11" name="BL" queryTableFieldId="135"/>
    <tableColumn id="12" xr3:uid="{37E3006E-7E33-4125-B47B-B3474021CEE4}" uniqueName="12" name="HI" queryTableFieldId="136"/>
    <tableColumn id="13" xr3:uid="{0236CE55-123E-470A-A8E3-9BD49752592F}" uniqueName="13" name="OT" queryTableFieldId="137"/>
    <tableColumn id="18" xr3:uid="{1C64A35B-4F10-456F-B056-8682F20A75E7}" uniqueName="18" name="WH" queryTableFieldId="138"/>
    <tableColumn id="14" xr3:uid="{C144D4BC-5158-4FCE-8D99-3511834CF983}" uniqueName="14" name="MW" queryTableFieldId="14"/>
    <tableColumn id="15" xr3:uid="{FB378010-00C5-48D1-8D10-D4646BA85F8B}" uniqueName="15" name="NE" queryTableFieldId="15"/>
    <tableColumn id="16" xr3:uid="{8F01A24D-8D2D-457B-9113-0D0A780432C3}" uniqueName="16" name="SO" queryTableFieldId="16"/>
    <tableColumn id="17" xr3:uid="{05577540-7AB0-4B2A-BB63-B9433A1F8D6D}" uniqueName="17" name="WE" queryTableFieldId="17"/>
    <tableColumn id="50" xr3:uid="{44D3A7C1-749C-48BD-B385-7A5196BC5233}" uniqueName="50" name="F" queryTableFieldId="119"/>
    <tableColumn id="51" xr3:uid="{19CDB2FF-CEF7-4DE9-875C-57470C3385AE}" uniqueName="51" name="M" queryTableFieldId="120"/>
    <tableColumn id="19" xr3:uid="{47976B00-7EAC-495A-9907-F4AB5159CA43}" uniqueName="19" name="OTHER" queryTableFieldId="149"/>
    <tableColumn id="20" xr3:uid="{786733AD-3C70-4AD8-BC80-382CD431A4E7}" uniqueName="20" name="Total" queryTableFieldId="20"/>
    <tableColumn id="1" xr3:uid="{CD4C0BF6-7FBB-4881-BD51-70ABC7EE9839}" uniqueName="1" name="LastRefreshed" queryTableFieldId="7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4E858D1-52D4-4BFC-8E0E-D98C16CF473D}" name="Table_ExternalData_1453467625" displayName="Table_ExternalData_1453467625" ref="A331:V347" tableType="queryTable" totalsRowShown="0">
  <autoFilter ref="A331:V347" xr:uid="{C4E858D1-52D4-4BFC-8E0E-D98C16CF473D}"/>
  <tableColumns count="22">
    <tableColumn id="2" xr3:uid="{9F0AA1D7-AC74-4B88-9950-0463576CE78E}" uniqueName="2" name="ageband" queryTableFieldId="2"/>
    <tableColumn id="3" xr3:uid="{5E2A4F68-5875-42BF-9D87-A22107152C09}" uniqueName="3" name="gradeband" queryTableFieldId="3"/>
    <tableColumn id="4" xr3:uid="{B325F970-8DF5-459C-8A6B-643BB4FCA2BF}" uniqueName="4" name="report" queryTableFieldId="4"/>
    <tableColumn id="52" xr3:uid="{06DDB761-C76F-4CCD-ADEE-5D3B5E4B9C31}" uniqueName="52" name="1" queryTableFieldId="176" dataDxfId="410" totalsRowDxfId="409"/>
    <tableColumn id="53" xr3:uid="{0717C322-19EE-49E4-B4DC-5A9272098019}" uniqueName="53" name="2" queryTableFieldId="177" dataDxfId="408" totalsRowDxfId="407"/>
    <tableColumn id="54" xr3:uid="{C9BAD901-2324-49F7-8271-05EFE5828A74}" uniqueName="54" name="3" queryTableFieldId="178" dataDxfId="406" totalsRowDxfId="405"/>
    <tableColumn id="55" xr3:uid="{74C48570-FA6F-44BC-803D-B1EE87202971}" uniqueName="55" name="4" queryTableFieldId="179" dataDxfId="404" totalsRowDxfId="403"/>
    <tableColumn id="56" xr3:uid="{6F360C5C-9E59-4A77-B111-EAC55BAD9939}" uniqueName="56" name="5" queryTableFieldId="180" dataDxfId="402" totalsRowDxfId="401"/>
    <tableColumn id="67" xr3:uid="{77BD0E3D-2284-43AB-AD81-18DCDC75BD48}" uniqueName="67" name="AS" queryTableFieldId="197" dataDxfId="400" totalsRowDxfId="399"/>
    <tableColumn id="68" xr3:uid="{4E00A710-C8A1-4ADC-9A31-3D68464F7341}" uniqueName="68" name="BL" queryTableFieldId="198" dataDxfId="398" totalsRowDxfId="397"/>
    <tableColumn id="69" xr3:uid="{083FA821-C9CA-42CF-81B8-D8F67DBD0B4D}" uniqueName="69" name="HI" queryTableFieldId="199" dataDxfId="396" totalsRowDxfId="395"/>
    <tableColumn id="70" xr3:uid="{2D37F3DA-073B-409B-87EA-4DCD06B23ACD}" uniqueName="70" name="OT" queryTableFieldId="200" dataDxfId="394" totalsRowDxfId="393"/>
    <tableColumn id="71" xr3:uid="{D9D31D0B-69E1-4013-A243-FA111B02190A}" uniqueName="71" name="WH" queryTableFieldId="201" dataDxfId="392" totalsRowDxfId="391"/>
    <tableColumn id="14" xr3:uid="{BDA8CA1C-A586-4B4F-8091-C6600319A7AD}" uniqueName="14" name="MW" queryTableFieldId="14" dataDxfId="390" totalsRowDxfId="389"/>
    <tableColumn id="15" xr3:uid="{9B5E2070-D085-4E46-8CC3-0B1D24D549CA}" uniqueName="15" name="NE" queryTableFieldId="15" dataDxfId="388" totalsRowDxfId="387"/>
    <tableColumn id="16" xr3:uid="{CED53F2B-A545-4F86-8018-525999BF0415}" uniqueName="16" name="SO" queryTableFieldId="16" dataDxfId="386" totalsRowDxfId="385"/>
    <tableColumn id="17" xr3:uid="{E320C0CA-2188-41AD-98BC-F2B968F72DFF}" uniqueName="17" name="WE" queryTableFieldId="17" dataDxfId="384" totalsRowDxfId="383"/>
    <tableColumn id="72" xr3:uid="{CD2EAF78-ECF4-4EC3-9D6D-8A7AA608DAA5}" uniqueName="72" name="F" queryTableFieldId="202" dataDxfId="382" totalsRowDxfId="381"/>
    <tableColumn id="73" xr3:uid="{20B8E24B-09B4-49FC-B77F-4C2B4421874A}" uniqueName="73" name="M" queryTableFieldId="203" dataDxfId="380" totalsRowDxfId="379"/>
    <tableColumn id="5" xr3:uid="{3DD767B7-F436-4945-861A-E8A940E3379D}" uniqueName="5" name="OTHER" queryTableFieldId="211" dataDxfId="378" totalsRowDxfId="377"/>
    <tableColumn id="20" xr3:uid="{06A96F92-E01A-46EB-B49C-9172A7D19C28}" uniqueName="20" name="Total" queryTableFieldId="20" dataDxfId="376" totalsRowDxfId="375"/>
    <tableColumn id="1" xr3:uid="{AFF07906-B87B-4314-9607-930A13FD35A8}" uniqueName="1" name="LastRefreshed" queryTableFieldId="127" dataDxfId="37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FED9C73-21E9-48E0-BA0A-71C65DC585FC}" name="Table_ExternalData_145346762641" displayName="Table_ExternalData_145346762641" ref="A431:V447" tableType="queryTable" totalsRowShown="0">
  <autoFilter ref="A431:V447" xr:uid="{8FED9C73-21E9-48E0-BA0A-71C65DC585FC}"/>
  <tableColumns count="22">
    <tableColumn id="2" xr3:uid="{DB0C311B-065D-4F6B-9484-569CC69062E0}" uniqueName="2" name="ageband" queryTableFieldId="2"/>
    <tableColumn id="3" xr3:uid="{591F97CB-D877-4147-A24A-F60E69D4C633}" uniqueName="3" name="gradeband" queryTableFieldId="3"/>
    <tableColumn id="4" xr3:uid="{ADF3CAEE-5697-4F97-9457-ABE619371094}" uniqueName="4" name="report" queryTableFieldId="4"/>
    <tableColumn id="52" xr3:uid="{F3A0997A-64BF-425B-B069-BD7C344542BC}" uniqueName="52" name="1" queryTableFieldId="176" dataDxfId="373"/>
    <tableColumn id="53" xr3:uid="{93C4C8F4-3C05-4703-B9D6-6B655605F980}" uniqueName="53" name="2" queryTableFieldId="177" dataDxfId="372"/>
    <tableColumn id="54" xr3:uid="{8502F203-7D6A-40B0-8D4A-DBFF8B043E7E}" uniqueName="54" name="3" queryTableFieldId="178" dataDxfId="371"/>
    <tableColumn id="55" xr3:uid="{6A6F5A17-AC79-4CBE-9EAC-98B0EECD0C8A}" uniqueName="55" name="4" queryTableFieldId="179" dataDxfId="370"/>
    <tableColumn id="56" xr3:uid="{E55504DA-4B6F-4057-9570-E6A87B11D5A9}" uniqueName="56" name="5" queryTableFieldId="180" dataDxfId="369"/>
    <tableColumn id="67" xr3:uid="{4A9008A4-51BD-4C0A-AF38-BF1E2E2FF8EC}" uniqueName="67" name="AS" queryTableFieldId="197" dataDxfId="368"/>
    <tableColumn id="68" xr3:uid="{A49F3443-6EE9-4E8F-993F-CE2B31B28A1E}" uniqueName="68" name="BL" queryTableFieldId="198" dataDxfId="367"/>
    <tableColumn id="69" xr3:uid="{60ABFAF1-32F7-4F5C-B428-3FE2D1CEB517}" uniqueName="69" name="HI" queryTableFieldId="199" dataDxfId="366"/>
    <tableColumn id="70" xr3:uid="{CC139C96-4877-4D11-B60E-85949B520654}" uniqueName="70" name="OT" queryTableFieldId="200" dataDxfId="365"/>
    <tableColumn id="71" xr3:uid="{0DF9AD5F-330E-458D-BDBA-03EDDB11FDD4}" uniqueName="71" name="WH" queryTableFieldId="201" dataDxfId="364"/>
    <tableColumn id="14" xr3:uid="{759F4341-5EC1-4ADA-B613-C63AEE6D0B1D}" uniqueName="14" name="MW" queryTableFieldId="14" dataDxfId="363"/>
    <tableColumn id="15" xr3:uid="{E93BEC63-E16D-4AD3-BCD7-6CAFC4B1147A}" uniqueName="15" name="NE" queryTableFieldId="15" dataDxfId="362"/>
    <tableColumn id="16" xr3:uid="{B333536F-3464-4C42-B4AD-2926585201C2}" uniqueName="16" name="SO" queryTableFieldId="16" dataDxfId="361"/>
    <tableColumn id="17" xr3:uid="{B62D9600-3ABA-4137-A69B-02D120C1F331}" uniqueName="17" name="WE" queryTableFieldId="17" dataDxfId="360"/>
    <tableColumn id="72" xr3:uid="{E70F6818-D741-47DC-A4EF-12E2D38D6332}" uniqueName="72" name="F" queryTableFieldId="202" dataDxfId="359"/>
    <tableColumn id="73" xr3:uid="{E2B3321D-3355-4694-8C04-A6E1B075DF5E}" uniqueName="73" name="M" queryTableFieldId="203" dataDxfId="358"/>
    <tableColumn id="5" xr3:uid="{50A57F86-169C-4DAA-8CA3-4A0890C97343}" uniqueName="5" name="OTHER" queryTableFieldId="211" dataDxfId="357"/>
    <tableColumn id="20" xr3:uid="{D787E23A-41BC-4738-BD51-CC8642C21B7E}" uniqueName="20" name="Total" queryTableFieldId="20" dataDxfId="356"/>
    <tableColumn id="1" xr3:uid="{B7ADB340-FF41-4174-A6EA-D979BC4E2559}" uniqueName="1" name="LastRefreshed" queryTableFieldId="127" dataDxfId="35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84EFD539-452E-4B29-BC60-7635B064969E}" name="Table_ExternalData_145346791011242" displayName="Table_ExternalData_145346791011242" ref="A131:V147" tableType="queryTable" totalsRowShown="0">
  <autoFilter ref="A131:V147" xr:uid="{84EFD539-452E-4B29-BC60-7635B064969E}"/>
  <tableColumns count="22">
    <tableColumn id="2" xr3:uid="{E4C2EDEE-17C0-49D9-B390-D6A7F758BFA4}" uniqueName="2" name="ageband" queryTableFieldId="2"/>
    <tableColumn id="3" xr3:uid="{506D4403-CD84-4C45-9E36-817CFFB88F22}" uniqueName="3" name="gradeband" queryTableFieldId="3"/>
    <tableColumn id="4" xr3:uid="{4856830C-9CA8-44BD-8E4D-13B574654A22}" uniqueName="4" name="report" queryTableFieldId="4"/>
    <tableColumn id="52" xr3:uid="{BA75F067-C909-4E8E-8A00-C337883116DF}" uniqueName="52" name="1" queryTableFieldId="176" dataDxfId="354"/>
    <tableColumn id="53" xr3:uid="{0A0588F6-328F-43E5-9C22-C22161CC83B9}" uniqueName="53" name="2" queryTableFieldId="177" dataDxfId="353"/>
    <tableColumn id="54" xr3:uid="{CA0FFE8C-5AC5-4139-95F6-FACD7FC65972}" uniqueName="54" name="3" queryTableFieldId="178" dataDxfId="352"/>
    <tableColumn id="55" xr3:uid="{182DA66A-FC1A-4497-B87A-7CD0D2CF9CEC}" uniqueName="55" name="4" queryTableFieldId="179" dataDxfId="351"/>
    <tableColumn id="56" xr3:uid="{F17A8289-C181-4C40-BED1-D202BA894901}" uniqueName="56" name="5" queryTableFieldId="180" dataDxfId="350"/>
    <tableColumn id="67" xr3:uid="{E82C7657-18DA-41D5-B9F4-A112A610CF63}" uniqueName="67" name="AS" queryTableFieldId="197" dataDxfId="349"/>
    <tableColumn id="68" xr3:uid="{BAA53B5B-4EE2-4E58-B061-19ED1CF98A88}" uniqueName="68" name="BL" queryTableFieldId="198" dataDxfId="348"/>
    <tableColumn id="69" xr3:uid="{1F1CCFAD-2631-4382-B512-9DAFAAC0C8A4}" uniqueName="69" name="HI" queryTableFieldId="199" dataDxfId="347"/>
    <tableColumn id="70" xr3:uid="{EC944D84-2446-4086-AA8C-68FBA23FA936}" uniqueName="70" name="OT" queryTableFieldId="200" dataDxfId="346"/>
    <tableColumn id="71" xr3:uid="{5E471B0C-3651-4417-9C8C-1650696115AC}" uniqueName="71" name="WH" queryTableFieldId="201" dataDxfId="345"/>
    <tableColumn id="14" xr3:uid="{134602FA-A199-4DDD-890F-A7552DF33A28}" uniqueName="14" name="MW" queryTableFieldId="14" dataDxfId="344"/>
    <tableColumn id="15" xr3:uid="{EC14D1C7-81BD-402B-92BC-4E015EBCA664}" uniqueName="15" name="NE" queryTableFieldId="15" dataDxfId="343"/>
    <tableColumn id="16" xr3:uid="{D6A2D7FE-E6E5-4FE1-A79F-1F6B5ED677CA}" uniqueName="16" name="SO" queryTableFieldId="16" dataDxfId="342"/>
    <tableColumn id="17" xr3:uid="{5637EAA7-2F6C-4C0D-B77C-C96C6F4E4E31}" uniqueName="17" name="WE" queryTableFieldId="17" dataDxfId="341"/>
    <tableColumn id="72" xr3:uid="{430C3422-8090-452A-BC8B-D49D794C6103}" uniqueName="72" name="F" queryTableFieldId="202" dataDxfId="340"/>
    <tableColumn id="73" xr3:uid="{E268C1F8-D216-4AC0-849F-9431B9182CD1}" uniqueName="73" name="M" queryTableFieldId="203" dataDxfId="339"/>
    <tableColumn id="5" xr3:uid="{C404DD3E-F8EF-4965-A798-5290E9450E25}" uniqueName="5" name="OTHER" queryTableFieldId="211" dataDxfId="338"/>
    <tableColumn id="20" xr3:uid="{7AD460E0-016A-40FD-9FFF-12197CC26C1B}" uniqueName="20" name="Total" queryTableFieldId="20" dataDxfId="337"/>
    <tableColumn id="1" xr3:uid="{D4BC5D01-EDAE-4102-83B6-388A2D7CAA04}" uniqueName="1" name="LastRefreshed" queryTableFieldId="127" dataDxfId="33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EF7566-FE2C-46F6-8626-FCA241AE56DD}" name="Table_ExternalData_1453467626413" displayName="Table_ExternalData_1453467626413" ref="A531:V547" tableType="queryTable" totalsRowShown="0">
  <autoFilter ref="A531:V547" xr:uid="{E9EF7566-FE2C-46F6-8626-FCA241AE56DD}"/>
  <tableColumns count="22">
    <tableColumn id="2" xr3:uid="{57669314-9E2C-4885-A948-7402FD2126E0}" uniqueName="2" name="ageband" queryTableFieldId="2"/>
    <tableColumn id="3" xr3:uid="{F66D1420-D1CE-40B1-86F7-71B79B87D1C0}" uniqueName="3" name="gradeband" queryTableFieldId="3"/>
    <tableColumn id="4" xr3:uid="{D0197032-8B89-4329-A881-0693544C886A}" uniqueName="4" name="report" queryTableFieldId="4"/>
    <tableColumn id="52" xr3:uid="{D400BB6F-4085-4576-ACA2-03EA9E932211}" uniqueName="52" name="1" queryTableFieldId="176" dataDxfId="335"/>
    <tableColumn id="53" xr3:uid="{2BBE483F-2290-4581-AB18-C86EC074F9C5}" uniqueName="53" name="2" queryTableFieldId="177" dataDxfId="334"/>
    <tableColumn id="54" xr3:uid="{B051314B-264B-4AF8-BCED-750AC9664E27}" uniqueName="54" name="3" queryTableFieldId="178" dataDxfId="333"/>
    <tableColumn id="55" xr3:uid="{125D1E2F-E1DF-45E8-8EDE-340FFDDB8D6A}" uniqueName="55" name="4" queryTableFieldId="179" dataDxfId="332"/>
    <tableColumn id="56" xr3:uid="{0C753F5E-02A6-4111-B61B-424F4F155685}" uniqueName="56" name="5" queryTableFieldId="180" dataDxfId="331"/>
    <tableColumn id="67" xr3:uid="{1E9E9D15-4F29-4C1F-836B-43AF543CECD8}" uniqueName="67" name="AS" queryTableFieldId="197" dataDxfId="330"/>
    <tableColumn id="68" xr3:uid="{77D20A9C-93A5-4BF9-BAE6-F898E5CC24A1}" uniqueName="68" name="BL" queryTableFieldId="198" dataDxfId="329"/>
    <tableColumn id="69" xr3:uid="{98FCDD40-E08F-402D-813A-975D2FE9F7C0}" uniqueName="69" name="HI" queryTableFieldId="199" dataDxfId="328"/>
    <tableColumn id="70" xr3:uid="{8582F0D4-D150-4AC2-9DDB-E3A368D39D9A}" uniqueName="70" name="OT" queryTableFieldId="200" dataDxfId="327"/>
    <tableColumn id="71" xr3:uid="{B877C1CD-0A49-4EB2-A5EA-9232C85DD95F}" uniqueName="71" name="WH" queryTableFieldId="201" dataDxfId="326"/>
    <tableColumn id="14" xr3:uid="{1CDE0161-1013-46E9-BF44-B6C5A2735A8F}" uniqueName="14" name="MW" queryTableFieldId="14" dataDxfId="325"/>
    <tableColumn id="15" xr3:uid="{4AF2227A-6709-4A05-900E-7290AD669305}" uniqueName="15" name="NE" queryTableFieldId="15" dataDxfId="324"/>
    <tableColumn id="16" xr3:uid="{7238B02F-07E6-4B65-82E1-962F95681FF3}" uniqueName="16" name="SO" queryTableFieldId="16" dataDxfId="323"/>
    <tableColumn id="17" xr3:uid="{4EBE5CF8-9849-497E-A33B-B67BEFD8070F}" uniqueName="17" name="WE" queryTableFieldId="17" dataDxfId="322"/>
    <tableColumn id="72" xr3:uid="{00296BF3-61A0-4893-8FF5-7A8E3C5EF22E}" uniqueName="72" name="F" queryTableFieldId="202" dataDxfId="321"/>
    <tableColumn id="73" xr3:uid="{8F6AD7B8-9DA1-40C1-B547-AC05780E23CD}" uniqueName="73" name="M" queryTableFieldId="203" dataDxfId="320"/>
    <tableColumn id="5" xr3:uid="{4BFE8B3C-F54C-4653-870A-3064C21B2DEC}" uniqueName="5" name="OTHER" queryTableFieldId="211" dataDxfId="319"/>
    <tableColumn id="20" xr3:uid="{983F243D-04B2-44C9-B324-1023A4D282F8}" uniqueName="20" name="Total" queryTableFieldId="20" dataDxfId="318"/>
    <tableColumn id="1" xr3:uid="{B49BCB29-928F-433B-BEAE-7809D829296E}" uniqueName="1" name="LastRefreshed" queryTableFieldId="127" dataDxfId="3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DF633-B995-4528-8DC1-80133186824A}" name="Table_ExternalData_1453467626413592" displayName="Table_ExternalData_1453467626413592" ref="A1031:V1047" tableType="queryTable" totalsRowShown="0">
  <autoFilter ref="A1031:V1047" xr:uid="{62FDF633-B995-4528-8DC1-80133186824A}"/>
  <tableColumns count="22">
    <tableColumn id="2" xr3:uid="{A7CF4100-40DC-4088-AADA-08F1F345C0CC}" uniqueName="2" name="ageband" queryTableFieldId="2"/>
    <tableColumn id="3" xr3:uid="{AEF897E5-6B3A-4408-8657-528FA4822519}" uniqueName="3" name="gradeband" queryTableFieldId="3"/>
    <tableColumn id="4" xr3:uid="{9F211E08-7324-4C87-90E9-4864BF3BBBB1}" uniqueName="4" name="report" queryTableFieldId="4"/>
    <tableColumn id="52" xr3:uid="{BCA76436-CBB6-4634-A00A-766CE49B6432}" uniqueName="52" name="1" queryTableFieldId="176" dataDxfId="316"/>
    <tableColumn id="53" xr3:uid="{1DAC0677-6415-4510-9D70-0415F63049C7}" uniqueName="53" name="2" queryTableFieldId="177" dataDxfId="315"/>
    <tableColumn id="54" xr3:uid="{A76242FE-4839-41B5-82DF-BDD6044A9E10}" uniqueName="54" name="3" queryTableFieldId="178" dataDxfId="314"/>
    <tableColumn id="55" xr3:uid="{7E8A67A5-460A-4E0F-BA96-02EECE07CB78}" uniqueName="55" name="4" queryTableFieldId="179" dataDxfId="313"/>
    <tableColumn id="56" xr3:uid="{19F04624-6D25-4756-B874-275951E0A842}" uniqueName="56" name="5" queryTableFieldId="180" dataDxfId="312"/>
    <tableColumn id="67" xr3:uid="{54AA362B-1B57-45C2-A120-C65C969F7097}" uniqueName="67" name="AS" queryTableFieldId="197" dataDxfId="311"/>
    <tableColumn id="68" xr3:uid="{0303CA8E-0B86-46E2-AF88-4F752E4524AB}" uniqueName="68" name="BL" queryTableFieldId="198" dataDxfId="310"/>
    <tableColumn id="69" xr3:uid="{476CF160-BBD7-4ABF-9B7E-8E023823B975}" uniqueName="69" name="HI" queryTableFieldId="199" dataDxfId="309"/>
    <tableColumn id="70" xr3:uid="{1216D0C0-5BD8-432F-8E09-492DB789DB2B}" uniqueName="70" name="OT" queryTableFieldId="200" dataDxfId="308"/>
    <tableColumn id="71" xr3:uid="{DBFD0241-E2A0-4AAF-BE0D-A16958F9476C}" uniqueName="71" name="WH" queryTableFieldId="201" dataDxfId="307"/>
    <tableColumn id="14" xr3:uid="{48A40059-D4E0-48F6-B567-BE1AD04C1088}" uniqueName="14" name="MW" queryTableFieldId="14" dataDxfId="306"/>
    <tableColumn id="15" xr3:uid="{97B5465C-8D00-4593-83A3-98CE0AE9266E}" uniqueName="15" name="NE" queryTableFieldId="15" dataDxfId="305"/>
    <tableColumn id="16" xr3:uid="{B9BBA25B-AFEF-4958-9951-4365F4F1B4FB}" uniqueName="16" name="SO" queryTableFieldId="16" dataDxfId="304"/>
    <tableColumn id="17" xr3:uid="{A21B30E8-DBB8-4AB8-BCC1-E46453E518AE}" uniqueName="17" name="WE" queryTableFieldId="17" dataDxfId="303"/>
    <tableColumn id="72" xr3:uid="{2BE44019-DAF4-4773-AFDF-4A4A1C9D90FC}" uniqueName="72" name="F" queryTableFieldId="202" dataDxfId="302"/>
    <tableColumn id="73" xr3:uid="{316BE6DE-0455-4F0B-B60D-5EFCA820AFD7}" uniqueName="73" name="M" queryTableFieldId="203" dataDxfId="301"/>
    <tableColumn id="5" xr3:uid="{E76F6725-7CF8-4EEF-B5F2-475946EDAD47}" uniqueName="5" name="OTHER" queryTableFieldId="211" dataDxfId="300"/>
    <tableColumn id="20" xr3:uid="{E1CFAF46-A494-42D4-87FA-5AD4631132E8}" uniqueName="20" name="Total" queryTableFieldId="20" dataDxfId="299"/>
    <tableColumn id="1" xr3:uid="{C586A8D2-883F-45CB-9271-13BA1E63981C}" uniqueName="1" name="LastRefreshed" queryTableFieldId="127" dataDxfId="29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6771823-FB3C-44B5-95A7-59577715B111}" name="Table_ExternalData_14534676264135924" displayName="Table_ExternalData_14534676264135924" ref="A1331:V1355" tableType="queryTable" totalsRowShown="0">
  <autoFilter ref="A1331:V1355" xr:uid="{76771823-FB3C-44B5-95A7-59577715B111}"/>
  <tableColumns count="22">
    <tableColumn id="2" xr3:uid="{7E188E6D-511F-4F3E-AF7C-B2AB0010BF76}" uniqueName="2" name="ageband" queryTableFieldId="2"/>
    <tableColumn id="3" xr3:uid="{44ECBC1D-D2EA-4C0E-BC47-84ACC8021CD5}" uniqueName="3" name="gradeband" queryTableFieldId="3"/>
    <tableColumn id="4" xr3:uid="{B9AB7FBC-D556-4C73-9586-05B3DD308E8B}" uniqueName="4" name="report" queryTableFieldId="4"/>
    <tableColumn id="52" xr3:uid="{0005E3CB-AD24-4940-B509-F4D9012CC2A8}" uniqueName="52" name="1" queryTableFieldId="176" dataDxfId="297"/>
    <tableColumn id="53" xr3:uid="{352A3F35-C138-48F0-8012-2AAEE5014017}" uniqueName="53" name="2" queryTableFieldId="177" dataDxfId="296"/>
    <tableColumn id="54" xr3:uid="{8D35A67A-C83C-444E-BBBE-2AC0122E4570}" uniqueName="54" name="3" queryTableFieldId="178" dataDxfId="295"/>
    <tableColumn id="55" xr3:uid="{51BE460E-D3EA-4784-BE3F-819922390909}" uniqueName="55" name="4" queryTableFieldId="179" dataDxfId="294"/>
    <tableColumn id="56" xr3:uid="{FCCA61C6-B6BE-4F8A-BBA3-DC94CDB19917}" uniqueName="56" name="5" queryTableFieldId="180" dataDxfId="293"/>
    <tableColumn id="67" xr3:uid="{A8512304-96D1-43A4-8325-B60D11630890}" uniqueName="67" name="AS" queryTableFieldId="197" dataDxfId="292"/>
    <tableColumn id="68" xr3:uid="{79B273B8-91C7-4F0F-872F-A61753D02189}" uniqueName="68" name="BL" queryTableFieldId="198" dataDxfId="291"/>
    <tableColumn id="69" xr3:uid="{6BCC9CE3-BD59-408D-B142-BF4E2E936571}" uniqueName="69" name="HI" queryTableFieldId="199" dataDxfId="290"/>
    <tableColumn id="70" xr3:uid="{3BA7728E-52CC-417F-B5EC-A08E7E0D9256}" uniqueName="70" name="OT" queryTableFieldId="200" dataDxfId="289"/>
    <tableColumn id="71" xr3:uid="{F45AA27C-0D94-4540-B944-B845B4F72AAC}" uniqueName="71" name="WH" queryTableFieldId="201" dataDxfId="288"/>
    <tableColumn id="14" xr3:uid="{514434D7-E1C5-4A9A-B3B6-5A7F2D9AF0F2}" uniqueName="14" name="MW" queryTableFieldId="14" dataDxfId="287"/>
    <tableColumn id="15" xr3:uid="{7FC41B82-E844-476E-9526-241902F0D7AB}" uniqueName="15" name="NE" queryTableFieldId="15" dataDxfId="286"/>
    <tableColumn id="16" xr3:uid="{DD31A9BA-3845-4EFA-990F-CD4DA28453EE}" uniqueName="16" name="SO" queryTableFieldId="16" dataDxfId="285"/>
    <tableColumn id="17" xr3:uid="{5FC7B390-1663-420C-B86F-D64A83FA76A3}" uniqueName="17" name="WE" queryTableFieldId="17" dataDxfId="284"/>
    <tableColumn id="72" xr3:uid="{C65B24C1-2C55-4F44-8371-0E92B515D59C}" uniqueName="72" name="F" queryTableFieldId="202" dataDxfId="283"/>
    <tableColumn id="73" xr3:uid="{BDAF3118-2BB6-43CD-89BE-BCFA3E174B67}" uniqueName="73" name="M" queryTableFieldId="203" dataDxfId="282"/>
    <tableColumn id="5" xr3:uid="{793E4005-A011-4292-A831-DEB0BBD93156}" uniqueName="5" name="OTHER" queryTableFieldId="211" dataDxfId="281"/>
    <tableColumn id="20" xr3:uid="{ADF7F27B-05E5-4E72-ADA2-BB24B2ECE24D}" uniqueName="20" name="Total" queryTableFieldId="20" dataDxfId="280"/>
    <tableColumn id="1" xr3:uid="{ABBB4752-036F-4FCA-B67F-88B3A18E8498}" uniqueName="1" name="LastRefreshed" queryTableFieldId="127" dataDxfId="27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8E9020-D334-41DD-8684-4E81503BC868}" name="Table_ExternalData_14534676264135" displayName="Table_ExternalData_14534676264135" ref="A631:V647" tableType="queryTable" totalsRowShown="0">
  <autoFilter ref="A631:V647" xr:uid="{2C8E9020-D334-41DD-8684-4E81503BC868}"/>
  <tableColumns count="22">
    <tableColumn id="2" xr3:uid="{F29F4FCB-164B-4023-BFC1-50777A58F1F0}" uniqueName="2" name="ageband" queryTableFieldId="2"/>
    <tableColumn id="3" xr3:uid="{498031A7-02DA-42E9-8FBE-044159058DE8}" uniqueName="3" name="gradeband" queryTableFieldId="3"/>
    <tableColumn id="4" xr3:uid="{C8A94E81-DA20-42FA-8CCC-46FA21A9DC7F}" uniqueName="4" name="report" queryTableFieldId="4"/>
    <tableColumn id="52" xr3:uid="{76A329A6-8AB4-4575-8837-BCDAC1A76506}" uniqueName="52" name="1" queryTableFieldId="176" dataDxfId="278"/>
    <tableColumn id="53" xr3:uid="{4512579B-7674-4626-91C3-A7CA2E21207B}" uniqueName="53" name="2" queryTableFieldId="177" dataDxfId="277"/>
    <tableColumn id="54" xr3:uid="{54AE0D31-364B-4AD9-A379-846D80743632}" uniqueName="54" name="3" queryTableFieldId="178" dataDxfId="276"/>
    <tableColumn id="55" xr3:uid="{CB28D896-C231-43A8-BDC2-1B8C5FA0AFCF}" uniqueName="55" name="4" queryTableFieldId="179" dataDxfId="275"/>
    <tableColumn id="56" xr3:uid="{3C398D46-EAF7-4909-8D26-A68985E48B57}" uniqueName="56" name="5" queryTableFieldId="180" dataDxfId="274"/>
    <tableColumn id="67" xr3:uid="{76CB1862-CF3D-40E4-A417-FE96D8F0E0BC}" uniqueName="67" name="AS" queryTableFieldId="197" dataDxfId="273"/>
    <tableColumn id="68" xr3:uid="{A9903651-FFA1-49BC-8241-6368E99D556D}" uniqueName="68" name="BL" queryTableFieldId="198" dataDxfId="272"/>
    <tableColumn id="69" xr3:uid="{D70EAE82-C80A-4FA0-BF9A-0392B52E4FAB}" uniqueName="69" name="HI" queryTableFieldId="199" dataDxfId="271"/>
    <tableColumn id="70" xr3:uid="{9FFF87EC-B2E1-46B2-9792-0E7A5BB2BF9B}" uniqueName="70" name="OT" queryTableFieldId="200" dataDxfId="270"/>
    <tableColumn id="71" xr3:uid="{AECF2542-B137-4FD8-89D0-8FE27BDDAD7A}" uniqueName="71" name="WH" queryTableFieldId="201" dataDxfId="269"/>
    <tableColumn id="14" xr3:uid="{583EA337-8B0A-4932-A9DF-8DEDCBABC190}" uniqueName="14" name="MW" queryTableFieldId="14" dataDxfId="268"/>
    <tableColumn id="15" xr3:uid="{3AE4C5A2-E797-4361-B5E3-3F6722C1BE83}" uniqueName="15" name="NE" queryTableFieldId="15" dataDxfId="267"/>
    <tableColumn id="16" xr3:uid="{40D4A435-7184-465C-96C1-37902AD92B5D}" uniqueName="16" name="SO" queryTableFieldId="16" dataDxfId="266"/>
    <tableColumn id="17" xr3:uid="{25C2D561-5E99-4D27-8E2F-551A542B08CA}" uniqueName="17" name="WE" queryTableFieldId="17" dataDxfId="265"/>
    <tableColumn id="72" xr3:uid="{A7266A68-117D-49FC-B720-C293F0A0445F}" uniqueName="72" name="F" queryTableFieldId="202" dataDxfId="264"/>
    <tableColumn id="73" xr3:uid="{49C01209-590C-416C-B285-C836F2FA3A98}" uniqueName="73" name="M" queryTableFieldId="203" dataDxfId="263"/>
    <tableColumn id="5" xr3:uid="{B195DAC7-4F26-40BA-916B-134496686541}" uniqueName="5" name="OTHER" queryTableFieldId="211" dataDxfId="262"/>
    <tableColumn id="20" xr3:uid="{EAC26637-50B7-4583-8A9B-55DE24406EF0}" uniqueName="20" name="Total" queryTableFieldId="20" dataDxfId="261"/>
    <tableColumn id="1" xr3:uid="{3F167908-4DC4-4DE2-8078-FC1020F3C943}" uniqueName="1" name="LastRefreshed" queryTableFieldId="127" dataDxfId="26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9E689C-E346-411F-AE7C-F0AD704C4779}" name="Table_ExternalData_145346762641359" displayName="Table_ExternalData_145346762641359" ref="A731:V747" tableType="queryTable" totalsRowShown="0">
  <autoFilter ref="A731:V747" xr:uid="{D29E689C-E346-411F-AE7C-F0AD704C4779}"/>
  <tableColumns count="22">
    <tableColumn id="2" xr3:uid="{685E5D99-F82C-4E06-9C06-CF3942E5C8FF}" uniqueName="2" name="ageband" queryTableFieldId="2"/>
    <tableColumn id="3" xr3:uid="{3206F535-CD93-442B-B92D-55154B0A9905}" uniqueName="3" name="gradeband" queryTableFieldId="3"/>
    <tableColumn id="4" xr3:uid="{3CDC1416-70DA-4491-905F-B66D289EEC3C}" uniqueName="4" name="report" queryTableFieldId="4"/>
    <tableColumn id="52" xr3:uid="{035BBF23-C0AE-4BE6-B5F9-6CB91878CF5C}" uniqueName="52" name="1" queryTableFieldId="176" dataDxfId="259"/>
    <tableColumn id="53" xr3:uid="{543E3925-C35A-4742-B709-FA65088C5DAA}" uniqueName="53" name="2" queryTableFieldId="177" dataDxfId="258"/>
    <tableColumn id="54" xr3:uid="{EA7CB569-CB43-49C2-AB44-0A2A76BE4564}" uniqueName="54" name="3" queryTableFieldId="178" dataDxfId="257"/>
    <tableColumn id="55" xr3:uid="{A28216AC-33AD-43BB-B7EE-8D29C0DB535F}" uniqueName="55" name="4" queryTableFieldId="179" dataDxfId="256"/>
    <tableColumn id="56" xr3:uid="{1EF2ABD1-E257-48FD-8D20-1F3E6F5E48EC}" uniqueName="56" name="5" queryTableFieldId="180" dataDxfId="255"/>
    <tableColumn id="67" xr3:uid="{3CE16A14-102F-4312-A0C4-94D7BEE27FA4}" uniqueName="67" name="AS" queryTableFieldId="197" dataDxfId="254"/>
    <tableColumn id="68" xr3:uid="{F2E0D589-139A-46A7-935E-D62CB9C11386}" uniqueName="68" name="BL" queryTableFieldId="198" dataDxfId="253"/>
    <tableColumn id="69" xr3:uid="{AA57F5BC-D59E-49C2-9B8B-04A7E8301E2B}" uniqueName="69" name="HI" queryTableFieldId="199" dataDxfId="252"/>
    <tableColumn id="70" xr3:uid="{F5B77C22-E428-445A-AFCD-5C303D2C6B67}" uniqueName="70" name="OT" queryTableFieldId="200" dataDxfId="251"/>
    <tableColumn id="71" xr3:uid="{D0A1435D-8F75-42D1-9EAB-21ABE08FF2B5}" uniqueName="71" name="WH" queryTableFieldId="201" dataDxfId="250"/>
    <tableColumn id="14" xr3:uid="{09C93681-238D-40A9-96AE-B61ADA15FBE4}" uniqueName="14" name="MW" queryTableFieldId="14" dataDxfId="249"/>
    <tableColumn id="15" xr3:uid="{C2730D7F-E0B0-4D28-915F-FC175628304D}" uniqueName="15" name="NE" queryTableFieldId="15" dataDxfId="248"/>
    <tableColumn id="16" xr3:uid="{06A81993-90A2-4296-ACFF-1F05369AECEF}" uniqueName="16" name="SO" queryTableFieldId="16" dataDxfId="247"/>
    <tableColumn id="17" xr3:uid="{07D98BF3-BBA2-4187-BC1E-601EBA23666F}" uniqueName="17" name="WE" queryTableFieldId="17" dataDxfId="246"/>
    <tableColumn id="72" xr3:uid="{E1004CB2-6AE7-4D5B-8066-A4C8D1F2CCDA}" uniqueName="72" name="F" queryTableFieldId="202" dataDxfId="245"/>
    <tableColumn id="73" xr3:uid="{E7F7EAD7-13E6-4138-9340-79D7EC3C5992}" uniqueName="73" name="M" queryTableFieldId="203" dataDxfId="244"/>
    <tableColumn id="5" xr3:uid="{35F60B81-AC5D-4CFB-83D6-348E2E2EFFA8}" uniqueName="5" name="OTHER" queryTableFieldId="211" dataDxfId="243"/>
    <tableColumn id="20" xr3:uid="{1E4171F9-5EAA-4F48-BB1D-D3550D731A84}" uniqueName="20" name="Total" queryTableFieldId="20" dataDxfId="242"/>
    <tableColumn id="1" xr3:uid="{81227939-04A9-4A7F-AF65-62C9B96E4FAD}" uniqueName="1" name="LastRefreshed" queryTableFieldId="127" dataDxfId="24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9A52E3-8A8A-46FB-998E-D6722AB508D9}" name="Table_ExternalData_14534676264135910" displayName="Table_ExternalData_14534676264135910" ref="A831:V847" tableType="queryTable" totalsRowShown="0">
  <autoFilter ref="A831:V847" xr:uid="{3A9A52E3-8A8A-46FB-998E-D6722AB508D9}"/>
  <tableColumns count="22">
    <tableColumn id="2" xr3:uid="{ADF130FE-0267-4800-8B90-206E23BB8B91}" uniqueName="2" name="ageband" queryTableFieldId="2"/>
    <tableColumn id="3" xr3:uid="{9ED24992-1383-4EA2-A369-671A2F36C1C8}" uniqueName="3" name="gradeband" queryTableFieldId="3"/>
    <tableColumn id="4" xr3:uid="{6D5EEF81-F1FC-4DC8-A699-B8B85281F421}" uniqueName="4" name="report" queryTableFieldId="4"/>
    <tableColumn id="52" xr3:uid="{F5877FC6-2C48-4315-AF61-2A2479132136}" uniqueName="52" name="1" queryTableFieldId="176" dataDxfId="240"/>
    <tableColumn id="53" xr3:uid="{5B3ADD4E-C214-4DCB-B5DB-14CD0ECE1234}" uniqueName="53" name="2" queryTableFieldId="177" dataDxfId="239"/>
    <tableColumn id="54" xr3:uid="{9BF537C0-04A4-4873-AE19-B286BCB23F82}" uniqueName="54" name="3" queryTableFieldId="178" dataDxfId="238"/>
    <tableColumn id="55" xr3:uid="{48C01A6D-0F63-4A98-83C4-1E099F7A0438}" uniqueName="55" name="4" queryTableFieldId="179" dataDxfId="237"/>
    <tableColumn id="56" xr3:uid="{E3B1C106-8D60-49A8-9777-A5C226D10665}" uniqueName="56" name="5" queryTableFieldId="180" dataDxfId="236"/>
    <tableColumn id="67" xr3:uid="{509A2C8E-B414-432F-AAA3-FD975D83A72B}" uniqueName="67" name="AS" queryTableFieldId="197" dataDxfId="235"/>
    <tableColumn id="68" xr3:uid="{417B424F-5FA6-4DA2-852C-C4B906AC0A7F}" uniqueName="68" name="BL" queryTableFieldId="198" dataDxfId="234"/>
    <tableColumn id="69" xr3:uid="{326FA501-C63B-4949-9627-C03F4CD11405}" uniqueName="69" name="HI" queryTableFieldId="199" dataDxfId="233"/>
    <tableColumn id="70" xr3:uid="{5EC7B14A-F3C4-4CD0-A341-14A7E42619F0}" uniqueName="70" name="OT" queryTableFieldId="200" dataDxfId="232"/>
    <tableColumn id="71" xr3:uid="{1FA43F79-466A-48FB-BA0E-06BD2D967490}" uniqueName="71" name="WH" queryTableFieldId="201" dataDxfId="231"/>
    <tableColumn id="14" xr3:uid="{C43E5DC7-9339-486F-A7E5-93A6F3F42EEA}" uniqueName="14" name="MW" queryTableFieldId="14" dataDxfId="230"/>
    <tableColumn id="15" xr3:uid="{847E69D8-9C1F-4CB6-AB94-98ADD262BD01}" uniqueName="15" name="NE" queryTableFieldId="15" dataDxfId="229"/>
    <tableColumn id="16" xr3:uid="{29D94FAC-F5C6-402D-8049-F3AB331B1763}" uniqueName="16" name="SO" queryTableFieldId="16" dataDxfId="228"/>
    <tableColumn id="17" xr3:uid="{76160440-D998-4CD6-A55C-1DA9B4BE195C}" uniqueName="17" name="WE" queryTableFieldId="17" dataDxfId="227"/>
    <tableColumn id="72" xr3:uid="{0D09567A-4A95-4B45-BB00-030F25D259D9}" uniqueName="72" name="F" queryTableFieldId="202" dataDxfId="226"/>
    <tableColumn id="73" xr3:uid="{506D709B-5893-4380-9CEA-04532363B3FD}" uniqueName="73" name="M" queryTableFieldId="203" dataDxfId="225"/>
    <tableColumn id="5" xr3:uid="{9A0F1576-00F4-4B7E-826C-6288B2192D02}" uniqueName="5" name="OTHER" queryTableFieldId="211" dataDxfId="224"/>
    <tableColumn id="20" xr3:uid="{F1D0ADDF-3AB5-47A4-B10B-C43505BDC5B2}" uniqueName="20" name="Total" queryTableFieldId="20" dataDxfId="223"/>
    <tableColumn id="1" xr3:uid="{E4599735-8972-4AFB-8B37-960A8F8148D3}" uniqueName="1" name="LastRefreshed" queryTableFieldId="127" dataDxfId="22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B6DC9DE-4D37-4893-AE19-8A555B9BD2F3}" name="Table_ExternalData_1453467626413591012" displayName="Table_ExternalData_1453467626413591012" ref="A931:V947" tableType="queryTable" totalsRowShown="0">
  <autoFilter ref="A931:V947" xr:uid="{AB6DC9DE-4D37-4893-AE19-8A555B9BD2F3}"/>
  <tableColumns count="22">
    <tableColumn id="2" xr3:uid="{4DE17ED1-051B-456B-AAE9-BA39798891D4}" uniqueName="2" name="ageband" queryTableFieldId="2"/>
    <tableColumn id="3" xr3:uid="{B41B0AC4-E602-4F8D-806D-ABA28BC77DF6}" uniqueName="3" name="gradeband" queryTableFieldId="3"/>
    <tableColumn id="4" xr3:uid="{D7E0429C-7155-4D3D-B5DA-B7C586D9ABB2}" uniqueName="4" name="report" queryTableFieldId="4"/>
    <tableColumn id="52" xr3:uid="{5A7E7DB9-F47B-4CBA-A05C-7824E67058BB}" uniqueName="52" name="1" queryTableFieldId="176" dataDxfId="221"/>
    <tableColumn id="53" xr3:uid="{94C7F8C5-329C-4482-845F-21B57B1CB7C8}" uniqueName="53" name="2" queryTableFieldId="177" dataDxfId="220"/>
    <tableColumn id="54" xr3:uid="{2F681597-3192-431F-8920-051FE61FE54D}" uniqueName="54" name="3" queryTableFieldId="178" dataDxfId="219"/>
    <tableColumn id="55" xr3:uid="{9925EEE8-9798-4D37-9F97-93B9C4D59915}" uniqueName="55" name="4" queryTableFieldId="179" dataDxfId="218"/>
    <tableColumn id="56" xr3:uid="{86FED503-9FF1-46DA-B9F5-29088061C5F3}" uniqueName="56" name="5" queryTableFieldId="180" dataDxfId="217"/>
    <tableColumn id="67" xr3:uid="{2E9256CF-47EB-49B8-890E-C3F3E09236CD}" uniqueName="67" name="AS" queryTableFieldId="197" dataDxfId="216"/>
    <tableColumn id="68" xr3:uid="{8A5F702C-D123-461D-BAA3-F6C6C0E90070}" uniqueName="68" name="BL" queryTableFieldId="198" dataDxfId="215"/>
    <tableColumn id="69" xr3:uid="{06FBB9F5-A018-4357-A238-8DA034720D50}" uniqueName="69" name="HI" queryTableFieldId="199" dataDxfId="214"/>
    <tableColumn id="70" xr3:uid="{9AE71348-0157-487F-804E-7F50CB491595}" uniqueName="70" name="OT" queryTableFieldId="200" dataDxfId="213"/>
    <tableColumn id="71" xr3:uid="{9EBF6D3C-6CE7-4BFB-B1F3-7CD5A9DC2FE3}" uniqueName="71" name="WH" queryTableFieldId="201" dataDxfId="212"/>
    <tableColumn id="14" xr3:uid="{E78CDB98-AA73-4E1F-99A1-215D798EDFF2}" uniqueName="14" name="MW" queryTableFieldId="14" dataDxfId="211"/>
    <tableColumn id="15" xr3:uid="{93C6D503-00EF-43DF-84CB-763EE171CC72}" uniqueName="15" name="NE" queryTableFieldId="15" dataDxfId="210"/>
    <tableColumn id="16" xr3:uid="{7F5F2756-B15D-4CFC-B9CC-2AA096DB7065}" uniqueName="16" name="SO" queryTableFieldId="16" dataDxfId="209"/>
    <tableColumn id="17" xr3:uid="{B0103F14-9E49-4C53-97BF-3A9297C403D8}" uniqueName="17" name="WE" queryTableFieldId="17" dataDxfId="208"/>
    <tableColumn id="72" xr3:uid="{A6762B8F-C100-4E1C-9FE6-899A78F82D1B}" uniqueName="72" name="F" queryTableFieldId="202" dataDxfId="207"/>
    <tableColumn id="73" xr3:uid="{8ABF5F68-23F6-4FEB-BF74-046A44BC4D9A}" uniqueName="73" name="M" queryTableFieldId="203" dataDxfId="206"/>
    <tableColumn id="5" xr3:uid="{1989FA33-C37F-4A42-995F-1C6DD39F65CC}" uniqueName="5" name="OTHER" queryTableFieldId="211" dataDxfId="205"/>
    <tableColumn id="20" xr3:uid="{3132553F-D22C-453A-BDE6-75956C63D8B9}" uniqueName="20" name="Total" queryTableFieldId="20" dataDxfId="204"/>
    <tableColumn id="1" xr3:uid="{9CFF2ED7-D5C8-40F0-9FE0-2998E0A6F603}" uniqueName="1" name="LastRefreshed" queryTableFieldId="127" dataDxfId="20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E264FA-29D8-44AB-BF23-F39CBCC5FC42}" name="Table_ExternalData_145346762641359213" displayName="Table_ExternalData_145346762641359213" ref="A1131:V1147" tableType="queryTable" totalsRowShown="0">
  <autoFilter ref="A1131:V1147" xr:uid="{A1E264FA-29D8-44AB-BF23-F39CBCC5FC42}"/>
  <tableColumns count="22">
    <tableColumn id="2" xr3:uid="{C3BE400E-6DF7-41D3-9276-B1BBCFD7F9AA}" uniqueName="2" name="ageband" queryTableFieldId="2"/>
    <tableColumn id="3" xr3:uid="{BF771D8A-2A3E-452C-BF77-31EB08199CEB}" uniqueName="3" name="gradeband" queryTableFieldId="3"/>
    <tableColumn id="4" xr3:uid="{24AA7061-E967-4CAF-88E4-542BA5008F66}" uniqueName="4" name="report" queryTableFieldId="4"/>
    <tableColumn id="52" xr3:uid="{009E1F2E-C9C1-4A48-B8AB-D4664E9C8F06}" uniqueName="52" name="1" queryTableFieldId="176" dataDxfId="202"/>
    <tableColumn id="53" xr3:uid="{70BD5C53-CDC1-4159-B7AD-4A7B3DDB58E3}" uniqueName="53" name="2" queryTableFieldId="177" dataDxfId="201"/>
    <tableColumn id="54" xr3:uid="{357F77FF-5575-4989-8882-1E9759509A26}" uniqueName="54" name="3" queryTableFieldId="178" dataDxfId="200"/>
    <tableColumn id="55" xr3:uid="{9437E40F-626D-4423-AA36-0D7233FA0DF4}" uniqueName="55" name="4" queryTableFieldId="179" dataDxfId="199"/>
    <tableColumn id="56" xr3:uid="{53AA774C-07AD-4196-8567-3D67558853A3}" uniqueName="56" name="5" queryTableFieldId="180" dataDxfId="198"/>
    <tableColumn id="67" xr3:uid="{2E1D87F3-B87C-41F3-9AF8-11A31BEA0795}" uniqueName="67" name="AS" queryTableFieldId="197" dataDxfId="197"/>
    <tableColumn id="68" xr3:uid="{AFE2839B-5AA7-47BC-B958-14939C03FEB0}" uniqueName="68" name="BL" queryTableFieldId="198" dataDxfId="196"/>
    <tableColumn id="69" xr3:uid="{A27FD3FF-6186-4379-92F6-3FAE0D2B0A2C}" uniqueName="69" name="HI" queryTableFieldId="199" dataDxfId="195"/>
    <tableColumn id="70" xr3:uid="{D6EE2A03-D5A3-4532-8E1C-D6C7AFC6624A}" uniqueName="70" name="OT" queryTableFieldId="200" dataDxfId="194"/>
    <tableColumn id="71" xr3:uid="{886EA88B-ABB0-4BC9-AA40-7E829D4D4A4F}" uniqueName="71" name="WH" queryTableFieldId="201" dataDxfId="193"/>
    <tableColumn id="14" xr3:uid="{1A4D4327-8079-4CD1-8CC6-51C95155FF0A}" uniqueName="14" name="MW" queryTableFieldId="14" dataDxfId="192"/>
    <tableColumn id="15" xr3:uid="{D7A8E3A8-E043-415D-9BBE-9099C0AE8F38}" uniqueName="15" name="NE" queryTableFieldId="15" dataDxfId="191"/>
    <tableColumn id="16" xr3:uid="{2ACADCEC-EF9D-4395-9685-97D7CE7947DA}" uniqueName="16" name="SO" queryTableFieldId="16" dataDxfId="190"/>
    <tableColumn id="17" xr3:uid="{CDF9676F-E8F9-417D-B19E-7716E5D9F66C}" uniqueName="17" name="WE" queryTableFieldId="17" dataDxfId="189"/>
    <tableColumn id="72" xr3:uid="{1850AE6F-FF16-49AB-BF48-A1F4C15BE922}" uniqueName="72" name="F" queryTableFieldId="202" dataDxfId="188"/>
    <tableColumn id="73" xr3:uid="{63E5790E-03A6-4E67-A0C2-935A509B9F26}" uniqueName="73" name="M" queryTableFieldId="203" dataDxfId="187"/>
    <tableColumn id="5" xr3:uid="{B69B4614-BD42-4FD8-AFB1-CB556503DB35}" uniqueName="5" name="OTHER" queryTableFieldId="211" dataDxfId="186"/>
    <tableColumn id="20" xr3:uid="{87B85370-4F47-4540-8594-144DBA63FF5E}" uniqueName="20" name="Total" queryTableFieldId="20" dataDxfId="185"/>
    <tableColumn id="1" xr3:uid="{8D55F81C-821A-43AD-9517-F19CC550D605}" uniqueName="1" name="LastRefreshed" queryTableFieldId="127" dataDxfId="18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331375-55C3-401F-9E64-D32E43168CBE}" name="Table_ExternalData_1453467626413592136" displayName="Table_ExternalData_1453467626413592136" ref="A1231:V1247" tableType="queryTable" totalsRowShown="0">
  <autoFilter ref="A1231:V1247" xr:uid="{A5331375-55C3-401F-9E64-D32E43168CBE}"/>
  <tableColumns count="22">
    <tableColumn id="2" xr3:uid="{6CDD75D4-37A4-4F58-B4CF-A0E5EFAA0C4F}" uniqueName="2" name="ageband" queryTableFieldId="2"/>
    <tableColumn id="3" xr3:uid="{B2600549-50D1-41DA-9548-94A366FFF21D}" uniqueName="3" name="gradeband" queryTableFieldId="3"/>
    <tableColumn id="4" xr3:uid="{2895DB38-FA36-4F0F-9B7F-1B3AB2CA9EF3}" uniqueName="4" name="report" queryTableFieldId="4"/>
    <tableColumn id="52" xr3:uid="{B1DFC282-931D-423D-B2C4-28F3EAEDF9A0}" uniqueName="52" name="1" queryTableFieldId="176" dataDxfId="183"/>
    <tableColumn id="53" xr3:uid="{24A37BB4-1306-4A85-9276-7B7D269E214B}" uniqueName="53" name="2" queryTableFieldId="177" dataDxfId="182"/>
    <tableColumn id="54" xr3:uid="{8738D6B3-BD92-40EB-A375-F43A613BAF3D}" uniqueName="54" name="3" queryTableFieldId="178" dataDxfId="181"/>
    <tableColumn id="55" xr3:uid="{74E27B90-003C-491F-A5B8-DD3C6A6DD503}" uniqueName="55" name="4" queryTableFieldId="179" dataDxfId="180"/>
    <tableColumn id="56" xr3:uid="{FE8CF032-355B-475C-BBC2-C633E0500F72}" uniqueName="56" name="5" queryTableFieldId="180" dataDxfId="179"/>
    <tableColumn id="67" xr3:uid="{A20D4FC6-5F3B-4A13-8771-9B7D6ECD4F62}" uniqueName="67" name="AS" queryTableFieldId="197" dataDxfId="178"/>
    <tableColumn id="68" xr3:uid="{90E4A727-99BF-4599-86C4-79646AE4D94E}" uniqueName="68" name="BL" queryTableFieldId="198" dataDxfId="177"/>
    <tableColumn id="69" xr3:uid="{D8E7F383-B597-4583-8D50-4C620A9424E1}" uniqueName="69" name="HI" queryTableFieldId="199" dataDxfId="176"/>
    <tableColumn id="70" xr3:uid="{2BD75FD8-F569-4719-BF03-26E7615B3B07}" uniqueName="70" name="OT" queryTableFieldId="200" dataDxfId="175"/>
    <tableColumn id="71" xr3:uid="{0A2D531F-3C5D-42AD-AD92-6FFE8B66B117}" uniqueName="71" name="WH" queryTableFieldId="201" dataDxfId="174"/>
    <tableColumn id="14" xr3:uid="{686B7336-8B26-4DC7-B4D6-0F7CE235FA53}" uniqueName="14" name="MW" queryTableFieldId="14" dataDxfId="173"/>
    <tableColumn id="15" xr3:uid="{CA21C583-B7E0-4CF7-8BFE-345C28CDF5E1}" uniqueName="15" name="NE" queryTableFieldId="15" dataDxfId="172"/>
    <tableColumn id="16" xr3:uid="{E297584C-AD66-4CAD-9CA1-89207E2DE848}" uniqueName="16" name="SO" queryTableFieldId="16" dataDxfId="171"/>
    <tableColumn id="17" xr3:uid="{871182E8-7AAF-4BEA-8AF6-8782326880AA}" uniqueName="17" name="WE" queryTableFieldId="17" dataDxfId="170"/>
    <tableColumn id="72" xr3:uid="{3A0B1428-029C-4402-BA3E-135D2F2564C5}" uniqueName="72" name="F" queryTableFieldId="202" dataDxfId="169"/>
    <tableColumn id="73" xr3:uid="{1F1C4281-5454-4E1D-9641-FACA3256EFBD}" uniqueName="73" name="M" queryTableFieldId="203" dataDxfId="168"/>
    <tableColumn id="5" xr3:uid="{C8A04FE4-5983-48CC-913D-0FA8D9816464}" uniqueName="5" name="OTHER" queryTableFieldId="211" dataDxfId="167"/>
    <tableColumn id="20" xr3:uid="{99A6E67A-8DB8-4DA1-82A6-CE8DE1956B78}" uniqueName="20" name="Total" queryTableFieldId="20" dataDxfId="166"/>
    <tableColumn id="1" xr3:uid="{78A6301B-9002-4A6F-81C5-E3049C3EA825}" uniqueName="1" name="LastRefreshed" queryTableFieldId="127" dataDxfId="16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17AA45-BB2A-41AF-86C5-379B0A3D3C24}" name="Table_ExternalData_1453467626413592414" displayName="Table_ExternalData_1453467626413592414" ref="A1431:V1447" tableType="queryTable" totalsRowShown="0">
  <autoFilter ref="A1431:V1447" xr:uid="{D217AA45-BB2A-41AF-86C5-379B0A3D3C24}"/>
  <tableColumns count="22">
    <tableColumn id="2" xr3:uid="{E6FC7937-479F-484D-ADA7-6A99A899AF47}" uniqueName="2" name="ageband" queryTableFieldId="2"/>
    <tableColumn id="3" xr3:uid="{84074DF6-3EBD-47A7-B2C1-1839F930C2A6}" uniqueName="3" name="gradeband" queryTableFieldId="3"/>
    <tableColumn id="4" xr3:uid="{066B8CD6-F0AF-47C1-933B-C76B0A4635D9}" uniqueName="4" name="report" queryTableFieldId="4"/>
    <tableColumn id="52" xr3:uid="{51C93852-9E0B-47AB-9CD1-CE7DC5116AB2}" uniqueName="52" name="1" queryTableFieldId="176" dataDxfId="164"/>
    <tableColumn id="53" xr3:uid="{EE874BA6-6258-4CC0-ADD7-A5A97BC12180}" uniqueName="53" name="2" queryTableFieldId="177" dataDxfId="163"/>
    <tableColumn id="54" xr3:uid="{908F6EDA-155A-4F43-8AF3-E367F0F17016}" uniqueName="54" name="3" queryTableFieldId="178" dataDxfId="162"/>
    <tableColumn id="55" xr3:uid="{7C87B84E-557E-44B0-B433-02B64EF9C5D4}" uniqueName="55" name="4" queryTableFieldId="179" dataDxfId="161"/>
    <tableColumn id="56" xr3:uid="{26960D87-809C-4456-ABFB-9F53A1192D67}" uniqueName="56" name="5" queryTableFieldId="180" dataDxfId="160"/>
    <tableColumn id="67" xr3:uid="{788363A7-611E-44C1-B617-49B076FB6450}" uniqueName="67" name="AS" queryTableFieldId="197" dataDxfId="159"/>
    <tableColumn id="68" xr3:uid="{49FE62B2-8D81-4772-8D4C-31B9E8AD7CBD}" uniqueName="68" name="BL" queryTableFieldId="198" dataDxfId="158"/>
    <tableColumn id="69" xr3:uid="{2CB6B5E3-F2A9-4731-8C0D-D31E7F2384AD}" uniqueName="69" name="HI" queryTableFieldId="199" dataDxfId="157"/>
    <tableColumn id="70" xr3:uid="{BA1EF4DB-A7EF-4BB6-B85D-94599E5B9B57}" uniqueName="70" name="OT" queryTableFieldId="200" dataDxfId="156"/>
    <tableColumn id="71" xr3:uid="{0D2F0AD0-0F88-4AC7-80C6-D7083253CB53}" uniqueName="71" name="WH" queryTableFieldId="201" dataDxfId="155"/>
    <tableColumn id="14" xr3:uid="{F969AFEC-C034-459E-8749-63A6CA9852F1}" uniqueName="14" name="MW" queryTableFieldId="14" dataDxfId="154"/>
    <tableColumn id="15" xr3:uid="{EF93734F-A8C3-48AF-B169-35971548367B}" uniqueName="15" name="NE" queryTableFieldId="15" dataDxfId="153"/>
    <tableColumn id="16" xr3:uid="{02596C9E-CA1E-4DFB-A141-D69A6BE8E199}" uniqueName="16" name="SO" queryTableFieldId="16" dataDxfId="152"/>
    <tableColumn id="17" xr3:uid="{FAB11A8D-7BEB-48A3-B25A-6C1923C0C273}" uniqueName="17" name="WE" queryTableFieldId="17" dataDxfId="151"/>
    <tableColumn id="72" xr3:uid="{D8EB2BED-50C8-48F9-9A46-FCD029B9DA88}" uniqueName="72" name="F" queryTableFieldId="202" dataDxfId="150"/>
    <tableColumn id="73" xr3:uid="{3925F006-6271-4C32-A654-2D6D5FDF16B7}" uniqueName="73" name="M" queryTableFieldId="203" dataDxfId="149"/>
    <tableColumn id="5" xr3:uid="{D49BDD05-F82D-4027-89BF-02098C332D82}" uniqueName="5" name="OTHER" queryTableFieldId="211" dataDxfId="148"/>
    <tableColumn id="20" xr3:uid="{EB379ACD-9BA2-403B-914D-12157F92D0A0}" uniqueName="20" name="Total" queryTableFieldId="20" dataDxfId="147"/>
    <tableColumn id="1" xr3:uid="{753FEA50-969A-4AD9-9AE5-E4BA890FAD0D}" uniqueName="1" name="LastRefreshed" queryTableFieldId="127" dataDxfId="14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0D7BB51-6A81-44ED-943E-DB539EA0186F}" name="Table_ExternalData_145346762641359241418" displayName="Table_ExternalData_145346762641359241418" ref="A1531:V1547" tableType="queryTable" totalsRowShown="0">
  <autoFilter ref="A1531:V1547" xr:uid="{60D7BB51-6A81-44ED-943E-DB539EA0186F}"/>
  <tableColumns count="22">
    <tableColumn id="2" xr3:uid="{4CDDF46A-5C8C-4627-993A-C4C61119B412}" uniqueName="2" name="ageband" queryTableFieldId="2"/>
    <tableColumn id="3" xr3:uid="{822BE2CE-35B7-4D8B-9FEC-5DAE85E70065}" uniqueName="3" name="gradeband" queryTableFieldId="3"/>
    <tableColumn id="4" xr3:uid="{7D90CF22-0189-420B-9C25-491CA329F16F}" uniqueName="4" name="report" queryTableFieldId="4"/>
    <tableColumn id="52" xr3:uid="{1558C058-8456-43FD-8921-C2BC42E5433E}" uniqueName="52" name="1" queryTableFieldId="176" dataDxfId="145"/>
    <tableColumn id="53" xr3:uid="{58630311-84A1-42AE-8268-4F139D307577}" uniqueName="53" name="2" queryTableFieldId="177" dataDxfId="144"/>
    <tableColumn id="54" xr3:uid="{006A822A-0B72-4E41-94DE-BC8513CC66FF}" uniqueName="54" name="3" queryTableFieldId="178" dataDxfId="143"/>
    <tableColumn id="55" xr3:uid="{88C9B718-2B65-4FD8-8545-CF94F1004862}" uniqueName="55" name="4" queryTableFieldId="179" dataDxfId="142"/>
    <tableColumn id="56" xr3:uid="{2744EF08-DB17-440A-8C67-BCE7994BBAC4}" uniqueName="56" name="5" queryTableFieldId="180" dataDxfId="141"/>
    <tableColumn id="67" xr3:uid="{54C35917-50A8-46E3-A5CB-8A6BF6A3623C}" uniqueName="67" name="AS" queryTableFieldId="197" dataDxfId="140"/>
    <tableColumn id="68" xr3:uid="{B4B60573-C1AF-48E4-BE51-F5077FEDB85C}" uniqueName="68" name="BL" queryTableFieldId="198" dataDxfId="139"/>
    <tableColumn id="69" xr3:uid="{94B34780-3E6E-4C51-BB04-821829B65B13}" uniqueName="69" name="HI" queryTableFieldId="199" dataDxfId="138"/>
    <tableColumn id="70" xr3:uid="{D7D01477-7A03-4E03-9458-C20AD051D685}" uniqueName="70" name="OT" queryTableFieldId="200" dataDxfId="137"/>
    <tableColumn id="71" xr3:uid="{610BB926-6AA4-46AB-867C-70BD27B0C8C9}" uniqueName="71" name="WH" queryTableFieldId="201" dataDxfId="136"/>
    <tableColumn id="14" xr3:uid="{7629AB60-E6BF-405B-8ADE-6C74E61B2938}" uniqueName="14" name="MW" queryTableFieldId="14" dataDxfId="135"/>
    <tableColumn id="15" xr3:uid="{44AE7E5B-D390-40AC-AF40-B8A96C0E74D9}" uniqueName="15" name="NE" queryTableFieldId="15" dataDxfId="134"/>
    <tableColumn id="16" xr3:uid="{6364C9FA-711E-4DB2-9843-7638717BF715}" uniqueName="16" name="SO" queryTableFieldId="16" dataDxfId="133"/>
    <tableColumn id="17" xr3:uid="{31EFF4C0-EA03-4309-8F69-BDDC17FA6C49}" uniqueName="17" name="WE" queryTableFieldId="17" dataDxfId="132"/>
    <tableColumn id="72" xr3:uid="{297EC73B-2FE5-40E5-85EA-8DABE70F4617}" uniqueName="72" name="F" queryTableFieldId="202" dataDxfId="131"/>
    <tableColumn id="73" xr3:uid="{33028104-A807-406F-A5C9-4C42F69AA6F9}" uniqueName="73" name="M" queryTableFieldId="203" dataDxfId="130"/>
    <tableColumn id="5" xr3:uid="{BB24B480-1C7F-483C-AE47-50B766FC3B96}" uniqueName="5" name="OTHER" queryTableFieldId="211" dataDxfId="129"/>
    <tableColumn id="20" xr3:uid="{9265797A-D9B5-406D-841A-C59C2FB97E50}" uniqueName="20" name="Total" queryTableFieldId="20" dataDxfId="128"/>
    <tableColumn id="1" xr3:uid="{645202B2-FF06-4C59-9D28-0B11DEAD2718}" uniqueName="1" name="LastRefreshed" queryTableFieldId="127" dataDxfId="127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31B3B23-C9B2-43D2-8D51-779360F85928}" name="Table_ExternalData_14534676264135924141819" displayName="Table_ExternalData_14534676264135924141819" ref="A1631:V1647" tableType="queryTable" totalsRowShown="0">
  <autoFilter ref="A1631:V1647" xr:uid="{231B3B23-C9B2-43D2-8D51-779360F85928}"/>
  <tableColumns count="22">
    <tableColumn id="2" xr3:uid="{D3926275-7261-4D58-8DA7-92CE1058DD18}" uniqueName="2" name="ageband" queryTableFieldId="2"/>
    <tableColumn id="3" xr3:uid="{E48401AF-3769-4968-B14A-DE44CA8ABD99}" uniqueName="3" name="gradeband" queryTableFieldId="3"/>
    <tableColumn id="4" xr3:uid="{1242ABBA-7C29-48AD-B7D7-3C445BCEEE9C}" uniqueName="4" name="report" queryTableFieldId="4"/>
    <tableColumn id="52" xr3:uid="{B6969759-C991-48F9-8A61-9CE2E33B10CA}" uniqueName="52" name="1" queryTableFieldId="176" dataDxfId="126"/>
    <tableColumn id="53" xr3:uid="{0D2F0625-8177-4342-A133-252A55BF2C36}" uniqueName="53" name="2" queryTableFieldId="177" dataDxfId="125"/>
    <tableColumn id="54" xr3:uid="{083E83ED-F050-4C56-BD89-41F465D8B2FE}" uniqueName="54" name="3" queryTableFieldId="178" dataDxfId="124"/>
    <tableColumn id="55" xr3:uid="{924B30B3-7CB4-48FC-9C38-D2AED477FCE1}" uniqueName="55" name="4" queryTableFieldId="179" dataDxfId="123"/>
    <tableColumn id="56" xr3:uid="{173CFFD0-A3DB-4495-9C9C-C6036917F782}" uniqueName="56" name="5" queryTableFieldId="180" dataDxfId="122"/>
    <tableColumn id="67" xr3:uid="{747EC3EF-0932-45FE-B58F-D5F3980958CE}" uniqueName="67" name="AS" queryTableFieldId="197" dataDxfId="121"/>
    <tableColumn id="68" xr3:uid="{CE3D73D9-A0A7-4F2E-B8DB-4B8E701B188D}" uniqueName="68" name="BL" queryTableFieldId="198" dataDxfId="120"/>
    <tableColumn id="69" xr3:uid="{B926875D-9367-45E2-BB3F-C2EC40AA27E5}" uniqueName="69" name="HI" queryTableFieldId="199" dataDxfId="119"/>
    <tableColumn id="70" xr3:uid="{A3B0E432-508F-4699-934B-50457462E8E0}" uniqueName="70" name="OT" queryTableFieldId="200" dataDxfId="118"/>
    <tableColumn id="71" xr3:uid="{A0AC7494-4758-48E3-9761-B2A78D893D77}" uniqueName="71" name="WH" queryTableFieldId="201" dataDxfId="117"/>
    <tableColumn id="14" xr3:uid="{B9DBA57E-F291-4B71-BA16-91474AF5982B}" uniqueName="14" name="MW" queryTableFieldId="14" dataDxfId="116"/>
    <tableColumn id="15" xr3:uid="{D6546480-21F8-4AA3-B6A0-1266680D9892}" uniqueName="15" name="NE" queryTableFieldId="15" dataDxfId="115"/>
    <tableColumn id="16" xr3:uid="{02A01862-4F36-48FA-B44F-3F0379E960E4}" uniqueName="16" name="SO" queryTableFieldId="16" dataDxfId="114"/>
    <tableColumn id="17" xr3:uid="{7CA3AC78-2A19-4229-AB00-D860B0F7ECC3}" uniqueName="17" name="WE" queryTableFieldId="17" dataDxfId="113"/>
    <tableColumn id="72" xr3:uid="{79F49647-915B-44BA-983E-659C688C69F5}" uniqueName="72" name="F" queryTableFieldId="202" dataDxfId="112"/>
    <tableColumn id="73" xr3:uid="{BCC475E1-B10F-43D1-A852-5F1E03DA46F4}" uniqueName="73" name="M" queryTableFieldId="203" dataDxfId="111"/>
    <tableColumn id="5" xr3:uid="{995A774D-75C2-4695-8B41-D1142BF9589C}" uniqueName="5" name="OTHER" queryTableFieldId="211" dataDxfId="110"/>
    <tableColumn id="20" xr3:uid="{D3F4F65E-0E0F-4875-8A50-11138BB489A6}" uniqueName="20" name="Total" queryTableFieldId="20" dataDxfId="109"/>
    <tableColumn id="1" xr3:uid="{191B3ED6-0978-42BE-8006-77D05571EC8C}" uniqueName="1" name="LastRefreshed" queryTableFieldId="127" dataDxfId="108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739ABEE-49B8-42D1-8DB7-7FD69964794C}" name="Table_ExternalData_1453467626413592414181920" displayName="Table_ExternalData_1453467626413592414181920" ref="A1731:V1755" tableType="queryTable" totalsRowShown="0">
  <autoFilter ref="A1731:V1755" xr:uid="{5739ABEE-49B8-42D1-8DB7-7FD69964794C}"/>
  <tableColumns count="22">
    <tableColumn id="2" xr3:uid="{E5CFD71C-136C-40FA-B3D5-77FCBB340713}" uniqueName="2" name="ageband" queryTableFieldId="2"/>
    <tableColumn id="3" xr3:uid="{71A954A1-267A-44C7-BD68-B9FD377DE501}" uniqueName="3" name="gradeband" queryTableFieldId="3"/>
    <tableColumn id="4" xr3:uid="{AE919A1A-EF3F-45F7-9E7C-C8DF25F23198}" uniqueName="4" name="report" queryTableFieldId="4"/>
    <tableColumn id="52" xr3:uid="{B3DF54BB-B556-4689-8C00-51CCA99088E2}" uniqueName="52" name="1" queryTableFieldId="176" dataDxfId="107"/>
    <tableColumn id="53" xr3:uid="{7E111602-4280-49E0-8A33-38715DA5691D}" uniqueName="53" name="2" queryTableFieldId="177" dataDxfId="106"/>
    <tableColumn id="54" xr3:uid="{B606C0C9-C6A3-4B94-9F70-57BF39C95A9C}" uniqueName="54" name="3" queryTableFieldId="178" dataDxfId="105"/>
    <tableColumn id="55" xr3:uid="{18262CF3-77DB-4380-9803-94F3478B6496}" uniqueName="55" name="4" queryTableFieldId="179" dataDxfId="104"/>
    <tableColumn id="56" xr3:uid="{0762BBC8-FB56-4941-A6AA-EB498758B0A2}" uniqueName="56" name="5" queryTableFieldId="180" dataDxfId="103"/>
    <tableColumn id="67" xr3:uid="{3F15A80C-9195-4326-AA44-6F8D08AF6BCF}" uniqueName="67" name="AS" queryTableFieldId="197" dataDxfId="102"/>
    <tableColumn id="68" xr3:uid="{6A51C728-E7A0-43D6-A7CE-64EAE83F03C3}" uniqueName="68" name="BL" queryTableFieldId="198" dataDxfId="101"/>
    <tableColumn id="69" xr3:uid="{45DF1FD8-938F-4998-83C6-A7F7171D507C}" uniqueName="69" name="HI" queryTableFieldId="199" dataDxfId="100"/>
    <tableColumn id="70" xr3:uid="{4A0474C4-E630-4043-82F8-777FE057F5E3}" uniqueName="70" name="OT" queryTableFieldId="200" dataDxfId="99"/>
    <tableColumn id="71" xr3:uid="{A291D8F2-5E68-4CFC-8D66-E38E005F402C}" uniqueName="71" name="WH" queryTableFieldId="201" dataDxfId="98"/>
    <tableColumn id="14" xr3:uid="{38F94D92-AEC6-49C1-A087-F1CC6C6252BF}" uniqueName="14" name="MW" queryTableFieldId="14" dataDxfId="97"/>
    <tableColumn id="15" xr3:uid="{5CF92860-1DC7-4EB1-AA54-543C732D7FDA}" uniqueName="15" name="NE" queryTableFieldId="15" dataDxfId="96"/>
    <tableColumn id="16" xr3:uid="{28B05E2B-08F4-4F38-A2EE-166A07506E35}" uniqueName="16" name="SO" queryTableFieldId="16" dataDxfId="95"/>
    <tableColumn id="17" xr3:uid="{2FA964A5-C1FC-419F-B64B-FE8266A0655E}" uniqueName="17" name="WE" queryTableFieldId="17" dataDxfId="94"/>
    <tableColumn id="72" xr3:uid="{D0874915-262C-4241-A23F-C878154894BB}" uniqueName="72" name="F" queryTableFieldId="202" dataDxfId="93"/>
    <tableColumn id="73" xr3:uid="{BAD16AF5-9DAE-4930-B162-F9F9507B20E5}" uniqueName="73" name="M" queryTableFieldId="203" dataDxfId="92"/>
    <tableColumn id="5" xr3:uid="{D98B3C88-7797-4218-AEE4-AB218656616A}" uniqueName="5" name="OTHER" queryTableFieldId="211" dataDxfId="91"/>
    <tableColumn id="20" xr3:uid="{97D95676-B4D0-4E0B-8C36-4C881446343E}" uniqueName="20" name="Total" queryTableFieldId="20" dataDxfId="90"/>
    <tableColumn id="1" xr3:uid="{A4F25D1D-FB3C-460C-AAE9-2C157E4C33DF}" uniqueName="1" name="LastRefreshed" queryTableFieldId="127" dataDxfId="8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EF372FF-4D9E-4229-B940-0641DCA94EC9}" name="Table_ExternalData_145346762641359241418192016" displayName="Table_ExternalData_145346762641359241418192016" ref="A1831:V1847" tableType="queryTable" totalsRowShown="0">
  <autoFilter ref="A1831:V1847" xr:uid="{0EF372FF-4D9E-4229-B940-0641DCA94EC9}"/>
  <tableColumns count="22">
    <tableColumn id="2" xr3:uid="{A166BDCF-B7AF-4954-B78C-3598A5C1B8EA}" uniqueName="2" name="ageband" queryTableFieldId="2"/>
    <tableColumn id="3" xr3:uid="{4B36FC21-66D5-4081-BCA9-6A09E1F0E576}" uniqueName="3" name="gradeband" queryTableFieldId="3"/>
    <tableColumn id="4" xr3:uid="{60035CF5-95C7-4045-93C1-E889484DC41F}" uniqueName="4" name="report" queryTableFieldId="4"/>
    <tableColumn id="52" xr3:uid="{9C06B4FD-F6B2-45F6-8905-569941AB3774}" uniqueName="52" name="1" queryTableFieldId="176" dataDxfId="88"/>
    <tableColumn id="53" xr3:uid="{5D7C6FF9-E59C-4AED-98C9-051FADE3B892}" uniqueName="53" name="2" queryTableFieldId="177" dataDxfId="87"/>
    <tableColumn id="54" xr3:uid="{F42035CA-EFFC-45BB-A60C-82747433751C}" uniqueName="54" name="3" queryTableFieldId="178" dataDxfId="86"/>
    <tableColumn id="55" xr3:uid="{DBEAA063-1631-40D4-B84F-610BDA39EA49}" uniqueName="55" name="4" queryTableFieldId="179" dataDxfId="85"/>
    <tableColumn id="56" xr3:uid="{E3E557F6-B90E-4C2D-B3D0-FA4BF4D6095F}" uniqueName="56" name="5" queryTableFieldId="180" dataDxfId="84"/>
    <tableColumn id="67" xr3:uid="{87974D61-B042-4CC8-A36B-4DFFC565426F}" uniqueName="67" name="AS" queryTableFieldId="197" dataDxfId="83"/>
    <tableColumn id="68" xr3:uid="{D034AEC3-B3AF-4ABC-9D1A-8534C6B60605}" uniqueName="68" name="BL" queryTableFieldId="198" dataDxfId="82"/>
    <tableColumn id="69" xr3:uid="{B06170E3-8E8D-43F7-A0B5-6705096DB10B}" uniqueName="69" name="HI" queryTableFieldId="199" dataDxfId="81"/>
    <tableColumn id="70" xr3:uid="{967AF596-3F97-4D9E-AA60-7955AC1E6D11}" uniqueName="70" name="OT" queryTableFieldId="200" dataDxfId="80"/>
    <tableColumn id="71" xr3:uid="{7F1CDCB8-1E2D-4D90-9A91-8BE38B804653}" uniqueName="71" name="WH" queryTableFieldId="201" dataDxfId="79"/>
    <tableColumn id="14" xr3:uid="{F7ECDE67-5A63-4AF7-A824-EC3345F8110E}" uniqueName="14" name="MW" queryTableFieldId="14" dataDxfId="78"/>
    <tableColumn id="15" xr3:uid="{742E4C01-ED6D-462F-9F9E-3DEE71EEB372}" uniqueName="15" name="NE" queryTableFieldId="15" dataDxfId="77"/>
    <tableColumn id="16" xr3:uid="{5D16E5B6-18B1-4E7A-AB1E-76DA1EC30F49}" uniqueName="16" name="SO" queryTableFieldId="16" dataDxfId="76"/>
    <tableColumn id="17" xr3:uid="{6784A504-4002-4932-9A8E-16A9558DB5A9}" uniqueName="17" name="WE" queryTableFieldId="17" dataDxfId="75"/>
    <tableColumn id="72" xr3:uid="{6DCB13B8-0B60-49A0-AC10-66200CDFF5C1}" uniqueName="72" name="F" queryTableFieldId="202" dataDxfId="74"/>
    <tableColumn id="73" xr3:uid="{94CC6083-DA55-44C1-8C45-1A1E4F548240}" uniqueName="73" name="M" queryTableFieldId="203" dataDxfId="73"/>
    <tableColumn id="5" xr3:uid="{E65D828D-8BAD-4C3E-A618-BDAB8204750A}" uniqueName="5" name="OTHER" queryTableFieldId="211" dataDxfId="72"/>
    <tableColumn id="20" xr3:uid="{20478753-7188-44DD-9A8C-83CD872B7B48}" uniqueName="20" name="Total" queryTableFieldId="20" dataDxfId="71"/>
    <tableColumn id="1" xr3:uid="{E0927FAA-7842-441F-85BB-4BBC0FB47637}" uniqueName="1" name="LastRefreshed" queryTableFieldId="127" dataDxfId="70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2ADB6E-FCD7-F44D-8BBF-68FE57D36E36}" name="Table_ExternalData_1444" displayName="Table_ExternalData_1444" ref="A2:F13" tableType="queryTable" totalsRowShown="0" headerRowDxfId="69" dataDxfId="68">
  <tableColumns count="6">
    <tableColumn id="1" xr3:uid="{878297B3-6257-084F-BA46-8E648E959B33}" uniqueName="1" name="study_id" queryTableFieldId="1" dataDxfId="67"/>
    <tableColumn id="2" xr3:uid="{D218CE57-3961-BD4E-9AFE-D1C3A6332961}" uniqueName="2" name="study" queryTableFieldId="24" dataDxfId="66" dataCellStyle="Hyperlink"/>
    <tableColumn id="3" xr3:uid="{E3B4DDD7-9341-5447-B648-0E30E4D057D9}" uniqueName="3" name="Target" queryTableFieldId="25" dataDxfId="65"/>
    <tableColumn id="4" xr3:uid="{C453F167-7C13-924B-AD2A-A77BFE82D392}" uniqueName="4" name="usableCount" queryTableFieldId="26" dataDxfId="64"/>
    <tableColumn id="5" xr3:uid="{D6194872-A874-3541-9A5E-AEE54DEDDDD1}" uniqueName="5" name="Percentage" queryTableFieldId="27" dataDxfId="63" dataCellStyle="Percent"/>
    <tableColumn id="6" xr3:uid="{D42F6023-79CC-404A-BA03-97E311060DF2}" uniqueName="6" name="Refreshed_Date" queryTableFieldId="28" dataDxfId="6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5117-5F2C-6547-A501-44AD618D4D1C}">
  <sheetPr codeName="Sheet1">
    <tabColor rgb="FFFFFF00"/>
  </sheetPr>
  <dimension ref="A1:V154"/>
  <sheetViews>
    <sheetView topLeftCell="B6" zoomScale="115" zoomScaleNormal="115" workbookViewId="0">
      <selection activeCell="I13" sqref="I13"/>
    </sheetView>
  </sheetViews>
  <sheetFormatPr defaultColWidth="11" defaultRowHeight="15.75"/>
  <cols>
    <col min="1" max="1" width="5.5" hidden="1" customWidth="1"/>
    <col min="2" max="2" width="15.875" style="5" customWidth="1"/>
    <col min="3" max="3" width="13.5" style="10" customWidth="1"/>
    <col min="4" max="4" width="52" style="10" customWidth="1"/>
    <col min="5" max="5" width="23.375" style="10" bestFit="1" customWidth="1"/>
    <col min="6" max="6" width="23.375" style="10" customWidth="1"/>
    <col min="7" max="7" width="3.5" style="2" customWidth="1"/>
    <col min="8" max="8" width="10.625" style="1" bestFit="1" customWidth="1"/>
    <col min="9" max="9" width="14.125" style="1" customWidth="1"/>
    <col min="10" max="10" width="0.125" style="1" customWidth="1"/>
    <col min="11" max="11" width="41.625" customWidth="1"/>
    <col min="12" max="12" width="37.125" bestFit="1" customWidth="1"/>
    <col min="13" max="13" width="9.375" customWidth="1"/>
    <col min="14" max="22" width="10.875" style="2"/>
  </cols>
  <sheetData>
    <row r="1" spans="1:22">
      <c r="B1" s="14"/>
      <c r="C1" s="15"/>
      <c r="D1" s="15"/>
      <c r="E1" s="15"/>
      <c r="F1" s="15"/>
      <c r="H1" s="4"/>
      <c r="I1" s="16"/>
      <c r="J1" s="4"/>
      <c r="K1" s="2"/>
      <c r="L1" s="2"/>
      <c r="M1" s="2"/>
    </row>
    <row r="2" spans="1:22">
      <c r="B2" s="14"/>
      <c r="C2" s="15"/>
      <c r="D2" s="15"/>
      <c r="E2" s="46"/>
      <c r="F2" s="15"/>
      <c r="G2" s="45"/>
      <c r="H2" s="47"/>
      <c r="I2" s="49"/>
      <c r="J2" s="4"/>
      <c r="K2" s="2"/>
      <c r="L2" s="55"/>
      <c r="M2" s="2"/>
      <c r="N2" s="52"/>
    </row>
    <row r="3" spans="1:22">
      <c r="B3" s="205" t="s">
        <v>0</v>
      </c>
      <c r="C3" s="205"/>
      <c r="D3" s="205"/>
      <c r="E3" s="205"/>
      <c r="F3" s="111"/>
      <c r="H3" s="42"/>
      <c r="I3" s="48"/>
      <c r="J3" s="4"/>
      <c r="K3" s="50"/>
      <c r="L3" s="45"/>
      <c r="M3" s="50"/>
      <c r="N3" s="51"/>
    </row>
    <row r="4" spans="1:22">
      <c r="B4" s="14" t="s">
        <v>1</v>
      </c>
      <c r="C4" s="206">
        <v>402</v>
      </c>
      <c r="D4" s="206"/>
      <c r="E4" s="206"/>
      <c r="F4" s="112"/>
      <c r="H4" s="58"/>
      <c r="I4" s="48"/>
      <c r="J4" s="4"/>
      <c r="K4" s="52"/>
      <c r="L4" s="53"/>
      <c r="M4" s="56"/>
      <c r="N4" s="54"/>
    </row>
    <row r="5" spans="1:22" ht="5.0999999999999996" customHeight="1">
      <c r="B5" s="14"/>
      <c r="C5" s="15"/>
      <c r="D5" s="15"/>
      <c r="E5" s="15"/>
      <c r="F5" s="15"/>
      <c r="H5" s="4"/>
      <c r="I5" s="48"/>
      <c r="J5" s="4"/>
      <c r="K5" s="2"/>
      <c r="L5" s="45"/>
      <c r="M5" s="2"/>
    </row>
    <row r="6" spans="1:22">
      <c r="B6" s="205" t="s">
        <v>2</v>
      </c>
      <c r="C6" s="205"/>
      <c r="D6" s="205"/>
      <c r="E6" s="205"/>
      <c r="F6" s="111"/>
      <c r="H6" s="205" t="s">
        <v>3</v>
      </c>
      <c r="I6" s="205"/>
      <c r="J6" s="4"/>
      <c r="K6" s="207" t="s">
        <v>4</v>
      </c>
      <c r="L6" s="205"/>
      <c r="M6" s="2"/>
      <c r="N6" s="45"/>
    </row>
    <row r="7" spans="1:22">
      <c r="B7" s="13"/>
      <c r="C7" s="20" t="s">
        <v>5</v>
      </c>
      <c r="D7" s="13" t="s">
        <v>6</v>
      </c>
      <c r="E7" s="13" t="s">
        <v>7</v>
      </c>
      <c r="F7" s="13"/>
      <c r="H7" s="206" t="s">
        <v>8</v>
      </c>
      <c r="I7" s="206"/>
      <c r="J7" s="4"/>
      <c r="K7" s="208" t="s">
        <v>9</v>
      </c>
      <c r="L7" s="209"/>
      <c r="M7" s="2"/>
      <c r="N7" s="57"/>
    </row>
    <row r="8" spans="1:22">
      <c r="B8" s="19" t="s">
        <v>10</v>
      </c>
      <c r="C8" s="21">
        <v>50</v>
      </c>
      <c r="D8" s="22">
        <v>3037</v>
      </c>
      <c r="E8" s="23">
        <v>1</v>
      </c>
      <c r="F8" s="113"/>
      <c r="H8" s="206" t="s">
        <v>11</v>
      </c>
      <c r="I8" s="206"/>
      <c r="J8" s="4"/>
      <c r="K8" s="210"/>
      <c r="L8" s="206"/>
      <c r="M8" s="2"/>
      <c r="N8" s="57"/>
    </row>
    <row r="9" spans="1:22" ht="17.100000000000001" customHeight="1">
      <c r="B9" s="19" t="s">
        <v>12</v>
      </c>
      <c r="C9" s="21">
        <v>50</v>
      </c>
      <c r="D9" s="22">
        <v>3037</v>
      </c>
      <c r="E9" s="23">
        <v>2</v>
      </c>
      <c r="F9" s="113"/>
      <c r="H9" s="206" t="s">
        <v>13</v>
      </c>
      <c r="I9" s="206"/>
      <c r="J9" s="4"/>
      <c r="K9" s="210"/>
      <c r="L9" s="206"/>
      <c r="M9" s="2"/>
      <c r="N9" s="57"/>
    </row>
    <row r="10" spans="1:22" ht="17.100000000000001" customHeight="1">
      <c r="B10" s="19" t="s">
        <v>10</v>
      </c>
      <c r="C10" s="21">
        <v>100</v>
      </c>
      <c r="D10" s="22">
        <v>3037</v>
      </c>
      <c r="E10" s="23">
        <v>1</v>
      </c>
      <c r="F10" s="113"/>
      <c r="G10"/>
      <c r="H10"/>
      <c r="I10"/>
      <c r="J10"/>
      <c r="N10"/>
      <c r="O10"/>
      <c r="P10"/>
      <c r="Q10"/>
      <c r="R10"/>
      <c r="S10"/>
      <c r="T10"/>
      <c r="U10"/>
      <c r="V10"/>
    </row>
    <row r="11" spans="1:22" ht="17.100000000000001" customHeight="1">
      <c r="B11" s="19" t="s">
        <v>12</v>
      </c>
      <c r="C11" s="21">
        <v>100</v>
      </c>
      <c r="D11" s="22">
        <v>3037</v>
      </c>
      <c r="E11" s="23">
        <v>2</v>
      </c>
      <c r="F11" s="113"/>
      <c r="G11"/>
      <c r="H11"/>
      <c r="I11"/>
      <c r="J11"/>
      <c r="N11"/>
      <c r="O11"/>
      <c r="P11"/>
      <c r="Q11"/>
      <c r="R11"/>
      <c r="S11"/>
      <c r="T11"/>
      <c r="U11"/>
      <c r="V11"/>
    </row>
    <row r="12" spans="1:22" ht="24.75">
      <c r="B12" s="19" t="s">
        <v>14</v>
      </c>
      <c r="C12" s="21">
        <v>100</v>
      </c>
      <c r="D12" s="22">
        <v>3037</v>
      </c>
      <c r="E12" s="23">
        <v>3</v>
      </c>
      <c r="F12" s="113"/>
      <c r="H12" s="47"/>
      <c r="I12" s="16"/>
      <c r="J12" s="4"/>
      <c r="K12" s="2"/>
      <c r="L12" s="2"/>
      <c r="M12" s="2"/>
      <c r="N12" s="57"/>
    </row>
    <row r="13" spans="1:22">
      <c r="B13" s="205" t="s">
        <v>15</v>
      </c>
      <c r="C13" s="205"/>
      <c r="D13" s="205"/>
      <c r="E13" s="205"/>
      <c r="F13" s="111"/>
      <c r="G13" s="57"/>
      <c r="H13" s="122" t="s">
        <v>16</v>
      </c>
      <c r="I13" s="123"/>
      <c r="J13" s="4"/>
      <c r="K13" s="124">
        <f>COUNTIF(M:M, "Active") - COUNTIFS(L:L, "OSEP*",M:M, "Active") - COUNTIFS(L:L,"C_*",M:M, "Active") +2</f>
        <v>18</v>
      </c>
      <c r="L13" s="56"/>
      <c r="M13" s="56"/>
      <c r="N13" s="45"/>
    </row>
    <row r="14" spans="1:22" ht="33" customHeight="1">
      <c r="B14" s="203" t="s">
        <v>17</v>
      </c>
      <c r="C14" s="203"/>
      <c r="D14" s="203"/>
      <c r="E14" s="204"/>
      <c r="F14" s="114"/>
      <c r="G14" s="57"/>
      <c r="H14" s="202" t="s">
        <v>18</v>
      </c>
      <c r="I14" s="202"/>
      <c r="J14" s="202"/>
      <c r="K14" s="202"/>
      <c r="L14" s="202"/>
      <c r="M14" s="202"/>
      <c r="N14" s="45"/>
    </row>
    <row r="15" spans="1:22" ht="21">
      <c r="B15" s="9" t="s">
        <v>19</v>
      </c>
      <c r="C15" s="9" t="s">
        <v>20</v>
      </c>
      <c r="D15" s="9" t="s">
        <v>21</v>
      </c>
      <c r="E15" s="9" t="s">
        <v>22</v>
      </c>
      <c r="F15" s="9" t="s">
        <v>23</v>
      </c>
      <c r="H15" s="6" t="s">
        <v>24</v>
      </c>
      <c r="I15" s="6" t="s">
        <v>25</v>
      </c>
      <c r="J15" s="6" t="s">
        <v>26</v>
      </c>
      <c r="K15" s="6" t="s">
        <v>27</v>
      </c>
      <c r="L15" s="6" t="s">
        <v>28</v>
      </c>
      <c r="M15" s="6" t="s">
        <v>29</v>
      </c>
    </row>
    <row r="16" spans="1:22">
      <c r="A16">
        <f>LEN(C16) - LEN(SUBSTITUTE(C16, "!", "")) + 1</f>
        <v>1</v>
      </c>
      <c r="B16" s="7">
        <v>1</v>
      </c>
      <c r="C16" s="129">
        <v>3739</v>
      </c>
      <c r="D16" s="130" t="s">
        <v>30</v>
      </c>
      <c r="E16" s="130" t="s">
        <v>31</v>
      </c>
      <c r="F16" s="7">
        <f>aurora_data!U18</f>
        <v>50</v>
      </c>
      <c r="H16" s="8">
        <v>3726</v>
      </c>
      <c r="I16" s="8" t="s">
        <v>32</v>
      </c>
      <c r="J16" s="8">
        <v>1</v>
      </c>
      <c r="K16" s="7" t="s">
        <v>33</v>
      </c>
      <c r="L16" s="7" t="s">
        <v>34</v>
      </c>
      <c r="M16" s="7" t="s">
        <v>35</v>
      </c>
    </row>
    <row r="17" spans="1:13">
      <c r="A17">
        <f t="shared" ref="A17:A23" si="0">LEN(C17) - LEN(SUBSTITUTE(C17, "!", "")) + 1</f>
        <v>1</v>
      </c>
      <c r="B17" s="7">
        <v>2</v>
      </c>
      <c r="C17" s="129">
        <v>3740</v>
      </c>
      <c r="D17" s="130" t="s">
        <v>36</v>
      </c>
      <c r="E17" s="130" t="s">
        <v>37</v>
      </c>
      <c r="F17" s="7">
        <f>aurora_data!U146</f>
        <v>49</v>
      </c>
      <c r="H17" s="8">
        <v>3725</v>
      </c>
      <c r="I17" s="8" t="s">
        <v>32</v>
      </c>
      <c r="J17" s="8">
        <v>1</v>
      </c>
      <c r="K17" s="7" t="s">
        <v>38</v>
      </c>
      <c r="L17" s="7" t="s">
        <v>39</v>
      </c>
      <c r="M17" s="7" t="s">
        <v>35</v>
      </c>
    </row>
    <row r="18" spans="1:13">
      <c r="A18">
        <f t="shared" si="0"/>
        <v>1</v>
      </c>
      <c r="B18" s="7">
        <v>3</v>
      </c>
      <c r="C18" s="129">
        <v>3741</v>
      </c>
      <c r="D18" s="130" t="s">
        <v>40</v>
      </c>
      <c r="E18" s="130" t="s">
        <v>41</v>
      </c>
      <c r="F18" s="7">
        <f>aurora_data!U246</f>
        <v>29</v>
      </c>
      <c r="H18" s="8">
        <v>3757</v>
      </c>
      <c r="I18" s="8" t="s">
        <v>42</v>
      </c>
      <c r="J18" s="8">
        <v>2</v>
      </c>
      <c r="K18" s="7" t="s">
        <v>43</v>
      </c>
      <c r="L18" s="7" t="s">
        <v>44</v>
      </c>
      <c r="M18" s="7" t="s">
        <v>35</v>
      </c>
    </row>
    <row r="19" spans="1:13">
      <c r="A19">
        <f t="shared" si="0"/>
        <v>1</v>
      </c>
      <c r="B19" s="7">
        <v>4</v>
      </c>
      <c r="C19" s="129">
        <v>3742</v>
      </c>
      <c r="D19" s="130" t="s">
        <v>45</v>
      </c>
      <c r="E19" s="130" t="s">
        <v>46</v>
      </c>
      <c r="F19" s="7">
        <f>aurora_data!U346</f>
        <v>35</v>
      </c>
      <c r="H19" s="8">
        <v>3756</v>
      </c>
      <c r="I19" s="8" t="s">
        <v>42</v>
      </c>
      <c r="J19" s="8">
        <v>2</v>
      </c>
      <c r="K19" s="7" t="s">
        <v>47</v>
      </c>
      <c r="L19" s="7" t="s">
        <v>48</v>
      </c>
      <c r="M19" s="7" t="s">
        <v>35</v>
      </c>
    </row>
    <row r="20" spans="1:13">
      <c r="A20">
        <f t="shared" si="0"/>
        <v>1</v>
      </c>
      <c r="B20" s="7">
        <v>5</v>
      </c>
      <c r="C20" s="129">
        <v>3743</v>
      </c>
      <c r="D20" s="130" t="s">
        <v>49</v>
      </c>
      <c r="E20" s="130" t="s">
        <v>50</v>
      </c>
      <c r="F20" s="7">
        <f>aurora_data!U446</f>
        <v>30</v>
      </c>
      <c r="H20" s="8">
        <v>3755</v>
      </c>
      <c r="I20" s="8" t="s">
        <v>42</v>
      </c>
      <c r="J20" s="8">
        <v>2</v>
      </c>
      <c r="K20" s="7" t="s">
        <v>51</v>
      </c>
      <c r="L20" s="7" t="s">
        <v>52</v>
      </c>
      <c r="M20" s="7" t="s">
        <v>35</v>
      </c>
    </row>
    <row r="21" spans="1:13">
      <c r="A21">
        <f t="shared" si="0"/>
        <v>1</v>
      </c>
      <c r="B21" s="7">
        <v>6</v>
      </c>
      <c r="C21" s="129">
        <v>3744</v>
      </c>
      <c r="D21" s="130" t="s">
        <v>53</v>
      </c>
      <c r="E21" s="130" t="s">
        <v>54</v>
      </c>
      <c r="F21" s="7">
        <f>aurora_data!U546</f>
        <v>31</v>
      </c>
      <c r="H21" s="8">
        <v>3754</v>
      </c>
      <c r="I21" s="8" t="s">
        <v>42</v>
      </c>
      <c r="J21" s="8">
        <v>2</v>
      </c>
      <c r="K21" s="7" t="s">
        <v>55</v>
      </c>
      <c r="L21" s="7" t="s">
        <v>56</v>
      </c>
      <c r="M21" s="7" t="s">
        <v>35</v>
      </c>
    </row>
    <row r="22" spans="1:13">
      <c r="A22">
        <f t="shared" si="0"/>
        <v>1</v>
      </c>
      <c r="B22" s="7">
        <v>7</v>
      </c>
      <c r="C22" s="129">
        <v>3745</v>
      </c>
      <c r="D22" s="130" t="s">
        <v>57</v>
      </c>
      <c r="E22" s="130" t="s">
        <v>58</v>
      </c>
      <c r="F22" s="7">
        <f>aurora_data!U646</f>
        <v>5</v>
      </c>
      <c r="H22" s="8">
        <v>3753</v>
      </c>
      <c r="I22" s="8" t="s">
        <v>42</v>
      </c>
      <c r="J22" s="8">
        <v>2</v>
      </c>
      <c r="K22" s="7" t="s">
        <v>59</v>
      </c>
      <c r="L22" s="7" t="s">
        <v>60</v>
      </c>
      <c r="M22" s="7" t="s">
        <v>35</v>
      </c>
    </row>
    <row r="23" spans="1:13">
      <c r="A23">
        <f t="shared" si="0"/>
        <v>1</v>
      </c>
      <c r="B23" s="7">
        <v>8</v>
      </c>
      <c r="C23" s="129">
        <v>3746</v>
      </c>
      <c r="D23" s="130" t="s">
        <v>61</v>
      </c>
      <c r="E23" s="130" t="s">
        <v>62</v>
      </c>
      <c r="F23" s="131">
        <f>aurora_data!U746</f>
        <v>56</v>
      </c>
      <c r="H23" s="8">
        <v>3752</v>
      </c>
      <c r="I23" s="8" t="s">
        <v>42</v>
      </c>
      <c r="J23" s="8">
        <v>2</v>
      </c>
      <c r="K23" s="7" t="s">
        <v>63</v>
      </c>
      <c r="L23" s="7" t="s">
        <v>64</v>
      </c>
      <c r="M23" s="7" t="s">
        <v>35</v>
      </c>
    </row>
    <row r="24" spans="1:13">
      <c r="A24" t="e">
        <f>LEN(#REF!) - LEN(SUBSTITUTE(#REF!, "!", "")) + 1</f>
        <v>#REF!</v>
      </c>
      <c r="B24" s="7">
        <v>9</v>
      </c>
      <c r="C24" s="129">
        <v>3747</v>
      </c>
      <c r="D24" s="130" t="s">
        <v>65</v>
      </c>
      <c r="E24" s="130" t="s">
        <v>66</v>
      </c>
      <c r="F24" s="125">
        <f>aurora_data!U1846</f>
        <v>16</v>
      </c>
      <c r="H24" s="8">
        <v>3751</v>
      </c>
      <c r="I24" s="8" t="s">
        <v>42</v>
      </c>
      <c r="J24" s="8">
        <v>2</v>
      </c>
      <c r="K24" s="7" t="s">
        <v>67</v>
      </c>
      <c r="L24" s="7" t="s">
        <v>68</v>
      </c>
      <c r="M24" s="7" t="s">
        <v>35</v>
      </c>
    </row>
    <row r="25" spans="1:13">
      <c r="A25" t="e">
        <f>LEN(#REF!) - LEN(SUBSTITUTE(#REF!, "!", "")) + 1</f>
        <v>#REF!</v>
      </c>
      <c r="B25" s="7">
        <v>10</v>
      </c>
      <c r="C25" s="129">
        <v>3748</v>
      </c>
      <c r="D25" s="130" t="s">
        <v>69</v>
      </c>
      <c r="E25" s="130" t="s">
        <v>70</v>
      </c>
      <c r="F25" s="125">
        <f>aurora_data!U846</f>
        <v>2</v>
      </c>
      <c r="H25" s="8">
        <v>3750</v>
      </c>
      <c r="I25" s="8" t="s">
        <v>42</v>
      </c>
      <c r="J25" s="8">
        <v>2</v>
      </c>
      <c r="K25" s="7" t="s">
        <v>71</v>
      </c>
      <c r="L25" s="7" t="s">
        <v>72</v>
      </c>
      <c r="M25" s="7" t="s">
        <v>35</v>
      </c>
    </row>
    <row r="26" spans="1:13">
      <c r="A26" t="e">
        <f>LEN(#REF!) - LEN(SUBSTITUTE(#REF!, "!", "")) + 1</f>
        <v>#REF!</v>
      </c>
      <c r="B26" s="7">
        <v>11</v>
      </c>
      <c r="C26" s="129">
        <v>3749</v>
      </c>
      <c r="D26" s="130" t="s">
        <v>73</v>
      </c>
      <c r="E26" s="130" t="s">
        <v>74</v>
      </c>
      <c r="F26" s="125">
        <f>aurora_data!U946</f>
        <v>4</v>
      </c>
      <c r="H26" s="8">
        <v>3749</v>
      </c>
      <c r="I26" s="8" t="s">
        <v>42</v>
      </c>
      <c r="J26" s="8">
        <v>2</v>
      </c>
      <c r="K26" s="7" t="s">
        <v>73</v>
      </c>
      <c r="L26" s="7" t="s">
        <v>74</v>
      </c>
      <c r="M26" s="7" t="s">
        <v>35</v>
      </c>
    </row>
    <row r="27" spans="1:13">
      <c r="A27" t="e">
        <f>LEN(#REF!) - LEN(SUBSTITUTE(#REF!, "!", "")) + 1</f>
        <v>#REF!</v>
      </c>
      <c r="B27" s="7">
        <v>12</v>
      </c>
      <c r="C27" s="129">
        <v>3750</v>
      </c>
      <c r="D27" s="130" t="s">
        <v>71</v>
      </c>
      <c r="E27" s="130" t="s">
        <v>72</v>
      </c>
      <c r="F27" s="125">
        <f>aurora_data!U1046</f>
        <v>14</v>
      </c>
      <c r="H27" s="8">
        <v>3748</v>
      </c>
      <c r="I27" s="8" t="s">
        <v>42</v>
      </c>
      <c r="J27" s="8">
        <v>2</v>
      </c>
      <c r="K27" s="7" t="s">
        <v>69</v>
      </c>
      <c r="L27" s="7" t="s">
        <v>70</v>
      </c>
      <c r="M27" s="7" t="s">
        <v>35</v>
      </c>
    </row>
    <row r="28" spans="1:13">
      <c r="A28" t="e">
        <f>LEN(#REF!) - LEN(SUBSTITUTE(#REF!, "!", "")) + 1</f>
        <v>#REF!</v>
      </c>
      <c r="B28" s="7">
        <v>13</v>
      </c>
      <c r="C28" s="129">
        <v>3751</v>
      </c>
      <c r="D28" s="130" t="s">
        <v>67</v>
      </c>
      <c r="E28" s="130" t="s">
        <v>68</v>
      </c>
      <c r="F28" s="125">
        <f>aurora_data!U1146</f>
        <v>21</v>
      </c>
      <c r="H28" s="8">
        <v>3747</v>
      </c>
      <c r="I28" s="8" t="s">
        <v>42</v>
      </c>
      <c r="J28" s="8">
        <v>2</v>
      </c>
      <c r="K28" s="7" t="s">
        <v>65</v>
      </c>
      <c r="L28" s="7" t="s">
        <v>66</v>
      </c>
      <c r="M28" s="7" t="s">
        <v>35</v>
      </c>
    </row>
    <row r="29" spans="1:13">
      <c r="A29" t="e">
        <f>LEN(#REF!) - LEN(SUBSTITUTE(#REF!, "!", "")) + 1</f>
        <v>#REF!</v>
      </c>
      <c r="B29" s="7">
        <v>14</v>
      </c>
      <c r="C29" s="129">
        <v>3752</v>
      </c>
      <c r="D29" s="130" t="s">
        <v>63</v>
      </c>
      <c r="E29" s="130" t="s">
        <v>64</v>
      </c>
      <c r="F29" s="125">
        <f>aurora_data!U1246</f>
        <v>2</v>
      </c>
      <c r="H29" s="8">
        <v>3746</v>
      </c>
      <c r="I29" s="8" t="s">
        <v>42</v>
      </c>
      <c r="J29" s="8">
        <v>2</v>
      </c>
      <c r="K29" s="7" t="s">
        <v>61</v>
      </c>
      <c r="L29" s="7" t="s">
        <v>62</v>
      </c>
      <c r="M29" s="7" t="s">
        <v>35</v>
      </c>
    </row>
    <row r="30" spans="1:13">
      <c r="A30" t="e">
        <f>LEN(#REF!) - LEN(SUBSTITUTE(#REF!, "!", "")) + 1</f>
        <v>#REF!</v>
      </c>
      <c r="B30" s="7">
        <v>15</v>
      </c>
      <c r="C30" s="129">
        <v>3753</v>
      </c>
      <c r="D30" s="130" t="s">
        <v>59</v>
      </c>
      <c r="E30" s="130" t="s">
        <v>60</v>
      </c>
      <c r="F30" s="125">
        <f>aurora_data!U1354</f>
        <v>4</v>
      </c>
      <c r="H30" s="8">
        <v>3745</v>
      </c>
      <c r="I30" s="8" t="s">
        <v>42</v>
      </c>
      <c r="J30" s="8">
        <v>2</v>
      </c>
      <c r="K30" s="7" t="s">
        <v>57</v>
      </c>
      <c r="L30" s="7" t="s">
        <v>58</v>
      </c>
      <c r="M30" s="7" t="s">
        <v>35</v>
      </c>
    </row>
    <row r="31" spans="1:13">
      <c r="A31" t="e">
        <f>LEN(#REF!) - LEN(SUBSTITUTE(#REF!, "!", "")) + 1</f>
        <v>#REF!</v>
      </c>
      <c r="B31" s="7">
        <v>16</v>
      </c>
      <c r="C31" s="129">
        <v>3754</v>
      </c>
      <c r="D31" s="130" t="s">
        <v>55</v>
      </c>
      <c r="E31" s="130" t="s">
        <v>56</v>
      </c>
      <c r="F31" s="125">
        <f>aurora_data!U1446</f>
        <v>25</v>
      </c>
      <c r="H31" s="8">
        <v>3744</v>
      </c>
      <c r="I31" s="8" t="s">
        <v>42</v>
      </c>
      <c r="J31" s="8">
        <v>2</v>
      </c>
      <c r="K31" s="7" t="s">
        <v>53</v>
      </c>
      <c r="L31" s="7" t="s">
        <v>54</v>
      </c>
      <c r="M31" s="7" t="s">
        <v>35</v>
      </c>
    </row>
    <row r="32" spans="1:13">
      <c r="A32" t="e">
        <f>LEN(#REF!) - LEN(SUBSTITUTE(#REF!, "!", "")) + 1</f>
        <v>#REF!</v>
      </c>
      <c r="B32" s="7">
        <v>17</v>
      </c>
      <c r="C32" s="129">
        <v>3755</v>
      </c>
      <c r="D32" s="130" t="s">
        <v>51</v>
      </c>
      <c r="E32" s="130" t="s">
        <v>52</v>
      </c>
      <c r="F32" s="125">
        <f>aurora_data!U1546</f>
        <v>20</v>
      </c>
      <c r="H32" s="8">
        <v>3743</v>
      </c>
      <c r="I32" s="8" t="s">
        <v>42</v>
      </c>
      <c r="J32" s="8">
        <v>2</v>
      </c>
      <c r="K32" s="7" t="s">
        <v>49</v>
      </c>
      <c r="L32" s="7" t="s">
        <v>50</v>
      </c>
      <c r="M32" s="7" t="s">
        <v>35</v>
      </c>
    </row>
    <row r="33" spans="1:13">
      <c r="A33" t="e">
        <f>LEN(#REF!) - LEN(SUBSTITUTE(#REF!, "!", "")) + 1</f>
        <v>#REF!</v>
      </c>
      <c r="B33" s="7">
        <v>18</v>
      </c>
      <c r="C33" s="129">
        <v>3756</v>
      </c>
      <c r="D33" s="130" t="s">
        <v>47</v>
      </c>
      <c r="E33" s="130" t="s">
        <v>48</v>
      </c>
      <c r="F33" s="125">
        <f>aurora_data!U1646</f>
        <v>1</v>
      </c>
      <c r="H33" s="8">
        <v>3741</v>
      </c>
      <c r="I33" s="8" t="s">
        <v>42</v>
      </c>
      <c r="J33" s="8">
        <v>2</v>
      </c>
      <c r="K33" s="7" t="s">
        <v>40</v>
      </c>
      <c r="L33" s="7" t="s">
        <v>41</v>
      </c>
      <c r="M33" s="7" t="s">
        <v>35</v>
      </c>
    </row>
    <row r="34" spans="1:13">
      <c r="B34" s="7">
        <v>19</v>
      </c>
      <c r="C34" s="129">
        <v>3757</v>
      </c>
      <c r="D34" s="130" t="s">
        <v>43</v>
      </c>
      <c r="E34" s="130" t="s">
        <v>44</v>
      </c>
      <c r="F34" s="125">
        <f>aurora_data!U1754</f>
        <v>20</v>
      </c>
      <c r="H34" s="8">
        <v>3740</v>
      </c>
      <c r="I34" s="8" t="s">
        <v>42</v>
      </c>
      <c r="J34" s="8">
        <v>2</v>
      </c>
      <c r="K34" s="7" t="s">
        <v>36</v>
      </c>
      <c r="L34" s="7" t="s">
        <v>37</v>
      </c>
      <c r="M34" s="7" t="s">
        <v>35</v>
      </c>
    </row>
    <row r="35" spans="1:13">
      <c r="F35" s="125"/>
      <c r="H35" s="8">
        <v>3739</v>
      </c>
      <c r="I35" s="8" t="s">
        <v>42</v>
      </c>
      <c r="J35" s="8">
        <v>2</v>
      </c>
      <c r="K35" s="7" t="s">
        <v>30</v>
      </c>
      <c r="L35" s="7" t="s">
        <v>31</v>
      </c>
      <c r="M35" s="7" t="s">
        <v>35</v>
      </c>
    </row>
    <row r="36" spans="1:13">
      <c r="H36" s="8">
        <v>3742</v>
      </c>
      <c r="I36" s="8" t="s">
        <v>42</v>
      </c>
      <c r="J36" s="8">
        <v>2</v>
      </c>
      <c r="K36" s="7" t="s">
        <v>45</v>
      </c>
      <c r="L36" s="7" t="s">
        <v>46</v>
      </c>
      <c r="M36" s="7" t="s">
        <v>35</v>
      </c>
    </row>
    <row r="37" spans="1:13">
      <c r="H37" s="8">
        <v>3727</v>
      </c>
      <c r="I37" s="8" t="s">
        <v>75</v>
      </c>
      <c r="J37" s="8">
        <v>3</v>
      </c>
      <c r="K37" s="7" t="s">
        <v>76</v>
      </c>
      <c r="L37" s="7" t="s">
        <v>77</v>
      </c>
      <c r="M37" s="7" t="s">
        <v>35</v>
      </c>
    </row>
    <row r="38" spans="1:13">
      <c r="H38" s="8">
        <v>3728</v>
      </c>
      <c r="I38" s="8" t="s">
        <v>75</v>
      </c>
      <c r="J38" s="8">
        <v>3</v>
      </c>
      <c r="K38" s="7" t="s">
        <v>78</v>
      </c>
      <c r="L38" s="7" t="s">
        <v>79</v>
      </c>
      <c r="M38" s="7" t="s">
        <v>35</v>
      </c>
    </row>
    <row r="39" spans="1:13">
      <c r="H39" s="8">
        <v>3732</v>
      </c>
      <c r="I39" s="8" t="s">
        <v>80</v>
      </c>
      <c r="J39" s="8">
        <v>4</v>
      </c>
      <c r="K39" s="7" t="s">
        <v>81</v>
      </c>
      <c r="L39" s="7" t="s">
        <v>82</v>
      </c>
      <c r="M39" s="7" t="s">
        <v>35</v>
      </c>
    </row>
    <row r="40" spans="1:13">
      <c r="H40" s="8">
        <v>3729</v>
      </c>
      <c r="I40" s="8" t="s">
        <v>80</v>
      </c>
      <c r="J40" s="8">
        <v>4</v>
      </c>
      <c r="K40" s="7" t="s">
        <v>83</v>
      </c>
      <c r="L40" s="7" t="s">
        <v>84</v>
      </c>
      <c r="M40" s="7" t="s">
        <v>35</v>
      </c>
    </row>
    <row r="41" spans="1:13">
      <c r="H41" s="8">
        <v>3730</v>
      </c>
      <c r="I41" s="8" t="s">
        <v>80</v>
      </c>
      <c r="J41" s="8">
        <v>4</v>
      </c>
      <c r="K41" s="7" t="s">
        <v>85</v>
      </c>
      <c r="L41" s="7" t="s">
        <v>86</v>
      </c>
      <c r="M41" s="7" t="s">
        <v>35</v>
      </c>
    </row>
    <row r="42" spans="1:13">
      <c r="H42" s="8">
        <v>3731</v>
      </c>
      <c r="I42" s="8" t="s">
        <v>80</v>
      </c>
      <c r="J42" s="8">
        <v>4</v>
      </c>
      <c r="K42" s="7" t="s">
        <v>87</v>
      </c>
      <c r="L42" s="7" t="s">
        <v>88</v>
      </c>
      <c r="M42" s="7" t="s">
        <v>35</v>
      </c>
    </row>
    <row r="43" spans="1:13">
      <c r="H43" s="8">
        <v>3733</v>
      </c>
      <c r="I43" s="8" t="s">
        <v>80</v>
      </c>
      <c r="J43" s="8">
        <v>4</v>
      </c>
      <c r="K43" s="7" t="s">
        <v>89</v>
      </c>
      <c r="L43" s="7" t="s">
        <v>90</v>
      </c>
      <c r="M43" s="7" t="s">
        <v>35</v>
      </c>
    </row>
    <row r="44" spans="1:13">
      <c r="H44" s="8">
        <v>3734</v>
      </c>
      <c r="I44" s="8" t="s">
        <v>80</v>
      </c>
      <c r="J44" s="8">
        <v>4</v>
      </c>
      <c r="K44" s="7" t="s">
        <v>91</v>
      </c>
      <c r="L44" s="7" t="s">
        <v>92</v>
      </c>
      <c r="M44" s="7" t="s">
        <v>35</v>
      </c>
    </row>
    <row r="45" spans="1:13">
      <c r="H45" s="8">
        <v>3735</v>
      </c>
      <c r="I45" s="8" t="s">
        <v>80</v>
      </c>
      <c r="J45" s="8">
        <v>4</v>
      </c>
      <c r="K45" s="7" t="s">
        <v>93</v>
      </c>
      <c r="L45" s="7" t="s">
        <v>94</v>
      </c>
      <c r="M45" s="7" t="s">
        <v>35</v>
      </c>
    </row>
    <row r="46" spans="1:13">
      <c r="H46" s="8">
        <v>3736</v>
      </c>
      <c r="I46" s="8" t="s">
        <v>80</v>
      </c>
      <c r="J46" s="8">
        <v>4</v>
      </c>
      <c r="K46" s="7" t="s">
        <v>95</v>
      </c>
      <c r="L46" s="7" t="s">
        <v>96</v>
      </c>
      <c r="M46" s="7" t="s">
        <v>35</v>
      </c>
    </row>
    <row r="47" spans="1:13">
      <c r="H47" s="8">
        <v>3737</v>
      </c>
      <c r="I47" s="8" t="s">
        <v>80</v>
      </c>
      <c r="J47" s="8">
        <v>4</v>
      </c>
      <c r="K47" s="7" t="s">
        <v>97</v>
      </c>
      <c r="L47" s="7" t="s">
        <v>98</v>
      </c>
      <c r="M47" s="7" t="s">
        <v>35</v>
      </c>
    </row>
    <row r="48" spans="1:13">
      <c r="H48" s="8">
        <v>3738</v>
      </c>
      <c r="I48" s="8" t="s">
        <v>80</v>
      </c>
      <c r="J48" s="8">
        <v>4</v>
      </c>
      <c r="K48" s="7" t="s">
        <v>99</v>
      </c>
      <c r="L48" s="7" t="s">
        <v>100</v>
      </c>
      <c r="M48" s="7" t="s">
        <v>35</v>
      </c>
    </row>
    <row r="49" spans="8:13">
      <c r="H49" s="8">
        <v>3758</v>
      </c>
      <c r="I49" s="8" t="s">
        <v>101</v>
      </c>
      <c r="J49" s="8">
        <v>7</v>
      </c>
      <c r="K49" s="7" t="s">
        <v>102</v>
      </c>
      <c r="L49" s="7" t="s">
        <v>103</v>
      </c>
      <c r="M49" s="7" t="s">
        <v>35</v>
      </c>
    </row>
    <row r="50" spans="8:13">
      <c r="H50" s="8">
        <v>3759</v>
      </c>
      <c r="I50" s="8" t="s">
        <v>101</v>
      </c>
      <c r="J50" s="8">
        <v>7</v>
      </c>
      <c r="K50" s="7" t="s">
        <v>104</v>
      </c>
      <c r="L50" s="7" t="s">
        <v>105</v>
      </c>
      <c r="M50" s="7" t="s">
        <v>35</v>
      </c>
    </row>
    <row r="51" spans="8:13">
      <c r="H51" s="8">
        <v>3760</v>
      </c>
      <c r="I51" s="8" t="s">
        <v>101</v>
      </c>
      <c r="J51" s="8">
        <v>7</v>
      </c>
      <c r="K51" s="7" t="s">
        <v>106</v>
      </c>
      <c r="L51" s="7" t="s">
        <v>107</v>
      </c>
      <c r="M51" s="7" t="s">
        <v>35</v>
      </c>
    </row>
    <row r="52" spans="8:13">
      <c r="H52" s="8">
        <v>3761</v>
      </c>
      <c r="I52" s="8" t="s">
        <v>101</v>
      </c>
      <c r="J52" s="8">
        <v>7</v>
      </c>
      <c r="K52" s="7" t="s">
        <v>108</v>
      </c>
      <c r="L52" s="7" t="s">
        <v>109</v>
      </c>
      <c r="M52" s="7" t="s">
        <v>35</v>
      </c>
    </row>
    <row r="53" spans="8:13">
      <c r="H53" s="8"/>
      <c r="I53" s="8"/>
      <c r="J53" s="8"/>
      <c r="K53" s="7"/>
      <c r="L53" s="7"/>
      <c r="M53" s="7"/>
    </row>
    <row r="54" spans="8:13">
      <c r="H54" s="8"/>
      <c r="I54" s="8"/>
      <c r="J54" s="8"/>
      <c r="K54" s="7"/>
      <c r="L54" s="7"/>
      <c r="M54" s="7"/>
    </row>
    <row r="55" spans="8:13">
      <c r="H55" s="8"/>
      <c r="I55" s="8"/>
      <c r="J55" s="8"/>
      <c r="K55" s="7"/>
      <c r="L55" s="7"/>
      <c r="M55" s="7"/>
    </row>
    <row r="56" spans="8:13">
      <c r="H56" s="8"/>
      <c r="I56" s="8"/>
      <c r="J56" s="8"/>
      <c r="K56" s="7"/>
      <c r="L56" s="7"/>
      <c r="M56" s="7"/>
    </row>
    <row r="57" spans="8:13">
      <c r="H57" s="8"/>
      <c r="I57" s="8"/>
      <c r="J57" s="8"/>
      <c r="K57" s="7"/>
      <c r="L57" s="7"/>
      <c r="M57" s="7"/>
    </row>
    <row r="58" spans="8:13">
      <c r="H58" s="8"/>
      <c r="I58" s="8"/>
      <c r="J58" s="8"/>
      <c r="K58" s="7"/>
      <c r="L58" s="7"/>
      <c r="M58" s="7"/>
    </row>
    <row r="59" spans="8:13">
      <c r="H59" s="8"/>
      <c r="I59" s="8"/>
      <c r="J59" s="8"/>
      <c r="K59" s="7"/>
      <c r="L59" s="7"/>
      <c r="M59" s="7"/>
    </row>
    <row r="60" spans="8:13">
      <c r="H60" s="8"/>
      <c r="I60" s="8"/>
      <c r="J60" s="8"/>
      <c r="K60" s="7"/>
      <c r="L60" s="7"/>
      <c r="M60" s="7"/>
    </row>
    <row r="61" spans="8:13">
      <c r="H61" s="8"/>
      <c r="I61" s="8"/>
      <c r="J61" s="8"/>
      <c r="K61" s="7"/>
      <c r="L61" s="7"/>
      <c r="M61" s="7"/>
    </row>
    <row r="62" spans="8:13">
      <c r="H62" s="8"/>
      <c r="I62" s="8"/>
      <c r="J62" s="8"/>
      <c r="K62" s="7"/>
      <c r="L62" s="7"/>
      <c r="M62" s="7"/>
    </row>
    <row r="63" spans="8:13">
      <c r="H63" s="8"/>
      <c r="I63" s="8"/>
      <c r="J63" s="8"/>
      <c r="K63" s="7"/>
      <c r="L63" s="7"/>
      <c r="M63" s="7"/>
    </row>
    <row r="64" spans="8:13">
      <c r="H64" s="8"/>
      <c r="I64" s="8"/>
      <c r="J64" s="8"/>
      <c r="K64" s="7"/>
      <c r="L64" s="7"/>
      <c r="M64" s="7"/>
    </row>
    <row r="65" spans="8:13">
      <c r="H65" s="8"/>
      <c r="I65" s="8"/>
      <c r="J65" s="8"/>
      <c r="K65" s="7"/>
      <c r="L65" s="7"/>
      <c r="M65" s="7"/>
    </row>
    <row r="66" spans="8:13">
      <c r="H66" s="8"/>
      <c r="I66" s="8"/>
      <c r="J66" s="8"/>
      <c r="K66" s="7"/>
      <c r="L66" s="7"/>
      <c r="M66" s="7"/>
    </row>
    <row r="67" spans="8:13">
      <c r="H67" s="8"/>
      <c r="I67" s="8"/>
      <c r="J67" s="8"/>
      <c r="K67" s="7"/>
      <c r="L67" s="7"/>
      <c r="M67" s="7"/>
    </row>
    <row r="68" spans="8:13">
      <c r="H68" s="8"/>
      <c r="I68" s="8"/>
      <c r="J68" s="8"/>
      <c r="K68" s="7"/>
      <c r="L68" s="7"/>
      <c r="M68" s="7"/>
    </row>
    <row r="69" spans="8:13">
      <c r="H69" s="8"/>
      <c r="I69" s="8"/>
      <c r="J69" s="8"/>
      <c r="K69" s="7"/>
      <c r="L69" s="7"/>
      <c r="M69" s="7"/>
    </row>
    <row r="70" spans="8:13">
      <c r="H70" s="8"/>
      <c r="I70" s="8"/>
      <c r="J70" s="8"/>
      <c r="K70" s="7"/>
      <c r="L70" s="7"/>
      <c r="M70" s="7"/>
    </row>
    <row r="71" spans="8:13">
      <c r="H71" s="8"/>
      <c r="I71" s="8"/>
      <c r="J71" s="8"/>
      <c r="K71" s="7"/>
      <c r="L71" s="7"/>
      <c r="M71" s="7"/>
    </row>
    <row r="72" spans="8:13">
      <c r="H72" s="8"/>
      <c r="I72" s="8"/>
      <c r="J72" s="8"/>
      <c r="K72" s="7"/>
      <c r="L72" s="7"/>
      <c r="M72" s="7"/>
    </row>
    <row r="73" spans="8:13">
      <c r="H73" s="8"/>
      <c r="I73" s="8"/>
      <c r="J73" s="8"/>
      <c r="K73" s="7"/>
      <c r="L73" s="7"/>
      <c r="M73" s="7"/>
    </row>
    <row r="74" spans="8:13">
      <c r="H74" s="8"/>
      <c r="I74" s="8"/>
      <c r="J74" s="8"/>
      <c r="K74" s="7"/>
      <c r="L74" s="7"/>
      <c r="M74" s="7"/>
    </row>
    <row r="75" spans="8:13">
      <c r="H75" s="8"/>
      <c r="I75" s="8"/>
      <c r="J75" s="8"/>
      <c r="K75" s="7"/>
      <c r="L75" s="7"/>
      <c r="M75" s="7"/>
    </row>
    <row r="76" spans="8:13">
      <c r="H76" s="8"/>
      <c r="I76" s="8"/>
      <c r="J76" s="8"/>
      <c r="K76" s="7"/>
      <c r="L76" s="7"/>
      <c r="M76" s="7"/>
    </row>
    <row r="77" spans="8:13">
      <c r="H77" s="8"/>
      <c r="I77" s="8"/>
      <c r="J77" s="8"/>
      <c r="K77" s="7"/>
      <c r="L77" s="7"/>
      <c r="M77" s="7"/>
    </row>
    <row r="78" spans="8:13">
      <c r="H78" s="8"/>
      <c r="I78" s="8"/>
      <c r="J78" s="8"/>
      <c r="K78" s="7"/>
      <c r="L78" s="7"/>
      <c r="M78" s="7"/>
    </row>
    <row r="79" spans="8:13">
      <c r="H79" s="8"/>
      <c r="I79" s="8"/>
      <c r="J79" s="8"/>
      <c r="K79" s="7"/>
      <c r="L79" s="7"/>
      <c r="M79" s="7"/>
    </row>
    <row r="80" spans="8:13">
      <c r="H80" s="8"/>
      <c r="I80" s="8"/>
      <c r="J80" s="8"/>
      <c r="K80" s="7"/>
      <c r="L80" s="7"/>
      <c r="M80" s="7"/>
    </row>
    <row r="81" spans="8:13">
      <c r="H81" s="8"/>
      <c r="I81" s="8"/>
      <c r="J81" s="8"/>
      <c r="K81" s="7"/>
      <c r="L81" s="7"/>
      <c r="M81" s="7"/>
    </row>
    <row r="82" spans="8:13">
      <c r="H82" s="8"/>
      <c r="I82" s="8"/>
      <c r="J82" s="8"/>
      <c r="K82" s="7"/>
      <c r="L82" s="7"/>
      <c r="M82" s="7"/>
    </row>
    <row r="83" spans="8:13">
      <c r="H83" s="8"/>
      <c r="I83" s="8"/>
      <c r="J83" s="8"/>
      <c r="K83" s="7"/>
      <c r="L83" s="7"/>
      <c r="M83" s="7"/>
    </row>
    <row r="84" spans="8:13">
      <c r="H84" s="8"/>
      <c r="I84" s="8"/>
      <c r="J84" s="8"/>
      <c r="K84" s="7"/>
      <c r="L84" s="7"/>
      <c r="M84" s="7"/>
    </row>
    <row r="85" spans="8:13">
      <c r="H85" s="8"/>
      <c r="I85" s="8"/>
      <c r="J85" s="8"/>
      <c r="K85" s="7"/>
      <c r="L85" s="7"/>
      <c r="M85" s="7"/>
    </row>
    <row r="86" spans="8:13">
      <c r="H86" s="8"/>
      <c r="I86" s="8"/>
      <c r="J86" s="8"/>
      <c r="K86" s="7"/>
      <c r="L86" s="7"/>
      <c r="M86" s="7"/>
    </row>
    <row r="87" spans="8:13">
      <c r="H87" s="8"/>
      <c r="I87" s="8"/>
      <c r="J87" s="8"/>
      <c r="K87" s="7"/>
      <c r="L87" s="7"/>
      <c r="M87" s="7"/>
    </row>
    <row r="88" spans="8:13">
      <c r="H88" s="8"/>
      <c r="I88" s="8"/>
      <c r="J88" s="8"/>
      <c r="K88" s="7"/>
      <c r="L88" s="7"/>
      <c r="M88" s="7"/>
    </row>
    <row r="89" spans="8:13">
      <c r="H89" s="8"/>
      <c r="I89" s="8"/>
      <c r="J89" s="8"/>
      <c r="K89" s="7"/>
      <c r="L89" s="7"/>
      <c r="M89" s="7"/>
    </row>
    <row r="90" spans="8:13">
      <c r="H90" s="8"/>
      <c r="I90" s="8"/>
      <c r="J90" s="8"/>
      <c r="K90" s="7"/>
      <c r="L90" s="7"/>
      <c r="M90" s="7"/>
    </row>
    <row r="91" spans="8:13">
      <c r="H91" s="8"/>
      <c r="I91" s="8"/>
      <c r="J91" s="8"/>
      <c r="K91" s="7"/>
      <c r="L91" s="7"/>
      <c r="M91" s="7"/>
    </row>
    <row r="92" spans="8:13">
      <c r="H92" s="8"/>
      <c r="I92" s="8"/>
      <c r="J92" s="8"/>
      <c r="K92" s="7"/>
      <c r="L92" s="7"/>
      <c r="M92" s="7"/>
    </row>
    <row r="93" spans="8:13">
      <c r="H93" s="8"/>
      <c r="I93" s="8"/>
      <c r="J93" s="8"/>
      <c r="K93" s="7"/>
      <c r="L93" s="7"/>
      <c r="M93" s="7"/>
    </row>
    <row r="94" spans="8:13">
      <c r="H94" s="8"/>
      <c r="I94" s="8"/>
      <c r="J94" s="8"/>
      <c r="K94" s="7"/>
      <c r="L94" s="7"/>
      <c r="M94" s="7"/>
    </row>
    <row r="95" spans="8:13">
      <c r="H95" s="8"/>
      <c r="I95" s="8"/>
      <c r="J95" s="8"/>
      <c r="K95" s="7"/>
      <c r="L95" s="7"/>
      <c r="M95" s="7"/>
    </row>
    <row r="96" spans="8:13">
      <c r="H96" s="8"/>
      <c r="I96" s="8"/>
      <c r="J96" s="8"/>
      <c r="K96" s="7"/>
      <c r="L96" s="7"/>
      <c r="M96" s="7"/>
    </row>
    <row r="97" spans="8:13">
      <c r="H97" s="8"/>
      <c r="I97" s="8"/>
      <c r="J97" s="8"/>
      <c r="K97" s="7"/>
      <c r="L97" s="7"/>
      <c r="M97" s="7"/>
    </row>
    <row r="98" spans="8:13">
      <c r="H98" s="8"/>
      <c r="I98" s="8"/>
      <c r="J98" s="8"/>
      <c r="K98" s="7"/>
      <c r="L98" s="7"/>
      <c r="M98" s="7"/>
    </row>
    <row r="99" spans="8:13">
      <c r="H99" s="8"/>
      <c r="I99" s="8"/>
      <c r="J99" s="8"/>
      <c r="K99" s="7"/>
      <c r="L99" s="7"/>
      <c r="M99" s="7"/>
    </row>
    <row r="100" spans="8:13">
      <c r="H100" s="8"/>
      <c r="I100" s="8"/>
      <c r="J100" s="8"/>
      <c r="K100" s="7"/>
      <c r="L100" s="7"/>
      <c r="M100" s="7"/>
    </row>
    <row r="101" spans="8:13">
      <c r="H101" s="8"/>
      <c r="I101" s="8"/>
      <c r="J101" s="8"/>
      <c r="K101" s="7"/>
      <c r="L101" s="7"/>
      <c r="M101" s="7"/>
    </row>
    <row r="102" spans="8:13">
      <c r="H102" s="8"/>
      <c r="I102" s="8"/>
      <c r="J102" s="8"/>
      <c r="K102" s="7"/>
      <c r="L102" s="7"/>
      <c r="M102" s="7"/>
    </row>
    <row r="103" spans="8:13">
      <c r="H103" s="8"/>
      <c r="I103" s="8"/>
      <c r="J103" s="8"/>
      <c r="K103" s="7"/>
      <c r="L103" s="7"/>
      <c r="M103" s="7"/>
    </row>
    <row r="104" spans="8:13">
      <c r="H104" s="8"/>
      <c r="I104" s="8"/>
      <c r="J104" s="8"/>
      <c r="K104" s="7"/>
      <c r="L104" s="7"/>
      <c r="M104" s="7"/>
    </row>
    <row r="105" spans="8:13">
      <c r="H105" s="8"/>
      <c r="I105" s="8"/>
      <c r="J105" s="8"/>
      <c r="K105" s="7"/>
      <c r="L105" s="7"/>
      <c r="M105" s="7"/>
    </row>
    <row r="106" spans="8:13">
      <c r="H106" s="8"/>
      <c r="I106" s="8"/>
      <c r="J106" s="8"/>
      <c r="K106" s="7"/>
      <c r="L106" s="7"/>
      <c r="M106" s="7"/>
    </row>
    <row r="107" spans="8:13">
      <c r="H107" s="8"/>
      <c r="I107" s="8"/>
      <c r="J107" s="8"/>
      <c r="K107" s="7"/>
      <c r="L107" s="7"/>
      <c r="M107" s="7"/>
    </row>
    <row r="108" spans="8:13">
      <c r="H108" s="8"/>
      <c r="I108" s="8"/>
      <c r="J108" s="8"/>
      <c r="K108" s="7"/>
      <c r="L108" s="7"/>
      <c r="M108" s="7"/>
    </row>
    <row r="109" spans="8:13">
      <c r="H109" s="8"/>
      <c r="I109" s="8"/>
      <c r="J109" s="8"/>
      <c r="K109" s="7"/>
      <c r="L109" s="7"/>
      <c r="M109" s="7"/>
    </row>
    <row r="110" spans="8:13">
      <c r="H110" s="8"/>
      <c r="I110" s="8"/>
      <c r="J110" s="8"/>
      <c r="K110" s="7"/>
      <c r="L110" s="7"/>
      <c r="M110" s="7"/>
    </row>
    <row r="111" spans="8:13">
      <c r="H111" s="8"/>
      <c r="I111" s="8"/>
      <c r="J111" s="8"/>
      <c r="K111" s="7"/>
      <c r="L111" s="7"/>
      <c r="M111" s="7"/>
    </row>
    <row r="112" spans="8:13">
      <c r="H112" s="8"/>
      <c r="I112" s="8"/>
      <c r="J112" s="8"/>
      <c r="K112" s="7"/>
      <c r="L112" s="7"/>
      <c r="M112" s="7"/>
    </row>
    <row r="113" spans="8:13">
      <c r="H113" s="8"/>
      <c r="I113" s="8"/>
      <c r="J113" s="8"/>
      <c r="K113" s="7"/>
      <c r="L113" s="7"/>
      <c r="M113" s="7"/>
    </row>
    <row r="114" spans="8:13">
      <c r="H114" s="8"/>
      <c r="I114" s="8"/>
      <c r="J114" s="8"/>
      <c r="K114" s="7"/>
      <c r="L114" s="7"/>
      <c r="M114" s="7"/>
    </row>
    <row r="115" spans="8:13">
      <c r="H115" s="8"/>
      <c r="I115" s="8"/>
      <c r="J115" s="8"/>
      <c r="K115" s="7"/>
      <c r="L115" s="7"/>
      <c r="M115" s="7"/>
    </row>
    <row r="116" spans="8:13">
      <c r="H116" s="8"/>
      <c r="I116" s="8"/>
      <c r="J116" s="8"/>
      <c r="K116" s="7"/>
      <c r="L116" s="7"/>
      <c r="M116" s="7"/>
    </row>
    <row r="117" spans="8:13">
      <c r="H117" s="8"/>
      <c r="I117" s="8"/>
      <c r="J117" s="8"/>
      <c r="K117" s="7"/>
      <c r="L117" s="7"/>
      <c r="M117" s="7"/>
    </row>
    <row r="118" spans="8:13">
      <c r="H118" s="8"/>
      <c r="I118" s="8"/>
      <c r="J118" s="8"/>
      <c r="K118" s="7"/>
      <c r="L118" s="7"/>
      <c r="M118" s="7"/>
    </row>
    <row r="119" spans="8:13">
      <c r="H119" s="8"/>
      <c r="I119" s="8"/>
      <c r="J119" s="8"/>
      <c r="K119" s="7"/>
      <c r="L119" s="7"/>
      <c r="M119" s="7"/>
    </row>
    <row r="120" spans="8:13">
      <c r="H120" s="8"/>
      <c r="I120" s="8"/>
      <c r="J120" s="8"/>
      <c r="K120" s="7"/>
      <c r="L120" s="7"/>
      <c r="M120" s="7"/>
    </row>
    <row r="121" spans="8:13">
      <c r="H121" s="8"/>
      <c r="I121" s="8"/>
      <c r="J121" s="8"/>
      <c r="K121" s="7"/>
      <c r="L121" s="7"/>
      <c r="M121" s="7"/>
    </row>
    <row r="122" spans="8:13">
      <c r="H122" s="8"/>
      <c r="I122" s="8"/>
      <c r="J122" s="8"/>
      <c r="K122" s="7"/>
      <c r="L122" s="7"/>
      <c r="M122" s="7"/>
    </row>
    <row r="123" spans="8:13">
      <c r="H123" s="8"/>
      <c r="I123" s="8"/>
      <c r="J123" s="8"/>
      <c r="K123" s="7"/>
      <c r="L123" s="7"/>
      <c r="M123" s="7"/>
    </row>
    <row r="124" spans="8:13">
      <c r="H124" s="8"/>
      <c r="I124" s="8"/>
      <c r="J124" s="8"/>
      <c r="K124" s="7"/>
      <c r="L124" s="7"/>
      <c r="M124" s="7"/>
    </row>
    <row r="125" spans="8:13">
      <c r="H125" s="8"/>
      <c r="I125" s="8"/>
      <c r="J125" s="8"/>
      <c r="K125" s="7"/>
      <c r="L125" s="7"/>
      <c r="M125" s="7"/>
    </row>
    <row r="126" spans="8:13">
      <c r="H126" s="8"/>
      <c r="I126" s="8"/>
      <c r="J126" s="8"/>
      <c r="K126" s="7"/>
      <c r="L126" s="7"/>
      <c r="M126" s="7"/>
    </row>
    <row r="127" spans="8:13">
      <c r="H127" s="8"/>
      <c r="I127" s="8"/>
      <c r="J127" s="8"/>
      <c r="K127" s="7"/>
      <c r="L127" s="7"/>
      <c r="M127" s="7"/>
    </row>
    <row r="128" spans="8:13">
      <c r="H128" s="8"/>
      <c r="I128" s="8"/>
      <c r="J128" s="8"/>
      <c r="K128" s="7"/>
      <c r="L128" s="7"/>
      <c r="M128" s="7"/>
    </row>
    <row r="129" spans="8:13">
      <c r="H129" s="8"/>
      <c r="I129" s="8"/>
      <c r="J129" s="8"/>
      <c r="K129" s="7"/>
      <c r="L129" s="7"/>
      <c r="M129" s="7"/>
    </row>
    <row r="130" spans="8:13">
      <c r="H130" s="8"/>
      <c r="I130" s="8"/>
      <c r="J130" s="8"/>
      <c r="K130" s="7"/>
      <c r="L130" s="7"/>
      <c r="M130" s="7"/>
    </row>
    <row r="131" spans="8:13">
      <c r="H131" s="8"/>
      <c r="I131" s="8"/>
      <c r="J131" s="8"/>
      <c r="K131" s="7"/>
      <c r="L131" s="7"/>
      <c r="M131" s="7"/>
    </row>
    <row r="132" spans="8:13">
      <c r="H132" s="8"/>
      <c r="I132" s="8"/>
      <c r="J132" s="8"/>
      <c r="K132" s="7"/>
      <c r="L132" s="7"/>
      <c r="M132" s="7"/>
    </row>
    <row r="133" spans="8:13">
      <c r="H133" s="8"/>
      <c r="I133" s="8"/>
      <c r="J133" s="8"/>
      <c r="K133" s="7"/>
      <c r="L133" s="7"/>
      <c r="M133" s="7"/>
    </row>
    <row r="134" spans="8:13">
      <c r="H134" s="8"/>
      <c r="I134" s="8"/>
      <c r="J134" s="8"/>
      <c r="K134" s="7"/>
      <c r="L134" s="7"/>
      <c r="M134" s="7"/>
    </row>
    <row r="135" spans="8:13">
      <c r="H135" s="8"/>
      <c r="I135" s="8"/>
      <c r="J135" s="8"/>
      <c r="K135" s="7"/>
      <c r="L135" s="7"/>
      <c r="M135" s="7"/>
    </row>
    <row r="136" spans="8:13">
      <c r="H136" s="8"/>
      <c r="I136" s="8"/>
      <c r="J136" s="8"/>
      <c r="K136" s="7"/>
      <c r="L136" s="7"/>
      <c r="M136" s="7"/>
    </row>
    <row r="137" spans="8:13">
      <c r="H137" s="8"/>
      <c r="I137" s="8"/>
      <c r="J137" s="8"/>
      <c r="K137" s="7"/>
      <c r="L137" s="7"/>
      <c r="M137" s="7"/>
    </row>
    <row r="138" spans="8:13">
      <c r="H138" s="8"/>
      <c r="I138" s="8"/>
      <c r="J138" s="8"/>
      <c r="K138" s="7"/>
      <c r="L138" s="7"/>
      <c r="M138" s="7"/>
    </row>
    <row r="139" spans="8:13">
      <c r="H139" s="8"/>
      <c r="I139" s="8"/>
      <c r="J139" s="8"/>
      <c r="K139" s="7"/>
      <c r="L139" s="7"/>
      <c r="M139" s="7"/>
    </row>
    <row r="140" spans="8:13">
      <c r="H140" s="8"/>
      <c r="I140" s="8"/>
      <c r="J140" s="8"/>
      <c r="K140" s="7"/>
      <c r="L140" s="7"/>
      <c r="M140" s="7"/>
    </row>
    <row r="141" spans="8:13">
      <c r="H141" s="8"/>
      <c r="I141" s="8"/>
      <c r="J141" s="8"/>
      <c r="K141" s="7"/>
      <c r="L141" s="7"/>
      <c r="M141" s="7"/>
    </row>
    <row r="142" spans="8:13">
      <c r="H142" s="8"/>
      <c r="I142" s="8"/>
      <c r="J142" s="8"/>
      <c r="K142" s="7"/>
      <c r="L142" s="7"/>
      <c r="M142" s="7"/>
    </row>
    <row r="143" spans="8:13">
      <c r="H143" s="8"/>
      <c r="I143" s="8"/>
      <c r="J143" s="8"/>
      <c r="K143" s="7"/>
      <c r="L143" s="7"/>
      <c r="M143" s="7"/>
    </row>
    <row r="144" spans="8:13">
      <c r="H144" s="8"/>
      <c r="I144" s="8"/>
      <c r="J144" s="8"/>
      <c r="K144" s="7"/>
      <c r="L144" s="7"/>
      <c r="M144" s="7"/>
    </row>
    <row r="145" spans="8:13">
      <c r="H145" s="8"/>
      <c r="I145" s="8"/>
      <c r="J145" s="8"/>
      <c r="K145" s="7"/>
      <c r="L145" s="7"/>
      <c r="M145" s="7"/>
    </row>
    <row r="146" spans="8:13">
      <c r="H146" s="8"/>
      <c r="I146" s="8"/>
      <c r="J146" s="8"/>
      <c r="K146" s="7"/>
      <c r="L146" s="7"/>
      <c r="M146" s="7"/>
    </row>
    <row r="147" spans="8:13">
      <c r="H147" s="8"/>
      <c r="I147" s="8"/>
      <c r="J147" s="8"/>
      <c r="K147" s="7"/>
      <c r="L147" s="7"/>
      <c r="M147" s="7"/>
    </row>
    <row r="148" spans="8:13">
      <c r="H148" s="8"/>
      <c r="I148" s="8"/>
      <c r="J148" s="8"/>
      <c r="K148" s="7"/>
      <c r="L148" s="7"/>
      <c r="M148" s="7"/>
    </row>
    <row r="149" spans="8:13">
      <c r="H149" s="8"/>
      <c r="I149" s="8"/>
      <c r="J149" s="8"/>
      <c r="K149" s="7"/>
      <c r="L149" s="7"/>
      <c r="M149" s="7"/>
    </row>
    <row r="150" spans="8:13">
      <c r="H150" s="8"/>
      <c r="I150" s="8"/>
      <c r="J150" s="8"/>
      <c r="K150" s="7"/>
      <c r="L150" s="7"/>
      <c r="M150" s="7"/>
    </row>
    <row r="151" spans="8:13">
      <c r="H151" s="8"/>
      <c r="I151" s="8"/>
      <c r="J151" s="8"/>
      <c r="K151" s="7"/>
      <c r="L151" s="7"/>
      <c r="M151" s="7"/>
    </row>
    <row r="152" spans="8:13">
      <c r="H152" s="8"/>
      <c r="I152" s="8"/>
      <c r="J152" s="8"/>
      <c r="K152" s="7"/>
      <c r="L152" s="7"/>
      <c r="M152" s="7"/>
    </row>
    <row r="153" spans="8:13">
      <c r="H153" s="8"/>
      <c r="I153" s="8"/>
      <c r="J153" s="8"/>
      <c r="K153" s="7"/>
      <c r="L153" s="7"/>
      <c r="M153" s="7"/>
    </row>
    <row r="154" spans="8:13">
      <c r="H154" s="8"/>
      <c r="I154" s="8"/>
      <c r="J154" s="8"/>
      <c r="K154" s="7"/>
      <c r="L154" s="7"/>
      <c r="M154" s="7"/>
    </row>
  </sheetData>
  <mergeCells count="14">
    <mergeCell ref="H14:M14"/>
    <mergeCell ref="B14:E14"/>
    <mergeCell ref="B6:E6"/>
    <mergeCell ref="B13:E13"/>
    <mergeCell ref="B3:E3"/>
    <mergeCell ref="C4:E4"/>
    <mergeCell ref="H6:I6"/>
    <mergeCell ref="H7:I7"/>
    <mergeCell ref="H8:I8"/>
    <mergeCell ref="H9:I9"/>
    <mergeCell ref="K6:L6"/>
    <mergeCell ref="K7:L7"/>
    <mergeCell ref="K8:L8"/>
    <mergeCell ref="K9:L9"/>
  </mergeCells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4495-84A9-2F40-A7E5-8706789887FC}">
  <sheetPr codeName="Sheet2">
    <tabColor rgb="FFFF0000"/>
  </sheetPr>
  <dimension ref="A1:CC1855"/>
  <sheetViews>
    <sheetView topLeftCell="A1388" zoomScale="85" zoomScaleNormal="85" workbookViewId="0">
      <selection activeCell="D1432" sqref="D1432"/>
    </sheetView>
  </sheetViews>
  <sheetFormatPr defaultColWidth="11" defaultRowHeight="15.75"/>
  <cols>
    <col min="1" max="1" width="15.875" bestFit="1" customWidth="1"/>
    <col min="2" max="2" width="12.125" bestFit="1" customWidth="1"/>
    <col min="3" max="3" width="20.625" customWidth="1"/>
    <col min="4" max="4" width="14.5" bestFit="1" customWidth="1"/>
    <col min="5" max="20" width="11.125" bestFit="1" customWidth="1"/>
    <col min="21" max="22" width="20.125" bestFit="1" customWidth="1"/>
    <col min="24" max="24" width="16.875" bestFit="1" customWidth="1"/>
    <col min="25" max="25" width="17.125" bestFit="1" customWidth="1"/>
    <col min="26" max="26" width="11.125" bestFit="1" customWidth="1"/>
    <col min="27" max="27" width="18.125" bestFit="1" customWidth="1"/>
    <col min="28" max="43" width="11.125" bestFit="1" customWidth="1"/>
    <col min="44" max="44" width="14.875" bestFit="1" customWidth="1"/>
    <col min="45" max="45" width="14.625" bestFit="1" customWidth="1"/>
    <col min="81" max="81" width="13.375" customWidth="1"/>
  </cols>
  <sheetData>
    <row r="1" spans="1:22">
      <c r="A1" s="43">
        <f>setup!C16</f>
        <v>3739</v>
      </c>
    </row>
    <row r="2" spans="1:22" s="43" customFormat="1">
      <c r="A2" s="43" t="str">
        <f>_xlfn.CONCAT(setup!D16, " - ",setup!E16)</f>
        <v>CELF-6 RF 1 Clinical Language Disorder (Ages 5-8) - C_LD_RF1</v>
      </c>
    </row>
    <row r="3" spans="1:22">
      <c r="A3" t="s">
        <v>110</v>
      </c>
      <c r="B3" t="s">
        <v>111</v>
      </c>
      <c r="C3" t="s">
        <v>112</v>
      </c>
      <c r="D3" t="s">
        <v>113</v>
      </c>
      <c r="E3" t="s">
        <v>114</v>
      </c>
      <c r="F3" t="s">
        <v>115</v>
      </c>
      <c r="G3" t="s">
        <v>116</v>
      </c>
      <c r="H3" t="s">
        <v>117</v>
      </c>
      <c r="I3" t="s">
        <v>118</v>
      </c>
      <c r="J3" t="s">
        <v>119</v>
      </c>
      <c r="K3" t="s">
        <v>120</v>
      </c>
      <c r="L3" t="s">
        <v>121</v>
      </c>
      <c r="M3" t="s">
        <v>122</v>
      </c>
      <c r="N3" t="s">
        <v>123</v>
      </c>
      <c r="O3" t="s">
        <v>124</v>
      </c>
      <c r="P3" t="s">
        <v>125</v>
      </c>
      <c r="Q3" t="s">
        <v>126</v>
      </c>
      <c r="R3" t="s">
        <v>127</v>
      </c>
      <c r="S3" t="s">
        <v>128</v>
      </c>
      <c r="T3" t="s">
        <v>129</v>
      </c>
      <c r="U3" t="s">
        <v>130</v>
      </c>
      <c r="V3" t="s">
        <v>131</v>
      </c>
    </row>
    <row r="4" spans="1:22">
      <c r="A4" t="s">
        <v>132</v>
      </c>
      <c r="B4" t="s">
        <v>133</v>
      </c>
      <c r="C4" t="s">
        <v>134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50</v>
      </c>
      <c r="V4" t="s">
        <v>135</v>
      </c>
    </row>
    <row r="5" spans="1:22">
      <c r="A5" t="s">
        <v>132</v>
      </c>
      <c r="B5" t="s">
        <v>133</v>
      </c>
      <c r="C5" t="s">
        <v>136</v>
      </c>
      <c r="D5">
        <v>3</v>
      </c>
      <c r="E5">
        <v>14</v>
      </c>
      <c r="F5">
        <v>19</v>
      </c>
      <c r="G5">
        <v>14</v>
      </c>
      <c r="H5">
        <v>0</v>
      </c>
      <c r="I5">
        <v>0</v>
      </c>
      <c r="J5">
        <v>10</v>
      </c>
      <c r="K5">
        <v>5</v>
      </c>
      <c r="L5">
        <v>8</v>
      </c>
      <c r="M5">
        <v>27</v>
      </c>
      <c r="N5">
        <v>16</v>
      </c>
      <c r="O5">
        <v>5</v>
      </c>
      <c r="P5">
        <v>28</v>
      </c>
      <c r="Q5">
        <v>1</v>
      </c>
      <c r="R5">
        <v>19</v>
      </c>
      <c r="S5">
        <v>31</v>
      </c>
      <c r="T5">
        <v>0</v>
      </c>
      <c r="U5">
        <v>50</v>
      </c>
      <c r="V5" t="s">
        <v>135</v>
      </c>
    </row>
    <row r="6" spans="1:22">
      <c r="A6" t="s">
        <v>132</v>
      </c>
      <c r="B6" t="s">
        <v>133</v>
      </c>
      <c r="C6" t="s">
        <v>137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135</v>
      </c>
    </row>
    <row r="7" spans="1:22">
      <c r="A7" t="s">
        <v>132</v>
      </c>
      <c r="B7" t="s">
        <v>133</v>
      </c>
      <c r="C7" t="s">
        <v>138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135</v>
      </c>
    </row>
    <row r="8" spans="1:22">
      <c r="A8" t="s">
        <v>132</v>
      </c>
      <c r="B8" t="s">
        <v>133</v>
      </c>
      <c r="C8" t="s">
        <v>139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135</v>
      </c>
    </row>
    <row r="9" spans="1:22">
      <c r="A9" t="s">
        <v>132</v>
      </c>
      <c r="B9" t="s">
        <v>133</v>
      </c>
      <c r="C9" t="s">
        <v>140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135</v>
      </c>
    </row>
    <row r="10" spans="1:22">
      <c r="A10" t="s">
        <v>132</v>
      </c>
      <c r="B10" t="s">
        <v>133</v>
      </c>
      <c r="C10" t="s">
        <v>141</v>
      </c>
      <c r="D10">
        <v>3</v>
      </c>
      <c r="E10">
        <v>14</v>
      </c>
      <c r="F10">
        <v>19</v>
      </c>
      <c r="G10">
        <v>14</v>
      </c>
      <c r="H10">
        <v>0</v>
      </c>
      <c r="I10">
        <v>0</v>
      </c>
      <c r="J10">
        <v>10</v>
      </c>
      <c r="K10">
        <v>5</v>
      </c>
      <c r="L10">
        <v>8</v>
      </c>
      <c r="M10">
        <v>27</v>
      </c>
      <c r="N10">
        <v>16</v>
      </c>
      <c r="O10">
        <v>5</v>
      </c>
      <c r="P10">
        <v>28</v>
      </c>
      <c r="Q10">
        <v>1</v>
      </c>
      <c r="R10">
        <v>19</v>
      </c>
      <c r="S10">
        <v>31</v>
      </c>
      <c r="T10">
        <v>0</v>
      </c>
      <c r="U10">
        <v>50</v>
      </c>
      <c r="V10" t="s">
        <v>135</v>
      </c>
    </row>
    <row r="11" spans="1:22">
      <c r="A11" t="s">
        <v>132</v>
      </c>
      <c r="B11" t="s">
        <v>133</v>
      </c>
      <c r="C11" t="s">
        <v>142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135</v>
      </c>
    </row>
    <row r="12" spans="1:22">
      <c r="A12" t="s">
        <v>130</v>
      </c>
      <c r="B12" t="s">
        <v>133</v>
      </c>
      <c r="C12" t="s">
        <v>134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50</v>
      </c>
      <c r="V12" t="s">
        <v>135</v>
      </c>
    </row>
    <row r="13" spans="1:22">
      <c r="A13" t="s">
        <v>130</v>
      </c>
      <c r="B13" t="s">
        <v>133</v>
      </c>
      <c r="C13" t="s">
        <v>136</v>
      </c>
      <c r="D13">
        <v>3</v>
      </c>
      <c r="E13">
        <v>14</v>
      </c>
      <c r="F13">
        <v>19</v>
      </c>
      <c r="G13">
        <v>14</v>
      </c>
      <c r="H13">
        <v>0</v>
      </c>
      <c r="I13">
        <v>0</v>
      </c>
      <c r="J13">
        <v>10</v>
      </c>
      <c r="K13">
        <v>5</v>
      </c>
      <c r="L13">
        <v>8</v>
      </c>
      <c r="M13">
        <v>27</v>
      </c>
      <c r="N13">
        <v>16</v>
      </c>
      <c r="O13">
        <v>5</v>
      </c>
      <c r="P13">
        <v>28</v>
      </c>
      <c r="Q13">
        <v>1</v>
      </c>
      <c r="R13">
        <v>19</v>
      </c>
      <c r="S13">
        <v>31</v>
      </c>
      <c r="T13">
        <v>0</v>
      </c>
      <c r="U13">
        <v>50</v>
      </c>
      <c r="V13" t="s">
        <v>135</v>
      </c>
    </row>
    <row r="14" spans="1:22">
      <c r="A14" t="s">
        <v>130</v>
      </c>
      <c r="B14" t="s">
        <v>133</v>
      </c>
      <c r="C14" t="s">
        <v>137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135</v>
      </c>
    </row>
    <row r="15" spans="1:22">
      <c r="A15" t="s">
        <v>130</v>
      </c>
      <c r="B15" t="s">
        <v>133</v>
      </c>
      <c r="C15" t="s">
        <v>138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135</v>
      </c>
    </row>
    <row r="16" spans="1:22">
      <c r="A16" t="s">
        <v>130</v>
      </c>
      <c r="B16" t="s">
        <v>133</v>
      </c>
      <c r="C16" t="s">
        <v>139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135</v>
      </c>
    </row>
    <row r="17" spans="1:22">
      <c r="A17" t="s">
        <v>130</v>
      </c>
      <c r="B17" t="s">
        <v>133</v>
      </c>
      <c r="C17" t="s">
        <v>140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135</v>
      </c>
    </row>
    <row r="18" spans="1:22">
      <c r="A18" t="s">
        <v>130</v>
      </c>
      <c r="B18" t="s">
        <v>133</v>
      </c>
      <c r="C18" t="s">
        <v>141</v>
      </c>
      <c r="D18">
        <v>3</v>
      </c>
      <c r="E18">
        <v>14</v>
      </c>
      <c r="F18">
        <v>19</v>
      </c>
      <c r="G18">
        <v>14</v>
      </c>
      <c r="H18">
        <v>0</v>
      </c>
      <c r="I18">
        <v>0</v>
      </c>
      <c r="J18">
        <v>10</v>
      </c>
      <c r="K18">
        <v>5</v>
      </c>
      <c r="L18">
        <v>8</v>
      </c>
      <c r="M18">
        <v>27</v>
      </c>
      <c r="N18">
        <v>16</v>
      </c>
      <c r="O18">
        <v>5</v>
      </c>
      <c r="P18">
        <v>28</v>
      </c>
      <c r="Q18">
        <v>1</v>
      </c>
      <c r="R18">
        <v>19</v>
      </c>
      <c r="S18">
        <v>31</v>
      </c>
      <c r="T18">
        <v>0</v>
      </c>
      <c r="U18">
        <v>50</v>
      </c>
      <c r="V18" t="s">
        <v>135</v>
      </c>
    </row>
    <row r="19" spans="1:22">
      <c r="A19" t="s">
        <v>130</v>
      </c>
      <c r="B19" t="s">
        <v>133</v>
      </c>
      <c r="C19" t="s">
        <v>142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135</v>
      </c>
    </row>
    <row r="129" spans="1:22">
      <c r="A129">
        <f>setup!C17</f>
        <v>3740</v>
      </c>
    </row>
    <row r="130" spans="1:22">
      <c r="A130" s="43" t="str">
        <f>_xlfn.CONCAT(setup!D17," - ",setup!E17)</f>
        <v>CELF-6 RF 2 Clinical Language Disorder (Ages 9-16) - C_LD_RF2</v>
      </c>
    </row>
    <row r="131" spans="1:22">
      <c r="A131" t="s">
        <v>110</v>
      </c>
      <c r="B131" t="s">
        <v>111</v>
      </c>
      <c r="C131" t="s">
        <v>112</v>
      </c>
      <c r="D131" s="1" t="s">
        <v>113</v>
      </c>
      <c r="E131" s="1" t="s">
        <v>114</v>
      </c>
      <c r="F131" s="1" t="s">
        <v>115</v>
      </c>
      <c r="G131" s="1" t="s">
        <v>116</v>
      </c>
      <c r="H131" s="1" t="s">
        <v>117</v>
      </c>
      <c r="I131" s="1" t="s">
        <v>118</v>
      </c>
      <c r="J131" s="1" t="s">
        <v>119</v>
      </c>
      <c r="K131" s="1" t="s">
        <v>120</v>
      </c>
      <c r="L131" s="1" t="s">
        <v>121</v>
      </c>
      <c r="M131" s="1" t="s">
        <v>122</v>
      </c>
      <c r="N131" s="1" t="s">
        <v>123</v>
      </c>
      <c r="O131" s="1" t="s">
        <v>124</v>
      </c>
      <c r="P131" s="1" t="s">
        <v>125</v>
      </c>
      <c r="Q131" s="1" t="s">
        <v>126</v>
      </c>
      <c r="R131" s="1" t="s">
        <v>127</v>
      </c>
      <c r="S131" s="1" t="s">
        <v>128</v>
      </c>
      <c r="T131" t="s">
        <v>129</v>
      </c>
      <c r="U131" s="1" t="s">
        <v>130</v>
      </c>
      <c r="V131" t="s">
        <v>131</v>
      </c>
    </row>
    <row r="132" spans="1:22">
      <c r="A132" t="s">
        <v>143</v>
      </c>
      <c r="B132" t="s">
        <v>133</v>
      </c>
      <c r="C132" t="s">
        <v>134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50</v>
      </c>
      <c r="V132" s="1" t="s">
        <v>135</v>
      </c>
    </row>
    <row r="133" spans="1:22">
      <c r="A133" t="s">
        <v>143</v>
      </c>
      <c r="B133" t="s">
        <v>133</v>
      </c>
      <c r="C133" t="s">
        <v>136</v>
      </c>
      <c r="D133" s="1">
        <v>16</v>
      </c>
      <c r="E133" s="1">
        <v>18</v>
      </c>
      <c r="F133" s="1">
        <v>5</v>
      </c>
      <c r="G133" s="1">
        <v>10</v>
      </c>
      <c r="H133" s="1">
        <v>0</v>
      </c>
      <c r="I133" s="1">
        <v>1</v>
      </c>
      <c r="J133" s="1">
        <v>7</v>
      </c>
      <c r="K133" s="1">
        <v>24</v>
      </c>
      <c r="L133" s="1">
        <v>1</v>
      </c>
      <c r="M133" s="1">
        <v>16</v>
      </c>
      <c r="N133" s="1">
        <v>7</v>
      </c>
      <c r="O133" s="1">
        <v>6</v>
      </c>
      <c r="P133" s="1">
        <v>14</v>
      </c>
      <c r="Q133" s="1">
        <v>22</v>
      </c>
      <c r="R133" s="1">
        <v>18</v>
      </c>
      <c r="S133" s="1">
        <v>31</v>
      </c>
      <c r="T133" s="1">
        <v>0</v>
      </c>
      <c r="U133" s="1">
        <v>49</v>
      </c>
      <c r="V133" s="1" t="s">
        <v>135</v>
      </c>
    </row>
    <row r="134" spans="1:22">
      <c r="A134" t="s">
        <v>143</v>
      </c>
      <c r="B134" t="s">
        <v>133</v>
      </c>
      <c r="C134" t="s">
        <v>137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 t="s">
        <v>135</v>
      </c>
    </row>
    <row r="135" spans="1:22">
      <c r="A135" t="s">
        <v>143</v>
      </c>
      <c r="B135" t="s">
        <v>133</v>
      </c>
      <c r="C135" t="s">
        <v>138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 t="s">
        <v>135</v>
      </c>
    </row>
    <row r="136" spans="1:22">
      <c r="A136" t="s">
        <v>143</v>
      </c>
      <c r="B136" t="s">
        <v>133</v>
      </c>
      <c r="C136" t="s">
        <v>139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 t="s">
        <v>135</v>
      </c>
    </row>
    <row r="137" spans="1:22">
      <c r="A137" t="s">
        <v>143</v>
      </c>
      <c r="B137" t="s">
        <v>133</v>
      </c>
      <c r="C137" t="s">
        <v>140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 t="s">
        <v>135</v>
      </c>
    </row>
    <row r="138" spans="1:22">
      <c r="A138" t="s">
        <v>143</v>
      </c>
      <c r="B138" t="s">
        <v>133</v>
      </c>
      <c r="C138" t="s">
        <v>141</v>
      </c>
      <c r="D138" s="1">
        <v>16</v>
      </c>
      <c r="E138" s="1">
        <v>18</v>
      </c>
      <c r="F138" s="1">
        <v>5</v>
      </c>
      <c r="G138" s="1">
        <v>10</v>
      </c>
      <c r="H138" s="1">
        <v>0</v>
      </c>
      <c r="I138" s="1">
        <v>1</v>
      </c>
      <c r="J138" s="1">
        <v>7</v>
      </c>
      <c r="K138" s="1">
        <v>24</v>
      </c>
      <c r="L138" s="1">
        <v>1</v>
      </c>
      <c r="M138" s="1">
        <v>16</v>
      </c>
      <c r="N138" s="1">
        <v>7</v>
      </c>
      <c r="O138" s="1">
        <v>6</v>
      </c>
      <c r="P138" s="1">
        <v>14</v>
      </c>
      <c r="Q138" s="1">
        <v>22</v>
      </c>
      <c r="R138" s="1">
        <v>18</v>
      </c>
      <c r="S138" s="1">
        <v>31</v>
      </c>
      <c r="T138" s="1">
        <v>0</v>
      </c>
      <c r="U138" s="1">
        <v>49</v>
      </c>
      <c r="V138" s="1" t="s">
        <v>135</v>
      </c>
    </row>
    <row r="139" spans="1:22">
      <c r="A139" t="s">
        <v>143</v>
      </c>
      <c r="B139" t="s">
        <v>133</v>
      </c>
      <c r="C139" t="s">
        <v>142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 t="s">
        <v>135</v>
      </c>
    </row>
    <row r="140" spans="1:22">
      <c r="A140" t="s">
        <v>130</v>
      </c>
      <c r="B140" t="s">
        <v>133</v>
      </c>
      <c r="C140" t="s">
        <v>134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50</v>
      </c>
      <c r="V140" s="1" t="s">
        <v>135</v>
      </c>
    </row>
    <row r="141" spans="1:22">
      <c r="A141" t="s">
        <v>130</v>
      </c>
      <c r="B141" t="s">
        <v>133</v>
      </c>
      <c r="C141" t="s">
        <v>136</v>
      </c>
      <c r="D141" s="1">
        <v>16</v>
      </c>
      <c r="E141" s="1">
        <v>18</v>
      </c>
      <c r="F141" s="1">
        <v>5</v>
      </c>
      <c r="G141" s="1">
        <v>10</v>
      </c>
      <c r="H141" s="1">
        <v>0</v>
      </c>
      <c r="I141" s="1">
        <v>1</v>
      </c>
      <c r="J141" s="1">
        <v>7</v>
      </c>
      <c r="K141" s="1">
        <v>24</v>
      </c>
      <c r="L141" s="1">
        <v>1</v>
      </c>
      <c r="M141" s="1">
        <v>16</v>
      </c>
      <c r="N141" s="1">
        <v>7</v>
      </c>
      <c r="O141" s="1">
        <v>6</v>
      </c>
      <c r="P141" s="1">
        <v>14</v>
      </c>
      <c r="Q141" s="1">
        <v>22</v>
      </c>
      <c r="R141" s="1">
        <v>18</v>
      </c>
      <c r="S141" s="1">
        <v>31</v>
      </c>
      <c r="T141" s="1">
        <v>0</v>
      </c>
      <c r="U141" s="1">
        <v>49</v>
      </c>
      <c r="V141" s="1" t="s">
        <v>135</v>
      </c>
    </row>
    <row r="142" spans="1:22">
      <c r="A142" t="s">
        <v>130</v>
      </c>
      <c r="B142" t="s">
        <v>133</v>
      </c>
      <c r="C142" t="s">
        <v>137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 t="s">
        <v>135</v>
      </c>
    </row>
    <row r="143" spans="1:22">
      <c r="A143" t="s">
        <v>130</v>
      </c>
      <c r="B143" t="s">
        <v>133</v>
      </c>
      <c r="C143" t="s">
        <v>138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 t="s">
        <v>135</v>
      </c>
    </row>
    <row r="144" spans="1:22">
      <c r="A144" t="s">
        <v>130</v>
      </c>
      <c r="B144" t="s">
        <v>133</v>
      </c>
      <c r="C144" t="s">
        <v>139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 t="s">
        <v>135</v>
      </c>
    </row>
    <row r="145" spans="1:81">
      <c r="A145" t="s">
        <v>130</v>
      </c>
      <c r="B145" t="s">
        <v>133</v>
      </c>
      <c r="C145" t="s">
        <v>140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 t="s">
        <v>135</v>
      </c>
    </row>
    <row r="146" spans="1:81">
      <c r="A146" t="s">
        <v>130</v>
      </c>
      <c r="B146" t="s">
        <v>133</v>
      </c>
      <c r="C146" t="s">
        <v>141</v>
      </c>
      <c r="D146" s="1">
        <v>16</v>
      </c>
      <c r="E146" s="1">
        <v>18</v>
      </c>
      <c r="F146" s="1">
        <v>5</v>
      </c>
      <c r="G146" s="1">
        <v>10</v>
      </c>
      <c r="H146" s="1">
        <v>0</v>
      </c>
      <c r="I146" s="1">
        <v>1</v>
      </c>
      <c r="J146" s="1">
        <v>7</v>
      </c>
      <c r="K146" s="1">
        <v>24</v>
      </c>
      <c r="L146" s="1">
        <v>1</v>
      </c>
      <c r="M146" s="1">
        <v>16</v>
      </c>
      <c r="N146" s="1">
        <v>7</v>
      </c>
      <c r="O146" s="1">
        <v>6</v>
      </c>
      <c r="P146" s="1">
        <v>14</v>
      </c>
      <c r="Q146" s="1">
        <v>22</v>
      </c>
      <c r="R146" s="1">
        <v>18</v>
      </c>
      <c r="S146" s="1">
        <v>31</v>
      </c>
      <c r="T146" s="1">
        <v>0</v>
      </c>
      <c r="U146" s="1">
        <v>49</v>
      </c>
      <c r="V146" s="1" t="s">
        <v>135</v>
      </c>
    </row>
    <row r="147" spans="1:81">
      <c r="A147" t="s">
        <v>130</v>
      </c>
      <c r="B147" t="s">
        <v>133</v>
      </c>
      <c r="C147" t="s">
        <v>142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 t="s">
        <v>135</v>
      </c>
    </row>
    <row r="148" spans="1:81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81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81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81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81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81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81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81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81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81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81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81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81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</row>
    <row r="161" spans="4:22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4:22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4:22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4:22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4:22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4:22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4:22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4:22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4:22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4:22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4:22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4:22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4:22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4:22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4:22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4:22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4:22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4:22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4:22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4:22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4:22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4:2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4:2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4:2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4:2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4:2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4:2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4:2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4:2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4:2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4:2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4:2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4:2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4:2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4:2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4:2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4:2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4:2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4:2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4:2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4:2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4:2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4:2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4:2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4:2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4:2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4:2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4:2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4:2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4:2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4:2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29" spans="1:81">
      <c r="A229" s="43">
        <f>setup!C18</f>
        <v>3741</v>
      </c>
    </row>
    <row r="230" spans="1:81" s="43" customFormat="1">
      <c r="A230" s="43" t="str">
        <f>_xlfn.CONCAT(setup!D18," - ",setup!E18)</f>
        <v>CELF-6 RF 1 Clinical Hard of Hearing (Ages 5-8) - C_HH_RF1</v>
      </c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</row>
    <row r="231" spans="1:81">
      <c r="A231" t="s">
        <v>110</v>
      </c>
      <c r="B231" t="s">
        <v>111</v>
      </c>
      <c r="C231" t="s">
        <v>112</v>
      </c>
      <c r="D231" s="1" t="s">
        <v>113</v>
      </c>
      <c r="E231" s="1" t="s">
        <v>114</v>
      </c>
      <c r="F231" s="1" t="s">
        <v>115</v>
      </c>
      <c r="G231" s="1" t="s">
        <v>116</v>
      </c>
      <c r="H231" s="1" t="s">
        <v>117</v>
      </c>
      <c r="I231" s="1" t="s">
        <v>118</v>
      </c>
      <c r="J231" s="1" t="s">
        <v>119</v>
      </c>
      <c r="K231" s="1" t="s">
        <v>120</v>
      </c>
      <c r="L231" s="1" t="s">
        <v>121</v>
      </c>
      <c r="M231" s="1" t="s">
        <v>122</v>
      </c>
      <c r="N231" s="1" t="s">
        <v>123</v>
      </c>
      <c r="O231" s="1" t="s">
        <v>124</v>
      </c>
      <c r="P231" s="1" t="s">
        <v>125</v>
      </c>
      <c r="Q231" s="1" t="s">
        <v>126</v>
      </c>
      <c r="R231" s="1" t="s">
        <v>127</v>
      </c>
      <c r="S231" s="1" t="s">
        <v>128</v>
      </c>
      <c r="T231" t="s">
        <v>129</v>
      </c>
      <c r="U231" s="1" t="s">
        <v>130</v>
      </c>
      <c r="V231" t="s">
        <v>131</v>
      </c>
    </row>
    <row r="232" spans="1:81">
      <c r="A232" t="s">
        <v>132</v>
      </c>
      <c r="B232" t="s">
        <v>133</v>
      </c>
      <c r="C232" t="s">
        <v>134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30</v>
      </c>
      <c r="V232" s="1" t="s">
        <v>135</v>
      </c>
    </row>
    <row r="233" spans="1:81">
      <c r="A233" t="s">
        <v>132</v>
      </c>
      <c r="B233" t="s">
        <v>133</v>
      </c>
      <c r="C233" t="s">
        <v>136</v>
      </c>
      <c r="D233" s="1">
        <v>3</v>
      </c>
      <c r="E233" s="1">
        <v>4</v>
      </c>
      <c r="F233" s="1">
        <v>4</v>
      </c>
      <c r="G233" s="1">
        <v>18</v>
      </c>
      <c r="H233" s="1">
        <v>0</v>
      </c>
      <c r="I233" s="1">
        <v>0</v>
      </c>
      <c r="J233" s="1">
        <v>0</v>
      </c>
      <c r="K233" s="1">
        <v>3</v>
      </c>
      <c r="L233" s="1">
        <v>1</v>
      </c>
      <c r="M233" s="1">
        <v>25</v>
      </c>
      <c r="N233" s="1">
        <v>9</v>
      </c>
      <c r="O233" s="1">
        <v>3</v>
      </c>
      <c r="P233" s="1">
        <v>12</v>
      </c>
      <c r="Q233" s="1">
        <v>5</v>
      </c>
      <c r="R233" s="1">
        <v>19</v>
      </c>
      <c r="S233" s="1">
        <v>10</v>
      </c>
      <c r="T233" s="1">
        <v>0</v>
      </c>
      <c r="U233" s="1">
        <v>29</v>
      </c>
      <c r="V233" s="1" t="s">
        <v>135</v>
      </c>
    </row>
    <row r="234" spans="1:81">
      <c r="A234" t="s">
        <v>132</v>
      </c>
      <c r="B234" t="s">
        <v>133</v>
      </c>
      <c r="C234" t="s">
        <v>137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 t="s">
        <v>135</v>
      </c>
    </row>
    <row r="235" spans="1:81">
      <c r="A235" t="s">
        <v>132</v>
      </c>
      <c r="B235" t="s">
        <v>133</v>
      </c>
      <c r="C235" t="s">
        <v>138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 t="s">
        <v>135</v>
      </c>
    </row>
    <row r="236" spans="1:81">
      <c r="A236" t="s">
        <v>132</v>
      </c>
      <c r="B236" t="s">
        <v>133</v>
      </c>
      <c r="C236" t="s">
        <v>139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 t="s">
        <v>135</v>
      </c>
    </row>
    <row r="237" spans="1:81">
      <c r="A237" t="s">
        <v>132</v>
      </c>
      <c r="B237" t="s">
        <v>133</v>
      </c>
      <c r="C237" t="s">
        <v>140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 t="s">
        <v>135</v>
      </c>
    </row>
    <row r="238" spans="1:81">
      <c r="A238" t="s">
        <v>132</v>
      </c>
      <c r="B238" t="s">
        <v>133</v>
      </c>
      <c r="C238" t="s">
        <v>141</v>
      </c>
      <c r="D238" s="1">
        <v>3</v>
      </c>
      <c r="E238" s="1">
        <v>4</v>
      </c>
      <c r="F238" s="1">
        <v>4</v>
      </c>
      <c r="G238" s="1">
        <v>18</v>
      </c>
      <c r="H238" s="1">
        <v>0</v>
      </c>
      <c r="I238" s="1">
        <v>0</v>
      </c>
      <c r="J238" s="1">
        <v>0</v>
      </c>
      <c r="K238" s="1">
        <v>3</v>
      </c>
      <c r="L238" s="1">
        <v>1</v>
      </c>
      <c r="M238" s="1">
        <v>25</v>
      </c>
      <c r="N238" s="1">
        <v>9</v>
      </c>
      <c r="O238" s="1">
        <v>3</v>
      </c>
      <c r="P238" s="1">
        <v>12</v>
      </c>
      <c r="Q238" s="1">
        <v>5</v>
      </c>
      <c r="R238" s="1">
        <v>19</v>
      </c>
      <c r="S238" s="1">
        <v>10</v>
      </c>
      <c r="T238" s="1">
        <v>0</v>
      </c>
      <c r="U238" s="1">
        <v>29</v>
      </c>
      <c r="V238" s="1" t="s">
        <v>135</v>
      </c>
    </row>
    <row r="239" spans="1:81">
      <c r="A239" t="s">
        <v>132</v>
      </c>
      <c r="B239" t="s">
        <v>133</v>
      </c>
      <c r="C239" t="s">
        <v>142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 t="s">
        <v>135</v>
      </c>
    </row>
    <row r="240" spans="1:81">
      <c r="A240" t="s">
        <v>130</v>
      </c>
      <c r="B240" t="s">
        <v>133</v>
      </c>
      <c r="C240" t="s">
        <v>134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30</v>
      </c>
      <c r="V240" s="1" t="s">
        <v>135</v>
      </c>
    </row>
    <row r="241" spans="1:22">
      <c r="A241" t="s">
        <v>130</v>
      </c>
      <c r="B241" t="s">
        <v>133</v>
      </c>
      <c r="C241" t="s">
        <v>136</v>
      </c>
      <c r="D241" s="1">
        <v>3</v>
      </c>
      <c r="E241" s="1">
        <v>4</v>
      </c>
      <c r="F241" s="1">
        <v>4</v>
      </c>
      <c r="G241" s="1">
        <v>18</v>
      </c>
      <c r="H241" s="1">
        <v>0</v>
      </c>
      <c r="I241" s="1">
        <v>0</v>
      </c>
      <c r="J241" s="1">
        <v>0</v>
      </c>
      <c r="K241" s="1">
        <v>3</v>
      </c>
      <c r="L241" s="1">
        <v>1</v>
      </c>
      <c r="M241" s="1">
        <v>25</v>
      </c>
      <c r="N241" s="1">
        <v>9</v>
      </c>
      <c r="O241" s="1">
        <v>3</v>
      </c>
      <c r="P241" s="1">
        <v>12</v>
      </c>
      <c r="Q241" s="1">
        <v>5</v>
      </c>
      <c r="R241" s="1">
        <v>19</v>
      </c>
      <c r="S241" s="1">
        <v>10</v>
      </c>
      <c r="T241" s="1">
        <v>0</v>
      </c>
      <c r="U241" s="1">
        <v>29</v>
      </c>
      <c r="V241" s="1" t="s">
        <v>135</v>
      </c>
    </row>
    <row r="242" spans="1:22">
      <c r="A242" t="s">
        <v>130</v>
      </c>
      <c r="B242" t="s">
        <v>133</v>
      </c>
      <c r="C242" t="s">
        <v>137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 t="s">
        <v>135</v>
      </c>
    </row>
    <row r="243" spans="1:22">
      <c r="A243" t="s">
        <v>130</v>
      </c>
      <c r="B243" t="s">
        <v>133</v>
      </c>
      <c r="C243" t="s">
        <v>138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 t="s">
        <v>135</v>
      </c>
    </row>
    <row r="244" spans="1:22">
      <c r="A244" t="s">
        <v>130</v>
      </c>
      <c r="B244" t="s">
        <v>133</v>
      </c>
      <c r="C244" t="s">
        <v>139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 t="s">
        <v>135</v>
      </c>
    </row>
    <row r="245" spans="1:22">
      <c r="A245" t="s">
        <v>130</v>
      </c>
      <c r="B245" t="s">
        <v>133</v>
      </c>
      <c r="C245" t="s">
        <v>140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 t="s">
        <v>135</v>
      </c>
    </row>
    <row r="246" spans="1:22">
      <c r="A246" t="s">
        <v>130</v>
      </c>
      <c r="B246" t="s">
        <v>133</v>
      </c>
      <c r="C246" t="s">
        <v>141</v>
      </c>
      <c r="D246" s="1">
        <v>3</v>
      </c>
      <c r="E246" s="1">
        <v>4</v>
      </c>
      <c r="F246" s="1">
        <v>4</v>
      </c>
      <c r="G246" s="1">
        <v>18</v>
      </c>
      <c r="H246" s="1">
        <v>0</v>
      </c>
      <c r="I246" s="1">
        <v>0</v>
      </c>
      <c r="J246" s="1">
        <v>0</v>
      </c>
      <c r="K246" s="1">
        <v>3</v>
      </c>
      <c r="L246" s="1">
        <v>1</v>
      </c>
      <c r="M246" s="1">
        <v>25</v>
      </c>
      <c r="N246" s="1">
        <v>9</v>
      </c>
      <c r="O246" s="1">
        <v>3</v>
      </c>
      <c r="P246" s="1">
        <v>12</v>
      </c>
      <c r="Q246" s="1">
        <v>5</v>
      </c>
      <c r="R246" s="1">
        <v>19</v>
      </c>
      <c r="S246" s="1">
        <v>10</v>
      </c>
      <c r="T246" s="1">
        <v>0</v>
      </c>
      <c r="U246" s="1">
        <v>29</v>
      </c>
      <c r="V246" s="1" t="s">
        <v>135</v>
      </c>
    </row>
    <row r="247" spans="1:22">
      <c r="A247" t="s">
        <v>130</v>
      </c>
      <c r="B247" t="s">
        <v>133</v>
      </c>
      <c r="C247" t="s">
        <v>142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 t="s">
        <v>135</v>
      </c>
    </row>
    <row r="248" spans="1:22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4:22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4:22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4:22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4:22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4:22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4:22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4:22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4:22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4:22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4:22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4:22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4:22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4:22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4:22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4:22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4:22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4:22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4:22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4:22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4:22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4:22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4:22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4:22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4:22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4:22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4:22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4:22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4:22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4:22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4:22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4:22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4:22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4:22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4:22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4:22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4:22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4:22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4:22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4:22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4:22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4:22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4:22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4:22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4:22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4:22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4:22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4:22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4:22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4:21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4:21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4:21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4:21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4:21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4:21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4:21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4:21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4:21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4:21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4:21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4:21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4:21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4:21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4:21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4:21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2">
      <c r="A329">
        <f>setup!C19</f>
        <v>3742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2">
      <c r="A330" t="str">
        <f>_xlfn.CONCAT(setup!D19, " - ",setup!E19)</f>
        <v>CELF-6 RF 2 Clinical Hard of Hearing (Ages 9-16) - C_HH_RF2</v>
      </c>
    </row>
    <row r="331" spans="1:22">
      <c r="A331" t="s">
        <v>110</v>
      </c>
      <c r="B331" t="s">
        <v>111</v>
      </c>
      <c r="C331" t="s">
        <v>112</v>
      </c>
      <c r="D331" s="1" t="s">
        <v>113</v>
      </c>
      <c r="E331" s="1" t="s">
        <v>114</v>
      </c>
      <c r="F331" s="1" t="s">
        <v>115</v>
      </c>
      <c r="G331" s="1" t="s">
        <v>116</v>
      </c>
      <c r="H331" s="1" t="s">
        <v>117</v>
      </c>
      <c r="I331" s="1" t="s">
        <v>118</v>
      </c>
      <c r="J331" s="1" t="s">
        <v>119</v>
      </c>
      <c r="K331" s="1" t="s">
        <v>120</v>
      </c>
      <c r="L331" s="1" t="s">
        <v>121</v>
      </c>
      <c r="M331" s="1" t="s">
        <v>122</v>
      </c>
      <c r="N331" s="1" t="s">
        <v>123</v>
      </c>
      <c r="O331" s="1" t="s">
        <v>124</v>
      </c>
      <c r="P331" s="1" t="s">
        <v>125</v>
      </c>
      <c r="Q331" s="1" t="s">
        <v>126</v>
      </c>
      <c r="R331" s="1" t="s">
        <v>127</v>
      </c>
      <c r="S331" s="1" t="s">
        <v>128</v>
      </c>
      <c r="T331" t="s">
        <v>129</v>
      </c>
      <c r="U331" s="1" t="s">
        <v>130</v>
      </c>
      <c r="V331" t="s">
        <v>131</v>
      </c>
    </row>
    <row r="332" spans="1:22">
      <c r="A332" t="s">
        <v>143</v>
      </c>
      <c r="B332" t="s">
        <v>133</v>
      </c>
      <c r="C332" t="s">
        <v>134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30</v>
      </c>
      <c r="V332" s="1" t="s">
        <v>135</v>
      </c>
    </row>
    <row r="333" spans="1:22">
      <c r="A333" t="s">
        <v>143</v>
      </c>
      <c r="B333" t="s">
        <v>133</v>
      </c>
      <c r="C333" t="s">
        <v>136</v>
      </c>
      <c r="D333" s="1">
        <v>1</v>
      </c>
      <c r="E333" s="1">
        <v>1</v>
      </c>
      <c r="F333" s="1">
        <v>5</v>
      </c>
      <c r="G333" s="1">
        <v>24</v>
      </c>
      <c r="H333" s="1">
        <v>0</v>
      </c>
      <c r="I333" s="1">
        <v>0</v>
      </c>
      <c r="J333" s="1">
        <v>0</v>
      </c>
      <c r="K333" s="1">
        <v>2</v>
      </c>
      <c r="L333" s="1">
        <v>4</v>
      </c>
      <c r="M333" s="1">
        <v>25</v>
      </c>
      <c r="N333" s="1">
        <v>11</v>
      </c>
      <c r="O333" s="1">
        <v>7</v>
      </c>
      <c r="P333" s="1">
        <v>7</v>
      </c>
      <c r="Q333" s="1">
        <v>6</v>
      </c>
      <c r="R333" s="1">
        <v>15</v>
      </c>
      <c r="S333" s="1">
        <v>16</v>
      </c>
      <c r="T333" s="1">
        <v>0</v>
      </c>
      <c r="U333" s="1">
        <v>31</v>
      </c>
      <c r="V333" s="1" t="s">
        <v>135</v>
      </c>
    </row>
    <row r="334" spans="1:22">
      <c r="A334" t="s">
        <v>143</v>
      </c>
      <c r="B334" t="s">
        <v>133</v>
      </c>
      <c r="C334" t="s">
        <v>137</v>
      </c>
      <c r="D334" s="1">
        <v>0</v>
      </c>
      <c r="E334" s="1">
        <v>0</v>
      </c>
      <c r="F334" s="1">
        <v>0</v>
      </c>
      <c r="G334" s="1">
        <v>4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4</v>
      </c>
      <c r="N334" s="1">
        <v>4</v>
      </c>
      <c r="O334" s="1">
        <v>0</v>
      </c>
      <c r="P334" s="1">
        <v>0</v>
      </c>
      <c r="Q334" s="1">
        <v>0</v>
      </c>
      <c r="R334" s="1">
        <v>3</v>
      </c>
      <c r="S334" s="1">
        <v>1</v>
      </c>
      <c r="T334" s="1">
        <v>0</v>
      </c>
      <c r="U334" s="1">
        <v>4</v>
      </c>
      <c r="V334" s="1" t="s">
        <v>135</v>
      </c>
    </row>
    <row r="335" spans="1:22">
      <c r="A335" t="s">
        <v>143</v>
      </c>
      <c r="B335" t="s">
        <v>133</v>
      </c>
      <c r="C335" t="s">
        <v>138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 t="s">
        <v>135</v>
      </c>
    </row>
    <row r="336" spans="1:22">
      <c r="A336" t="s">
        <v>143</v>
      </c>
      <c r="B336" t="s">
        <v>133</v>
      </c>
      <c r="C336" t="s">
        <v>139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 t="s">
        <v>135</v>
      </c>
    </row>
    <row r="337" spans="1:22">
      <c r="A337" t="s">
        <v>143</v>
      </c>
      <c r="B337" t="s">
        <v>133</v>
      </c>
      <c r="C337" t="s">
        <v>140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 t="s">
        <v>135</v>
      </c>
    </row>
    <row r="338" spans="1:22">
      <c r="A338" t="s">
        <v>143</v>
      </c>
      <c r="B338" t="s">
        <v>133</v>
      </c>
      <c r="C338" t="s">
        <v>141</v>
      </c>
      <c r="D338" s="1">
        <v>1</v>
      </c>
      <c r="E338" s="1">
        <v>1</v>
      </c>
      <c r="F338" s="1">
        <v>5</v>
      </c>
      <c r="G338" s="1">
        <v>28</v>
      </c>
      <c r="H338" s="1">
        <v>0</v>
      </c>
      <c r="I338" s="1">
        <v>0</v>
      </c>
      <c r="J338" s="1">
        <v>0</v>
      </c>
      <c r="K338" s="1">
        <v>2</v>
      </c>
      <c r="L338" s="1">
        <v>4</v>
      </c>
      <c r="M338" s="1">
        <v>29</v>
      </c>
      <c r="N338" s="1">
        <v>15</v>
      </c>
      <c r="O338" s="1">
        <v>7</v>
      </c>
      <c r="P338" s="1">
        <v>7</v>
      </c>
      <c r="Q338" s="1">
        <v>6</v>
      </c>
      <c r="R338" s="1">
        <v>18</v>
      </c>
      <c r="S338" s="1">
        <v>17</v>
      </c>
      <c r="T338" s="1">
        <v>0</v>
      </c>
      <c r="U338" s="1">
        <v>35</v>
      </c>
      <c r="V338" s="1" t="s">
        <v>135</v>
      </c>
    </row>
    <row r="339" spans="1:22">
      <c r="A339" t="s">
        <v>143</v>
      </c>
      <c r="B339" t="s">
        <v>133</v>
      </c>
      <c r="C339" t="s">
        <v>142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 t="s">
        <v>135</v>
      </c>
    </row>
    <row r="340" spans="1:22">
      <c r="A340" t="s">
        <v>130</v>
      </c>
      <c r="B340" t="s">
        <v>133</v>
      </c>
      <c r="C340" t="s">
        <v>134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30</v>
      </c>
      <c r="V340" s="1" t="s">
        <v>135</v>
      </c>
    </row>
    <row r="341" spans="1:22">
      <c r="A341" t="s">
        <v>130</v>
      </c>
      <c r="B341" t="s">
        <v>133</v>
      </c>
      <c r="C341" t="s">
        <v>136</v>
      </c>
      <c r="D341" s="1">
        <v>1</v>
      </c>
      <c r="E341" s="1">
        <v>1</v>
      </c>
      <c r="F341" s="1">
        <v>5</v>
      </c>
      <c r="G341" s="1">
        <v>24</v>
      </c>
      <c r="H341" s="1">
        <v>0</v>
      </c>
      <c r="I341" s="1">
        <v>0</v>
      </c>
      <c r="J341" s="1">
        <v>0</v>
      </c>
      <c r="K341" s="1">
        <v>2</v>
      </c>
      <c r="L341" s="1">
        <v>4</v>
      </c>
      <c r="M341" s="1">
        <v>25</v>
      </c>
      <c r="N341" s="1">
        <v>11</v>
      </c>
      <c r="O341" s="1">
        <v>7</v>
      </c>
      <c r="P341" s="1">
        <v>7</v>
      </c>
      <c r="Q341" s="1">
        <v>6</v>
      </c>
      <c r="R341" s="1">
        <v>15</v>
      </c>
      <c r="S341" s="1">
        <v>16</v>
      </c>
      <c r="T341" s="1">
        <v>0</v>
      </c>
      <c r="U341" s="1">
        <v>31</v>
      </c>
      <c r="V341" s="1" t="s">
        <v>135</v>
      </c>
    </row>
    <row r="342" spans="1:22">
      <c r="A342" t="s">
        <v>130</v>
      </c>
      <c r="B342" t="s">
        <v>133</v>
      </c>
      <c r="C342" t="s">
        <v>137</v>
      </c>
      <c r="D342" s="1">
        <v>0</v>
      </c>
      <c r="E342" s="1">
        <v>0</v>
      </c>
      <c r="F342" s="1">
        <v>0</v>
      </c>
      <c r="G342" s="1">
        <v>4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4</v>
      </c>
      <c r="N342" s="1">
        <v>4</v>
      </c>
      <c r="O342" s="1">
        <v>0</v>
      </c>
      <c r="P342" s="1">
        <v>0</v>
      </c>
      <c r="Q342" s="1">
        <v>0</v>
      </c>
      <c r="R342" s="1">
        <v>3</v>
      </c>
      <c r="S342" s="1">
        <v>1</v>
      </c>
      <c r="T342" s="1">
        <v>0</v>
      </c>
      <c r="U342" s="1">
        <v>4</v>
      </c>
      <c r="V342" s="1" t="s">
        <v>135</v>
      </c>
    </row>
    <row r="343" spans="1:22">
      <c r="A343" t="s">
        <v>130</v>
      </c>
      <c r="B343" t="s">
        <v>133</v>
      </c>
      <c r="C343" t="s">
        <v>138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 t="s">
        <v>135</v>
      </c>
    </row>
    <row r="344" spans="1:22">
      <c r="A344" t="s">
        <v>130</v>
      </c>
      <c r="B344" t="s">
        <v>133</v>
      </c>
      <c r="C344" t="s">
        <v>139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 t="s">
        <v>135</v>
      </c>
    </row>
    <row r="345" spans="1:22">
      <c r="A345" t="s">
        <v>130</v>
      </c>
      <c r="B345" t="s">
        <v>133</v>
      </c>
      <c r="C345" t="s">
        <v>140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 t="s">
        <v>135</v>
      </c>
    </row>
    <row r="346" spans="1:22">
      <c r="A346" t="s">
        <v>130</v>
      </c>
      <c r="B346" t="s">
        <v>133</v>
      </c>
      <c r="C346" t="s">
        <v>141</v>
      </c>
      <c r="D346" s="1">
        <v>1</v>
      </c>
      <c r="E346" s="1">
        <v>1</v>
      </c>
      <c r="F346" s="1">
        <v>5</v>
      </c>
      <c r="G346" s="1">
        <v>28</v>
      </c>
      <c r="H346" s="1">
        <v>0</v>
      </c>
      <c r="I346" s="1">
        <v>0</v>
      </c>
      <c r="J346" s="1">
        <v>0</v>
      </c>
      <c r="K346" s="1">
        <v>2</v>
      </c>
      <c r="L346" s="1">
        <v>4</v>
      </c>
      <c r="M346" s="1">
        <v>29</v>
      </c>
      <c r="N346" s="1">
        <v>15</v>
      </c>
      <c r="O346" s="1">
        <v>7</v>
      </c>
      <c r="P346" s="1">
        <v>7</v>
      </c>
      <c r="Q346" s="1">
        <v>6</v>
      </c>
      <c r="R346" s="1">
        <v>18</v>
      </c>
      <c r="S346" s="1">
        <v>17</v>
      </c>
      <c r="T346" s="1">
        <v>0</v>
      </c>
      <c r="U346" s="1">
        <v>35</v>
      </c>
      <c r="V346" s="1" t="s">
        <v>135</v>
      </c>
    </row>
    <row r="347" spans="1:22">
      <c r="A347" t="s">
        <v>130</v>
      </c>
      <c r="B347" t="s">
        <v>133</v>
      </c>
      <c r="C347" t="s">
        <v>142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 t="s">
        <v>135</v>
      </c>
    </row>
    <row r="348" spans="1:22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4:22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4:22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4:22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4:22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4:22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4:22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4:22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4:22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4:22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4:2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4:2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4:2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4:2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4:2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4:2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4:2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4:2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4:2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4:2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4:2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4:2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4:2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4:2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4:2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4:2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4:2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4:2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4:2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4:2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4:2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4:2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4:2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4:2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4:2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4:2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4:2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4:2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4:2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4:2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4:2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4:2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4:2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4:2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4:2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4:2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4:2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4:2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4:2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4:2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4:2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4:2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4:2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4:2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4:2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4:2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4:2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4:2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4:2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4:2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4:2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4:2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4:2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4:2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4:2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2">
      <c r="A429" s="1">
        <f>setup!C20</f>
        <v>3743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2">
      <c r="A430" t="str">
        <f>_xlfn.CONCAT(setup!D20," - ",setup!E20)</f>
        <v>CELF-6 RF 1 Clinical Autism Spectrum Disorder (Ages 5-8) - C_ASDL_RF1</v>
      </c>
      <c r="D430" s="1"/>
      <c r="E430" s="1"/>
      <c r="F430" s="1"/>
      <c r="G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2">
      <c r="A431" t="s">
        <v>110</v>
      </c>
      <c r="B431" t="s">
        <v>111</v>
      </c>
      <c r="C431" t="s">
        <v>112</v>
      </c>
      <c r="D431" s="1" t="s">
        <v>113</v>
      </c>
      <c r="E431" s="1" t="s">
        <v>114</v>
      </c>
      <c r="F431" s="1" t="s">
        <v>115</v>
      </c>
      <c r="G431" s="1" t="s">
        <v>116</v>
      </c>
      <c r="H431" s="1" t="s">
        <v>117</v>
      </c>
      <c r="I431" s="1" t="s">
        <v>118</v>
      </c>
      <c r="J431" s="1" t="s">
        <v>119</v>
      </c>
      <c r="K431" s="1" t="s">
        <v>120</v>
      </c>
      <c r="L431" s="1" t="s">
        <v>121</v>
      </c>
      <c r="M431" s="1" t="s">
        <v>122</v>
      </c>
      <c r="N431" s="1" t="s">
        <v>123</v>
      </c>
      <c r="O431" s="1" t="s">
        <v>124</v>
      </c>
      <c r="P431" s="1" t="s">
        <v>125</v>
      </c>
      <c r="Q431" s="1" t="s">
        <v>126</v>
      </c>
      <c r="R431" s="1" t="s">
        <v>127</v>
      </c>
      <c r="S431" s="1" t="s">
        <v>128</v>
      </c>
      <c r="T431" t="s">
        <v>129</v>
      </c>
      <c r="U431" s="1" t="s">
        <v>130</v>
      </c>
      <c r="V431" t="s">
        <v>131</v>
      </c>
    </row>
    <row r="432" spans="1:22">
      <c r="A432" t="s">
        <v>132</v>
      </c>
      <c r="B432" t="s">
        <v>133</v>
      </c>
      <c r="C432" t="s">
        <v>134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30</v>
      </c>
      <c r="V432" s="1" t="s">
        <v>135</v>
      </c>
    </row>
    <row r="433" spans="1:22">
      <c r="A433" t="s">
        <v>132</v>
      </c>
      <c r="B433" t="s">
        <v>133</v>
      </c>
      <c r="C433" t="s">
        <v>136</v>
      </c>
      <c r="D433" s="1">
        <v>0</v>
      </c>
      <c r="E433" s="1">
        <v>6</v>
      </c>
      <c r="F433" s="1">
        <v>8</v>
      </c>
      <c r="G433" s="1">
        <v>16</v>
      </c>
      <c r="H433" s="1">
        <v>0</v>
      </c>
      <c r="I433" s="1">
        <v>2</v>
      </c>
      <c r="J433" s="1">
        <v>2</v>
      </c>
      <c r="K433" s="1">
        <v>6</v>
      </c>
      <c r="L433" s="1">
        <v>2</v>
      </c>
      <c r="M433" s="1">
        <v>18</v>
      </c>
      <c r="N433" s="1">
        <v>15</v>
      </c>
      <c r="O433" s="1">
        <v>6</v>
      </c>
      <c r="P433" s="1">
        <v>8</v>
      </c>
      <c r="Q433" s="1">
        <v>1</v>
      </c>
      <c r="R433" s="1">
        <v>5</v>
      </c>
      <c r="S433" s="1">
        <v>25</v>
      </c>
      <c r="T433" s="1">
        <v>0</v>
      </c>
      <c r="U433" s="1">
        <v>30</v>
      </c>
      <c r="V433" s="1" t="s">
        <v>135</v>
      </c>
    </row>
    <row r="434" spans="1:22">
      <c r="A434" t="s">
        <v>132</v>
      </c>
      <c r="B434" t="s">
        <v>133</v>
      </c>
      <c r="C434" t="s">
        <v>137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 t="s">
        <v>135</v>
      </c>
    </row>
    <row r="435" spans="1:22">
      <c r="A435" t="s">
        <v>132</v>
      </c>
      <c r="B435" t="s">
        <v>133</v>
      </c>
      <c r="C435" t="s">
        <v>138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 t="s">
        <v>135</v>
      </c>
    </row>
    <row r="436" spans="1:22">
      <c r="A436" t="s">
        <v>132</v>
      </c>
      <c r="B436" t="s">
        <v>133</v>
      </c>
      <c r="C436" t="s">
        <v>139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 t="s">
        <v>135</v>
      </c>
    </row>
    <row r="437" spans="1:22">
      <c r="A437" t="s">
        <v>132</v>
      </c>
      <c r="B437" t="s">
        <v>133</v>
      </c>
      <c r="C437" t="s">
        <v>140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 t="s">
        <v>135</v>
      </c>
    </row>
    <row r="438" spans="1:22">
      <c r="A438" t="s">
        <v>132</v>
      </c>
      <c r="B438" t="s">
        <v>133</v>
      </c>
      <c r="C438" t="s">
        <v>141</v>
      </c>
      <c r="D438" s="1">
        <v>0</v>
      </c>
      <c r="E438" s="1">
        <v>6</v>
      </c>
      <c r="F438" s="1">
        <v>8</v>
      </c>
      <c r="G438" s="1">
        <v>16</v>
      </c>
      <c r="H438" s="1">
        <v>0</v>
      </c>
      <c r="I438" s="1">
        <v>2</v>
      </c>
      <c r="J438" s="1">
        <v>2</v>
      </c>
      <c r="K438" s="1">
        <v>6</v>
      </c>
      <c r="L438" s="1">
        <v>2</v>
      </c>
      <c r="M438" s="1">
        <v>18</v>
      </c>
      <c r="N438" s="1">
        <v>15</v>
      </c>
      <c r="O438" s="1">
        <v>6</v>
      </c>
      <c r="P438" s="1">
        <v>8</v>
      </c>
      <c r="Q438" s="1">
        <v>1</v>
      </c>
      <c r="R438" s="1">
        <v>5</v>
      </c>
      <c r="S438" s="1">
        <v>25</v>
      </c>
      <c r="T438" s="1">
        <v>0</v>
      </c>
      <c r="U438" s="1">
        <v>30</v>
      </c>
      <c r="V438" s="1" t="s">
        <v>135</v>
      </c>
    </row>
    <row r="439" spans="1:22">
      <c r="A439" t="s">
        <v>132</v>
      </c>
      <c r="B439" t="s">
        <v>133</v>
      </c>
      <c r="C439" t="s">
        <v>142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 t="s">
        <v>135</v>
      </c>
    </row>
    <row r="440" spans="1:22">
      <c r="A440" t="s">
        <v>130</v>
      </c>
      <c r="B440" t="s">
        <v>133</v>
      </c>
      <c r="C440" t="s">
        <v>134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30</v>
      </c>
      <c r="V440" s="1" t="s">
        <v>135</v>
      </c>
    </row>
    <row r="441" spans="1:22">
      <c r="A441" t="s">
        <v>130</v>
      </c>
      <c r="B441" t="s">
        <v>133</v>
      </c>
      <c r="C441" t="s">
        <v>136</v>
      </c>
      <c r="D441" s="1">
        <v>0</v>
      </c>
      <c r="E441" s="1">
        <v>6</v>
      </c>
      <c r="F441" s="1">
        <v>8</v>
      </c>
      <c r="G441" s="1">
        <v>16</v>
      </c>
      <c r="H441" s="1">
        <v>0</v>
      </c>
      <c r="I441" s="1">
        <v>2</v>
      </c>
      <c r="J441" s="1">
        <v>2</v>
      </c>
      <c r="K441" s="1">
        <v>6</v>
      </c>
      <c r="L441" s="1">
        <v>2</v>
      </c>
      <c r="M441" s="1">
        <v>18</v>
      </c>
      <c r="N441" s="1">
        <v>15</v>
      </c>
      <c r="O441" s="1">
        <v>6</v>
      </c>
      <c r="P441" s="1">
        <v>8</v>
      </c>
      <c r="Q441" s="1">
        <v>1</v>
      </c>
      <c r="R441" s="1">
        <v>5</v>
      </c>
      <c r="S441" s="1">
        <v>25</v>
      </c>
      <c r="T441" s="1">
        <v>0</v>
      </c>
      <c r="U441" s="1">
        <v>30</v>
      </c>
      <c r="V441" s="1" t="s">
        <v>135</v>
      </c>
    </row>
    <row r="442" spans="1:22">
      <c r="A442" t="s">
        <v>130</v>
      </c>
      <c r="B442" t="s">
        <v>133</v>
      </c>
      <c r="C442" t="s">
        <v>137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 t="s">
        <v>135</v>
      </c>
    </row>
    <row r="443" spans="1:22">
      <c r="A443" t="s">
        <v>130</v>
      </c>
      <c r="B443" t="s">
        <v>133</v>
      </c>
      <c r="C443" t="s">
        <v>138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 t="s">
        <v>135</v>
      </c>
    </row>
    <row r="444" spans="1:22">
      <c r="A444" t="s">
        <v>130</v>
      </c>
      <c r="B444" t="s">
        <v>133</v>
      </c>
      <c r="C444" t="s">
        <v>139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 t="s">
        <v>135</v>
      </c>
    </row>
    <row r="445" spans="1:22">
      <c r="A445" t="s">
        <v>130</v>
      </c>
      <c r="B445" t="s">
        <v>133</v>
      </c>
      <c r="C445" t="s">
        <v>140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 t="s">
        <v>135</v>
      </c>
    </row>
    <row r="446" spans="1:22">
      <c r="A446" t="s">
        <v>130</v>
      </c>
      <c r="B446" t="s">
        <v>133</v>
      </c>
      <c r="C446" t="s">
        <v>141</v>
      </c>
      <c r="D446" s="1">
        <v>0</v>
      </c>
      <c r="E446" s="1">
        <v>6</v>
      </c>
      <c r="F446" s="1">
        <v>8</v>
      </c>
      <c r="G446" s="1">
        <v>16</v>
      </c>
      <c r="H446" s="1">
        <v>0</v>
      </c>
      <c r="I446" s="1">
        <v>2</v>
      </c>
      <c r="J446" s="1">
        <v>2</v>
      </c>
      <c r="K446" s="1">
        <v>6</v>
      </c>
      <c r="L446" s="1">
        <v>2</v>
      </c>
      <c r="M446" s="1">
        <v>18</v>
      </c>
      <c r="N446" s="1">
        <v>15</v>
      </c>
      <c r="O446" s="1">
        <v>6</v>
      </c>
      <c r="P446" s="1">
        <v>8</v>
      </c>
      <c r="Q446" s="1">
        <v>1</v>
      </c>
      <c r="R446" s="1">
        <v>5</v>
      </c>
      <c r="S446" s="1">
        <v>25</v>
      </c>
      <c r="T446" s="1">
        <v>0</v>
      </c>
      <c r="U446" s="1">
        <v>30</v>
      </c>
      <c r="V446" s="1" t="s">
        <v>135</v>
      </c>
    </row>
    <row r="447" spans="1:22">
      <c r="A447" t="s">
        <v>130</v>
      </c>
      <c r="B447" t="s">
        <v>133</v>
      </c>
      <c r="C447" t="s">
        <v>142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 t="s">
        <v>135</v>
      </c>
    </row>
    <row r="448" spans="1:2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4:43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4:43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4:43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4:43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4:43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4:43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4:43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4:43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4:43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4:43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4:43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4:43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4:43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4:43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4:43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4:43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4:2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4:2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4:2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4:2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4:2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4:22"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4:22"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4:22"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4:22"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4:22"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4:22"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4:22"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529" spans="1:22">
      <c r="A529" s="1">
        <f>setup!C21</f>
        <v>3744</v>
      </c>
    </row>
    <row r="530" spans="1:22">
      <c r="A530" t="str">
        <f>_xlfn.CONCAT(setup!D21," - ",setup!E21)</f>
        <v>CELF-6 RF 2 Clinical Autism Spectrum Disorder (Ages 9-16) - C_ASDL_RF2</v>
      </c>
      <c r="D530" s="1"/>
      <c r="E530" s="1"/>
      <c r="F530" s="1"/>
      <c r="G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2">
      <c r="A531" t="s">
        <v>110</v>
      </c>
      <c r="B531" t="s">
        <v>111</v>
      </c>
      <c r="C531" t="s">
        <v>112</v>
      </c>
      <c r="D531" s="1" t="s">
        <v>113</v>
      </c>
      <c r="E531" s="1" t="s">
        <v>114</v>
      </c>
      <c r="F531" s="1" t="s">
        <v>115</v>
      </c>
      <c r="G531" s="1" t="s">
        <v>116</v>
      </c>
      <c r="H531" s="1" t="s">
        <v>117</v>
      </c>
      <c r="I531" s="1" t="s">
        <v>118</v>
      </c>
      <c r="J531" s="1" t="s">
        <v>119</v>
      </c>
      <c r="K531" s="1" t="s">
        <v>120</v>
      </c>
      <c r="L531" s="1" t="s">
        <v>121</v>
      </c>
      <c r="M531" s="1" t="s">
        <v>122</v>
      </c>
      <c r="N531" s="1" t="s">
        <v>123</v>
      </c>
      <c r="O531" s="1" t="s">
        <v>124</v>
      </c>
      <c r="P531" s="1" t="s">
        <v>125</v>
      </c>
      <c r="Q531" s="1" t="s">
        <v>126</v>
      </c>
      <c r="R531" s="1" t="s">
        <v>127</v>
      </c>
      <c r="S531" s="1" t="s">
        <v>128</v>
      </c>
      <c r="T531" t="s">
        <v>129</v>
      </c>
      <c r="U531" s="1" t="s">
        <v>130</v>
      </c>
      <c r="V531" t="s">
        <v>131</v>
      </c>
    </row>
    <row r="532" spans="1:22">
      <c r="A532" t="s">
        <v>143</v>
      </c>
      <c r="B532" t="s">
        <v>133</v>
      </c>
      <c r="C532" t="s">
        <v>134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30</v>
      </c>
      <c r="V532" s="1" t="s">
        <v>135</v>
      </c>
    </row>
    <row r="533" spans="1:22">
      <c r="A533" t="s">
        <v>143</v>
      </c>
      <c r="B533" t="s">
        <v>133</v>
      </c>
      <c r="C533" t="s">
        <v>136</v>
      </c>
      <c r="D533" s="1">
        <v>0</v>
      </c>
      <c r="E533" s="1">
        <v>5</v>
      </c>
      <c r="F533" s="1">
        <v>10</v>
      </c>
      <c r="G533" s="1">
        <v>15</v>
      </c>
      <c r="H533" s="1">
        <v>0</v>
      </c>
      <c r="I533" s="1">
        <v>4</v>
      </c>
      <c r="J533" s="1">
        <v>0</v>
      </c>
      <c r="K533" s="1">
        <v>7</v>
      </c>
      <c r="L533" s="1">
        <v>2</v>
      </c>
      <c r="M533" s="1">
        <v>17</v>
      </c>
      <c r="N533" s="1">
        <v>9</v>
      </c>
      <c r="O533" s="1">
        <v>6</v>
      </c>
      <c r="P533" s="1">
        <v>9</v>
      </c>
      <c r="Q533" s="1">
        <v>6</v>
      </c>
      <c r="R533" s="1">
        <v>5</v>
      </c>
      <c r="S533" s="1">
        <v>25</v>
      </c>
      <c r="T533" s="1">
        <v>0</v>
      </c>
      <c r="U533" s="1">
        <v>30</v>
      </c>
      <c r="V533" s="1" t="s">
        <v>135</v>
      </c>
    </row>
    <row r="534" spans="1:22">
      <c r="A534" t="s">
        <v>143</v>
      </c>
      <c r="B534" t="s">
        <v>133</v>
      </c>
      <c r="C534" t="s">
        <v>137</v>
      </c>
      <c r="D534" s="1">
        <v>0</v>
      </c>
      <c r="E534" s="1">
        <v>0</v>
      </c>
      <c r="F534" s="1">
        <v>0</v>
      </c>
      <c r="G534" s="1">
        <v>1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1</v>
      </c>
      <c r="N534" s="1">
        <v>1</v>
      </c>
      <c r="O534" s="1">
        <v>0</v>
      </c>
      <c r="P534" s="1">
        <v>0</v>
      </c>
      <c r="Q534" s="1">
        <v>0</v>
      </c>
      <c r="R534" s="1">
        <v>0</v>
      </c>
      <c r="S534" s="1">
        <v>1</v>
      </c>
      <c r="T534" s="1">
        <v>0</v>
      </c>
      <c r="U534" s="1">
        <v>1</v>
      </c>
      <c r="V534" s="1" t="s">
        <v>135</v>
      </c>
    </row>
    <row r="535" spans="1:22">
      <c r="A535" t="s">
        <v>143</v>
      </c>
      <c r="B535" t="s">
        <v>133</v>
      </c>
      <c r="C535" t="s">
        <v>138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 t="s">
        <v>135</v>
      </c>
    </row>
    <row r="536" spans="1:22">
      <c r="A536" t="s">
        <v>143</v>
      </c>
      <c r="B536" t="s">
        <v>133</v>
      </c>
      <c r="C536" t="s">
        <v>139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 t="s">
        <v>135</v>
      </c>
    </row>
    <row r="537" spans="1:22">
      <c r="A537" t="s">
        <v>143</v>
      </c>
      <c r="B537" t="s">
        <v>133</v>
      </c>
      <c r="C537" t="s">
        <v>140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 t="s">
        <v>135</v>
      </c>
    </row>
    <row r="538" spans="1:22">
      <c r="A538" t="s">
        <v>143</v>
      </c>
      <c r="B538" t="s">
        <v>133</v>
      </c>
      <c r="C538" t="s">
        <v>141</v>
      </c>
      <c r="D538" s="1">
        <v>0</v>
      </c>
      <c r="E538" s="1">
        <v>5</v>
      </c>
      <c r="F538" s="1">
        <v>10</v>
      </c>
      <c r="G538" s="1">
        <v>16</v>
      </c>
      <c r="H538" s="1">
        <v>0</v>
      </c>
      <c r="I538" s="1">
        <v>4</v>
      </c>
      <c r="J538" s="1">
        <v>0</v>
      </c>
      <c r="K538" s="1">
        <v>7</v>
      </c>
      <c r="L538" s="1">
        <v>2</v>
      </c>
      <c r="M538" s="1">
        <v>18</v>
      </c>
      <c r="N538" s="1">
        <v>10</v>
      </c>
      <c r="O538" s="1">
        <v>6</v>
      </c>
      <c r="P538" s="1">
        <v>9</v>
      </c>
      <c r="Q538" s="1">
        <v>6</v>
      </c>
      <c r="R538" s="1">
        <v>5</v>
      </c>
      <c r="S538" s="1">
        <v>26</v>
      </c>
      <c r="T538" s="1">
        <v>0</v>
      </c>
      <c r="U538" s="1">
        <v>31</v>
      </c>
      <c r="V538" s="1" t="s">
        <v>135</v>
      </c>
    </row>
    <row r="539" spans="1:22">
      <c r="A539" t="s">
        <v>143</v>
      </c>
      <c r="B539" t="s">
        <v>133</v>
      </c>
      <c r="C539" t="s">
        <v>142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 t="s">
        <v>135</v>
      </c>
    </row>
    <row r="540" spans="1:22">
      <c r="A540" t="s">
        <v>130</v>
      </c>
      <c r="B540" t="s">
        <v>133</v>
      </c>
      <c r="C540" t="s">
        <v>134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30</v>
      </c>
      <c r="V540" s="1" t="s">
        <v>135</v>
      </c>
    </row>
    <row r="541" spans="1:22">
      <c r="A541" t="s">
        <v>130</v>
      </c>
      <c r="B541" t="s">
        <v>133</v>
      </c>
      <c r="C541" t="s">
        <v>136</v>
      </c>
      <c r="D541" s="1">
        <v>0</v>
      </c>
      <c r="E541" s="1">
        <v>5</v>
      </c>
      <c r="F541" s="1">
        <v>10</v>
      </c>
      <c r="G541" s="1">
        <v>15</v>
      </c>
      <c r="H541" s="1">
        <v>0</v>
      </c>
      <c r="I541" s="1">
        <v>4</v>
      </c>
      <c r="J541" s="1">
        <v>0</v>
      </c>
      <c r="K541" s="1">
        <v>7</v>
      </c>
      <c r="L541" s="1">
        <v>2</v>
      </c>
      <c r="M541" s="1">
        <v>17</v>
      </c>
      <c r="N541" s="1">
        <v>9</v>
      </c>
      <c r="O541" s="1">
        <v>6</v>
      </c>
      <c r="P541" s="1">
        <v>9</v>
      </c>
      <c r="Q541" s="1">
        <v>6</v>
      </c>
      <c r="R541" s="1">
        <v>5</v>
      </c>
      <c r="S541" s="1">
        <v>25</v>
      </c>
      <c r="T541" s="1">
        <v>0</v>
      </c>
      <c r="U541" s="1">
        <v>30</v>
      </c>
      <c r="V541" s="1" t="s">
        <v>135</v>
      </c>
    </row>
    <row r="542" spans="1:22">
      <c r="A542" t="s">
        <v>130</v>
      </c>
      <c r="B542" t="s">
        <v>133</v>
      </c>
      <c r="C542" t="s">
        <v>137</v>
      </c>
      <c r="D542" s="1">
        <v>0</v>
      </c>
      <c r="E542" s="1">
        <v>0</v>
      </c>
      <c r="F542" s="1">
        <v>0</v>
      </c>
      <c r="G542" s="1">
        <v>1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1</v>
      </c>
      <c r="N542" s="1">
        <v>1</v>
      </c>
      <c r="O542" s="1">
        <v>0</v>
      </c>
      <c r="P542" s="1">
        <v>0</v>
      </c>
      <c r="Q542" s="1">
        <v>0</v>
      </c>
      <c r="R542" s="1">
        <v>0</v>
      </c>
      <c r="S542" s="1">
        <v>1</v>
      </c>
      <c r="T542" s="1">
        <v>0</v>
      </c>
      <c r="U542" s="1">
        <v>1</v>
      </c>
      <c r="V542" s="1" t="s">
        <v>135</v>
      </c>
    </row>
    <row r="543" spans="1:22">
      <c r="A543" t="s">
        <v>130</v>
      </c>
      <c r="B543" t="s">
        <v>133</v>
      </c>
      <c r="C543" t="s">
        <v>138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 t="s">
        <v>135</v>
      </c>
    </row>
    <row r="544" spans="1:22">
      <c r="A544" t="s">
        <v>130</v>
      </c>
      <c r="B544" t="s">
        <v>133</v>
      </c>
      <c r="C544" t="s">
        <v>139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 t="s">
        <v>135</v>
      </c>
    </row>
    <row r="545" spans="1:22">
      <c r="A545" t="s">
        <v>130</v>
      </c>
      <c r="B545" t="s">
        <v>133</v>
      </c>
      <c r="C545" t="s">
        <v>140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 t="s">
        <v>135</v>
      </c>
    </row>
    <row r="546" spans="1:22">
      <c r="A546" t="s">
        <v>130</v>
      </c>
      <c r="B546" t="s">
        <v>133</v>
      </c>
      <c r="C546" t="s">
        <v>141</v>
      </c>
      <c r="D546" s="1">
        <v>0</v>
      </c>
      <c r="E546" s="1">
        <v>5</v>
      </c>
      <c r="F546" s="1">
        <v>10</v>
      </c>
      <c r="G546" s="1">
        <v>16</v>
      </c>
      <c r="H546" s="1">
        <v>0</v>
      </c>
      <c r="I546" s="1">
        <v>4</v>
      </c>
      <c r="J546" s="1">
        <v>0</v>
      </c>
      <c r="K546" s="1">
        <v>7</v>
      </c>
      <c r="L546" s="1">
        <v>2</v>
      </c>
      <c r="M546" s="1">
        <v>18</v>
      </c>
      <c r="N546" s="1">
        <v>10</v>
      </c>
      <c r="O546" s="1">
        <v>6</v>
      </c>
      <c r="P546" s="1">
        <v>9</v>
      </c>
      <c r="Q546" s="1">
        <v>6</v>
      </c>
      <c r="R546" s="1">
        <v>5</v>
      </c>
      <c r="S546" s="1">
        <v>26</v>
      </c>
      <c r="T546" s="1">
        <v>0</v>
      </c>
      <c r="U546" s="1">
        <v>31</v>
      </c>
      <c r="V546" s="1" t="s">
        <v>135</v>
      </c>
    </row>
    <row r="547" spans="1:22">
      <c r="A547" t="s">
        <v>130</v>
      </c>
      <c r="B547" t="s">
        <v>133</v>
      </c>
      <c r="C547" t="s">
        <v>142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 t="s">
        <v>135</v>
      </c>
    </row>
    <row r="548" spans="1:22"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4:22"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4:22"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4:22"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4:22"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4:22"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4:22"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4:22"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4:22"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4:22"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4:22"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4:22"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4:22"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4:22"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4:22"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4:22"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4:22"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4:22"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4:22"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4:22"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4:22"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4:22"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4:22"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4:22"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4:22"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4:22"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4:22"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4:22"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4:22"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4:22"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4:22"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4:22"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4:22"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4:22"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4:22"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4:22"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4:22"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4:22"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4:22"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4:22"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4:22"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4:22"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4:22"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4:22"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4:22"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4:22"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4:22"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4:22"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4:22"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4:21"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4:21"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4:21"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4:21"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4:21"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4:21"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4:21"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4:21"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4:21"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4:21"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4:21"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4:21"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4:21"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4:21"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4:21"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4:21"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2"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2"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2"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2"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2">
      <c r="A629">
        <f>setup!C22</f>
        <v>3745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2">
      <c r="A630" t="str">
        <f>_xlfn.CONCAT(setup!D22," - ",setup!E22)</f>
        <v>CELF-6 RF 1 Clinical Specific Learning Disability in Reading and/or Writing (Age 8) - C_SLDRW_RF1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2">
      <c r="A631" t="s">
        <v>110</v>
      </c>
      <c r="B631" t="s">
        <v>111</v>
      </c>
      <c r="C631" t="s">
        <v>112</v>
      </c>
      <c r="D631" s="1" t="s">
        <v>113</v>
      </c>
      <c r="E631" s="1" t="s">
        <v>114</v>
      </c>
      <c r="F631" s="1" t="s">
        <v>115</v>
      </c>
      <c r="G631" s="1" t="s">
        <v>116</v>
      </c>
      <c r="H631" s="1" t="s">
        <v>117</v>
      </c>
      <c r="I631" s="1" t="s">
        <v>118</v>
      </c>
      <c r="J631" s="1" t="s">
        <v>119</v>
      </c>
      <c r="K631" s="1" t="s">
        <v>120</v>
      </c>
      <c r="L631" s="1" t="s">
        <v>121</v>
      </c>
      <c r="M631" s="1" t="s">
        <v>122</v>
      </c>
      <c r="N631" s="1" t="s">
        <v>123</v>
      </c>
      <c r="O631" s="1" t="s">
        <v>124</v>
      </c>
      <c r="P631" s="1" t="s">
        <v>125</v>
      </c>
      <c r="Q631" s="1" t="s">
        <v>126</v>
      </c>
      <c r="R631" s="1" t="s">
        <v>127</v>
      </c>
      <c r="S631" s="1" t="s">
        <v>128</v>
      </c>
      <c r="T631" t="s">
        <v>129</v>
      </c>
      <c r="U631" s="1" t="s">
        <v>130</v>
      </c>
      <c r="V631" t="s">
        <v>131</v>
      </c>
    </row>
    <row r="632" spans="1:22">
      <c r="A632" t="s">
        <v>144</v>
      </c>
      <c r="B632" t="s">
        <v>133</v>
      </c>
      <c r="C632" t="s">
        <v>134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10</v>
      </c>
      <c r="V632" s="1" t="s">
        <v>135</v>
      </c>
    </row>
    <row r="633" spans="1:22">
      <c r="A633" t="s">
        <v>144</v>
      </c>
      <c r="B633" t="s">
        <v>133</v>
      </c>
      <c r="C633" t="s">
        <v>136</v>
      </c>
      <c r="D633" s="1">
        <v>0</v>
      </c>
      <c r="E633" s="1">
        <v>2</v>
      </c>
      <c r="F633" s="1">
        <v>2</v>
      </c>
      <c r="G633" s="1">
        <v>1</v>
      </c>
      <c r="H633" s="1">
        <v>0</v>
      </c>
      <c r="I633" s="1">
        <v>0</v>
      </c>
      <c r="J633" s="1">
        <v>0</v>
      </c>
      <c r="K633" s="1">
        <v>0</v>
      </c>
      <c r="L633" s="1">
        <v>1</v>
      </c>
      <c r="M633" s="1">
        <v>4</v>
      </c>
      <c r="N633" s="1">
        <v>1</v>
      </c>
      <c r="O633" s="1">
        <v>1</v>
      </c>
      <c r="P633" s="1">
        <v>2</v>
      </c>
      <c r="Q633" s="1">
        <v>1</v>
      </c>
      <c r="R633" s="1">
        <v>1</v>
      </c>
      <c r="S633" s="1">
        <v>4</v>
      </c>
      <c r="T633" s="1">
        <v>0</v>
      </c>
      <c r="U633" s="1">
        <v>5</v>
      </c>
      <c r="V633" s="1" t="s">
        <v>135</v>
      </c>
    </row>
    <row r="634" spans="1:22">
      <c r="A634" t="s">
        <v>144</v>
      </c>
      <c r="B634" t="s">
        <v>133</v>
      </c>
      <c r="C634" t="s">
        <v>137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 t="s">
        <v>135</v>
      </c>
    </row>
    <row r="635" spans="1:22">
      <c r="A635" t="s">
        <v>144</v>
      </c>
      <c r="B635" t="s">
        <v>133</v>
      </c>
      <c r="C635" t="s">
        <v>138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 t="s">
        <v>135</v>
      </c>
    </row>
    <row r="636" spans="1:22">
      <c r="A636" t="s">
        <v>144</v>
      </c>
      <c r="B636" t="s">
        <v>133</v>
      </c>
      <c r="C636" t="s">
        <v>139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 t="s">
        <v>135</v>
      </c>
    </row>
    <row r="637" spans="1:22">
      <c r="A637" t="s">
        <v>144</v>
      </c>
      <c r="B637" t="s">
        <v>133</v>
      </c>
      <c r="C637" t="s">
        <v>140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 t="s">
        <v>135</v>
      </c>
    </row>
    <row r="638" spans="1:22">
      <c r="A638" t="s">
        <v>144</v>
      </c>
      <c r="B638" t="s">
        <v>133</v>
      </c>
      <c r="C638" t="s">
        <v>141</v>
      </c>
      <c r="D638" s="1">
        <v>0</v>
      </c>
      <c r="E638" s="1">
        <v>2</v>
      </c>
      <c r="F638" s="1">
        <v>2</v>
      </c>
      <c r="G638" s="1">
        <v>1</v>
      </c>
      <c r="H638" s="1">
        <v>0</v>
      </c>
      <c r="I638" s="1">
        <v>0</v>
      </c>
      <c r="J638" s="1">
        <v>0</v>
      </c>
      <c r="K638" s="1">
        <v>0</v>
      </c>
      <c r="L638" s="1">
        <v>1</v>
      </c>
      <c r="M638" s="1">
        <v>4</v>
      </c>
      <c r="N638" s="1">
        <v>1</v>
      </c>
      <c r="O638" s="1">
        <v>1</v>
      </c>
      <c r="P638" s="1">
        <v>2</v>
      </c>
      <c r="Q638" s="1">
        <v>1</v>
      </c>
      <c r="R638" s="1">
        <v>1</v>
      </c>
      <c r="S638" s="1">
        <v>4</v>
      </c>
      <c r="T638" s="1">
        <v>0</v>
      </c>
      <c r="U638" s="1">
        <v>5</v>
      </c>
      <c r="V638" s="1" t="s">
        <v>135</v>
      </c>
    </row>
    <row r="639" spans="1:22">
      <c r="A639" t="s">
        <v>144</v>
      </c>
      <c r="B639" t="s">
        <v>133</v>
      </c>
      <c r="C639" t="s">
        <v>142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 t="s">
        <v>135</v>
      </c>
    </row>
    <row r="640" spans="1:22">
      <c r="A640" t="s">
        <v>130</v>
      </c>
      <c r="B640" t="s">
        <v>133</v>
      </c>
      <c r="C640" t="s">
        <v>134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10</v>
      </c>
      <c r="V640" s="1" t="s">
        <v>135</v>
      </c>
    </row>
    <row r="641" spans="1:22">
      <c r="A641" t="s">
        <v>130</v>
      </c>
      <c r="B641" t="s">
        <v>133</v>
      </c>
      <c r="C641" t="s">
        <v>136</v>
      </c>
      <c r="D641" s="1">
        <v>0</v>
      </c>
      <c r="E641" s="1">
        <v>2</v>
      </c>
      <c r="F641" s="1">
        <v>2</v>
      </c>
      <c r="G641" s="1">
        <v>1</v>
      </c>
      <c r="H641" s="1">
        <v>0</v>
      </c>
      <c r="I641" s="1">
        <v>0</v>
      </c>
      <c r="J641" s="1">
        <v>0</v>
      </c>
      <c r="K641" s="1">
        <v>0</v>
      </c>
      <c r="L641" s="1">
        <v>1</v>
      </c>
      <c r="M641" s="1">
        <v>4</v>
      </c>
      <c r="N641" s="1">
        <v>1</v>
      </c>
      <c r="O641" s="1">
        <v>1</v>
      </c>
      <c r="P641" s="1">
        <v>2</v>
      </c>
      <c r="Q641" s="1">
        <v>1</v>
      </c>
      <c r="R641" s="1">
        <v>1</v>
      </c>
      <c r="S641" s="1">
        <v>4</v>
      </c>
      <c r="T641" s="1">
        <v>0</v>
      </c>
      <c r="U641" s="1">
        <v>5</v>
      </c>
      <c r="V641" s="1" t="s">
        <v>135</v>
      </c>
    </row>
    <row r="642" spans="1:22">
      <c r="A642" t="s">
        <v>130</v>
      </c>
      <c r="B642" t="s">
        <v>133</v>
      </c>
      <c r="C642" t="s">
        <v>137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 t="s">
        <v>135</v>
      </c>
    </row>
    <row r="643" spans="1:22">
      <c r="A643" t="s">
        <v>130</v>
      </c>
      <c r="B643" t="s">
        <v>133</v>
      </c>
      <c r="C643" t="s">
        <v>138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 t="s">
        <v>135</v>
      </c>
    </row>
    <row r="644" spans="1:22">
      <c r="A644" t="s">
        <v>130</v>
      </c>
      <c r="B644" t="s">
        <v>133</v>
      </c>
      <c r="C644" t="s">
        <v>139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 t="s">
        <v>135</v>
      </c>
    </row>
    <row r="645" spans="1:22">
      <c r="A645" t="s">
        <v>130</v>
      </c>
      <c r="B645" t="s">
        <v>133</v>
      </c>
      <c r="C645" t="s">
        <v>140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 t="s">
        <v>135</v>
      </c>
    </row>
    <row r="646" spans="1:22">
      <c r="A646" t="s">
        <v>130</v>
      </c>
      <c r="B646" t="s">
        <v>133</v>
      </c>
      <c r="C646" t="s">
        <v>141</v>
      </c>
      <c r="D646" s="1">
        <v>0</v>
      </c>
      <c r="E646" s="1">
        <v>2</v>
      </c>
      <c r="F646" s="1">
        <v>2</v>
      </c>
      <c r="G646" s="1">
        <v>1</v>
      </c>
      <c r="H646" s="1">
        <v>0</v>
      </c>
      <c r="I646" s="1">
        <v>0</v>
      </c>
      <c r="J646" s="1">
        <v>0</v>
      </c>
      <c r="K646" s="1">
        <v>0</v>
      </c>
      <c r="L646" s="1">
        <v>1</v>
      </c>
      <c r="M646" s="1">
        <v>4</v>
      </c>
      <c r="N646" s="1">
        <v>1</v>
      </c>
      <c r="O646" s="1">
        <v>1</v>
      </c>
      <c r="P646" s="1">
        <v>2</v>
      </c>
      <c r="Q646" s="1">
        <v>1</v>
      </c>
      <c r="R646" s="1">
        <v>1</v>
      </c>
      <c r="S646" s="1">
        <v>4</v>
      </c>
      <c r="T646" s="1">
        <v>0</v>
      </c>
      <c r="U646" s="1">
        <v>5</v>
      </c>
      <c r="V646" s="1" t="s">
        <v>135</v>
      </c>
    </row>
    <row r="647" spans="1:22">
      <c r="A647" t="s">
        <v>130</v>
      </c>
      <c r="B647" t="s">
        <v>133</v>
      </c>
      <c r="C647" t="s">
        <v>142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 t="s">
        <v>135</v>
      </c>
    </row>
    <row r="648" spans="1:22"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4:22"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4:22"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4:22"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4:22"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4:22"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4:22"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4:22"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4:22"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4:22"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4:22"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4:22"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4:22"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4:22"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4:22"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4:22"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4:22"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4:22"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4:22"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4:22"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4:22"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4:22"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4:22"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4:22"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4:22"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4:22"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4:22"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4:22"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4:22"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4:22"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4:22"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4:22"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4:22"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4:22"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4:22"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4:22"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4:22"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4:22"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4:22"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4:22"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4:22"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4:22"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4:22"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4:22"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4:22"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4:22"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4:22"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4:22"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4:22"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4:22"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4:22"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4:22"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4:22"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4:22"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4:22"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4:22"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4:22"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29" spans="1:22">
      <c r="A729" s="1">
        <f>setup!C23</f>
        <v>3746</v>
      </c>
    </row>
    <row r="730" spans="1:22">
      <c r="A730" t="str">
        <f>_xlfn.CONCAT(setup!D23," - ",setup!E23)</f>
        <v>CELF-6 RF 2 Clinical Specific Learning Disability in Reading and/or Writing (Ages 9-21) - C_SLDRW_RF2</v>
      </c>
      <c r="D730" s="1"/>
      <c r="E730" s="1"/>
      <c r="F730" s="1"/>
      <c r="G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2">
      <c r="A731" t="s">
        <v>110</v>
      </c>
      <c r="B731" t="s">
        <v>111</v>
      </c>
      <c r="C731" t="s">
        <v>112</v>
      </c>
      <c r="D731" s="1" t="s">
        <v>113</v>
      </c>
      <c r="E731" s="1" t="s">
        <v>114</v>
      </c>
      <c r="F731" s="1" t="s">
        <v>115</v>
      </c>
      <c r="G731" s="1" t="s">
        <v>116</v>
      </c>
      <c r="H731" s="1" t="s">
        <v>117</v>
      </c>
      <c r="I731" s="1" t="s">
        <v>118</v>
      </c>
      <c r="J731" s="1" t="s">
        <v>119</v>
      </c>
      <c r="K731" s="1" t="s">
        <v>120</v>
      </c>
      <c r="L731" s="1" t="s">
        <v>121</v>
      </c>
      <c r="M731" s="1" t="s">
        <v>122</v>
      </c>
      <c r="N731" s="1" t="s">
        <v>123</v>
      </c>
      <c r="O731" s="1" t="s">
        <v>124</v>
      </c>
      <c r="P731" s="1" t="s">
        <v>125</v>
      </c>
      <c r="Q731" s="1" t="s">
        <v>126</v>
      </c>
      <c r="R731" s="1" t="s">
        <v>127</v>
      </c>
      <c r="S731" s="1" t="s">
        <v>128</v>
      </c>
      <c r="T731" t="s">
        <v>129</v>
      </c>
      <c r="U731" s="1" t="s">
        <v>130</v>
      </c>
      <c r="V731" t="s">
        <v>131</v>
      </c>
    </row>
    <row r="732" spans="1:22">
      <c r="A732" t="s">
        <v>145</v>
      </c>
      <c r="B732" t="s">
        <v>133</v>
      </c>
      <c r="C732" t="s">
        <v>134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50</v>
      </c>
      <c r="V732" s="1" t="s">
        <v>135</v>
      </c>
    </row>
    <row r="733" spans="1:22">
      <c r="A733" t="s">
        <v>145</v>
      </c>
      <c r="B733" t="s">
        <v>133</v>
      </c>
      <c r="C733" t="s">
        <v>136</v>
      </c>
      <c r="D733" s="1">
        <v>8</v>
      </c>
      <c r="E733" s="1">
        <v>10</v>
      </c>
      <c r="F733" s="1">
        <v>7</v>
      </c>
      <c r="G733" s="1">
        <v>30</v>
      </c>
      <c r="H733" s="1">
        <v>0</v>
      </c>
      <c r="I733" s="1">
        <v>1</v>
      </c>
      <c r="J733" s="1">
        <v>4</v>
      </c>
      <c r="K733" s="1">
        <v>9</v>
      </c>
      <c r="L733" s="1">
        <v>6</v>
      </c>
      <c r="M733" s="1">
        <v>35</v>
      </c>
      <c r="N733" s="1">
        <v>18</v>
      </c>
      <c r="O733" s="1">
        <v>13</v>
      </c>
      <c r="P733" s="1">
        <v>11</v>
      </c>
      <c r="Q733" s="1">
        <v>13</v>
      </c>
      <c r="R733" s="1">
        <v>22</v>
      </c>
      <c r="S733" s="1">
        <v>33</v>
      </c>
      <c r="T733" s="1">
        <v>0</v>
      </c>
      <c r="U733" s="1">
        <v>55</v>
      </c>
      <c r="V733" s="1" t="s">
        <v>135</v>
      </c>
    </row>
    <row r="734" spans="1:22">
      <c r="A734" t="s">
        <v>145</v>
      </c>
      <c r="B734" t="s">
        <v>133</v>
      </c>
      <c r="C734" t="s">
        <v>137</v>
      </c>
      <c r="D734" s="1">
        <v>0</v>
      </c>
      <c r="E734" s="1">
        <v>0</v>
      </c>
      <c r="F734" s="1">
        <v>0</v>
      </c>
      <c r="G734" s="1">
        <v>1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1</v>
      </c>
      <c r="N734" s="1">
        <v>1</v>
      </c>
      <c r="O734" s="1">
        <v>0</v>
      </c>
      <c r="P734" s="1">
        <v>0</v>
      </c>
      <c r="Q734" s="1">
        <v>0</v>
      </c>
      <c r="R734" s="1">
        <v>0</v>
      </c>
      <c r="S734" s="1">
        <v>1</v>
      </c>
      <c r="T734" s="1">
        <v>0</v>
      </c>
      <c r="U734" s="1">
        <v>1</v>
      </c>
      <c r="V734" s="1" t="s">
        <v>135</v>
      </c>
    </row>
    <row r="735" spans="1:22">
      <c r="A735" t="s">
        <v>145</v>
      </c>
      <c r="B735" t="s">
        <v>133</v>
      </c>
      <c r="C735" t="s">
        <v>138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 t="s">
        <v>135</v>
      </c>
    </row>
    <row r="736" spans="1:22">
      <c r="A736" t="s">
        <v>145</v>
      </c>
      <c r="B736" t="s">
        <v>133</v>
      </c>
      <c r="C736" t="s">
        <v>139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 t="s">
        <v>135</v>
      </c>
    </row>
    <row r="737" spans="1:22">
      <c r="A737" t="s">
        <v>145</v>
      </c>
      <c r="B737" t="s">
        <v>133</v>
      </c>
      <c r="C737" t="s">
        <v>140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 t="s">
        <v>135</v>
      </c>
    </row>
    <row r="738" spans="1:22">
      <c r="A738" t="s">
        <v>145</v>
      </c>
      <c r="B738" t="s">
        <v>133</v>
      </c>
      <c r="C738" t="s">
        <v>141</v>
      </c>
      <c r="D738" s="1">
        <v>8</v>
      </c>
      <c r="E738" s="1">
        <v>10</v>
      </c>
      <c r="F738" s="1">
        <v>7</v>
      </c>
      <c r="G738" s="1">
        <v>31</v>
      </c>
      <c r="H738" s="1">
        <v>0</v>
      </c>
      <c r="I738" s="1">
        <v>1</v>
      </c>
      <c r="J738" s="1">
        <v>4</v>
      </c>
      <c r="K738" s="1">
        <v>9</v>
      </c>
      <c r="L738" s="1">
        <v>6</v>
      </c>
      <c r="M738" s="1">
        <v>36</v>
      </c>
      <c r="N738" s="1">
        <v>19</v>
      </c>
      <c r="O738" s="1">
        <v>13</v>
      </c>
      <c r="P738" s="1">
        <v>11</v>
      </c>
      <c r="Q738" s="1">
        <v>13</v>
      </c>
      <c r="R738" s="1">
        <v>22</v>
      </c>
      <c r="S738" s="1">
        <v>34</v>
      </c>
      <c r="T738" s="1">
        <v>0</v>
      </c>
      <c r="U738" s="1">
        <v>56</v>
      </c>
      <c r="V738" s="1" t="s">
        <v>135</v>
      </c>
    </row>
    <row r="739" spans="1:22">
      <c r="A739" t="s">
        <v>145</v>
      </c>
      <c r="B739" t="s">
        <v>133</v>
      </c>
      <c r="C739" t="s">
        <v>142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 t="s">
        <v>135</v>
      </c>
    </row>
    <row r="740" spans="1:22">
      <c r="A740" t="s">
        <v>130</v>
      </c>
      <c r="B740" t="s">
        <v>133</v>
      </c>
      <c r="C740" t="s">
        <v>134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50</v>
      </c>
      <c r="V740" s="1" t="s">
        <v>135</v>
      </c>
    </row>
    <row r="741" spans="1:22">
      <c r="A741" t="s">
        <v>130</v>
      </c>
      <c r="B741" t="s">
        <v>133</v>
      </c>
      <c r="C741" t="s">
        <v>136</v>
      </c>
      <c r="D741" s="1">
        <v>8</v>
      </c>
      <c r="E741" s="1">
        <v>10</v>
      </c>
      <c r="F741" s="1">
        <v>7</v>
      </c>
      <c r="G741" s="1">
        <v>30</v>
      </c>
      <c r="H741" s="1">
        <v>0</v>
      </c>
      <c r="I741" s="1">
        <v>1</v>
      </c>
      <c r="J741" s="1">
        <v>4</v>
      </c>
      <c r="K741" s="1">
        <v>9</v>
      </c>
      <c r="L741" s="1">
        <v>6</v>
      </c>
      <c r="M741" s="1">
        <v>35</v>
      </c>
      <c r="N741" s="1">
        <v>18</v>
      </c>
      <c r="O741" s="1">
        <v>13</v>
      </c>
      <c r="P741" s="1">
        <v>11</v>
      </c>
      <c r="Q741" s="1">
        <v>13</v>
      </c>
      <c r="R741" s="1">
        <v>22</v>
      </c>
      <c r="S741" s="1">
        <v>33</v>
      </c>
      <c r="T741" s="1">
        <v>0</v>
      </c>
      <c r="U741" s="1">
        <v>55</v>
      </c>
      <c r="V741" s="1" t="s">
        <v>135</v>
      </c>
    </row>
    <row r="742" spans="1:22">
      <c r="A742" t="s">
        <v>130</v>
      </c>
      <c r="B742" t="s">
        <v>133</v>
      </c>
      <c r="C742" t="s">
        <v>137</v>
      </c>
      <c r="D742" s="1">
        <v>0</v>
      </c>
      <c r="E742" s="1">
        <v>0</v>
      </c>
      <c r="F742" s="1">
        <v>0</v>
      </c>
      <c r="G742" s="1">
        <v>1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1</v>
      </c>
      <c r="N742" s="1">
        <v>1</v>
      </c>
      <c r="O742" s="1">
        <v>0</v>
      </c>
      <c r="P742" s="1">
        <v>0</v>
      </c>
      <c r="Q742" s="1">
        <v>0</v>
      </c>
      <c r="R742" s="1">
        <v>0</v>
      </c>
      <c r="S742" s="1">
        <v>1</v>
      </c>
      <c r="T742" s="1">
        <v>0</v>
      </c>
      <c r="U742" s="1">
        <v>1</v>
      </c>
      <c r="V742" s="1" t="s">
        <v>135</v>
      </c>
    </row>
    <row r="743" spans="1:22">
      <c r="A743" t="s">
        <v>130</v>
      </c>
      <c r="B743" t="s">
        <v>133</v>
      </c>
      <c r="C743" t="s">
        <v>138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 t="s">
        <v>135</v>
      </c>
    </row>
    <row r="744" spans="1:22">
      <c r="A744" t="s">
        <v>130</v>
      </c>
      <c r="B744" t="s">
        <v>133</v>
      </c>
      <c r="C744" t="s">
        <v>139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 t="s">
        <v>135</v>
      </c>
    </row>
    <row r="745" spans="1:22">
      <c r="A745" t="s">
        <v>130</v>
      </c>
      <c r="B745" t="s">
        <v>133</v>
      </c>
      <c r="C745" t="s">
        <v>140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 t="s">
        <v>135</v>
      </c>
    </row>
    <row r="746" spans="1:22">
      <c r="A746" t="s">
        <v>130</v>
      </c>
      <c r="B746" t="s">
        <v>133</v>
      </c>
      <c r="C746" t="s">
        <v>141</v>
      </c>
      <c r="D746" s="1">
        <v>8</v>
      </c>
      <c r="E746" s="1">
        <v>10</v>
      </c>
      <c r="F746" s="1">
        <v>7</v>
      </c>
      <c r="G746" s="1">
        <v>31</v>
      </c>
      <c r="H746" s="1">
        <v>0</v>
      </c>
      <c r="I746" s="1">
        <v>1</v>
      </c>
      <c r="J746" s="1">
        <v>4</v>
      </c>
      <c r="K746" s="1">
        <v>9</v>
      </c>
      <c r="L746" s="1">
        <v>6</v>
      </c>
      <c r="M746" s="1">
        <v>36</v>
      </c>
      <c r="N746" s="1">
        <v>19</v>
      </c>
      <c r="O746" s="1">
        <v>13</v>
      </c>
      <c r="P746" s="1">
        <v>11</v>
      </c>
      <c r="Q746" s="1">
        <v>13</v>
      </c>
      <c r="R746" s="1">
        <v>22</v>
      </c>
      <c r="S746" s="1">
        <v>34</v>
      </c>
      <c r="T746" s="1">
        <v>0</v>
      </c>
      <c r="U746" s="1">
        <v>56</v>
      </c>
      <c r="V746" s="1" t="s">
        <v>135</v>
      </c>
    </row>
    <row r="747" spans="1:22">
      <c r="A747" t="s">
        <v>130</v>
      </c>
      <c r="B747" t="s">
        <v>133</v>
      </c>
      <c r="C747" t="s">
        <v>142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 t="s">
        <v>135</v>
      </c>
    </row>
    <row r="748" spans="1:22"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4:22"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4:22"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4:22"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4:22"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4:22"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4:22"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4:22"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4:22"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4:22"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4:22"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4:22"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4:22"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4:22"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4:22"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4:22"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4:22"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4:22"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4:22"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4:22"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4:22"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4:22"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4:22"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4:22"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4:22"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4:22"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4:22"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4:22"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4:22"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4:22"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4:22"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4:22"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4:22"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4:22"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4:22"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4:22"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4:22"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4:22"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4:22"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4:22"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4:22"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4:22"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4:22"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4:22"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4:22"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4:22"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4:22"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4:22"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4:22"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4:22"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4:22"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4:22"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4:22"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4:22"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4:22"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4:22"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4:22"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4:22"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4:22"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4:22"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4:22"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4:22"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4:22"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4:22"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4:22"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>
      <c r="D822" s="126"/>
    </row>
    <row r="823" spans="1:22">
      <c r="D823" s="126"/>
    </row>
    <row r="824" spans="1:22">
      <c r="D824" s="126"/>
    </row>
    <row r="829" spans="1:22">
      <c r="A829" s="1">
        <f>setup!C25</f>
        <v>3748</v>
      </c>
    </row>
    <row r="830" spans="1:22">
      <c r="A830" t="str">
        <f>_xlfn.CONCAT(setup!D25," - ",setup!E25)</f>
        <v>CELF-6 RF1 OSEP Intellectual Disability (Ages 5-8) - OSEP_ID_RF1</v>
      </c>
      <c r="D830" s="1"/>
      <c r="E830" s="1"/>
      <c r="F830" s="1"/>
      <c r="G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2">
      <c r="A831" t="s">
        <v>110</v>
      </c>
      <c r="B831" t="s">
        <v>111</v>
      </c>
      <c r="C831" t="s">
        <v>112</v>
      </c>
      <c r="D831" s="1" t="s">
        <v>113</v>
      </c>
      <c r="E831" s="1" t="s">
        <v>114</v>
      </c>
      <c r="F831" s="1" t="s">
        <v>115</v>
      </c>
      <c r="G831" s="1" t="s">
        <v>116</v>
      </c>
      <c r="H831" s="1" t="s">
        <v>117</v>
      </c>
      <c r="I831" s="1" t="s">
        <v>118</v>
      </c>
      <c r="J831" s="1" t="s">
        <v>119</v>
      </c>
      <c r="K831" s="1" t="s">
        <v>120</v>
      </c>
      <c r="L831" s="1" t="s">
        <v>121</v>
      </c>
      <c r="M831" s="1" t="s">
        <v>122</v>
      </c>
      <c r="N831" s="1" t="s">
        <v>123</v>
      </c>
      <c r="O831" s="1" t="s">
        <v>124</v>
      </c>
      <c r="P831" s="1" t="s">
        <v>125</v>
      </c>
      <c r="Q831" s="1" t="s">
        <v>126</v>
      </c>
      <c r="R831" s="1" t="s">
        <v>127</v>
      </c>
      <c r="S831" s="1" t="s">
        <v>128</v>
      </c>
      <c r="T831" t="s">
        <v>129</v>
      </c>
      <c r="U831" s="1" t="s">
        <v>130</v>
      </c>
      <c r="V831" t="s">
        <v>131</v>
      </c>
    </row>
    <row r="832" spans="1:22">
      <c r="A832" t="s">
        <v>132</v>
      </c>
      <c r="B832" t="s">
        <v>133</v>
      </c>
      <c r="C832" t="s">
        <v>134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5</v>
      </c>
      <c r="V832" s="1" t="s">
        <v>135</v>
      </c>
    </row>
    <row r="833" spans="1:22">
      <c r="A833" t="s">
        <v>132</v>
      </c>
      <c r="B833" t="s">
        <v>133</v>
      </c>
      <c r="C833" t="s">
        <v>136</v>
      </c>
      <c r="D833" s="1">
        <v>0</v>
      </c>
      <c r="E833" s="1">
        <v>0</v>
      </c>
      <c r="F833" s="1">
        <v>2</v>
      </c>
      <c r="G833" s="1">
        <v>0</v>
      </c>
      <c r="H833" s="1">
        <v>0</v>
      </c>
      <c r="I833" s="1">
        <v>0</v>
      </c>
      <c r="J833" s="1">
        <v>2</v>
      </c>
      <c r="K833" s="1">
        <v>0</v>
      </c>
      <c r="L833" s="1">
        <v>0</v>
      </c>
      <c r="M833" s="1">
        <v>0</v>
      </c>
      <c r="N833" s="1">
        <v>0</v>
      </c>
      <c r="O833" s="1">
        <v>1</v>
      </c>
      <c r="P833" s="1">
        <v>1</v>
      </c>
      <c r="Q833" s="1">
        <v>0</v>
      </c>
      <c r="R833" s="1">
        <v>0</v>
      </c>
      <c r="S833" s="1">
        <v>2</v>
      </c>
      <c r="T833" s="1">
        <v>0</v>
      </c>
      <c r="U833" s="1">
        <v>2</v>
      </c>
      <c r="V833" s="1" t="s">
        <v>135</v>
      </c>
    </row>
    <row r="834" spans="1:22">
      <c r="A834" t="s">
        <v>132</v>
      </c>
      <c r="B834" t="s">
        <v>133</v>
      </c>
      <c r="C834" t="s">
        <v>137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 t="s">
        <v>135</v>
      </c>
    </row>
    <row r="835" spans="1:22">
      <c r="A835" t="s">
        <v>132</v>
      </c>
      <c r="B835" t="s">
        <v>133</v>
      </c>
      <c r="C835" t="s">
        <v>138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 t="s">
        <v>135</v>
      </c>
    </row>
    <row r="836" spans="1:22">
      <c r="A836" t="s">
        <v>132</v>
      </c>
      <c r="B836" t="s">
        <v>133</v>
      </c>
      <c r="C836" t="s">
        <v>139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 t="s">
        <v>135</v>
      </c>
    </row>
    <row r="837" spans="1:22">
      <c r="A837" t="s">
        <v>132</v>
      </c>
      <c r="B837" t="s">
        <v>133</v>
      </c>
      <c r="C837" t="s">
        <v>140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 t="s">
        <v>135</v>
      </c>
    </row>
    <row r="838" spans="1:22">
      <c r="A838" t="s">
        <v>132</v>
      </c>
      <c r="B838" t="s">
        <v>133</v>
      </c>
      <c r="C838" t="s">
        <v>141</v>
      </c>
      <c r="D838" s="1">
        <v>0</v>
      </c>
      <c r="E838" s="1">
        <v>0</v>
      </c>
      <c r="F838" s="1">
        <v>2</v>
      </c>
      <c r="G838" s="1">
        <v>0</v>
      </c>
      <c r="H838" s="1">
        <v>0</v>
      </c>
      <c r="I838" s="1">
        <v>0</v>
      </c>
      <c r="J838" s="1">
        <v>2</v>
      </c>
      <c r="K838" s="1">
        <v>0</v>
      </c>
      <c r="L838" s="1">
        <v>0</v>
      </c>
      <c r="M838" s="1">
        <v>0</v>
      </c>
      <c r="N838" s="1">
        <v>0</v>
      </c>
      <c r="O838" s="1">
        <v>1</v>
      </c>
      <c r="P838" s="1">
        <v>1</v>
      </c>
      <c r="Q838" s="1">
        <v>0</v>
      </c>
      <c r="R838" s="1">
        <v>0</v>
      </c>
      <c r="S838" s="1">
        <v>2</v>
      </c>
      <c r="T838" s="1">
        <v>0</v>
      </c>
      <c r="U838" s="1">
        <v>2</v>
      </c>
      <c r="V838" s="1" t="s">
        <v>135</v>
      </c>
    </row>
    <row r="839" spans="1:22">
      <c r="A839" t="s">
        <v>132</v>
      </c>
      <c r="B839" t="s">
        <v>133</v>
      </c>
      <c r="C839" t="s">
        <v>142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 t="s">
        <v>135</v>
      </c>
    </row>
    <row r="840" spans="1:22">
      <c r="A840" t="s">
        <v>130</v>
      </c>
      <c r="B840" t="s">
        <v>133</v>
      </c>
      <c r="C840" t="s">
        <v>134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5</v>
      </c>
      <c r="V840" s="1" t="s">
        <v>135</v>
      </c>
    </row>
    <row r="841" spans="1:22">
      <c r="A841" t="s">
        <v>130</v>
      </c>
      <c r="B841" t="s">
        <v>133</v>
      </c>
      <c r="C841" t="s">
        <v>136</v>
      </c>
      <c r="D841" s="1">
        <v>0</v>
      </c>
      <c r="E841" s="1">
        <v>0</v>
      </c>
      <c r="F841" s="1">
        <v>2</v>
      </c>
      <c r="G841" s="1">
        <v>0</v>
      </c>
      <c r="H841" s="1">
        <v>0</v>
      </c>
      <c r="I841" s="1">
        <v>0</v>
      </c>
      <c r="J841" s="1">
        <v>2</v>
      </c>
      <c r="K841" s="1">
        <v>0</v>
      </c>
      <c r="L841" s="1">
        <v>0</v>
      </c>
      <c r="M841" s="1">
        <v>0</v>
      </c>
      <c r="N841" s="1">
        <v>0</v>
      </c>
      <c r="O841" s="1">
        <v>1</v>
      </c>
      <c r="P841" s="1">
        <v>1</v>
      </c>
      <c r="Q841" s="1">
        <v>0</v>
      </c>
      <c r="R841" s="1">
        <v>0</v>
      </c>
      <c r="S841" s="1">
        <v>2</v>
      </c>
      <c r="T841" s="1">
        <v>0</v>
      </c>
      <c r="U841" s="1">
        <v>2</v>
      </c>
      <c r="V841" s="1" t="s">
        <v>135</v>
      </c>
    </row>
    <row r="842" spans="1:22">
      <c r="A842" t="s">
        <v>130</v>
      </c>
      <c r="B842" t="s">
        <v>133</v>
      </c>
      <c r="C842" t="s">
        <v>137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 t="s">
        <v>135</v>
      </c>
    </row>
    <row r="843" spans="1:22">
      <c r="A843" t="s">
        <v>130</v>
      </c>
      <c r="B843" t="s">
        <v>133</v>
      </c>
      <c r="C843" t="s">
        <v>138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 t="s">
        <v>135</v>
      </c>
    </row>
    <row r="844" spans="1:22">
      <c r="A844" t="s">
        <v>130</v>
      </c>
      <c r="B844" t="s">
        <v>133</v>
      </c>
      <c r="C844" t="s">
        <v>139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 t="s">
        <v>135</v>
      </c>
    </row>
    <row r="845" spans="1:22">
      <c r="A845" t="s">
        <v>130</v>
      </c>
      <c r="B845" t="s">
        <v>133</v>
      </c>
      <c r="C845" t="s">
        <v>140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 t="s">
        <v>135</v>
      </c>
    </row>
    <row r="846" spans="1:22">
      <c r="A846" t="s">
        <v>130</v>
      </c>
      <c r="B846" t="s">
        <v>133</v>
      </c>
      <c r="C846" t="s">
        <v>141</v>
      </c>
      <c r="D846" s="1">
        <v>0</v>
      </c>
      <c r="E846" s="1">
        <v>0</v>
      </c>
      <c r="F846" s="1">
        <v>2</v>
      </c>
      <c r="G846" s="1">
        <v>0</v>
      </c>
      <c r="H846" s="1">
        <v>0</v>
      </c>
      <c r="I846" s="1">
        <v>0</v>
      </c>
      <c r="J846" s="1">
        <v>2</v>
      </c>
      <c r="K846" s="1">
        <v>0</v>
      </c>
      <c r="L846" s="1">
        <v>0</v>
      </c>
      <c r="M846" s="1">
        <v>0</v>
      </c>
      <c r="N846" s="1">
        <v>0</v>
      </c>
      <c r="O846" s="1">
        <v>1</v>
      </c>
      <c r="P846" s="1">
        <v>1</v>
      </c>
      <c r="Q846" s="1">
        <v>0</v>
      </c>
      <c r="R846" s="1">
        <v>0</v>
      </c>
      <c r="S846" s="1">
        <v>2</v>
      </c>
      <c r="T846" s="1">
        <v>0</v>
      </c>
      <c r="U846" s="1">
        <v>2</v>
      </c>
      <c r="V846" s="1" t="s">
        <v>135</v>
      </c>
    </row>
    <row r="847" spans="1:22">
      <c r="A847" t="s">
        <v>130</v>
      </c>
      <c r="B847" t="s">
        <v>133</v>
      </c>
      <c r="C847" t="s">
        <v>142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 t="s">
        <v>135</v>
      </c>
    </row>
    <row r="848" spans="1:22"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4:22"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4:22"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4:22"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4:22"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4:22"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4:22"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4:22"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4:22"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4:22"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4:22"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4:22"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4:22"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4:22"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4:22"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4:22"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4:22"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4:22"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4:22"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4:22"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4:22"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4:22"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4:22"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4:22"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4:22"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4:22"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4:22"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4:22"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4:22"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4:22"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4:22"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4:22"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4:22"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4:22"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4:22"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4:22"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4:22"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4:22"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4:22"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4:22"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4:22"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4:22"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4:22"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4:22"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4:22"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4:22"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4:22"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929" spans="1:22">
      <c r="A929" s="1">
        <f>setup!C26</f>
        <v>3749</v>
      </c>
    </row>
    <row r="930" spans="1:22">
      <c r="A930" t="str">
        <f>_xlfn.CONCAT(setup!D26," - ",setup!E26)</f>
        <v>CELF-6 RF2 OSEP Intellectual Disability (Ages 9-21) - OSEP_ID_RF2</v>
      </c>
      <c r="D930" s="1"/>
      <c r="E930" s="1"/>
      <c r="F930" s="1"/>
      <c r="G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2">
      <c r="A931" t="s">
        <v>110</v>
      </c>
      <c r="B931" t="s">
        <v>111</v>
      </c>
      <c r="C931" t="s">
        <v>112</v>
      </c>
      <c r="D931" s="1" t="s">
        <v>113</v>
      </c>
      <c r="E931" s="1" t="s">
        <v>114</v>
      </c>
      <c r="F931" s="1" t="s">
        <v>115</v>
      </c>
      <c r="G931" s="1" t="s">
        <v>116</v>
      </c>
      <c r="H931" s="1" t="s">
        <v>117</v>
      </c>
      <c r="I931" s="1" t="s">
        <v>118</v>
      </c>
      <c r="J931" s="1" t="s">
        <v>119</v>
      </c>
      <c r="K931" s="1" t="s">
        <v>120</v>
      </c>
      <c r="L931" s="1" t="s">
        <v>121</v>
      </c>
      <c r="M931" s="1" t="s">
        <v>122</v>
      </c>
      <c r="N931" s="1" t="s">
        <v>123</v>
      </c>
      <c r="O931" s="1" t="s">
        <v>124</v>
      </c>
      <c r="P931" s="1" t="s">
        <v>125</v>
      </c>
      <c r="Q931" s="1" t="s">
        <v>126</v>
      </c>
      <c r="R931" s="1" t="s">
        <v>127</v>
      </c>
      <c r="S931" s="1" t="s">
        <v>128</v>
      </c>
      <c r="T931" t="s">
        <v>129</v>
      </c>
      <c r="U931" s="1" t="s">
        <v>130</v>
      </c>
      <c r="V931" t="s">
        <v>131</v>
      </c>
    </row>
    <row r="932" spans="1:22">
      <c r="A932" t="s">
        <v>145</v>
      </c>
      <c r="B932" t="s">
        <v>133</v>
      </c>
      <c r="C932" t="s">
        <v>134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7</v>
      </c>
      <c r="V932" s="1" t="s">
        <v>135</v>
      </c>
    </row>
    <row r="933" spans="1:22">
      <c r="A933" t="s">
        <v>145</v>
      </c>
      <c r="B933" t="s">
        <v>133</v>
      </c>
      <c r="C933" t="s">
        <v>136</v>
      </c>
      <c r="D933" s="1">
        <v>2</v>
      </c>
      <c r="E933" s="1">
        <v>1</v>
      </c>
      <c r="F933" s="1">
        <v>1</v>
      </c>
      <c r="G933" s="1">
        <v>0</v>
      </c>
      <c r="H933" s="1">
        <v>0</v>
      </c>
      <c r="I933" s="1">
        <v>0</v>
      </c>
      <c r="J933" s="1">
        <v>1</v>
      </c>
      <c r="K933" s="1">
        <v>0</v>
      </c>
      <c r="L933" s="1">
        <v>0</v>
      </c>
      <c r="M933" s="1">
        <v>3</v>
      </c>
      <c r="N933" s="1">
        <v>0</v>
      </c>
      <c r="O933" s="1">
        <v>1</v>
      </c>
      <c r="P933" s="1">
        <v>2</v>
      </c>
      <c r="Q933" s="1">
        <v>1</v>
      </c>
      <c r="R933" s="1">
        <v>2</v>
      </c>
      <c r="S933" s="1">
        <v>2</v>
      </c>
      <c r="T933" s="1">
        <v>0</v>
      </c>
      <c r="U933" s="1">
        <v>4</v>
      </c>
      <c r="V933" s="1" t="s">
        <v>135</v>
      </c>
    </row>
    <row r="934" spans="1:22">
      <c r="A934" t="s">
        <v>145</v>
      </c>
      <c r="B934" t="s">
        <v>133</v>
      </c>
      <c r="C934" t="s">
        <v>137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 t="s">
        <v>135</v>
      </c>
    </row>
    <row r="935" spans="1:22">
      <c r="A935" t="s">
        <v>145</v>
      </c>
      <c r="B935" t="s">
        <v>133</v>
      </c>
      <c r="C935" t="s">
        <v>138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 t="s">
        <v>135</v>
      </c>
    </row>
    <row r="936" spans="1:22">
      <c r="A936" t="s">
        <v>145</v>
      </c>
      <c r="B936" t="s">
        <v>133</v>
      </c>
      <c r="C936" t="s">
        <v>139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 t="s">
        <v>135</v>
      </c>
    </row>
    <row r="937" spans="1:22">
      <c r="A937" t="s">
        <v>145</v>
      </c>
      <c r="B937" t="s">
        <v>133</v>
      </c>
      <c r="C937" t="s">
        <v>140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 t="s">
        <v>135</v>
      </c>
    </row>
    <row r="938" spans="1:22">
      <c r="A938" t="s">
        <v>145</v>
      </c>
      <c r="B938" t="s">
        <v>133</v>
      </c>
      <c r="C938" t="s">
        <v>141</v>
      </c>
      <c r="D938" s="1">
        <v>2</v>
      </c>
      <c r="E938" s="1">
        <v>1</v>
      </c>
      <c r="F938" s="1">
        <v>1</v>
      </c>
      <c r="G938" s="1">
        <v>0</v>
      </c>
      <c r="H938" s="1">
        <v>0</v>
      </c>
      <c r="I938" s="1">
        <v>0</v>
      </c>
      <c r="J938" s="1">
        <v>1</v>
      </c>
      <c r="K938" s="1">
        <v>0</v>
      </c>
      <c r="L938" s="1">
        <v>0</v>
      </c>
      <c r="M938" s="1">
        <v>3</v>
      </c>
      <c r="N938" s="1">
        <v>0</v>
      </c>
      <c r="O938" s="1">
        <v>1</v>
      </c>
      <c r="P938" s="1">
        <v>2</v>
      </c>
      <c r="Q938" s="1">
        <v>1</v>
      </c>
      <c r="R938" s="1">
        <v>2</v>
      </c>
      <c r="S938" s="1">
        <v>2</v>
      </c>
      <c r="T938" s="1">
        <v>0</v>
      </c>
      <c r="U938" s="1">
        <v>4</v>
      </c>
      <c r="V938" s="1" t="s">
        <v>135</v>
      </c>
    </row>
    <row r="939" spans="1:22">
      <c r="A939" t="s">
        <v>145</v>
      </c>
      <c r="B939" t="s">
        <v>133</v>
      </c>
      <c r="C939" t="s">
        <v>142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 t="s">
        <v>135</v>
      </c>
    </row>
    <row r="940" spans="1:22">
      <c r="A940" t="s">
        <v>130</v>
      </c>
      <c r="B940" t="s">
        <v>133</v>
      </c>
      <c r="C940" t="s">
        <v>134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7</v>
      </c>
      <c r="V940" s="1" t="s">
        <v>135</v>
      </c>
    </row>
    <row r="941" spans="1:22">
      <c r="A941" t="s">
        <v>130</v>
      </c>
      <c r="B941" t="s">
        <v>133</v>
      </c>
      <c r="C941" t="s">
        <v>136</v>
      </c>
      <c r="D941" s="1">
        <v>2</v>
      </c>
      <c r="E941" s="1">
        <v>1</v>
      </c>
      <c r="F941" s="1">
        <v>1</v>
      </c>
      <c r="G941" s="1">
        <v>0</v>
      </c>
      <c r="H941" s="1">
        <v>0</v>
      </c>
      <c r="I941" s="1">
        <v>0</v>
      </c>
      <c r="J941" s="1">
        <v>1</v>
      </c>
      <c r="K941" s="1">
        <v>0</v>
      </c>
      <c r="L941" s="1">
        <v>0</v>
      </c>
      <c r="M941" s="1">
        <v>3</v>
      </c>
      <c r="N941" s="1">
        <v>0</v>
      </c>
      <c r="O941" s="1">
        <v>1</v>
      </c>
      <c r="P941" s="1">
        <v>2</v>
      </c>
      <c r="Q941" s="1">
        <v>1</v>
      </c>
      <c r="R941" s="1">
        <v>2</v>
      </c>
      <c r="S941" s="1">
        <v>2</v>
      </c>
      <c r="T941" s="1">
        <v>0</v>
      </c>
      <c r="U941" s="1">
        <v>4</v>
      </c>
      <c r="V941" s="1" t="s">
        <v>135</v>
      </c>
    </row>
    <row r="942" spans="1:22">
      <c r="A942" t="s">
        <v>130</v>
      </c>
      <c r="B942" t="s">
        <v>133</v>
      </c>
      <c r="C942" t="s">
        <v>137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 t="s">
        <v>135</v>
      </c>
    </row>
    <row r="943" spans="1:22">
      <c r="A943" t="s">
        <v>130</v>
      </c>
      <c r="B943" t="s">
        <v>133</v>
      </c>
      <c r="C943" t="s">
        <v>138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 t="s">
        <v>135</v>
      </c>
    </row>
    <row r="944" spans="1:22">
      <c r="A944" t="s">
        <v>130</v>
      </c>
      <c r="B944" t="s">
        <v>133</v>
      </c>
      <c r="C944" t="s">
        <v>139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 t="s">
        <v>135</v>
      </c>
    </row>
    <row r="945" spans="1:22">
      <c r="A945" t="s">
        <v>130</v>
      </c>
      <c r="B945" t="s">
        <v>133</v>
      </c>
      <c r="C945" t="s">
        <v>140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 t="s">
        <v>135</v>
      </c>
    </row>
    <row r="946" spans="1:22">
      <c r="A946" t="s">
        <v>130</v>
      </c>
      <c r="B946" t="s">
        <v>133</v>
      </c>
      <c r="C946" t="s">
        <v>141</v>
      </c>
      <c r="D946" s="1">
        <v>2</v>
      </c>
      <c r="E946" s="1">
        <v>1</v>
      </c>
      <c r="F946" s="1">
        <v>1</v>
      </c>
      <c r="G946" s="1">
        <v>0</v>
      </c>
      <c r="H946" s="1">
        <v>0</v>
      </c>
      <c r="I946" s="1">
        <v>0</v>
      </c>
      <c r="J946" s="1">
        <v>1</v>
      </c>
      <c r="K946" s="1">
        <v>0</v>
      </c>
      <c r="L946" s="1">
        <v>0</v>
      </c>
      <c r="M946" s="1">
        <v>3</v>
      </c>
      <c r="N946" s="1">
        <v>0</v>
      </c>
      <c r="O946" s="1">
        <v>1</v>
      </c>
      <c r="P946" s="1">
        <v>2</v>
      </c>
      <c r="Q946" s="1">
        <v>1</v>
      </c>
      <c r="R946" s="1">
        <v>2</v>
      </c>
      <c r="S946" s="1">
        <v>2</v>
      </c>
      <c r="T946" s="1">
        <v>0</v>
      </c>
      <c r="U946" s="1">
        <v>4</v>
      </c>
      <c r="V946" s="1" t="s">
        <v>135</v>
      </c>
    </row>
    <row r="947" spans="1:22">
      <c r="A947" t="s">
        <v>130</v>
      </c>
      <c r="B947" t="s">
        <v>133</v>
      </c>
      <c r="C947" t="s">
        <v>142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 t="s">
        <v>135</v>
      </c>
    </row>
    <row r="948" spans="1:22"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4:22"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4:22"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4:22"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4:22"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4:22"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4:22"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4:22"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4:22"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4:22"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4:22"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4:22"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4:22"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4:22"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4:22"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4:22"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4:22"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4:22"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4:22"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4:22"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4:22"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4:22"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4:22"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4:22"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4:22"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4:22"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4:22"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4:22"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4:22"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4:22"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4:22"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4:22"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4:22"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4:22"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4:22"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4:22"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4:22"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4:22"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4:22"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4:22"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4:22"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 spans="4:22"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  <row r="1002" spans="4:22"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</row>
    <row r="1003" spans="4:22"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</row>
    <row r="1004" spans="4:22"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</row>
    <row r="1005" spans="4:22"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</row>
    <row r="1006" spans="4:22"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</row>
    <row r="1007" spans="4:22"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</row>
    <row r="1008" spans="4:22"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</row>
    <row r="1009" spans="4:22"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</row>
    <row r="1010" spans="4:22"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</row>
    <row r="1011" spans="4:22"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</row>
    <row r="1012" spans="4:22"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</row>
    <row r="1029" spans="1:22">
      <c r="A1029">
        <f>setup!C27</f>
        <v>3750</v>
      </c>
    </row>
    <row r="1030" spans="1:22">
      <c r="A1030" t="str">
        <f>_xlfn.CONCAT(setup!D27," - ",setup!E27)</f>
        <v>CELF-6 RF1 OSEP ADHD (Ages 5-8) - OSEP_ADHD_RF1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spans="1:22">
      <c r="A1031" t="s">
        <v>110</v>
      </c>
      <c r="B1031" t="s">
        <v>111</v>
      </c>
      <c r="C1031" t="s">
        <v>112</v>
      </c>
      <c r="D1031" s="1" t="s">
        <v>113</v>
      </c>
      <c r="E1031" s="1" t="s">
        <v>114</v>
      </c>
      <c r="F1031" s="1" t="s">
        <v>115</v>
      </c>
      <c r="G1031" s="1" t="s">
        <v>116</v>
      </c>
      <c r="H1031" s="1" t="s">
        <v>117</v>
      </c>
      <c r="I1031" s="1" t="s">
        <v>118</v>
      </c>
      <c r="J1031" s="1" t="s">
        <v>119</v>
      </c>
      <c r="K1031" s="1" t="s">
        <v>120</v>
      </c>
      <c r="L1031" s="1" t="s">
        <v>121</v>
      </c>
      <c r="M1031" s="1" t="s">
        <v>122</v>
      </c>
      <c r="N1031" s="1" t="s">
        <v>123</v>
      </c>
      <c r="O1031" s="1" t="s">
        <v>124</v>
      </c>
      <c r="P1031" s="1" t="s">
        <v>125</v>
      </c>
      <c r="Q1031" s="1" t="s">
        <v>126</v>
      </c>
      <c r="R1031" s="1" t="s">
        <v>127</v>
      </c>
      <c r="S1031" s="1" t="s">
        <v>128</v>
      </c>
      <c r="T1031" t="s">
        <v>129</v>
      </c>
      <c r="U1031" s="1" t="s">
        <v>130</v>
      </c>
      <c r="V1031" t="s">
        <v>131</v>
      </c>
    </row>
    <row r="1032" spans="1:22">
      <c r="A1032" t="s">
        <v>132</v>
      </c>
      <c r="B1032" t="s">
        <v>133</v>
      </c>
      <c r="C1032" t="s">
        <v>134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35</v>
      </c>
      <c r="V1032" s="1" t="s">
        <v>135</v>
      </c>
    </row>
    <row r="1033" spans="1:22">
      <c r="A1033" t="s">
        <v>132</v>
      </c>
      <c r="B1033" t="s">
        <v>133</v>
      </c>
      <c r="C1033" t="s">
        <v>136</v>
      </c>
      <c r="D1033" s="1">
        <v>3</v>
      </c>
      <c r="E1033" s="1">
        <v>5</v>
      </c>
      <c r="F1033" s="1">
        <v>3</v>
      </c>
      <c r="G1033" s="1">
        <v>3</v>
      </c>
      <c r="H1033" s="1">
        <v>0</v>
      </c>
      <c r="I1033" s="1">
        <v>1</v>
      </c>
      <c r="J1033" s="1">
        <v>3</v>
      </c>
      <c r="K1033" s="1">
        <v>2</v>
      </c>
      <c r="L1033" s="1">
        <v>2</v>
      </c>
      <c r="M1033" s="1">
        <v>6</v>
      </c>
      <c r="N1033" s="1">
        <v>3</v>
      </c>
      <c r="O1033" s="1">
        <v>3</v>
      </c>
      <c r="P1033" s="1">
        <v>8</v>
      </c>
      <c r="Q1033" s="1">
        <v>0</v>
      </c>
      <c r="R1033" s="1">
        <v>6</v>
      </c>
      <c r="S1033" s="1">
        <v>8</v>
      </c>
      <c r="T1033" s="1">
        <v>0</v>
      </c>
      <c r="U1033" s="1">
        <v>14</v>
      </c>
      <c r="V1033" s="1" t="s">
        <v>135</v>
      </c>
    </row>
    <row r="1034" spans="1:22">
      <c r="A1034" t="s">
        <v>132</v>
      </c>
      <c r="B1034" t="s">
        <v>133</v>
      </c>
      <c r="C1034" t="s">
        <v>137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 t="s">
        <v>135</v>
      </c>
    </row>
    <row r="1035" spans="1:22">
      <c r="A1035" t="s">
        <v>132</v>
      </c>
      <c r="B1035" t="s">
        <v>133</v>
      </c>
      <c r="C1035" t="s">
        <v>138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 t="s">
        <v>135</v>
      </c>
    </row>
    <row r="1036" spans="1:22">
      <c r="A1036" t="s">
        <v>132</v>
      </c>
      <c r="B1036" t="s">
        <v>133</v>
      </c>
      <c r="C1036" t="s">
        <v>139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 t="s">
        <v>135</v>
      </c>
    </row>
    <row r="1037" spans="1:22">
      <c r="A1037" t="s">
        <v>132</v>
      </c>
      <c r="B1037" t="s">
        <v>133</v>
      </c>
      <c r="C1037" t="s">
        <v>140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 t="s">
        <v>135</v>
      </c>
    </row>
    <row r="1038" spans="1:22">
      <c r="A1038" t="s">
        <v>132</v>
      </c>
      <c r="B1038" t="s">
        <v>133</v>
      </c>
      <c r="C1038" t="s">
        <v>141</v>
      </c>
      <c r="D1038" s="1">
        <v>3</v>
      </c>
      <c r="E1038" s="1">
        <v>5</v>
      </c>
      <c r="F1038" s="1">
        <v>3</v>
      </c>
      <c r="G1038" s="1">
        <v>3</v>
      </c>
      <c r="H1038" s="1">
        <v>0</v>
      </c>
      <c r="I1038" s="1">
        <v>1</v>
      </c>
      <c r="J1038" s="1">
        <v>3</v>
      </c>
      <c r="K1038" s="1">
        <v>2</v>
      </c>
      <c r="L1038" s="1">
        <v>2</v>
      </c>
      <c r="M1038" s="1">
        <v>6</v>
      </c>
      <c r="N1038" s="1">
        <v>3</v>
      </c>
      <c r="O1038" s="1">
        <v>3</v>
      </c>
      <c r="P1038" s="1">
        <v>8</v>
      </c>
      <c r="Q1038" s="1">
        <v>0</v>
      </c>
      <c r="R1038" s="1">
        <v>6</v>
      </c>
      <c r="S1038" s="1">
        <v>8</v>
      </c>
      <c r="T1038" s="1">
        <v>0</v>
      </c>
      <c r="U1038" s="1">
        <v>14</v>
      </c>
      <c r="V1038" s="1" t="s">
        <v>135</v>
      </c>
    </row>
    <row r="1039" spans="1:22">
      <c r="A1039" t="s">
        <v>132</v>
      </c>
      <c r="B1039" t="s">
        <v>133</v>
      </c>
      <c r="C1039" t="s">
        <v>142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 t="s">
        <v>135</v>
      </c>
    </row>
    <row r="1040" spans="1:22">
      <c r="A1040" t="s">
        <v>130</v>
      </c>
      <c r="B1040" t="s">
        <v>133</v>
      </c>
      <c r="C1040" t="s">
        <v>134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35</v>
      </c>
      <c r="V1040" s="1" t="s">
        <v>135</v>
      </c>
    </row>
    <row r="1041" spans="1:22">
      <c r="A1041" t="s">
        <v>130</v>
      </c>
      <c r="B1041" t="s">
        <v>133</v>
      </c>
      <c r="C1041" t="s">
        <v>136</v>
      </c>
      <c r="D1041" s="1">
        <v>3</v>
      </c>
      <c r="E1041" s="1">
        <v>5</v>
      </c>
      <c r="F1041" s="1">
        <v>3</v>
      </c>
      <c r="G1041" s="1">
        <v>3</v>
      </c>
      <c r="H1041" s="1">
        <v>0</v>
      </c>
      <c r="I1041" s="1">
        <v>1</v>
      </c>
      <c r="J1041" s="1">
        <v>3</v>
      </c>
      <c r="K1041" s="1">
        <v>2</v>
      </c>
      <c r="L1041" s="1">
        <v>2</v>
      </c>
      <c r="M1041" s="1">
        <v>6</v>
      </c>
      <c r="N1041" s="1">
        <v>3</v>
      </c>
      <c r="O1041" s="1">
        <v>3</v>
      </c>
      <c r="P1041" s="1">
        <v>8</v>
      </c>
      <c r="Q1041" s="1">
        <v>0</v>
      </c>
      <c r="R1041" s="1">
        <v>6</v>
      </c>
      <c r="S1041" s="1">
        <v>8</v>
      </c>
      <c r="T1041" s="1">
        <v>0</v>
      </c>
      <c r="U1041" s="1">
        <v>14</v>
      </c>
      <c r="V1041" s="1" t="s">
        <v>135</v>
      </c>
    </row>
    <row r="1042" spans="1:22">
      <c r="A1042" t="s">
        <v>130</v>
      </c>
      <c r="B1042" t="s">
        <v>133</v>
      </c>
      <c r="C1042" t="s">
        <v>137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 t="s">
        <v>135</v>
      </c>
    </row>
    <row r="1043" spans="1:22">
      <c r="A1043" t="s">
        <v>130</v>
      </c>
      <c r="B1043" t="s">
        <v>133</v>
      </c>
      <c r="C1043" t="s">
        <v>138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 t="s">
        <v>135</v>
      </c>
    </row>
    <row r="1044" spans="1:22">
      <c r="A1044" t="s">
        <v>130</v>
      </c>
      <c r="B1044" t="s">
        <v>133</v>
      </c>
      <c r="C1044" t="s">
        <v>139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 t="s">
        <v>135</v>
      </c>
    </row>
    <row r="1045" spans="1:22">
      <c r="A1045" t="s">
        <v>130</v>
      </c>
      <c r="B1045" t="s">
        <v>133</v>
      </c>
      <c r="C1045" t="s">
        <v>140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 t="s">
        <v>135</v>
      </c>
    </row>
    <row r="1046" spans="1:22">
      <c r="A1046" t="s">
        <v>130</v>
      </c>
      <c r="B1046" t="s">
        <v>133</v>
      </c>
      <c r="C1046" t="s">
        <v>141</v>
      </c>
      <c r="D1046" s="1">
        <v>3</v>
      </c>
      <c r="E1046" s="1">
        <v>5</v>
      </c>
      <c r="F1046" s="1">
        <v>3</v>
      </c>
      <c r="G1046" s="1">
        <v>3</v>
      </c>
      <c r="H1046" s="1">
        <v>0</v>
      </c>
      <c r="I1046" s="1">
        <v>1</v>
      </c>
      <c r="J1046" s="1">
        <v>3</v>
      </c>
      <c r="K1046" s="1">
        <v>2</v>
      </c>
      <c r="L1046" s="1">
        <v>2</v>
      </c>
      <c r="M1046" s="1">
        <v>6</v>
      </c>
      <c r="N1046" s="1">
        <v>3</v>
      </c>
      <c r="O1046" s="1">
        <v>3</v>
      </c>
      <c r="P1046" s="1">
        <v>8</v>
      </c>
      <c r="Q1046" s="1">
        <v>0</v>
      </c>
      <c r="R1046" s="1">
        <v>6</v>
      </c>
      <c r="S1046" s="1">
        <v>8</v>
      </c>
      <c r="T1046" s="1">
        <v>0</v>
      </c>
      <c r="U1046" s="1">
        <v>14</v>
      </c>
      <c r="V1046" s="1" t="s">
        <v>135</v>
      </c>
    </row>
    <row r="1047" spans="1:22">
      <c r="A1047" t="s">
        <v>130</v>
      </c>
      <c r="B1047" t="s">
        <v>133</v>
      </c>
      <c r="C1047" t="s">
        <v>142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 t="s">
        <v>135</v>
      </c>
    </row>
    <row r="1048" spans="1:22"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</row>
    <row r="1049" spans="1:22"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</row>
    <row r="1050" spans="1:22"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</row>
    <row r="1051" spans="1:22"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</row>
    <row r="1052" spans="1:22"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</row>
    <row r="1053" spans="1:22"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</row>
    <row r="1054" spans="1:22"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</row>
    <row r="1055" spans="1:22"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</row>
    <row r="1056" spans="1:22"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</row>
    <row r="1057" spans="4:22"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</row>
    <row r="1058" spans="4:22"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</row>
    <row r="1059" spans="4:22"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</row>
    <row r="1060" spans="4:22"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</row>
    <row r="1061" spans="4:22"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</row>
    <row r="1062" spans="4:22"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</row>
    <row r="1063" spans="4:22"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</row>
    <row r="1064" spans="4:22"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</row>
    <row r="1065" spans="4:22"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</row>
    <row r="1066" spans="4:22"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</row>
    <row r="1067" spans="4:22"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</row>
    <row r="1068" spans="4:22"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</row>
    <row r="1069" spans="4:22"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</row>
    <row r="1070" spans="4:22"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</row>
    <row r="1071" spans="4:22"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</row>
    <row r="1072" spans="4:22"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</row>
    <row r="1073" spans="4:22"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</row>
    <row r="1074" spans="4:22"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</row>
    <row r="1075" spans="4:22"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</row>
    <row r="1076" spans="4:22"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</row>
    <row r="1077" spans="4:22"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</row>
    <row r="1078" spans="4:22"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</row>
    <row r="1079" spans="4:22"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</row>
    <row r="1080" spans="4:22"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</row>
    <row r="1081" spans="4:22"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</row>
    <row r="1082" spans="4:22"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</row>
    <row r="1083" spans="4:22"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</row>
    <row r="1084" spans="4:22"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</row>
    <row r="1085" spans="4:22"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</row>
    <row r="1086" spans="4:22"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</row>
    <row r="1087" spans="4:22"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</row>
    <row r="1088" spans="4:22"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</row>
    <row r="1089" spans="4:22"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</row>
    <row r="1090" spans="4:22"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</row>
    <row r="1091" spans="4:22"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</row>
    <row r="1092" spans="4:22"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</row>
    <row r="1093" spans="4:22"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</row>
    <row r="1094" spans="4:22"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</row>
    <row r="1129" spans="1:22">
      <c r="A1129">
        <f>setup!C28</f>
        <v>3751</v>
      </c>
    </row>
    <row r="1130" spans="1:22">
      <c r="A1130" t="str">
        <f>_xlfn.CONCAT(setup!D28," - ",setup!E28)</f>
        <v>CELF-6 RF2 OSEP ADHD (Ages 9-17) - OSEP_ADHD_RF2</v>
      </c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 spans="1:22">
      <c r="A1131" t="s">
        <v>110</v>
      </c>
      <c r="B1131" t="s">
        <v>111</v>
      </c>
      <c r="C1131" t="s">
        <v>112</v>
      </c>
      <c r="D1131" s="1" t="s">
        <v>113</v>
      </c>
      <c r="E1131" s="1" t="s">
        <v>114</v>
      </c>
      <c r="F1131" s="1" t="s">
        <v>115</v>
      </c>
      <c r="G1131" s="1" t="s">
        <v>116</v>
      </c>
      <c r="H1131" s="1" t="s">
        <v>117</v>
      </c>
      <c r="I1131" s="1" t="s">
        <v>118</v>
      </c>
      <c r="J1131" s="1" t="s">
        <v>119</v>
      </c>
      <c r="K1131" s="1" t="s">
        <v>120</v>
      </c>
      <c r="L1131" s="1" t="s">
        <v>121</v>
      </c>
      <c r="M1131" s="1" t="s">
        <v>122</v>
      </c>
      <c r="N1131" s="1" t="s">
        <v>123</v>
      </c>
      <c r="O1131" s="1" t="s">
        <v>124</v>
      </c>
      <c r="P1131" s="1" t="s">
        <v>125</v>
      </c>
      <c r="Q1131" s="1" t="s">
        <v>126</v>
      </c>
      <c r="R1131" s="1" t="s">
        <v>127</v>
      </c>
      <c r="S1131" s="1" t="s">
        <v>128</v>
      </c>
      <c r="T1131" t="s">
        <v>129</v>
      </c>
      <c r="U1131" s="1" t="s">
        <v>130</v>
      </c>
      <c r="V1131" t="s">
        <v>131</v>
      </c>
    </row>
    <row r="1132" spans="1:22">
      <c r="A1132" t="s">
        <v>146</v>
      </c>
      <c r="B1132" t="s">
        <v>133</v>
      </c>
      <c r="C1132" t="s">
        <v>134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113</v>
      </c>
      <c r="V1132" s="1" t="s">
        <v>135</v>
      </c>
    </row>
    <row r="1133" spans="1:22">
      <c r="A1133" t="s">
        <v>146</v>
      </c>
      <c r="B1133" t="s">
        <v>133</v>
      </c>
      <c r="C1133" t="s">
        <v>136</v>
      </c>
      <c r="D1133" s="1">
        <v>2</v>
      </c>
      <c r="E1133" s="1">
        <v>6</v>
      </c>
      <c r="F1133" s="1">
        <v>7</v>
      </c>
      <c r="G1133" s="1">
        <v>6</v>
      </c>
      <c r="H1133" s="1">
        <v>0</v>
      </c>
      <c r="I1133" s="1">
        <v>0</v>
      </c>
      <c r="J1133" s="1">
        <v>2</v>
      </c>
      <c r="K1133" s="1">
        <v>0</v>
      </c>
      <c r="L1133" s="1">
        <v>6</v>
      </c>
      <c r="M1133" s="1">
        <v>13</v>
      </c>
      <c r="N1133" s="1">
        <v>5</v>
      </c>
      <c r="O1133" s="1">
        <v>5</v>
      </c>
      <c r="P1133" s="1">
        <v>10</v>
      </c>
      <c r="Q1133" s="1">
        <v>1</v>
      </c>
      <c r="R1133" s="1">
        <v>5</v>
      </c>
      <c r="S1133" s="1">
        <v>16</v>
      </c>
      <c r="T1133" s="1">
        <v>0</v>
      </c>
      <c r="U1133" s="1">
        <v>21</v>
      </c>
      <c r="V1133" s="1" t="s">
        <v>135</v>
      </c>
    </row>
    <row r="1134" spans="1:22">
      <c r="A1134" t="s">
        <v>146</v>
      </c>
      <c r="B1134" t="s">
        <v>133</v>
      </c>
      <c r="C1134" t="s">
        <v>137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 t="s">
        <v>135</v>
      </c>
    </row>
    <row r="1135" spans="1:22">
      <c r="A1135" t="s">
        <v>146</v>
      </c>
      <c r="B1135" t="s">
        <v>133</v>
      </c>
      <c r="C1135" t="s">
        <v>138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 t="s">
        <v>135</v>
      </c>
    </row>
    <row r="1136" spans="1:22">
      <c r="A1136" t="s">
        <v>146</v>
      </c>
      <c r="B1136" t="s">
        <v>133</v>
      </c>
      <c r="C1136" t="s">
        <v>139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 t="s">
        <v>135</v>
      </c>
    </row>
    <row r="1137" spans="1:22">
      <c r="A1137" t="s">
        <v>146</v>
      </c>
      <c r="B1137" t="s">
        <v>133</v>
      </c>
      <c r="C1137" t="s">
        <v>140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 t="s">
        <v>135</v>
      </c>
    </row>
    <row r="1138" spans="1:22">
      <c r="A1138" t="s">
        <v>146</v>
      </c>
      <c r="B1138" t="s">
        <v>133</v>
      </c>
      <c r="C1138" t="s">
        <v>141</v>
      </c>
      <c r="D1138" s="1">
        <v>2</v>
      </c>
      <c r="E1138" s="1">
        <v>6</v>
      </c>
      <c r="F1138" s="1">
        <v>7</v>
      </c>
      <c r="G1138" s="1">
        <v>6</v>
      </c>
      <c r="H1138" s="1">
        <v>0</v>
      </c>
      <c r="I1138" s="1">
        <v>0</v>
      </c>
      <c r="J1138" s="1">
        <v>2</v>
      </c>
      <c r="K1138" s="1">
        <v>0</v>
      </c>
      <c r="L1138" s="1">
        <v>6</v>
      </c>
      <c r="M1138" s="1">
        <v>13</v>
      </c>
      <c r="N1138" s="1">
        <v>5</v>
      </c>
      <c r="O1138" s="1">
        <v>5</v>
      </c>
      <c r="P1138" s="1">
        <v>10</v>
      </c>
      <c r="Q1138" s="1">
        <v>1</v>
      </c>
      <c r="R1138" s="1">
        <v>5</v>
      </c>
      <c r="S1138" s="1">
        <v>16</v>
      </c>
      <c r="T1138" s="1">
        <v>0</v>
      </c>
      <c r="U1138" s="1">
        <v>21</v>
      </c>
      <c r="V1138" s="1" t="s">
        <v>135</v>
      </c>
    </row>
    <row r="1139" spans="1:22">
      <c r="A1139" t="s">
        <v>146</v>
      </c>
      <c r="B1139" t="s">
        <v>133</v>
      </c>
      <c r="C1139" t="s">
        <v>142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 t="s">
        <v>135</v>
      </c>
    </row>
    <row r="1140" spans="1:22">
      <c r="A1140" t="s">
        <v>130</v>
      </c>
      <c r="B1140" t="s">
        <v>133</v>
      </c>
      <c r="C1140" t="s">
        <v>134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113</v>
      </c>
      <c r="V1140" s="1" t="s">
        <v>135</v>
      </c>
    </row>
    <row r="1141" spans="1:22">
      <c r="A1141" t="s">
        <v>130</v>
      </c>
      <c r="B1141" t="s">
        <v>133</v>
      </c>
      <c r="C1141" t="s">
        <v>136</v>
      </c>
      <c r="D1141" s="1">
        <v>2</v>
      </c>
      <c r="E1141" s="1">
        <v>6</v>
      </c>
      <c r="F1141" s="1">
        <v>7</v>
      </c>
      <c r="G1141" s="1">
        <v>6</v>
      </c>
      <c r="H1141" s="1">
        <v>0</v>
      </c>
      <c r="I1141" s="1">
        <v>0</v>
      </c>
      <c r="J1141" s="1">
        <v>2</v>
      </c>
      <c r="K1141" s="1">
        <v>0</v>
      </c>
      <c r="L1141" s="1">
        <v>6</v>
      </c>
      <c r="M1141" s="1">
        <v>13</v>
      </c>
      <c r="N1141" s="1">
        <v>5</v>
      </c>
      <c r="O1141" s="1">
        <v>5</v>
      </c>
      <c r="P1141" s="1">
        <v>10</v>
      </c>
      <c r="Q1141" s="1">
        <v>1</v>
      </c>
      <c r="R1141" s="1">
        <v>5</v>
      </c>
      <c r="S1141" s="1">
        <v>16</v>
      </c>
      <c r="T1141" s="1">
        <v>0</v>
      </c>
      <c r="U1141" s="1">
        <v>21</v>
      </c>
      <c r="V1141" s="1" t="s">
        <v>135</v>
      </c>
    </row>
    <row r="1142" spans="1:22">
      <c r="A1142" t="s">
        <v>130</v>
      </c>
      <c r="B1142" t="s">
        <v>133</v>
      </c>
      <c r="C1142" t="s">
        <v>137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 t="s">
        <v>135</v>
      </c>
    </row>
    <row r="1143" spans="1:22">
      <c r="A1143" t="s">
        <v>130</v>
      </c>
      <c r="B1143" t="s">
        <v>133</v>
      </c>
      <c r="C1143" t="s">
        <v>138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 t="s">
        <v>135</v>
      </c>
    </row>
    <row r="1144" spans="1:22">
      <c r="A1144" t="s">
        <v>130</v>
      </c>
      <c r="B1144" t="s">
        <v>133</v>
      </c>
      <c r="C1144" t="s">
        <v>139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 t="s">
        <v>135</v>
      </c>
    </row>
    <row r="1145" spans="1:22">
      <c r="A1145" t="s">
        <v>130</v>
      </c>
      <c r="B1145" t="s">
        <v>133</v>
      </c>
      <c r="C1145" t="s">
        <v>140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 t="s">
        <v>135</v>
      </c>
    </row>
    <row r="1146" spans="1:22">
      <c r="A1146" t="s">
        <v>130</v>
      </c>
      <c r="B1146" t="s">
        <v>133</v>
      </c>
      <c r="C1146" t="s">
        <v>141</v>
      </c>
      <c r="D1146" s="1">
        <v>2</v>
      </c>
      <c r="E1146" s="1">
        <v>6</v>
      </c>
      <c r="F1146" s="1">
        <v>7</v>
      </c>
      <c r="G1146" s="1">
        <v>6</v>
      </c>
      <c r="H1146" s="1">
        <v>0</v>
      </c>
      <c r="I1146" s="1">
        <v>0</v>
      </c>
      <c r="J1146" s="1">
        <v>2</v>
      </c>
      <c r="K1146" s="1">
        <v>0</v>
      </c>
      <c r="L1146" s="1">
        <v>6</v>
      </c>
      <c r="M1146" s="1">
        <v>13</v>
      </c>
      <c r="N1146" s="1">
        <v>5</v>
      </c>
      <c r="O1146" s="1">
        <v>5</v>
      </c>
      <c r="P1146" s="1">
        <v>10</v>
      </c>
      <c r="Q1146" s="1">
        <v>1</v>
      </c>
      <c r="R1146" s="1">
        <v>5</v>
      </c>
      <c r="S1146" s="1">
        <v>16</v>
      </c>
      <c r="T1146" s="1">
        <v>0</v>
      </c>
      <c r="U1146" s="1">
        <v>21</v>
      </c>
      <c r="V1146" s="1" t="s">
        <v>135</v>
      </c>
    </row>
    <row r="1147" spans="1:22">
      <c r="A1147" t="s">
        <v>130</v>
      </c>
      <c r="B1147" t="s">
        <v>133</v>
      </c>
      <c r="C1147" t="s">
        <v>142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 t="s">
        <v>135</v>
      </c>
    </row>
    <row r="1148" spans="1:22"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</row>
    <row r="1149" spans="1:22"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</row>
    <row r="1150" spans="1:22"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</row>
    <row r="1151" spans="1:22"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</row>
    <row r="1152" spans="1:22"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</row>
    <row r="1153" spans="4:22"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</row>
    <row r="1154" spans="4:22"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</row>
    <row r="1155" spans="4:22"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</row>
    <row r="1156" spans="4:22"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</row>
    <row r="1157" spans="4:22"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</row>
    <row r="1158" spans="4:22"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</row>
    <row r="1159" spans="4:22"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</row>
    <row r="1160" spans="4:22"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</row>
    <row r="1161" spans="4:22"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</row>
    <row r="1162" spans="4:22"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</row>
    <row r="1163" spans="4:22"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</row>
    <row r="1164" spans="4:22"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</row>
    <row r="1165" spans="4:22"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</row>
    <row r="1166" spans="4:22"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</row>
    <row r="1167" spans="4:22"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</row>
    <row r="1168" spans="4:22"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</row>
    <row r="1169" spans="4:22"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</row>
    <row r="1170" spans="4:22"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</row>
    <row r="1171" spans="4:22"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</row>
    <row r="1172" spans="4:22"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</row>
    <row r="1173" spans="4:22"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</row>
    <row r="1174" spans="4:22"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</row>
    <row r="1175" spans="4:22"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</row>
    <row r="1176" spans="4:22"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</row>
    <row r="1177" spans="4:22"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</row>
    <row r="1178" spans="4:22"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</row>
    <row r="1179" spans="4:22"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</row>
    <row r="1180" spans="4:22"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</row>
    <row r="1181" spans="4:22"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</row>
    <row r="1182" spans="4:22"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</row>
    <row r="1183" spans="4:22"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</row>
    <row r="1184" spans="4:22"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</row>
    <row r="1185" spans="4:22"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</row>
    <row r="1186" spans="4:22"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</row>
    <row r="1187" spans="4:22"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</row>
    <row r="1188" spans="4:22"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</row>
    <row r="1189" spans="4:22"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</row>
    <row r="1190" spans="4:22"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</row>
    <row r="1191" spans="4:22"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</row>
    <row r="1192" spans="4:22"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</row>
    <row r="1193" spans="4:22"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</row>
    <row r="1194" spans="4:22"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</row>
    <row r="1195" spans="4:22"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</row>
    <row r="1196" spans="4:22"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</row>
    <row r="1197" spans="4:22"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</row>
    <row r="1198" spans="4:22"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</row>
    <row r="1199" spans="4:22"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</row>
    <row r="1200" spans="4:22"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</row>
    <row r="1201" spans="4:22"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</row>
    <row r="1202" spans="4:22"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</row>
    <row r="1203" spans="4:22"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</row>
    <row r="1204" spans="4:22"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</row>
    <row r="1205" spans="4:22"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</row>
    <row r="1206" spans="4:22"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</row>
    <row r="1207" spans="4:22"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</row>
    <row r="1208" spans="4:22"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</row>
    <row r="1209" spans="4:22"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</row>
    <row r="1210" spans="4:22"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</row>
    <row r="1211" spans="4:22"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</row>
    <row r="1212" spans="4:22"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</row>
    <row r="1213" spans="4:22"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</row>
    <row r="1214" spans="4:22"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</row>
    <row r="1215" spans="4:22"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</row>
    <row r="1216" spans="4:22"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</row>
    <row r="1217" spans="1:22"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</row>
    <row r="1218" spans="1:22"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</row>
    <row r="1219" spans="1:22"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</row>
    <row r="1220" spans="1:22"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</row>
    <row r="1221" spans="1:22"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</row>
    <row r="1222" spans="1:22"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</row>
    <row r="1223" spans="1:22"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</row>
    <row r="1224" spans="1:22"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</row>
    <row r="1225" spans="1:22"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</row>
    <row r="1226" spans="1:22"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</row>
    <row r="1227" spans="1:22"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</row>
    <row r="1228" spans="1:22"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</row>
    <row r="1229" spans="1:22">
      <c r="A1229">
        <f>setup!C29</f>
        <v>3752</v>
      </c>
    </row>
    <row r="1230" spans="1:22">
      <c r="A1230" t="str">
        <f>_xlfn.CONCAT(setup!D29," - ",setup!E29)</f>
        <v>CELF-6 RF1 OSEP Specific Learning Disability (Ages 5-8) - OSEP_SLD_RF1</v>
      </c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</row>
    <row r="1231" spans="1:22">
      <c r="A1231" t="s">
        <v>110</v>
      </c>
      <c r="B1231" t="s">
        <v>111</v>
      </c>
      <c r="C1231" t="s">
        <v>112</v>
      </c>
      <c r="D1231" s="1" t="s">
        <v>113</v>
      </c>
      <c r="E1231" s="1" t="s">
        <v>114</v>
      </c>
      <c r="F1231" s="1" t="s">
        <v>115</v>
      </c>
      <c r="G1231" s="1" t="s">
        <v>116</v>
      </c>
      <c r="H1231" s="1" t="s">
        <v>117</v>
      </c>
      <c r="I1231" s="1" t="s">
        <v>118</v>
      </c>
      <c r="J1231" s="1" t="s">
        <v>119</v>
      </c>
      <c r="K1231" s="1" t="s">
        <v>120</v>
      </c>
      <c r="L1231" s="1" t="s">
        <v>121</v>
      </c>
      <c r="M1231" s="1" t="s">
        <v>122</v>
      </c>
      <c r="N1231" s="1" t="s">
        <v>123</v>
      </c>
      <c r="O1231" s="1" t="s">
        <v>124</v>
      </c>
      <c r="P1231" s="1" t="s">
        <v>125</v>
      </c>
      <c r="Q1231" s="1" t="s">
        <v>126</v>
      </c>
      <c r="R1231" s="1" t="s">
        <v>127</v>
      </c>
      <c r="S1231" s="1" t="s">
        <v>128</v>
      </c>
      <c r="T1231" t="s">
        <v>129</v>
      </c>
      <c r="U1231" s="1" t="s">
        <v>130</v>
      </c>
      <c r="V1231" t="s">
        <v>131</v>
      </c>
    </row>
    <row r="1232" spans="1:22">
      <c r="A1232" t="s">
        <v>132</v>
      </c>
      <c r="B1232" t="s">
        <v>133</v>
      </c>
      <c r="C1232" t="s">
        <v>134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5</v>
      </c>
      <c r="V1232" s="1" t="s">
        <v>135</v>
      </c>
    </row>
    <row r="1233" spans="1:22">
      <c r="A1233" t="s">
        <v>132</v>
      </c>
      <c r="B1233" t="s">
        <v>133</v>
      </c>
      <c r="C1233" t="s">
        <v>136</v>
      </c>
      <c r="D1233" s="1">
        <v>0</v>
      </c>
      <c r="E1233" s="1">
        <v>0</v>
      </c>
      <c r="F1233" s="1">
        <v>1</v>
      </c>
      <c r="G1233" s="1">
        <v>1</v>
      </c>
      <c r="H1233" s="1">
        <v>0</v>
      </c>
      <c r="I1233" s="1">
        <v>0</v>
      </c>
      <c r="J1233" s="1">
        <v>0</v>
      </c>
      <c r="K1233" s="1">
        <v>1</v>
      </c>
      <c r="L1233" s="1">
        <v>1</v>
      </c>
      <c r="M1233" s="1">
        <v>0</v>
      </c>
      <c r="N1233" s="1">
        <v>0</v>
      </c>
      <c r="O1233" s="1">
        <v>1</v>
      </c>
      <c r="P1233" s="1">
        <v>1</v>
      </c>
      <c r="Q1233" s="1">
        <v>0</v>
      </c>
      <c r="R1233" s="1">
        <v>1</v>
      </c>
      <c r="S1233" s="1">
        <v>1</v>
      </c>
      <c r="T1233" s="1">
        <v>0</v>
      </c>
      <c r="U1233" s="1">
        <v>2</v>
      </c>
      <c r="V1233" s="1" t="s">
        <v>135</v>
      </c>
    </row>
    <row r="1234" spans="1:22">
      <c r="A1234" t="s">
        <v>132</v>
      </c>
      <c r="B1234" t="s">
        <v>133</v>
      </c>
      <c r="C1234" t="s">
        <v>137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 t="s">
        <v>135</v>
      </c>
    </row>
    <row r="1235" spans="1:22">
      <c r="A1235" t="s">
        <v>132</v>
      </c>
      <c r="B1235" t="s">
        <v>133</v>
      </c>
      <c r="C1235" t="s">
        <v>138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 t="s">
        <v>135</v>
      </c>
    </row>
    <row r="1236" spans="1:22">
      <c r="A1236" t="s">
        <v>132</v>
      </c>
      <c r="B1236" t="s">
        <v>133</v>
      </c>
      <c r="C1236" t="s">
        <v>139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 t="s">
        <v>135</v>
      </c>
    </row>
    <row r="1237" spans="1:22">
      <c r="A1237" t="s">
        <v>132</v>
      </c>
      <c r="B1237" t="s">
        <v>133</v>
      </c>
      <c r="C1237" t="s">
        <v>140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 t="s">
        <v>135</v>
      </c>
    </row>
    <row r="1238" spans="1:22">
      <c r="A1238" t="s">
        <v>132</v>
      </c>
      <c r="B1238" t="s">
        <v>133</v>
      </c>
      <c r="C1238" t="s">
        <v>141</v>
      </c>
      <c r="D1238" s="1">
        <v>0</v>
      </c>
      <c r="E1238" s="1">
        <v>0</v>
      </c>
      <c r="F1238" s="1">
        <v>1</v>
      </c>
      <c r="G1238" s="1">
        <v>1</v>
      </c>
      <c r="H1238" s="1">
        <v>0</v>
      </c>
      <c r="I1238" s="1">
        <v>0</v>
      </c>
      <c r="J1238" s="1">
        <v>0</v>
      </c>
      <c r="K1238" s="1">
        <v>1</v>
      </c>
      <c r="L1238" s="1">
        <v>1</v>
      </c>
      <c r="M1238" s="1">
        <v>0</v>
      </c>
      <c r="N1238" s="1">
        <v>0</v>
      </c>
      <c r="O1238" s="1">
        <v>1</v>
      </c>
      <c r="P1238" s="1">
        <v>1</v>
      </c>
      <c r="Q1238" s="1">
        <v>0</v>
      </c>
      <c r="R1238" s="1">
        <v>1</v>
      </c>
      <c r="S1238" s="1">
        <v>1</v>
      </c>
      <c r="T1238" s="1">
        <v>0</v>
      </c>
      <c r="U1238" s="1">
        <v>2</v>
      </c>
      <c r="V1238" s="1" t="s">
        <v>135</v>
      </c>
    </row>
    <row r="1239" spans="1:22">
      <c r="A1239" t="s">
        <v>132</v>
      </c>
      <c r="B1239" t="s">
        <v>133</v>
      </c>
      <c r="C1239" t="s">
        <v>142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 t="s">
        <v>135</v>
      </c>
    </row>
    <row r="1240" spans="1:22">
      <c r="A1240" t="s">
        <v>130</v>
      </c>
      <c r="B1240" t="s">
        <v>133</v>
      </c>
      <c r="C1240" t="s">
        <v>134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5</v>
      </c>
      <c r="V1240" s="1" t="s">
        <v>135</v>
      </c>
    </row>
    <row r="1241" spans="1:22">
      <c r="A1241" t="s">
        <v>130</v>
      </c>
      <c r="B1241" t="s">
        <v>133</v>
      </c>
      <c r="C1241" t="s">
        <v>136</v>
      </c>
      <c r="D1241" s="1">
        <v>0</v>
      </c>
      <c r="E1241" s="1">
        <v>0</v>
      </c>
      <c r="F1241" s="1">
        <v>1</v>
      </c>
      <c r="G1241" s="1">
        <v>1</v>
      </c>
      <c r="H1241" s="1">
        <v>0</v>
      </c>
      <c r="I1241" s="1">
        <v>0</v>
      </c>
      <c r="J1241" s="1">
        <v>0</v>
      </c>
      <c r="K1241" s="1">
        <v>1</v>
      </c>
      <c r="L1241" s="1">
        <v>1</v>
      </c>
      <c r="M1241" s="1">
        <v>0</v>
      </c>
      <c r="N1241" s="1">
        <v>0</v>
      </c>
      <c r="O1241" s="1">
        <v>1</v>
      </c>
      <c r="P1241" s="1">
        <v>1</v>
      </c>
      <c r="Q1241" s="1">
        <v>0</v>
      </c>
      <c r="R1241" s="1">
        <v>1</v>
      </c>
      <c r="S1241" s="1">
        <v>1</v>
      </c>
      <c r="T1241" s="1">
        <v>0</v>
      </c>
      <c r="U1241" s="1">
        <v>2</v>
      </c>
      <c r="V1241" s="1" t="s">
        <v>135</v>
      </c>
    </row>
    <row r="1242" spans="1:22">
      <c r="A1242" t="s">
        <v>130</v>
      </c>
      <c r="B1242" t="s">
        <v>133</v>
      </c>
      <c r="C1242" t="s">
        <v>137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 t="s">
        <v>135</v>
      </c>
    </row>
    <row r="1243" spans="1:22">
      <c r="A1243" t="s">
        <v>130</v>
      </c>
      <c r="B1243" t="s">
        <v>133</v>
      </c>
      <c r="C1243" t="s">
        <v>138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 t="s">
        <v>135</v>
      </c>
    </row>
    <row r="1244" spans="1:22">
      <c r="A1244" t="s">
        <v>130</v>
      </c>
      <c r="B1244" t="s">
        <v>133</v>
      </c>
      <c r="C1244" t="s">
        <v>139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 t="s">
        <v>135</v>
      </c>
    </row>
    <row r="1245" spans="1:22">
      <c r="A1245" t="s">
        <v>130</v>
      </c>
      <c r="B1245" t="s">
        <v>133</v>
      </c>
      <c r="C1245" t="s">
        <v>140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 t="s">
        <v>135</v>
      </c>
    </row>
    <row r="1246" spans="1:22">
      <c r="A1246" t="s">
        <v>130</v>
      </c>
      <c r="B1246" t="s">
        <v>133</v>
      </c>
      <c r="C1246" t="s">
        <v>141</v>
      </c>
      <c r="D1246" s="1">
        <v>0</v>
      </c>
      <c r="E1246" s="1">
        <v>0</v>
      </c>
      <c r="F1246" s="1">
        <v>1</v>
      </c>
      <c r="G1246" s="1">
        <v>1</v>
      </c>
      <c r="H1246" s="1">
        <v>0</v>
      </c>
      <c r="I1246" s="1">
        <v>0</v>
      </c>
      <c r="J1246" s="1">
        <v>0</v>
      </c>
      <c r="K1246" s="1">
        <v>1</v>
      </c>
      <c r="L1246" s="1">
        <v>1</v>
      </c>
      <c r="M1246" s="1">
        <v>0</v>
      </c>
      <c r="N1246" s="1">
        <v>0</v>
      </c>
      <c r="O1246" s="1">
        <v>1</v>
      </c>
      <c r="P1246" s="1">
        <v>1</v>
      </c>
      <c r="Q1246" s="1">
        <v>0</v>
      </c>
      <c r="R1246" s="1">
        <v>1</v>
      </c>
      <c r="S1246" s="1">
        <v>1</v>
      </c>
      <c r="T1246" s="1">
        <v>0</v>
      </c>
      <c r="U1246" s="1">
        <v>2</v>
      </c>
      <c r="V1246" s="1" t="s">
        <v>135</v>
      </c>
    </row>
    <row r="1247" spans="1:22">
      <c r="A1247" t="s">
        <v>130</v>
      </c>
      <c r="B1247" t="s">
        <v>133</v>
      </c>
      <c r="C1247" t="s">
        <v>142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 t="s">
        <v>135</v>
      </c>
    </row>
    <row r="1248" spans="1:22"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</row>
    <row r="1249" spans="4:22"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</row>
    <row r="1250" spans="4:22"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</row>
    <row r="1251" spans="4:22"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</row>
    <row r="1252" spans="4:22"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</row>
    <row r="1253" spans="4:22"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</row>
    <row r="1254" spans="4:22"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</row>
    <row r="1255" spans="4:22"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</row>
    <row r="1256" spans="4:22"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</row>
    <row r="1257" spans="4:22"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</row>
    <row r="1258" spans="4:22"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</row>
    <row r="1259" spans="4:22"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</row>
    <row r="1260" spans="4:22"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</row>
    <row r="1261" spans="4:22"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</row>
    <row r="1262" spans="4:22"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</row>
    <row r="1263" spans="4:22"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</row>
    <row r="1264" spans="4:22"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</row>
    <row r="1265" spans="4:22"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</row>
    <row r="1266" spans="4:22"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</row>
    <row r="1267" spans="4:22"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</row>
    <row r="1268" spans="4:22"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</row>
    <row r="1269" spans="4:22"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</row>
    <row r="1270" spans="4:22"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</row>
    <row r="1271" spans="4:22"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</row>
    <row r="1272" spans="4:22"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</row>
    <row r="1273" spans="4:22"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</row>
    <row r="1274" spans="4:22"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</row>
    <row r="1275" spans="4:22"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</row>
    <row r="1276" spans="4:22"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</row>
    <row r="1277" spans="4:22"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</row>
    <row r="1278" spans="4:22"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</row>
    <row r="1279" spans="4:22"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</row>
    <row r="1280" spans="4:22"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</row>
    <row r="1281" spans="4:22"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</row>
    <row r="1282" spans="4:22"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</row>
    <row r="1283" spans="4:22"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</row>
    <row r="1284" spans="4:22"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</row>
    <row r="1285" spans="4:22"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</row>
    <row r="1286" spans="4:22"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</row>
    <row r="1287" spans="4:22"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</row>
    <row r="1288" spans="4:22"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</row>
    <row r="1289" spans="4:22"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</row>
    <row r="1290" spans="4:22"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</row>
    <row r="1291" spans="4:22"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</row>
    <row r="1292" spans="4:22"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</row>
    <row r="1293" spans="4:22"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</row>
    <row r="1294" spans="4:22"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</row>
    <row r="1295" spans="4:22"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</row>
    <row r="1296" spans="4:22"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</row>
    <row r="1297" spans="4:22"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</row>
    <row r="1298" spans="4:22"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</row>
    <row r="1299" spans="4:22"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</row>
    <row r="1300" spans="4:22"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</row>
    <row r="1301" spans="4:22"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</row>
    <row r="1302" spans="4:22"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</row>
    <row r="1303" spans="4:22"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</row>
    <row r="1304" spans="4:22"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</row>
    <row r="1305" spans="4:22"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</row>
    <row r="1306" spans="4:22"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</row>
    <row r="1307" spans="4:22"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</row>
    <row r="1308" spans="4:22"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</row>
    <row r="1309" spans="4:22"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</row>
    <row r="1310" spans="4:22"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</row>
    <row r="1311" spans="4:22"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</row>
    <row r="1312" spans="4:22"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</row>
    <row r="1313" spans="4:22"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</row>
    <row r="1314" spans="4:22"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</row>
    <row r="1315" spans="4:22"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</row>
    <row r="1316" spans="4:22"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</row>
    <row r="1317" spans="4:22"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</row>
    <row r="1318" spans="4:22"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</row>
    <row r="1319" spans="4:22"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</row>
    <row r="1320" spans="4:22"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</row>
    <row r="1321" spans="4:22"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</row>
    <row r="1322" spans="4:22"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</row>
    <row r="1323" spans="4:22"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</row>
    <row r="1324" spans="4:22"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</row>
    <row r="1325" spans="4:22"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</row>
    <row r="1326" spans="4:22"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</row>
    <row r="1327" spans="4:22"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</row>
    <row r="1328" spans="4:22"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</row>
    <row r="1329" spans="1:22">
      <c r="A1329">
        <f>setup!C30</f>
        <v>3753</v>
      </c>
    </row>
    <row r="1330" spans="1:22">
      <c r="A1330" t="str">
        <f>_xlfn.CONCAT(setup!D30," - ",setup!E30)</f>
        <v>CELF-6 RF2 OSEP Specific Learning Disability (Ages 9-21) - OSEP_SLD_RF2</v>
      </c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</row>
    <row r="1331" spans="1:22">
      <c r="A1331" t="s">
        <v>110</v>
      </c>
      <c r="B1331" t="s">
        <v>111</v>
      </c>
      <c r="C1331" t="s">
        <v>112</v>
      </c>
      <c r="D1331" s="1" t="s">
        <v>113</v>
      </c>
      <c r="E1331" s="1" t="s">
        <v>114</v>
      </c>
      <c r="F1331" s="1" t="s">
        <v>115</v>
      </c>
      <c r="G1331" s="1" t="s">
        <v>116</v>
      </c>
      <c r="H1331" s="1" t="s">
        <v>117</v>
      </c>
      <c r="I1331" s="1" t="s">
        <v>118</v>
      </c>
      <c r="J1331" s="1" t="s">
        <v>119</v>
      </c>
      <c r="K1331" s="1" t="s">
        <v>120</v>
      </c>
      <c r="L1331" s="1" t="s">
        <v>121</v>
      </c>
      <c r="M1331" s="1" t="s">
        <v>122</v>
      </c>
      <c r="N1331" s="1" t="s">
        <v>123</v>
      </c>
      <c r="O1331" s="1" t="s">
        <v>124</v>
      </c>
      <c r="P1331" s="1" t="s">
        <v>125</v>
      </c>
      <c r="Q1331" s="1" t="s">
        <v>126</v>
      </c>
      <c r="R1331" s="1" t="s">
        <v>127</v>
      </c>
      <c r="S1331" s="1" t="s">
        <v>128</v>
      </c>
      <c r="T1331" t="s">
        <v>129</v>
      </c>
      <c r="U1331" s="1" t="s">
        <v>130</v>
      </c>
      <c r="V1331" t="s">
        <v>131</v>
      </c>
    </row>
    <row r="1332" spans="1:22">
      <c r="A1332" t="s">
        <v>147</v>
      </c>
      <c r="B1332" t="s">
        <v>133</v>
      </c>
      <c r="C1332" t="s">
        <v>134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9</v>
      </c>
      <c r="V1332" s="1" t="s">
        <v>135</v>
      </c>
    </row>
    <row r="1333" spans="1:22">
      <c r="A1333" t="s">
        <v>147</v>
      </c>
      <c r="B1333" t="s">
        <v>133</v>
      </c>
      <c r="C1333" t="s">
        <v>136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 t="s">
        <v>135</v>
      </c>
    </row>
    <row r="1334" spans="1:22">
      <c r="A1334" t="s">
        <v>147</v>
      </c>
      <c r="B1334" t="s">
        <v>133</v>
      </c>
      <c r="C1334" t="s">
        <v>137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 t="s">
        <v>135</v>
      </c>
    </row>
    <row r="1335" spans="1:22">
      <c r="A1335" t="s">
        <v>147</v>
      </c>
      <c r="B1335" t="s">
        <v>133</v>
      </c>
      <c r="C1335" t="s">
        <v>138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 t="s">
        <v>135</v>
      </c>
    </row>
    <row r="1336" spans="1:22">
      <c r="A1336" t="s">
        <v>147</v>
      </c>
      <c r="B1336" t="s">
        <v>133</v>
      </c>
      <c r="C1336" t="s">
        <v>139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 t="s">
        <v>135</v>
      </c>
    </row>
    <row r="1337" spans="1:22">
      <c r="A1337" t="s">
        <v>147</v>
      </c>
      <c r="B1337" t="s">
        <v>133</v>
      </c>
      <c r="C1337" t="s">
        <v>140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 t="s">
        <v>135</v>
      </c>
    </row>
    <row r="1338" spans="1:22">
      <c r="A1338" t="s">
        <v>147</v>
      </c>
      <c r="B1338" t="s">
        <v>133</v>
      </c>
      <c r="C1338" t="s">
        <v>141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 t="s">
        <v>135</v>
      </c>
    </row>
    <row r="1339" spans="1:22">
      <c r="A1339" t="s">
        <v>147</v>
      </c>
      <c r="B1339" t="s">
        <v>133</v>
      </c>
      <c r="C1339" t="s">
        <v>142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 t="s">
        <v>135</v>
      </c>
    </row>
    <row r="1340" spans="1:22">
      <c r="A1340" t="s">
        <v>148</v>
      </c>
      <c r="B1340" t="s">
        <v>133</v>
      </c>
      <c r="C1340" t="s">
        <v>134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9</v>
      </c>
      <c r="V1340" s="1" t="s">
        <v>135</v>
      </c>
    </row>
    <row r="1341" spans="1:22">
      <c r="A1341" t="s">
        <v>148</v>
      </c>
      <c r="B1341" t="s">
        <v>133</v>
      </c>
      <c r="C1341" t="s">
        <v>136</v>
      </c>
      <c r="D1341" s="1">
        <v>0</v>
      </c>
      <c r="E1341" s="1">
        <v>1</v>
      </c>
      <c r="F1341" s="1">
        <v>2</v>
      </c>
      <c r="G1341" s="1">
        <v>1</v>
      </c>
      <c r="H1341" s="1">
        <v>0</v>
      </c>
      <c r="I1341" s="1">
        <v>0</v>
      </c>
      <c r="J1341" s="1">
        <v>0</v>
      </c>
      <c r="K1341" s="1">
        <v>1</v>
      </c>
      <c r="L1341" s="1">
        <v>1</v>
      </c>
      <c r="M1341" s="1">
        <v>2</v>
      </c>
      <c r="N1341" s="1">
        <v>3</v>
      </c>
      <c r="O1341" s="1">
        <v>0</v>
      </c>
      <c r="P1341" s="1">
        <v>0</v>
      </c>
      <c r="Q1341" s="1">
        <v>1</v>
      </c>
      <c r="R1341" s="1">
        <v>2</v>
      </c>
      <c r="S1341" s="1">
        <v>2</v>
      </c>
      <c r="T1341" s="1">
        <v>0</v>
      </c>
      <c r="U1341" s="1">
        <v>4</v>
      </c>
      <c r="V1341" s="1" t="s">
        <v>135</v>
      </c>
    </row>
    <row r="1342" spans="1:22">
      <c r="A1342" t="s">
        <v>148</v>
      </c>
      <c r="B1342" t="s">
        <v>133</v>
      </c>
      <c r="C1342" t="s">
        <v>137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 t="s">
        <v>135</v>
      </c>
    </row>
    <row r="1343" spans="1:22">
      <c r="A1343" t="s">
        <v>148</v>
      </c>
      <c r="B1343" t="s">
        <v>133</v>
      </c>
      <c r="C1343" t="s">
        <v>138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 t="s">
        <v>135</v>
      </c>
    </row>
    <row r="1344" spans="1:22">
      <c r="A1344" t="s">
        <v>148</v>
      </c>
      <c r="B1344" t="s">
        <v>133</v>
      </c>
      <c r="C1344" t="s">
        <v>139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 t="s">
        <v>135</v>
      </c>
    </row>
    <row r="1345" spans="1:22">
      <c r="A1345" t="s">
        <v>148</v>
      </c>
      <c r="B1345" t="s">
        <v>133</v>
      </c>
      <c r="C1345" t="s">
        <v>140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 t="s">
        <v>135</v>
      </c>
    </row>
    <row r="1346" spans="1:22">
      <c r="A1346" t="s">
        <v>148</v>
      </c>
      <c r="B1346" t="s">
        <v>133</v>
      </c>
      <c r="C1346" t="s">
        <v>141</v>
      </c>
      <c r="D1346" s="1">
        <v>0</v>
      </c>
      <c r="E1346" s="1">
        <v>1</v>
      </c>
      <c r="F1346" s="1">
        <v>2</v>
      </c>
      <c r="G1346" s="1">
        <v>1</v>
      </c>
      <c r="H1346" s="1">
        <v>0</v>
      </c>
      <c r="I1346" s="1">
        <v>0</v>
      </c>
      <c r="J1346" s="1">
        <v>0</v>
      </c>
      <c r="K1346" s="1">
        <v>1</v>
      </c>
      <c r="L1346" s="1">
        <v>1</v>
      </c>
      <c r="M1346" s="1">
        <v>2</v>
      </c>
      <c r="N1346" s="1">
        <v>3</v>
      </c>
      <c r="O1346" s="1">
        <v>0</v>
      </c>
      <c r="P1346" s="1">
        <v>0</v>
      </c>
      <c r="Q1346" s="1">
        <v>1</v>
      </c>
      <c r="R1346" s="1">
        <v>2</v>
      </c>
      <c r="S1346" s="1">
        <v>2</v>
      </c>
      <c r="T1346" s="1">
        <v>0</v>
      </c>
      <c r="U1346" s="1">
        <v>4</v>
      </c>
      <c r="V1346" s="1" t="s">
        <v>135</v>
      </c>
    </row>
    <row r="1347" spans="1:22">
      <c r="A1347" t="s">
        <v>148</v>
      </c>
      <c r="B1347" t="s">
        <v>133</v>
      </c>
      <c r="C1347" t="s">
        <v>142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 t="s">
        <v>135</v>
      </c>
    </row>
    <row r="1348" spans="1:22">
      <c r="A1348" t="s">
        <v>130</v>
      </c>
      <c r="B1348" t="s">
        <v>133</v>
      </c>
      <c r="C1348" t="s">
        <v>134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18</v>
      </c>
      <c r="V1348" s="1" t="s">
        <v>135</v>
      </c>
    </row>
    <row r="1349" spans="1:22">
      <c r="A1349" t="s">
        <v>130</v>
      </c>
      <c r="B1349" t="s">
        <v>133</v>
      </c>
      <c r="C1349" t="s">
        <v>136</v>
      </c>
      <c r="D1349" s="1">
        <v>0</v>
      </c>
      <c r="E1349" s="1">
        <v>1</v>
      </c>
      <c r="F1349" s="1">
        <v>2</v>
      </c>
      <c r="G1349" s="1">
        <v>1</v>
      </c>
      <c r="H1349" s="1">
        <v>0</v>
      </c>
      <c r="I1349" s="1">
        <v>0</v>
      </c>
      <c r="J1349" s="1">
        <v>0</v>
      </c>
      <c r="K1349" s="1">
        <v>1</v>
      </c>
      <c r="L1349" s="1">
        <v>1</v>
      </c>
      <c r="M1349" s="1">
        <v>2</v>
      </c>
      <c r="N1349" s="1">
        <v>3</v>
      </c>
      <c r="O1349" s="1">
        <v>0</v>
      </c>
      <c r="P1349" s="1">
        <v>0</v>
      </c>
      <c r="Q1349" s="1">
        <v>1</v>
      </c>
      <c r="R1349" s="1">
        <v>2</v>
      </c>
      <c r="S1349" s="1">
        <v>2</v>
      </c>
      <c r="T1349" s="1">
        <v>0</v>
      </c>
      <c r="U1349" s="1">
        <v>4</v>
      </c>
      <c r="V1349" s="1" t="s">
        <v>135</v>
      </c>
    </row>
    <row r="1350" spans="1:22">
      <c r="A1350" t="s">
        <v>130</v>
      </c>
      <c r="B1350" t="s">
        <v>133</v>
      </c>
      <c r="C1350" t="s">
        <v>137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 t="s">
        <v>135</v>
      </c>
    </row>
    <row r="1351" spans="1:22">
      <c r="A1351" t="s">
        <v>130</v>
      </c>
      <c r="B1351" t="s">
        <v>133</v>
      </c>
      <c r="C1351" t="s">
        <v>138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 t="s">
        <v>135</v>
      </c>
    </row>
    <row r="1352" spans="1:22">
      <c r="A1352" t="s">
        <v>130</v>
      </c>
      <c r="B1352" t="s">
        <v>133</v>
      </c>
      <c r="C1352" t="s">
        <v>139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 t="s">
        <v>135</v>
      </c>
    </row>
    <row r="1353" spans="1:22">
      <c r="A1353" t="s">
        <v>130</v>
      </c>
      <c r="B1353" t="s">
        <v>133</v>
      </c>
      <c r="C1353" t="s">
        <v>140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 t="s">
        <v>135</v>
      </c>
    </row>
    <row r="1354" spans="1:22">
      <c r="A1354" t="s">
        <v>130</v>
      </c>
      <c r="B1354" t="s">
        <v>133</v>
      </c>
      <c r="C1354" t="s">
        <v>141</v>
      </c>
      <c r="D1354" s="1">
        <v>0</v>
      </c>
      <c r="E1354" s="1">
        <v>1</v>
      </c>
      <c r="F1354" s="1">
        <v>2</v>
      </c>
      <c r="G1354" s="1">
        <v>1</v>
      </c>
      <c r="H1354" s="1">
        <v>0</v>
      </c>
      <c r="I1354" s="1">
        <v>0</v>
      </c>
      <c r="J1354" s="1">
        <v>0</v>
      </c>
      <c r="K1354" s="1">
        <v>1</v>
      </c>
      <c r="L1354" s="1">
        <v>1</v>
      </c>
      <c r="M1354" s="1">
        <v>2</v>
      </c>
      <c r="N1354" s="1">
        <v>3</v>
      </c>
      <c r="O1354" s="1">
        <v>0</v>
      </c>
      <c r="P1354" s="1">
        <v>0</v>
      </c>
      <c r="Q1354" s="1">
        <v>1</v>
      </c>
      <c r="R1354" s="1">
        <v>2</v>
      </c>
      <c r="S1354" s="1">
        <v>2</v>
      </c>
      <c r="T1354" s="1">
        <v>0</v>
      </c>
      <c r="U1354" s="1">
        <v>4</v>
      </c>
      <c r="V1354" s="1" t="s">
        <v>135</v>
      </c>
    </row>
    <row r="1355" spans="1:22">
      <c r="A1355" t="s">
        <v>130</v>
      </c>
      <c r="B1355" t="s">
        <v>133</v>
      </c>
      <c r="C1355" t="s">
        <v>142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 t="s">
        <v>135</v>
      </c>
    </row>
    <row r="1356" spans="1:22"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</row>
    <row r="1357" spans="1:22"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</row>
    <row r="1358" spans="1:22"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</row>
    <row r="1359" spans="1:22"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</row>
    <row r="1360" spans="1:22"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</row>
    <row r="1361" spans="4:22"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</row>
    <row r="1362" spans="4:22"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</row>
    <row r="1363" spans="4:22"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</row>
    <row r="1364" spans="4:22"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</row>
    <row r="1365" spans="4:22"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</row>
    <row r="1366" spans="4:22"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</row>
    <row r="1367" spans="4:22"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</row>
    <row r="1368" spans="4:22"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</row>
    <row r="1369" spans="4:22"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</row>
    <row r="1370" spans="4:22"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</row>
    <row r="1371" spans="4:22"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</row>
    <row r="1372" spans="4:22"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</row>
    <row r="1373" spans="4:22"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</row>
    <row r="1374" spans="4:22"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</row>
    <row r="1375" spans="4:22"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</row>
    <row r="1376" spans="4:22"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</row>
    <row r="1380" spans="4:21"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</row>
    <row r="1381" spans="4:21"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U1381" s="1"/>
    </row>
    <row r="1382" spans="4:21"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</row>
    <row r="1383" spans="4:21"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</row>
    <row r="1384" spans="4:21"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</row>
    <row r="1385" spans="4:21"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</row>
    <row r="1386" spans="4:21"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</row>
    <row r="1387" spans="4:21"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</row>
    <row r="1388" spans="4:21"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</row>
    <row r="1389" spans="4:21"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</row>
    <row r="1390" spans="4:21"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</row>
    <row r="1391" spans="4:21"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</row>
    <row r="1392" spans="4:21"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</row>
    <row r="1393" spans="4:21"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</row>
    <row r="1394" spans="4:21"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</row>
    <row r="1395" spans="4:21"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</row>
    <row r="1396" spans="4:21"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</row>
    <row r="1397" spans="4:21"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</row>
    <row r="1398" spans="4:21"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</row>
    <row r="1399" spans="4:21"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</row>
    <row r="1400" spans="4:21"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</row>
    <row r="1401" spans="4:21"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</row>
    <row r="1402" spans="4:21"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</row>
    <row r="1403" spans="4:21"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</row>
    <row r="1404" spans="4:21"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</row>
    <row r="1405" spans="4:21"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</row>
    <row r="1406" spans="4:21"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</row>
    <row r="1407" spans="4:21"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</row>
    <row r="1408" spans="4:21"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</row>
    <row r="1429" spans="1:22">
      <c r="A1429">
        <f>setup!C31</f>
        <v>3754</v>
      </c>
    </row>
    <row r="1430" spans="1:22">
      <c r="A1430" t="str">
        <f>_xlfn.CONCAT(setup!D31," - ",setup!E31)</f>
        <v>CELF-6 RF1 OSEP Speech Impairment (Ages 5-8) - OSEP_SI_RF1</v>
      </c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</row>
    <row r="1431" spans="1:22">
      <c r="A1431" t="s">
        <v>110</v>
      </c>
      <c r="B1431" t="s">
        <v>111</v>
      </c>
      <c r="C1431" t="s">
        <v>112</v>
      </c>
      <c r="D1431" s="1" t="s">
        <v>113</v>
      </c>
      <c r="E1431" s="1" t="s">
        <v>114</v>
      </c>
      <c r="F1431" s="1" t="s">
        <v>115</v>
      </c>
      <c r="G1431" s="1" t="s">
        <v>116</v>
      </c>
      <c r="H1431" s="1" t="s">
        <v>117</v>
      </c>
      <c r="I1431" s="1" t="s">
        <v>118</v>
      </c>
      <c r="J1431" s="1" t="s">
        <v>119</v>
      </c>
      <c r="K1431" s="1" t="s">
        <v>120</v>
      </c>
      <c r="L1431" s="1" t="s">
        <v>121</v>
      </c>
      <c r="M1431" s="1" t="s">
        <v>122</v>
      </c>
      <c r="N1431" s="1" t="s">
        <v>123</v>
      </c>
      <c r="O1431" s="1" t="s">
        <v>124</v>
      </c>
      <c r="P1431" s="1" t="s">
        <v>125</v>
      </c>
      <c r="Q1431" s="1" t="s">
        <v>126</v>
      </c>
      <c r="R1431" s="1" t="s">
        <v>127</v>
      </c>
      <c r="S1431" s="1" t="s">
        <v>128</v>
      </c>
      <c r="T1431" t="s">
        <v>129</v>
      </c>
      <c r="U1431" s="1" t="s">
        <v>130</v>
      </c>
      <c r="V1431" t="s">
        <v>131</v>
      </c>
    </row>
    <row r="1432" spans="1:22">
      <c r="A1432" t="s">
        <v>132</v>
      </c>
      <c r="B1432" t="s">
        <v>133</v>
      </c>
      <c r="C1432" t="s">
        <v>134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20</v>
      </c>
      <c r="V1432" s="1" t="s">
        <v>135</v>
      </c>
    </row>
    <row r="1433" spans="1:22">
      <c r="A1433" t="s">
        <v>132</v>
      </c>
      <c r="B1433" t="s">
        <v>133</v>
      </c>
      <c r="C1433" t="s">
        <v>136</v>
      </c>
      <c r="D1433" s="1">
        <v>0</v>
      </c>
      <c r="E1433" s="1">
        <v>6</v>
      </c>
      <c r="F1433" s="1">
        <v>6</v>
      </c>
      <c r="G1433" s="1">
        <v>8</v>
      </c>
      <c r="H1433" s="1">
        <v>0</v>
      </c>
      <c r="I1433" s="1">
        <v>2</v>
      </c>
      <c r="J1433" s="1">
        <v>4</v>
      </c>
      <c r="K1433" s="1">
        <v>6</v>
      </c>
      <c r="L1433" s="1">
        <v>0</v>
      </c>
      <c r="M1433" s="1">
        <v>8</v>
      </c>
      <c r="N1433" s="1">
        <v>5</v>
      </c>
      <c r="O1433" s="1">
        <v>2</v>
      </c>
      <c r="P1433" s="1">
        <v>9</v>
      </c>
      <c r="Q1433" s="1">
        <v>4</v>
      </c>
      <c r="R1433" s="1">
        <v>10</v>
      </c>
      <c r="S1433" s="1">
        <v>10</v>
      </c>
      <c r="T1433" s="1">
        <v>0</v>
      </c>
      <c r="U1433" s="1">
        <v>20</v>
      </c>
      <c r="V1433" s="1" t="s">
        <v>135</v>
      </c>
    </row>
    <row r="1434" spans="1:22">
      <c r="A1434" t="s">
        <v>132</v>
      </c>
      <c r="B1434" t="s">
        <v>133</v>
      </c>
      <c r="C1434" t="s">
        <v>137</v>
      </c>
      <c r="D1434" s="1">
        <v>0</v>
      </c>
      <c r="E1434" s="1">
        <v>0</v>
      </c>
      <c r="F1434" s="1">
        <v>1</v>
      </c>
      <c r="G1434" s="1">
        <v>4</v>
      </c>
      <c r="H1434" s="1">
        <v>0</v>
      </c>
      <c r="I1434" s="1">
        <v>0</v>
      </c>
      <c r="J1434" s="1">
        <v>0</v>
      </c>
      <c r="K1434" s="1">
        <v>0</v>
      </c>
      <c r="L1434" s="1">
        <v>1</v>
      </c>
      <c r="M1434" s="1">
        <v>4</v>
      </c>
      <c r="N1434" s="1">
        <v>1</v>
      </c>
      <c r="O1434" s="1">
        <v>0</v>
      </c>
      <c r="P1434" s="1">
        <v>2</v>
      </c>
      <c r="Q1434" s="1">
        <v>2</v>
      </c>
      <c r="R1434" s="1">
        <v>0</v>
      </c>
      <c r="S1434" s="1">
        <v>5</v>
      </c>
      <c r="T1434" s="1">
        <v>0</v>
      </c>
      <c r="U1434" s="1">
        <v>5</v>
      </c>
      <c r="V1434" s="1" t="s">
        <v>135</v>
      </c>
    </row>
    <row r="1435" spans="1:22">
      <c r="A1435" t="s">
        <v>132</v>
      </c>
      <c r="B1435" t="s">
        <v>133</v>
      </c>
      <c r="C1435" t="s">
        <v>138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 t="s">
        <v>135</v>
      </c>
    </row>
    <row r="1436" spans="1:22">
      <c r="A1436" t="s">
        <v>132</v>
      </c>
      <c r="B1436" t="s">
        <v>133</v>
      </c>
      <c r="C1436" t="s">
        <v>139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 t="s">
        <v>135</v>
      </c>
    </row>
    <row r="1437" spans="1:22">
      <c r="A1437" t="s">
        <v>132</v>
      </c>
      <c r="B1437" t="s">
        <v>133</v>
      </c>
      <c r="C1437" t="s">
        <v>140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 t="s">
        <v>135</v>
      </c>
    </row>
    <row r="1438" spans="1:22">
      <c r="A1438" t="s">
        <v>132</v>
      </c>
      <c r="B1438" t="s">
        <v>133</v>
      </c>
      <c r="C1438" t="s">
        <v>141</v>
      </c>
      <c r="D1438" s="1">
        <v>0</v>
      </c>
      <c r="E1438" s="1">
        <v>6</v>
      </c>
      <c r="F1438" s="1">
        <v>7</v>
      </c>
      <c r="G1438" s="1">
        <v>12</v>
      </c>
      <c r="H1438" s="1">
        <v>0</v>
      </c>
      <c r="I1438" s="1">
        <v>2</v>
      </c>
      <c r="J1438" s="1">
        <v>4</v>
      </c>
      <c r="K1438" s="1">
        <v>6</v>
      </c>
      <c r="L1438" s="1">
        <v>1</v>
      </c>
      <c r="M1438" s="1">
        <v>12</v>
      </c>
      <c r="N1438" s="1">
        <v>6</v>
      </c>
      <c r="O1438" s="1">
        <v>2</v>
      </c>
      <c r="P1438" s="1">
        <v>11</v>
      </c>
      <c r="Q1438" s="1">
        <v>6</v>
      </c>
      <c r="R1438" s="1">
        <v>10</v>
      </c>
      <c r="S1438" s="1">
        <v>15</v>
      </c>
      <c r="T1438" s="1">
        <v>0</v>
      </c>
      <c r="U1438" s="1">
        <v>25</v>
      </c>
      <c r="V1438" s="1" t="s">
        <v>135</v>
      </c>
    </row>
    <row r="1439" spans="1:22">
      <c r="A1439" t="s">
        <v>132</v>
      </c>
      <c r="B1439" t="s">
        <v>133</v>
      </c>
      <c r="C1439" t="s">
        <v>142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 t="s">
        <v>135</v>
      </c>
    </row>
    <row r="1440" spans="1:22">
      <c r="A1440" t="s">
        <v>130</v>
      </c>
      <c r="B1440" t="s">
        <v>133</v>
      </c>
      <c r="C1440" t="s">
        <v>134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20</v>
      </c>
      <c r="V1440" s="1" t="s">
        <v>135</v>
      </c>
    </row>
    <row r="1441" spans="1:22">
      <c r="A1441" t="s">
        <v>130</v>
      </c>
      <c r="B1441" t="s">
        <v>133</v>
      </c>
      <c r="C1441" t="s">
        <v>136</v>
      </c>
      <c r="D1441" s="1">
        <v>0</v>
      </c>
      <c r="E1441" s="1">
        <v>6</v>
      </c>
      <c r="F1441" s="1">
        <v>6</v>
      </c>
      <c r="G1441" s="1">
        <v>8</v>
      </c>
      <c r="H1441" s="1">
        <v>0</v>
      </c>
      <c r="I1441" s="1">
        <v>2</v>
      </c>
      <c r="J1441" s="1">
        <v>4</v>
      </c>
      <c r="K1441" s="1">
        <v>6</v>
      </c>
      <c r="L1441" s="1">
        <v>0</v>
      </c>
      <c r="M1441" s="1">
        <v>8</v>
      </c>
      <c r="N1441" s="1">
        <v>5</v>
      </c>
      <c r="O1441" s="1">
        <v>2</v>
      </c>
      <c r="P1441" s="1">
        <v>9</v>
      </c>
      <c r="Q1441" s="1">
        <v>4</v>
      </c>
      <c r="R1441" s="1">
        <v>10</v>
      </c>
      <c r="S1441" s="1">
        <v>10</v>
      </c>
      <c r="T1441" s="1">
        <v>0</v>
      </c>
      <c r="U1441" s="1">
        <v>20</v>
      </c>
      <c r="V1441" s="1" t="s">
        <v>135</v>
      </c>
    </row>
    <row r="1442" spans="1:22">
      <c r="A1442" t="s">
        <v>130</v>
      </c>
      <c r="B1442" t="s">
        <v>133</v>
      </c>
      <c r="C1442" t="s">
        <v>137</v>
      </c>
      <c r="D1442" s="1">
        <v>0</v>
      </c>
      <c r="E1442" s="1">
        <v>0</v>
      </c>
      <c r="F1442" s="1">
        <v>1</v>
      </c>
      <c r="G1442" s="1">
        <v>4</v>
      </c>
      <c r="H1442" s="1">
        <v>0</v>
      </c>
      <c r="I1442" s="1">
        <v>0</v>
      </c>
      <c r="J1442" s="1">
        <v>0</v>
      </c>
      <c r="K1442" s="1">
        <v>0</v>
      </c>
      <c r="L1442" s="1">
        <v>1</v>
      </c>
      <c r="M1442" s="1">
        <v>4</v>
      </c>
      <c r="N1442" s="1">
        <v>1</v>
      </c>
      <c r="O1442" s="1">
        <v>0</v>
      </c>
      <c r="P1442" s="1">
        <v>2</v>
      </c>
      <c r="Q1442" s="1">
        <v>2</v>
      </c>
      <c r="R1442" s="1">
        <v>0</v>
      </c>
      <c r="S1442" s="1">
        <v>5</v>
      </c>
      <c r="T1442" s="1">
        <v>0</v>
      </c>
      <c r="U1442" s="1">
        <v>5</v>
      </c>
      <c r="V1442" s="1" t="s">
        <v>135</v>
      </c>
    </row>
    <row r="1443" spans="1:22">
      <c r="A1443" t="s">
        <v>130</v>
      </c>
      <c r="B1443" t="s">
        <v>133</v>
      </c>
      <c r="C1443" t="s">
        <v>138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 t="s">
        <v>135</v>
      </c>
    </row>
    <row r="1444" spans="1:22">
      <c r="A1444" t="s">
        <v>130</v>
      </c>
      <c r="B1444" t="s">
        <v>133</v>
      </c>
      <c r="C1444" t="s">
        <v>139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 t="s">
        <v>135</v>
      </c>
    </row>
    <row r="1445" spans="1:22">
      <c r="A1445" t="s">
        <v>130</v>
      </c>
      <c r="B1445" t="s">
        <v>133</v>
      </c>
      <c r="C1445" t="s">
        <v>140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 t="s">
        <v>135</v>
      </c>
    </row>
    <row r="1446" spans="1:22">
      <c r="A1446" t="s">
        <v>130</v>
      </c>
      <c r="B1446" t="s">
        <v>133</v>
      </c>
      <c r="C1446" t="s">
        <v>141</v>
      </c>
      <c r="D1446" s="1">
        <v>0</v>
      </c>
      <c r="E1446" s="1">
        <v>6</v>
      </c>
      <c r="F1446" s="1">
        <v>7</v>
      </c>
      <c r="G1446" s="1">
        <v>12</v>
      </c>
      <c r="H1446" s="1">
        <v>0</v>
      </c>
      <c r="I1446" s="1">
        <v>2</v>
      </c>
      <c r="J1446" s="1">
        <v>4</v>
      </c>
      <c r="K1446" s="1">
        <v>6</v>
      </c>
      <c r="L1446" s="1">
        <v>1</v>
      </c>
      <c r="M1446" s="1">
        <v>12</v>
      </c>
      <c r="N1446" s="1">
        <v>6</v>
      </c>
      <c r="O1446" s="1">
        <v>2</v>
      </c>
      <c r="P1446" s="1">
        <v>11</v>
      </c>
      <c r="Q1446" s="1">
        <v>6</v>
      </c>
      <c r="R1446" s="1">
        <v>10</v>
      </c>
      <c r="S1446" s="1">
        <v>15</v>
      </c>
      <c r="T1446" s="1">
        <v>0</v>
      </c>
      <c r="U1446" s="1">
        <v>25</v>
      </c>
      <c r="V1446" s="1" t="s">
        <v>135</v>
      </c>
    </row>
    <row r="1447" spans="1:22">
      <c r="A1447" t="s">
        <v>130</v>
      </c>
      <c r="B1447" t="s">
        <v>133</v>
      </c>
      <c r="C1447" t="s">
        <v>142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 t="s">
        <v>135</v>
      </c>
    </row>
    <row r="1448" spans="1:22"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</row>
    <row r="1449" spans="1:22"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</row>
    <row r="1450" spans="1:22"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</row>
    <row r="1451" spans="1:22"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</row>
    <row r="1452" spans="1:22"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</row>
    <row r="1453" spans="1:22"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</row>
    <row r="1454" spans="1:22"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</row>
    <row r="1455" spans="1:22"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</row>
    <row r="1456" spans="1:22"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</row>
    <row r="1457" spans="4:22"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</row>
    <row r="1458" spans="4:22"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</row>
    <row r="1459" spans="4:22"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</row>
    <row r="1460" spans="4:22"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</row>
    <row r="1461" spans="4:22"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</row>
    <row r="1462" spans="4:22"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</row>
    <row r="1463" spans="4:22"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</row>
    <row r="1464" spans="4:22"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</row>
    <row r="1465" spans="4:22"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</row>
    <row r="1466" spans="4:22"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</row>
    <row r="1467" spans="4:22"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</row>
    <row r="1468" spans="4:22"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</row>
    <row r="1469" spans="4:22"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</row>
    <row r="1470" spans="4:22"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</row>
    <row r="1471" spans="4:22"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</row>
    <row r="1472" spans="4:22"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</row>
    <row r="1473" spans="4:22"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</row>
    <row r="1474" spans="4:22"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</row>
    <row r="1475" spans="4:22"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</row>
    <row r="1476" spans="4:22"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</row>
    <row r="1529" spans="1:22">
      <c r="A1529">
        <f>setup!C32</f>
        <v>3755</v>
      </c>
    </row>
    <row r="1530" spans="1:22">
      <c r="A1530" t="str">
        <f>_xlfn.CONCAT(setup!D32," - ",setup!E32)</f>
        <v>CELF-6 RF2 OSEP Speech Impairment (Ages 9-21) - OSEP_SI_RF2</v>
      </c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spans="1:22">
      <c r="A1531" t="s">
        <v>110</v>
      </c>
      <c r="B1531" t="s">
        <v>111</v>
      </c>
      <c r="C1531" t="s">
        <v>112</v>
      </c>
      <c r="D1531" s="1" t="s">
        <v>113</v>
      </c>
      <c r="E1531" s="1" t="s">
        <v>114</v>
      </c>
      <c r="F1531" s="1" t="s">
        <v>115</v>
      </c>
      <c r="G1531" s="1" t="s">
        <v>116</v>
      </c>
      <c r="H1531" s="1" t="s">
        <v>117</v>
      </c>
      <c r="I1531" s="1" t="s">
        <v>118</v>
      </c>
      <c r="J1531" s="1" t="s">
        <v>119</v>
      </c>
      <c r="K1531" s="1" t="s">
        <v>120</v>
      </c>
      <c r="L1531" s="1" t="s">
        <v>121</v>
      </c>
      <c r="M1531" s="1" t="s">
        <v>122</v>
      </c>
      <c r="N1531" s="1" t="s">
        <v>123</v>
      </c>
      <c r="O1531" s="1" t="s">
        <v>124</v>
      </c>
      <c r="P1531" s="1" t="s">
        <v>125</v>
      </c>
      <c r="Q1531" s="1" t="s">
        <v>126</v>
      </c>
      <c r="R1531" s="1" t="s">
        <v>127</v>
      </c>
      <c r="S1531" s="1" t="s">
        <v>128</v>
      </c>
      <c r="T1531" t="s">
        <v>129</v>
      </c>
      <c r="U1531" s="1" t="s">
        <v>130</v>
      </c>
      <c r="V1531" t="s">
        <v>131</v>
      </c>
    </row>
    <row r="1532" spans="1:22">
      <c r="A1532" t="s">
        <v>145</v>
      </c>
      <c r="B1532" t="s">
        <v>133</v>
      </c>
      <c r="C1532" t="s">
        <v>134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20</v>
      </c>
      <c r="V1532" s="1" t="s">
        <v>135</v>
      </c>
    </row>
    <row r="1533" spans="1:22">
      <c r="A1533" t="s">
        <v>145</v>
      </c>
      <c r="B1533" t="s">
        <v>133</v>
      </c>
      <c r="C1533" t="s">
        <v>136</v>
      </c>
      <c r="D1533" s="1">
        <v>0</v>
      </c>
      <c r="E1533" s="1">
        <v>1</v>
      </c>
      <c r="F1533" s="1">
        <v>7</v>
      </c>
      <c r="G1533" s="1">
        <v>12</v>
      </c>
      <c r="H1533" s="1">
        <v>0</v>
      </c>
      <c r="I1533" s="1">
        <v>0</v>
      </c>
      <c r="J1533" s="1">
        <v>3</v>
      </c>
      <c r="K1533" s="1">
        <v>2</v>
      </c>
      <c r="L1533" s="1">
        <v>1</v>
      </c>
      <c r="M1533" s="1">
        <v>14</v>
      </c>
      <c r="N1533" s="1">
        <v>3</v>
      </c>
      <c r="O1533" s="1">
        <v>3</v>
      </c>
      <c r="P1533" s="1">
        <v>8</v>
      </c>
      <c r="Q1533" s="1">
        <v>6</v>
      </c>
      <c r="R1533" s="1">
        <v>9</v>
      </c>
      <c r="S1533" s="1">
        <v>11</v>
      </c>
      <c r="T1533" s="1">
        <v>0</v>
      </c>
      <c r="U1533" s="1">
        <v>20</v>
      </c>
      <c r="V1533" s="1" t="s">
        <v>135</v>
      </c>
    </row>
    <row r="1534" spans="1:22">
      <c r="A1534" t="s">
        <v>145</v>
      </c>
      <c r="B1534" t="s">
        <v>133</v>
      </c>
      <c r="C1534" t="s">
        <v>137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 t="s">
        <v>135</v>
      </c>
    </row>
    <row r="1535" spans="1:22">
      <c r="A1535" t="s">
        <v>145</v>
      </c>
      <c r="B1535" t="s">
        <v>133</v>
      </c>
      <c r="C1535" t="s">
        <v>138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 t="s">
        <v>135</v>
      </c>
    </row>
    <row r="1536" spans="1:22">
      <c r="A1536" t="s">
        <v>145</v>
      </c>
      <c r="B1536" t="s">
        <v>133</v>
      </c>
      <c r="C1536" t="s">
        <v>139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 t="s">
        <v>135</v>
      </c>
    </row>
    <row r="1537" spans="1:22">
      <c r="A1537" t="s">
        <v>145</v>
      </c>
      <c r="B1537" t="s">
        <v>133</v>
      </c>
      <c r="C1537" t="s">
        <v>140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 t="s">
        <v>135</v>
      </c>
    </row>
    <row r="1538" spans="1:22">
      <c r="A1538" t="s">
        <v>145</v>
      </c>
      <c r="B1538" t="s">
        <v>133</v>
      </c>
      <c r="C1538" t="s">
        <v>141</v>
      </c>
      <c r="D1538" s="1">
        <v>0</v>
      </c>
      <c r="E1538" s="1">
        <v>1</v>
      </c>
      <c r="F1538" s="1">
        <v>7</v>
      </c>
      <c r="G1538" s="1">
        <v>12</v>
      </c>
      <c r="H1538" s="1">
        <v>0</v>
      </c>
      <c r="I1538" s="1">
        <v>0</v>
      </c>
      <c r="J1538" s="1">
        <v>3</v>
      </c>
      <c r="K1538" s="1">
        <v>2</v>
      </c>
      <c r="L1538" s="1">
        <v>1</v>
      </c>
      <c r="M1538" s="1">
        <v>14</v>
      </c>
      <c r="N1538" s="1">
        <v>3</v>
      </c>
      <c r="O1538" s="1">
        <v>3</v>
      </c>
      <c r="P1538" s="1">
        <v>8</v>
      </c>
      <c r="Q1538" s="1">
        <v>6</v>
      </c>
      <c r="R1538" s="1">
        <v>9</v>
      </c>
      <c r="S1538" s="1">
        <v>11</v>
      </c>
      <c r="T1538" s="1">
        <v>0</v>
      </c>
      <c r="U1538" s="1">
        <v>20</v>
      </c>
      <c r="V1538" s="1" t="s">
        <v>135</v>
      </c>
    </row>
    <row r="1539" spans="1:22">
      <c r="A1539" t="s">
        <v>145</v>
      </c>
      <c r="B1539" t="s">
        <v>133</v>
      </c>
      <c r="C1539" t="s">
        <v>142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 t="s">
        <v>135</v>
      </c>
    </row>
    <row r="1540" spans="1:22">
      <c r="A1540" t="s">
        <v>130</v>
      </c>
      <c r="B1540" t="s">
        <v>133</v>
      </c>
      <c r="C1540" t="s">
        <v>134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20</v>
      </c>
      <c r="V1540" s="1" t="s">
        <v>135</v>
      </c>
    </row>
    <row r="1541" spans="1:22">
      <c r="A1541" t="s">
        <v>130</v>
      </c>
      <c r="B1541" t="s">
        <v>133</v>
      </c>
      <c r="C1541" t="s">
        <v>136</v>
      </c>
      <c r="D1541" s="1">
        <v>0</v>
      </c>
      <c r="E1541" s="1">
        <v>1</v>
      </c>
      <c r="F1541" s="1">
        <v>7</v>
      </c>
      <c r="G1541" s="1">
        <v>12</v>
      </c>
      <c r="H1541" s="1">
        <v>0</v>
      </c>
      <c r="I1541" s="1">
        <v>0</v>
      </c>
      <c r="J1541" s="1">
        <v>3</v>
      </c>
      <c r="K1541" s="1">
        <v>2</v>
      </c>
      <c r="L1541" s="1">
        <v>1</v>
      </c>
      <c r="M1541" s="1">
        <v>14</v>
      </c>
      <c r="N1541" s="1">
        <v>3</v>
      </c>
      <c r="O1541" s="1">
        <v>3</v>
      </c>
      <c r="P1541" s="1">
        <v>8</v>
      </c>
      <c r="Q1541" s="1">
        <v>6</v>
      </c>
      <c r="R1541" s="1">
        <v>9</v>
      </c>
      <c r="S1541" s="1">
        <v>11</v>
      </c>
      <c r="T1541" s="1">
        <v>0</v>
      </c>
      <c r="U1541" s="1">
        <v>20</v>
      </c>
      <c r="V1541" s="1" t="s">
        <v>135</v>
      </c>
    </row>
    <row r="1542" spans="1:22">
      <c r="A1542" t="s">
        <v>130</v>
      </c>
      <c r="B1542" t="s">
        <v>133</v>
      </c>
      <c r="C1542" t="s">
        <v>137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 t="s">
        <v>135</v>
      </c>
    </row>
    <row r="1543" spans="1:22">
      <c r="A1543" t="s">
        <v>130</v>
      </c>
      <c r="B1543" t="s">
        <v>133</v>
      </c>
      <c r="C1543" t="s">
        <v>138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 t="s">
        <v>135</v>
      </c>
    </row>
    <row r="1544" spans="1:22">
      <c r="A1544" t="s">
        <v>130</v>
      </c>
      <c r="B1544" t="s">
        <v>133</v>
      </c>
      <c r="C1544" t="s">
        <v>139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 t="s">
        <v>135</v>
      </c>
    </row>
    <row r="1545" spans="1:22">
      <c r="A1545" t="s">
        <v>130</v>
      </c>
      <c r="B1545" t="s">
        <v>133</v>
      </c>
      <c r="C1545" t="s">
        <v>140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 t="s">
        <v>135</v>
      </c>
    </row>
    <row r="1546" spans="1:22">
      <c r="A1546" t="s">
        <v>130</v>
      </c>
      <c r="B1546" t="s">
        <v>133</v>
      </c>
      <c r="C1546" t="s">
        <v>141</v>
      </c>
      <c r="D1546" s="1">
        <v>0</v>
      </c>
      <c r="E1546" s="1">
        <v>1</v>
      </c>
      <c r="F1546" s="1">
        <v>7</v>
      </c>
      <c r="G1546" s="1">
        <v>12</v>
      </c>
      <c r="H1546" s="1">
        <v>0</v>
      </c>
      <c r="I1546" s="1">
        <v>0</v>
      </c>
      <c r="J1546" s="1">
        <v>3</v>
      </c>
      <c r="K1546" s="1">
        <v>2</v>
      </c>
      <c r="L1546" s="1">
        <v>1</v>
      </c>
      <c r="M1546" s="1">
        <v>14</v>
      </c>
      <c r="N1546" s="1">
        <v>3</v>
      </c>
      <c r="O1546" s="1">
        <v>3</v>
      </c>
      <c r="P1546" s="1">
        <v>8</v>
      </c>
      <c r="Q1546" s="1">
        <v>6</v>
      </c>
      <c r="R1546" s="1">
        <v>9</v>
      </c>
      <c r="S1546" s="1">
        <v>11</v>
      </c>
      <c r="T1546" s="1">
        <v>0</v>
      </c>
      <c r="U1546" s="1">
        <v>20</v>
      </c>
      <c r="V1546" s="1" t="s">
        <v>135</v>
      </c>
    </row>
    <row r="1547" spans="1:22">
      <c r="A1547" t="s">
        <v>130</v>
      </c>
      <c r="B1547" t="s">
        <v>133</v>
      </c>
      <c r="C1547" t="s">
        <v>142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 t="s">
        <v>135</v>
      </c>
    </row>
    <row r="1629" spans="1:22">
      <c r="A1629">
        <f>setup!C33</f>
        <v>3756</v>
      </c>
    </row>
    <row r="1630" spans="1:22">
      <c r="A1630" t="str">
        <f>_xlfn.CONCAT(setup!D33," - ",setup!E33)</f>
        <v>CELF-6 RF1 OSEP Gifted and Talented (Ages 5-8) - OSEP_GT_RF1</v>
      </c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spans="1:22">
      <c r="A1631" t="s">
        <v>110</v>
      </c>
      <c r="B1631" t="s">
        <v>111</v>
      </c>
      <c r="C1631" t="s">
        <v>112</v>
      </c>
      <c r="D1631" s="1" t="s">
        <v>113</v>
      </c>
      <c r="E1631" s="1" t="s">
        <v>114</v>
      </c>
      <c r="F1631" s="1" t="s">
        <v>115</v>
      </c>
      <c r="G1631" s="1" t="s">
        <v>116</v>
      </c>
      <c r="H1631" s="1" t="s">
        <v>117</v>
      </c>
      <c r="I1631" s="1" t="s">
        <v>118</v>
      </c>
      <c r="J1631" s="1" t="s">
        <v>119</v>
      </c>
      <c r="K1631" s="1" t="s">
        <v>120</v>
      </c>
      <c r="L1631" s="1" t="s">
        <v>121</v>
      </c>
      <c r="M1631" s="1" t="s">
        <v>122</v>
      </c>
      <c r="N1631" s="1" t="s">
        <v>123</v>
      </c>
      <c r="O1631" s="1" t="s">
        <v>124</v>
      </c>
      <c r="P1631" s="1" t="s">
        <v>125</v>
      </c>
      <c r="Q1631" s="1" t="s">
        <v>126</v>
      </c>
      <c r="R1631" s="1" t="s">
        <v>127</v>
      </c>
      <c r="S1631" s="1" t="s">
        <v>128</v>
      </c>
      <c r="T1631" t="s">
        <v>129</v>
      </c>
      <c r="U1631" s="1" t="s">
        <v>130</v>
      </c>
      <c r="V1631" t="s">
        <v>131</v>
      </c>
    </row>
    <row r="1632" spans="1:22">
      <c r="A1632" t="s">
        <v>132</v>
      </c>
      <c r="B1632" t="s">
        <v>133</v>
      </c>
      <c r="C1632" t="s">
        <v>134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15</v>
      </c>
      <c r="V1632" s="1" t="s">
        <v>135</v>
      </c>
    </row>
    <row r="1633" spans="1:22">
      <c r="A1633" t="s">
        <v>132</v>
      </c>
      <c r="B1633" t="s">
        <v>133</v>
      </c>
      <c r="C1633" t="s">
        <v>136</v>
      </c>
      <c r="D1633" s="1">
        <v>1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1</v>
      </c>
      <c r="L1633" s="1">
        <v>0</v>
      </c>
      <c r="M1633" s="1">
        <v>0</v>
      </c>
      <c r="N1633" s="1">
        <v>0</v>
      </c>
      <c r="O1633" s="1">
        <v>0</v>
      </c>
      <c r="P1633" s="1">
        <v>1</v>
      </c>
      <c r="Q1633" s="1">
        <v>0</v>
      </c>
      <c r="R1633" s="1">
        <v>1</v>
      </c>
      <c r="S1633" s="1">
        <v>0</v>
      </c>
      <c r="T1633" s="1">
        <v>0</v>
      </c>
      <c r="U1633" s="1">
        <v>1</v>
      </c>
      <c r="V1633" s="1" t="s">
        <v>135</v>
      </c>
    </row>
    <row r="1634" spans="1:22">
      <c r="A1634" t="s">
        <v>132</v>
      </c>
      <c r="B1634" t="s">
        <v>133</v>
      </c>
      <c r="C1634" t="s">
        <v>137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 t="s">
        <v>135</v>
      </c>
    </row>
    <row r="1635" spans="1:22">
      <c r="A1635" t="s">
        <v>132</v>
      </c>
      <c r="B1635" t="s">
        <v>133</v>
      </c>
      <c r="C1635" t="s">
        <v>138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 t="s">
        <v>135</v>
      </c>
    </row>
    <row r="1636" spans="1:22">
      <c r="A1636" t="s">
        <v>132</v>
      </c>
      <c r="B1636" t="s">
        <v>133</v>
      </c>
      <c r="C1636" t="s">
        <v>139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 t="s">
        <v>135</v>
      </c>
    </row>
    <row r="1637" spans="1:22">
      <c r="A1637" t="s">
        <v>132</v>
      </c>
      <c r="B1637" t="s">
        <v>133</v>
      </c>
      <c r="C1637" t="s">
        <v>140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 t="s">
        <v>135</v>
      </c>
    </row>
    <row r="1638" spans="1:22">
      <c r="A1638" t="s">
        <v>132</v>
      </c>
      <c r="B1638" t="s">
        <v>133</v>
      </c>
      <c r="C1638" t="s">
        <v>141</v>
      </c>
      <c r="D1638" s="1">
        <v>1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1</v>
      </c>
      <c r="L1638" s="1">
        <v>0</v>
      </c>
      <c r="M1638" s="1">
        <v>0</v>
      </c>
      <c r="N1638" s="1">
        <v>0</v>
      </c>
      <c r="O1638" s="1">
        <v>0</v>
      </c>
      <c r="P1638" s="1">
        <v>1</v>
      </c>
      <c r="Q1638" s="1">
        <v>0</v>
      </c>
      <c r="R1638" s="1">
        <v>1</v>
      </c>
      <c r="S1638" s="1">
        <v>0</v>
      </c>
      <c r="T1638" s="1">
        <v>0</v>
      </c>
      <c r="U1638" s="1">
        <v>1</v>
      </c>
      <c r="V1638" s="1" t="s">
        <v>135</v>
      </c>
    </row>
    <row r="1639" spans="1:22">
      <c r="A1639" t="s">
        <v>132</v>
      </c>
      <c r="B1639" t="s">
        <v>133</v>
      </c>
      <c r="C1639" t="s">
        <v>142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 t="s">
        <v>135</v>
      </c>
    </row>
    <row r="1640" spans="1:22">
      <c r="A1640" t="s">
        <v>130</v>
      </c>
      <c r="B1640" t="s">
        <v>133</v>
      </c>
      <c r="C1640" t="s">
        <v>134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15</v>
      </c>
      <c r="V1640" s="1" t="s">
        <v>135</v>
      </c>
    </row>
    <row r="1641" spans="1:22">
      <c r="A1641" t="s">
        <v>130</v>
      </c>
      <c r="B1641" t="s">
        <v>133</v>
      </c>
      <c r="C1641" t="s">
        <v>136</v>
      </c>
      <c r="D1641" s="1">
        <v>1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1</v>
      </c>
      <c r="L1641" s="1">
        <v>0</v>
      </c>
      <c r="M1641" s="1">
        <v>0</v>
      </c>
      <c r="N1641" s="1">
        <v>0</v>
      </c>
      <c r="O1641" s="1">
        <v>0</v>
      </c>
      <c r="P1641" s="1">
        <v>1</v>
      </c>
      <c r="Q1641" s="1">
        <v>0</v>
      </c>
      <c r="R1641" s="1">
        <v>1</v>
      </c>
      <c r="S1641" s="1">
        <v>0</v>
      </c>
      <c r="T1641" s="1">
        <v>0</v>
      </c>
      <c r="U1641" s="1">
        <v>1</v>
      </c>
      <c r="V1641" s="1" t="s">
        <v>135</v>
      </c>
    </row>
    <row r="1642" spans="1:22">
      <c r="A1642" t="s">
        <v>130</v>
      </c>
      <c r="B1642" t="s">
        <v>133</v>
      </c>
      <c r="C1642" t="s">
        <v>137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 t="s">
        <v>135</v>
      </c>
    </row>
    <row r="1643" spans="1:22">
      <c r="A1643" t="s">
        <v>130</v>
      </c>
      <c r="B1643" t="s">
        <v>133</v>
      </c>
      <c r="C1643" t="s">
        <v>138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 t="s">
        <v>135</v>
      </c>
    </row>
    <row r="1644" spans="1:22">
      <c r="A1644" t="s">
        <v>130</v>
      </c>
      <c r="B1644" t="s">
        <v>133</v>
      </c>
      <c r="C1644" t="s">
        <v>139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 t="s">
        <v>135</v>
      </c>
    </row>
    <row r="1645" spans="1:22">
      <c r="A1645" t="s">
        <v>130</v>
      </c>
      <c r="B1645" t="s">
        <v>133</v>
      </c>
      <c r="C1645" t="s">
        <v>140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 t="s">
        <v>135</v>
      </c>
    </row>
    <row r="1646" spans="1:22">
      <c r="A1646" t="s">
        <v>130</v>
      </c>
      <c r="B1646" t="s">
        <v>133</v>
      </c>
      <c r="C1646" t="s">
        <v>141</v>
      </c>
      <c r="D1646" s="1">
        <v>1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1</v>
      </c>
      <c r="L1646" s="1">
        <v>0</v>
      </c>
      <c r="M1646" s="1">
        <v>0</v>
      </c>
      <c r="N1646" s="1">
        <v>0</v>
      </c>
      <c r="O1646" s="1">
        <v>0</v>
      </c>
      <c r="P1646" s="1">
        <v>1</v>
      </c>
      <c r="Q1646" s="1">
        <v>0</v>
      </c>
      <c r="R1646" s="1">
        <v>1</v>
      </c>
      <c r="S1646" s="1">
        <v>0</v>
      </c>
      <c r="T1646" s="1">
        <v>0</v>
      </c>
      <c r="U1646" s="1">
        <v>1</v>
      </c>
      <c r="V1646" s="1" t="s">
        <v>135</v>
      </c>
    </row>
    <row r="1647" spans="1:22">
      <c r="A1647" t="s">
        <v>130</v>
      </c>
      <c r="B1647" t="s">
        <v>133</v>
      </c>
      <c r="C1647" t="s">
        <v>142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 t="s">
        <v>135</v>
      </c>
    </row>
    <row r="1729" spans="1:22">
      <c r="A1729">
        <f>setup!C34</f>
        <v>3757</v>
      </c>
    </row>
    <row r="1730" spans="1:22">
      <c r="A1730" t="str">
        <f>_xlfn.CONCAT(setup!D34," - ",setup!E34)</f>
        <v>CELF-6 RF2 OSEP Gifted and Talented (Ages 9-21) - OSEP_GT_RF2</v>
      </c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1:22">
      <c r="A1731" t="s">
        <v>110</v>
      </c>
      <c r="B1731" t="s">
        <v>111</v>
      </c>
      <c r="C1731" t="s">
        <v>112</v>
      </c>
      <c r="D1731" s="1" t="s">
        <v>113</v>
      </c>
      <c r="E1731" s="1" t="s">
        <v>114</v>
      </c>
      <c r="F1731" s="1" t="s">
        <v>115</v>
      </c>
      <c r="G1731" s="1" t="s">
        <v>116</v>
      </c>
      <c r="H1731" s="1" t="s">
        <v>117</v>
      </c>
      <c r="I1731" s="1" t="s">
        <v>118</v>
      </c>
      <c r="J1731" s="1" t="s">
        <v>119</v>
      </c>
      <c r="K1731" s="1" t="s">
        <v>120</v>
      </c>
      <c r="L1731" s="1" t="s">
        <v>121</v>
      </c>
      <c r="M1731" s="1" t="s">
        <v>122</v>
      </c>
      <c r="N1731" s="1" t="s">
        <v>123</v>
      </c>
      <c r="O1731" s="1" t="s">
        <v>124</v>
      </c>
      <c r="P1731" s="1" t="s">
        <v>125</v>
      </c>
      <c r="Q1731" s="1" t="s">
        <v>126</v>
      </c>
      <c r="R1731" s="1" t="s">
        <v>127</v>
      </c>
      <c r="S1731" s="1" t="s">
        <v>128</v>
      </c>
      <c r="T1731" t="s">
        <v>129</v>
      </c>
      <c r="U1731" s="1" t="s">
        <v>130</v>
      </c>
      <c r="V1731" t="s">
        <v>131</v>
      </c>
    </row>
    <row r="1732" spans="1:22">
      <c r="A1732" t="s">
        <v>147</v>
      </c>
      <c r="B1732" t="s">
        <v>133</v>
      </c>
      <c r="C1732" t="s">
        <v>134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15</v>
      </c>
      <c r="V1732" s="1" t="s">
        <v>135</v>
      </c>
    </row>
    <row r="1733" spans="1:22">
      <c r="A1733" t="s">
        <v>147</v>
      </c>
      <c r="B1733" t="s">
        <v>133</v>
      </c>
      <c r="C1733" t="s">
        <v>136</v>
      </c>
      <c r="D1733" s="1">
        <v>0</v>
      </c>
      <c r="E1733" s="1">
        <v>2</v>
      </c>
      <c r="F1733" s="1">
        <v>3</v>
      </c>
      <c r="G1733" s="1">
        <v>3</v>
      </c>
      <c r="H1733" s="1">
        <v>0</v>
      </c>
      <c r="I1733" s="1">
        <v>0</v>
      </c>
      <c r="J1733" s="1">
        <v>1</v>
      </c>
      <c r="K1733" s="1">
        <v>0</v>
      </c>
      <c r="L1733" s="1">
        <v>1</v>
      </c>
      <c r="M1733" s="1">
        <v>6</v>
      </c>
      <c r="N1733" s="1">
        <v>3</v>
      </c>
      <c r="O1733" s="1">
        <v>0</v>
      </c>
      <c r="P1733" s="1">
        <v>2</v>
      </c>
      <c r="Q1733" s="1">
        <v>3</v>
      </c>
      <c r="R1733" s="1">
        <v>4</v>
      </c>
      <c r="S1733" s="1">
        <v>4</v>
      </c>
      <c r="T1733" s="1">
        <v>0</v>
      </c>
      <c r="U1733" s="1">
        <v>8</v>
      </c>
      <c r="V1733" s="1" t="s">
        <v>135</v>
      </c>
    </row>
    <row r="1734" spans="1:22">
      <c r="A1734" t="s">
        <v>147</v>
      </c>
      <c r="B1734" t="s">
        <v>133</v>
      </c>
      <c r="C1734" t="s">
        <v>137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 t="s">
        <v>135</v>
      </c>
    </row>
    <row r="1735" spans="1:22">
      <c r="A1735" t="s">
        <v>147</v>
      </c>
      <c r="B1735" t="s">
        <v>133</v>
      </c>
      <c r="C1735" t="s">
        <v>138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 t="s">
        <v>135</v>
      </c>
    </row>
    <row r="1736" spans="1:22">
      <c r="A1736" t="s">
        <v>147</v>
      </c>
      <c r="B1736" t="s">
        <v>133</v>
      </c>
      <c r="C1736" t="s">
        <v>139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 t="s">
        <v>135</v>
      </c>
    </row>
    <row r="1737" spans="1:22">
      <c r="A1737" t="s">
        <v>147</v>
      </c>
      <c r="B1737" t="s">
        <v>133</v>
      </c>
      <c r="C1737" t="s">
        <v>140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 t="s">
        <v>135</v>
      </c>
    </row>
    <row r="1738" spans="1:22">
      <c r="A1738" t="s">
        <v>147</v>
      </c>
      <c r="B1738" t="s">
        <v>133</v>
      </c>
      <c r="C1738" t="s">
        <v>141</v>
      </c>
      <c r="D1738" s="1">
        <v>0</v>
      </c>
      <c r="E1738" s="1">
        <v>2</v>
      </c>
      <c r="F1738" s="1">
        <v>3</v>
      </c>
      <c r="G1738" s="1">
        <v>3</v>
      </c>
      <c r="H1738" s="1">
        <v>0</v>
      </c>
      <c r="I1738" s="1">
        <v>0</v>
      </c>
      <c r="J1738" s="1">
        <v>1</v>
      </c>
      <c r="K1738" s="1">
        <v>0</v>
      </c>
      <c r="L1738" s="1">
        <v>1</v>
      </c>
      <c r="M1738" s="1">
        <v>6</v>
      </c>
      <c r="N1738" s="1">
        <v>3</v>
      </c>
      <c r="O1738" s="1">
        <v>0</v>
      </c>
      <c r="P1738" s="1">
        <v>2</v>
      </c>
      <c r="Q1738" s="1">
        <v>3</v>
      </c>
      <c r="R1738" s="1">
        <v>4</v>
      </c>
      <c r="S1738" s="1">
        <v>4</v>
      </c>
      <c r="T1738" s="1">
        <v>0</v>
      </c>
      <c r="U1738" s="1">
        <v>8</v>
      </c>
      <c r="V1738" s="1" t="s">
        <v>135</v>
      </c>
    </row>
    <row r="1739" spans="1:22">
      <c r="A1739" t="s">
        <v>147</v>
      </c>
      <c r="B1739" t="s">
        <v>133</v>
      </c>
      <c r="C1739" t="s">
        <v>142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 t="s">
        <v>135</v>
      </c>
    </row>
    <row r="1740" spans="1:22">
      <c r="A1740" t="s">
        <v>148</v>
      </c>
      <c r="B1740" t="s">
        <v>133</v>
      </c>
      <c r="C1740" t="s">
        <v>134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15</v>
      </c>
      <c r="V1740" s="1" t="s">
        <v>135</v>
      </c>
    </row>
    <row r="1741" spans="1:22">
      <c r="A1741" t="s">
        <v>148</v>
      </c>
      <c r="B1741" t="s">
        <v>133</v>
      </c>
      <c r="C1741" t="s">
        <v>136</v>
      </c>
      <c r="D1741" s="1">
        <v>0</v>
      </c>
      <c r="E1741" s="1">
        <v>1</v>
      </c>
      <c r="F1741" s="1">
        <v>5</v>
      </c>
      <c r="G1741" s="1">
        <v>6</v>
      </c>
      <c r="H1741" s="1">
        <v>0</v>
      </c>
      <c r="I1741" s="1">
        <v>3</v>
      </c>
      <c r="J1741" s="1">
        <v>3</v>
      </c>
      <c r="K1741" s="1">
        <v>2</v>
      </c>
      <c r="L1741" s="1">
        <v>1</v>
      </c>
      <c r="M1741" s="1">
        <v>3</v>
      </c>
      <c r="N1741" s="1">
        <v>3</v>
      </c>
      <c r="O1741" s="1">
        <v>1</v>
      </c>
      <c r="P1741" s="1">
        <v>4</v>
      </c>
      <c r="Q1741" s="1">
        <v>4</v>
      </c>
      <c r="R1741" s="1">
        <v>7</v>
      </c>
      <c r="S1741" s="1">
        <v>5</v>
      </c>
      <c r="T1741" s="1">
        <v>0</v>
      </c>
      <c r="U1741" s="1">
        <v>12</v>
      </c>
      <c r="V1741" s="1" t="s">
        <v>135</v>
      </c>
    </row>
    <row r="1742" spans="1:22">
      <c r="A1742" t="s">
        <v>148</v>
      </c>
      <c r="B1742" t="s">
        <v>133</v>
      </c>
      <c r="C1742" t="s">
        <v>137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 t="s">
        <v>135</v>
      </c>
    </row>
    <row r="1743" spans="1:22">
      <c r="A1743" t="s">
        <v>148</v>
      </c>
      <c r="B1743" t="s">
        <v>133</v>
      </c>
      <c r="C1743" t="s">
        <v>138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 t="s">
        <v>135</v>
      </c>
    </row>
    <row r="1744" spans="1:22">
      <c r="A1744" t="s">
        <v>148</v>
      </c>
      <c r="B1744" t="s">
        <v>133</v>
      </c>
      <c r="C1744" t="s">
        <v>139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 t="s">
        <v>135</v>
      </c>
    </row>
    <row r="1745" spans="1:22">
      <c r="A1745" t="s">
        <v>148</v>
      </c>
      <c r="B1745" t="s">
        <v>133</v>
      </c>
      <c r="C1745" t="s">
        <v>140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 t="s">
        <v>135</v>
      </c>
    </row>
    <row r="1746" spans="1:22">
      <c r="A1746" t="s">
        <v>148</v>
      </c>
      <c r="B1746" t="s">
        <v>133</v>
      </c>
      <c r="C1746" t="s">
        <v>141</v>
      </c>
      <c r="D1746" s="1">
        <v>0</v>
      </c>
      <c r="E1746" s="1">
        <v>1</v>
      </c>
      <c r="F1746" s="1">
        <v>5</v>
      </c>
      <c r="G1746" s="1">
        <v>6</v>
      </c>
      <c r="H1746" s="1">
        <v>0</v>
      </c>
      <c r="I1746" s="1">
        <v>3</v>
      </c>
      <c r="J1746" s="1">
        <v>3</v>
      </c>
      <c r="K1746" s="1">
        <v>2</v>
      </c>
      <c r="L1746" s="1">
        <v>1</v>
      </c>
      <c r="M1746" s="1">
        <v>3</v>
      </c>
      <c r="N1746" s="1">
        <v>3</v>
      </c>
      <c r="O1746" s="1">
        <v>1</v>
      </c>
      <c r="P1746" s="1">
        <v>4</v>
      </c>
      <c r="Q1746" s="1">
        <v>4</v>
      </c>
      <c r="R1746" s="1">
        <v>7</v>
      </c>
      <c r="S1746" s="1">
        <v>5</v>
      </c>
      <c r="T1746" s="1">
        <v>0</v>
      </c>
      <c r="U1746" s="1">
        <v>12</v>
      </c>
      <c r="V1746" s="1" t="s">
        <v>135</v>
      </c>
    </row>
    <row r="1747" spans="1:22">
      <c r="A1747" t="s">
        <v>148</v>
      </c>
      <c r="B1747" t="s">
        <v>133</v>
      </c>
      <c r="C1747" t="s">
        <v>142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 t="s">
        <v>135</v>
      </c>
    </row>
    <row r="1748" spans="1:22">
      <c r="A1748" t="s">
        <v>130</v>
      </c>
      <c r="B1748" t="s">
        <v>133</v>
      </c>
      <c r="C1748" t="s">
        <v>134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30</v>
      </c>
      <c r="V1748" s="1" t="s">
        <v>135</v>
      </c>
    </row>
    <row r="1749" spans="1:22">
      <c r="A1749" t="s">
        <v>130</v>
      </c>
      <c r="B1749" t="s">
        <v>133</v>
      </c>
      <c r="C1749" t="s">
        <v>136</v>
      </c>
      <c r="D1749" s="1">
        <v>0</v>
      </c>
      <c r="E1749" s="1">
        <v>3</v>
      </c>
      <c r="F1749" s="1">
        <v>8</v>
      </c>
      <c r="G1749" s="1">
        <v>9</v>
      </c>
      <c r="H1749" s="1">
        <v>0</v>
      </c>
      <c r="I1749" s="1">
        <v>3</v>
      </c>
      <c r="J1749" s="1">
        <v>4</v>
      </c>
      <c r="K1749" s="1">
        <v>2</v>
      </c>
      <c r="L1749" s="1">
        <v>2</v>
      </c>
      <c r="M1749" s="1">
        <v>9</v>
      </c>
      <c r="N1749" s="1">
        <v>6</v>
      </c>
      <c r="O1749" s="1">
        <v>1</v>
      </c>
      <c r="P1749" s="1">
        <v>6</v>
      </c>
      <c r="Q1749" s="1">
        <v>7</v>
      </c>
      <c r="R1749" s="1">
        <v>11</v>
      </c>
      <c r="S1749" s="1">
        <v>9</v>
      </c>
      <c r="T1749" s="1">
        <v>0</v>
      </c>
      <c r="U1749" s="1">
        <v>20</v>
      </c>
      <c r="V1749" s="1" t="s">
        <v>135</v>
      </c>
    </row>
    <row r="1750" spans="1:22">
      <c r="A1750" t="s">
        <v>130</v>
      </c>
      <c r="B1750" t="s">
        <v>133</v>
      </c>
      <c r="C1750" t="s">
        <v>137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 t="s">
        <v>135</v>
      </c>
    </row>
    <row r="1751" spans="1:22">
      <c r="A1751" t="s">
        <v>130</v>
      </c>
      <c r="B1751" t="s">
        <v>133</v>
      </c>
      <c r="C1751" t="s">
        <v>138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 t="s">
        <v>135</v>
      </c>
    </row>
    <row r="1752" spans="1:22">
      <c r="A1752" t="s">
        <v>130</v>
      </c>
      <c r="B1752" t="s">
        <v>133</v>
      </c>
      <c r="C1752" t="s">
        <v>139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 t="s">
        <v>135</v>
      </c>
    </row>
    <row r="1753" spans="1:22">
      <c r="A1753" t="s">
        <v>130</v>
      </c>
      <c r="B1753" t="s">
        <v>133</v>
      </c>
      <c r="C1753" t="s">
        <v>140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 t="s">
        <v>135</v>
      </c>
    </row>
    <row r="1754" spans="1:22">
      <c r="A1754" t="s">
        <v>130</v>
      </c>
      <c r="B1754" t="s">
        <v>133</v>
      </c>
      <c r="C1754" t="s">
        <v>141</v>
      </c>
      <c r="D1754" s="1">
        <v>0</v>
      </c>
      <c r="E1754" s="1">
        <v>3</v>
      </c>
      <c r="F1754" s="1">
        <v>8</v>
      </c>
      <c r="G1754" s="1">
        <v>9</v>
      </c>
      <c r="H1754" s="1">
        <v>0</v>
      </c>
      <c r="I1754" s="1">
        <v>3</v>
      </c>
      <c r="J1754" s="1">
        <v>4</v>
      </c>
      <c r="K1754" s="1">
        <v>2</v>
      </c>
      <c r="L1754" s="1">
        <v>2</v>
      </c>
      <c r="M1754" s="1">
        <v>9</v>
      </c>
      <c r="N1754" s="1">
        <v>6</v>
      </c>
      <c r="O1754" s="1">
        <v>1</v>
      </c>
      <c r="P1754" s="1">
        <v>6</v>
      </c>
      <c r="Q1754" s="1">
        <v>7</v>
      </c>
      <c r="R1754" s="1">
        <v>11</v>
      </c>
      <c r="S1754" s="1">
        <v>9</v>
      </c>
      <c r="T1754" s="1">
        <v>0</v>
      </c>
      <c r="U1754" s="1">
        <v>20</v>
      </c>
      <c r="V1754" s="1" t="s">
        <v>135</v>
      </c>
    </row>
    <row r="1755" spans="1:22">
      <c r="A1755" t="s">
        <v>130</v>
      </c>
      <c r="B1755" t="s">
        <v>133</v>
      </c>
      <c r="C1755" t="s">
        <v>142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 t="s">
        <v>135</v>
      </c>
    </row>
    <row r="1829" spans="1:22">
      <c r="A1829">
        <f>setup!C24</f>
        <v>3747</v>
      </c>
    </row>
    <row r="1830" spans="1:22">
      <c r="A1830" t="str">
        <f>_xlfn.CONCAT(setup!D24," - ",setup!E24)</f>
        <v>CELF-6 RF1 OSEP Developmental Delay (Ages 5-8) - OSEP_DD_RF1</v>
      </c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spans="1:22">
      <c r="A1831" t="s">
        <v>110</v>
      </c>
      <c r="B1831" t="s">
        <v>111</v>
      </c>
      <c r="C1831" t="s">
        <v>112</v>
      </c>
      <c r="D1831" s="1" t="s">
        <v>113</v>
      </c>
      <c r="E1831" s="1" t="s">
        <v>114</v>
      </c>
      <c r="F1831" s="1" t="s">
        <v>115</v>
      </c>
      <c r="G1831" s="1" t="s">
        <v>116</v>
      </c>
      <c r="H1831" s="1" t="s">
        <v>117</v>
      </c>
      <c r="I1831" s="1" t="s">
        <v>118</v>
      </c>
      <c r="J1831" s="1" t="s">
        <v>119</v>
      </c>
      <c r="K1831" s="1" t="s">
        <v>120</v>
      </c>
      <c r="L1831" s="1" t="s">
        <v>121</v>
      </c>
      <c r="M1831" s="1" t="s">
        <v>122</v>
      </c>
      <c r="N1831" s="1" t="s">
        <v>123</v>
      </c>
      <c r="O1831" s="1" t="s">
        <v>124</v>
      </c>
      <c r="P1831" s="1" t="s">
        <v>125</v>
      </c>
      <c r="Q1831" s="1" t="s">
        <v>126</v>
      </c>
      <c r="R1831" s="1" t="s">
        <v>127</v>
      </c>
      <c r="S1831" s="1" t="s">
        <v>128</v>
      </c>
      <c r="T1831" t="s">
        <v>129</v>
      </c>
      <c r="U1831" s="1" t="s">
        <v>130</v>
      </c>
      <c r="V1831" t="s">
        <v>131</v>
      </c>
    </row>
    <row r="1832" spans="1:22">
      <c r="A1832" t="s">
        <v>132</v>
      </c>
      <c r="B1832" t="s">
        <v>133</v>
      </c>
      <c r="C1832" t="s">
        <v>134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15</v>
      </c>
      <c r="V1832" s="1" t="s">
        <v>135</v>
      </c>
    </row>
    <row r="1833" spans="1:22">
      <c r="A1833" t="s">
        <v>132</v>
      </c>
      <c r="B1833" t="s">
        <v>133</v>
      </c>
      <c r="C1833" t="s">
        <v>136</v>
      </c>
      <c r="D1833" s="1">
        <v>6</v>
      </c>
      <c r="E1833" s="1">
        <v>3</v>
      </c>
      <c r="F1833" s="1">
        <v>1</v>
      </c>
      <c r="G1833" s="1">
        <v>5</v>
      </c>
      <c r="H1833" s="1">
        <v>0</v>
      </c>
      <c r="I1833" s="1">
        <v>1</v>
      </c>
      <c r="J1833" s="1">
        <v>0</v>
      </c>
      <c r="K1833" s="1">
        <v>4</v>
      </c>
      <c r="L1833" s="1">
        <v>2</v>
      </c>
      <c r="M1833" s="1">
        <v>8</v>
      </c>
      <c r="N1833" s="1">
        <v>7</v>
      </c>
      <c r="O1833" s="1">
        <v>0</v>
      </c>
      <c r="P1833" s="1">
        <v>7</v>
      </c>
      <c r="Q1833" s="1">
        <v>1</v>
      </c>
      <c r="R1833" s="1">
        <v>8</v>
      </c>
      <c r="S1833" s="1">
        <v>7</v>
      </c>
      <c r="T1833" s="1">
        <v>0</v>
      </c>
      <c r="U1833" s="1">
        <v>15</v>
      </c>
      <c r="V1833" s="1" t="s">
        <v>135</v>
      </c>
    </row>
    <row r="1834" spans="1:22">
      <c r="A1834" t="s">
        <v>132</v>
      </c>
      <c r="B1834" t="s">
        <v>133</v>
      </c>
      <c r="C1834" t="s">
        <v>137</v>
      </c>
      <c r="D1834" s="1">
        <v>0</v>
      </c>
      <c r="E1834" s="1">
        <v>0</v>
      </c>
      <c r="F1834" s="1">
        <v>0</v>
      </c>
      <c r="G1834" s="1">
        <v>1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1</v>
      </c>
      <c r="N1834" s="1">
        <v>1</v>
      </c>
      <c r="O1834" s="1">
        <v>0</v>
      </c>
      <c r="P1834" s="1">
        <v>0</v>
      </c>
      <c r="Q1834" s="1">
        <v>0</v>
      </c>
      <c r="R1834" s="1">
        <v>1</v>
      </c>
      <c r="S1834" s="1">
        <v>0</v>
      </c>
      <c r="T1834" s="1">
        <v>0</v>
      </c>
      <c r="U1834" s="1">
        <v>1</v>
      </c>
      <c r="V1834" s="1" t="s">
        <v>135</v>
      </c>
    </row>
    <row r="1835" spans="1:22">
      <c r="A1835" t="s">
        <v>132</v>
      </c>
      <c r="B1835" t="s">
        <v>133</v>
      </c>
      <c r="C1835" t="s">
        <v>138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 t="s">
        <v>135</v>
      </c>
    </row>
    <row r="1836" spans="1:22">
      <c r="A1836" t="s">
        <v>132</v>
      </c>
      <c r="B1836" t="s">
        <v>133</v>
      </c>
      <c r="C1836" t="s">
        <v>139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 t="s">
        <v>135</v>
      </c>
    </row>
    <row r="1837" spans="1:22">
      <c r="A1837" t="s">
        <v>132</v>
      </c>
      <c r="B1837" t="s">
        <v>133</v>
      </c>
      <c r="C1837" t="s">
        <v>140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 t="s">
        <v>135</v>
      </c>
    </row>
    <row r="1838" spans="1:22">
      <c r="A1838" t="s">
        <v>132</v>
      </c>
      <c r="B1838" t="s">
        <v>133</v>
      </c>
      <c r="C1838" t="s">
        <v>141</v>
      </c>
      <c r="D1838" s="1">
        <v>6</v>
      </c>
      <c r="E1838" s="1">
        <v>3</v>
      </c>
      <c r="F1838" s="1">
        <v>1</v>
      </c>
      <c r="G1838" s="1">
        <v>6</v>
      </c>
      <c r="H1838" s="1">
        <v>0</v>
      </c>
      <c r="I1838" s="1">
        <v>1</v>
      </c>
      <c r="J1838" s="1">
        <v>0</v>
      </c>
      <c r="K1838" s="1">
        <v>4</v>
      </c>
      <c r="L1838" s="1">
        <v>2</v>
      </c>
      <c r="M1838" s="1">
        <v>9</v>
      </c>
      <c r="N1838" s="1">
        <v>8</v>
      </c>
      <c r="O1838" s="1">
        <v>0</v>
      </c>
      <c r="P1838" s="1">
        <v>7</v>
      </c>
      <c r="Q1838" s="1">
        <v>1</v>
      </c>
      <c r="R1838" s="1">
        <v>9</v>
      </c>
      <c r="S1838" s="1">
        <v>7</v>
      </c>
      <c r="T1838" s="1">
        <v>0</v>
      </c>
      <c r="U1838" s="1">
        <v>16</v>
      </c>
      <c r="V1838" s="1" t="s">
        <v>135</v>
      </c>
    </row>
    <row r="1839" spans="1:22">
      <c r="A1839" t="s">
        <v>132</v>
      </c>
      <c r="B1839" t="s">
        <v>133</v>
      </c>
      <c r="C1839" t="s">
        <v>142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 t="s">
        <v>135</v>
      </c>
    </row>
    <row r="1840" spans="1:22">
      <c r="A1840" t="s">
        <v>130</v>
      </c>
      <c r="B1840" t="s">
        <v>133</v>
      </c>
      <c r="C1840" t="s">
        <v>134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15</v>
      </c>
      <c r="V1840" s="1" t="s">
        <v>135</v>
      </c>
    </row>
    <row r="1841" spans="1:22">
      <c r="A1841" t="s">
        <v>130</v>
      </c>
      <c r="B1841" t="s">
        <v>133</v>
      </c>
      <c r="C1841" t="s">
        <v>136</v>
      </c>
      <c r="D1841" s="1">
        <v>6</v>
      </c>
      <c r="E1841" s="1">
        <v>3</v>
      </c>
      <c r="F1841" s="1">
        <v>1</v>
      </c>
      <c r="G1841" s="1">
        <v>5</v>
      </c>
      <c r="H1841" s="1">
        <v>0</v>
      </c>
      <c r="I1841" s="1">
        <v>1</v>
      </c>
      <c r="J1841" s="1">
        <v>0</v>
      </c>
      <c r="K1841" s="1">
        <v>4</v>
      </c>
      <c r="L1841" s="1">
        <v>2</v>
      </c>
      <c r="M1841" s="1">
        <v>8</v>
      </c>
      <c r="N1841" s="1">
        <v>7</v>
      </c>
      <c r="O1841" s="1">
        <v>0</v>
      </c>
      <c r="P1841" s="1">
        <v>7</v>
      </c>
      <c r="Q1841" s="1">
        <v>1</v>
      </c>
      <c r="R1841" s="1">
        <v>8</v>
      </c>
      <c r="S1841" s="1">
        <v>7</v>
      </c>
      <c r="T1841" s="1">
        <v>0</v>
      </c>
      <c r="U1841" s="1">
        <v>15</v>
      </c>
      <c r="V1841" s="1" t="s">
        <v>135</v>
      </c>
    </row>
    <row r="1842" spans="1:22">
      <c r="A1842" t="s">
        <v>130</v>
      </c>
      <c r="B1842" t="s">
        <v>133</v>
      </c>
      <c r="C1842" t="s">
        <v>137</v>
      </c>
      <c r="D1842" s="1">
        <v>0</v>
      </c>
      <c r="E1842" s="1">
        <v>0</v>
      </c>
      <c r="F1842" s="1">
        <v>0</v>
      </c>
      <c r="G1842" s="1">
        <v>1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1</v>
      </c>
      <c r="N1842" s="1">
        <v>1</v>
      </c>
      <c r="O1842" s="1">
        <v>0</v>
      </c>
      <c r="P1842" s="1">
        <v>0</v>
      </c>
      <c r="Q1842" s="1">
        <v>0</v>
      </c>
      <c r="R1842" s="1">
        <v>1</v>
      </c>
      <c r="S1842" s="1">
        <v>0</v>
      </c>
      <c r="T1842" s="1">
        <v>0</v>
      </c>
      <c r="U1842" s="1">
        <v>1</v>
      </c>
      <c r="V1842" s="1" t="s">
        <v>135</v>
      </c>
    </row>
    <row r="1843" spans="1:22">
      <c r="A1843" t="s">
        <v>130</v>
      </c>
      <c r="B1843" t="s">
        <v>133</v>
      </c>
      <c r="C1843" t="s">
        <v>138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 t="s">
        <v>135</v>
      </c>
    </row>
    <row r="1844" spans="1:22">
      <c r="A1844" t="s">
        <v>130</v>
      </c>
      <c r="B1844" t="s">
        <v>133</v>
      </c>
      <c r="C1844" t="s">
        <v>139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 t="s">
        <v>135</v>
      </c>
    </row>
    <row r="1845" spans="1:22">
      <c r="A1845" t="s">
        <v>130</v>
      </c>
      <c r="B1845" t="s">
        <v>133</v>
      </c>
      <c r="C1845" t="s">
        <v>140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 t="s">
        <v>135</v>
      </c>
    </row>
    <row r="1846" spans="1:22">
      <c r="A1846" t="s">
        <v>130</v>
      </c>
      <c r="B1846" t="s">
        <v>133</v>
      </c>
      <c r="C1846" t="s">
        <v>141</v>
      </c>
      <c r="D1846" s="1">
        <v>6</v>
      </c>
      <c r="E1846" s="1">
        <v>3</v>
      </c>
      <c r="F1846" s="1">
        <v>1</v>
      </c>
      <c r="G1846" s="1">
        <v>6</v>
      </c>
      <c r="H1846" s="1">
        <v>0</v>
      </c>
      <c r="I1846" s="1">
        <v>1</v>
      </c>
      <c r="J1846" s="1">
        <v>0</v>
      </c>
      <c r="K1846" s="1">
        <v>4</v>
      </c>
      <c r="L1846" s="1">
        <v>2</v>
      </c>
      <c r="M1846" s="1">
        <v>9</v>
      </c>
      <c r="N1846" s="1">
        <v>8</v>
      </c>
      <c r="O1846" s="1">
        <v>0</v>
      </c>
      <c r="P1846" s="1">
        <v>7</v>
      </c>
      <c r="Q1846" s="1">
        <v>1</v>
      </c>
      <c r="R1846" s="1">
        <v>9</v>
      </c>
      <c r="S1846" s="1">
        <v>7</v>
      </c>
      <c r="T1846" s="1">
        <v>0</v>
      </c>
      <c r="U1846" s="1">
        <v>16</v>
      </c>
      <c r="V1846" s="1" t="s">
        <v>135</v>
      </c>
    </row>
    <row r="1847" spans="1:22">
      <c r="A1847" t="s">
        <v>130</v>
      </c>
      <c r="B1847" t="s">
        <v>133</v>
      </c>
      <c r="C1847" t="s">
        <v>142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 t="s">
        <v>135</v>
      </c>
    </row>
    <row r="1848" spans="1:22"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</row>
    <row r="1849" spans="1:22"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</row>
    <row r="1850" spans="1:22"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</row>
    <row r="1851" spans="1:22"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</row>
    <row r="1852" spans="1:22"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</row>
    <row r="1853" spans="1:22"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</row>
    <row r="1854" spans="1:22"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</row>
    <row r="1855" spans="1:22"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</row>
  </sheetData>
  <phoneticPr fontId="4" type="noConversion"/>
  <pageMargins left="0.7" right="0.7" top="0.75" bottom="0.75" header="0.3" footer="0.3"/>
  <pageSetup orientation="portrait" r:id="rId1"/>
  <tableParts count="19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A304-4165-934A-9F04-42D458DA0E2A}">
  <sheetPr codeName="Sheet3"/>
  <dimension ref="A1:P15"/>
  <sheetViews>
    <sheetView zoomScaleNormal="100" workbookViewId="0">
      <selection activeCell="B4" sqref="B4"/>
    </sheetView>
  </sheetViews>
  <sheetFormatPr defaultColWidth="11" defaultRowHeight="15.75" customHeight="1"/>
  <cols>
    <col min="1" max="1" width="10.625" style="11" bestFit="1" customWidth="1"/>
    <col min="2" max="2" width="77.625" bestFit="1" customWidth="1"/>
    <col min="3" max="3" width="9" style="1" bestFit="1" customWidth="1"/>
    <col min="4" max="4" width="11.125" style="1" customWidth="1"/>
    <col min="5" max="5" width="10" style="12" bestFit="1" customWidth="1"/>
    <col min="6" max="6" width="1.625" hidden="1" customWidth="1"/>
    <col min="7" max="7" width="2.125" hidden="1" customWidth="1"/>
    <col min="8" max="8" width="16.5" style="1" customWidth="1"/>
    <col min="9" max="9" width="14.125" style="1" customWidth="1"/>
    <col min="16" max="16" width="14.5" hidden="1" customWidth="1"/>
  </cols>
  <sheetData>
    <row r="1" spans="1:16" s="43" customFormat="1">
      <c r="A1" s="214" t="str">
        <f>_xlfn.CONCAT("Last Refreshed at: ",F3)</f>
        <v>Last Refreshed at: 08/06/2026 @ 7:19 AM</v>
      </c>
      <c r="B1" s="214"/>
      <c r="C1" s="214"/>
      <c r="D1" s="214"/>
      <c r="E1" s="214"/>
      <c r="F1" s="214"/>
      <c r="G1"/>
      <c r="H1" s="215" t="s">
        <v>149</v>
      </c>
      <c r="I1" s="215"/>
      <c r="L1" s="211" t="s">
        <v>150</v>
      </c>
      <c r="M1" s="211"/>
      <c r="P1" s="120" t="s">
        <v>151</v>
      </c>
    </row>
    <row r="2" spans="1:16">
      <c r="A2" s="78" t="s">
        <v>24</v>
      </c>
      <c r="B2" s="78" t="s">
        <v>152</v>
      </c>
      <c r="C2" s="85" t="s">
        <v>153</v>
      </c>
      <c r="D2" s="85" t="s">
        <v>154</v>
      </c>
      <c r="E2" s="86" t="s">
        <v>155</v>
      </c>
      <c r="F2" s="79" t="s">
        <v>156</v>
      </c>
      <c r="H2" s="80" t="s">
        <v>157</v>
      </c>
      <c r="I2" s="80" t="s">
        <v>155</v>
      </c>
      <c r="J2" s="1"/>
      <c r="L2" s="212">
        <f>SUM(C_LD!W29,C_HH!W29,C_ASDL!W29,C_SLDRW!W29,OSEP_ID!W29,OSEP_DD!W21,OSEP_ADHD!W29,OSEP_SLD!W37,OSEP_SI!W29,OSEP_GT!W37)</f>
        <v>402</v>
      </c>
      <c r="M2" s="213" t="e">
        <f>SUM(#REF!,#REF!,#REF!,#REF!,#REF!,#REF!,#REF!,#REF!,#REF!,#REF!,#REF!,#REF!,#REF!,#REF!,#REF!,#REF!,#REF!,#REF!,#REF!)</f>
        <v>#REF!</v>
      </c>
      <c r="P2" s="121" t="e">
        <f>SUM(#REF!,#REF!,#REF!)</f>
        <v>#REF!</v>
      </c>
    </row>
    <row r="3" spans="1:16">
      <c r="A3" s="81" t="s">
        <v>158</v>
      </c>
      <c r="B3" s="17" t="s">
        <v>159</v>
      </c>
      <c r="C3" s="18">
        <v>100</v>
      </c>
      <c r="D3" s="18">
        <v>99</v>
      </c>
      <c r="E3" s="82">
        <v>0.99</v>
      </c>
      <c r="F3" t="s">
        <v>135</v>
      </c>
      <c r="H3" s="80">
        <f>setup!F16+setup!F17</f>
        <v>99</v>
      </c>
      <c r="I3" s="84">
        <f>IFERROR(H3/C3,0)</f>
        <v>0.99</v>
      </c>
      <c r="K3" s="77"/>
    </row>
    <row r="4" spans="1:16">
      <c r="A4" s="81" t="s">
        <v>160</v>
      </c>
      <c r="B4" s="17" t="s">
        <v>161</v>
      </c>
      <c r="C4" s="18">
        <v>60</v>
      </c>
      <c r="D4" s="18">
        <v>60</v>
      </c>
      <c r="E4" s="87">
        <v>1</v>
      </c>
      <c r="F4" t="s">
        <v>135</v>
      </c>
      <c r="H4" s="80">
        <f>setup!F18+setup!F19</f>
        <v>64</v>
      </c>
      <c r="I4" s="84">
        <f>IFERROR(H4/C4,0)</f>
        <v>1.0666666666666667</v>
      </c>
    </row>
    <row r="5" spans="1:16">
      <c r="A5" s="81" t="s">
        <v>162</v>
      </c>
      <c r="B5" s="17" t="s">
        <v>163</v>
      </c>
      <c r="C5" s="18">
        <v>60</v>
      </c>
      <c r="D5" s="18">
        <v>60</v>
      </c>
      <c r="E5" s="87">
        <v>1</v>
      </c>
      <c r="F5" t="s">
        <v>135</v>
      </c>
      <c r="H5" s="80">
        <f>setup!F20+setup!F21</f>
        <v>61</v>
      </c>
      <c r="I5" s="84">
        <f>IFERROR(H5/C5,0)</f>
        <v>1.0166666666666666</v>
      </c>
    </row>
    <row r="6" spans="1:16">
      <c r="A6" s="81" t="s">
        <v>164</v>
      </c>
      <c r="B6" s="17" t="s">
        <v>165</v>
      </c>
      <c r="C6" s="18">
        <v>60</v>
      </c>
      <c r="D6" s="18">
        <v>60</v>
      </c>
      <c r="E6" s="87">
        <v>1</v>
      </c>
      <c r="F6" t="s">
        <v>135</v>
      </c>
      <c r="H6" s="80">
        <f>setup!F22 + setup!F23</f>
        <v>61</v>
      </c>
      <c r="I6" s="84">
        <f>IFERROR(H6/C6,0)</f>
        <v>1.0166666666666666</v>
      </c>
    </row>
    <row r="7" spans="1:16">
      <c r="A7" s="81" t="s">
        <v>166</v>
      </c>
      <c r="B7" s="17" t="s">
        <v>65</v>
      </c>
      <c r="C7" s="18">
        <v>15</v>
      </c>
      <c r="D7" s="18">
        <v>15</v>
      </c>
      <c r="E7" s="87">
        <v>1</v>
      </c>
      <c r="F7" t="s">
        <v>135</v>
      </c>
      <c r="G7" s="83"/>
      <c r="H7" s="80">
        <f>setup!F24</f>
        <v>16</v>
      </c>
      <c r="I7" s="84">
        <f>IFERROR(H7/C7,0)</f>
        <v>1.0666666666666667</v>
      </c>
    </row>
    <row r="8" spans="1:16" ht="15.6" hidden="1" customHeight="1">
      <c r="A8" s="138" t="s">
        <v>167</v>
      </c>
      <c r="B8" s="139" t="s">
        <v>168</v>
      </c>
      <c r="C8" s="18">
        <v>12</v>
      </c>
      <c r="D8" s="18">
        <v>6</v>
      </c>
      <c r="E8" s="87">
        <v>0.5</v>
      </c>
      <c r="F8" t="s">
        <v>135</v>
      </c>
      <c r="H8" s="80">
        <f>setup!F25+setup!F26</f>
        <v>6</v>
      </c>
      <c r="I8" s="84">
        <f t="shared" ref="I8:I12" si="0">IFERROR(H8/C8,0)</f>
        <v>0.5</v>
      </c>
      <c r="K8" s="83"/>
    </row>
    <row r="9" spans="1:16" ht="15.6" hidden="1" customHeight="1">
      <c r="A9" s="138" t="s">
        <v>169</v>
      </c>
      <c r="B9" s="139" t="s">
        <v>170</v>
      </c>
      <c r="C9" s="18">
        <v>148</v>
      </c>
      <c r="D9" s="18">
        <v>35</v>
      </c>
      <c r="E9" s="87">
        <v>0.23648648648648649</v>
      </c>
      <c r="F9" t="s">
        <v>135</v>
      </c>
      <c r="G9" s="109"/>
      <c r="H9" s="80">
        <f>setup!F27+setup!F28</f>
        <v>35</v>
      </c>
      <c r="I9" s="84">
        <f t="shared" si="0"/>
        <v>0.23648648648648649</v>
      </c>
      <c r="K9" s="83"/>
    </row>
    <row r="10" spans="1:16" ht="15.6" hidden="1" customHeight="1">
      <c r="A10" s="138" t="s">
        <v>171</v>
      </c>
      <c r="B10" s="139" t="s">
        <v>172</v>
      </c>
      <c r="C10" s="18">
        <v>23</v>
      </c>
      <c r="D10" s="18">
        <v>6</v>
      </c>
      <c r="E10" s="87">
        <v>0.2608695652173913</v>
      </c>
      <c r="F10" t="s">
        <v>135</v>
      </c>
      <c r="H10" s="80">
        <f>setup!F29+setup!F30</f>
        <v>6</v>
      </c>
      <c r="I10" s="84">
        <f t="shared" si="0"/>
        <v>0.2608695652173913</v>
      </c>
      <c r="K10" s="83"/>
    </row>
    <row r="11" spans="1:16">
      <c r="A11" s="81" t="s">
        <v>173</v>
      </c>
      <c r="B11" s="115" t="s">
        <v>174</v>
      </c>
      <c r="C11" s="18">
        <v>40</v>
      </c>
      <c r="D11" s="18">
        <v>40</v>
      </c>
      <c r="E11" s="116">
        <v>1</v>
      </c>
      <c r="F11" t="s">
        <v>135</v>
      </c>
      <c r="H11" s="80">
        <f>setup!F31+setup!F32</f>
        <v>45</v>
      </c>
      <c r="I11" s="84">
        <f>IFERROR(H11/C11,0)</f>
        <v>1.125</v>
      </c>
      <c r="K11" s="83"/>
    </row>
    <row r="12" spans="1:16" ht="15.6" hidden="1" customHeight="1">
      <c r="A12" s="138" t="s">
        <v>175</v>
      </c>
      <c r="B12" s="139" t="s">
        <v>176</v>
      </c>
      <c r="C12" s="18">
        <v>45</v>
      </c>
      <c r="D12" s="18">
        <v>21</v>
      </c>
      <c r="E12" s="87">
        <v>0.46666666666666667</v>
      </c>
      <c r="F12" t="s">
        <v>135</v>
      </c>
      <c r="H12" s="80">
        <f>setup!F33+setup!F34</f>
        <v>21</v>
      </c>
      <c r="I12" s="84">
        <f t="shared" si="0"/>
        <v>0.46666666666666667</v>
      </c>
      <c r="K12" s="83"/>
    </row>
    <row r="13" spans="1:16">
      <c r="A13" s="127" t="s">
        <v>177</v>
      </c>
      <c r="B13" s="117" t="s">
        <v>130</v>
      </c>
      <c r="C13" s="128">
        <v>563</v>
      </c>
      <c r="D13" s="128">
        <v>402</v>
      </c>
      <c r="E13" s="118">
        <v>0.7140319715808171</v>
      </c>
      <c r="F13" s="119" t="s">
        <v>135</v>
      </c>
      <c r="H13" s="80">
        <f>SUM(H3:H12)</f>
        <v>414</v>
      </c>
      <c r="I13" s="84">
        <f>IFERROR(H13/C13,0)</f>
        <v>0.73534635879218468</v>
      </c>
      <c r="K13" s="83"/>
    </row>
    <row r="14" spans="1:16">
      <c r="A14" s="132"/>
      <c r="B14" s="133"/>
      <c r="C14" s="134"/>
      <c r="D14" s="134"/>
      <c r="E14" s="135"/>
      <c r="K14" s="83"/>
    </row>
    <row r="15" spans="1:16">
      <c r="K15" s="83"/>
    </row>
  </sheetData>
  <sheetProtection sort="0" autoFilter="0"/>
  <mergeCells count="6">
    <mergeCell ref="L1:M1"/>
    <mergeCell ref="L2:M2"/>
    <mergeCell ref="A1:B1"/>
    <mergeCell ref="H1:I1"/>
    <mergeCell ref="C1:D1"/>
    <mergeCell ref="E1:F1"/>
  </mergeCells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353A-AFB8-4A27-B700-443E3ADF4ECB}">
  <sheetPr codeName="Sheet4">
    <tabColor rgb="FFFFFF00"/>
  </sheetPr>
  <dimension ref="A1:Y36"/>
  <sheetViews>
    <sheetView tabSelected="1" zoomScale="85" zoomScaleNormal="85" workbookViewId="0">
      <selection activeCell="AE19" sqref="AE19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40" t="s">
        <v>178</v>
      </c>
      <c r="B1" s="141"/>
      <c r="C1" s="142"/>
      <c r="D1" s="143" t="s">
        <v>179</v>
      </c>
      <c r="E1" s="144"/>
      <c r="F1" s="144"/>
      <c r="G1" s="144"/>
      <c r="H1" s="145"/>
      <c r="I1" s="98"/>
      <c r="J1" s="88"/>
      <c r="K1" s="100"/>
      <c r="L1" s="100"/>
      <c r="M1" s="100"/>
      <c r="N1" s="100" t="s">
        <v>180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46" t="s">
        <v>181</v>
      </c>
      <c r="B2" s="146"/>
      <c r="C2" s="147"/>
      <c r="D2" s="148" t="str">
        <f>_xlfn.CONCAT("Study Name: ","
CELF-6 RF 1 &amp; 2 Clinical Language Disorder (5-16) ")</f>
        <v xml:space="preserve">Study Name: 
CELF-6 RF 1 &amp; 2 Clinical Language Disorder (5-16) </v>
      </c>
      <c r="E2" s="149"/>
      <c r="F2" s="149"/>
      <c r="G2" s="149"/>
      <c r="H2" s="150"/>
      <c r="I2" s="4"/>
      <c r="J2" s="4"/>
      <c r="K2" s="151" t="s">
        <v>182</v>
      </c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3"/>
      <c r="Y2" s="103"/>
    </row>
    <row r="3" spans="1:25" customFormat="1" ht="30.75" customHeight="1" thickBot="1">
      <c r="A3" s="2"/>
      <c r="B3" s="2"/>
      <c r="C3" s="2"/>
      <c r="D3" s="158" t="str">
        <f>_xlfn.CONCAT("Study Acronym: ","
C_LD_RF1/C_LD_RF2")</f>
        <v>Study Acronym: 
C_LD_RF1/C_LD_RF2</v>
      </c>
      <c r="E3" s="159"/>
      <c r="F3" s="160" t="s">
        <v>183</v>
      </c>
      <c r="G3" s="160"/>
      <c r="H3" s="161"/>
      <c r="I3" s="4"/>
      <c r="J3" s="4"/>
      <c r="K3" s="154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3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54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3"/>
      <c r="Y4" s="104"/>
    </row>
    <row r="5" spans="1:25" customFormat="1" ht="21.95" customHeight="1" thickBot="1">
      <c r="A5" s="2"/>
      <c r="B5" s="2"/>
      <c r="C5" s="102"/>
      <c r="D5" s="143" t="s">
        <v>184</v>
      </c>
      <c r="E5" s="144"/>
      <c r="F5" s="144"/>
      <c r="G5" s="144"/>
      <c r="H5" s="101"/>
      <c r="I5" s="98"/>
      <c r="J5" s="98"/>
      <c r="K5" s="154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3"/>
      <c r="Y5" s="105"/>
    </row>
    <row r="6" spans="1:25" customFormat="1" ht="60.95" customHeight="1" thickBot="1">
      <c r="A6" s="2"/>
      <c r="B6" s="2"/>
      <c r="C6" s="99"/>
      <c r="D6" s="162" t="s">
        <v>185</v>
      </c>
      <c r="E6" s="163"/>
      <c r="F6" s="163"/>
      <c r="G6" s="163"/>
      <c r="H6" s="164"/>
      <c r="I6" s="136"/>
      <c r="J6" s="137"/>
      <c r="K6" s="155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7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65" t="str">
        <f>_xlfn.CONCAT("Last Refreshed at: ",aurora_data!V4)</f>
        <v>Last Refreshed at: 08/06/2026 @ 7:19 AM</v>
      </c>
      <c r="C8" s="166"/>
      <c r="D8" s="166"/>
      <c r="E8" s="167" t="s">
        <v>186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9"/>
      <c r="V8" s="44"/>
      <c r="W8" s="170" t="s">
        <v>187</v>
      </c>
      <c r="X8" s="171"/>
      <c r="Y8" s="2"/>
    </row>
    <row r="9" spans="1:25" customFormat="1" ht="16.5" customHeight="1" thickBot="1">
      <c r="A9" s="2"/>
      <c r="B9" s="176"/>
      <c r="C9" s="177"/>
      <c r="D9" s="29" t="s">
        <v>188</v>
      </c>
      <c r="E9" s="178">
        <v>4</v>
      </c>
      <c r="F9" s="179"/>
      <c r="G9" s="179"/>
      <c r="H9" s="179"/>
      <c r="I9" s="179"/>
      <c r="J9" s="180" t="s">
        <v>189</v>
      </c>
      <c r="K9" s="181"/>
      <c r="L9" s="181"/>
      <c r="M9" s="181"/>
      <c r="N9" s="181"/>
      <c r="O9" s="182" t="s">
        <v>189</v>
      </c>
      <c r="P9" s="183"/>
      <c r="Q9" s="183"/>
      <c r="R9" s="183"/>
      <c r="S9" s="184" t="s">
        <v>189</v>
      </c>
      <c r="T9" s="185"/>
      <c r="U9" s="185"/>
      <c r="V9" s="28"/>
      <c r="W9" s="172"/>
      <c r="X9" s="173"/>
      <c r="Y9" s="2"/>
    </row>
    <row r="10" spans="1:25" customFormat="1" ht="17.25" thickTop="1" thickBot="1">
      <c r="A10" s="2"/>
      <c r="B10" s="186" t="s">
        <v>190</v>
      </c>
      <c r="C10" s="30"/>
      <c r="D10" s="31"/>
      <c r="E10" s="187" t="s">
        <v>191</v>
      </c>
      <c r="F10" s="188"/>
      <c r="G10" s="188"/>
      <c r="H10" s="188"/>
      <c r="I10" s="189"/>
      <c r="J10" s="188" t="s">
        <v>192</v>
      </c>
      <c r="K10" s="188"/>
      <c r="L10" s="188"/>
      <c r="M10" s="188"/>
      <c r="N10" s="189"/>
      <c r="O10" s="190" t="s">
        <v>193</v>
      </c>
      <c r="P10" s="190"/>
      <c r="Q10" s="190"/>
      <c r="R10" s="190"/>
      <c r="S10" s="191" t="s">
        <v>194</v>
      </c>
      <c r="T10" s="192"/>
      <c r="U10" s="193"/>
      <c r="V10" s="32"/>
      <c r="W10" s="172"/>
      <c r="X10" s="173"/>
      <c r="Y10" s="2"/>
    </row>
    <row r="11" spans="1:25" customFormat="1" ht="17.25" thickTop="1" thickBot="1">
      <c r="A11" s="2"/>
      <c r="B11" s="186"/>
      <c r="C11" s="30" t="s">
        <v>110</v>
      </c>
      <c r="D11" s="33" t="s">
        <v>112</v>
      </c>
      <c r="E11" s="96">
        <v>1</v>
      </c>
      <c r="F11" s="94">
        <v>2</v>
      </c>
      <c r="G11" s="95" t="s">
        <v>115</v>
      </c>
      <c r="H11" s="95">
        <v>4</v>
      </c>
      <c r="I11" s="95">
        <v>5</v>
      </c>
      <c r="J11" s="89" t="s">
        <v>118</v>
      </c>
      <c r="K11" s="89" t="s">
        <v>119</v>
      </c>
      <c r="L11" s="89" t="s">
        <v>120</v>
      </c>
      <c r="M11" s="93" t="s">
        <v>195</v>
      </c>
      <c r="N11" s="93" t="s">
        <v>122</v>
      </c>
      <c r="O11" s="89" t="s">
        <v>123</v>
      </c>
      <c r="P11" s="89" t="s">
        <v>124</v>
      </c>
      <c r="Q11" s="89" t="s">
        <v>125</v>
      </c>
      <c r="R11" s="89" t="s">
        <v>126</v>
      </c>
      <c r="S11" s="90" t="s">
        <v>127</v>
      </c>
      <c r="T11" s="91" t="s">
        <v>128</v>
      </c>
      <c r="U11" s="92" t="s">
        <v>196</v>
      </c>
      <c r="V11" s="28"/>
      <c r="W11" s="174"/>
      <c r="X11" s="175"/>
      <c r="Y11" s="2"/>
    </row>
    <row r="12" spans="1:25" customFormat="1">
      <c r="A12" s="2"/>
      <c r="B12" s="200" t="s">
        <v>197</v>
      </c>
      <c r="C12" s="194" t="str">
        <f>aurora_data!A4</f>
        <v>05.00.00-08.11.30</v>
      </c>
      <c r="D12" s="34" t="s">
        <v>153</v>
      </c>
      <c r="E12" s="39">
        <f>IFERROR(aurora_data!D4,0)</f>
        <v>0</v>
      </c>
      <c r="F12" s="40">
        <f>IFERROR(aurora_data!E4,0)</f>
        <v>0</v>
      </c>
      <c r="G12" s="40">
        <f>IFERROR(aurora_data!F4,0)</f>
        <v>0</v>
      </c>
      <c r="H12" s="40">
        <f>IFERROR(aurora_data!G4,0)</f>
        <v>0</v>
      </c>
      <c r="I12" s="41">
        <f>IFERROR(aurora_data!H4,0)</f>
        <v>0</v>
      </c>
      <c r="J12" s="39">
        <f>IFERROR(aurora_data!I4,0)</f>
        <v>0</v>
      </c>
      <c r="K12" s="40">
        <f>IFERROR(aurora_data!J4,0)</f>
        <v>0</v>
      </c>
      <c r="L12" s="40">
        <f>IFERROR(aurora_data!K4,0)</f>
        <v>0</v>
      </c>
      <c r="M12" s="40">
        <f>IFERROR(aurora_data!L4,0)</f>
        <v>0</v>
      </c>
      <c r="N12" s="41">
        <f>IFERROR(aurora_data!M4,0)</f>
        <v>0</v>
      </c>
      <c r="O12" s="39">
        <f>IFERROR(aurora_data!N4,0)</f>
        <v>0</v>
      </c>
      <c r="P12" s="40">
        <f>IFERROR(aurora_data!O4,0)</f>
        <v>0</v>
      </c>
      <c r="Q12" s="40">
        <f>IFERROR(aurora_data!P4,0)</f>
        <v>0</v>
      </c>
      <c r="R12" s="41">
        <f>IFERROR(aurora_data!Q4,0)</f>
        <v>0</v>
      </c>
      <c r="S12" s="40">
        <f>IFERROR(aurora_data!R4,0)</f>
        <v>0</v>
      </c>
      <c r="T12" s="40">
        <f>IFERROR(aurora_data!S4,0)</f>
        <v>0</v>
      </c>
      <c r="U12" s="76">
        <f>IFERROR(aurora_data!T4,0)</f>
        <v>0</v>
      </c>
      <c r="V12" s="61" t="s">
        <v>198</v>
      </c>
      <c r="W12" s="39">
        <f>IFERROR(aurora_data!U4,0)</f>
        <v>50</v>
      </c>
      <c r="X12" s="70">
        <f>IFERROR(W12/$W$12,0)</f>
        <v>1</v>
      </c>
      <c r="Y12" s="2"/>
    </row>
    <row r="13" spans="1:25" customFormat="1">
      <c r="A13" s="2"/>
      <c r="B13" s="201"/>
      <c r="C13" s="195"/>
      <c r="D13" s="35" t="s">
        <v>199</v>
      </c>
      <c r="E13" s="110">
        <f>IFERROR(aurora_data!D5,0)</f>
        <v>3</v>
      </c>
      <c r="F13" s="62">
        <f>IFERROR(aurora_data!E5,0)</f>
        <v>14</v>
      </c>
      <c r="G13" s="62">
        <f>IFERROR(aurora_data!F5,0)</f>
        <v>19</v>
      </c>
      <c r="H13" s="62">
        <f>IFERROR(aurora_data!G5,0)</f>
        <v>14</v>
      </c>
      <c r="I13" s="63">
        <f>IFERROR(aurora_data!H5,0)</f>
        <v>0</v>
      </c>
      <c r="J13" s="36">
        <f>IFERROR(aurora_data!I5,0)</f>
        <v>0</v>
      </c>
      <c r="K13" s="62">
        <f>IFERROR(aurora_data!J5,0)</f>
        <v>10</v>
      </c>
      <c r="L13" s="62">
        <f>IFERROR(aurora_data!K5,0)</f>
        <v>5</v>
      </c>
      <c r="M13" s="62">
        <f>IFERROR(aurora_data!L5,0)</f>
        <v>8</v>
      </c>
      <c r="N13" s="63">
        <f>IFERROR(aurora_data!M5,0)</f>
        <v>27</v>
      </c>
      <c r="O13" s="36">
        <f>IFERROR(aurora_data!N5,0)</f>
        <v>16</v>
      </c>
      <c r="P13" s="62">
        <f>IFERROR(aurora_data!O5,0)</f>
        <v>5</v>
      </c>
      <c r="Q13" s="62">
        <f>IFERROR(aurora_data!P5,0)</f>
        <v>28</v>
      </c>
      <c r="R13" s="63">
        <f>IFERROR(aurora_data!Q5,0)</f>
        <v>1</v>
      </c>
      <c r="S13" s="62">
        <f>IFERROR(aurora_data!R5,0)</f>
        <v>19</v>
      </c>
      <c r="T13" s="62">
        <f>IFERROR(aurora_data!S5,0)</f>
        <v>31</v>
      </c>
      <c r="U13" s="63">
        <f>IFERROR(aurora_data!T5,0)</f>
        <v>0</v>
      </c>
      <c r="V13" s="64" t="s">
        <v>198</v>
      </c>
      <c r="W13" s="36">
        <f>IFERROR(aurora_data!U5,0)</f>
        <v>50</v>
      </c>
      <c r="X13" s="71">
        <f t="shared" ref="X13:X19" si="0">IFERROR(W13/$W$12,0)</f>
        <v>1</v>
      </c>
      <c r="Y13" s="2"/>
    </row>
    <row r="14" spans="1:25" customFormat="1">
      <c r="A14" s="2"/>
      <c r="B14" s="201"/>
      <c r="C14" s="195"/>
      <c r="D14" s="35" t="s">
        <v>137</v>
      </c>
      <c r="E14" s="110">
        <f>IFERROR(aurora_data!D6,0)</f>
        <v>0</v>
      </c>
      <c r="F14" s="62">
        <f>IFERROR(aurora_data!E6,0)</f>
        <v>0</v>
      </c>
      <c r="G14" s="62">
        <f>IFERROR(aurora_data!F6,0)</f>
        <v>0</v>
      </c>
      <c r="H14" s="62">
        <f>IFERROR(aurora_data!G6,0)</f>
        <v>0</v>
      </c>
      <c r="I14" s="63">
        <f>IFERROR(aurora_data!H6,0)</f>
        <v>0</v>
      </c>
      <c r="J14" s="36">
        <f>IFERROR(aurora_data!I6,0)</f>
        <v>0</v>
      </c>
      <c r="K14" s="62">
        <f>IFERROR(aurora_data!J6,0)</f>
        <v>0</v>
      </c>
      <c r="L14" s="62">
        <f>IFERROR(aurora_data!K6,0)</f>
        <v>0</v>
      </c>
      <c r="M14" s="62">
        <f>IFERROR(aurora_data!L6,0)</f>
        <v>0</v>
      </c>
      <c r="N14" s="63">
        <f>IFERROR(aurora_data!M6,0)</f>
        <v>0</v>
      </c>
      <c r="O14" s="36">
        <f>IFERROR(aurora_data!N6,0)</f>
        <v>0</v>
      </c>
      <c r="P14" s="62">
        <f>IFERROR(aurora_data!O6,0)</f>
        <v>0</v>
      </c>
      <c r="Q14" s="62">
        <f>IFERROR(aurora_data!P6,0)</f>
        <v>0</v>
      </c>
      <c r="R14" s="63">
        <f>IFERROR(aurora_data!Q6,0)</f>
        <v>0</v>
      </c>
      <c r="S14" s="62">
        <f>IFERROR(aurora_data!R6,0)</f>
        <v>0</v>
      </c>
      <c r="T14" s="62">
        <f>IFERROR(aurora_data!S6,0)</f>
        <v>0</v>
      </c>
      <c r="U14" s="63">
        <f>IFERROR(aurora_data!T6,0)</f>
        <v>0</v>
      </c>
      <c r="V14" s="64" t="s">
        <v>198</v>
      </c>
      <c r="W14" s="36">
        <f>IFERROR(aurora_data!U6,0)</f>
        <v>0</v>
      </c>
      <c r="X14" s="71">
        <f t="shared" si="0"/>
        <v>0</v>
      </c>
      <c r="Y14" s="2"/>
    </row>
    <row r="15" spans="1:25" customFormat="1">
      <c r="A15" s="2"/>
      <c r="B15" s="201"/>
      <c r="C15" s="195"/>
      <c r="D15" s="35" t="s">
        <v>200</v>
      </c>
      <c r="E15" s="36">
        <f>IFERROR(aurora_data!D7,0)</f>
        <v>0</v>
      </c>
      <c r="F15" s="62">
        <f>IFERROR(aurora_data!E7,0)</f>
        <v>0</v>
      </c>
      <c r="G15" s="62">
        <f>IFERROR(aurora_data!F7,0)</f>
        <v>0</v>
      </c>
      <c r="H15" s="62">
        <f>IFERROR(aurora_data!G7,0)</f>
        <v>0</v>
      </c>
      <c r="I15" s="63">
        <f>IFERROR(aurora_data!H7,0)</f>
        <v>0</v>
      </c>
      <c r="J15" s="36">
        <f>IFERROR(aurora_data!I7,0)</f>
        <v>0</v>
      </c>
      <c r="K15" s="62">
        <f>IFERROR(aurora_data!J7,0)</f>
        <v>0</v>
      </c>
      <c r="L15" s="62">
        <f>IFERROR(aurora_data!K7,0)</f>
        <v>0</v>
      </c>
      <c r="M15" s="62">
        <f>IFERROR(aurora_data!L7,0)</f>
        <v>0</v>
      </c>
      <c r="N15" s="63">
        <f>IFERROR(aurora_data!M7,0)</f>
        <v>0</v>
      </c>
      <c r="O15" s="36">
        <f>IFERROR(aurora_data!N7,0)</f>
        <v>0</v>
      </c>
      <c r="P15" s="62">
        <f>IFERROR(aurora_data!O7,0)</f>
        <v>0</v>
      </c>
      <c r="Q15" s="62">
        <f>IFERROR(aurora_data!P7,0)</f>
        <v>0</v>
      </c>
      <c r="R15" s="63">
        <f>IFERROR(aurora_data!Q7,0)</f>
        <v>0</v>
      </c>
      <c r="S15" s="62">
        <f>IFERROR(aurora_data!R7,0)</f>
        <v>0</v>
      </c>
      <c r="T15" s="62">
        <f>IFERROR(aurora_data!S7,0)</f>
        <v>0</v>
      </c>
      <c r="U15" s="63">
        <f>IFERROR(aurora_data!T7,0)</f>
        <v>0</v>
      </c>
      <c r="V15" s="64" t="s">
        <v>198</v>
      </c>
      <c r="W15" s="36">
        <f>IFERROR(aurora_data!U7,0)</f>
        <v>0</v>
      </c>
      <c r="X15" s="71">
        <f t="shared" si="0"/>
        <v>0</v>
      </c>
      <c r="Y15" s="2"/>
    </row>
    <row r="16" spans="1:25" customFormat="1">
      <c r="A16" s="2"/>
      <c r="B16" s="201"/>
      <c r="C16" s="195"/>
      <c r="D16" s="35" t="s">
        <v>201</v>
      </c>
      <c r="E16" s="36">
        <f>IFERROR(aurora_data!D8,0)</f>
        <v>0</v>
      </c>
      <c r="F16" s="62">
        <f>IFERROR(aurora_data!E8,0)</f>
        <v>0</v>
      </c>
      <c r="G16" s="62">
        <f>IFERROR(aurora_data!F8,0)</f>
        <v>0</v>
      </c>
      <c r="H16" s="62">
        <f>IFERROR(aurora_data!G8,0)</f>
        <v>0</v>
      </c>
      <c r="I16" s="63">
        <f>IFERROR(aurora_data!H8,0)</f>
        <v>0</v>
      </c>
      <c r="J16" s="36">
        <f>IFERROR(aurora_data!I8,0)</f>
        <v>0</v>
      </c>
      <c r="K16" s="62">
        <f>IFERROR(aurora_data!J8,0)</f>
        <v>0</v>
      </c>
      <c r="L16" s="62">
        <f>IFERROR(aurora_data!K8,0)</f>
        <v>0</v>
      </c>
      <c r="M16" s="62">
        <f>IFERROR(aurora_data!L8,0)</f>
        <v>0</v>
      </c>
      <c r="N16" s="63">
        <f>IFERROR(aurora_data!M8,0)</f>
        <v>0</v>
      </c>
      <c r="O16" s="36">
        <f>IFERROR(aurora_data!N8,0)</f>
        <v>0</v>
      </c>
      <c r="P16" s="62">
        <f>IFERROR(aurora_data!O8,0)</f>
        <v>0</v>
      </c>
      <c r="Q16" s="62">
        <f>IFERROR(aurora_data!P8,0)</f>
        <v>0</v>
      </c>
      <c r="R16" s="63">
        <f>IFERROR(aurora_data!Q8,0)</f>
        <v>0</v>
      </c>
      <c r="S16" s="62">
        <f>IFERROR(aurora_data!R8,0)</f>
        <v>0</v>
      </c>
      <c r="T16" s="62">
        <f>IFERROR(aurora_data!S8,0)</f>
        <v>0</v>
      </c>
      <c r="U16" s="63">
        <f>IFERROR(aurora_data!T8,0)</f>
        <v>0</v>
      </c>
      <c r="V16" s="64" t="s">
        <v>198</v>
      </c>
      <c r="W16" s="36">
        <f>IFERROR(aurora_data!U8,0)</f>
        <v>0</v>
      </c>
      <c r="X16" s="71">
        <f t="shared" si="0"/>
        <v>0</v>
      </c>
      <c r="Y16" s="2"/>
    </row>
    <row r="17" spans="1:25" customFormat="1" ht="16.5" thickBot="1">
      <c r="A17" s="2"/>
      <c r="B17" s="201"/>
      <c r="C17" s="195"/>
      <c r="D17" s="35" t="s">
        <v>202</v>
      </c>
      <c r="E17" s="36">
        <f>IFERROR(aurora_data!D9,0)</f>
        <v>0</v>
      </c>
      <c r="F17" s="62">
        <f>IFERROR(aurora_data!E9,0)</f>
        <v>0</v>
      </c>
      <c r="G17" s="62">
        <f>IFERROR(aurora_data!F9,0)</f>
        <v>0</v>
      </c>
      <c r="H17" s="62">
        <f>IFERROR(aurora_data!G9,0)</f>
        <v>0</v>
      </c>
      <c r="I17" s="63">
        <f>IFERROR(aurora_data!H9,0)</f>
        <v>0</v>
      </c>
      <c r="J17" s="36">
        <f>IFERROR(aurora_data!I9,0)</f>
        <v>0</v>
      </c>
      <c r="K17" s="62">
        <f>IFERROR(aurora_data!J9,0)</f>
        <v>0</v>
      </c>
      <c r="L17" s="62">
        <f>IFERROR(aurora_data!K9,0)</f>
        <v>0</v>
      </c>
      <c r="M17" s="62">
        <f>IFERROR(aurora_data!L9,0)</f>
        <v>0</v>
      </c>
      <c r="N17" s="63">
        <f>IFERROR(aurora_data!M9,0)</f>
        <v>0</v>
      </c>
      <c r="O17" s="36">
        <f>IFERROR(aurora_data!N9,0)</f>
        <v>0</v>
      </c>
      <c r="P17" s="62">
        <f>IFERROR(aurora_data!O9,0)</f>
        <v>0</v>
      </c>
      <c r="Q17" s="62">
        <f>IFERROR(aurora_data!P9,0)</f>
        <v>0</v>
      </c>
      <c r="R17" s="63">
        <f>IFERROR(aurora_data!Q9,0)</f>
        <v>0</v>
      </c>
      <c r="S17" s="62">
        <f>IFERROR(aurora_data!R9,0)</f>
        <v>0</v>
      </c>
      <c r="T17" s="62">
        <f>IFERROR(aurora_data!S9,0)</f>
        <v>0</v>
      </c>
      <c r="U17" s="63">
        <f>IFERROR(aurora_data!T9,0)</f>
        <v>0</v>
      </c>
      <c r="V17" s="64" t="s">
        <v>198</v>
      </c>
      <c r="W17" s="36">
        <f>IFERROR(aurora_data!U9,0)</f>
        <v>0</v>
      </c>
      <c r="X17" s="71">
        <f t="shared" si="0"/>
        <v>0</v>
      </c>
      <c r="Y17" s="2"/>
    </row>
    <row r="18" spans="1:25" customFormat="1" ht="16.5" thickBot="1">
      <c r="A18" s="2"/>
      <c r="B18" s="201"/>
      <c r="C18" s="195"/>
      <c r="D18" s="37" t="s">
        <v>141</v>
      </c>
      <c r="E18" s="59">
        <f>IFERROR(aurora_data!D10,0)</f>
        <v>3</v>
      </c>
      <c r="F18" s="65">
        <f>IFERROR(aurora_data!E10,0)</f>
        <v>14</v>
      </c>
      <c r="G18" s="65">
        <f>IFERROR(aurora_data!F10,0)</f>
        <v>19</v>
      </c>
      <c r="H18" s="65">
        <f>IFERROR(aurora_data!G10,0)</f>
        <v>14</v>
      </c>
      <c r="I18" s="66">
        <f>IFERROR(aurora_data!H10,0)</f>
        <v>0</v>
      </c>
      <c r="J18" s="59">
        <f>IFERROR(aurora_data!I10,0)</f>
        <v>0</v>
      </c>
      <c r="K18" s="65">
        <f>IFERROR(aurora_data!J10,0)</f>
        <v>10</v>
      </c>
      <c r="L18" s="65">
        <f>IFERROR(aurora_data!K10,0)</f>
        <v>5</v>
      </c>
      <c r="M18" s="65">
        <f>IFERROR(aurora_data!L10,0)</f>
        <v>8</v>
      </c>
      <c r="N18" s="66">
        <f>IFERROR(aurora_data!M10,0)</f>
        <v>27</v>
      </c>
      <c r="O18" s="59">
        <f>IFERROR(aurora_data!N10,0)</f>
        <v>16</v>
      </c>
      <c r="P18" s="65">
        <f>IFERROR(aurora_data!O10,0)</f>
        <v>5</v>
      </c>
      <c r="Q18" s="65">
        <f>IFERROR(aurora_data!P10,0)</f>
        <v>28</v>
      </c>
      <c r="R18" s="66">
        <f>IFERROR(aurora_data!Q10,0)</f>
        <v>1</v>
      </c>
      <c r="S18" s="65">
        <f>IFERROR(aurora_data!R10,0)</f>
        <v>19</v>
      </c>
      <c r="T18" s="65">
        <f>IFERROR(aurora_data!S10,0)</f>
        <v>31</v>
      </c>
      <c r="U18" s="66">
        <f>IFERROR(aurora_data!T10,0)</f>
        <v>0</v>
      </c>
      <c r="V18" s="67" t="s">
        <v>198</v>
      </c>
      <c r="W18" s="59">
        <f>IFERROR(aurora_data!U10,0)</f>
        <v>50</v>
      </c>
      <c r="X18" s="72">
        <f t="shared" si="0"/>
        <v>1</v>
      </c>
      <c r="Y18" s="2"/>
    </row>
    <row r="19" spans="1:25" customFormat="1" ht="16.5" thickBot="1">
      <c r="A19" s="2"/>
      <c r="B19" s="201"/>
      <c r="C19" s="195"/>
      <c r="D19" s="38" t="s">
        <v>203</v>
      </c>
      <c r="E19" s="60">
        <f>IFERROR(aurora_data!D11,0)</f>
        <v>0</v>
      </c>
      <c r="F19" s="68">
        <f>IFERROR(aurora_data!E11,0)</f>
        <v>0</v>
      </c>
      <c r="G19" s="68">
        <f>IFERROR(aurora_data!F11,0)</f>
        <v>0</v>
      </c>
      <c r="H19" s="68">
        <f>IFERROR(aurora_data!G11,0)</f>
        <v>0</v>
      </c>
      <c r="I19" s="69">
        <f>IFERROR(aurora_data!H11,0)</f>
        <v>0</v>
      </c>
      <c r="J19" s="60">
        <f>IFERROR(aurora_data!I11,0)</f>
        <v>0</v>
      </c>
      <c r="K19" s="68">
        <f>IFERROR(aurora_data!J11,0)</f>
        <v>0</v>
      </c>
      <c r="L19" s="68">
        <f>IFERROR(aurora_data!K11,0)</f>
        <v>0</v>
      </c>
      <c r="M19" s="68">
        <f>IFERROR(aurora_data!L11,0)</f>
        <v>0</v>
      </c>
      <c r="N19" s="69">
        <f>IFERROR(aurora_data!M11,0)</f>
        <v>0</v>
      </c>
      <c r="O19" s="60">
        <f>IFERROR(aurora_data!N11,0)</f>
        <v>0</v>
      </c>
      <c r="P19" s="68">
        <f>IFERROR(aurora_data!O11,0)</f>
        <v>0</v>
      </c>
      <c r="Q19" s="68">
        <f>IFERROR(aurora_data!P11,0)</f>
        <v>0</v>
      </c>
      <c r="R19" s="69">
        <f>IFERROR(aurora_data!Q11,0)</f>
        <v>0</v>
      </c>
      <c r="S19" s="68">
        <f>IFERROR(aurora_data!R11,0)</f>
        <v>0</v>
      </c>
      <c r="T19" s="68">
        <f>IFERROR(aurora_data!S11,0)</f>
        <v>0</v>
      </c>
      <c r="U19" s="74">
        <f>IFERROR(aurora_data!T11,0)</f>
        <v>0</v>
      </c>
      <c r="V19" s="75" t="s">
        <v>198</v>
      </c>
      <c r="W19" s="60">
        <f>IFERROR(aurora_data!U11,0)</f>
        <v>0</v>
      </c>
      <c r="X19" s="73">
        <f t="shared" si="0"/>
        <v>0</v>
      </c>
      <c r="Y19" s="2"/>
    </row>
    <row r="20" spans="1:25" customFormat="1">
      <c r="A20" s="2"/>
      <c r="B20" s="200" t="s">
        <v>197</v>
      </c>
      <c r="C20" s="194" t="str">
        <f>aurora_data!A132</f>
        <v>09.00.00-16.11.30</v>
      </c>
      <c r="D20" s="34" t="s">
        <v>153</v>
      </c>
      <c r="E20" s="39">
        <f>IFERROR(aurora_data!D132,0)</f>
        <v>0</v>
      </c>
      <c r="F20" s="40">
        <f>IFERROR(aurora_data!E132,0)</f>
        <v>0</v>
      </c>
      <c r="G20" s="40">
        <f>IFERROR(aurora_data!F132,0)</f>
        <v>0</v>
      </c>
      <c r="H20" s="40">
        <f>IFERROR(aurora_data!G132,0)</f>
        <v>0</v>
      </c>
      <c r="I20" s="41">
        <f>IFERROR(aurora_data!H132,0)</f>
        <v>0</v>
      </c>
      <c r="J20" s="39">
        <f>IFERROR(aurora_data!I132,0)</f>
        <v>0</v>
      </c>
      <c r="K20" s="40">
        <f>IFERROR(aurora_data!J132,0)</f>
        <v>0</v>
      </c>
      <c r="L20" s="40">
        <f>IFERROR(aurora_data!K132,0)</f>
        <v>0</v>
      </c>
      <c r="M20" s="40">
        <f>IFERROR(aurora_data!L132,0)</f>
        <v>0</v>
      </c>
      <c r="N20" s="41">
        <f>IFERROR(aurora_data!M132,0)</f>
        <v>0</v>
      </c>
      <c r="O20" s="39">
        <f>IFERROR(aurora_data!N132,0)</f>
        <v>0</v>
      </c>
      <c r="P20" s="40">
        <f>IFERROR(aurora_data!O132,0)</f>
        <v>0</v>
      </c>
      <c r="Q20" s="40">
        <f>IFERROR(aurora_data!P132,0)</f>
        <v>0</v>
      </c>
      <c r="R20" s="41">
        <f>IFERROR(aurora_data!Q132,0)</f>
        <v>0</v>
      </c>
      <c r="S20" s="40">
        <f>IFERROR(aurora_data!R132,0)</f>
        <v>0</v>
      </c>
      <c r="T20" s="40">
        <f>IFERROR(aurora_data!S132,0)</f>
        <v>0</v>
      </c>
      <c r="U20" s="76">
        <f>IFERROR(aurora_data!T132,0)</f>
        <v>0</v>
      </c>
      <c r="V20" s="61"/>
      <c r="W20" s="39">
        <f>IFERROR(aurora_data!U132,0)</f>
        <v>50</v>
      </c>
      <c r="X20" s="70">
        <f>IFERROR(W20/$W$20,0)</f>
        <v>1</v>
      </c>
      <c r="Y20" s="2"/>
    </row>
    <row r="21" spans="1:25" customFormat="1" ht="16.5" customHeight="1">
      <c r="A21" s="2"/>
      <c r="B21" s="201"/>
      <c r="C21" s="195"/>
      <c r="D21" s="35" t="s">
        <v>199</v>
      </c>
      <c r="E21" s="36">
        <f>IFERROR(aurora_data!D133,0)</f>
        <v>16</v>
      </c>
      <c r="F21" s="62">
        <f>IFERROR(aurora_data!E133,0)</f>
        <v>18</v>
      </c>
      <c r="G21" s="62">
        <f>IFERROR(aurora_data!F133,0)</f>
        <v>5</v>
      </c>
      <c r="H21" s="62">
        <f>IFERROR(aurora_data!G133,0)</f>
        <v>10</v>
      </c>
      <c r="I21" s="63">
        <f>IFERROR(aurora_data!H133,0)</f>
        <v>0</v>
      </c>
      <c r="J21" s="36">
        <f>IFERROR(aurora_data!I133,0)</f>
        <v>1</v>
      </c>
      <c r="K21" s="62">
        <f>IFERROR(aurora_data!J133,0)</f>
        <v>7</v>
      </c>
      <c r="L21" s="62">
        <f>IFERROR(aurora_data!K133,0)</f>
        <v>24</v>
      </c>
      <c r="M21" s="62">
        <f>IFERROR(aurora_data!L133,0)</f>
        <v>1</v>
      </c>
      <c r="N21" s="63">
        <f>IFERROR(aurora_data!M133,0)</f>
        <v>16</v>
      </c>
      <c r="O21" s="36">
        <f>IFERROR(aurora_data!N133,0)</f>
        <v>7</v>
      </c>
      <c r="P21" s="62">
        <f>IFERROR(aurora_data!O133,0)</f>
        <v>6</v>
      </c>
      <c r="Q21" s="62">
        <f>IFERROR(aurora_data!P133,0)</f>
        <v>14</v>
      </c>
      <c r="R21" s="63">
        <f>IFERROR(aurora_data!Q133,0)</f>
        <v>22</v>
      </c>
      <c r="S21" s="62">
        <f>IFERROR(aurora_data!R133,0)</f>
        <v>18</v>
      </c>
      <c r="T21" s="62">
        <f>IFERROR(aurora_data!S133,0)</f>
        <v>31</v>
      </c>
      <c r="U21" s="63">
        <f>IFERROR(aurora_data!T133,0)</f>
        <v>0</v>
      </c>
      <c r="V21" s="64"/>
      <c r="W21" s="36">
        <f>IFERROR(aurora_data!U133,0)</f>
        <v>49</v>
      </c>
      <c r="X21" s="71">
        <f t="shared" ref="X21:X27" si="1">IFERROR(W21/$W$20,0)</f>
        <v>0.98</v>
      </c>
      <c r="Y21" s="2"/>
    </row>
    <row r="22" spans="1:25" customFormat="1" ht="16.5" customHeight="1">
      <c r="A22" s="2"/>
      <c r="B22" s="201"/>
      <c r="C22" s="195"/>
      <c r="D22" s="35" t="s">
        <v>137</v>
      </c>
      <c r="E22" s="36">
        <f>IFERROR(aurora_data!D134,0)</f>
        <v>0</v>
      </c>
      <c r="F22" s="62">
        <f>IFERROR(aurora_data!E134,0)</f>
        <v>0</v>
      </c>
      <c r="G22" s="62">
        <f>IFERROR(aurora_data!F134,0)</f>
        <v>0</v>
      </c>
      <c r="H22" s="62">
        <f>IFERROR(aurora_data!G134,0)</f>
        <v>0</v>
      </c>
      <c r="I22" s="63">
        <f>IFERROR(aurora_data!H134,0)</f>
        <v>0</v>
      </c>
      <c r="J22" s="36">
        <f>IFERROR(aurora_data!I134,0)</f>
        <v>0</v>
      </c>
      <c r="K22" s="62">
        <f>IFERROR(aurora_data!J134,0)</f>
        <v>0</v>
      </c>
      <c r="L22" s="62">
        <f>IFERROR(aurora_data!K134,0)</f>
        <v>0</v>
      </c>
      <c r="M22" s="62">
        <f>IFERROR(aurora_data!L134,0)</f>
        <v>0</v>
      </c>
      <c r="N22" s="63">
        <f>IFERROR(aurora_data!M134,0)</f>
        <v>0</v>
      </c>
      <c r="O22" s="36">
        <f>IFERROR(aurora_data!N134,0)</f>
        <v>0</v>
      </c>
      <c r="P22" s="62">
        <f>IFERROR(aurora_data!O134,0)</f>
        <v>0</v>
      </c>
      <c r="Q22" s="62">
        <f>IFERROR(aurora_data!P134,0)</f>
        <v>0</v>
      </c>
      <c r="R22" s="63">
        <f>IFERROR(aurora_data!Q134,0)</f>
        <v>0</v>
      </c>
      <c r="S22" s="62">
        <f>IFERROR(aurora_data!R134,0)</f>
        <v>0</v>
      </c>
      <c r="T22" s="62">
        <f>IFERROR(aurora_data!S134,0)</f>
        <v>0</v>
      </c>
      <c r="U22" s="63">
        <f>IFERROR(aurora_data!T134,0)</f>
        <v>0</v>
      </c>
      <c r="V22" s="64"/>
      <c r="W22" s="36">
        <f>IFERROR(aurora_data!U134,0)</f>
        <v>0</v>
      </c>
      <c r="X22" s="71">
        <f t="shared" si="1"/>
        <v>0</v>
      </c>
      <c r="Y22" s="2"/>
    </row>
    <row r="23" spans="1:25" customFormat="1">
      <c r="A23" s="2"/>
      <c r="B23" s="201"/>
      <c r="C23" s="195"/>
      <c r="D23" s="35" t="s">
        <v>200</v>
      </c>
      <c r="E23" s="36">
        <f>IFERROR(aurora_data!D135,0)</f>
        <v>0</v>
      </c>
      <c r="F23" s="62">
        <f>IFERROR(aurora_data!E135,0)</f>
        <v>0</v>
      </c>
      <c r="G23" s="62">
        <f>IFERROR(aurora_data!F135,0)</f>
        <v>0</v>
      </c>
      <c r="H23" s="62">
        <f>IFERROR(aurora_data!G135,0)</f>
        <v>0</v>
      </c>
      <c r="I23" s="63">
        <f>IFERROR(aurora_data!H135,0)</f>
        <v>0</v>
      </c>
      <c r="J23" s="36">
        <f>IFERROR(aurora_data!I135,0)</f>
        <v>0</v>
      </c>
      <c r="K23" s="62">
        <f>IFERROR(aurora_data!J135,0)</f>
        <v>0</v>
      </c>
      <c r="L23" s="62">
        <f>IFERROR(aurora_data!K135,0)</f>
        <v>0</v>
      </c>
      <c r="M23" s="62">
        <f>IFERROR(aurora_data!L135,0)</f>
        <v>0</v>
      </c>
      <c r="N23" s="63">
        <f>IFERROR(aurora_data!M135,0)</f>
        <v>0</v>
      </c>
      <c r="O23" s="36">
        <f>IFERROR(aurora_data!N135,0)</f>
        <v>0</v>
      </c>
      <c r="P23" s="62">
        <f>IFERROR(aurora_data!O135,0)</f>
        <v>0</v>
      </c>
      <c r="Q23" s="62">
        <f>IFERROR(aurora_data!P135,0)</f>
        <v>0</v>
      </c>
      <c r="R23" s="63">
        <f>IFERROR(aurora_data!Q135,0)</f>
        <v>0</v>
      </c>
      <c r="S23" s="62">
        <f>IFERROR(aurora_data!R135,0)</f>
        <v>0</v>
      </c>
      <c r="T23" s="62">
        <f>IFERROR(aurora_data!S135,0)</f>
        <v>0</v>
      </c>
      <c r="U23" s="63">
        <f>IFERROR(aurora_data!T135,0)</f>
        <v>0</v>
      </c>
      <c r="V23" s="64"/>
      <c r="W23" s="36">
        <f>IFERROR(aurora_data!U135,0)</f>
        <v>0</v>
      </c>
      <c r="X23" s="71">
        <f t="shared" si="1"/>
        <v>0</v>
      </c>
      <c r="Y23" s="2"/>
    </row>
    <row r="24" spans="1:25" customFormat="1" ht="16.5" customHeight="1">
      <c r="A24" s="2"/>
      <c r="B24" s="201"/>
      <c r="C24" s="195"/>
      <c r="D24" s="35" t="s">
        <v>201</v>
      </c>
      <c r="E24" s="36">
        <f>IFERROR(aurora_data!D136,0)</f>
        <v>0</v>
      </c>
      <c r="F24" s="62">
        <f>IFERROR(aurora_data!E136,0)</f>
        <v>0</v>
      </c>
      <c r="G24" s="62">
        <f>IFERROR(aurora_data!F136,0)</f>
        <v>0</v>
      </c>
      <c r="H24" s="62">
        <f>IFERROR(aurora_data!G136,0)</f>
        <v>0</v>
      </c>
      <c r="I24" s="63">
        <f>IFERROR(aurora_data!H136,0)</f>
        <v>0</v>
      </c>
      <c r="J24" s="36">
        <f>IFERROR(aurora_data!I136,0)</f>
        <v>0</v>
      </c>
      <c r="K24" s="62">
        <f>IFERROR(aurora_data!J136,0)</f>
        <v>0</v>
      </c>
      <c r="L24" s="62">
        <f>IFERROR(aurora_data!K136,0)</f>
        <v>0</v>
      </c>
      <c r="M24" s="62">
        <f>IFERROR(aurora_data!L136,0)</f>
        <v>0</v>
      </c>
      <c r="N24" s="63">
        <f>IFERROR(aurora_data!M136,0)</f>
        <v>0</v>
      </c>
      <c r="O24" s="36">
        <f>IFERROR(aurora_data!N136,0)</f>
        <v>0</v>
      </c>
      <c r="P24" s="62">
        <f>IFERROR(aurora_data!O136,0)</f>
        <v>0</v>
      </c>
      <c r="Q24" s="62">
        <f>IFERROR(aurora_data!P136,0)</f>
        <v>0</v>
      </c>
      <c r="R24" s="63">
        <f>IFERROR(aurora_data!Q136,0)</f>
        <v>0</v>
      </c>
      <c r="S24" s="62">
        <f>IFERROR(aurora_data!R136,0)</f>
        <v>0</v>
      </c>
      <c r="T24" s="62">
        <f>IFERROR(aurora_data!S136,0)</f>
        <v>0</v>
      </c>
      <c r="U24" s="63">
        <f>IFERROR(aurora_data!T136,0)</f>
        <v>0</v>
      </c>
      <c r="V24" s="64"/>
      <c r="W24" s="36">
        <f>IFERROR(aurora_data!U136,0)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01"/>
      <c r="C25" s="195"/>
      <c r="D25" s="35" t="s">
        <v>202</v>
      </c>
      <c r="E25" s="36">
        <f>IFERROR(aurora_data!D137,0)</f>
        <v>0</v>
      </c>
      <c r="F25" s="62">
        <f>IFERROR(aurora_data!E137,0)</f>
        <v>0</v>
      </c>
      <c r="G25" s="62">
        <f>IFERROR(aurora_data!F137,0)</f>
        <v>0</v>
      </c>
      <c r="H25" s="62">
        <f>IFERROR(aurora_data!G137,0)</f>
        <v>0</v>
      </c>
      <c r="I25" s="63">
        <f>IFERROR(aurora_data!H137,0)</f>
        <v>0</v>
      </c>
      <c r="J25" s="36">
        <f>IFERROR(aurora_data!I137,0)</f>
        <v>0</v>
      </c>
      <c r="K25" s="62">
        <f>IFERROR(aurora_data!J137,0)</f>
        <v>0</v>
      </c>
      <c r="L25" s="62">
        <f>IFERROR(aurora_data!K137,0)</f>
        <v>0</v>
      </c>
      <c r="M25" s="62">
        <f>IFERROR(aurora_data!L137,0)</f>
        <v>0</v>
      </c>
      <c r="N25" s="63">
        <f>IFERROR(aurora_data!M137,0)</f>
        <v>0</v>
      </c>
      <c r="O25" s="36">
        <f>IFERROR(aurora_data!N137,0)</f>
        <v>0</v>
      </c>
      <c r="P25" s="62">
        <f>IFERROR(aurora_data!O137,0)</f>
        <v>0</v>
      </c>
      <c r="Q25" s="62">
        <f>IFERROR(aurora_data!P137,0)</f>
        <v>0</v>
      </c>
      <c r="R25" s="63">
        <f>IFERROR(aurora_data!Q137,0)</f>
        <v>0</v>
      </c>
      <c r="S25" s="62">
        <f>IFERROR(aurora_data!R137,0)</f>
        <v>0</v>
      </c>
      <c r="T25" s="62">
        <f>IFERROR(aurora_data!S137,0)</f>
        <v>0</v>
      </c>
      <c r="U25" s="63">
        <f>IFERROR(aurora_data!T137,0)</f>
        <v>0</v>
      </c>
      <c r="V25" s="64"/>
      <c r="W25" s="36">
        <f>IFERROR(aurora_data!U137,0)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01"/>
      <c r="C26" s="195"/>
      <c r="D26" s="37" t="s">
        <v>141</v>
      </c>
      <c r="E26" s="59">
        <f>IFERROR(aurora_data!D138,0)</f>
        <v>16</v>
      </c>
      <c r="F26" s="65">
        <f>IFERROR(aurora_data!E138,0)</f>
        <v>18</v>
      </c>
      <c r="G26" s="65">
        <f>IFERROR(aurora_data!F138,0)</f>
        <v>5</v>
      </c>
      <c r="H26" s="65">
        <f>IFERROR(aurora_data!G138,0)</f>
        <v>10</v>
      </c>
      <c r="I26" s="66">
        <f>IFERROR(aurora_data!H138,0)</f>
        <v>0</v>
      </c>
      <c r="J26" s="59">
        <f>IFERROR(aurora_data!I138,0)</f>
        <v>1</v>
      </c>
      <c r="K26" s="65">
        <f>IFERROR(aurora_data!J138,0)</f>
        <v>7</v>
      </c>
      <c r="L26" s="65">
        <f>IFERROR(aurora_data!K138,0)</f>
        <v>24</v>
      </c>
      <c r="M26" s="65">
        <f>IFERROR(aurora_data!L138,0)</f>
        <v>1</v>
      </c>
      <c r="N26" s="66">
        <f>IFERROR(aurora_data!M138,0)</f>
        <v>16</v>
      </c>
      <c r="O26" s="59">
        <f>IFERROR(aurora_data!N138,0)</f>
        <v>7</v>
      </c>
      <c r="P26" s="65">
        <f>IFERROR(aurora_data!O138,0)</f>
        <v>6</v>
      </c>
      <c r="Q26" s="65">
        <f>IFERROR(aurora_data!P138,0)</f>
        <v>14</v>
      </c>
      <c r="R26" s="66">
        <f>IFERROR(aurora_data!Q138,0)</f>
        <v>22</v>
      </c>
      <c r="S26" s="65">
        <f>IFERROR(aurora_data!R138,0)</f>
        <v>18</v>
      </c>
      <c r="T26" s="65">
        <f>IFERROR(aurora_data!S138,0)</f>
        <v>31</v>
      </c>
      <c r="U26" s="66">
        <f>IFERROR(aurora_data!T138,0)</f>
        <v>0</v>
      </c>
      <c r="V26" s="67"/>
      <c r="W26" s="59">
        <f>IFERROR(aurora_data!U138,0)</f>
        <v>49</v>
      </c>
      <c r="X26" s="72">
        <f t="shared" si="1"/>
        <v>0.98</v>
      </c>
      <c r="Y26" s="2"/>
    </row>
    <row r="27" spans="1:25" customFormat="1" ht="16.5" thickBot="1">
      <c r="A27" s="2"/>
      <c r="B27" s="201"/>
      <c r="C27" s="195"/>
      <c r="D27" s="38" t="s">
        <v>203</v>
      </c>
      <c r="E27" s="60">
        <f>IFERROR(aurora_data!D139,0)</f>
        <v>0</v>
      </c>
      <c r="F27" s="68">
        <f>IFERROR(aurora_data!E139,0)</f>
        <v>0</v>
      </c>
      <c r="G27" s="68">
        <f>IFERROR(aurora_data!F139,0)</f>
        <v>0</v>
      </c>
      <c r="H27" s="68">
        <f>IFERROR(aurora_data!G139,0)</f>
        <v>0</v>
      </c>
      <c r="I27" s="69">
        <f>IFERROR(aurora_data!H139,0)</f>
        <v>0</v>
      </c>
      <c r="J27" s="60">
        <f>IFERROR(aurora_data!I139,0)</f>
        <v>0</v>
      </c>
      <c r="K27" s="68">
        <f>IFERROR(aurora_data!J139,0)</f>
        <v>0</v>
      </c>
      <c r="L27" s="68">
        <f>IFERROR(aurora_data!K139,0)</f>
        <v>0</v>
      </c>
      <c r="M27" s="68">
        <f>IFERROR(aurora_data!L139,0)</f>
        <v>0</v>
      </c>
      <c r="N27" s="69">
        <f>IFERROR(aurora_data!M139,0)</f>
        <v>0</v>
      </c>
      <c r="O27" s="60">
        <f>IFERROR(aurora_data!N139,0)</f>
        <v>0</v>
      </c>
      <c r="P27" s="68">
        <f>IFERROR(aurora_data!O139,0)</f>
        <v>0</v>
      </c>
      <c r="Q27" s="68">
        <f>IFERROR(aurora_data!P139,0)</f>
        <v>0</v>
      </c>
      <c r="R27" s="69">
        <f>IFERROR(aurora_data!Q139,0)</f>
        <v>0</v>
      </c>
      <c r="S27" s="68">
        <f>IFERROR(aurora_data!R139,0)</f>
        <v>0</v>
      </c>
      <c r="T27" s="68">
        <f>IFERROR(aurora_data!S139,0)</f>
        <v>0</v>
      </c>
      <c r="U27" s="74">
        <f>IFERROR(aurora_data!T139,0)</f>
        <v>0</v>
      </c>
      <c r="V27" s="75"/>
      <c r="W27" s="60">
        <f>IFERROR(aurora_data!U139,0)</f>
        <v>0</v>
      </c>
      <c r="X27" s="73">
        <f t="shared" si="1"/>
        <v>0</v>
      </c>
      <c r="Y27" s="2"/>
    </row>
    <row r="28" spans="1:25" customFormat="1" ht="15.75" customHeight="1">
      <c r="A28" s="2"/>
      <c r="B28" s="196" t="s">
        <v>197</v>
      </c>
      <c r="C28" s="198" t="s">
        <v>130</v>
      </c>
      <c r="D28" s="34" t="s">
        <v>153</v>
      </c>
      <c r="E28" s="39">
        <f>IFERROR(aurora_data!D12+aurora_data!D140,0)</f>
        <v>0</v>
      </c>
      <c r="F28" s="40">
        <f>IFERROR(aurora_data!E12+aurora_data!E140,0)</f>
        <v>0</v>
      </c>
      <c r="G28" s="40">
        <f>IFERROR(aurora_data!F12+aurora_data!F140,0)</f>
        <v>0</v>
      </c>
      <c r="H28" s="40">
        <f>IFERROR(aurora_data!G12+aurora_data!G140,0)</f>
        <v>0</v>
      </c>
      <c r="I28" s="41">
        <f>IFERROR(aurora_data!H12+aurora_data!H140,0)</f>
        <v>0</v>
      </c>
      <c r="J28" s="39">
        <f>IFERROR(aurora_data!I12+aurora_data!I140,0)</f>
        <v>0</v>
      </c>
      <c r="K28" s="40">
        <f>IFERROR(aurora_data!J12+aurora_data!J140,0)</f>
        <v>0</v>
      </c>
      <c r="L28" s="40">
        <f>IFERROR(aurora_data!K12+aurora_data!K140,0)</f>
        <v>0</v>
      </c>
      <c r="M28" s="40">
        <f>IFERROR(aurora_data!L12+aurora_data!L140,0)</f>
        <v>0</v>
      </c>
      <c r="N28" s="41">
        <f>IFERROR(aurora_data!M12+aurora_data!M140,0)</f>
        <v>0</v>
      </c>
      <c r="O28" s="39">
        <f>IFERROR(aurora_data!N12+aurora_data!N140,0)</f>
        <v>0</v>
      </c>
      <c r="P28" s="40">
        <f>IFERROR(aurora_data!O12+aurora_data!O140,0)</f>
        <v>0</v>
      </c>
      <c r="Q28" s="40">
        <f>IFERROR(aurora_data!P12+aurora_data!P140,0)</f>
        <v>0</v>
      </c>
      <c r="R28" s="41">
        <f>IFERROR(aurora_data!Q12+aurora_data!Q140,0)</f>
        <v>0</v>
      </c>
      <c r="S28" s="40">
        <f>IFERROR(aurora_data!R12+aurora_data!R140,0)</f>
        <v>0</v>
      </c>
      <c r="T28" s="40">
        <f>IFERROR(aurora_data!S12+aurora_data!S140,0)</f>
        <v>0</v>
      </c>
      <c r="U28" s="41">
        <f>IFERROR(aurora_data!T12+aurora_data!T140,0)</f>
        <v>0</v>
      </c>
      <c r="V28" s="61" t="s">
        <v>198</v>
      </c>
      <c r="W28" s="39">
        <f>IFERROR(aurora_data!U12+aurora_data!U140,0)</f>
        <v>100</v>
      </c>
      <c r="X28" s="70">
        <f>IFERROR(W28/$W$28,0)</f>
        <v>1</v>
      </c>
      <c r="Y28" s="2"/>
    </row>
    <row r="29" spans="1:25" customFormat="1" ht="15.75" customHeight="1">
      <c r="A29" s="2"/>
      <c r="B29" s="197"/>
      <c r="C29" s="199"/>
      <c r="D29" s="35" t="s">
        <v>199</v>
      </c>
      <c r="E29" s="36">
        <f>IFERROR(aurora_data!D13+aurora_data!D141,0)</f>
        <v>19</v>
      </c>
      <c r="F29" s="62">
        <f>IFERROR(aurora_data!E13+aurora_data!E141,0)</f>
        <v>32</v>
      </c>
      <c r="G29" s="62">
        <f>IFERROR(aurora_data!F13+aurora_data!F141,0)</f>
        <v>24</v>
      </c>
      <c r="H29" s="62">
        <f>IFERROR(aurora_data!G13+aurora_data!G141,0)</f>
        <v>24</v>
      </c>
      <c r="I29" s="63">
        <f>IFERROR(aurora_data!H13+aurora_data!H141,0)</f>
        <v>0</v>
      </c>
      <c r="J29" s="36">
        <f>IFERROR(aurora_data!I13+aurora_data!I141,0)</f>
        <v>1</v>
      </c>
      <c r="K29" s="62">
        <f>IFERROR(aurora_data!J13+aurora_data!J141,0)</f>
        <v>17</v>
      </c>
      <c r="L29" s="62">
        <f>IFERROR(aurora_data!K13+aurora_data!K141,0)</f>
        <v>29</v>
      </c>
      <c r="M29" s="62">
        <f>IFERROR(aurora_data!L13+aurora_data!L141,0)</f>
        <v>9</v>
      </c>
      <c r="N29" s="63">
        <f>IFERROR(aurora_data!M13+aurora_data!M141,0)</f>
        <v>43</v>
      </c>
      <c r="O29" s="36">
        <f>IFERROR(aurora_data!N13+aurora_data!N141,0)</f>
        <v>23</v>
      </c>
      <c r="P29" s="62">
        <f>IFERROR(aurora_data!O13+aurora_data!O141,0)</f>
        <v>11</v>
      </c>
      <c r="Q29" s="62">
        <f>IFERROR(aurora_data!P13+aurora_data!P141,0)</f>
        <v>42</v>
      </c>
      <c r="R29" s="63">
        <f>IFERROR(aurora_data!Q13+aurora_data!Q141,0)</f>
        <v>23</v>
      </c>
      <c r="S29" s="62">
        <f>IFERROR(aurora_data!R13+aurora_data!R141,0)</f>
        <v>37</v>
      </c>
      <c r="T29" s="62">
        <f>IFERROR(aurora_data!S13+aurora_data!S141,0)</f>
        <v>62</v>
      </c>
      <c r="U29" s="63">
        <f>IFERROR(aurora_data!T13+aurora_data!T141,0)</f>
        <v>0</v>
      </c>
      <c r="V29" s="64" t="s">
        <v>198</v>
      </c>
      <c r="W29" s="36">
        <f>IFERROR(aurora_data!U13+aurora_data!U141,0)</f>
        <v>99</v>
      </c>
      <c r="X29" s="71">
        <f t="shared" ref="X29:X35" si="2">IFERROR(W29/$W$28,0)</f>
        <v>0.99</v>
      </c>
      <c r="Y29" s="2"/>
    </row>
    <row r="30" spans="1:25" customFormat="1" ht="15.75" customHeight="1">
      <c r="A30" s="2"/>
      <c r="B30" s="197"/>
      <c r="C30" s="199"/>
      <c r="D30" s="35" t="s">
        <v>137</v>
      </c>
      <c r="E30" s="36">
        <f>IFERROR(aurora_data!D14+aurora_data!D142,0)</f>
        <v>0</v>
      </c>
      <c r="F30" s="62">
        <f>IFERROR(aurora_data!E14+aurora_data!E142,0)</f>
        <v>0</v>
      </c>
      <c r="G30" s="62">
        <f>IFERROR(aurora_data!F14+aurora_data!F142,0)</f>
        <v>0</v>
      </c>
      <c r="H30" s="62">
        <f>IFERROR(aurora_data!G14+aurora_data!G142,0)</f>
        <v>0</v>
      </c>
      <c r="I30" s="63">
        <f>IFERROR(aurora_data!H14+aurora_data!H142,0)</f>
        <v>0</v>
      </c>
      <c r="J30" s="36">
        <f>IFERROR(aurora_data!I14+aurora_data!I142,0)</f>
        <v>0</v>
      </c>
      <c r="K30" s="62">
        <f>IFERROR(aurora_data!J14+aurora_data!J142,0)</f>
        <v>0</v>
      </c>
      <c r="L30" s="62">
        <f>IFERROR(aurora_data!K14+aurora_data!K142,0)</f>
        <v>0</v>
      </c>
      <c r="M30" s="62">
        <f>IFERROR(aurora_data!L14+aurora_data!L142,0)</f>
        <v>0</v>
      </c>
      <c r="N30" s="63">
        <f>IFERROR(aurora_data!M14+aurora_data!M142,0)</f>
        <v>0</v>
      </c>
      <c r="O30" s="36">
        <f>IFERROR(aurora_data!N14+aurora_data!N142,0)</f>
        <v>0</v>
      </c>
      <c r="P30" s="62">
        <f>IFERROR(aurora_data!O14+aurora_data!O142,0)</f>
        <v>0</v>
      </c>
      <c r="Q30" s="62">
        <f>IFERROR(aurora_data!P14+aurora_data!P142,0)</f>
        <v>0</v>
      </c>
      <c r="R30" s="63">
        <f>IFERROR(aurora_data!Q14+aurora_data!Q142,0)</f>
        <v>0</v>
      </c>
      <c r="S30" s="62">
        <f>IFERROR(aurora_data!R14+aurora_data!R142,0)</f>
        <v>0</v>
      </c>
      <c r="T30" s="62">
        <f>IFERROR(aurora_data!S14+aurora_data!S142,0)</f>
        <v>0</v>
      </c>
      <c r="U30" s="63">
        <f>IFERROR(aurora_data!T14+aurora_data!T142,0)</f>
        <v>0</v>
      </c>
      <c r="V30" s="64" t="s">
        <v>198</v>
      </c>
      <c r="W30" s="36">
        <f>IFERROR(aurora_data!U14+aurora_data!U142,0)</f>
        <v>0</v>
      </c>
      <c r="X30" s="71">
        <f t="shared" si="2"/>
        <v>0</v>
      </c>
      <c r="Y30" s="2"/>
    </row>
    <row r="31" spans="1:25" customFormat="1" ht="15.75" customHeight="1">
      <c r="A31" s="2"/>
      <c r="B31" s="197"/>
      <c r="C31" s="199"/>
      <c r="D31" s="35" t="s">
        <v>200</v>
      </c>
      <c r="E31" s="36">
        <f>IFERROR(aurora_data!D15+aurora_data!D143,0)</f>
        <v>0</v>
      </c>
      <c r="F31" s="62">
        <f>IFERROR(aurora_data!E15+aurora_data!E143,0)</f>
        <v>0</v>
      </c>
      <c r="G31" s="62">
        <f>IFERROR(aurora_data!F15+aurora_data!F143,0)</f>
        <v>0</v>
      </c>
      <c r="H31" s="62">
        <f>IFERROR(aurora_data!G15+aurora_data!G143,0)</f>
        <v>0</v>
      </c>
      <c r="I31" s="63">
        <f>IFERROR(aurora_data!H15+aurora_data!H143,0)</f>
        <v>0</v>
      </c>
      <c r="J31" s="36">
        <f>IFERROR(aurora_data!I15+aurora_data!I143,0)</f>
        <v>0</v>
      </c>
      <c r="K31" s="62">
        <f>IFERROR(aurora_data!J15+aurora_data!J143,0)</f>
        <v>0</v>
      </c>
      <c r="L31" s="62">
        <f>IFERROR(aurora_data!K15+aurora_data!K143,0)</f>
        <v>0</v>
      </c>
      <c r="M31" s="62">
        <f>IFERROR(aurora_data!L15+aurora_data!L143,0)</f>
        <v>0</v>
      </c>
      <c r="N31" s="63">
        <f>IFERROR(aurora_data!M15+aurora_data!M143,0)</f>
        <v>0</v>
      </c>
      <c r="O31" s="36">
        <f>IFERROR(aurora_data!N15+aurora_data!N143,0)</f>
        <v>0</v>
      </c>
      <c r="P31" s="62">
        <f>IFERROR(aurora_data!O15+aurora_data!O143,0)</f>
        <v>0</v>
      </c>
      <c r="Q31" s="62">
        <f>IFERROR(aurora_data!P15+aurora_data!P143,0)</f>
        <v>0</v>
      </c>
      <c r="R31" s="63">
        <f>IFERROR(aurora_data!Q15+aurora_data!Q143,0)</f>
        <v>0</v>
      </c>
      <c r="S31" s="62">
        <f>IFERROR(aurora_data!R15+aurora_data!R143,0)</f>
        <v>0</v>
      </c>
      <c r="T31" s="62">
        <f>IFERROR(aurora_data!S15+aurora_data!S143,0)</f>
        <v>0</v>
      </c>
      <c r="U31" s="63">
        <f>IFERROR(aurora_data!T15+aurora_data!T143,0)</f>
        <v>0</v>
      </c>
      <c r="V31" s="64" t="s">
        <v>198</v>
      </c>
      <c r="W31" s="36">
        <f>IFERROR(aurora_data!U15+aurora_data!U143,0)</f>
        <v>0</v>
      </c>
      <c r="X31" s="71">
        <f t="shared" si="2"/>
        <v>0</v>
      </c>
      <c r="Y31" s="2"/>
    </row>
    <row r="32" spans="1:25" customFormat="1" ht="16.5" customHeight="1">
      <c r="A32" s="2"/>
      <c r="B32" s="197"/>
      <c r="C32" s="199"/>
      <c r="D32" s="35" t="s">
        <v>201</v>
      </c>
      <c r="E32" s="36">
        <f>IFERROR(aurora_data!D16+aurora_data!D144,0)</f>
        <v>0</v>
      </c>
      <c r="F32" s="62">
        <f>IFERROR(aurora_data!E16+aurora_data!E144,0)</f>
        <v>0</v>
      </c>
      <c r="G32" s="62">
        <f>IFERROR(aurora_data!F16+aurora_data!F144,0)</f>
        <v>0</v>
      </c>
      <c r="H32" s="62">
        <f>IFERROR(aurora_data!G16+aurora_data!G144,0)</f>
        <v>0</v>
      </c>
      <c r="I32" s="63">
        <f>IFERROR(aurora_data!H16+aurora_data!H144,0)</f>
        <v>0</v>
      </c>
      <c r="J32" s="36">
        <f>IFERROR(aurora_data!I16+aurora_data!I144,0)</f>
        <v>0</v>
      </c>
      <c r="K32" s="62">
        <f>IFERROR(aurora_data!J16+aurora_data!J144,0)</f>
        <v>0</v>
      </c>
      <c r="L32" s="62">
        <f>IFERROR(aurora_data!K16+aurora_data!K144,0)</f>
        <v>0</v>
      </c>
      <c r="M32" s="62">
        <f>IFERROR(aurora_data!L16+aurora_data!L144,0)</f>
        <v>0</v>
      </c>
      <c r="N32" s="63">
        <f>IFERROR(aurora_data!M16+aurora_data!M144,0)</f>
        <v>0</v>
      </c>
      <c r="O32" s="36">
        <f>IFERROR(aurora_data!N16+aurora_data!N144,0)</f>
        <v>0</v>
      </c>
      <c r="P32" s="62">
        <f>IFERROR(aurora_data!O16+aurora_data!O144,0)</f>
        <v>0</v>
      </c>
      <c r="Q32" s="62">
        <f>IFERROR(aurora_data!P16+aurora_data!P144,0)</f>
        <v>0</v>
      </c>
      <c r="R32" s="63">
        <f>IFERROR(aurora_data!Q16+aurora_data!Q144,0)</f>
        <v>0</v>
      </c>
      <c r="S32" s="62">
        <f>IFERROR(aurora_data!R16+aurora_data!R144,0)</f>
        <v>0</v>
      </c>
      <c r="T32" s="62">
        <f>IFERROR(aurora_data!S16+aurora_data!S144,0)</f>
        <v>0</v>
      </c>
      <c r="U32" s="63">
        <f>IFERROR(aurora_data!T16+aurora_data!T144,0)</f>
        <v>0</v>
      </c>
      <c r="V32" s="64" t="s">
        <v>198</v>
      </c>
      <c r="W32" s="36">
        <f>IFERROR(aurora_data!U16+aurora_data!U144,0)</f>
        <v>0</v>
      </c>
      <c r="X32" s="71">
        <f t="shared" si="2"/>
        <v>0</v>
      </c>
      <c r="Y32" s="2"/>
    </row>
    <row r="33" spans="1:25" customFormat="1" ht="16.5" customHeight="1" thickBot="1">
      <c r="A33" s="2"/>
      <c r="B33" s="197"/>
      <c r="C33" s="199"/>
      <c r="D33" s="35" t="s">
        <v>202</v>
      </c>
      <c r="E33" s="36">
        <f>IFERROR(aurora_data!D17+aurora_data!D145,0)</f>
        <v>0</v>
      </c>
      <c r="F33" s="62">
        <f>IFERROR(aurora_data!E17+aurora_data!E145,0)</f>
        <v>0</v>
      </c>
      <c r="G33" s="62">
        <f>IFERROR(aurora_data!F17+aurora_data!F145,0)</f>
        <v>0</v>
      </c>
      <c r="H33" s="62">
        <f>IFERROR(aurora_data!G17+aurora_data!G145,0)</f>
        <v>0</v>
      </c>
      <c r="I33" s="63">
        <f>IFERROR(aurora_data!H17+aurora_data!H145,0)</f>
        <v>0</v>
      </c>
      <c r="J33" s="36">
        <f>IFERROR(aurora_data!I17+aurora_data!I145,0)</f>
        <v>0</v>
      </c>
      <c r="K33" s="62">
        <f>IFERROR(aurora_data!J17+aurora_data!J145,0)</f>
        <v>0</v>
      </c>
      <c r="L33" s="62">
        <f>IFERROR(aurora_data!K17+aurora_data!K145,0)</f>
        <v>0</v>
      </c>
      <c r="M33" s="62">
        <f>IFERROR(aurora_data!L17+aurora_data!L145,0)</f>
        <v>0</v>
      </c>
      <c r="N33" s="63">
        <f>IFERROR(aurora_data!M17+aurora_data!M145,0)</f>
        <v>0</v>
      </c>
      <c r="O33" s="36">
        <f>IFERROR(aurora_data!N17+aurora_data!N145,0)</f>
        <v>0</v>
      </c>
      <c r="P33" s="62">
        <f>IFERROR(aurora_data!O17+aurora_data!O145,0)</f>
        <v>0</v>
      </c>
      <c r="Q33" s="62">
        <f>IFERROR(aurora_data!P17+aurora_data!P145,0)</f>
        <v>0</v>
      </c>
      <c r="R33" s="63">
        <f>IFERROR(aurora_data!Q17+aurora_data!Q145,0)</f>
        <v>0</v>
      </c>
      <c r="S33" s="62">
        <f>IFERROR(aurora_data!R17+aurora_data!R145,0)</f>
        <v>0</v>
      </c>
      <c r="T33" s="62">
        <f>IFERROR(aurora_data!S17+aurora_data!S145,0)</f>
        <v>0</v>
      </c>
      <c r="U33" s="63">
        <f>IFERROR(aurora_data!T17+aurora_data!T145,0)</f>
        <v>0</v>
      </c>
      <c r="V33" s="64" t="s">
        <v>198</v>
      </c>
      <c r="W33" s="36">
        <f>IFERROR(aurora_data!U17+aurora_data!U145,0)</f>
        <v>0</v>
      </c>
      <c r="X33" s="71">
        <f t="shared" si="2"/>
        <v>0</v>
      </c>
      <c r="Y33" s="2"/>
    </row>
    <row r="34" spans="1:25" customFormat="1" ht="16.5" customHeight="1" thickBot="1">
      <c r="A34" s="2"/>
      <c r="B34" s="197"/>
      <c r="C34" s="199"/>
      <c r="D34" s="37" t="s">
        <v>141</v>
      </c>
      <c r="E34" s="59">
        <f>IFERROR(aurora_data!D18+aurora_data!D146,0)</f>
        <v>19</v>
      </c>
      <c r="F34" s="65">
        <f>IFERROR(aurora_data!E18+aurora_data!E146,0)</f>
        <v>32</v>
      </c>
      <c r="G34" s="65">
        <f>IFERROR(aurora_data!F18+aurora_data!F146,0)</f>
        <v>24</v>
      </c>
      <c r="H34" s="65">
        <f>IFERROR(aurora_data!G18+aurora_data!G146,0)</f>
        <v>24</v>
      </c>
      <c r="I34" s="66">
        <f>IFERROR(aurora_data!H18+aurora_data!H146,0)</f>
        <v>0</v>
      </c>
      <c r="J34" s="59">
        <f>IFERROR(aurora_data!I18+aurora_data!I146,0)</f>
        <v>1</v>
      </c>
      <c r="K34" s="65">
        <f>IFERROR(aurora_data!J18+aurora_data!J146,0)</f>
        <v>17</v>
      </c>
      <c r="L34" s="65">
        <f>IFERROR(aurora_data!K18+aurora_data!K146,0)</f>
        <v>29</v>
      </c>
      <c r="M34" s="65">
        <f>IFERROR(aurora_data!L18+aurora_data!L146,0)</f>
        <v>9</v>
      </c>
      <c r="N34" s="66">
        <f>IFERROR(aurora_data!M18+aurora_data!M146,0)</f>
        <v>43</v>
      </c>
      <c r="O34" s="59">
        <f>IFERROR(aurora_data!N18+aurora_data!N146,0)</f>
        <v>23</v>
      </c>
      <c r="P34" s="65">
        <f>IFERROR(aurora_data!O18+aurora_data!O146,0)</f>
        <v>11</v>
      </c>
      <c r="Q34" s="65">
        <f>IFERROR(aurora_data!P18+aurora_data!P146,0)</f>
        <v>42</v>
      </c>
      <c r="R34" s="66">
        <f>IFERROR(aurora_data!Q18+aurora_data!Q146,0)</f>
        <v>23</v>
      </c>
      <c r="S34" s="65">
        <f>IFERROR(aurora_data!R18+aurora_data!R146,0)</f>
        <v>37</v>
      </c>
      <c r="T34" s="65">
        <f>IFERROR(aurora_data!S18+aurora_data!S146,0)</f>
        <v>62</v>
      </c>
      <c r="U34" s="66">
        <f>IFERROR(aurora_data!T18+aurora_data!T146,0)</f>
        <v>0</v>
      </c>
      <c r="V34" s="67" t="s">
        <v>198</v>
      </c>
      <c r="W34" s="59">
        <f>IFERROR(aurora_data!U18+aurora_data!U146,0)</f>
        <v>99</v>
      </c>
      <c r="X34" s="72">
        <f t="shared" si="2"/>
        <v>0.99</v>
      </c>
      <c r="Y34" s="2"/>
    </row>
    <row r="35" spans="1:25" customFormat="1" ht="16.5" customHeight="1" thickBot="1">
      <c r="A35" s="2"/>
      <c r="B35" s="197"/>
      <c r="C35" s="199"/>
      <c r="D35" s="38" t="s">
        <v>203</v>
      </c>
      <c r="E35" s="60">
        <f>IFERROR(aurora_data!D19+aurora_data!D147,0)</f>
        <v>0</v>
      </c>
      <c r="F35" s="68">
        <f>IFERROR(aurora_data!E19+aurora_data!E147,0)</f>
        <v>0</v>
      </c>
      <c r="G35" s="68">
        <f>IFERROR(aurora_data!F19+aurora_data!F147,0)</f>
        <v>0</v>
      </c>
      <c r="H35" s="68">
        <f>IFERROR(aurora_data!G19+aurora_data!G147,0)</f>
        <v>0</v>
      </c>
      <c r="I35" s="69">
        <f>IFERROR(aurora_data!H19+aurora_data!H147,0)</f>
        <v>0</v>
      </c>
      <c r="J35" s="60">
        <f>IFERROR(aurora_data!I19+aurora_data!I147,0)</f>
        <v>0</v>
      </c>
      <c r="K35" s="68">
        <f>IFERROR(aurora_data!J19+aurora_data!J147,0)</f>
        <v>0</v>
      </c>
      <c r="L35" s="68">
        <f>IFERROR(aurora_data!K19+aurora_data!K147,0)</f>
        <v>0</v>
      </c>
      <c r="M35" s="68">
        <f>IFERROR(aurora_data!L19+aurora_data!L147,0)</f>
        <v>0</v>
      </c>
      <c r="N35" s="69">
        <f>IFERROR(aurora_data!M19+aurora_data!M147,0)</f>
        <v>0</v>
      </c>
      <c r="O35" s="60">
        <f>IFERROR(aurora_data!N19+aurora_data!N147,0)</f>
        <v>0</v>
      </c>
      <c r="P35" s="68">
        <f>IFERROR(aurora_data!O19+aurora_data!O147,0)</f>
        <v>0</v>
      </c>
      <c r="Q35" s="68">
        <f>IFERROR(aurora_data!P19+aurora_data!P147,0)</f>
        <v>0</v>
      </c>
      <c r="R35" s="69">
        <f>IFERROR(aurora_data!Q19+aurora_data!Q147,0)</f>
        <v>0</v>
      </c>
      <c r="S35" s="68">
        <f>IFERROR(aurora_data!R19+aurora_data!R147,0)</f>
        <v>0</v>
      </c>
      <c r="T35" s="68">
        <f>IFERROR(aurora_data!S19+aurora_data!S147,0)</f>
        <v>0</v>
      </c>
      <c r="U35" s="74">
        <f>IFERROR(aurora_data!T19+aurora_data!T147,0)</f>
        <v>0</v>
      </c>
      <c r="V35" s="75" t="s">
        <v>198</v>
      </c>
      <c r="W35" s="60">
        <f>IFERROR(aurora_data!U19+aurora_data!U147,0)</f>
        <v>0</v>
      </c>
      <c r="X35" s="73">
        <f t="shared" si="2"/>
        <v>0</v>
      </c>
      <c r="Y35" s="2"/>
    </row>
    <row r="36" spans="1:25" ht="16.5" customHeight="1">
      <c r="B36" s="97"/>
      <c r="C36" s="97"/>
    </row>
  </sheetData>
  <sheetProtection sheet="1" objects="1" scenarios="1"/>
  <mergeCells count="28">
    <mergeCell ref="C12:C19"/>
    <mergeCell ref="B28:B35"/>
    <mergeCell ref="C28:C35"/>
    <mergeCell ref="B20:B27"/>
    <mergeCell ref="C20:C27"/>
    <mergeCell ref="B12:B19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61" priority="26">
      <formula>ROUND(E$13,0) &gt;= ROUND(E$12,0)</formula>
    </cfRule>
  </conditionalFormatting>
  <conditionalFormatting sqref="E18:W18">
    <cfRule type="expression" dxfId="60" priority="150">
      <formula>ROUND(E$18,0) &lt; ROUND(E$12,0)</formula>
    </cfRule>
  </conditionalFormatting>
  <conditionalFormatting sqref="E21:W21">
    <cfRule type="expression" dxfId="59" priority="31">
      <formula>ROUND(E$21,0) &gt;= ROUND(E$20,0)</formula>
    </cfRule>
  </conditionalFormatting>
  <conditionalFormatting sqref="E26:W26">
    <cfRule type="expression" dxfId="58" priority="151">
      <formula>ROUND(E$26,0) &lt; ROUND(E$20,0)</formula>
    </cfRule>
  </conditionalFormatting>
  <conditionalFormatting sqref="E29:W29">
    <cfRule type="expression" dxfId="57" priority="19">
      <formula>ROUND(E$29,0) &gt;= ROUND(E$28,0)</formula>
    </cfRule>
  </conditionalFormatting>
  <conditionalFormatting sqref="E34:W34">
    <cfRule type="expression" dxfId="56" priority="153">
      <formula>ROUND(E$34,0) &lt; ROUND(E$28,0)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A6FB-44A0-40BF-B4A4-323EDD720FC1}">
  <sheetPr codeName="Sheet5">
    <tabColor rgb="FFFFFF00"/>
  </sheetPr>
  <dimension ref="A1:Y36"/>
  <sheetViews>
    <sheetView zoomScale="85" zoomScaleNormal="85" workbookViewId="0">
      <selection activeCell="K18" sqref="K18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40" t="s">
        <v>178</v>
      </c>
      <c r="B1" s="141"/>
      <c r="C1" s="142"/>
      <c r="D1" s="143" t="s">
        <v>179</v>
      </c>
      <c r="E1" s="144"/>
      <c r="F1" s="144"/>
      <c r="G1" s="144"/>
      <c r="H1" s="145"/>
      <c r="I1" s="98"/>
      <c r="J1" s="88"/>
      <c r="K1" s="100"/>
      <c r="L1" s="100"/>
      <c r="M1" s="100"/>
      <c r="N1" s="100" t="s">
        <v>180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46" t="s">
        <v>181</v>
      </c>
      <c r="B2" s="146"/>
      <c r="C2" s="147"/>
      <c r="D2" s="148" t="str">
        <f>_xlfn.CONCAT("Study Name: ","
CELF-6 RF 1 &amp; 2 Clinical Hard of Hearing (5-16) ")</f>
        <v xml:space="preserve">Study Name: 
CELF-6 RF 1 &amp; 2 Clinical Hard of Hearing (5-16) </v>
      </c>
      <c r="E2" s="149"/>
      <c r="F2" s="149"/>
      <c r="G2" s="149"/>
      <c r="H2" s="150"/>
      <c r="I2" s="4"/>
      <c r="J2" s="4"/>
      <c r="K2" s="151" t="s">
        <v>182</v>
      </c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3"/>
      <c r="Y2" s="103"/>
    </row>
    <row r="3" spans="1:25" customFormat="1" ht="30.75" customHeight="1" thickBot="1">
      <c r="A3" s="2"/>
      <c r="B3" s="2"/>
      <c r="C3" s="2"/>
      <c r="D3" s="158" t="str">
        <f>_xlfn.CONCAT("Study Acronym: ","
C_HH_RF1/C_HH_RF2")</f>
        <v>Study Acronym: 
C_HH_RF1/C_HH_RF2</v>
      </c>
      <c r="E3" s="159"/>
      <c r="F3" s="160" t="s">
        <v>204</v>
      </c>
      <c r="G3" s="160"/>
      <c r="H3" s="161"/>
      <c r="I3" s="4"/>
      <c r="J3" s="4"/>
      <c r="K3" s="154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3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54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3"/>
      <c r="Y4" s="104"/>
    </row>
    <row r="5" spans="1:25" customFormat="1" ht="21.95" customHeight="1" thickBot="1">
      <c r="A5" s="2"/>
      <c r="B5" s="2"/>
      <c r="C5" s="102"/>
      <c r="D5" s="143" t="s">
        <v>184</v>
      </c>
      <c r="E5" s="144"/>
      <c r="F5" s="144"/>
      <c r="G5" s="144"/>
      <c r="H5" s="101"/>
      <c r="I5" s="98"/>
      <c r="J5" s="98"/>
      <c r="K5" s="154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3"/>
      <c r="Y5" s="105"/>
    </row>
    <row r="6" spans="1:25" customFormat="1" ht="60.95" customHeight="1" thickBot="1">
      <c r="A6" s="2"/>
      <c r="B6" s="2"/>
      <c r="C6" s="99"/>
      <c r="D6" s="162" t="s">
        <v>185</v>
      </c>
      <c r="E6" s="163"/>
      <c r="F6" s="163"/>
      <c r="G6" s="163"/>
      <c r="H6" s="164"/>
      <c r="I6" s="136"/>
      <c r="J6" s="137"/>
      <c r="K6" s="155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7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65" t="str">
        <f>_xlfn.CONCAT("Last Refreshed at: ",aurora_data!V232)</f>
        <v>Last Refreshed at: 08/06/2026 @ 7:19 AM</v>
      </c>
      <c r="C8" s="166"/>
      <c r="D8" s="166"/>
      <c r="E8" s="167" t="s">
        <v>186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9"/>
      <c r="V8" s="44"/>
      <c r="W8" s="170" t="s">
        <v>187</v>
      </c>
      <c r="X8" s="171"/>
      <c r="Y8" s="2"/>
    </row>
    <row r="9" spans="1:25" customFormat="1" ht="16.5" customHeight="1" thickBot="1">
      <c r="A9" s="2"/>
      <c r="B9" s="176"/>
      <c r="C9" s="177"/>
      <c r="D9" s="29" t="s">
        <v>188</v>
      </c>
      <c r="E9" s="178" t="s">
        <v>189</v>
      </c>
      <c r="F9" s="179"/>
      <c r="G9" s="179"/>
      <c r="H9" s="179"/>
      <c r="I9" s="179"/>
      <c r="J9" s="180" t="s">
        <v>189</v>
      </c>
      <c r="K9" s="181"/>
      <c r="L9" s="181"/>
      <c r="M9" s="181"/>
      <c r="N9" s="181"/>
      <c r="O9" s="182" t="s">
        <v>189</v>
      </c>
      <c r="P9" s="183"/>
      <c r="Q9" s="183"/>
      <c r="R9" s="183"/>
      <c r="S9" s="184" t="s">
        <v>189</v>
      </c>
      <c r="T9" s="185"/>
      <c r="U9" s="185"/>
      <c r="V9" s="28"/>
      <c r="W9" s="172"/>
      <c r="X9" s="173"/>
      <c r="Y9" s="2"/>
    </row>
    <row r="10" spans="1:25" customFormat="1" ht="17.25" thickTop="1" thickBot="1">
      <c r="A10" s="2"/>
      <c r="B10" s="186" t="s">
        <v>190</v>
      </c>
      <c r="C10" s="30"/>
      <c r="D10" s="31"/>
      <c r="E10" s="187" t="s">
        <v>191</v>
      </c>
      <c r="F10" s="188"/>
      <c r="G10" s="188"/>
      <c r="H10" s="188"/>
      <c r="I10" s="189"/>
      <c r="J10" s="188" t="s">
        <v>192</v>
      </c>
      <c r="K10" s="188"/>
      <c r="L10" s="188"/>
      <c r="M10" s="188"/>
      <c r="N10" s="189"/>
      <c r="O10" s="190" t="s">
        <v>193</v>
      </c>
      <c r="P10" s="190"/>
      <c r="Q10" s="190"/>
      <c r="R10" s="190"/>
      <c r="S10" s="191" t="s">
        <v>194</v>
      </c>
      <c r="T10" s="192"/>
      <c r="U10" s="193"/>
      <c r="V10" s="32"/>
      <c r="W10" s="172"/>
      <c r="X10" s="173"/>
      <c r="Y10" s="2"/>
    </row>
    <row r="11" spans="1:25" customFormat="1" ht="17.25" thickTop="1" thickBot="1">
      <c r="A11" s="2"/>
      <c r="B11" s="186"/>
      <c r="C11" s="30" t="s">
        <v>110</v>
      </c>
      <c r="D11" s="33" t="s">
        <v>112</v>
      </c>
      <c r="E11" s="96">
        <v>1</v>
      </c>
      <c r="F11" s="94">
        <v>3</v>
      </c>
      <c r="G11" s="95" t="s">
        <v>115</v>
      </c>
      <c r="H11" s="95">
        <v>4</v>
      </c>
      <c r="I11" s="95">
        <v>5</v>
      </c>
      <c r="J11" s="89" t="s">
        <v>118</v>
      </c>
      <c r="K11" s="89" t="s">
        <v>119</v>
      </c>
      <c r="L11" s="89" t="s">
        <v>120</v>
      </c>
      <c r="M11" s="93" t="s">
        <v>195</v>
      </c>
      <c r="N11" s="93" t="s">
        <v>122</v>
      </c>
      <c r="O11" s="89" t="s">
        <v>123</v>
      </c>
      <c r="P11" s="89" t="s">
        <v>124</v>
      </c>
      <c r="Q11" s="89" t="s">
        <v>125</v>
      </c>
      <c r="R11" s="89" t="s">
        <v>126</v>
      </c>
      <c r="S11" s="90" t="s">
        <v>127</v>
      </c>
      <c r="T11" s="91" t="s">
        <v>128</v>
      </c>
      <c r="U11" s="92" t="s">
        <v>196</v>
      </c>
      <c r="V11" s="28"/>
      <c r="W11" s="174"/>
      <c r="X11" s="175"/>
      <c r="Y11" s="2"/>
    </row>
    <row r="12" spans="1:25" customFormat="1">
      <c r="A12" s="2"/>
      <c r="B12" s="200" t="s">
        <v>197</v>
      </c>
      <c r="C12" s="194" t="str">
        <f>aurora_data!A232</f>
        <v>05.00.00-08.11.30</v>
      </c>
      <c r="D12" s="34" t="s">
        <v>153</v>
      </c>
      <c r="E12" s="39">
        <f>IFERROR(aurora_data!D232,0)</f>
        <v>0</v>
      </c>
      <c r="F12" s="40">
        <f>IFERROR(aurora_data!E232,0)</f>
        <v>0</v>
      </c>
      <c r="G12" s="40">
        <f>IFERROR(aurora_data!F232,0)</f>
        <v>0</v>
      </c>
      <c r="H12" s="40">
        <f>IFERROR(aurora_data!G232,0)</f>
        <v>0</v>
      </c>
      <c r="I12" s="41">
        <f>IFERROR(aurora_data!H232,0)</f>
        <v>0</v>
      </c>
      <c r="J12" s="39">
        <f>IFERROR(aurora_data!I232,0)</f>
        <v>0</v>
      </c>
      <c r="K12" s="40">
        <f>IFERROR(aurora_data!J232,0)</f>
        <v>0</v>
      </c>
      <c r="L12" s="40">
        <f>IFERROR(aurora_data!K232,0)</f>
        <v>0</v>
      </c>
      <c r="M12" s="40">
        <f>IFERROR(aurora_data!L232,0)</f>
        <v>0</v>
      </c>
      <c r="N12" s="41">
        <f>IFERROR(aurora_data!M232,0)</f>
        <v>0</v>
      </c>
      <c r="O12" s="39">
        <f>IFERROR(aurora_data!N232,0)</f>
        <v>0</v>
      </c>
      <c r="P12" s="40">
        <f>IFERROR(aurora_data!O232,0)</f>
        <v>0</v>
      </c>
      <c r="Q12" s="40">
        <f>IFERROR(aurora_data!P232,0)</f>
        <v>0</v>
      </c>
      <c r="R12" s="41">
        <f>IFERROR(aurora_data!Q232,0)</f>
        <v>0</v>
      </c>
      <c r="S12" s="40">
        <f>IFERROR(aurora_data!R232,0)</f>
        <v>0</v>
      </c>
      <c r="T12" s="40">
        <f>IFERROR(aurora_data!S232,0)</f>
        <v>0</v>
      </c>
      <c r="U12" s="76">
        <f>IFERROR(aurora_data!T232,0)</f>
        <v>0</v>
      </c>
      <c r="V12" s="61" t="s">
        <v>198</v>
      </c>
      <c r="W12" s="39">
        <f>IFERROR(aurora_data!U232,0)</f>
        <v>30</v>
      </c>
      <c r="X12" s="70">
        <f>IFERROR(W12/$W$12,0)</f>
        <v>1</v>
      </c>
      <c r="Y12" s="2"/>
    </row>
    <row r="13" spans="1:25" customFormat="1">
      <c r="A13" s="2"/>
      <c r="B13" s="201"/>
      <c r="C13" s="195"/>
      <c r="D13" s="35" t="s">
        <v>199</v>
      </c>
      <c r="E13" s="110">
        <f>IFERROR(aurora_data!D233,0)</f>
        <v>3</v>
      </c>
      <c r="F13" s="62">
        <f>IFERROR(aurora_data!E233,0)</f>
        <v>4</v>
      </c>
      <c r="G13" s="62">
        <f>IFERROR(aurora_data!F233,0)</f>
        <v>4</v>
      </c>
      <c r="H13" s="62">
        <f>IFERROR(aurora_data!G233,0)</f>
        <v>18</v>
      </c>
      <c r="I13" s="63">
        <f>IFERROR(aurora_data!H233,0)</f>
        <v>0</v>
      </c>
      <c r="J13" s="36">
        <f>IFERROR(aurora_data!I233,0)</f>
        <v>0</v>
      </c>
      <c r="K13" s="62">
        <f>IFERROR(aurora_data!J233,0)</f>
        <v>0</v>
      </c>
      <c r="L13" s="62">
        <f>IFERROR(aurora_data!K233,0)</f>
        <v>3</v>
      </c>
      <c r="M13" s="62">
        <f>IFERROR(aurora_data!L233,0)</f>
        <v>1</v>
      </c>
      <c r="N13" s="63">
        <f>IFERROR(aurora_data!M233,0)</f>
        <v>25</v>
      </c>
      <c r="O13" s="36">
        <f>IFERROR(aurora_data!N233,0)</f>
        <v>9</v>
      </c>
      <c r="P13" s="62">
        <f>IFERROR(aurora_data!O233,0)</f>
        <v>3</v>
      </c>
      <c r="Q13" s="62">
        <f>IFERROR(aurora_data!P233,0)</f>
        <v>12</v>
      </c>
      <c r="R13" s="63">
        <f>IFERROR(aurora_data!Q233,0)</f>
        <v>5</v>
      </c>
      <c r="S13" s="62">
        <f>IFERROR(aurora_data!R233,0)</f>
        <v>19</v>
      </c>
      <c r="T13" s="62">
        <f>IFERROR(aurora_data!S233,0)</f>
        <v>10</v>
      </c>
      <c r="U13" s="63">
        <f>IFERROR(aurora_data!T233,0)</f>
        <v>0</v>
      </c>
      <c r="V13" s="64" t="s">
        <v>198</v>
      </c>
      <c r="W13" s="36">
        <f>IFERROR(aurora_data!U233,0)</f>
        <v>29</v>
      </c>
      <c r="X13" s="71">
        <f t="shared" ref="X13:X19" si="0">IFERROR(W13/$W$12,0)</f>
        <v>0.96666666666666667</v>
      </c>
      <c r="Y13" s="2"/>
    </row>
    <row r="14" spans="1:25" customFormat="1">
      <c r="A14" s="2"/>
      <c r="B14" s="201"/>
      <c r="C14" s="195"/>
      <c r="D14" s="35" t="s">
        <v>137</v>
      </c>
      <c r="E14" s="110">
        <f>IFERROR(aurora_data!D234,0)</f>
        <v>0</v>
      </c>
      <c r="F14" s="62">
        <f>IFERROR(aurora_data!E234,0)</f>
        <v>0</v>
      </c>
      <c r="G14" s="62">
        <f>IFERROR(aurora_data!F234,0)</f>
        <v>0</v>
      </c>
      <c r="H14" s="62">
        <f>IFERROR(aurora_data!G234,0)</f>
        <v>0</v>
      </c>
      <c r="I14" s="63">
        <f>IFERROR(aurora_data!H234,0)</f>
        <v>0</v>
      </c>
      <c r="J14" s="36">
        <f>IFERROR(aurora_data!I234,0)</f>
        <v>0</v>
      </c>
      <c r="K14" s="62">
        <f>IFERROR(aurora_data!J234,0)</f>
        <v>0</v>
      </c>
      <c r="L14" s="62">
        <f>IFERROR(aurora_data!K234,0)</f>
        <v>0</v>
      </c>
      <c r="M14" s="62">
        <f>IFERROR(aurora_data!L234,0)</f>
        <v>0</v>
      </c>
      <c r="N14" s="63">
        <f>IFERROR(aurora_data!M234,0)</f>
        <v>0</v>
      </c>
      <c r="O14" s="36">
        <f>IFERROR(aurora_data!N234,0)</f>
        <v>0</v>
      </c>
      <c r="P14" s="62">
        <f>IFERROR(aurora_data!O234,0)</f>
        <v>0</v>
      </c>
      <c r="Q14" s="62">
        <f>IFERROR(aurora_data!P234,0)</f>
        <v>0</v>
      </c>
      <c r="R14" s="63">
        <f>IFERROR(aurora_data!Q234,0)</f>
        <v>0</v>
      </c>
      <c r="S14" s="62">
        <f>IFERROR(aurora_data!R234,0)</f>
        <v>0</v>
      </c>
      <c r="T14" s="62">
        <f>IFERROR(aurora_data!S234,0)</f>
        <v>0</v>
      </c>
      <c r="U14" s="63">
        <f>IFERROR(aurora_data!T234,0)</f>
        <v>0</v>
      </c>
      <c r="V14" s="64" t="s">
        <v>198</v>
      </c>
      <c r="W14" s="36">
        <f>IFERROR(aurora_data!U234,0)</f>
        <v>0</v>
      </c>
      <c r="X14" s="71">
        <f t="shared" si="0"/>
        <v>0</v>
      </c>
      <c r="Y14" s="2"/>
    </row>
    <row r="15" spans="1:25" customFormat="1">
      <c r="A15" s="2"/>
      <c r="B15" s="201"/>
      <c r="C15" s="195"/>
      <c r="D15" s="35" t="s">
        <v>200</v>
      </c>
      <c r="E15" s="36">
        <f>IFERROR(aurora_data!D235,0)</f>
        <v>0</v>
      </c>
      <c r="F15" s="62">
        <f>IFERROR(aurora_data!E235,0)</f>
        <v>0</v>
      </c>
      <c r="G15" s="62">
        <f>IFERROR(aurora_data!F235,0)</f>
        <v>0</v>
      </c>
      <c r="H15" s="62">
        <f>IFERROR(aurora_data!G235,0)</f>
        <v>0</v>
      </c>
      <c r="I15" s="63">
        <f>IFERROR(aurora_data!H235,0)</f>
        <v>0</v>
      </c>
      <c r="J15" s="36">
        <f>IFERROR(aurora_data!I235,0)</f>
        <v>0</v>
      </c>
      <c r="K15" s="62">
        <f>IFERROR(aurora_data!J235,0)</f>
        <v>0</v>
      </c>
      <c r="L15" s="62">
        <f>IFERROR(aurora_data!K235,0)</f>
        <v>0</v>
      </c>
      <c r="M15" s="62">
        <f>IFERROR(aurora_data!L235,0)</f>
        <v>0</v>
      </c>
      <c r="N15" s="63">
        <f>IFERROR(aurora_data!M235,0)</f>
        <v>0</v>
      </c>
      <c r="O15" s="36">
        <f>IFERROR(aurora_data!N235,0)</f>
        <v>0</v>
      </c>
      <c r="P15" s="62">
        <f>IFERROR(aurora_data!O235,0)</f>
        <v>0</v>
      </c>
      <c r="Q15" s="62">
        <f>IFERROR(aurora_data!P235,0)</f>
        <v>0</v>
      </c>
      <c r="R15" s="63">
        <f>IFERROR(aurora_data!Q235,0)</f>
        <v>0</v>
      </c>
      <c r="S15" s="62">
        <f>IFERROR(aurora_data!R235,0)</f>
        <v>0</v>
      </c>
      <c r="T15" s="62">
        <f>IFERROR(aurora_data!S235,0)</f>
        <v>0</v>
      </c>
      <c r="U15" s="63">
        <f>IFERROR(aurora_data!T235,0)</f>
        <v>0</v>
      </c>
      <c r="V15" s="64" t="s">
        <v>198</v>
      </c>
      <c r="W15" s="36">
        <f>IFERROR(aurora_data!U235,0)</f>
        <v>0</v>
      </c>
      <c r="X15" s="71">
        <f t="shared" si="0"/>
        <v>0</v>
      </c>
      <c r="Y15" s="2"/>
    </row>
    <row r="16" spans="1:25" customFormat="1">
      <c r="A16" s="2"/>
      <c r="B16" s="201"/>
      <c r="C16" s="195"/>
      <c r="D16" s="35" t="s">
        <v>201</v>
      </c>
      <c r="E16" s="36">
        <f>IFERROR(aurora_data!D236,0)</f>
        <v>0</v>
      </c>
      <c r="F16" s="62">
        <f>IFERROR(aurora_data!E236,0)</f>
        <v>0</v>
      </c>
      <c r="G16" s="62">
        <f>IFERROR(aurora_data!F236,0)</f>
        <v>0</v>
      </c>
      <c r="H16" s="62">
        <f>IFERROR(aurora_data!G236,0)</f>
        <v>0</v>
      </c>
      <c r="I16" s="63">
        <f>IFERROR(aurora_data!H236,0)</f>
        <v>0</v>
      </c>
      <c r="J16" s="36">
        <f>IFERROR(aurora_data!I236,0)</f>
        <v>0</v>
      </c>
      <c r="K16" s="62">
        <f>IFERROR(aurora_data!J236,0)</f>
        <v>0</v>
      </c>
      <c r="L16" s="62">
        <f>IFERROR(aurora_data!K236,0)</f>
        <v>0</v>
      </c>
      <c r="M16" s="62">
        <f>IFERROR(aurora_data!L236,0)</f>
        <v>0</v>
      </c>
      <c r="N16" s="63">
        <f>IFERROR(aurora_data!M236,0)</f>
        <v>0</v>
      </c>
      <c r="O16" s="36">
        <f>IFERROR(aurora_data!N236,0)</f>
        <v>0</v>
      </c>
      <c r="P16" s="62">
        <f>IFERROR(aurora_data!O236,0)</f>
        <v>0</v>
      </c>
      <c r="Q16" s="62">
        <f>IFERROR(aurora_data!P236,0)</f>
        <v>0</v>
      </c>
      <c r="R16" s="63">
        <f>IFERROR(aurora_data!Q236,0)</f>
        <v>0</v>
      </c>
      <c r="S16" s="62">
        <f>IFERROR(aurora_data!R236,0)</f>
        <v>0</v>
      </c>
      <c r="T16" s="62">
        <f>IFERROR(aurora_data!S236,0)</f>
        <v>0</v>
      </c>
      <c r="U16" s="63">
        <f>IFERROR(aurora_data!T236,0)</f>
        <v>0</v>
      </c>
      <c r="V16" s="64" t="s">
        <v>198</v>
      </c>
      <c r="W16" s="36">
        <f>IFERROR(aurora_data!U236,0)</f>
        <v>0</v>
      </c>
      <c r="X16" s="71">
        <f t="shared" si="0"/>
        <v>0</v>
      </c>
      <c r="Y16" s="2"/>
    </row>
    <row r="17" spans="1:25" customFormat="1" ht="16.5" thickBot="1">
      <c r="A17" s="2"/>
      <c r="B17" s="201"/>
      <c r="C17" s="195"/>
      <c r="D17" s="35" t="s">
        <v>202</v>
      </c>
      <c r="E17" s="36">
        <f>IFERROR(aurora_data!D237,0)</f>
        <v>0</v>
      </c>
      <c r="F17" s="62">
        <f>IFERROR(aurora_data!E237,0)</f>
        <v>0</v>
      </c>
      <c r="G17" s="62">
        <f>IFERROR(aurora_data!F237,0)</f>
        <v>0</v>
      </c>
      <c r="H17" s="62">
        <f>IFERROR(aurora_data!G237,0)</f>
        <v>0</v>
      </c>
      <c r="I17" s="63">
        <f>IFERROR(aurora_data!H237,0)</f>
        <v>0</v>
      </c>
      <c r="J17" s="36">
        <f>IFERROR(aurora_data!I237,0)</f>
        <v>0</v>
      </c>
      <c r="K17" s="62">
        <f>IFERROR(aurora_data!J237,0)</f>
        <v>0</v>
      </c>
      <c r="L17" s="62">
        <f>IFERROR(aurora_data!K237,0)</f>
        <v>0</v>
      </c>
      <c r="M17" s="62">
        <f>IFERROR(aurora_data!L237,0)</f>
        <v>0</v>
      </c>
      <c r="N17" s="63">
        <f>IFERROR(aurora_data!M237,0)</f>
        <v>0</v>
      </c>
      <c r="O17" s="36">
        <f>IFERROR(aurora_data!N237,0)</f>
        <v>0</v>
      </c>
      <c r="P17" s="62">
        <f>IFERROR(aurora_data!O237,0)</f>
        <v>0</v>
      </c>
      <c r="Q17" s="62">
        <f>IFERROR(aurora_data!P237,0)</f>
        <v>0</v>
      </c>
      <c r="R17" s="63">
        <f>IFERROR(aurora_data!Q237,0)</f>
        <v>0</v>
      </c>
      <c r="S17" s="62">
        <f>IFERROR(aurora_data!R237,0)</f>
        <v>0</v>
      </c>
      <c r="T17" s="62">
        <f>IFERROR(aurora_data!S237,0)</f>
        <v>0</v>
      </c>
      <c r="U17" s="63">
        <f>IFERROR(aurora_data!T237,0)</f>
        <v>0</v>
      </c>
      <c r="V17" s="64" t="s">
        <v>198</v>
      </c>
      <c r="W17" s="36">
        <f>IFERROR(aurora_data!U237,0)</f>
        <v>0</v>
      </c>
      <c r="X17" s="71">
        <f t="shared" si="0"/>
        <v>0</v>
      </c>
      <c r="Y17" s="2"/>
    </row>
    <row r="18" spans="1:25" customFormat="1" ht="16.5" thickBot="1">
      <c r="A18" s="2"/>
      <c r="B18" s="201"/>
      <c r="C18" s="195"/>
      <c r="D18" s="37" t="s">
        <v>141</v>
      </c>
      <c r="E18" s="59">
        <f>IFERROR(aurora_data!D238,0)</f>
        <v>3</v>
      </c>
      <c r="F18" s="65">
        <f>IFERROR(aurora_data!E238,0)</f>
        <v>4</v>
      </c>
      <c r="G18" s="65">
        <f>IFERROR(aurora_data!F238,0)</f>
        <v>4</v>
      </c>
      <c r="H18" s="65">
        <f>IFERROR(aurora_data!G238,0)</f>
        <v>18</v>
      </c>
      <c r="I18" s="66">
        <f>IFERROR(aurora_data!H238,0)</f>
        <v>0</v>
      </c>
      <c r="J18" s="59">
        <f>IFERROR(aurora_data!I238,0)</f>
        <v>0</v>
      </c>
      <c r="K18" s="65">
        <f>IFERROR(aurora_data!J238,0)</f>
        <v>0</v>
      </c>
      <c r="L18" s="65">
        <f>IFERROR(aurora_data!K238,0)</f>
        <v>3</v>
      </c>
      <c r="M18" s="65">
        <f>IFERROR(aurora_data!L238,0)</f>
        <v>1</v>
      </c>
      <c r="N18" s="66">
        <f>IFERROR(aurora_data!M238,0)</f>
        <v>25</v>
      </c>
      <c r="O18" s="59">
        <f>IFERROR(aurora_data!N238,0)</f>
        <v>9</v>
      </c>
      <c r="P18" s="65">
        <f>IFERROR(aurora_data!O238,0)</f>
        <v>3</v>
      </c>
      <c r="Q18" s="65">
        <f>IFERROR(aurora_data!P238,0)</f>
        <v>12</v>
      </c>
      <c r="R18" s="66">
        <f>IFERROR(aurora_data!Q238,0)</f>
        <v>5</v>
      </c>
      <c r="S18" s="65">
        <f>IFERROR(aurora_data!R238,0)</f>
        <v>19</v>
      </c>
      <c r="T18" s="65">
        <f>IFERROR(aurora_data!S238,0)</f>
        <v>10</v>
      </c>
      <c r="U18" s="66">
        <f>IFERROR(aurora_data!T238,0)</f>
        <v>0</v>
      </c>
      <c r="V18" s="67" t="s">
        <v>198</v>
      </c>
      <c r="W18" s="59">
        <f>IFERROR(aurora_data!U238,0)</f>
        <v>29</v>
      </c>
      <c r="X18" s="72">
        <f t="shared" si="0"/>
        <v>0.96666666666666667</v>
      </c>
      <c r="Y18" s="2"/>
    </row>
    <row r="19" spans="1:25" customFormat="1" ht="16.5" thickBot="1">
      <c r="A19" s="2"/>
      <c r="B19" s="201"/>
      <c r="C19" s="195"/>
      <c r="D19" s="38" t="s">
        <v>203</v>
      </c>
      <c r="E19" s="60">
        <f>IFERROR(aurora_data!D239,0)</f>
        <v>0</v>
      </c>
      <c r="F19" s="68">
        <f>IFERROR(aurora_data!E239,0)</f>
        <v>0</v>
      </c>
      <c r="G19" s="68">
        <f>IFERROR(aurora_data!F239,0)</f>
        <v>0</v>
      </c>
      <c r="H19" s="68">
        <f>IFERROR(aurora_data!G239,0)</f>
        <v>0</v>
      </c>
      <c r="I19" s="69">
        <f>IFERROR(aurora_data!H239,0)</f>
        <v>0</v>
      </c>
      <c r="J19" s="60">
        <f>IFERROR(aurora_data!I239,0)</f>
        <v>0</v>
      </c>
      <c r="K19" s="68">
        <f>IFERROR(aurora_data!J239,0)</f>
        <v>0</v>
      </c>
      <c r="L19" s="68">
        <f>IFERROR(aurora_data!K239,0)</f>
        <v>0</v>
      </c>
      <c r="M19" s="68">
        <f>IFERROR(aurora_data!L239,0)</f>
        <v>0</v>
      </c>
      <c r="N19" s="69">
        <f>IFERROR(aurora_data!M239,0)</f>
        <v>0</v>
      </c>
      <c r="O19" s="60">
        <f>IFERROR(aurora_data!N239,0)</f>
        <v>0</v>
      </c>
      <c r="P19" s="68">
        <f>IFERROR(aurora_data!O239,0)</f>
        <v>0</v>
      </c>
      <c r="Q19" s="68">
        <f>IFERROR(aurora_data!P239,0)</f>
        <v>0</v>
      </c>
      <c r="R19" s="69">
        <f>IFERROR(aurora_data!Q239,0)</f>
        <v>0</v>
      </c>
      <c r="S19" s="68">
        <f>IFERROR(aurora_data!R239,0)</f>
        <v>0</v>
      </c>
      <c r="T19" s="68">
        <f>IFERROR(aurora_data!S239,0)</f>
        <v>0</v>
      </c>
      <c r="U19" s="74">
        <f>IFERROR(aurora_data!T239,0)</f>
        <v>0</v>
      </c>
      <c r="V19" s="75" t="s">
        <v>198</v>
      </c>
      <c r="W19" s="60">
        <f>IFERROR(aurora_data!U239,0)</f>
        <v>0</v>
      </c>
      <c r="X19" s="73">
        <f t="shared" si="0"/>
        <v>0</v>
      </c>
      <c r="Y19" s="2"/>
    </row>
    <row r="20" spans="1:25" customFormat="1">
      <c r="A20" s="2"/>
      <c r="B20" s="200" t="s">
        <v>197</v>
      </c>
      <c r="C20" s="194" t="str">
        <f>aurora_data!A332</f>
        <v>09.00.00-16.11.30</v>
      </c>
      <c r="D20" s="34" t="s">
        <v>153</v>
      </c>
      <c r="E20" s="39">
        <f>IFERROR(aurora_data!D332,0)</f>
        <v>0</v>
      </c>
      <c r="F20" s="40">
        <f>IFERROR(aurora_data!E332,0)</f>
        <v>0</v>
      </c>
      <c r="G20" s="40">
        <f>IFERROR(aurora_data!F332,0)</f>
        <v>0</v>
      </c>
      <c r="H20" s="40">
        <f>IFERROR(aurora_data!G332,0)</f>
        <v>0</v>
      </c>
      <c r="I20" s="41">
        <f>IFERROR(aurora_data!H332,0)</f>
        <v>0</v>
      </c>
      <c r="J20" s="39">
        <f>IFERROR(aurora_data!I332,0)</f>
        <v>0</v>
      </c>
      <c r="K20" s="40">
        <f>IFERROR(aurora_data!J332,0)</f>
        <v>0</v>
      </c>
      <c r="L20" s="40">
        <f>IFERROR(aurora_data!K332,0)</f>
        <v>0</v>
      </c>
      <c r="M20" s="40">
        <f>IFERROR(aurora_data!L332,0)</f>
        <v>0</v>
      </c>
      <c r="N20" s="41">
        <f>IFERROR(aurora_data!M332,0)</f>
        <v>0</v>
      </c>
      <c r="O20" s="39">
        <f>IFERROR(aurora_data!N332,0)</f>
        <v>0</v>
      </c>
      <c r="P20" s="40">
        <f>IFERROR(aurora_data!O332,0)</f>
        <v>0</v>
      </c>
      <c r="Q20" s="40">
        <f>IFERROR(aurora_data!P332,0)</f>
        <v>0</v>
      </c>
      <c r="R20" s="41">
        <f>IFERROR(aurora_data!Q332,0)</f>
        <v>0</v>
      </c>
      <c r="S20" s="40">
        <f>IFERROR(aurora_data!R332,0)</f>
        <v>0</v>
      </c>
      <c r="T20" s="40">
        <f>IFERROR(aurora_data!S332,0)</f>
        <v>0</v>
      </c>
      <c r="U20" s="76">
        <f>IFERROR(aurora_data!T332,0)</f>
        <v>0</v>
      </c>
      <c r="V20" s="61" t="s">
        <v>198</v>
      </c>
      <c r="W20" s="39">
        <f>IFERROR(aurora_data!U332,0)</f>
        <v>30</v>
      </c>
      <c r="X20" s="70">
        <f>IFERROR(W20/$W$20,0)</f>
        <v>1</v>
      </c>
      <c r="Y20" s="2"/>
    </row>
    <row r="21" spans="1:25" customFormat="1" ht="16.5" customHeight="1">
      <c r="A21" s="2"/>
      <c r="B21" s="201"/>
      <c r="C21" s="195"/>
      <c r="D21" s="35" t="s">
        <v>199</v>
      </c>
      <c r="E21" s="36">
        <f>IFERROR(aurora_data!D333,0)</f>
        <v>1</v>
      </c>
      <c r="F21" s="62">
        <f>IFERROR(aurora_data!E333,0)</f>
        <v>1</v>
      </c>
      <c r="G21" s="62">
        <f>IFERROR(aurora_data!F333,0)</f>
        <v>5</v>
      </c>
      <c r="H21" s="62">
        <f>IFERROR(aurora_data!G333,0)</f>
        <v>24</v>
      </c>
      <c r="I21" s="63">
        <f>IFERROR(aurora_data!H333,0)</f>
        <v>0</v>
      </c>
      <c r="J21" s="36">
        <f>IFERROR(aurora_data!I333,0)</f>
        <v>0</v>
      </c>
      <c r="K21" s="62">
        <f>IFERROR(aurora_data!J333,0)</f>
        <v>0</v>
      </c>
      <c r="L21" s="62">
        <f>IFERROR(aurora_data!K333,0)</f>
        <v>2</v>
      </c>
      <c r="M21" s="62">
        <f>IFERROR(aurora_data!L333,0)</f>
        <v>4</v>
      </c>
      <c r="N21" s="63">
        <f>IFERROR(aurora_data!M333,0)</f>
        <v>25</v>
      </c>
      <c r="O21" s="36">
        <f>IFERROR(aurora_data!N333,0)</f>
        <v>11</v>
      </c>
      <c r="P21" s="62">
        <f>IFERROR(aurora_data!O333,0)</f>
        <v>7</v>
      </c>
      <c r="Q21" s="62">
        <f>IFERROR(aurora_data!P333,0)</f>
        <v>7</v>
      </c>
      <c r="R21" s="63">
        <f>IFERROR(aurora_data!Q333,0)</f>
        <v>6</v>
      </c>
      <c r="S21" s="62">
        <f>IFERROR(aurora_data!R333,0)</f>
        <v>15</v>
      </c>
      <c r="T21" s="62">
        <f>IFERROR(aurora_data!S333,0)</f>
        <v>16</v>
      </c>
      <c r="U21" s="63">
        <f>IFERROR(aurora_data!T333,0)</f>
        <v>0</v>
      </c>
      <c r="V21" s="64" t="s">
        <v>198</v>
      </c>
      <c r="W21" s="36">
        <f>IFERROR(aurora_data!U333,0)</f>
        <v>31</v>
      </c>
      <c r="X21" s="71">
        <f t="shared" ref="X21:X27" si="1">IFERROR(W21/$W$20,0)</f>
        <v>1.0333333333333334</v>
      </c>
      <c r="Y21" s="2"/>
    </row>
    <row r="22" spans="1:25" customFormat="1" ht="16.5" customHeight="1">
      <c r="A22" s="2"/>
      <c r="B22" s="201"/>
      <c r="C22" s="195"/>
      <c r="D22" s="35" t="s">
        <v>137</v>
      </c>
      <c r="E22" s="36">
        <f>IFERROR(aurora_data!D334,0)</f>
        <v>0</v>
      </c>
      <c r="F22" s="62">
        <f>IFERROR(aurora_data!E334,0)</f>
        <v>0</v>
      </c>
      <c r="G22" s="62">
        <f>IFERROR(aurora_data!F334,0)</f>
        <v>0</v>
      </c>
      <c r="H22" s="62">
        <f>IFERROR(aurora_data!G334,0)</f>
        <v>4</v>
      </c>
      <c r="I22" s="63">
        <f>IFERROR(aurora_data!H334,0)</f>
        <v>0</v>
      </c>
      <c r="J22" s="36">
        <f>IFERROR(aurora_data!I334,0)</f>
        <v>0</v>
      </c>
      <c r="K22" s="62">
        <f>IFERROR(aurora_data!J334,0)</f>
        <v>0</v>
      </c>
      <c r="L22" s="62">
        <f>IFERROR(aurora_data!K334,0)</f>
        <v>0</v>
      </c>
      <c r="M22" s="62">
        <f>IFERROR(aurora_data!L334,0)</f>
        <v>0</v>
      </c>
      <c r="N22" s="63">
        <f>IFERROR(aurora_data!M334,0)</f>
        <v>4</v>
      </c>
      <c r="O22" s="36">
        <f>IFERROR(aurora_data!N334,0)</f>
        <v>4</v>
      </c>
      <c r="P22" s="62">
        <f>IFERROR(aurora_data!O334,0)</f>
        <v>0</v>
      </c>
      <c r="Q22" s="62">
        <f>IFERROR(aurora_data!P334,0)</f>
        <v>0</v>
      </c>
      <c r="R22" s="63">
        <f>IFERROR(aurora_data!Q334,0)</f>
        <v>0</v>
      </c>
      <c r="S22" s="62">
        <f>IFERROR(aurora_data!R334,0)</f>
        <v>3</v>
      </c>
      <c r="T22" s="62">
        <f>IFERROR(aurora_data!S334,0)</f>
        <v>1</v>
      </c>
      <c r="U22" s="63">
        <f>IFERROR(aurora_data!T334,0)</f>
        <v>0</v>
      </c>
      <c r="V22" s="64" t="s">
        <v>198</v>
      </c>
      <c r="W22" s="36">
        <f>IFERROR(aurora_data!U334,0)</f>
        <v>4</v>
      </c>
      <c r="X22" s="71">
        <f t="shared" si="1"/>
        <v>0.13333333333333333</v>
      </c>
      <c r="Y22" s="2"/>
    </row>
    <row r="23" spans="1:25" customFormat="1">
      <c r="A23" s="2"/>
      <c r="B23" s="201"/>
      <c r="C23" s="195"/>
      <c r="D23" s="35" t="s">
        <v>200</v>
      </c>
      <c r="E23" s="36">
        <f>IFERROR(aurora_data!D335,0)</f>
        <v>0</v>
      </c>
      <c r="F23" s="62">
        <f>IFERROR(aurora_data!E335,0)</f>
        <v>0</v>
      </c>
      <c r="G23" s="62">
        <f>IFERROR(aurora_data!F335,0)</f>
        <v>0</v>
      </c>
      <c r="H23" s="62">
        <f>IFERROR(aurora_data!G335,0)</f>
        <v>0</v>
      </c>
      <c r="I23" s="63">
        <f>IFERROR(aurora_data!H335,0)</f>
        <v>0</v>
      </c>
      <c r="J23" s="36">
        <f>IFERROR(aurora_data!I335,0)</f>
        <v>0</v>
      </c>
      <c r="K23" s="62">
        <f>IFERROR(aurora_data!J335,0)</f>
        <v>0</v>
      </c>
      <c r="L23" s="62">
        <f>IFERROR(aurora_data!K335,0)</f>
        <v>0</v>
      </c>
      <c r="M23" s="62">
        <f>IFERROR(aurora_data!L335,0)</f>
        <v>0</v>
      </c>
      <c r="N23" s="63">
        <f>IFERROR(aurora_data!M335,0)</f>
        <v>0</v>
      </c>
      <c r="O23" s="36">
        <f>IFERROR(aurora_data!N335,0)</f>
        <v>0</v>
      </c>
      <c r="P23" s="62">
        <f>IFERROR(aurora_data!O335,0)</f>
        <v>0</v>
      </c>
      <c r="Q23" s="62">
        <f>IFERROR(aurora_data!P335,0)</f>
        <v>0</v>
      </c>
      <c r="R23" s="63">
        <f>IFERROR(aurora_data!Q335,0)</f>
        <v>0</v>
      </c>
      <c r="S23" s="62">
        <f>IFERROR(aurora_data!R335,0)</f>
        <v>0</v>
      </c>
      <c r="T23" s="62">
        <f>IFERROR(aurora_data!S335,0)</f>
        <v>0</v>
      </c>
      <c r="U23" s="63">
        <f>IFERROR(aurora_data!T335,0)</f>
        <v>0</v>
      </c>
      <c r="V23" s="64" t="s">
        <v>198</v>
      </c>
      <c r="W23" s="36">
        <f>IFERROR(aurora_data!U335,0)</f>
        <v>0</v>
      </c>
      <c r="X23" s="71">
        <f t="shared" si="1"/>
        <v>0</v>
      </c>
      <c r="Y23" s="2"/>
    </row>
    <row r="24" spans="1:25" customFormat="1" ht="16.5" customHeight="1">
      <c r="A24" s="2"/>
      <c r="B24" s="201"/>
      <c r="C24" s="195"/>
      <c r="D24" s="35" t="s">
        <v>201</v>
      </c>
      <c r="E24" s="36">
        <f>IFERROR(aurora_data!D336,0)</f>
        <v>0</v>
      </c>
      <c r="F24" s="62">
        <f>IFERROR(aurora_data!E336,0)</f>
        <v>0</v>
      </c>
      <c r="G24" s="62">
        <f>IFERROR(aurora_data!F336,0)</f>
        <v>0</v>
      </c>
      <c r="H24" s="62">
        <f>IFERROR(aurora_data!G336,0)</f>
        <v>0</v>
      </c>
      <c r="I24" s="63">
        <f>IFERROR(aurora_data!H336,0)</f>
        <v>0</v>
      </c>
      <c r="J24" s="36">
        <f>IFERROR(aurora_data!I336,0)</f>
        <v>0</v>
      </c>
      <c r="K24" s="62">
        <f>IFERROR(aurora_data!J336,0)</f>
        <v>0</v>
      </c>
      <c r="L24" s="62">
        <f>IFERROR(aurora_data!K336,0)</f>
        <v>0</v>
      </c>
      <c r="M24" s="62">
        <f>IFERROR(aurora_data!L336,0)</f>
        <v>0</v>
      </c>
      <c r="N24" s="63">
        <f>IFERROR(aurora_data!M336,0)</f>
        <v>0</v>
      </c>
      <c r="O24" s="36">
        <f>IFERROR(aurora_data!N336,0)</f>
        <v>0</v>
      </c>
      <c r="P24" s="62">
        <f>IFERROR(aurora_data!O336,0)</f>
        <v>0</v>
      </c>
      <c r="Q24" s="62">
        <f>IFERROR(aurora_data!P336,0)</f>
        <v>0</v>
      </c>
      <c r="R24" s="63">
        <f>IFERROR(aurora_data!Q336,0)</f>
        <v>0</v>
      </c>
      <c r="S24" s="62">
        <f>IFERROR(aurora_data!R336,0)</f>
        <v>0</v>
      </c>
      <c r="T24" s="62">
        <f>IFERROR(aurora_data!S336,0)</f>
        <v>0</v>
      </c>
      <c r="U24" s="63">
        <f>IFERROR(aurora_data!T336,0)</f>
        <v>0</v>
      </c>
      <c r="V24" s="64" t="s">
        <v>198</v>
      </c>
      <c r="W24" s="36">
        <f>IFERROR(aurora_data!U336,0)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01"/>
      <c r="C25" s="195"/>
      <c r="D25" s="35" t="s">
        <v>202</v>
      </c>
      <c r="E25" s="36">
        <f>IFERROR(aurora_data!D337,0)</f>
        <v>0</v>
      </c>
      <c r="F25" s="62">
        <f>IFERROR(aurora_data!E337,0)</f>
        <v>0</v>
      </c>
      <c r="G25" s="62">
        <f>IFERROR(aurora_data!F337,0)</f>
        <v>0</v>
      </c>
      <c r="H25" s="62">
        <f>IFERROR(aurora_data!G337,0)</f>
        <v>0</v>
      </c>
      <c r="I25" s="63">
        <f>IFERROR(aurora_data!H337,0)</f>
        <v>0</v>
      </c>
      <c r="J25" s="36">
        <f>IFERROR(aurora_data!I337,0)</f>
        <v>0</v>
      </c>
      <c r="K25" s="62">
        <f>IFERROR(aurora_data!J337,0)</f>
        <v>0</v>
      </c>
      <c r="L25" s="62">
        <f>IFERROR(aurora_data!K337,0)</f>
        <v>0</v>
      </c>
      <c r="M25" s="62">
        <f>IFERROR(aurora_data!L337,0)</f>
        <v>0</v>
      </c>
      <c r="N25" s="63">
        <f>IFERROR(aurora_data!M337,0)</f>
        <v>0</v>
      </c>
      <c r="O25" s="36">
        <f>IFERROR(aurora_data!N337,0)</f>
        <v>0</v>
      </c>
      <c r="P25" s="62">
        <f>IFERROR(aurora_data!O337,0)</f>
        <v>0</v>
      </c>
      <c r="Q25" s="62">
        <f>IFERROR(aurora_data!P337,0)</f>
        <v>0</v>
      </c>
      <c r="R25" s="63">
        <f>IFERROR(aurora_data!Q337,0)</f>
        <v>0</v>
      </c>
      <c r="S25" s="62">
        <f>IFERROR(aurora_data!R337,0)</f>
        <v>0</v>
      </c>
      <c r="T25" s="62">
        <f>IFERROR(aurora_data!S337,0)</f>
        <v>0</v>
      </c>
      <c r="U25" s="63">
        <f>IFERROR(aurora_data!T337,0)</f>
        <v>0</v>
      </c>
      <c r="V25" s="64" t="s">
        <v>198</v>
      </c>
      <c r="W25" s="36">
        <f>IFERROR(aurora_data!U337,0)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01"/>
      <c r="C26" s="195"/>
      <c r="D26" s="37" t="s">
        <v>141</v>
      </c>
      <c r="E26" s="59">
        <f>IFERROR(aurora_data!D338,0)</f>
        <v>1</v>
      </c>
      <c r="F26" s="65">
        <f>IFERROR(aurora_data!E338,0)</f>
        <v>1</v>
      </c>
      <c r="G26" s="65">
        <f>IFERROR(aurora_data!F338,0)</f>
        <v>5</v>
      </c>
      <c r="H26" s="65">
        <f>IFERROR(aurora_data!G338,0)</f>
        <v>28</v>
      </c>
      <c r="I26" s="66">
        <f>IFERROR(aurora_data!H338,0)</f>
        <v>0</v>
      </c>
      <c r="J26" s="59">
        <f>IFERROR(aurora_data!I338,0)</f>
        <v>0</v>
      </c>
      <c r="K26" s="65">
        <f>IFERROR(aurora_data!J338,0)</f>
        <v>0</v>
      </c>
      <c r="L26" s="65">
        <f>IFERROR(aurora_data!K338,0)</f>
        <v>2</v>
      </c>
      <c r="M26" s="65">
        <f>IFERROR(aurora_data!L338,0)</f>
        <v>4</v>
      </c>
      <c r="N26" s="66">
        <f>IFERROR(aurora_data!M338,0)</f>
        <v>29</v>
      </c>
      <c r="O26" s="59">
        <f>IFERROR(aurora_data!N338,0)</f>
        <v>15</v>
      </c>
      <c r="P26" s="65">
        <f>IFERROR(aurora_data!O338,0)</f>
        <v>7</v>
      </c>
      <c r="Q26" s="65">
        <f>IFERROR(aurora_data!P338,0)</f>
        <v>7</v>
      </c>
      <c r="R26" s="66">
        <f>IFERROR(aurora_data!Q338,0)</f>
        <v>6</v>
      </c>
      <c r="S26" s="65">
        <f>IFERROR(aurora_data!R338,0)</f>
        <v>18</v>
      </c>
      <c r="T26" s="65">
        <f>IFERROR(aurora_data!S338,0)</f>
        <v>17</v>
      </c>
      <c r="U26" s="66">
        <f>IFERROR(aurora_data!T338,0)</f>
        <v>0</v>
      </c>
      <c r="V26" s="67" t="s">
        <v>198</v>
      </c>
      <c r="W26" s="59">
        <f>IFERROR(aurora_data!U338,0)</f>
        <v>35</v>
      </c>
      <c r="X26" s="72">
        <f t="shared" si="1"/>
        <v>1.1666666666666667</v>
      </c>
      <c r="Y26" s="2"/>
    </row>
    <row r="27" spans="1:25" customFormat="1" ht="16.5" thickBot="1">
      <c r="A27" s="2"/>
      <c r="B27" s="201"/>
      <c r="C27" s="195"/>
      <c r="D27" s="38" t="s">
        <v>203</v>
      </c>
      <c r="E27" s="60">
        <f>IFERROR(aurora_data!D339,0)</f>
        <v>0</v>
      </c>
      <c r="F27" s="68">
        <f>IFERROR(aurora_data!E339,0)</f>
        <v>0</v>
      </c>
      <c r="G27" s="68">
        <f>IFERROR(aurora_data!F339,0)</f>
        <v>0</v>
      </c>
      <c r="H27" s="68">
        <f>IFERROR(aurora_data!G339,0)</f>
        <v>0</v>
      </c>
      <c r="I27" s="69">
        <f>IFERROR(aurora_data!H339,0)</f>
        <v>0</v>
      </c>
      <c r="J27" s="60">
        <f>IFERROR(aurora_data!I339,0)</f>
        <v>0</v>
      </c>
      <c r="K27" s="68">
        <f>IFERROR(aurora_data!J339,0)</f>
        <v>0</v>
      </c>
      <c r="L27" s="68">
        <f>IFERROR(aurora_data!K339,0)</f>
        <v>0</v>
      </c>
      <c r="M27" s="68">
        <f>IFERROR(aurora_data!L339,0)</f>
        <v>0</v>
      </c>
      <c r="N27" s="69">
        <f>IFERROR(aurora_data!M339,0)</f>
        <v>0</v>
      </c>
      <c r="O27" s="60">
        <f>IFERROR(aurora_data!N339,0)</f>
        <v>0</v>
      </c>
      <c r="P27" s="68">
        <f>IFERROR(aurora_data!O339,0)</f>
        <v>0</v>
      </c>
      <c r="Q27" s="68">
        <f>IFERROR(aurora_data!P339,0)</f>
        <v>0</v>
      </c>
      <c r="R27" s="69">
        <f>IFERROR(aurora_data!Q339,0)</f>
        <v>0</v>
      </c>
      <c r="S27" s="68">
        <f>IFERROR(aurora_data!R339,0)</f>
        <v>0</v>
      </c>
      <c r="T27" s="68">
        <f>IFERROR(aurora_data!S339,0)</f>
        <v>0</v>
      </c>
      <c r="U27" s="74">
        <f>IFERROR(aurora_data!T339,0)</f>
        <v>0</v>
      </c>
      <c r="V27" s="75" t="s">
        <v>198</v>
      </c>
      <c r="W27" s="60">
        <f>IFERROR(aurora_data!U339,0)</f>
        <v>0</v>
      </c>
      <c r="X27" s="73">
        <f t="shared" si="1"/>
        <v>0</v>
      </c>
      <c r="Y27" s="2"/>
    </row>
    <row r="28" spans="1:25" customFormat="1" ht="15.75" customHeight="1">
      <c r="A28" s="2"/>
      <c r="B28" s="196" t="s">
        <v>197</v>
      </c>
      <c r="C28" s="198" t="s">
        <v>130</v>
      </c>
      <c r="D28" s="34" t="s">
        <v>153</v>
      </c>
      <c r="E28" s="39">
        <f>IFERROR(aurora_data!D240+aurora_data!D340,0)</f>
        <v>0</v>
      </c>
      <c r="F28" s="40">
        <f>IFERROR(aurora_data!E240+aurora_data!E340,0)</f>
        <v>0</v>
      </c>
      <c r="G28" s="40">
        <f>IFERROR(aurora_data!F240+aurora_data!F340,0)</f>
        <v>0</v>
      </c>
      <c r="H28" s="40">
        <f>IFERROR(aurora_data!G240+aurora_data!G340,0)</f>
        <v>0</v>
      </c>
      <c r="I28" s="41">
        <f>IFERROR(aurora_data!H240+aurora_data!H340,0)</f>
        <v>0</v>
      </c>
      <c r="J28" s="39">
        <f>IFERROR(aurora_data!I240+aurora_data!I340,0)</f>
        <v>0</v>
      </c>
      <c r="K28" s="40">
        <f>IFERROR(aurora_data!J240+aurora_data!J340,0)</f>
        <v>0</v>
      </c>
      <c r="L28" s="40">
        <f>IFERROR(aurora_data!K240+aurora_data!K340,0)</f>
        <v>0</v>
      </c>
      <c r="M28" s="40">
        <f>IFERROR(aurora_data!L240+aurora_data!L340,0)</f>
        <v>0</v>
      </c>
      <c r="N28" s="41">
        <f>IFERROR(aurora_data!M240+aurora_data!M340,0)</f>
        <v>0</v>
      </c>
      <c r="O28" s="39">
        <f>IFERROR(aurora_data!N240+aurora_data!N340,0)</f>
        <v>0</v>
      </c>
      <c r="P28" s="40">
        <f>IFERROR(aurora_data!O240+aurora_data!O340,0)</f>
        <v>0</v>
      </c>
      <c r="Q28" s="40">
        <f>IFERROR(aurora_data!P240+aurora_data!P340,0)</f>
        <v>0</v>
      </c>
      <c r="R28" s="41">
        <f>IFERROR(aurora_data!Q240+aurora_data!Q340,0)</f>
        <v>0</v>
      </c>
      <c r="S28" s="40">
        <f>IFERROR(aurora_data!R240+aurora_data!R340,0)</f>
        <v>0</v>
      </c>
      <c r="T28" s="40">
        <f>IFERROR(aurora_data!S240+aurora_data!S340,0)</f>
        <v>0</v>
      </c>
      <c r="U28" s="41">
        <f>IFERROR(aurora_data!T240+aurora_data!T340,0)</f>
        <v>0</v>
      </c>
      <c r="V28" s="61" t="s">
        <v>198</v>
      </c>
      <c r="W28" s="39">
        <f>IFERROR(aurora_data!U240+aurora_data!U340,0)</f>
        <v>60</v>
      </c>
      <c r="X28" s="70">
        <f>IFERROR(W28/$W$28,0)</f>
        <v>1</v>
      </c>
      <c r="Y28" s="2"/>
    </row>
    <row r="29" spans="1:25" customFormat="1" ht="15.75" customHeight="1">
      <c r="A29" s="2"/>
      <c r="B29" s="197"/>
      <c r="C29" s="199"/>
      <c r="D29" s="35" t="s">
        <v>199</v>
      </c>
      <c r="E29" s="36">
        <f>IFERROR(aurora_data!D241+aurora_data!D341,0)</f>
        <v>4</v>
      </c>
      <c r="F29" s="62">
        <f>IFERROR(aurora_data!E241+aurora_data!E341,0)</f>
        <v>5</v>
      </c>
      <c r="G29" s="62">
        <f>IFERROR(aurora_data!F241+aurora_data!F341,0)</f>
        <v>9</v>
      </c>
      <c r="H29" s="62">
        <f>IFERROR(aurora_data!G241+aurora_data!G341,0)</f>
        <v>42</v>
      </c>
      <c r="I29" s="63">
        <f>IFERROR(aurora_data!H241+aurora_data!H341,0)</f>
        <v>0</v>
      </c>
      <c r="J29" s="36">
        <f>IFERROR(aurora_data!I241+aurora_data!I341,0)</f>
        <v>0</v>
      </c>
      <c r="K29" s="62">
        <f>IFERROR(aurora_data!J241+aurora_data!J341,0)</f>
        <v>0</v>
      </c>
      <c r="L29" s="62">
        <f>IFERROR(aurora_data!K241+aurora_data!K341,0)</f>
        <v>5</v>
      </c>
      <c r="M29" s="62">
        <f>IFERROR(aurora_data!L241+aurora_data!L341,0)</f>
        <v>5</v>
      </c>
      <c r="N29" s="63">
        <f>IFERROR(aurora_data!M241+aurora_data!M341,0)</f>
        <v>50</v>
      </c>
      <c r="O29" s="36">
        <f>IFERROR(aurora_data!N241+aurora_data!N341,0)</f>
        <v>20</v>
      </c>
      <c r="P29" s="62">
        <f>IFERROR(aurora_data!O241+aurora_data!O341,0)</f>
        <v>10</v>
      </c>
      <c r="Q29" s="62">
        <f>IFERROR(aurora_data!P241+aurora_data!P341,0)</f>
        <v>19</v>
      </c>
      <c r="R29" s="63">
        <f>IFERROR(aurora_data!Q241+aurora_data!Q341,0)</f>
        <v>11</v>
      </c>
      <c r="S29" s="62">
        <f>IFERROR(aurora_data!R241+aurora_data!R341,0)</f>
        <v>34</v>
      </c>
      <c r="T29" s="62">
        <f>IFERROR(aurora_data!S241+aurora_data!S341,0)</f>
        <v>26</v>
      </c>
      <c r="U29" s="63">
        <f>IFERROR(aurora_data!T241+aurora_data!T341,0)</f>
        <v>0</v>
      </c>
      <c r="V29" s="64" t="s">
        <v>198</v>
      </c>
      <c r="W29" s="36">
        <f>IFERROR(aurora_data!U241+aurora_data!U341,0)</f>
        <v>60</v>
      </c>
      <c r="X29" s="71">
        <f t="shared" ref="X29:X35" si="2">IFERROR(W29/$W$28,0)</f>
        <v>1</v>
      </c>
      <c r="Y29" s="2"/>
    </row>
    <row r="30" spans="1:25" customFormat="1" ht="15.75" customHeight="1">
      <c r="A30" s="2"/>
      <c r="B30" s="197"/>
      <c r="C30" s="199"/>
      <c r="D30" s="35" t="s">
        <v>137</v>
      </c>
      <c r="E30" s="36">
        <f>IFERROR(aurora_data!D242+aurora_data!D342,0)</f>
        <v>0</v>
      </c>
      <c r="F30" s="62">
        <f>IFERROR(aurora_data!E242+aurora_data!E342,0)</f>
        <v>0</v>
      </c>
      <c r="G30" s="62">
        <f>IFERROR(aurora_data!F242+aurora_data!F342,0)</f>
        <v>0</v>
      </c>
      <c r="H30" s="62">
        <f>IFERROR(aurora_data!G242+aurora_data!G342,0)</f>
        <v>4</v>
      </c>
      <c r="I30" s="63">
        <f>IFERROR(aurora_data!H242+aurora_data!H342,0)</f>
        <v>0</v>
      </c>
      <c r="J30" s="36">
        <f>IFERROR(aurora_data!I242+aurora_data!I342,0)</f>
        <v>0</v>
      </c>
      <c r="K30" s="62">
        <f>IFERROR(aurora_data!J242+aurora_data!J342,0)</f>
        <v>0</v>
      </c>
      <c r="L30" s="62">
        <f>IFERROR(aurora_data!K242+aurora_data!K342,0)</f>
        <v>0</v>
      </c>
      <c r="M30" s="62">
        <f>IFERROR(aurora_data!L242+aurora_data!L342,0)</f>
        <v>0</v>
      </c>
      <c r="N30" s="63">
        <f>IFERROR(aurora_data!M242+aurora_data!M342,0)</f>
        <v>4</v>
      </c>
      <c r="O30" s="36">
        <f>IFERROR(aurora_data!N242+aurora_data!N342,0)</f>
        <v>4</v>
      </c>
      <c r="P30" s="62">
        <f>IFERROR(aurora_data!O242+aurora_data!O342,0)</f>
        <v>0</v>
      </c>
      <c r="Q30" s="62">
        <f>IFERROR(aurora_data!P242+aurora_data!P342,0)</f>
        <v>0</v>
      </c>
      <c r="R30" s="63">
        <f>IFERROR(aurora_data!Q242+aurora_data!Q342,0)</f>
        <v>0</v>
      </c>
      <c r="S30" s="62">
        <f>IFERROR(aurora_data!R242+aurora_data!R342,0)</f>
        <v>3</v>
      </c>
      <c r="T30" s="62">
        <f>IFERROR(aurora_data!S242+aurora_data!S342,0)</f>
        <v>1</v>
      </c>
      <c r="U30" s="63">
        <f>IFERROR(aurora_data!T242+aurora_data!T342,0)</f>
        <v>0</v>
      </c>
      <c r="V30" s="64" t="s">
        <v>198</v>
      </c>
      <c r="W30" s="36">
        <f>IFERROR(aurora_data!U242+aurora_data!U342,0)</f>
        <v>4</v>
      </c>
      <c r="X30" s="71">
        <f t="shared" si="2"/>
        <v>6.6666666666666666E-2</v>
      </c>
      <c r="Y30" s="2"/>
    </row>
    <row r="31" spans="1:25" customFormat="1" ht="15.75" customHeight="1">
      <c r="A31" s="2"/>
      <c r="B31" s="197"/>
      <c r="C31" s="199"/>
      <c r="D31" s="35" t="s">
        <v>200</v>
      </c>
      <c r="E31" s="36">
        <f>IFERROR(aurora_data!D243+aurora_data!D343,0)</f>
        <v>0</v>
      </c>
      <c r="F31" s="62">
        <f>IFERROR(aurora_data!E243+aurora_data!E343,0)</f>
        <v>0</v>
      </c>
      <c r="G31" s="62">
        <f>IFERROR(aurora_data!F243+aurora_data!F343,0)</f>
        <v>0</v>
      </c>
      <c r="H31" s="62">
        <f>IFERROR(aurora_data!G243+aurora_data!G343,0)</f>
        <v>0</v>
      </c>
      <c r="I31" s="63">
        <f>IFERROR(aurora_data!H243+aurora_data!H343,0)</f>
        <v>0</v>
      </c>
      <c r="J31" s="36">
        <f>IFERROR(aurora_data!I243+aurora_data!I343,0)</f>
        <v>0</v>
      </c>
      <c r="K31" s="62">
        <f>IFERROR(aurora_data!J243+aurora_data!J343,0)</f>
        <v>0</v>
      </c>
      <c r="L31" s="62">
        <f>IFERROR(aurora_data!K243+aurora_data!K343,0)</f>
        <v>0</v>
      </c>
      <c r="M31" s="62">
        <f>IFERROR(aurora_data!L243+aurora_data!L343,0)</f>
        <v>0</v>
      </c>
      <c r="N31" s="63">
        <f>IFERROR(aurora_data!M243+aurora_data!M343,0)</f>
        <v>0</v>
      </c>
      <c r="O31" s="36">
        <f>IFERROR(aurora_data!N243+aurora_data!N343,0)</f>
        <v>0</v>
      </c>
      <c r="P31" s="62">
        <f>IFERROR(aurora_data!O243+aurora_data!O343,0)</f>
        <v>0</v>
      </c>
      <c r="Q31" s="62">
        <f>IFERROR(aurora_data!P243+aurora_data!P343,0)</f>
        <v>0</v>
      </c>
      <c r="R31" s="63">
        <f>IFERROR(aurora_data!Q243+aurora_data!Q343,0)</f>
        <v>0</v>
      </c>
      <c r="S31" s="62">
        <f>IFERROR(aurora_data!R243+aurora_data!R343,0)</f>
        <v>0</v>
      </c>
      <c r="T31" s="62">
        <f>IFERROR(aurora_data!S243+aurora_data!S343,0)</f>
        <v>0</v>
      </c>
      <c r="U31" s="63">
        <f>IFERROR(aurora_data!T243+aurora_data!T343,0)</f>
        <v>0</v>
      </c>
      <c r="V31" s="64" t="s">
        <v>198</v>
      </c>
      <c r="W31" s="36">
        <f>IFERROR(aurora_data!U243+aurora_data!U343,0)</f>
        <v>0</v>
      </c>
      <c r="X31" s="71">
        <f t="shared" si="2"/>
        <v>0</v>
      </c>
      <c r="Y31" s="2"/>
    </row>
    <row r="32" spans="1:25" customFormat="1" ht="16.5" customHeight="1">
      <c r="A32" s="2"/>
      <c r="B32" s="197"/>
      <c r="C32" s="199"/>
      <c r="D32" s="35" t="s">
        <v>201</v>
      </c>
      <c r="E32" s="36">
        <f>IFERROR(aurora_data!D244+aurora_data!D344,0)</f>
        <v>0</v>
      </c>
      <c r="F32" s="62">
        <f>IFERROR(aurora_data!E244+aurora_data!E344,0)</f>
        <v>0</v>
      </c>
      <c r="G32" s="62">
        <f>IFERROR(aurora_data!F244+aurora_data!F344,0)</f>
        <v>0</v>
      </c>
      <c r="H32" s="62">
        <f>IFERROR(aurora_data!G244+aurora_data!G344,0)</f>
        <v>0</v>
      </c>
      <c r="I32" s="63">
        <f>IFERROR(aurora_data!H244+aurora_data!H344,0)</f>
        <v>0</v>
      </c>
      <c r="J32" s="36">
        <f>IFERROR(aurora_data!I244+aurora_data!I344,0)</f>
        <v>0</v>
      </c>
      <c r="K32" s="62">
        <f>IFERROR(aurora_data!J244+aurora_data!J344,0)</f>
        <v>0</v>
      </c>
      <c r="L32" s="62">
        <f>IFERROR(aurora_data!K244+aurora_data!K344,0)</f>
        <v>0</v>
      </c>
      <c r="M32" s="62">
        <f>IFERROR(aurora_data!L244+aurora_data!L344,0)</f>
        <v>0</v>
      </c>
      <c r="N32" s="63">
        <f>IFERROR(aurora_data!M244+aurora_data!M344,0)</f>
        <v>0</v>
      </c>
      <c r="O32" s="36">
        <f>IFERROR(aurora_data!N244+aurora_data!N344,0)</f>
        <v>0</v>
      </c>
      <c r="P32" s="62">
        <f>IFERROR(aurora_data!O244+aurora_data!O344,0)</f>
        <v>0</v>
      </c>
      <c r="Q32" s="62">
        <f>IFERROR(aurora_data!P244+aurora_data!P344,0)</f>
        <v>0</v>
      </c>
      <c r="R32" s="63">
        <f>IFERROR(aurora_data!Q244+aurora_data!Q344,0)</f>
        <v>0</v>
      </c>
      <c r="S32" s="62">
        <f>IFERROR(aurora_data!R244+aurora_data!R344,0)</f>
        <v>0</v>
      </c>
      <c r="T32" s="62">
        <f>IFERROR(aurora_data!S244+aurora_data!S344,0)</f>
        <v>0</v>
      </c>
      <c r="U32" s="63">
        <f>IFERROR(aurora_data!T244+aurora_data!T344,0)</f>
        <v>0</v>
      </c>
      <c r="V32" s="64" t="s">
        <v>198</v>
      </c>
      <c r="W32" s="36">
        <f>IFERROR(aurora_data!U244+aurora_data!U344,0)</f>
        <v>0</v>
      </c>
      <c r="X32" s="71">
        <f t="shared" si="2"/>
        <v>0</v>
      </c>
      <c r="Y32" s="2"/>
    </row>
    <row r="33" spans="1:25" customFormat="1" ht="16.5" customHeight="1" thickBot="1">
      <c r="A33" s="2"/>
      <c r="B33" s="197"/>
      <c r="C33" s="199"/>
      <c r="D33" s="35" t="s">
        <v>202</v>
      </c>
      <c r="E33" s="36">
        <f>IFERROR(aurora_data!D245+aurora_data!D345,0)</f>
        <v>0</v>
      </c>
      <c r="F33" s="62">
        <f>IFERROR(aurora_data!E245+aurora_data!E345,0)</f>
        <v>0</v>
      </c>
      <c r="G33" s="62">
        <f>IFERROR(aurora_data!F245+aurora_data!F345,0)</f>
        <v>0</v>
      </c>
      <c r="H33" s="62">
        <f>IFERROR(aurora_data!G245+aurora_data!G345,0)</f>
        <v>0</v>
      </c>
      <c r="I33" s="63">
        <f>IFERROR(aurora_data!H245+aurora_data!H345,0)</f>
        <v>0</v>
      </c>
      <c r="J33" s="36">
        <f>IFERROR(aurora_data!I245+aurora_data!I345,0)</f>
        <v>0</v>
      </c>
      <c r="K33" s="62">
        <f>IFERROR(aurora_data!J245+aurora_data!J345,0)</f>
        <v>0</v>
      </c>
      <c r="L33" s="62">
        <f>IFERROR(aurora_data!K245+aurora_data!K345,0)</f>
        <v>0</v>
      </c>
      <c r="M33" s="62">
        <f>IFERROR(aurora_data!L245+aurora_data!L345,0)</f>
        <v>0</v>
      </c>
      <c r="N33" s="63">
        <f>IFERROR(aurora_data!M245+aurora_data!M345,0)</f>
        <v>0</v>
      </c>
      <c r="O33" s="36">
        <f>IFERROR(aurora_data!N245+aurora_data!N345,0)</f>
        <v>0</v>
      </c>
      <c r="P33" s="62">
        <f>IFERROR(aurora_data!O245+aurora_data!O345,0)</f>
        <v>0</v>
      </c>
      <c r="Q33" s="62">
        <f>IFERROR(aurora_data!P245+aurora_data!P345,0)</f>
        <v>0</v>
      </c>
      <c r="R33" s="63">
        <f>IFERROR(aurora_data!Q245+aurora_data!Q345,0)</f>
        <v>0</v>
      </c>
      <c r="S33" s="62">
        <f>IFERROR(aurora_data!R245+aurora_data!R345,0)</f>
        <v>0</v>
      </c>
      <c r="T33" s="62">
        <f>IFERROR(aurora_data!S245+aurora_data!S345,0)</f>
        <v>0</v>
      </c>
      <c r="U33" s="63">
        <f>IFERROR(aurora_data!T245+aurora_data!T345,0)</f>
        <v>0</v>
      </c>
      <c r="V33" s="64" t="s">
        <v>198</v>
      </c>
      <c r="W33" s="36">
        <f>IFERROR(aurora_data!U245+aurora_data!U345,0)</f>
        <v>0</v>
      </c>
      <c r="X33" s="71">
        <f t="shared" si="2"/>
        <v>0</v>
      </c>
      <c r="Y33" s="2"/>
    </row>
    <row r="34" spans="1:25" customFormat="1" ht="16.5" customHeight="1" thickBot="1">
      <c r="A34" s="2"/>
      <c r="B34" s="197"/>
      <c r="C34" s="199"/>
      <c r="D34" s="37" t="s">
        <v>141</v>
      </c>
      <c r="E34" s="59">
        <f>IFERROR(aurora_data!D246+aurora_data!D346,0)</f>
        <v>4</v>
      </c>
      <c r="F34" s="65">
        <f>IFERROR(aurora_data!E246+aurora_data!E346,0)</f>
        <v>5</v>
      </c>
      <c r="G34" s="65">
        <f>IFERROR(aurora_data!F246+aurora_data!F346,0)</f>
        <v>9</v>
      </c>
      <c r="H34" s="65">
        <f>IFERROR(aurora_data!G246+aurora_data!G346,0)</f>
        <v>46</v>
      </c>
      <c r="I34" s="66">
        <f>IFERROR(aurora_data!H246+aurora_data!H346,0)</f>
        <v>0</v>
      </c>
      <c r="J34" s="59">
        <f>IFERROR(aurora_data!I246+aurora_data!I346,0)</f>
        <v>0</v>
      </c>
      <c r="K34" s="65">
        <f>IFERROR(aurora_data!J246+aurora_data!J346,0)</f>
        <v>0</v>
      </c>
      <c r="L34" s="65">
        <f>IFERROR(aurora_data!K246+aurora_data!K346,0)</f>
        <v>5</v>
      </c>
      <c r="M34" s="65">
        <f>IFERROR(aurora_data!L246+aurora_data!L346,0)</f>
        <v>5</v>
      </c>
      <c r="N34" s="66">
        <f>IFERROR(aurora_data!M246+aurora_data!M346,0)</f>
        <v>54</v>
      </c>
      <c r="O34" s="59">
        <f>IFERROR(aurora_data!N246+aurora_data!N346,0)</f>
        <v>24</v>
      </c>
      <c r="P34" s="65">
        <f>IFERROR(aurora_data!O246+aurora_data!O346,0)</f>
        <v>10</v>
      </c>
      <c r="Q34" s="65">
        <f>IFERROR(aurora_data!P246+aurora_data!P346,0)</f>
        <v>19</v>
      </c>
      <c r="R34" s="66">
        <f>IFERROR(aurora_data!Q246+aurora_data!Q346,0)</f>
        <v>11</v>
      </c>
      <c r="S34" s="65">
        <f>IFERROR(aurora_data!R246+aurora_data!R346,0)</f>
        <v>37</v>
      </c>
      <c r="T34" s="65">
        <f>IFERROR(aurora_data!S246+aurora_data!S346,0)</f>
        <v>27</v>
      </c>
      <c r="U34" s="66">
        <f>IFERROR(aurora_data!T246+aurora_data!T346,0)</f>
        <v>0</v>
      </c>
      <c r="V34" s="67" t="s">
        <v>198</v>
      </c>
      <c r="W34" s="59">
        <f>IFERROR(aurora_data!U246+aurora_data!U346,0)</f>
        <v>64</v>
      </c>
      <c r="X34" s="72">
        <f t="shared" si="2"/>
        <v>1.0666666666666667</v>
      </c>
      <c r="Y34" s="2"/>
    </row>
    <row r="35" spans="1:25" customFormat="1" ht="16.5" customHeight="1" thickBot="1">
      <c r="A35" s="2"/>
      <c r="B35" s="197"/>
      <c r="C35" s="199"/>
      <c r="D35" s="38" t="s">
        <v>203</v>
      </c>
      <c r="E35" s="60">
        <f>IFERROR(aurora_data!D247+aurora_data!D347,0)</f>
        <v>0</v>
      </c>
      <c r="F35" s="68">
        <f>IFERROR(aurora_data!E247+aurora_data!E347,0)</f>
        <v>0</v>
      </c>
      <c r="G35" s="68">
        <f>IFERROR(aurora_data!F247+aurora_data!F347,0)</f>
        <v>0</v>
      </c>
      <c r="H35" s="68">
        <f>IFERROR(aurora_data!G247+aurora_data!G347,0)</f>
        <v>0</v>
      </c>
      <c r="I35" s="69">
        <f>IFERROR(aurora_data!H247+aurora_data!H347,0)</f>
        <v>0</v>
      </c>
      <c r="J35" s="60">
        <f>IFERROR(aurora_data!I247+aurora_data!I347,0)</f>
        <v>0</v>
      </c>
      <c r="K35" s="68">
        <f>IFERROR(aurora_data!J247+aurora_data!J347,0)</f>
        <v>0</v>
      </c>
      <c r="L35" s="68">
        <f>IFERROR(aurora_data!K247+aurora_data!K347,0)</f>
        <v>0</v>
      </c>
      <c r="M35" s="68">
        <f>IFERROR(aurora_data!L247+aurora_data!L347,0)</f>
        <v>0</v>
      </c>
      <c r="N35" s="69">
        <f>IFERROR(aurora_data!M247+aurora_data!M347,0)</f>
        <v>0</v>
      </c>
      <c r="O35" s="60">
        <f>IFERROR(aurora_data!N247+aurora_data!N347,0)</f>
        <v>0</v>
      </c>
      <c r="P35" s="68">
        <f>IFERROR(aurora_data!O247+aurora_data!O347,0)</f>
        <v>0</v>
      </c>
      <c r="Q35" s="68">
        <f>IFERROR(aurora_data!P247+aurora_data!P347,0)</f>
        <v>0</v>
      </c>
      <c r="R35" s="69">
        <f>IFERROR(aurora_data!Q247+aurora_data!Q347,0)</f>
        <v>0</v>
      </c>
      <c r="S35" s="68">
        <f>IFERROR(aurora_data!R247+aurora_data!R347,0)</f>
        <v>0</v>
      </c>
      <c r="T35" s="68">
        <f>IFERROR(aurora_data!S247+aurora_data!S347,0)</f>
        <v>0</v>
      </c>
      <c r="U35" s="74">
        <f>IFERROR(aurora_data!T247+aurora_data!T347,0)</f>
        <v>0</v>
      </c>
      <c r="V35" s="75" t="s">
        <v>198</v>
      </c>
      <c r="W35" s="60">
        <f>IFERROR(aurora_data!U247+aurora_data!U347,0)</f>
        <v>0</v>
      </c>
      <c r="X35" s="73">
        <f t="shared" si="2"/>
        <v>0</v>
      </c>
      <c r="Y35" s="2"/>
    </row>
    <row r="36" spans="1:25" ht="16.5" customHeight="1">
      <c r="B36" s="97"/>
      <c r="C36" s="97"/>
    </row>
  </sheetData>
  <sheetProtection sheet="1" objects="1" scenarios="1"/>
  <mergeCells count="2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B28:B35"/>
    <mergeCell ref="C28:C35"/>
    <mergeCell ref="J10:N10"/>
    <mergeCell ref="O10:R10"/>
    <mergeCell ref="S10:U10"/>
    <mergeCell ref="B12:B19"/>
    <mergeCell ref="C12:C19"/>
    <mergeCell ref="B20:B27"/>
    <mergeCell ref="C20:C27"/>
  </mergeCells>
  <conditionalFormatting sqref="E13:W13">
    <cfRule type="expression" dxfId="55" priority="3">
      <formula>ROUND(E$13,0) &gt;= ROUND(E$12,0)</formula>
    </cfRule>
  </conditionalFormatting>
  <conditionalFormatting sqref="E18:W18">
    <cfRule type="expression" dxfId="54" priority="5">
      <formula>ROUND(E$18,0) &lt; ROUND(E$12,0)</formula>
    </cfRule>
  </conditionalFormatting>
  <conditionalFormatting sqref="E21:W21">
    <cfRule type="expression" dxfId="53" priority="4">
      <formula>ROUND(E$21,0) &gt;= ROUND(E$20,0)</formula>
    </cfRule>
  </conditionalFormatting>
  <conditionalFormatting sqref="E26:W26">
    <cfRule type="expression" dxfId="52" priority="6">
      <formula>ROUND(E$26,0) &lt; ROUND(E$20,0)</formula>
    </cfRule>
  </conditionalFormatting>
  <conditionalFormatting sqref="E29:W29">
    <cfRule type="expression" dxfId="51" priority="1">
      <formula>ROUND(E$29,0) &gt;= ROUND(E$28,0)</formula>
    </cfRule>
  </conditionalFormatting>
  <conditionalFormatting sqref="E34:W34">
    <cfRule type="expression" dxfId="50" priority="152">
      <formula>ROUND(E$34,0) &lt; ROUND(E$28,0)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6385-7B92-4FCE-8137-E50212AD3BB0}">
  <sheetPr codeName="Sheet6">
    <tabColor rgb="FFFFFF00"/>
  </sheetPr>
  <dimension ref="A1:Y36"/>
  <sheetViews>
    <sheetView topLeftCell="A3" zoomScale="85" zoomScaleNormal="85" workbookViewId="0">
      <selection activeCell="T15" sqref="T15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40">
        <v>30</v>
      </c>
      <c r="B1" s="141"/>
      <c r="C1" s="142"/>
      <c r="D1" s="143" t="s">
        <v>179</v>
      </c>
      <c r="E1" s="144"/>
      <c r="F1" s="144"/>
      <c r="G1" s="144"/>
      <c r="H1" s="145"/>
      <c r="I1" s="98"/>
      <c r="J1" s="88"/>
      <c r="K1" s="100"/>
      <c r="L1" s="100"/>
      <c r="M1" s="100"/>
      <c r="N1" s="100" t="s">
        <v>180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46" t="s">
        <v>181</v>
      </c>
      <c r="B2" s="146"/>
      <c r="C2" s="147"/>
      <c r="D2" s="148" t="str">
        <f>_xlfn.CONCAT("Study Name: ","
CELF-6 RF 1 &amp; 2 Clinical Autism Spectrum Disorder (5-16) ")</f>
        <v xml:space="preserve">Study Name: 
CELF-6 RF 1 &amp; 2 Clinical Autism Spectrum Disorder (5-16) </v>
      </c>
      <c r="E2" s="149"/>
      <c r="F2" s="149"/>
      <c r="G2" s="149"/>
      <c r="H2" s="150"/>
      <c r="I2" s="4"/>
      <c r="J2" s="4"/>
      <c r="K2" s="151" t="s">
        <v>182</v>
      </c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3"/>
      <c r="Y2" s="103"/>
    </row>
    <row r="3" spans="1:25" customFormat="1" ht="30.75" customHeight="1" thickBot="1">
      <c r="A3" s="2"/>
      <c r="B3" s="2"/>
      <c r="C3" s="2"/>
      <c r="D3" s="158" t="str">
        <f>_xlfn.CONCAT("Study Acronym: ","
C_ASDL_RF1/C_ASDL_RF2")</f>
        <v>Study Acronym: 
C_ASDL_RF1/C_ASDL_RF2</v>
      </c>
      <c r="E3" s="159"/>
      <c r="F3" s="160" t="s">
        <v>205</v>
      </c>
      <c r="G3" s="160"/>
      <c r="H3" s="161"/>
      <c r="I3" s="4"/>
      <c r="J3" s="4"/>
      <c r="K3" s="154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3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54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3"/>
      <c r="Y4" s="104"/>
    </row>
    <row r="5" spans="1:25" customFormat="1" ht="21.95" customHeight="1" thickBot="1">
      <c r="A5" s="2"/>
      <c r="B5" s="2"/>
      <c r="C5" s="102"/>
      <c r="D5" s="143" t="s">
        <v>184</v>
      </c>
      <c r="E5" s="144"/>
      <c r="F5" s="144"/>
      <c r="G5" s="144"/>
      <c r="H5" s="101"/>
      <c r="I5" s="98"/>
      <c r="J5" s="98"/>
      <c r="K5" s="154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3"/>
      <c r="Y5" s="105"/>
    </row>
    <row r="6" spans="1:25" customFormat="1" ht="60.95" customHeight="1" thickBot="1">
      <c r="A6" s="2"/>
      <c r="B6" s="2"/>
      <c r="C6" s="99"/>
      <c r="D6" s="162" t="s">
        <v>185</v>
      </c>
      <c r="E6" s="163"/>
      <c r="F6" s="163"/>
      <c r="G6" s="163"/>
      <c r="H6" s="164"/>
      <c r="I6" s="136"/>
      <c r="J6" s="137"/>
      <c r="K6" s="155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7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65" t="str">
        <f>_xlfn.CONCAT("Last Refreshed at: ",aurora_data!V432)</f>
        <v>Last Refreshed at: 08/06/2026 @ 7:19 AM</v>
      </c>
      <c r="C8" s="166"/>
      <c r="D8" s="166"/>
      <c r="E8" s="167" t="s">
        <v>186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9"/>
      <c r="V8" s="44"/>
      <c r="W8" s="170" t="s">
        <v>187</v>
      </c>
      <c r="X8" s="171"/>
      <c r="Y8" s="2"/>
    </row>
    <row r="9" spans="1:25" customFormat="1" ht="16.5" customHeight="1" thickBot="1">
      <c r="A9" s="2"/>
      <c r="B9" s="176"/>
      <c r="C9" s="177"/>
      <c r="D9" s="29" t="s">
        <v>188</v>
      </c>
      <c r="E9" s="178" t="s">
        <v>189</v>
      </c>
      <c r="F9" s="179"/>
      <c r="G9" s="179"/>
      <c r="H9" s="179"/>
      <c r="I9" s="179"/>
      <c r="J9" s="180" t="s">
        <v>189</v>
      </c>
      <c r="K9" s="181"/>
      <c r="L9" s="181"/>
      <c r="M9" s="181"/>
      <c r="N9" s="181"/>
      <c r="O9" s="182" t="s">
        <v>189</v>
      </c>
      <c r="P9" s="183"/>
      <c r="Q9" s="183"/>
      <c r="R9" s="183"/>
      <c r="S9" s="184" t="s">
        <v>189</v>
      </c>
      <c r="T9" s="185"/>
      <c r="U9" s="185"/>
      <c r="V9" s="28"/>
      <c r="W9" s="172"/>
      <c r="X9" s="173"/>
      <c r="Y9" s="2"/>
    </row>
    <row r="10" spans="1:25" customFormat="1" ht="17.25" thickTop="1" thickBot="1">
      <c r="A10" s="2"/>
      <c r="B10" s="186" t="s">
        <v>190</v>
      </c>
      <c r="C10" s="30"/>
      <c r="D10" s="31"/>
      <c r="E10" s="187" t="s">
        <v>191</v>
      </c>
      <c r="F10" s="188"/>
      <c r="G10" s="188"/>
      <c r="H10" s="188"/>
      <c r="I10" s="189"/>
      <c r="J10" s="188" t="s">
        <v>192</v>
      </c>
      <c r="K10" s="188"/>
      <c r="L10" s="188"/>
      <c r="M10" s="188"/>
      <c r="N10" s="189"/>
      <c r="O10" s="190" t="s">
        <v>193</v>
      </c>
      <c r="P10" s="190"/>
      <c r="Q10" s="190"/>
      <c r="R10" s="190"/>
      <c r="S10" s="191" t="s">
        <v>194</v>
      </c>
      <c r="T10" s="192"/>
      <c r="U10" s="193"/>
      <c r="V10" s="32"/>
      <c r="W10" s="172"/>
      <c r="X10" s="173"/>
      <c r="Y10" s="2"/>
    </row>
    <row r="11" spans="1:25" customFormat="1" ht="17.25" thickTop="1" thickBot="1">
      <c r="A11" s="2"/>
      <c r="B11" s="186"/>
      <c r="C11" s="30" t="s">
        <v>110</v>
      </c>
      <c r="D11" s="33" t="s">
        <v>112</v>
      </c>
      <c r="E11" s="96">
        <v>1</v>
      </c>
      <c r="F11" s="94">
        <v>2</v>
      </c>
      <c r="G11" s="95" t="s">
        <v>115</v>
      </c>
      <c r="H11" s="95">
        <v>4</v>
      </c>
      <c r="I11" s="95">
        <v>5</v>
      </c>
      <c r="J11" s="89" t="s">
        <v>118</v>
      </c>
      <c r="K11" s="89" t="s">
        <v>119</v>
      </c>
      <c r="L11" s="89" t="s">
        <v>120</v>
      </c>
      <c r="M11" s="93" t="s">
        <v>195</v>
      </c>
      <c r="N11" s="93" t="s">
        <v>122</v>
      </c>
      <c r="O11" s="89" t="s">
        <v>123</v>
      </c>
      <c r="P11" s="89" t="s">
        <v>124</v>
      </c>
      <c r="Q11" s="89" t="s">
        <v>125</v>
      </c>
      <c r="R11" s="89" t="s">
        <v>126</v>
      </c>
      <c r="S11" s="90" t="s">
        <v>127</v>
      </c>
      <c r="T11" s="91" t="s">
        <v>128</v>
      </c>
      <c r="U11" s="92" t="s">
        <v>196</v>
      </c>
      <c r="V11" s="28"/>
      <c r="W11" s="174"/>
      <c r="X11" s="175"/>
      <c r="Y11" s="2"/>
    </row>
    <row r="12" spans="1:25" customFormat="1">
      <c r="A12" s="2"/>
      <c r="B12" s="200" t="s">
        <v>197</v>
      </c>
      <c r="C12" s="194" t="str">
        <f>aurora_data!A432</f>
        <v>05.00.00-08.11.30</v>
      </c>
      <c r="D12" s="34" t="s">
        <v>153</v>
      </c>
      <c r="E12" s="39">
        <f>IFERROR(aurora_data!D432,0)</f>
        <v>0</v>
      </c>
      <c r="F12" s="40">
        <f>IFERROR(aurora_data!E432,0)</f>
        <v>0</v>
      </c>
      <c r="G12" s="40">
        <f>IFERROR(aurora_data!F432,0)</f>
        <v>0</v>
      </c>
      <c r="H12" s="40">
        <f>IFERROR(aurora_data!G432,0)</f>
        <v>0</v>
      </c>
      <c r="I12" s="41">
        <f>IFERROR(aurora_data!H432,0)</f>
        <v>0</v>
      </c>
      <c r="J12" s="39">
        <f>IFERROR(aurora_data!I432,0)</f>
        <v>0</v>
      </c>
      <c r="K12" s="40">
        <f>IFERROR(aurora_data!J432,0)</f>
        <v>0</v>
      </c>
      <c r="L12" s="40">
        <f>IFERROR(aurora_data!K432,0)</f>
        <v>0</v>
      </c>
      <c r="M12" s="40">
        <f>IFERROR(aurora_data!L432,0)</f>
        <v>0</v>
      </c>
      <c r="N12" s="41">
        <f>IFERROR(aurora_data!M432,0)</f>
        <v>0</v>
      </c>
      <c r="O12" s="39">
        <f>IFERROR(aurora_data!N432,0)</f>
        <v>0</v>
      </c>
      <c r="P12" s="40">
        <f>IFERROR(aurora_data!O432,0)</f>
        <v>0</v>
      </c>
      <c r="Q12" s="40">
        <f>IFERROR(aurora_data!P432,0)</f>
        <v>0</v>
      </c>
      <c r="R12" s="41">
        <f>IFERROR(aurora_data!Q432,0)</f>
        <v>0</v>
      </c>
      <c r="S12" s="40">
        <f>IFERROR(aurora_data!R432,0)</f>
        <v>0</v>
      </c>
      <c r="T12" s="40">
        <f>IFERROR(aurora_data!S432,0)</f>
        <v>0</v>
      </c>
      <c r="U12" s="76">
        <f>IFERROR(aurora_data!T432,0)</f>
        <v>0</v>
      </c>
      <c r="V12" s="61" t="s">
        <v>198</v>
      </c>
      <c r="W12" s="39">
        <f>IFERROR(aurora_data!U432,0)</f>
        <v>30</v>
      </c>
      <c r="X12" s="70">
        <f>IFERROR(W12/$W$12,0)</f>
        <v>1</v>
      </c>
      <c r="Y12" s="2"/>
    </row>
    <row r="13" spans="1:25" customFormat="1">
      <c r="A13" s="2"/>
      <c r="B13" s="201"/>
      <c r="C13" s="195"/>
      <c r="D13" s="35" t="s">
        <v>199</v>
      </c>
      <c r="E13" s="110">
        <f>IFERROR(aurora_data!D433,0)</f>
        <v>0</v>
      </c>
      <c r="F13" s="62">
        <f>IFERROR(aurora_data!E433,0)</f>
        <v>6</v>
      </c>
      <c r="G13" s="62">
        <f>IFERROR(aurora_data!F433,0)</f>
        <v>8</v>
      </c>
      <c r="H13" s="62">
        <f>IFERROR(aurora_data!G433,0)</f>
        <v>16</v>
      </c>
      <c r="I13" s="63">
        <f>IFERROR(aurora_data!H433,0)</f>
        <v>0</v>
      </c>
      <c r="J13" s="36">
        <f>IFERROR(aurora_data!I433,0)</f>
        <v>2</v>
      </c>
      <c r="K13" s="62">
        <f>IFERROR(aurora_data!J433,0)</f>
        <v>2</v>
      </c>
      <c r="L13" s="62">
        <f>IFERROR(aurora_data!K433,0)</f>
        <v>6</v>
      </c>
      <c r="M13" s="62">
        <f>IFERROR(aurora_data!L433,0)</f>
        <v>2</v>
      </c>
      <c r="N13" s="63">
        <f>IFERROR(aurora_data!M433,0)</f>
        <v>18</v>
      </c>
      <c r="O13" s="36">
        <f>IFERROR(aurora_data!N433,0)</f>
        <v>15</v>
      </c>
      <c r="P13" s="62">
        <f>IFERROR(aurora_data!O433,0)</f>
        <v>6</v>
      </c>
      <c r="Q13" s="62">
        <f>IFERROR(aurora_data!P433,0)</f>
        <v>8</v>
      </c>
      <c r="R13" s="63">
        <f>IFERROR(aurora_data!Q433,0)</f>
        <v>1</v>
      </c>
      <c r="S13" s="62">
        <f>IFERROR(aurora_data!R433,0)</f>
        <v>5</v>
      </c>
      <c r="T13" s="62">
        <f>IFERROR(aurora_data!S433,0)</f>
        <v>25</v>
      </c>
      <c r="U13" s="63">
        <f>IFERROR(aurora_data!T433,0)</f>
        <v>0</v>
      </c>
      <c r="V13" s="64" t="s">
        <v>198</v>
      </c>
      <c r="W13" s="36">
        <f>IFERROR(aurora_data!U433,0)</f>
        <v>30</v>
      </c>
      <c r="X13" s="71">
        <f t="shared" ref="X13:X19" si="0">IFERROR(W13/$W$12,0)</f>
        <v>1</v>
      </c>
      <c r="Y13" s="2"/>
    </row>
    <row r="14" spans="1:25" customFormat="1">
      <c r="A14" s="2"/>
      <c r="B14" s="201"/>
      <c r="C14" s="195"/>
      <c r="D14" s="35" t="s">
        <v>137</v>
      </c>
      <c r="E14" s="110">
        <f>IFERROR(aurora_data!D434,0)</f>
        <v>0</v>
      </c>
      <c r="F14" s="62">
        <f>IFERROR(aurora_data!E434,0)</f>
        <v>0</v>
      </c>
      <c r="G14" s="62">
        <f>IFERROR(aurora_data!F434,0)</f>
        <v>0</v>
      </c>
      <c r="H14" s="62">
        <f>IFERROR(aurora_data!G434,0)</f>
        <v>0</v>
      </c>
      <c r="I14" s="63">
        <f>IFERROR(aurora_data!H434,0)</f>
        <v>0</v>
      </c>
      <c r="J14" s="36">
        <f>IFERROR(aurora_data!I434,0)</f>
        <v>0</v>
      </c>
      <c r="K14" s="62">
        <f>IFERROR(aurora_data!J434,0)</f>
        <v>0</v>
      </c>
      <c r="L14" s="62">
        <f>IFERROR(aurora_data!K434,0)</f>
        <v>0</v>
      </c>
      <c r="M14" s="62">
        <f>IFERROR(aurora_data!L434,0)</f>
        <v>0</v>
      </c>
      <c r="N14" s="63">
        <f>IFERROR(aurora_data!M434,0)</f>
        <v>0</v>
      </c>
      <c r="O14" s="36">
        <f>IFERROR(aurora_data!N434,0)</f>
        <v>0</v>
      </c>
      <c r="P14" s="62">
        <f>IFERROR(aurora_data!O434,0)</f>
        <v>0</v>
      </c>
      <c r="Q14" s="62">
        <f>IFERROR(aurora_data!P434,0)</f>
        <v>0</v>
      </c>
      <c r="R14" s="63">
        <f>IFERROR(aurora_data!Q434,0)</f>
        <v>0</v>
      </c>
      <c r="S14" s="62">
        <f>IFERROR(aurora_data!R434,0)</f>
        <v>0</v>
      </c>
      <c r="T14" s="62">
        <f>IFERROR(aurora_data!S434,0)</f>
        <v>0</v>
      </c>
      <c r="U14" s="63">
        <f>IFERROR(aurora_data!T434,0)</f>
        <v>0</v>
      </c>
      <c r="V14" s="64" t="s">
        <v>198</v>
      </c>
      <c r="W14" s="36">
        <f>IFERROR(aurora_data!U434,0)</f>
        <v>0</v>
      </c>
      <c r="X14" s="71">
        <f t="shared" si="0"/>
        <v>0</v>
      </c>
      <c r="Y14" s="2"/>
    </row>
    <row r="15" spans="1:25" customFormat="1">
      <c r="A15" s="2"/>
      <c r="B15" s="201"/>
      <c r="C15" s="195"/>
      <c r="D15" s="35" t="s">
        <v>200</v>
      </c>
      <c r="E15" s="36">
        <f>IFERROR(aurora_data!D435,0)</f>
        <v>0</v>
      </c>
      <c r="F15" s="62">
        <f>IFERROR(aurora_data!E435,0)</f>
        <v>0</v>
      </c>
      <c r="G15" s="62">
        <f>IFERROR(aurora_data!F435,0)</f>
        <v>0</v>
      </c>
      <c r="H15" s="62">
        <f>IFERROR(aurora_data!G435,0)</f>
        <v>0</v>
      </c>
      <c r="I15" s="63">
        <f>IFERROR(aurora_data!H435,0)</f>
        <v>0</v>
      </c>
      <c r="J15" s="36">
        <f>IFERROR(aurora_data!I435,0)</f>
        <v>0</v>
      </c>
      <c r="K15" s="62">
        <f>IFERROR(aurora_data!J435,0)</f>
        <v>0</v>
      </c>
      <c r="L15" s="62">
        <f>IFERROR(aurora_data!K435,0)</f>
        <v>0</v>
      </c>
      <c r="M15" s="62">
        <f>IFERROR(aurora_data!L435,0)</f>
        <v>0</v>
      </c>
      <c r="N15" s="63">
        <f>IFERROR(aurora_data!M435,0)</f>
        <v>0</v>
      </c>
      <c r="O15" s="36">
        <f>IFERROR(aurora_data!N435,0)</f>
        <v>0</v>
      </c>
      <c r="P15" s="62">
        <f>IFERROR(aurora_data!O435,0)</f>
        <v>0</v>
      </c>
      <c r="Q15" s="62">
        <f>IFERROR(aurora_data!P435,0)</f>
        <v>0</v>
      </c>
      <c r="R15" s="63">
        <f>IFERROR(aurora_data!Q435,0)</f>
        <v>0</v>
      </c>
      <c r="S15" s="62">
        <f>IFERROR(aurora_data!R435,0)</f>
        <v>0</v>
      </c>
      <c r="T15" s="62">
        <f>IFERROR(aurora_data!S435,0)</f>
        <v>0</v>
      </c>
      <c r="U15" s="63">
        <f>IFERROR(aurora_data!T435,0)</f>
        <v>0</v>
      </c>
      <c r="V15" s="64" t="s">
        <v>198</v>
      </c>
      <c r="W15" s="36">
        <f>IFERROR(aurora_data!U435,0)</f>
        <v>0</v>
      </c>
      <c r="X15" s="71">
        <f t="shared" si="0"/>
        <v>0</v>
      </c>
      <c r="Y15" s="2"/>
    </row>
    <row r="16" spans="1:25" customFormat="1">
      <c r="A16" s="2"/>
      <c r="B16" s="201"/>
      <c r="C16" s="195"/>
      <c r="D16" s="35" t="s">
        <v>201</v>
      </c>
      <c r="E16" s="36">
        <f>IFERROR(aurora_data!D436,0)</f>
        <v>0</v>
      </c>
      <c r="F16" s="62">
        <f>IFERROR(aurora_data!E436,0)</f>
        <v>0</v>
      </c>
      <c r="G16" s="62">
        <f>IFERROR(aurora_data!F436,0)</f>
        <v>0</v>
      </c>
      <c r="H16" s="62">
        <f>IFERROR(aurora_data!G436,0)</f>
        <v>0</v>
      </c>
      <c r="I16" s="63">
        <f>IFERROR(aurora_data!H436,0)</f>
        <v>0</v>
      </c>
      <c r="J16" s="36">
        <f>IFERROR(aurora_data!I436,0)</f>
        <v>0</v>
      </c>
      <c r="K16" s="62">
        <f>IFERROR(aurora_data!J436,0)</f>
        <v>0</v>
      </c>
      <c r="L16" s="62">
        <f>IFERROR(aurora_data!K436,0)</f>
        <v>0</v>
      </c>
      <c r="M16" s="62">
        <f>IFERROR(aurora_data!L436,0)</f>
        <v>0</v>
      </c>
      <c r="N16" s="63">
        <f>IFERROR(aurora_data!M436,0)</f>
        <v>0</v>
      </c>
      <c r="O16" s="36">
        <f>IFERROR(aurora_data!N436,0)</f>
        <v>0</v>
      </c>
      <c r="P16" s="62">
        <f>IFERROR(aurora_data!O436,0)</f>
        <v>0</v>
      </c>
      <c r="Q16" s="62">
        <f>IFERROR(aurora_data!P436,0)</f>
        <v>0</v>
      </c>
      <c r="R16" s="63">
        <f>IFERROR(aurora_data!Q436,0)</f>
        <v>0</v>
      </c>
      <c r="S16" s="62">
        <f>IFERROR(aurora_data!R436,0)</f>
        <v>0</v>
      </c>
      <c r="T16" s="62">
        <f>IFERROR(aurora_data!S436,0)</f>
        <v>0</v>
      </c>
      <c r="U16" s="63">
        <f>IFERROR(aurora_data!T436,0)</f>
        <v>0</v>
      </c>
      <c r="V16" s="64" t="s">
        <v>198</v>
      </c>
      <c r="W16" s="36">
        <f>IFERROR(aurora_data!U436,0)</f>
        <v>0</v>
      </c>
      <c r="X16" s="71">
        <f t="shared" si="0"/>
        <v>0</v>
      </c>
      <c r="Y16" s="2"/>
    </row>
    <row r="17" spans="1:25" customFormat="1" ht="16.5" thickBot="1">
      <c r="A17" s="2"/>
      <c r="B17" s="201"/>
      <c r="C17" s="195"/>
      <c r="D17" s="35" t="s">
        <v>202</v>
      </c>
      <c r="E17" s="36">
        <f>IFERROR(aurora_data!D437,0)</f>
        <v>0</v>
      </c>
      <c r="F17" s="62">
        <f>IFERROR(aurora_data!E437,0)</f>
        <v>0</v>
      </c>
      <c r="G17" s="62">
        <f>IFERROR(aurora_data!F437,0)</f>
        <v>0</v>
      </c>
      <c r="H17" s="62">
        <f>IFERROR(aurora_data!G437,0)</f>
        <v>0</v>
      </c>
      <c r="I17" s="63">
        <f>IFERROR(aurora_data!H437,0)</f>
        <v>0</v>
      </c>
      <c r="J17" s="36">
        <f>IFERROR(aurora_data!I437,0)</f>
        <v>0</v>
      </c>
      <c r="K17" s="62">
        <f>IFERROR(aurora_data!J437,0)</f>
        <v>0</v>
      </c>
      <c r="L17" s="62">
        <f>IFERROR(aurora_data!K437,0)</f>
        <v>0</v>
      </c>
      <c r="M17" s="62">
        <f>IFERROR(aurora_data!L437,0)</f>
        <v>0</v>
      </c>
      <c r="N17" s="63">
        <f>IFERROR(aurora_data!M437,0)</f>
        <v>0</v>
      </c>
      <c r="O17" s="36">
        <f>IFERROR(aurora_data!N437,0)</f>
        <v>0</v>
      </c>
      <c r="P17" s="62">
        <f>IFERROR(aurora_data!O437,0)</f>
        <v>0</v>
      </c>
      <c r="Q17" s="62">
        <f>IFERROR(aurora_data!P437,0)</f>
        <v>0</v>
      </c>
      <c r="R17" s="63">
        <f>IFERROR(aurora_data!Q437,0)</f>
        <v>0</v>
      </c>
      <c r="S17" s="62">
        <f>IFERROR(aurora_data!R437,0)</f>
        <v>0</v>
      </c>
      <c r="T17" s="62">
        <f>IFERROR(aurora_data!S437,0)</f>
        <v>0</v>
      </c>
      <c r="U17" s="63">
        <f>IFERROR(aurora_data!T437,0)</f>
        <v>0</v>
      </c>
      <c r="V17" s="64" t="s">
        <v>198</v>
      </c>
      <c r="W17" s="36">
        <f>IFERROR(aurora_data!U437,0)</f>
        <v>0</v>
      </c>
      <c r="X17" s="71">
        <f t="shared" si="0"/>
        <v>0</v>
      </c>
      <c r="Y17" s="2"/>
    </row>
    <row r="18" spans="1:25" customFormat="1" ht="16.5" thickBot="1">
      <c r="A18" s="2"/>
      <c r="B18" s="201"/>
      <c r="C18" s="195"/>
      <c r="D18" s="37" t="s">
        <v>141</v>
      </c>
      <c r="E18" s="59">
        <f>IFERROR(aurora_data!D438,0)</f>
        <v>0</v>
      </c>
      <c r="F18" s="65">
        <f>IFERROR(aurora_data!E438,0)</f>
        <v>6</v>
      </c>
      <c r="G18" s="65">
        <f>IFERROR(aurora_data!F438,0)</f>
        <v>8</v>
      </c>
      <c r="H18" s="65">
        <f>IFERROR(aurora_data!G438,0)</f>
        <v>16</v>
      </c>
      <c r="I18" s="66">
        <f>IFERROR(aurora_data!H438,0)</f>
        <v>0</v>
      </c>
      <c r="J18" s="59">
        <f>IFERROR(aurora_data!I438,0)</f>
        <v>2</v>
      </c>
      <c r="K18" s="65">
        <f>IFERROR(aurora_data!J438,0)</f>
        <v>2</v>
      </c>
      <c r="L18" s="65">
        <f>IFERROR(aurora_data!K438,0)</f>
        <v>6</v>
      </c>
      <c r="M18" s="65">
        <f>IFERROR(aurora_data!L438,0)</f>
        <v>2</v>
      </c>
      <c r="N18" s="66">
        <f>IFERROR(aurora_data!M438,0)</f>
        <v>18</v>
      </c>
      <c r="O18" s="59">
        <f>IFERROR(aurora_data!N438,0)</f>
        <v>15</v>
      </c>
      <c r="P18" s="65">
        <f>IFERROR(aurora_data!O438,0)</f>
        <v>6</v>
      </c>
      <c r="Q18" s="65">
        <f>IFERROR(aurora_data!P438,0)</f>
        <v>8</v>
      </c>
      <c r="R18" s="66">
        <f>IFERROR(aurora_data!Q438,0)</f>
        <v>1</v>
      </c>
      <c r="S18" s="65">
        <f>IFERROR(aurora_data!R438,0)</f>
        <v>5</v>
      </c>
      <c r="T18" s="65">
        <f>IFERROR(aurora_data!S438,0)</f>
        <v>25</v>
      </c>
      <c r="U18" s="66">
        <f>IFERROR(aurora_data!T438,0)</f>
        <v>0</v>
      </c>
      <c r="V18" s="67" t="s">
        <v>198</v>
      </c>
      <c r="W18" s="59">
        <f>IFERROR(aurora_data!U438,0)</f>
        <v>30</v>
      </c>
      <c r="X18" s="72">
        <f t="shared" si="0"/>
        <v>1</v>
      </c>
      <c r="Y18" s="2"/>
    </row>
    <row r="19" spans="1:25" customFormat="1" ht="16.5" thickBot="1">
      <c r="A19" s="2"/>
      <c r="B19" s="201"/>
      <c r="C19" s="195"/>
      <c r="D19" s="38" t="s">
        <v>203</v>
      </c>
      <c r="E19" s="60">
        <f>IFERROR(aurora_data!D439,0)</f>
        <v>0</v>
      </c>
      <c r="F19" s="68">
        <f>IFERROR(aurora_data!E439,0)</f>
        <v>0</v>
      </c>
      <c r="G19" s="68">
        <f>IFERROR(aurora_data!F439,0)</f>
        <v>0</v>
      </c>
      <c r="H19" s="68">
        <f>IFERROR(aurora_data!G439,0)</f>
        <v>0</v>
      </c>
      <c r="I19" s="69">
        <f>IFERROR(aurora_data!H439,0)</f>
        <v>0</v>
      </c>
      <c r="J19" s="60">
        <f>IFERROR(aurora_data!I439,0)</f>
        <v>0</v>
      </c>
      <c r="K19" s="68">
        <f>IFERROR(aurora_data!J439,0)</f>
        <v>0</v>
      </c>
      <c r="L19" s="68">
        <f>IFERROR(aurora_data!K439,0)</f>
        <v>0</v>
      </c>
      <c r="M19" s="68">
        <f>IFERROR(aurora_data!L439,0)</f>
        <v>0</v>
      </c>
      <c r="N19" s="69">
        <f>IFERROR(aurora_data!M439,0)</f>
        <v>0</v>
      </c>
      <c r="O19" s="60">
        <f>IFERROR(aurora_data!N439,0)</f>
        <v>0</v>
      </c>
      <c r="P19" s="68">
        <f>IFERROR(aurora_data!O439,0)</f>
        <v>0</v>
      </c>
      <c r="Q19" s="68">
        <f>IFERROR(aurora_data!P439,0)</f>
        <v>0</v>
      </c>
      <c r="R19" s="69">
        <f>IFERROR(aurora_data!Q439,0)</f>
        <v>0</v>
      </c>
      <c r="S19" s="68">
        <f>IFERROR(aurora_data!R439,0)</f>
        <v>0</v>
      </c>
      <c r="T19" s="68">
        <f>IFERROR(aurora_data!S439,0)</f>
        <v>0</v>
      </c>
      <c r="U19" s="74">
        <f>IFERROR(aurora_data!T439,0)</f>
        <v>0</v>
      </c>
      <c r="V19" s="75" t="s">
        <v>198</v>
      </c>
      <c r="W19" s="60">
        <f>IFERROR(aurora_data!U439,0)</f>
        <v>0</v>
      </c>
      <c r="X19" s="73">
        <f t="shared" si="0"/>
        <v>0</v>
      </c>
      <c r="Y19" s="2"/>
    </row>
    <row r="20" spans="1:25" customFormat="1">
      <c r="A20" s="2"/>
      <c r="B20" s="200" t="s">
        <v>197</v>
      </c>
      <c r="C20" s="194" t="str">
        <f>aurora_data!A532</f>
        <v>09.00.00-16.11.30</v>
      </c>
      <c r="D20" s="34" t="s">
        <v>153</v>
      </c>
      <c r="E20" s="39">
        <f>IFERROR(aurora_data!D532,0)</f>
        <v>0</v>
      </c>
      <c r="F20" s="40">
        <f>IFERROR(aurora_data!E532,0)</f>
        <v>0</v>
      </c>
      <c r="G20" s="40">
        <f>IFERROR(aurora_data!F532,0)</f>
        <v>0</v>
      </c>
      <c r="H20" s="40">
        <f>IFERROR(aurora_data!G532,0)</f>
        <v>0</v>
      </c>
      <c r="I20" s="41">
        <f>IFERROR(aurora_data!H532,0)</f>
        <v>0</v>
      </c>
      <c r="J20" s="39">
        <f>IFERROR(aurora_data!I532,0)</f>
        <v>0</v>
      </c>
      <c r="K20" s="40">
        <f>IFERROR(aurora_data!J532,0)</f>
        <v>0</v>
      </c>
      <c r="L20" s="40">
        <f>IFERROR(aurora_data!K532,0)</f>
        <v>0</v>
      </c>
      <c r="M20" s="40">
        <f>IFERROR(aurora_data!L532,0)</f>
        <v>0</v>
      </c>
      <c r="N20" s="41">
        <f>IFERROR(aurora_data!M532,0)</f>
        <v>0</v>
      </c>
      <c r="O20" s="39">
        <f>IFERROR(aurora_data!N532,0)</f>
        <v>0</v>
      </c>
      <c r="P20" s="40">
        <f>IFERROR(aurora_data!O532,0)</f>
        <v>0</v>
      </c>
      <c r="Q20" s="40">
        <f>IFERROR(aurora_data!P532,0)</f>
        <v>0</v>
      </c>
      <c r="R20" s="41">
        <f>IFERROR(aurora_data!Q532,0)</f>
        <v>0</v>
      </c>
      <c r="S20" s="40">
        <f>IFERROR(aurora_data!R532,0)</f>
        <v>0</v>
      </c>
      <c r="T20" s="40">
        <f>IFERROR(aurora_data!S532,0)</f>
        <v>0</v>
      </c>
      <c r="U20" s="76">
        <f>IFERROR(aurora_data!T532,0)</f>
        <v>0</v>
      </c>
      <c r="V20" s="61" t="s">
        <v>198</v>
      </c>
      <c r="W20" s="39">
        <f>IFERROR(aurora_data!U532,0)</f>
        <v>30</v>
      </c>
      <c r="X20" s="70">
        <f>IFERROR(W20/$W$20,0)</f>
        <v>1</v>
      </c>
      <c r="Y20" s="2"/>
    </row>
    <row r="21" spans="1:25" customFormat="1" ht="16.5" customHeight="1">
      <c r="A21" s="2"/>
      <c r="B21" s="201"/>
      <c r="C21" s="195"/>
      <c r="D21" s="35" t="s">
        <v>199</v>
      </c>
      <c r="E21" s="36">
        <f>IFERROR(aurora_data!D533,0)</f>
        <v>0</v>
      </c>
      <c r="F21" s="62">
        <f>IFERROR(aurora_data!E533,0)</f>
        <v>5</v>
      </c>
      <c r="G21" s="62">
        <f>IFERROR(aurora_data!F533,0)</f>
        <v>10</v>
      </c>
      <c r="H21" s="62">
        <f>IFERROR(aurora_data!G533,0)</f>
        <v>15</v>
      </c>
      <c r="I21" s="63">
        <f>IFERROR(aurora_data!H533,0)</f>
        <v>0</v>
      </c>
      <c r="J21" s="36">
        <f>IFERROR(aurora_data!I533,0)</f>
        <v>4</v>
      </c>
      <c r="K21" s="62">
        <f>IFERROR(aurora_data!J533,0)</f>
        <v>0</v>
      </c>
      <c r="L21" s="62">
        <f>IFERROR(aurora_data!K533,0)</f>
        <v>7</v>
      </c>
      <c r="M21" s="62">
        <f>IFERROR(aurora_data!L533,0)</f>
        <v>2</v>
      </c>
      <c r="N21" s="63">
        <f>IFERROR(aurora_data!M533,0)</f>
        <v>17</v>
      </c>
      <c r="O21" s="36">
        <f>IFERROR(aurora_data!N533,0)</f>
        <v>9</v>
      </c>
      <c r="P21" s="62">
        <f>IFERROR(aurora_data!O533,0)</f>
        <v>6</v>
      </c>
      <c r="Q21" s="62">
        <f>IFERROR(aurora_data!P533,0)</f>
        <v>9</v>
      </c>
      <c r="R21" s="63">
        <f>IFERROR(aurora_data!Q533,0)</f>
        <v>6</v>
      </c>
      <c r="S21" s="62">
        <f>IFERROR(aurora_data!R533,0)</f>
        <v>5</v>
      </c>
      <c r="T21" s="62">
        <f>IFERROR(aurora_data!S533,0)</f>
        <v>25</v>
      </c>
      <c r="U21" s="63">
        <f>IFERROR(aurora_data!T533,0)</f>
        <v>0</v>
      </c>
      <c r="V21" s="64" t="s">
        <v>198</v>
      </c>
      <c r="W21" s="36">
        <f>IFERROR(aurora_data!U533,0)</f>
        <v>30</v>
      </c>
      <c r="X21" s="71">
        <f t="shared" ref="X21:X27" si="1">IFERROR(W21/$W$20,0)</f>
        <v>1</v>
      </c>
      <c r="Y21" s="2"/>
    </row>
    <row r="22" spans="1:25" customFormat="1" ht="16.5" customHeight="1">
      <c r="A22" s="2"/>
      <c r="B22" s="201"/>
      <c r="C22" s="195"/>
      <c r="D22" s="35" t="s">
        <v>137</v>
      </c>
      <c r="E22" s="36">
        <f>IFERROR(aurora_data!D534,0)</f>
        <v>0</v>
      </c>
      <c r="F22" s="62">
        <f>IFERROR(aurora_data!E534,0)</f>
        <v>0</v>
      </c>
      <c r="G22" s="62">
        <f>IFERROR(aurora_data!F534,0)</f>
        <v>0</v>
      </c>
      <c r="H22" s="62">
        <f>IFERROR(aurora_data!G534,0)</f>
        <v>1</v>
      </c>
      <c r="I22" s="63">
        <f>IFERROR(aurora_data!H534,0)</f>
        <v>0</v>
      </c>
      <c r="J22" s="36">
        <f>IFERROR(aurora_data!I534,0)</f>
        <v>0</v>
      </c>
      <c r="K22" s="62">
        <f>IFERROR(aurora_data!J534,0)</f>
        <v>0</v>
      </c>
      <c r="L22" s="62">
        <f>IFERROR(aurora_data!K534,0)</f>
        <v>0</v>
      </c>
      <c r="M22" s="62">
        <f>IFERROR(aurora_data!L534,0)</f>
        <v>0</v>
      </c>
      <c r="N22" s="63">
        <f>IFERROR(aurora_data!M534,0)</f>
        <v>1</v>
      </c>
      <c r="O22" s="36">
        <f>IFERROR(aurora_data!N534,0)</f>
        <v>1</v>
      </c>
      <c r="P22" s="62">
        <f>IFERROR(aurora_data!O534,0)</f>
        <v>0</v>
      </c>
      <c r="Q22" s="62">
        <f>IFERROR(aurora_data!P534,0)</f>
        <v>0</v>
      </c>
      <c r="R22" s="63">
        <f>IFERROR(aurora_data!Q534,0)</f>
        <v>0</v>
      </c>
      <c r="S22" s="62">
        <f>IFERROR(aurora_data!R534,0)</f>
        <v>0</v>
      </c>
      <c r="T22" s="62">
        <f>IFERROR(aurora_data!S534,0)</f>
        <v>1</v>
      </c>
      <c r="U22" s="63">
        <f>IFERROR(aurora_data!T534,0)</f>
        <v>0</v>
      </c>
      <c r="V22" s="64" t="s">
        <v>198</v>
      </c>
      <c r="W22" s="36">
        <f>IFERROR(aurora_data!U534,0)</f>
        <v>1</v>
      </c>
      <c r="X22" s="71">
        <f t="shared" si="1"/>
        <v>3.3333333333333333E-2</v>
      </c>
      <c r="Y22" s="2"/>
    </row>
    <row r="23" spans="1:25" customFormat="1">
      <c r="A23" s="2"/>
      <c r="B23" s="201"/>
      <c r="C23" s="195"/>
      <c r="D23" s="35" t="s">
        <v>200</v>
      </c>
      <c r="E23" s="36">
        <f>IFERROR(aurora_data!D535,0)</f>
        <v>0</v>
      </c>
      <c r="F23" s="62">
        <f>IFERROR(aurora_data!E535,0)</f>
        <v>0</v>
      </c>
      <c r="G23" s="62">
        <f>IFERROR(aurora_data!F535,0)</f>
        <v>0</v>
      </c>
      <c r="H23" s="62">
        <f>IFERROR(aurora_data!G535,0)</f>
        <v>0</v>
      </c>
      <c r="I23" s="63">
        <f>IFERROR(aurora_data!H535,0)</f>
        <v>0</v>
      </c>
      <c r="J23" s="36">
        <f>IFERROR(aurora_data!I535,0)</f>
        <v>0</v>
      </c>
      <c r="K23" s="62">
        <f>IFERROR(aurora_data!J535,0)</f>
        <v>0</v>
      </c>
      <c r="L23" s="62">
        <f>IFERROR(aurora_data!K535,0)</f>
        <v>0</v>
      </c>
      <c r="M23" s="62">
        <f>IFERROR(aurora_data!L535,0)</f>
        <v>0</v>
      </c>
      <c r="N23" s="63">
        <f>IFERROR(aurora_data!M535,0)</f>
        <v>0</v>
      </c>
      <c r="O23" s="36">
        <f>IFERROR(aurora_data!N535,0)</f>
        <v>0</v>
      </c>
      <c r="P23" s="62">
        <f>IFERROR(aurora_data!O535,0)</f>
        <v>0</v>
      </c>
      <c r="Q23" s="62">
        <f>IFERROR(aurora_data!P535,0)</f>
        <v>0</v>
      </c>
      <c r="R23" s="63">
        <f>IFERROR(aurora_data!Q535,0)</f>
        <v>0</v>
      </c>
      <c r="S23" s="62">
        <f>IFERROR(aurora_data!R535,0)</f>
        <v>0</v>
      </c>
      <c r="T23" s="62">
        <f>IFERROR(aurora_data!S535,0)</f>
        <v>0</v>
      </c>
      <c r="U23" s="63">
        <f>IFERROR(aurora_data!T535,0)</f>
        <v>0</v>
      </c>
      <c r="V23" s="64" t="s">
        <v>198</v>
      </c>
      <c r="W23" s="36">
        <f>IFERROR(aurora_data!U535,0)</f>
        <v>0</v>
      </c>
      <c r="X23" s="71">
        <f t="shared" si="1"/>
        <v>0</v>
      </c>
      <c r="Y23" s="2"/>
    </row>
    <row r="24" spans="1:25" customFormat="1" ht="16.5" customHeight="1">
      <c r="A24" s="2"/>
      <c r="B24" s="201"/>
      <c r="C24" s="195"/>
      <c r="D24" s="35" t="s">
        <v>201</v>
      </c>
      <c r="E24" s="36">
        <f>IFERROR(aurora_data!D536,0)</f>
        <v>0</v>
      </c>
      <c r="F24" s="62">
        <f>IFERROR(aurora_data!E536,0)</f>
        <v>0</v>
      </c>
      <c r="G24" s="62">
        <f>IFERROR(aurora_data!F536,0)</f>
        <v>0</v>
      </c>
      <c r="H24" s="62">
        <f>IFERROR(aurora_data!G536,0)</f>
        <v>0</v>
      </c>
      <c r="I24" s="63">
        <f>IFERROR(aurora_data!H536,0)</f>
        <v>0</v>
      </c>
      <c r="J24" s="36">
        <f>IFERROR(aurora_data!I536,0)</f>
        <v>0</v>
      </c>
      <c r="K24" s="62">
        <f>IFERROR(aurora_data!J536,0)</f>
        <v>0</v>
      </c>
      <c r="L24" s="62">
        <f>IFERROR(aurora_data!K536,0)</f>
        <v>0</v>
      </c>
      <c r="M24" s="62">
        <f>IFERROR(aurora_data!L536,0)</f>
        <v>0</v>
      </c>
      <c r="N24" s="63">
        <f>IFERROR(aurora_data!M536,0)</f>
        <v>0</v>
      </c>
      <c r="O24" s="36">
        <f>IFERROR(aurora_data!N536,0)</f>
        <v>0</v>
      </c>
      <c r="P24" s="62">
        <f>IFERROR(aurora_data!O536,0)</f>
        <v>0</v>
      </c>
      <c r="Q24" s="62">
        <f>IFERROR(aurora_data!P536,0)</f>
        <v>0</v>
      </c>
      <c r="R24" s="63">
        <f>IFERROR(aurora_data!Q536,0)</f>
        <v>0</v>
      </c>
      <c r="S24" s="62">
        <f>IFERROR(aurora_data!R536,0)</f>
        <v>0</v>
      </c>
      <c r="T24" s="62">
        <f>IFERROR(aurora_data!S536,0)</f>
        <v>0</v>
      </c>
      <c r="U24" s="63">
        <f>IFERROR(aurora_data!T536,0)</f>
        <v>0</v>
      </c>
      <c r="V24" s="64" t="s">
        <v>198</v>
      </c>
      <c r="W24" s="36">
        <f>IFERROR(aurora_data!U536,0)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01"/>
      <c r="C25" s="195"/>
      <c r="D25" s="35" t="s">
        <v>202</v>
      </c>
      <c r="E25" s="36">
        <f>IFERROR(aurora_data!D537,0)</f>
        <v>0</v>
      </c>
      <c r="F25" s="62">
        <f>IFERROR(aurora_data!E537,0)</f>
        <v>0</v>
      </c>
      <c r="G25" s="62">
        <f>IFERROR(aurora_data!F537,0)</f>
        <v>0</v>
      </c>
      <c r="H25" s="62">
        <f>IFERROR(aurora_data!G537,0)</f>
        <v>0</v>
      </c>
      <c r="I25" s="63">
        <f>IFERROR(aurora_data!H537,0)</f>
        <v>0</v>
      </c>
      <c r="J25" s="36">
        <f>IFERROR(aurora_data!I537,0)</f>
        <v>0</v>
      </c>
      <c r="K25" s="62">
        <f>IFERROR(aurora_data!J537,0)</f>
        <v>0</v>
      </c>
      <c r="L25" s="62">
        <f>IFERROR(aurora_data!K537,0)</f>
        <v>0</v>
      </c>
      <c r="M25" s="62">
        <f>IFERROR(aurora_data!L537,0)</f>
        <v>0</v>
      </c>
      <c r="N25" s="63">
        <f>IFERROR(aurora_data!M537,0)</f>
        <v>0</v>
      </c>
      <c r="O25" s="36">
        <f>IFERROR(aurora_data!N537,0)</f>
        <v>0</v>
      </c>
      <c r="P25" s="62">
        <f>IFERROR(aurora_data!O537,0)</f>
        <v>0</v>
      </c>
      <c r="Q25" s="62">
        <f>IFERROR(aurora_data!P537,0)</f>
        <v>0</v>
      </c>
      <c r="R25" s="63">
        <f>IFERROR(aurora_data!Q537,0)</f>
        <v>0</v>
      </c>
      <c r="S25" s="62">
        <f>IFERROR(aurora_data!R537,0)</f>
        <v>0</v>
      </c>
      <c r="T25" s="62">
        <f>IFERROR(aurora_data!S537,0)</f>
        <v>0</v>
      </c>
      <c r="U25" s="63">
        <f>IFERROR(aurora_data!T537,0)</f>
        <v>0</v>
      </c>
      <c r="V25" s="64" t="s">
        <v>198</v>
      </c>
      <c r="W25" s="36">
        <f>IFERROR(aurora_data!U537,0)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01"/>
      <c r="C26" s="195"/>
      <c r="D26" s="37" t="s">
        <v>141</v>
      </c>
      <c r="E26" s="59">
        <f>IFERROR(aurora_data!D538,0)</f>
        <v>0</v>
      </c>
      <c r="F26" s="65">
        <f>IFERROR(aurora_data!E538,0)</f>
        <v>5</v>
      </c>
      <c r="G26" s="65">
        <f>IFERROR(aurora_data!F538,0)</f>
        <v>10</v>
      </c>
      <c r="H26" s="65">
        <f>IFERROR(aurora_data!G538,0)</f>
        <v>16</v>
      </c>
      <c r="I26" s="66">
        <f>IFERROR(aurora_data!H538,0)</f>
        <v>0</v>
      </c>
      <c r="J26" s="59">
        <f>IFERROR(aurora_data!I538,0)</f>
        <v>4</v>
      </c>
      <c r="K26" s="65">
        <f>IFERROR(aurora_data!J538,0)</f>
        <v>0</v>
      </c>
      <c r="L26" s="65">
        <f>IFERROR(aurora_data!K538,0)</f>
        <v>7</v>
      </c>
      <c r="M26" s="65">
        <f>IFERROR(aurora_data!L538,0)</f>
        <v>2</v>
      </c>
      <c r="N26" s="66">
        <f>IFERROR(aurora_data!M538,0)</f>
        <v>18</v>
      </c>
      <c r="O26" s="59">
        <f>IFERROR(aurora_data!N538,0)</f>
        <v>10</v>
      </c>
      <c r="P26" s="65">
        <f>IFERROR(aurora_data!O538,0)</f>
        <v>6</v>
      </c>
      <c r="Q26" s="65">
        <f>IFERROR(aurora_data!P538,0)</f>
        <v>9</v>
      </c>
      <c r="R26" s="66">
        <f>IFERROR(aurora_data!Q538,0)</f>
        <v>6</v>
      </c>
      <c r="S26" s="65">
        <f>IFERROR(aurora_data!R538,0)</f>
        <v>5</v>
      </c>
      <c r="T26" s="65">
        <f>IFERROR(aurora_data!S538,0)</f>
        <v>26</v>
      </c>
      <c r="U26" s="66">
        <f>IFERROR(aurora_data!T538,0)</f>
        <v>0</v>
      </c>
      <c r="V26" s="67" t="s">
        <v>198</v>
      </c>
      <c r="W26" s="59">
        <f>IFERROR(aurora_data!U538,0)</f>
        <v>31</v>
      </c>
      <c r="X26" s="72">
        <f t="shared" si="1"/>
        <v>1.0333333333333334</v>
      </c>
      <c r="Y26" s="2"/>
    </row>
    <row r="27" spans="1:25" customFormat="1" ht="16.5" thickBot="1">
      <c r="A27" s="2"/>
      <c r="B27" s="201"/>
      <c r="C27" s="195"/>
      <c r="D27" s="38" t="s">
        <v>203</v>
      </c>
      <c r="E27" s="60">
        <f>IFERROR(aurora_data!D539,0)</f>
        <v>0</v>
      </c>
      <c r="F27" s="68">
        <f>IFERROR(aurora_data!E539,0)</f>
        <v>0</v>
      </c>
      <c r="G27" s="68">
        <f>IFERROR(aurora_data!F539,0)</f>
        <v>0</v>
      </c>
      <c r="H27" s="68">
        <f>IFERROR(aurora_data!G539,0)</f>
        <v>0</v>
      </c>
      <c r="I27" s="69">
        <f>IFERROR(aurora_data!H539,0)</f>
        <v>0</v>
      </c>
      <c r="J27" s="60">
        <f>IFERROR(aurora_data!I539,0)</f>
        <v>0</v>
      </c>
      <c r="K27" s="68">
        <f>IFERROR(aurora_data!J539,0)</f>
        <v>0</v>
      </c>
      <c r="L27" s="68">
        <f>IFERROR(aurora_data!K539,0)</f>
        <v>0</v>
      </c>
      <c r="M27" s="68">
        <f>IFERROR(aurora_data!L539,0)</f>
        <v>0</v>
      </c>
      <c r="N27" s="69">
        <f>IFERROR(aurora_data!M539,0)</f>
        <v>0</v>
      </c>
      <c r="O27" s="60">
        <f>IFERROR(aurora_data!N539,0)</f>
        <v>0</v>
      </c>
      <c r="P27" s="68">
        <f>IFERROR(aurora_data!O539,0)</f>
        <v>0</v>
      </c>
      <c r="Q27" s="68">
        <f>IFERROR(aurora_data!P539,0)</f>
        <v>0</v>
      </c>
      <c r="R27" s="69">
        <f>IFERROR(aurora_data!Q539,0)</f>
        <v>0</v>
      </c>
      <c r="S27" s="68">
        <f>IFERROR(aurora_data!R539,0)</f>
        <v>0</v>
      </c>
      <c r="T27" s="68">
        <f>IFERROR(aurora_data!S539,0)</f>
        <v>0</v>
      </c>
      <c r="U27" s="74">
        <f>IFERROR(aurora_data!T539,0)</f>
        <v>0</v>
      </c>
      <c r="V27" s="75" t="s">
        <v>198</v>
      </c>
      <c r="W27" s="60">
        <f>IFERROR(aurora_data!U539,0)</f>
        <v>0</v>
      </c>
      <c r="X27" s="73">
        <f t="shared" si="1"/>
        <v>0</v>
      </c>
      <c r="Y27" s="2"/>
    </row>
    <row r="28" spans="1:25" customFormat="1" ht="15.75" customHeight="1">
      <c r="A28" s="2"/>
      <c r="B28" s="196" t="s">
        <v>197</v>
      </c>
      <c r="C28" s="198" t="s">
        <v>130</v>
      </c>
      <c r="D28" s="34" t="s">
        <v>153</v>
      </c>
      <c r="E28" s="39">
        <f>IFERROR(aurora_data!D440+aurora_data!D540,0)</f>
        <v>0</v>
      </c>
      <c r="F28" s="40">
        <f>IFERROR(aurora_data!E440+aurora_data!E540,0)</f>
        <v>0</v>
      </c>
      <c r="G28" s="40">
        <f>IFERROR(aurora_data!F440+aurora_data!F540,0)</f>
        <v>0</v>
      </c>
      <c r="H28" s="40">
        <f>IFERROR(aurora_data!G440+aurora_data!G540,0)</f>
        <v>0</v>
      </c>
      <c r="I28" s="41">
        <f>IFERROR(aurora_data!H440+aurora_data!H540,0)</f>
        <v>0</v>
      </c>
      <c r="J28" s="39">
        <f>IFERROR(aurora_data!I440+aurora_data!I540,0)</f>
        <v>0</v>
      </c>
      <c r="K28" s="40">
        <f>IFERROR(aurora_data!J440+aurora_data!J540,0)</f>
        <v>0</v>
      </c>
      <c r="L28" s="40">
        <f>IFERROR(aurora_data!K440+aurora_data!K540,0)</f>
        <v>0</v>
      </c>
      <c r="M28" s="40">
        <f>IFERROR(aurora_data!L440+aurora_data!L540,0)</f>
        <v>0</v>
      </c>
      <c r="N28" s="41">
        <f>IFERROR(aurora_data!M440+aurora_data!M540,0)</f>
        <v>0</v>
      </c>
      <c r="O28" s="39">
        <f>IFERROR(aurora_data!N440+aurora_data!N540,0)</f>
        <v>0</v>
      </c>
      <c r="P28" s="40">
        <f>IFERROR(aurora_data!O440+aurora_data!O540,0)</f>
        <v>0</v>
      </c>
      <c r="Q28" s="40">
        <f>IFERROR(aurora_data!P440+aurora_data!P540,0)</f>
        <v>0</v>
      </c>
      <c r="R28" s="41">
        <f>IFERROR(aurora_data!Q440+aurora_data!Q540,0)</f>
        <v>0</v>
      </c>
      <c r="S28" s="40">
        <f>IFERROR(aurora_data!R440+aurora_data!R540,0)</f>
        <v>0</v>
      </c>
      <c r="T28" s="40">
        <f>IFERROR(aurora_data!S440+aurora_data!S540,0)</f>
        <v>0</v>
      </c>
      <c r="U28" s="41">
        <f>IFERROR(aurora_data!T440+aurora_data!T540,0)</f>
        <v>0</v>
      </c>
      <c r="V28" s="61" t="s">
        <v>198</v>
      </c>
      <c r="W28" s="39">
        <f>IFERROR(aurora_data!U440+aurora_data!U540,0)</f>
        <v>60</v>
      </c>
      <c r="X28" s="70">
        <f>IFERROR(W28/$W$28,0)</f>
        <v>1</v>
      </c>
      <c r="Y28" s="2"/>
    </row>
    <row r="29" spans="1:25" customFormat="1" ht="15.75" customHeight="1">
      <c r="A29" s="2"/>
      <c r="B29" s="197"/>
      <c r="C29" s="199"/>
      <c r="D29" s="35" t="s">
        <v>199</v>
      </c>
      <c r="E29" s="36">
        <f>IFERROR(aurora_data!D441+aurora_data!D541,0)</f>
        <v>0</v>
      </c>
      <c r="F29" s="62">
        <f>IFERROR(aurora_data!E441+aurora_data!E541,0)</f>
        <v>11</v>
      </c>
      <c r="G29" s="62">
        <f>IFERROR(aurora_data!F441+aurora_data!F541,0)</f>
        <v>18</v>
      </c>
      <c r="H29" s="62">
        <f>IFERROR(aurora_data!G441+aurora_data!G541,0)</f>
        <v>31</v>
      </c>
      <c r="I29" s="63">
        <f>IFERROR(aurora_data!H441+aurora_data!H541,0)</f>
        <v>0</v>
      </c>
      <c r="J29" s="36">
        <f>IFERROR(aurora_data!I441+aurora_data!I541,0)</f>
        <v>6</v>
      </c>
      <c r="K29" s="62">
        <f>IFERROR(aurora_data!J441+aurora_data!J541,0)</f>
        <v>2</v>
      </c>
      <c r="L29" s="62">
        <f>IFERROR(aurora_data!K441+aurora_data!K541,0)</f>
        <v>13</v>
      </c>
      <c r="M29" s="62">
        <f>IFERROR(aurora_data!L441+aurora_data!L541,0)</f>
        <v>4</v>
      </c>
      <c r="N29" s="63">
        <f>IFERROR(aurora_data!M441+aurora_data!M541,0)</f>
        <v>35</v>
      </c>
      <c r="O29" s="36">
        <f>IFERROR(aurora_data!N441+aurora_data!N541,0)</f>
        <v>24</v>
      </c>
      <c r="P29" s="62">
        <f>IFERROR(aurora_data!O441+aurora_data!O541,0)</f>
        <v>12</v>
      </c>
      <c r="Q29" s="62">
        <f>IFERROR(aurora_data!P441+aurora_data!P541,0)</f>
        <v>17</v>
      </c>
      <c r="R29" s="63">
        <f>IFERROR(aurora_data!Q441+aurora_data!Q541,0)</f>
        <v>7</v>
      </c>
      <c r="S29" s="62">
        <f>IFERROR(aurora_data!R441+aurora_data!R541,0)</f>
        <v>10</v>
      </c>
      <c r="T29" s="62">
        <f>IFERROR(aurora_data!S441+aurora_data!S541,0)</f>
        <v>50</v>
      </c>
      <c r="U29" s="63">
        <f>IFERROR(aurora_data!T441+aurora_data!T541,0)</f>
        <v>0</v>
      </c>
      <c r="V29" s="64" t="s">
        <v>198</v>
      </c>
      <c r="W29" s="36">
        <f>IFERROR(aurora_data!U441+aurora_data!U541,0)</f>
        <v>60</v>
      </c>
      <c r="X29" s="71">
        <f t="shared" ref="X29:X35" si="2">IFERROR(W29/$W$28,0)</f>
        <v>1</v>
      </c>
      <c r="Y29" s="2"/>
    </row>
    <row r="30" spans="1:25" customFormat="1" ht="15.75" customHeight="1">
      <c r="A30" s="2"/>
      <c r="B30" s="197"/>
      <c r="C30" s="199"/>
      <c r="D30" s="35" t="s">
        <v>137</v>
      </c>
      <c r="E30" s="36">
        <f>IFERROR(aurora_data!D442+aurora_data!D542,0)</f>
        <v>0</v>
      </c>
      <c r="F30" s="62">
        <f>IFERROR(aurora_data!E442+aurora_data!E542,0)</f>
        <v>0</v>
      </c>
      <c r="G30" s="62">
        <f>IFERROR(aurora_data!F442+aurora_data!F542,0)</f>
        <v>0</v>
      </c>
      <c r="H30" s="62">
        <f>IFERROR(aurora_data!G442+aurora_data!G542,0)</f>
        <v>1</v>
      </c>
      <c r="I30" s="63">
        <f>IFERROR(aurora_data!H442+aurora_data!H542,0)</f>
        <v>0</v>
      </c>
      <c r="J30" s="36">
        <f>IFERROR(aurora_data!I442+aurora_data!I542,0)</f>
        <v>0</v>
      </c>
      <c r="K30" s="62">
        <f>IFERROR(aurora_data!J442+aurora_data!J542,0)</f>
        <v>0</v>
      </c>
      <c r="L30" s="62">
        <f>IFERROR(aurora_data!K442+aurora_data!K542,0)</f>
        <v>0</v>
      </c>
      <c r="M30" s="62">
        <f>IFERROR(aurora_data!L442+aurora_data!L542,0)</f>
        <v>0</v>
      </c>
      <c r="N30" s="63">
        <f>IFERROR(aurora_data!M442+aurora_data!M542,0)</f>
        <v>1</v>
      </c>
      <c r="O30" s="36">
        <f>IFERROR(aurora_data!N442+aurora_data!N542,0)</f>
        <v>1</v>
      </c>
      <c r="P30" s="62">
        <f>IFERROR(aurora_data!O442+aurora_data!O542,0)</f>
        <v>0</v>
      </c>
      <c r="Q30" s="62">
        <f>IFERROR(aurora_data!P442+aurora_data!P542,0)</f>
        <v>0</v>
      </c>
      <c r="R30" s="63">
        <f>IFERROR(aurora_data!Q442+aurora_data!Q542,0)</f>
        <v>0</v>
      </c>
      <c r="S30" s="62">
        <f>IFERROR(aurora_data!R442+aurora_data!R542,0)</f>
        <v>0</v>
      </c>
      <c r="T30" s="62">
        <f>IFERROR(aurora_data!S442+aurora_data!S542,0)</f>
        <v>1</v>
      </c>
      <c r="U30" s="63">
        <f>IFERROR(aurora_data!T442+aurora_data!T542,0)</f>
        <v>0</v>
      </c>
      <c r="V30" s="64" t="s">
        <v>198</v>
      </c>
      <c r="W30" s="36">
        <f>IFERROR(aurora_data!U442+aurora_data!U542,0)</f>
        <v>1</v>
      </c>
      <c r="X30" s="71">
        <f t="shared" si="2"/>
        <v>1.6666666666666666E-2</v>
      </c>
      <c r="Y30" s="2"/>
    </row>
    <row r="31" spans="1:25" customFormat="1" ht="15.75" customHeight="1">
      <c r="A31" s="2"/>
      <c r="B31" s="197"/>
      <c r="C31" s="199"/>
      <c r="D31" s="35" t="s">
        <v>200</v>
      </c>
      <c r="E31" s="36">
        <f>IFERROR(aurora_data!D443+aurora_data!D543,0)</f>
        <v>0</v>
      </c>
      <c r="F31" s="62">
        <f>IFERROR(aurora_data!E443+aurora_data!E543,0)</f>
        <v>0</v>
      </c>
      <c r="G31" s="62">
        <f>IFERROR(aurora_data!F443+aurora_data!F543,0)</f>
        <v>0</v>
      </c>
      <c r="H31" s="62">
        <f>IFERROR(aurora_data!G443+aurora_data!G543,0)</f>
        <v>0</v>
      </c>
      <c r="I31" s="63">
        <f>IFERROR(aurora_data!H443+aurora_data!H543,0)</f>
        <v>0</v>
      </c>
      <c r="J31" s="36">
        <f>IFERROR(aurora_data!I443+aurora_data!I543,0)</f>
        <v>0</v>
      </c>
      <c r="K31" s="62">
        <f>IFERROR(aurora_data!J443+aurora_data!J543,0)</f>
        <v>0</v>
      </c>
      <c r="L31" s="62">
        <f>IFERROR(aurora_data!K443+aurora_data!K543,0)</f>
        <v>0</v>
      </c>
      <c r="M31" s="62">
        <f>IFERROR(aurora_data!L443+aurora_data!L543,0)</f>
        <v>0</v>
      </c>
      <c r="N31" s="63">
        <f>IFERROR(aurora_data!M443+aurora_data!M543,0)</f>
        <v>0</v>
      </c>
      <c r="O31" s="36">
        <f>IFERROR(aurora_data!N443+aurora_data!N543,0)</f>
        <v>0</v>
      </c>
      <c r="P31" s="62">
        <f>IFERROR(aurora_data!O443+aurora_data!O543,0)</f>
        <v>0</v>
      </c>
      <c r="Q31" s="62">
        <f>IFERROR(aurora_data!P443+aurora_data!P543,0)</f>
        <v>0</v>
      </c>
      <c r="R31" s="63">
        <f>IFERROR(aurora_data!Q443+aurora_data!Q543,0)</f>
        <v>0</v>
      </c>
      <c r="S31" s="62">
        <f>IFERROR(aurora_data!R443+aurora_data!R543,0)</f>
        <v>0</v>
      </c>
      <c r="T31" s="62">
        <f>IFERROR(aurora_data!S443+aurora_data!S543,0)</f>
        <v>0</v>
      </c>
      <c r="U31" s="63">
        <f>IFERROR(aurora_data!T443+aurora_data!T543,0)</f>
        <v>0</v>
      </c>
      <c r="V31" s="64" t="s">
        <v>198</v>
      </c>
      <c r="W31" s="36">
        <f>IFERROR(aurora_data!U443+aurora_data!U543,0)</f>
        <v>0</v>
      </c>
      <c r="X31" s="71">
        <f t="shared" si="2"/>
        <v>0</v>
      </c>
      <c r="Y31" s="2"/>
    </row>
    <row r="32" spans="1:25" customFormat="1" ht="16.5" customHeight="1">
      <c r="A32" s="2"/>
      <c r="B32" s="197"/>
      <c r="C32" s="199"/>
      <c r="D32" s="35" t="s">
        <v>201</v>
      </c>
      <c r="E32" s="36">
        <f>IFERROR(aurora_data!D444+aurora_data!D544,0)</f>
        <v>0</v>
      </c>
      <c r="F32" s="62">
        <f>IFERROR(aurora_data!E444+aurora_data!E544,0)</f>
        <v>0</v>
      </c>
      <c r="G32" s="62">
        <f>IFERROR(aurora_data!F444+aurora_data!F544,0)</f>
        <v>0</v>
      </c>
      <c r="H32" s="62">
        <f>IFERROR(aurora_data!G444+aurora_data!G544,0)</f>
        <v>0</v>
      </c>
      <c r="I32" s="63">
        <f>IFERROR(aurora_data!H444+aurora_data!H544,0)</f>
        <v>0</v>
      </c>
      <c r="J32" s="36">
        <f>IFERROR(aurora_data!I444+aurora_data!I544,0)</f>
        <v>0</v>
      </c>
      <c r="K32" s="62">
        <f>IFERROR(aurora_data!J444+aurora_data!J544,0)</f>
        <v>0</v>
      </c>
      <c r="L32" s="62">
        <f>IFERROR(aurora_data!K444+aurora_data!K544,0)</f>
        <v>0</v>
      </c>
      <c r="M32" s="62">
        <f>IFERROR(aurora_data!L444+aurora_data!L544,0)</f>
        <v>0</v>
      </c>
      <c r="N32" s="63">
        <f>IFERROR(aurora_data!M444+aurora_data!M544,0)</f>
        <v>0</v>
      </c>
      <c r="O32" s="36">
        <f>IFERROR(aurora_data!N444+aurora_data!N544,0)</f>
        <v>0</v>
      </c>
      <c r="P32" s="62">
        <f>IFERROR(aurora_data!O444+aurora_data!O544,0)</f>
        <v>0</v>
      </c>
      <c r="Q32" s="62">
        <f>IFERROR(aurora_data!P444+aurora_data!P544,0)</f>
        <v>0</v>
      </c>
      <c r="R32" s="63">
        <f>IFERROR(aurora_data!Q444+aurora_data!Q544,0)</f>
        <v>0</v>
      </c>
      <c r="S32" s="62">
        <f>IFERROR(aurora_data!R444+aurora_data!R544,0)</f>
        <v>0</v>
      </c>
      <c r="T32" s="62">
        <f>IFERROR(aurora_data!S444+aurora_data!S544,0)</f>
        <v>0</v>
      </c>
      <c r="U32" s="63">
        <f>IFERROR(aurora_data!T444+aurora_data!T544,0)</f>
        <v>0</v>
      </c>
      <c r="V32" s="64" t="s">
        <v>198</v>
      </c>
      <c r="W32" s="36">
        <f>IFERROR(aurora_data!U444+aurora_data!U544,0)</f>
        <v>0</v>
      </c>
      <c r="X32" s="71">
        <f t="shared" si="2"/>
        <v>0</v>
      </c>
      <c r="Y32" s="2"/>
    </row>
    <row r="33" spans="1:25" customFormat="1" ht="16.5" customHeight="1" thickBot="1">
      <c r="A33" s="2"/>
      <c r="B33" s="197"/>
      <c r="C33" s="199"/>
      <c r="D33" s="35" t="s">
        <v>202</v>
      </c>
      <c r="E33" s="36">
        <f>IFERROR(aurora_data!D445+aurora_data!D545,0)</f>
        <v>0</v>
      </c>
      <c r="F33" s="62">
        <f>IFERROR(aurora_data!E445+aurora_data!E545,0)</f>
        <v>0</v>
      </c>
      <c r="G33" s="62">
        <f>IFERROR(aurora_data!F445+aurora_data!F545,0)</f>
        <v>0</v>
      </c>
      <c r="H33" s="62">
        <f>IFERROR(aurora_data!G445+aurora_data!G545,0)</f>
        <v>0</v>
      </c>
      <c r="I33" s="63">
        <f>IFERROR(aurora_data!H445+aurora_data!H545,0)</f>
        <v>0</v>
      </c>
      <c r="J33" s="36">
        <f>IFERROR(aurora_data!I445+aurora_data!I545,0)</f>
        <v>0</v>
      </c>
      <c r="K33" s="62">
        <f>IFERROR(aurora_data!J445+aurora_data!J545,0)</f>
        <v>0</v>
      </c>
      <c r="L33" s="62">
        <f>IFERROR(aurora_data!K445+aurora_data!K545,0)</f>
        <v>0</v>
      </c>
      <c r="M33" s="62">
        <f>IFERROR(aurora_data!L445+aurora_data!L545,0)</f>
        <v>0</v>
      </c>
      <c r="N33" s="63">
        <f>IFERROR(aurora_data!M445+aurora_data!M545,0)</f>
        <v>0</v>
      </c>
      <c r="O33" s="36">
        <f>IFERROR(aurora_data!N445+aurora_data!N545,0)</f>
        <v>0</v>
      </c>
      <c r="P33" s="62">
        <f>IFERROR(aurora_data!O445+aurora_data!O545,0)</f>
        <v>0</v>
      </c>
      <c r="Q33" s="62">
        <f>IFERROR(aurora_data!P445+aurora_data!P545,0)</f>
        <v>0</v>
      </c>
      <c r="R33" s="63">
        <f>IFERROR(aurora_data!Q445+aurora_data!Q545,0)</f>
        <v>0</v>
      </c>
      <c r="S33" s="62">
        <f>IFERROR(aurora_data!R445+aurora_data!R545,0)</f>
        <v>0</v>
      </c>
      <c r="T33" s="62">
        <f>IFERROR(aurora_data!S445+aurora_data!S545,0)</f>
        <v>0</v>
      </c>
      <c r="U33" s="63">
        <f>IFERROR(aurora_data!T445+aurora_data!T545,0)</f>
        <v>0</v>
      </c>
      <c r="V33" s="64" t="s">
        <v>198</v>
      </c>
      <c r="W33" s="36">
        <f>IFERROR(aurora_data!U445+aurora_data!U545,0)</f>
        <v>0</v>
      </c>
      <c r="X33" s="71">
        <f t="shared" si="2"/>
        <v>0</v>
      </c>
      <c r="Y33" s="2"/>
    </row>
    <row r="34" spans="1:25" customFormat="1" ht="16.5" customHeight="1" thickBot="1">
      <c r="A34" s="2"/>
      <c r="B34" s="197"/>
      <c r="C34" s="199"/>
      <c r="D34" s="37" t="s">
        <v>141</v>
      </c>
      <c r="E34" s="59">
        <f>IFERROR(aurora_data!D446+aurora_data!D546,0)</f>
        <v>0</v>
      </c>
      <c r="F34" s="65">
        <f>IFERROR(aurora_data!E446+aurora_data!E546,0)</f>
        <v>11</v>
      </c>
      <c r="G34" s="65">
        <f>IFERROR(aurora_data!F446+aurora_data!F546,0)</f>
        <v>18</v>
      </c>
      <c r="H34" s="65">
        <f>IFERROR(aurora_data!G446+aurora_data!G546,0)</f>
        <v>32</v>
      </c>
      <c r="I34" s="66">
        <f>IFERROR(aurora_data!H446+aurora_data!H546,0)</f>
        <v>0</v>
      </c>
      <c r="J34" s="59">
        <f>IFERROR(aurora_data!I446+aurora_data!I546,0)</f>
        <v>6</v>
      </c>
      <c r="K34" s="65">
        <f>IFERROR(aurora_data!J446+aurora_data!J546,0)</f>
        <v>2</v>
      </c>
      <c r="L34" s="65">
        <f>IFERROR(aurora_data!K446+aurora_data!K546,0)</f>
        <v>13</v>
      </c>
      <c r="M34" s="65">
        <f>IFERROR(aurora_data!L446+aurora_data!L546,0)</f>
        <v>4</v>
      </c>
      <c r="N34" s="66">
        <f>IFERROR(aurora_data!M446+aurora_data!M546,0)</f>
        <v>36</v>
      </c>
      <c r="O34" s="59">
        <f>IFERROR(aurora_data!N446+aurora_data!N546,0)</f>
        <v>25</v>
      </c>
      <c r="P34" s="65">
        <f>IFERROR(aurora_data!O446+aurora_data!O546,0)</f>
        <v>12</v>
      </c>
      <c r="Q34" s="65">
        <f>IFERROR(aurora_data!P446+aurora_data!P546,0)</f>
        <v>17</v>
      </c>
      <c r="R34" s="66">
        <f>IFERROR(aurora_data!Q446+aurora_data!Q546,0)</f>
        <v>7</v>
      </c>
      <c r="S34" s="65">
        <f>IFERROR(aurora_data!R446+aurora_data!R546,0)</f>
        <v>10</v>
      </c>
      <c r="T34" s="65">
        <f>IFERROR(aurora_data!S446+aurora_data!S546,0)</f>
        <v>51</v>
      </c>
      <c r="U34" s="66">
        <f>IFERROR(aurora_data!T446+aurora_data!T546,0)</f>
        <v>0</v>
      </c>
      <c r="V34" s="67" t="s">
        <v>198</v>
      </c>
      <c r="W34" s="59">
        <f>IFERROR(aurora_data!U446+aurora_data!U546,0)</f>
        <v>61</v>
      </c>
      <c r="X34" s="72">
        <f t="shared" si="2"/>
        <v>1.0166666666666666</v>
      </c>
      <c r="Y34" s="2"/>
    </row>
    <row r="35" spans="1:25" customFormat="1" ht="16.5" customHeight="1" thickBot="1">
      <c r="A35" s="2"/>
      <c r="B35" s="197"/>
      <c r="C35" s="199"/>
      <c r="D35" s="38" t="s">
        <v>203</v>
      </c>
      <c r="E35" s="60">
        <f>IFERROR(aurora_data!D447+aurora_data!D547,0)</f>
        <v>0</v>
      </c>
      <c r="F35" s="68">
        <f>IFERROR(aurora_data!E447+aurora_data!E547,0)</f>
        <v>0</v>
      </c>
      <c r="G35" s="68">
        <f>IFERROR(aurora_data!F447+aurora_data!F547,0)</f>
        <v>0</v>
      </c>
      <c r="H35" s="68">
        <f>IFERROR(aurora_data!G447+aurora_data!G547,0)</f>
        <v>0</v>
      </c>
      <c r="I35" s="69">
        <f>IFERROR(aurora_data!H447+aurora_data!H547,0)</f>
        <v>0</v>
      </c>
      <c r="J35" s="60">
        <f>IFERROR(aurora_data!I447+aurora_data!I547,0)</f>
        <v>0</v>
      </c>
      <c r="K35" s="68">
        <f>IFERROR(aurora_data!J447+aurora_data!J547,0)</f>
        <v>0</v>
      </c>
      <c r="L35" s="68">
        <f>IFERROR(aurora_data!K447+aurora_data!K547,0)</f>
        <v>0</v>
      </c>
      <c r="M35" s="68">
        <f>IFERROR(aurora_data!L447+aurora_data!L547,0)</f>
        <v>0</v>
      </c>
      <c r="N35" s="69">
        <f>IFERROR(aurora_data!M447+aurora_data!M547,0)</f>
        <v>0</v>
      </c>
      <c r="O35" s="60">
        <f>IFERROR(aurora_data!N447+aurora_data!N547,0)</f>
        <v>0</v>
      </c>
      <c r="P35" s="68">
        <f>IFERROR(aurora_data!O447+aurora_data!O547,0)</f>
        <v>0</v>
      </c>
      <c r="Q35" s="68">
        <f>IFERROR(aurora_data!P447+aurora_data!P547,0)</f>
        <v>0</v>
      </c>
      <c r="R35" s="69">
        <f>IFERROR(aurora_data!Q447+aurora_data!Q547,0)</f>
        <v>0</v>
      </c>
      <c r="S35" s="68">
        <f>IFERROR(aurora_data!R447+aurora_data!R547,0)</f>
        <v>0</v>
      </c>
      <c r="T35" s="68">
        <f>IFERROR(aurora_data!S447+aurora_data!S547,0)</f>
        <v>0</v>
      </c>
      <c r="U35" s="74">
        <f>IFERROR(aurora_data!T447+aurora_data!T547,0)</f>
        <v>0</v>
      </c>
      <c r="V35" s="75" t="s">
        <v>198</v>
      </c>
      <c r="W35" s="60">
        <f>IFERROR(aurora_data!U447+aurora_data!U547,0)</f>
        <v>0</v>
      </c>
      <c r="X35" s="73">
        <f t="shared" si="2"/>
        <v>0</v>
      </c>
      <c r="Y35" s="2"/>
    </row>
    <row r="36" spans="1:25" ht="16.5" customHeight="1">
      <c r="B36" s="97"/>
      <c r="C36" s="97"/>
    </row>
  </sheetData>
  <sheetProtection sheet="1" objects="1" scenarios="1"/>
  <mergeCells count="2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B28:B35"/>
    <mergeCell ref="C28:C35"/>
    <mergeCell ref="J10:N10"/>
    <mergeCell ref="O10:R10"/>
    <mergeCell ref="S10:U10"/>
    <mergeCell ref="B12:B19"/>
    <mergeCell ref="C12:C19"/>
    <mergeCell ref="B20:B27"/>
    <mergeCell ref="C20:C27"/>
  </mergeCells>
  <conditionalFormatting sqref="E13:W13">
    <cfRule type="expression" dxfId="49" priority="2">
      <formula>ROUND(E$13,0) &gt;= ROUND(E$12,0)</formula>
    </cfRule>
  </conditionalFormatting>
  <conditionalFormatting sqref="E18:W18">
    <cfRule type="expression" dxfId="48" priority="4">
      <formula>ROUND(E$18,0) &lt; ROUND(E$12,0)</formula>
    </cfRule>
  </conditionalFormatting>
  <conditionalFormatting sqref="E21:W21">
    <cfRule type="expression" dxfId="47" priority="3">
      <formula>ROUND(E$21,0) &gt;= ROUND(E$20,0)</formula>
    </cfRule>
  </conditionalFormatting>
  <conditionalFormatting sqref="E26:W26">
    <cfRule type="expression" dxfId="46" priority="5">
      <formula>ROUND(E$26,0) &lt; ROUND(E$20,0)</formula>
    </cfRule>
  </conditionalFormatting>
  <conditionalFormatting sqref="E29:W29">
    <cfRule type="expression" dxfId="45" priority="1">
      <formula>ROUND(E$29,0) &gt;= ROUND(E$28,0)</formula>
    </cfRule>
  </conditionalFormatting>
  <conditionalFormatting sqref="E34:W34">
    <cfRule type="expression" dxfId="44" priority="6">
      <formula>ROUND(E$34,0) &lt; ROUND(E$28,0)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02F8C-1D00-49C0-8C11-6A5F37B52C3E}">
  <sheetPr codeName="Sheet7">
    <tabColor rgb="FFFFFF00"/>
  </sheetPr>
  <dimension ref="A1:Y36"/>
  <sheetViews>
    <sheetView topLeftCell="A3" zoomScale="85" zoomScaleNormal="85" workbookViewId="0">
      <selection activeCell="H29" sqref="H29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40">
        <v>2</v>
      </c>
      <c r="B1" s="141"/>
      <c r="C1" s="142"/>
      <c r="D1" s="143" t="s">
        <v>179</v>
      </c>
      <c r="E1" s="144"/>
      <c r="F1" s="144"/>
      <c r="G1" s="144"/>
      <c r="H1" s="145"/>
      <c r="I1" s="98"/>
      <c r="J1" s="88"/>
      <c r="K1" s="100"/>
      <c r="L1" s="100"/>
      <c r="M1" s="100"/>
      <c r="N1" s="100" t="s">
        <v>180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46" t="s">
        <v>181</v>
      </c>
      <c r="B2" s="146"/>
      <c r="C2" s="147"/>
      <c r="D2" s="216" t="str">
        <f>_xlfn.CONCAT("Study Name: ","
CELF-6 RF 1 &amp; 2 Clinical Specific Learning Disability in Reading and/or Writing (Age 8-21)")</f>
        <v>Study Name: 
CELF-6 RF 1 &amp; 2 Clinical Specific Learning Disability in Reading and/or Writing (Age 8-21)</v>
      </c>
      <c r="E2" s="217"/>
      <c r="F2" s="217"/>
      <c r="G2" s="217"/>
      <c r="H2" s="218"/>
      <c r="I2" s="4"/>
      <c r="J2" s="4"/>
      <c r="K2" s="151" t="s">
        <v>182</v>
      </c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3"/>
      <c r="Y2" s="103"/>
    </row>
    <row r="3" spans="1:25" customFormat="1" ht="30.75" customHeight="1" thickBot="1">
      <c r="A3" s="2"/>
      <c r="B3" s="2"/>
      <c r="C3" s="2"/>
      <c r="D3" s="158" t="str">
        <f>_xlfn.CONCAT("Study Acronym: ","
C_SLDRW_RF1/C_SLDRW_RF2")</f>
        <v>Study Acronym: 
C_SLDRW_RF1/C_SLDRW_RF2</v>
      </c>
      <c r="E3" s="159"/>
      <c r="F3" s="160" t="s">
        <v>206</v>
      </c>
      <c r="G3" s="160"/>
      <c r="H3" s="161"/>
      <c r="I3" s="4"/>
      <c r="J3" s="4"/>
      <c r="K3" s="154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3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54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3"/>
      <c r="Y4" s="104"/>
    </row>
    <row r="5" spans="1:25" customFormat="1" ht="21.95" customHeight="1" thickBot="1">
      <c r="A5" s="2"/>
      <c r="B5" s="2"/>
      <c r="C5" s="102"/>
      <c r="D5" s="143" t="s">
        <v>184</v>
      </c>
      <c r="E5" s="144"/>
      <c r="F5" s="144"/>
      <c r="G5" s="144"/>
      <c r="H5" s="101"/>
      <c r="I5" s="98"/>
      <c r="J5" s="98"/>
      <c r="K5" s="154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3"/>
      <c r="Y5" s="105"/>
    </row>
    <row r="6" spans="1:25" customFormat="1" ht="60.95" customHeight="1" thickBot="1">
      <c r="A6" s="2"/>
      <c r="B6" s="2"/>
      <c r="C6" s="99"/>
      <c r="D6" s="162" t="s">
        <v>207</v>
      </c>
      <c r="E6" s="163"/>
      <c r="F6" s="163"/>
      <c r="G6" s="163"/>
      <c r="H6" s="164"/>
      <c r="I6" s="136"/>
      <c r="J6" s="137"/>
      <c r="K6" s="155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7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65" t="str">
        <f>_xlfn.CONCAT("Last Refreshed at: ",aurora_data!V632)</f>
        <v>Last Refreshed at: 08/06/2026 @ 7:19 AM</v>
      </c>
      <c r="C8" s="166"/>
      <c r="D8" s="166"/>
      <c r="E8" s="167" t="s">
        <v>186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9"/>
      <c r="V8" s="44"/>
      <c r="W8" s="170" t="s">
        <v>187</v>
      </c>
      <c r="X8" s="171"/>
      <c r="Y8" s="2"/>
    </row>
    <row r="9" spans="1:25" customFormat="1" ht="16.5" customHeight="1" thickBot="1">
      <c r="A9" s="2"/>
      <c r="B9" s="176"/>
      <c r="C9" s="177"/>
      <c r="D9" s="29" t="s">
        <v>188</v>
      </c>
      <c r="E9" s="178" t="s">
        <v>189</v>
      </c>
      <c r="F9" s="179"/>
      <c r="G9" s="179"/>
      <c r="H9" s="179"/>
      <c r="I9" s="179"/>
      <c r="J9" s="180" t="s">
        <v>189</v>
      </c>
      <c r="K9" s="181"/>
      <c r="L9" s="181"/>
      <c r="M9" s="181"/>
      <c r="N9" s="181"/>
      <c r="O9" s="182" t="s">
        <v>189</v>
      </c>
      <c r="P9" s="183"/>
      <c r="Q9" s="183"/>
      <c r="R9" s="183"/>
      <c r="S9" s="184" t="s">
        <v>189</v>
      </c>
      <c r="T9" s="185"/>
      <c r="U9" s="185"/>
      <c r="V9" s="28"/>
      <c r="W9" s="172"/>
      <c r="X9" s="173"/>
      <c r="Y9" s="2"/>
    </row>
    <row r="10" spans="1:25" customFormat="1" ht="17.25" thickTop="1" thickBot="1">
      <c r="A10" s="2"/>
      <c r="B10" s="186" t="s">
        <v>190</v>
      </c>
      <c r="C10" s="30"/>
      <c r="D10" s="31"/>
      <c r="E10" s="187" t="s">
        <v>191</v>
      </c>
      <c r="F10" s="188"/>
      <c r="G10" s="188"/>
      <c r="H10" s="188"/>
      <c r="I10" s="189"/>
      <c r="J10" s="188" t="s">
        <v>192</v>
      </c>
      <c r="K10" s="188"/>
      <c r="L10" s="188"/>
      <c r="M10" s="188"/>
      <c r="N10" s="189"/>
      <c r="O10" s="190" t="s">
        <v>193</v>
      </c>
      <c r="P10" s="190"/>
      <c r="Q10" s="190"/>
      <c r="R10" s="190"/>
      <c r="S10" s="191" t="s">
        <v>194</v>
      </c>
      <c r="T10" s="192"/>
      <c r="U10" s="193"/>
      <c r="V10" s="32"/>
      <c r="W10" s="172"/>
      <c r="X10" s="173"/>
      <c r="Y10" s="2"/>
    </row>
    <row r="11" spans="1:25" customFormat="1" ht="17.25" thickTop="1" thickBot="1">
      <c r="A11" s="2"/>
      <c r="B11" s="186"/>
      <c r="C11" s="30" t="s">
        <v>110</v>
      </c>
      <c r="D11" s="33" t="s">
        <v>112</v>
      </c>
      <c r="E11" s="96">
        <v>1</v>
      </c>
      <c r="F11" s="94">
        <v>2</v>
      </c>
      <c r="G11" s="95" t="s">
        <v>115</v>
      </c>
      <c r="H11" s="95">
        <v>4</v>
      </c>
      <c r="I11" s="95">
        <v>5</v>
      </c>
      <c r="J11" s="89" t="s">
        <v>118</v>
      </c>
      <c r="K11" s="89" t="s">
        <v>119</v>
      </c>
      <c r="L11" s="89" t="s">
        <v>120</v>
      </c>
      <c r="M11" s="93" t="s">
        <v>195</v>
      </c>
      <c r="N11" s="93" t="s">
        <v>122</v>
      </c>
      <c r="O11" s="89" t="s">
        <v>123</v>
      </c>
      <c r="P11" s="89" t="s">
        <v>124</v>
      </c>
      <c r="Q11" s="89" t="s">
        <v>125</v>
      </c>
      <c r="R11" s="89" t="s">
        <v>126</v>
      </c>
      <c r="S11" s="90" t="s">
        <v>127</v>
      </c>
      <c r="T11" s="91" t="s">
        <v>128</v>
      </c>
      <c r="U11" s="92" t="s">
        <v>196</v>
      </c>
      <c r="V11" s="28"/>
      <c r="W11" s="174"/>
      <c r="X11" s="175"/>
      <c r="Y11" s="2"/>
    </row>
    <row r="12" spans="1:25" customFormat="1">
      <c r="A12" s="2"/>
      <c r="B12" s="200" t="s">
        <v>197</v>
      </c>
      <c r="C12" s="194" t="str">
        <f>aurora_data!A632</f>
        <v>08.00.00-08.11.30</v>
      </c>
      <c r="D12" s="34" t="s">
        <v>153</v>
      </c>
      <c r="E12" s="39">
        <f>IFERROR(aurora_data!D632,0)</f>
        <v>0</v>
      </c>
      <c r="F12" s="40">
        <f>IFERROR(aurora_data!E632,0)</f>
        <v>0</v>
      </c>
      <c r="G12" s="40">
        <f>IFERROR(aurora_data!F632,0)</f>
        <v>0</v>
      </c>
      <c r="H12" s="40">
        <f>IFERROR(aurora_data!G632,0)</f>
        <v>0</v>
      </c>
      <c r="I12" s="41">
        <f>IFERROR(aurora_data!H632,0)</f>
        <v>0</v>
      </c>
      <c r="J12" s="39">
        <f>IFERROR(aurora_data!I632,0)</f>
        <v>0</v>
      </c>
      <c r="K12" s="40">
        <f>IFERROR(aurora_data!J632,0)</f>
        <v>0</v>
      </c>
      <c r="L12" s="40">
        <f>IFERROR(aurora_data!K632,0)</f>
        <v>0</v>
      </c>
      <c r="M12" s="40">
        <f>IFERROR(aurora_data!L632,0)</f>
        <v>0</v>
      </c>
      <c r="N12" s="41">
        <f>IFERROR(aurora_data!M632,0)</f>
        <v>0</v>
      </c>
      <c r="O12" s="39">
        <f>IFERROR(aurora_data!N632,0)</f>
        <v>0</v>
      </c>
      <c r="P12" s="40">
        <f>IFERROR(aurora_data!O632,0)</f>
        <v>0</v>
      </c>
      <c r="Q12" s="40">
        <f>IFERROR(aurora_data!P632,0)</f>
        <v>0</v>
      </c>
      <c r="R12" s="41">
        <f>IFERROR(aurora_data!Q632,0)</f>
        <v>0</v>
      </c>
      <c r="S12" s="40">
        <f>IFERROR(aurora_data!R632,0)</f>
        <v>0</v>
      </c>
      <c r="T12" s="40">
        <f>IFERROR(aurora_data!S632,0)</f>
        <v>0</v>
      </c>
      <c r="U12" s="76">
        <f>IFERROR(aurora_data!T632,0)</f>
        <v>0</v>
      </c>
      <c r="V12" s="61" t="s">
        <v>198</v>
      </c>
      <c r="W12" s="39">
        <f>IFERROR(aurora_data!U632,0)</f>
        <v>10</v>
      </c>
      <c r="X12" s="70">
        <f>IFERROR(W12/$W$12,0)</f>
        <v>1</v>
      </c>
      <c r="Y12" s="2"/>
    </row>
    <row r="13" spans="1:25" customFormat="1">
      <c r="A13" s="2"/>
      <c r="B13" s="201"/>
      <c r="C13" s="195"/>
      <c r="D13" s="35" t="s">
        <v>199</v>
      </c>
      <c r="E13" s="110">
        <f>IFERROR(aurora_data!D633,0)</f>
        <v>0</v>
      </c>
      <c r="F13" s="62">
        <f>IFERROR(aurora_data!E633,0)</f>
        <v>2</v>
      </c>
      <c r="G13" s="62">
        <f>IFERROR(aurora_data!F633,0)</f>
        <v>2</v>
      </c>
      <c r="H13" s="62">
        <f>IFERROR(aurora_data!G633,0)</f>
        <v>1</v>
      </c>
      <c r="I13" s="63">
        <f>IFERROR(aurora_data!H633,0)</f>
        <v>0</v>
      </c>
      <c r="J13" s="36">
        <f>IFERROR(aurora_data!I633,0)</f>
        <v>0</v>
      </c>
      <c r="K13" s="62">
        <f>IFERROR(aurora_data!J633,0)</f>
        <v>0</v>
      </c>
      <c r="L13" s="62">
        <f>IFERROR(aurora_data!K633,0)</f>
        <v>0</v>
      </c>
      <c r="M13" s="62">
        <f>IFERROR(aurora_data!L633,0)</f>
        <v>1</v>
      </c>
      <c r="N13" s="63">
        <f>IFERROR(aurora_data!M633,0)</f>
        <v>4</v>
      </c>
      <c r="O13" s="36">
        <f>IFERROR(aurora_data!N633,0)</f>
        <v>1</v>
      </c>
      <c r="P13" s="62">
        <f>IFERROR(aurora_data!O633,0)</f>
        <v>1</v>
      </c>
      <c r="Q13" s="62">
        <f>IFERROR(aurora_data!P633,0)</f>
        <v>2</v>
      </c>
      <c r="R13" s="63">
        <f>IFERROR(aurora_data!Q633,0)</f>
        <v>1</v>
      </c>
      <c r="S13" s="62">
        <f>IFERROR(aurora_data!R633,0)</f>
        <v>1</v>
      </c>
      <c r="T13" s="62">
        <f>IFERROR(aurora_data!S633,0)</f>
        <v>4</v>
      </c>
      <c r="U13" s="63">
        <f>IFERROR(aurora_data!T633,0)</f>
        <v>0</v>
      </c>
      <c r="V13" s="64" t="s">
        <v>198</v>
      </c>
      <c r="W13" s="36">
        <f>IFERROR(aurora_data!U633,0)</f>
        <v>5</v>
      </c>
      <c r="X13" s="71">
        <f t="shared" ref="X13:X19" si="0">IFERROR(W13/$W$12,0)</f>
        <v>0.5</v>
      </c>
      <c r="Y13" s="2"/>
    </row>
    <row r="14" spans="1:25" customFormat="1">
      <c r="A14" s="2"/>
      <c r="B14" s="201"/>
      <c r="C14" s="195"/>
      <c r="D14" s="35" t="s">
        <v>137</v>
      </c>
      <c r="E14" s="110">
        <f>IFERROR(aurora_data!D634,0)</f>
        <v>0</v>
      </c>
      <c r="F14" s="62">
        <f>IFERROR(aurora_data!E634,0)</f>
        <v>0</v>
      </c>
      <c r="G14" s="62">
        <f>IFERROR(aurora_data!F634,0)</f>
        <v>0</v>
      </c>
      <c r="H14" s="62">
        <f>IFERROR(aurora_data!G634,0)</f>
        <v>0</v>
      </c>
      <c r="I14" s="63">
        <f>IFERROR(aurora_data!H634,0)</f>
        <v>0</v>
      </c>
      <c r="J14" s="36">
        <f>IFERROR(aurora_data!I634,0)</f>
        <v>0</v>
      </c>
      <c r="K14" s="62">
        <f>IFERROR(aurora_data!J634,0)</f>
        <v>0</v>
      </c>
      <c r="L14" s="62">
        <f>IFERROR(aurora_data!K634,0)</f>
        <v>0</v>
      </c>
      <c r="M14" s="62">
        <f>IFERROR(aurora_data!L634,0)</f>
        <v>0</v>
      </c>
      <c r="N14" s="63">
        <f>IFERROR(aurora_data!M634,0)</f>
        <v>0</v>
      </c>
      <c r="O14" s="36">
        <f>IFERROR(aurora_data!N634,0)</f>
        <v>0</v>
      </c>
      <c r="P14" s="62">
        <f>IFERROR(aurora_data!O634,0)</f>
        <v>0</v>
      </c>
      <c r="Q14" s="62">
        <f>IFERROR(aurora_data!P634,0)</f>
        <v>0</v>
      </c>
      <c r="R14" s="63">
        <f>IFERROR(aurora_data!Q634,0)</f>
        <v>0</v>
      </c>
      <c r="S14" s="62">
        <f>IFERROR(aurora_data!R634,0)</f>
        <v>0</v>
      </c>
      <c r="T14" s="62">
        <f>IFERROR(aurora_data!S634,0)</f>
        <v>0</v>
      </c>
      <c r="U14" s="63">
        <f>IFERROR(aurora_data!T634,0)</f>
        <v>0</v>
      </c>
      <c r="V14" s="64" t="s">
        <v>198</v>
      </c>
      <c r="W14" s="36">
        <f>IFERROR(aurora_data!U634,0)</f>
        <v>0</v>
      </c>
      <c r="X14" s="71">
        <f t="shared" si="0"/>
        <v>0</v>
      </c>
      <c r="Y14" s="2"/>
    </row>
    <row r="15" spans="1:25" customFormat="1">
      <c r="A15" s="2"/>
      <c r="B15" s="201"/>
      <c r="C15" s="195"/>
      <c r="D15" s="35" t="s">
        <v>200</v>
      </c>
      <c r="E15" s="36">
        <f>IFERROR(aurora_data!D635,0)</f>
        <v>0</v>
      </c>
      <c r="F15" s="62">
        <f>IFERROR(aurora_data!E635,0)</f>
        <v>0</v>
      </c>
      <c r="G15" s="62">
        <f>IFERROR(aurora_data!F635,0)</f>
        <v>0</v>
      </c>
      <c r="H15" s="62">
        <f>IFERROR(aurora_data!G635,0)</f>
        <v>0</v>
      </c>
      <c r="I15" s="63">
        <f>IFERROR(aurora_data!H635,0)</f>
        <v>0</v>
      </c>
      <c r="J15" s="36">
        <f>IFERROR(aurora_data!I635,0)</f>
        <v>0</v>
      </c>
      <c r="K15" s="62">
        <f>IFERROR(aurora_data!J635,0)</f>
        <v>0</v>
      </c>
      <c r="L15" s="62">
        <f>IFERROR(aurora_data!K635,0)</f>
        <v>0</v>
      </c>
      <c r="M15" s="62">
        <f>IFERROR(aurora_data!L635,0)</f>
        <v>0</v>
      </c>
      <c r="N15" s="63">
        <f>IFERROR(aurora_data!M635,0)</f>
        <v>0</v>
      </c>
      <c r="O15" s="36">
        <f>IFERROR(aurora_data!N635,0)</f>
        <v>0</v>
      </c>
      <c r="P15" s="62">
        <f>IFERROR(aurora_data!O635,0)</f>
        <v>0</v>
      </c>
      <c r="Q15" s="62">
        <f>IFERROR(aurora_data!P635,0)</f>
        <v>0</v>
      </c>
      <c r="R15" s="63">
        <f>IFERROR(aurora_data!Q635,0)</f>
        <v>0</v>
      </c>
      <c r="S15" s="62">
        <f>IFERROR(aurora_data!R635,0)</f>
        <v>0</v>
      </c>
      <c r="T15" s="62">
        <f>IFERROR(aurora_data!S635,0)</f>
        <v>0</v>
      </c>
      <c r="U15" s="63">
        <f>IFERROR(aurora_data!T635,0)</f>
        <v>0</v>
      </c>
      <c r="V15" s="64" t="s">
        <v>198</v>
      </c>
      <c r="W15" s="36">
        <f>IFERROR(aurora_data!U635,0)</f>
        <v>0</v>
      </c>
      <c r="X15" s="71">
        <f t="shared" si="0"/>
        <v>0</v>
      </c>
      <c r="Y15" s="2"/>
    </row>
    <row r="16" spans="1:25" customFormat="1">
      <c r="A16" s="2"/>
      <c r="B16" s="201"/>
      <c r="C16" s="195"/>
      <c r="D16" s="35" t="s">
        <v>201</v>
      </c>
      <c r="E16" s="36">
        <f>IFERROR(aurora_data!D636,0)</f>
        <v>0</v>
      </c>
      <c r="F16" s="62">
        <f>IFERROR(aurora_data!E636,0)</f>
        <v>0</v>
      </c>
      <c r="G16" s="62">
        <f>IFERROR(aurora_data!F636,0)</f>
        <v>0</v>
      </c>
      <c r="H16" s="62">
        <f>IFERROR(aurora_data!G636,0)</f>
        <v>0</v>
      </c>
      <c r="I16" s="63">
        <f>IFERROR(aurora_data!H636,0)</f>
        <v>0</v>
      </c>
      <c r="J16" s="36">
        <f>IFERROR(aurora_data!I636,0)</f>
        <v>0</v>
      </c>
      <c r="K16" s="62">
        <f>IFERROR(aurora_data!J636,0)</f>
        <v>0</v>
      </c>
      <c r="L16" s="62">
        <f>IFERROR(aurora_data!K636,0)</f>
        <v>0</v>
      </c>
      <c r="M16" s="62">
        <f>IFERROR(aurora_data!L636,0)</f>
        <v>0</v>
      </c>
      <c r="N16" s="63">
        <f>IFERROR(aurora_data!M636,0)</f>
        <v>0</v>
      </c>
      <c r="O16" s="36">
        <f>IFERROR(aurora_data!N636,0)</f>
        <v>0</v>
      </c>
      <c r="P16" s="62">
        <f>IFERROR(aurora_data!O636,0)</f>
        <v>0</v>
      </c>
      <c r="Q16" s="62">
        <f>IFERROR(aurora_data!P636,0)</f>
        <v>0</v>
      </c>
      <c r="R16" s="63">
        <f>IFERROR(aurora_data!Q636,0)</f>
        <v>0</v>
      </c>
      <c r="S16" s="62">
        <f>IFERROR(aurora_data!R636,0)</f>
        <v>0</v>
      </c>
      <c r="T16" s="62">
        <f>IFERROR(aurora_data!S636,0)</f>
        <v>0</v>
      </c>
      <c r="U16" s="63">
        <f>IFERROR(aurora_data!T636,0)</f>
        <v>0</v>
      </c>
      <c r="V16" s="64" t="s">
        <v>198</v>
      </c>
      <c r="W16" s="36">
        <f>IFERROR(aurora_data!U636,0)</f>
        <v>0</v>
      </c>
      <c r="X16" s="71">
        <f t="shared" si="0"/>
        <v>0</v>
      </c>
      <c r="Y16" s="2"/>
    </row>
    <row r="17" spans="1:25" customFormat="1" ht="16.5" thickBot="1">
      <c r="A17" s="2"/>
      <c r="B17" s="201"/>
      <c r="C17" s="195"/>
      <c r="D17" s="35" t="s">
        <v>202</v>
      </c>
      <c r="E17" s="36">
        <f>IFERROR(aurora_data!D637,0)</f>
        <v>0</v>
      </c>
      <c r="F17" s="62">
        <f>IFERROR(aurora_data!E637,0)</f>
        <v>0</v>
      </c>
      <c r="G17" s="62">
        <f>IFERROR(aurora_data!F637,0)</f>
        <v>0</v>
      </c>
      <c r="H17" s="62">
        <f>IFERROR(aurora_data!G637,0)</f>
        <v>0</v>
      </c>
      <c r="I17" s="63">
        <f>IFERROR(aurora_data!H637,0)</f>
        <v>0</v>
      </c>
      <c r="J17" s="36">
        <f>IFERROR(aurora_data!I637,0)</f>
        <v>0</v>
      </c>
      <c r="K17" s="62">
        <f>IFERROR(aurora_data!J637,0)</f>
        <v>0</v>
      </c>
      <c r="L17" s="62">
        <f>IFERROR(aurora_data!K637,0)</f>
        <v>0</v>
      </c>
      <c r="M17" s="62">
        <f>IFERROR(aurora_data!L637,0)</f>
        <v>0</v>
      </c>
      <c r="N17" s="63">
        <f>IFERROR(aurora_data!M637,0)</f>
        <v>0</v>
      </c>
      <c r="O17" s="36">
        <f>IFERROR(aurora_data!N637,0)</f>
        <v>0</v>
      </c>
      <c r="P17" s="62">
        <f>IFERROR(aurora_data!O637,0)</f>
        <v>0</v>
      </c>
      <c r="Q17" s="62">
        <f>IFERROR(aurora_data!P637,0)</f>
        <v>0</v>
      </c>
      <c r="R17" s="63">
        <f>IFERROR(aurora_data!Q637,0)</f>
        <v>0</v>
      </c>
      <c r="S17" s="62">
        <f>IFERROR(aurora_data!R637,0)</f>
        <v>0</v>
      </c>
      <c r="T17" s="62">
        <f>IFERROR(aurora_data!S637,0)</f>
        <v>0</v>
      </c>
      <c r="U17" s="63">
        <f>IFERROR(aurora_data!T637,0)</f>
        <v>0</v>
      </c>
      <c r="V17" s="64" t="s">
        <v>198</v>
      </c>
      <c r="W17" s="36">
        <f>IFERROR(aurora_data!U637,0)</f>
        <v>0</v>
      </c>
      <c r="X17" s="71">
        <f t="shared" si="0"/>
        <v>0</v>
      </c>
      <c r="Y17" s="2"/>
    </row>
    <row r="18" spans="1:25" customFormat="1" ht="16.5" thickBot="1">
      <c r="A18" s="2"/>
      <c r="B18" s="201"/>
      <c r="C18" s="195"/>
      <c r="D18" s="37" t="s">
        <v>141</v>
      </c>
      <c r="E18" s="59">
        <f>IFERROR(aurora_data!D638,0)</f>
        <v>0</v>
      </c>
      <c r="F18" s="65">
        <f>IFERROR(aurora_data!E638,0)</f>
        <v>2</v>
      </c>
      <c r="G18" s="65">
        <f>IFERROR(aurora_data!F638,0)</f>
        <v>2</v>
      </c>
      <c r="H18" s="65">
        <f>IFERROR(aurora_data!G638,0)</f>
        <v>1</v>
      </c>
      <c r="I18" s="66">
        <f>IFERROR(aurora_data!H638,0)</f>
        <v>0</v>
      </c>
      <c r="J18" s="59">
        <f>IFERROR(aurora_data!I638,0)</f>
        <v>0</v>
      </c>
      <c r="K18" s="65">
        <f>IFERROR(aurora_data!J638,0)</f>
        <v>0</v>
      </c>
      <c r="L18" s="65">
        <f>IFERROR(aurora_data!K638,0)</f>
        <v>0</v>
      </c>
      <c r="M18" s="65">
        <f>IFERROR(aurora_data!L638,0)</f>
        <v>1</v>
      </c>
      <c r="N18" s="66">
        <f>IFERROR(aurora_data!M638,0)</f>
        <v>4</v>
      </c>
      <c r="O18" s="59">
        <f>IFERROR(aurora_data!N638,0)</f>
        <v>1</v>
      </c>
      <c r="P18" s="65">
        <f>IFERROR(aurora_data!O638,0)</f>
        <v>1</v>
      </c>
      <c r="Q18" s="65">
        <f>IFERROR(aurora_data!P638,0)</f>
        <v>2</v>
      </c>
      <c r="R18" s="66">
        <f>IFERROR(aurora_data!Q638,0)</f>
        <v>1</v>
      </c>
      <c r="S18" s="65">
        <f>IFERROR(aurora_data!R638,0)</f>
        <v>1</v>
      </c>
      <c r="T18" s="65">
        <f>IFERROR(aurora_data!S638,0)</f>
        <v>4</v>
      </c>
      <c r="U18" s="66">
        <f>IFERROR(aurora_data!T638,0)</f>
        <v>0</v>
      </c>
      <c r="V18" s="67" t="s">
        <v>198</v>
      </c>
      <c r="W18" s="59">
        <f>IFERROR(aurora_data!U638,0)</f>
        <v>5</v>
      </c>
      <c r="X18" s="72">
        <f t="shared" si="0"/>
        <v>0.5</v>
      </c>
      <c r="Y18" s="2"/>
    </row>
    <row r="19" spans="1:25" customFormat="1" ht="16.5" thickBot="1">
      <c r="A19" s="2"/>
      <c r="B19" s="201"/>
      <c r="C19" s="195"/>
      <c r="D19" s="38" t="s">
        <v>203</v>
      </c>
      <c r="E19" s="60">
        <f>IFERROR(aurora_data!D639,0)</f>
        <v>0</v>
      </c>
      <c r="F19" s="68">
        <f>IFERROR(aurora_data!E639,0)</f>
        <v>0</v>
      </c>
      <c r="G19" s="68">
        <f>IFERROR(aurora_data!F639,0)</f>
        <v>0</v>
      </c>
      <c r="H19" s="68">
        <f>IFERROR(aurora_data!G639,0)</f>
        <v>0</v>
      </c>
      <c r="I19" s="69">
        <f>IFERROR(aurora_data!H639,0)</f>
        <v>0</v>
      </c>
      <c r="J19" s="60">
        <f>IFERROR(aurora_data!I639,0)</f>
        <v>0</v>
      </c>
      <c r="K19" s="68">
        <f>IFERROR(aurora_data!J639,0)</f>
        <v>0</v>
      </c>
      <c r="L19" s="68">
        <f>IFERROR(aurora_data!K639,0)</f>
        <v>0</v>
      </c>
      <c r="M19" s="68">
        <f>IFERROR(aurora_data!L639,0)</f>
        <v>0</v>
      </c>
      <c r="N19" s="69">
        <f>IFERROR(aurora_data!M639,0)</f>
        <v>0</v>
      </c>
      <c r="O19" s="60">
        <f>IFERROR(aurora_data!N639,0)</f>
        <v>0</v>
      </c>
      <c r="P19" s="68">
        <f>IFERROR(aurora_data!O639,0)</f>
        <v>0</v>
      </c>
      <c r="Q19" s="68">
        <f>IFERROR(aurora_data!P639,0)</f>
        <v>0</v>
      </c>
      <c r="R19" s="69">
        <f>IFERROR(aurora_data!Q639,0)</f>
        <v>0</v>
      </c>
      <c r="S19" s="68">
        <f>IFERROR(aurora_data!R639,0)</f>
        <v>0</v>
      </c>
      <c r="T19" s="68">
        <f>IFERROR(aurora_data!S639,0)</f>
        <v>0</v>
      </c>
      <c r="U19" s="74">
        <f>IFERROR(aurora_data!T639,0)</f>
        <v>0</v>
      </c>
      <c r="V19" s="75" t="s">
        <v>198</v>
      </c>
      <c r="W19" s="60">
        <f>IFERROR(aurora_data!U639,0)</f>
        <v>0</v>
      </c>
      <c r="X19" s="73">
        <f t="shared" si="0"/>
        <v>0</v>
      </c>
      <c r="Y19" s="2"/>
    </row>
    <row r="20" spans="1:25" customFormat="1">
      <c r="A20" s="2"/>
      <c r="B20" s="200" t="s">
        <v>197</v>
      </c>
      <c r="C20" s="194" t="str">
        <f>aurora_data!A732</f>
        <v>09.00.00-21.11.30</v>
      </c>
      <c r="D20" s="34" t="s">
        <v>153</v>
      </c>
      <c r="E20" s="39">
        <f>IFERROR(aurora_data!D732,0)</f>
        <v>0</v>
      </c>
      <c r="F20" s="40">
        <f>IFERROR(aurora_data!E732,0)</f>
        <v>0</v>
      </c>
      <c r="G20" s="40">
        <f>IFERROR(aurora_data!F732,0)</f>
        <v>0</v>
      </c>
      <c r="H20" s="40">
        <f>IFERROR(aurora_data!G732,0)</f>
        <v>0</v>
      </c>
      <c r="I20" s="41">
        <f>IFERROR(aurora_data!H732,0)</f>
        <v>0</v>
      </c>
      <c r="J20" s="39">
        <f>IFERROR(aurora_data!I732,0)</f>
        <v>0</v>
      </c>
      <c r="K20" s="40">
        <f>IFERROR(aurora_data!J732,0)</f>
        <v>0</v>
      </c>
      <c r="L20" s="40">
        <f>IFERROR(aurora_data!K732,0)</f>
        <v>0</v>
      </c>
      <c r="M20" s="40">
        <f>IFERROR(aurora_data!L732,0)</f>
        <v>0</v>
      </c>
      <c r="N20" s="41">
        <f>IFERROR(aurora_data!M732,0)</f>
        <v>0</v>
      </c>
      <c r="O20" s="39">
        <f>IFERROR(aurora_data!N732,0)</f>
        <v>0</v>
      </c>
      <c r="P20" s="40">
        <f>IFERROR(aurora_data!O732,0)</f>
        <v>0</v>
      </c>
      <c r="Q20" s="40">
        <f>IFERROR(aurora_data!P732,0)</f>
        <v>0</v>
      </c>
      <c r="R20" s="41">
        <f>IFERROR(aurora_data!Q732,0)</f>
        <v>0</v>
      </c>
      <c r="S20" s="40">
        <f>IFERROR(aurora_data!R732,0)</f>
        <v>0</v>
      </c>
      <c r="T20" s="40">
        <f>IFERROR(aurora_data!S732,0)</f>
        <v>0</v>
      </c>
      <c r="U20" s="76">
        <f>IFERROR(aurora_data!T732,0)</f>
        <v>0</v>
      </c>
      <c r="V20" s="61" t="s">
        <v>198</v>
      </c>
      <c r="W20" s="39">
        <f>IFERROR(aurora_data!U732,0)</f>
        <v>50</v>
      </c>
      <c r="X20" s="70">
        <f>IFERROR(W20/$W$20,0)</f>
        <v>1</v>
      </c>
      <c r="Y20" s="2"/>
    </row>
    <row r="21" spans="1:25" customFormat="1" ht="16.5" customHeight="1">
      <c r="A21" s="2"/>
      <c r="B21" s="201"/>
      <c r="C21" s="195"/>
      <c r="D21" s="35" t="s">
        <v>199</v>
      </c>
      <c r="E21" s="36">
        <f>IFERROR(aurora_data!D733,0)</f>
        <v>8</v>
      </c>
      <c r="F21" s="62">
        <f>IFERROR(aurora_data!E733,0)</f>
        <v>10</v>
      </c>
      <c r="G21" s="62">
        <f>IFERROR(aurora_data!F733,0)</f>
        <v>7</v>
      </c>
      <c r="H21" s="62">
        <f>IFERROR(aurora_data!G733,0)</f>
        <v>30</v>
      </c>
      <c r="I21" s="63">
        <f>IFERROR(aurora_data!H733,0)</f>
        <v>0</v>
      </c>
      <c r="J21" s="36">
        <f>IFERROR(aurora_data!I733,0)</f>
        <v>1</v>
      </c>
      <c r="K21" s="62">
        <f>IFERROR(aurora_data!J733,0)</f>
        <v>4</v>
      </c>
      <c r="L21" s="62">
        <f>IFERROR(aurora_data!K733,0)</f>
        <v>9</v>
      </c>
      <c r="M21" s="62">
        <f>IFERROR(aurora_data!L733,0)</f>
        <v>6</v>
      </c>
      <c r="N21" s="63">
        <f>IFERROR(aurora_data!M733,0)</f>
        <v>35</v>
      </c>
      <c r="O21" s="36">
        <f>IFERROR(aurora_data!N733,0)</f>
        <v>18</v>
      </c>
      <c r="P21" s="62">
        <f>IFERROR(aurora_data!O733,0)</f>
        <v>13</v>
      </c>
      <c r="Q21" s="62">
        <f>IFERROR(aurora_data!P733,0)</f>
        <v>11</v>
      </c>
      <c r="R21" s="63">
        <f>IFERROR(aurora_data!Q733,0)</f>
        <v>13</v>
      </c>
      <c r="S21" s="62">
        <f>IFERROR(aurora_data!R733,0)</f>
        <v>22</v>
      </c>
      <c r="T21" s="62">
        <f>IFERROR(aurora_data!S733,0)</f>
        <v>33</v>
      </c>
      <c r="U21" s="63">
        <f>IFERROR(aurora_data!T733,0)</f>
        <v>0</v>
      </c>
      <c r="V21" s="64" t="s">
        <v>198</v>
      </c>
      <c r="W21" s="36">
        <f>IFERROR(aurora_data!U733,0)</f>
        <v>55</v>
      </c>
      <c r="X21" s="71">
        <f t="shared" ref="X21:X27" si="1">IFERROR(W21/$W$20,0)</f>
        <v>1.1000000000000001</v>
      </c>
      <c r="Y21" s="2"/>
    </row>
    <row r="22" spans="1:25" customFormat="1" ht="16.5" customHeight="1">
      <c r="A22" s="2"/>
      <c r="B22" s="201"/>
      <c r="C22" s="195"/>
      <c r="D22" s="35" t="s">
        <v>137</v>
      </c>
      <c r="E22" s="36">
        <f>IFERROR(aurora_data!D734,0)</f>
        <v>0</v>
      </c>
      <c r="F22" s="62">
        <f>IFERROR(aurora_data!E734,0)</f>
        <v>0</v>
      </c>
      <c r="G22" s="62">
        <f>IFERROR(aurora_data!F734,0)</f>
        <v>0</v>
      </c>
      <c r="H22" s="62">
        <f>IFERROR(aurora_data!G734,0)</f>
        <v>1</v>
      </c>
      <c r="I22" s="63">
        <f>IFERROR(aurora_data!H734,0)</f>
        <v>0</v>
      </c>
      <c r="J22" s="36">
        <f>IFERROR(aurora_data!I734,0)</f>
        <v>0</v>
      </c>
      <c r="K22" s="62">
        <f>IFERROR(aurora_data!J734,0)</f>
        <v>0</v>
      </c>
      <c r="L22" s="62">
        <f>IFERROR(aurora_data!K734,0)</f>
        <v>0</v>
      </c>
      <c r="M22" s="62">
        <f>IFERROR(aurora_data!L734,0)</f>
        <v>0</v>
      </c>
      <c r="N22" s="63">
        <f>IFERROR(aurora_data!M734,0)</f>
        <v>1</v>
      </c>
      <c r="O22" s="36">
        <f>IFERROR(aurora_data!N734,0)</f>
        <v>1</v>
      </c>
      <c r="P22" s="62">
        <f>IFERROR(aurora_data!O734,0)</f>
        <v>0</v>
      </c>
      <c r="Q22" s="62">
        <f>IFERROR(aurora_data!P734,0)</f>
        <v>0</v>
      </c>
      <c r="R22" s="63">
        <f>IFERROR(aurora_data!Q734,0)</f>
        <v>0</v>
      </c>
      <c r="S22" s="62">
        <f>IFERROR(aurora_data!R734,0)</f>
        <v>0</v>
      </c>
      <c r="T22" s="62">
        <f>IFERROR(aurora_data!S734,0)</f>
        <v>1</v>
      </c>
      <c r="U22" s="63">
        <f>IFERROR(aurora_data!T734,0)</f>
        <v>0</v>
      </c>
      <c r="V22" s="64" t="s">
        <v>198</v>
      </c>
      <c r="W22" s="36">
        <f>IFERROR(aurora_data!U734,0)</f>
        <v>1</v>
      </c>
      <c r="X22" s="71">
        <f t="shared" si="1"/>
        <v>0.02</v>
      </c>
      <c r="Y22" s="2"/>
    </row>
    <row r="23" spans="1:25" customFormat="1">
      <c r="A23" s="2"/>
      <c r="B23" s="201"/>
      <c r="C23" s="195"/>
      <c r="D23" s="35" t="s">
        <v>200</v>
      </c>
      <c r="E23" s="36">
        <f>IFERROR(aurora_data!D735,0)</f>
        <v>0</v>
      </c>
      <c r="F23" s="62">
        <f>IFERROR(aurora_data!E735,0)</f>
        <v>0</v>
      </c>
      <c r="G23" s="62">
        <f>IFERROR(aurora_data!F735,0)</f>
        <v>0</v>
      </c>
      <c r="H23" s="62">
        <f>IFERROR(aurora_data!G735,0)</f>
        <v>0</v>
      </c>
      <c r="I23" s="63">
        <f>IFERROR(aurora_data!H735,0)</f>
        <v>0</v>
      </c>
      <c r="J23" s="36">
        <f>IFERROR(aurora_data!I735,0)</f>
        <v>0</v>
      </c>
      <c r="K23" s="62">
        <f>IFERROR(aurora_data!J735,0)</f>
        <v>0</v>
      </c>
      <c r="L23" s="62">
        <f>IFERROR(aurora_data!K735,0)</f>
        <v>0</v>
      </c>
      <c r="M23" s="62">
        <f>IFERROR(aurora_data!L735,0)</f>
        <v>0</v>
      </c>
      <c r="N23" s="63">
        <f>IFERROR(aurora_data!M735,0)</f>
        <v>0</v>
      </c>
      <c r="O23" s="36">
        <f>IFERROR(aurora_data!N735,0)</f>
        <v>0</v>
      </c>
      <c r="P23" s="62">
        <f>IFERROR(aurora_data!O735,0)</f>
        <v>0</v>
      </c>
      <c r="Q23" s="62">
        <f>IFERROR(aurora_data!P735,0)</f>
        <v>0</v>
      </c>
      <c r="R23" s="63">
        <f>IFERROR(aurora_data!Q735,0)</f>
        <v>0</v>
      </c>
      <c r="S23" s="62">
        <f>IFERROR(aurora_data!R735,0)</f>
        <v>0</v>
      </c>
      <c r="T23" s="62">
        <f>IFERROR(aurora_data!S735,0)</f>
        <v>0</v>
      </c>
      <c r="U23" s="63">
        <f>IFERROR(aurora_data!T735,0)</f>
        <v>0</v>
      </c>
      <c r="V23" s="64" t="s">
        <v>198</v>
      </c>
      <c r="W23" s="36">
        <f>IFERROR(aurora_data!U735,0)</f>
        <v>0</v>
      </c>
      <c r="X23" s="71">
        <f t="shared" si="1"/>
        <v>0</v>
      </c>
      <c r="Y23" s="2"/>
    </row>
    <row r="24" spans="1:25" customFormat="1" ht="16.5" customHeight="1">
      <c r="A24" s="2"/>
      <c r="B24" s="201"/>
      <c r="C24" s="195"/>
      <c r="D24" s="35" t="s">
        <v>201</v>
      </c>
      <c r="E24" s="36">
        <f>IFERROR(aurora_data!D736,0)</f>
        <v>0</v>
      </c>
      <c r="F24" s="62">
        <f>IFERROR(aurora_data!E736,0)</f>
        <v>0</v>
      </c>
      <c r="G24" s="62">
        <f>IFERROR(aurora_data!F736,0)</f>
        <v>0</v>
      </c>
      <c r="H24" s="62">
        <f>IFERROR(aurora_data!G736,0)</f>
        <v>0</v>
      </c>
      <c r="I24" s="63">
        <f>IFERROR(aurora_data!H736,0)</f>
        <v>0</v>
      </c>
      <c r="J24" s="36">
        <f>IFERROR(aurora_data!I736,0)</f>
        <v>0</v>
      </c>
      <c r="K24" s="62">
        <f>IFERROR(aurora_data!J736,0)</f>
        <v>0</v>
      </c>
      <c r="L24" s="62">
        <f>IFERROR(aurora_data!K736,0)</f>
        <v>0</v>
      </c>
      <c r="M24" s="62">
        <f>IFERROR(aurora_data!L736,0)</f>
        <v>0</v>
      </c>
      <c r="N24" s="63">
        <f>IFERROR(aurora_data!M736,0)</f>
        <v>0</v>
      </c>
      <c r="O24" s="36">
        <f>IFERROR(aurora_data!N736,0)</f>
        <v>0</v>
      </c>
      <c r="P24" s="62">
        <f>IFERROR(aurora_data!O736,0)</f>
        <v>0</v>
      </c>
      <c r="Q24" s="62">
        <f>IFERROR(aurora_data!P736,0)</f>
        <v>0</v>
      </c>
      <c r="R24" s="63">
        <f>IFERROR(aurora_data!Q736,0)</f>
        <v>0</v>
      </c>
      <c r="S24" s="62">
        <f>IFERROR(aurora_data!R736,0)</f>
        <v>0</v>
      </c>
      <c r="T24" s="62">
        <f>IFERROR(aurora_data!S736,0)</f>
        <v>0</v>
      </c>
      <c r="U24" s="63">
        <f>IFERROR(aurora_data!T736,0)</f>
        <v>0</v>
      </c>
      <c r="V24" s="64" t="s">
        <v>198</v>
      </c>
      <c r="W24" s="36">
        <f>IFERROR(aurora_data!U736,0)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01"/>
      <c r="C25" s="195"/>
      <c r="D25" s="35" t="s">
        <v>202</v>
      </c>
      <c r="E25" s="36">
        <f>IFERROR(aurora_data!D737,0)</f>
        <v>0</v>
      </c>
      <c r="F25" s="62">
        <f>IFERROR(aurora_data!E737,0)</f>
        <v>0</v>
      </c>
      <c r="G25" s="62">
        <f>IFERROR(aurora_data!F737,0)</f>
        <v>0</v>
      </c>
      <c r="H25" s="62">
        <f>IFERROR(aurora_data!G737,0)</f>
        <v>0</v>
      </c>
      <c r="I25" s="63">
        <f>IFERROR(aurora_data!H737,0)</f>
        <v>0</v>
      </c>
      <c r="J25" s="36">
        <f>IFERROR(aurora_data!I737,0)</f>
        <v>0</v>
      </c>
      <c r="K25" s="62">
        <f>IFERROR(aurora_data!J737,0)</f>
        <v>0</v>
      </c>
      <c r="L25" s="62">
        <f>IFERROR(aurora_data!K737,0)</f>
        <v>0</v>
      </c>
      <c r="M25" s="62">
        <f>IFERROR(aurora_data!L737,0)</f>
        <v>0</v>
      </c>
      <c r="N25" s="63">
        <f>IFERROR(aurora_data!M737,0)</f>
        <v>0</v>
      </c>
      <c r="O25" s="36">
        <f>IFERROR(aurora_data!N737,0)</f>
        <v>0</v>
      </c>
      <c r="P25" s="62">
        <f>IFERROR(aurora_data!O737,0)</f>
        <v>0</v>
      </c>
      <c r="Q25" s="62">
        <f>IFERROR(aurora_data!P737,0)</f>
        <v>0</v>
      </c>
      <c r="R25" s="63">
        <f>IFERROR(aurora_data!Q737,0)</f>
        <v>0</v>
      </c>
      <c r="S25" s="62">
        <f>IFERROR(aurora_data!R737,0)</f>
        <v>0</v>
      </c>
      <c r="T25" s="62">
        <f>IFERROR(aurora_data!S737,0)</f>
        <v>0</v>
      </c>
      <c r="U25" s="63">
        <f>IFERROR(aurora_data!T737,0)</f>
        <v>0</v>
      </c>
      <c r="V25" s="64" t="s">
        <v>198</v>
      </c>
      <c r="W25" s="36">
        <f>IFERROR(aurora_data!U737,0)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01"/>
      <c r="C26" s="195"/>
      <c r="D26" s="37" t="s">
        <v>141</v>
      </c>
      <c r="E26" s="59">
        <f>IFERROR(aurora_data!D738,0)</f>
        <v>8</v>
      </c>
      <c r="F26" s="65">
        <f>IFERROR(aurora_data!E738,0)</f>
        <v>10</v>
      </c>
      <c r="G26" s="65">
        <f>IFERROR(aurora_data!F738,0)</f>
        <v>7</v>
      </c>
      <c r="H26" s="65">
        <f>IFERROR(aurora_data!G738,0)</f>
        <v>31</v>
      </c>
      <c r="I26" s="66">
        <f>IFERROR(aurora_data!H738,0)</f>
        <v>0</v>
      </c>
      <c r="J26" s="59">
        <f>IFERROR(aurora_data!I738,0)</f>
        <v>1</v>
      </c>
      <c r="K26" s="65">
        <f>IFERROR(aurora_data!J738,0)</f>
        <v>4</v>
      </c>
      <c r="L26" s="65">
        <f>IFERROR(aurora_data!K738,0)</f>
        <v>9</v>
      </c>
      <c r="M26" s="65">
        <f>IFERROR(aurora_data!L738,0)</f>
        <v>6</v>
      </c>
      <c r="N26" s="66">
        <f>IFERROR(aurora_data!M738,0)</f>
        <v>36</v>
      </c>
      <c r="O26" s="59">
        <f>IFERROR(aurora_data!N738,0)</f>
        <v>19</v>
      </c>
      <c r="P26" s="65">
        <f>IFERROR(aurora_data!O738,0)</f>
        <v>13</v>
      </c>
      <c r="Q26" s="65">
        <f>IFERROR(aurora_data!P738,0)</f>
        <v>11</v>
      </c>
      <c r="R26" s="66">
        <f>IFERROR(aurora_data!Q738,0)</f>
        <v>13</v>
      </c>
      <c r="S26" s="65">
        <f>IFERROR(aurora_data!R738,0)</f>
        <v>22</v>
      </c>
      <c r="T26" s="65">
        <f>IFERROR(aurora_data!S738,0)</f>
        <v>34</v>
      </c>
      <c r="U26" s="66">
        <f>IFERROR(aurora_data!T738,0)</f>
        <v>0</v>
      </c>
      <c r="V26" s="67" t="s">
        <v>198</v>
      </c>
      <c r="W26" s="59">
        <f>IFERROR(aurora_data!U738,0)</f>
        <v>56</v>
      </c>
      <c r="X26" s="72">
        <f t="shared" si="1"/>
        <v>1.1200000000000001</v>
      </c>
      <c r="Y26" s="2"/>
    </row>
    <row r="27" spans="1:25" customFormat="1" ht="16.5" thickBot="1">
      <c r="A27" s="2"/>
      <c r="B27" s="201"/>
      <c r="C27" s="195"/>
      <c r="D27" s="38" t="s">
        <v>203</v>
      </c>
      <c r="E27" s="60">
        <f>IFERROR(aurora_data!D739,0)</f>
        <v>0</v>
      </c>
      <c r="F27" s="68">
        <f>IFERROR(aurora_data!E739,0)</f>
        <v>0</v>
      </c>
      <c r="G27" s="68">
        <f>IFERROR(aurora_data!F739,0)</f>
        <v>0</v>
      </c>
      <c r="H27" s="68">
        <f>IFERROR(aurora_data!G739,0)</f>
        <v>0</v>
      </c>
      <c r="I27" s="69">
        <f>IFERROR(aurora_data!H739,0)</f>
        <v>0</v>
      </c>
      <c r="J27" s="60">
        <f>IFERROR(aurora_data!I739,0)</f>
        <v>0</v>
      </c>
      <c r="K27" s="68">
        <f>IFERROR(aurora_data!J739,0)</f>
        <v>0</v>
      </c>
      <c r="L27" s="68">
        <f>IFERROR(aurora_data!K739,0)</f>
        <v>0</v>
      </c>
      <c r="M27" s="68">
        <f>IFERROR(aurora_data!L739,0)</f>
        <v>0</v>
      </c>
      <c r="N27" s="69">
        <f>IFERROR(aurora_data!M739,0)</f>
        <v>0</v>
      </c>
      <c r="O27" s="60">
        <f>IFERROR(aurora_data!N739,0)</f>
        <v>0</v>
      </c>
      <c r="P27" s="68">
        <f>IFERROR(aurora_data!O739,0)</f>
        <v>0</v>
      </c>
      <c r="Q27" s="68">
        <f>IFERROR(aurora_data!P739,0)</f>
        <v>0</v>
      </c>
      <c r="R27" s="69">
        <f>IFERROR(aurora_data!Q739,0)</f>
        <v>0</v>
      </c>
      <c r="S27" s="68">
        <f>IFERROR(aurora_data!R739,0)</f>
        <v>0</v>
      </c>
      <c r="T27" s="68">
        <f>IFERROR(aurora_data!S739,0)</f>
        <v>0</v>
      </c>
      <c r="U27" s="74">
        <f>IFERROR(aurora_data!T739,0)</f>
        <v>0</v>
      </c>
      <c r="V27" s="75" t="s">
        <v>198</v>
      </c>
      <c r="W27" s="60">
        <f>IFERROR(aurora_data!U739,0)</f>
        <v>0</v>
      </c>
      <c r="X27" s="73">
        <f t="shared" si="1"/>
        <v>0</v>
      </c>
      <c r="Y27" s="2"/>
    </row>
    <row r="28" spans="1:25" customFormat="1" ht="15.75" customHeight="1">
      <c r="A28" s="2"/>
      <c r="B28" s="196" t="s">
        <v>197</v>
      </c>
      <c r="C28" s="198" t="s">
        <v>130</v>
      </c>
      <c r="D28" s="34" t="s">
        <v>153</v>
      </c>
      <c r="E28" s="39">
        <f>IFERROR(aurora_data!D640+aurora_data!D740,0)</f>
        <v>0</v>
      </c>
      <c r="F28" s="40">
        <f>IFERROR(aurora_data!E640+aurora_data!E740,0)</f>
        <v>0</v>
      </c>
      <c r="G28" s="40">
        <f>IFERROR(aurora_data!F640+aurora_data!F740,0)</f>
        <v>0</v>
      </c>
      <c r="H28" s="40">
        <f>IFERROR(aurora_data!G640+aurora_data!G740,0)</f>
        <v>0</v>
      </c>
      <c r="I28" s="41">
        <f>IFERROR(aurora_data!H640+aurora_data!H740,0)</f>
        <v>0</v>
      </c>
      <c r="J28" s="39">
        <f>IFERROR(aurora_data!I640+aurora_data!I740,0)</f>
        <v>0</v>
      </c>
      <c r="K28" s="40">
        <f>IFERROR(aurora_data!J640+aurora_data!J740,0)</f>
        <v>0</v>
      </c>
      <c r="L28" s="40">
        <f>IFERROR(aurora_data!K640+aurora_data!K740,0)</f>
        <v>0</v>
      </c>
      <c r="M28" s="40">
        <f>IFERROR(aurora_data!L640+aurora_data!L740,0)</f>
        <v>0</v>
      </c>
      <c r="N28" s="41">
        <f>IFERROR(aurora_data!M640+aurora_data!M740,0)</f>
        <v>0</v>
      </c>
      <c r="O28" s="39">
        <f>IFERROR(aurora_data!N640+aurora_data!N740,0)</f>
        <v>0</v>
      </c>
      <c r="P28" s="40">
        <f>IFERROR(aurora_data!O640+aurora_data!O740,0)</f>
        <v>0</v>
      </c>
      <c r="Q28" s="40">
        <f>IFERROR(aurora_data!P640+aurora_data!P740,0)</f>
        <v>0</v>
      </c>
      <c r="R28" s="41">
        <f>IFERROR(aurora_data!Q640+aurora_data!Q740,0)</f>
        <v>0</v>
      </c>
      <c r="S28" s="40">
        <f>IFERROR(aurora_data!R640+aurora_data!R740,0)</f>
        <v>0</v>
      </c>
      <c r="T28" s="40">
        <f>IFERROR(aurora_data!S640+aurora_data!S740,0)</f>
        <v>0</v>
      </c>
      <c r="U28" s="41">
        <f>IFERROR(aurora_data!T640+aurora_data!T740,0)</f>
        <v>0</v>
      </c>
      <c r="V28" s="61" t="s">
        <v>198</v>
      </c>
      <c r="W28" s="39">
        <f>IFERROR(aurora_data!U640+aurora_data!U740,0)</f>
        <v>60</v>
      </c>
      <c r="X28" s="70">
        <f>IFERROR(W28/$W$28,0)</f>
        <v>1</v>
      </c>
      <c r="Y28" s="2"/>
    </row>
    <row r="29" spans="1:25" customFormat="1" ht="15.75" customHeight="1">
      <c r="A29" s="2"/>
      <c r="B29" s="197"/>
      <c r="C29" s="199"/>
      <c r="D29" s="35" t="s">
        <v>199</v>
      </c>
      <c r="E29" s="36">
        <f>IFERROR(aurora_data!D641+aurora_data!D741,0)</f>
        <v>8</v>
      </c>
      <c r="F29" s="62">
        <f>IFERROR(aurora_data!E641+aurora_data!E741,0)</f>
        <v>12</v>
      </c>
      <c r="G29" s="62">
        <f>IFERROR(aurora_data!F641+aurora_data!F741,0)</f>
        <v>9</v>
      </c>
      <c r="H29" s="62">
        <f>IFERROR(aurora_data!G641+aurora_data!G741,0)</f>
        <v>31</v>
      </c>
      <c r="I29" s="63">
        <f>IFERROR(aurora_data!H641+aurora_data!H741,0)</f>
        <v>0</v>
      </c>
      <c r="J29" s="36">
        <f>IFERROR(aurora_data!I641+aurora_data!I741,0)</f>
        <v>1</v>
      </c>
      <c r="K29" s="62">
        <f>IFERROR(aurora_data!J641+aurora_data!J741,0)</f>
        <v>4</v>
      </c>
      <c r="L29" s="62">
        <f>IFERROR(aurora_data!K641+aurora_data!K741,0)</f>
        <v>9</v>
      </c>
      <c r="M29" s="62">
        <f>IFERROR(aurora_data!L641+aurora_data!L741,0)</f>
        <v>7</v>
      </c>
      <c r="N29" s="63">
        <f>IFERROR(aurora_data!M641+aurora_data!M741,0)</f>
        <v>39</v>
      </c>
      <c r="O29" s="36">
        <f>IFERROR(aurora_data!N641+aurora_data!N741,0)</f>
        <v>19</v>
      </c>
      <c r="P29" s="62">
        <f>IFERROR(aurora_data!O641+aurora_data!O741,0)</f>
        <v>14</v>
      </c>
      <c r="Q29" s="62">
        <f>IFERROR(aurora_data!P641+aurora_data!P741,0)</f>
        <v>13</v>
      </c>
      <c r="R29" s="63">
        <f>IFERROR(aurora_data!Q641+aurora_data!Q741,0)</f>
        <v>14</v>
      </c>
      <c r="S29" s="62">
        <f>IFERROR(aurora_data!R641+aurora_data!R741,0)</f>
        <v>23</v>
      </c>
      <c r="T29" s="62">
        <f>IFERROR(aurora_data!S641+aurora_data!S741,0)</f>
        <v>37</v>
      </c>
      <c r="U29" s="63">
        <f>IFERROR(aurora_data!T641+aurora_data!T741,0)</f>
        <v>0</v>
      </c>
      <c r="V29" s="64" t="s">
        <v>198</v>
      </c>
      <c r="W29" s="36">
        <f>IFERROR(aurora_data!U641+aurora_data!U741,0)</f>
        <v>60</v>
      </c>
      <c r="X29" s="71">
        <f t="shared" ref="X29:X35" si="2">IFERROR(W29/$W$28,0)</f>
        <v>1</v>
      </c>
      <c r="Y29" s="2"/>
    </row>
    <row r="30" spans="1:25" customFormat="1" ht="15.75" customHeight="1">
      <c r="A30" s="2"/>
      <c r="B30" s="197"/>
      <c r="C30" s="199"/>
      <c r="D30" s="35" t="s">
        <v>137</v>
      </c>
      <c r="E30" s="36">
        <f>IFERROR(aurora_data!D642+aurora_data!D742,0)</f>
        <v>0</v>
      </c>
      <c r="F30" s="62">
        <f>IFERROR(aurora_data!E642+aurora_data!E742,0)</f>
        <v>0</v>
      </c>
      <c r="G30" s="62">
        <f>IFERROR(aurora_data!F642+aurora_data!F742,0)</f>
        <v>0</v>
      </c>
      <c r="H30" s="62">
        <f>IFERROR(aurora_data!G642+aurora_data!G742,0)</f>
        <v>1</v>
      </c>
      <c r="I30" s="63">
        <f>IFERROR(aurora_data!H642+aurora_data!H742,0)</f>
        <v>0</v>
      </c>
      <c r="J30" s="36">
        <f>IFERROR(aurora_data!I642+aurora_data!I742,0)</f>
        <v>0</v>
      </c>
      <c r="K30" s="62">
        <f>IFERROR(aurora_data!J642+aurora_data!J742,0)</f>
        <v>0</v>
      </c>
      <c r="L30" s="62">
        <f>IFERROR(aurora_data!K642+aurora_data!K742,0)</f>
        <v>0</v>
      </c>
      <c r="M30" s="62">
        <f>IFERROR(aurora_data!L642+aurora_data!L742,0)</f>
        <v>0</v>
      </c>
      <c r="N30" s="63">
        <f>IFERROR(aurora_data!M642+aurora_data!M742,0)</f>
        <v>1</v>
      </c>
      <c r="O30" s="36">
        <f>IFERROR(aurora_data!N642+aurora_data!N742,0)</f>
        <v>1</v>
      </c>
      <c r="P30" s="62">
        <f>IFERROR(aurora_data!O642+aurora_data!O742,0)</f>
        <v>0</v>
      </c>
      <c r="Q30" s="62">
        <f>IFERROR(aurora_data!P642+aurora_data!P742,0)</f>
        <v>0</v>
      </c>
      <c r="R30" s="63">
        <f>IFERROR(aurora_data!Q642+aurora_data!Q742,0)</f>
        <v>0</v>
      </c>
      <c r="S30" s="62">
        <f>IFERROR(aurora_data!R642+aurora_data!R742,0)</f>
        <v>0</v>
      </c>
      <c r="T30" s="62">
        <f>IFERROR(aurora_data!S642+aurora_data!S742,0)</f>
        <v>1</v>
      </c>
      <c r="U30" s="63">
        <f>IFERROR(aurora_data!T642+aurora_data!T742,0)</f>
        <v>0</v>
      </c>
      <c r="V30" s="64" t="s">
        <v>198</v>
      </c>
      <c r="W30" s="36">
        <f>IFERROR(aurora_data!U642+aurora_data!U742,0)</f>
        <v>1</v>
      </c>
      <c r="X30" s="71">
        <f t="shared" si="2"/>
        <v>1.6666666666666666E-2</v>
      </c>
      <c r="Y30" s="2"/>
    </row>
    <row r="31" spans="1:25" customFormat="1" ht="15.75" customHeight="1">
      <c r="A31" s="2"/>
      <c r="B31" s="197"/>
      <c r="C31" s="199"/>
      <c r="D31" s="35" t="s">
        <v>200</v>
      </c>
      <c r="E31" s="36">
        <f>IFERROR(aurora_data!D643+aurora_data!D743,0)</f>
        <v>0</v>
      </c>
      <c r="F31" s="62">
        <f>IFERROR(aurora_data!E643+aurora_data!E743,0)</f>
        <v>0</v>
      </c>
      <c r="G31" s="62">
        <f>IFERROR(aurora_data!F643+aurora_data!F743,0)</f>
        <v>0</v>
      </c>
      <c r="H31" s="62">
        <f>IFERROR(aurora_data!G643+aurora_data!G743,0)</f>
        <v>0</v>
      </c>
      <c r="I31" s="63">
        <f>IFERROR(aurora_data!H643+aurora_data!H743,0)</f>
        <v>0</v>
      </c>
      <c r="J31" s="36">
        <f>IFERROR(aurora_data!I643+aurora_data!I743,0)</f>
        <v>0</v>
      </c>
      <c r="K31" s="62">
        <f>IFERROR(aurora_data!J643+aurora_data!J743,0)</f>
        <v>0</v>
      </c>
      <c r="L31" s="62">
        <f>IFERROR(aurora_data!K643+aurora_data!K743,0)</f>
        <v>0</v>
      </c>
      <c r="M31" s="62">
        <f>IFERROR(aurora_data!L643+aurora_data!L743,0)</f>
        <v>0</v>
      </c>
      <c r="N31" s="63">
        <f>IFERROR(aurora_data!M643+aurora_data!M743,0)</f>
        <v>0</v>
      </c>
      <c r="O31" s="36">
        <f>IFERROR(aurora_data!N643+aurora_data!N743,0)</f>
        <v>0</v>
      </c>
      <c r="P31" s="62">
        <f>IFERROR(aurora_data!O643+aurora_data!O743,0)</f>
        <v>0</v>
      </c>
      <c r="Q31" s="62">
        <f>IFERROR(aurora_data!P643+aurora_data!P743,0)</f>
        <v>0</v>
      </c>
      <c r="R31" s="63">
        <f>IFERROR(aurora_data!Q643+aurora_data!Q743,0)</f>
        <v>0</v>
      </c>
      <c r="S31" s="62">
        <f>IFERROR(aurora_data!R643+aurora_data!R743,0)</f>
        <v>0</v>
      </c>
      <c r="T31" s="62">
        <f>IFERROR(aurora_data!S643+aurora_data!S743,0)</f>
        <v>0</v>
      </c>
      <c r="U31" s="63">
        <f>IFERROR(aurora_data!T643+aurora_data!T743,0)</f>
        <v>0</v>
      </c>
      <c r="V31" s="64" t="s">
        <v>198</v>
      </c>
      <c r="W31" s="36">
        <f>IFERROR(aurora_data!U643+aurora_data!U743,0)</f>
        <v>0</v>
      </c>
      <c r="X31" s="71">
        <f t="shared" si="2"/>
        <v>0</v>
      </c>
      <c r="Y31" s="2"/>
    </row>
    <row r="32" spans="1:25" customFormat="1" ht="16.5" customHeight="1">
      <c r="A32" s="2"/>
      <c r="B32" s="197"/>
      <c r="C32" s="199"/>
      <c r="D32" s="35" t="s">
        <v>201</v>
      </c>
      <c r="E32" s="36">
        <f>IFERROR(aurora_data!D644+aurora_data!D744,0)</f>
        <v>0</v>
      </c>
      <c r="F32" s="62">
        <f>IFERROR(aurora_data!E644+aurora_data!E744,0)</f>
        <v>0</v>
      </c>
      <c r="G32" s="62">
        <f>IFERROR(aurora_data!F644+aurora_data!F744,0)</f>
        <v>0</v>
      </c>
      <c r="H32" s="62">
        <f>IFERROR(aurora_data!G644+aurora_data!G744,0)</f>
        <v>0</v>
      </c>
      <c r="I32" s="63">
        <f>IFERROR(aurora_data!H644+aurora_data!H744,0)</f>
        <v>0</v>
      </c>
      <c r="J32" s="36">
        <f>IFERROR(aurora_data!I644+aurora_data!I744,0)</f>
        <v>0</v>
      </c>
      <c r="K32" s="62">
        <f>IFERROR(aurora_data!J644+aurora_data!J744,0)</f>
        <v>0</v>
      </c>
      <c r="L32" s="62">
        <f>IFERROR(aurora_data!K644+aurora_data!K744,0)</f>
        <v>0</v>
      </c>
      <c r="M32" s="62">
        <f>IFERROR(aurora_data!L644+aurora_data!L744,0)</f>
        <v>0</v>
      </c>
      <c r="N32" s="63">
        <f>IFERROR(aurora_data!M644+aurora_data!M744,0)</f>
        <v>0</v>
      </c>
      <c r="O32" s="36">
        <f>IFERROR(aurora_data!N644+aurora_data!N744,0)</f>
        <v>0</v>
      </c>
      <c r="P32" s="62">
        <f>IFERROR(aurora_data!O644+aurora_data!O744,0)</f>
        <v>0</v>
      </c>
      <c r="Q32" s="62">
        <f>IFERROR(aurora_data!P644+aurora_data!P744,0)</f>
        <v>0</v>
      </c>
      <c r="R32" s="63">
        <f>IFERROR(aurora_data!Q644+aurora_data!Q744,0)</f>
        <v>0</v>
      </c>
      <c r="S32" s="62">
        <f>IFERROR(aurora_data!R644+aurora_data!R744,0)</f>
        <v>0</v>
      </c>
      <c r="T32" s="62">
        <f>IFERROR(aurora_data!S644+aurora_data!S744,0)</f>
        <v>0</v>
      </c>
      <c r="U32" s="63">
        <f>IFERROR(aurora_data!T644+aurora_data!T744,0)</f>
        <v>0</v>
      </c>
      <c r="V32" s="64" t="s">
        <v>198</v>
      </c>
      <c r="W32" s="36">
        <f>IFERROR(aurora_data!U644+aurora_data!U744,0)</f>
        <v>0</v>
      </c>
      <c r="X32" s="71">
        <f t="shared" si="2"/>
        <v>0</v>
      </c>
      <c r="Y32" s="2"/>
    </row>
    <row r="33" spans="1:25" customFormat="1" ht="16.5" customHeight="1" thickBot="1">
      <c r="A33" s="2"/>
      <c r="B33" s="197"/>
      <c r="C33" s="199"/>
      <c r="D33" s="35" t="s">
        <v>202</v>
      </c>
      <c r="E33" s="36">
        <f>IFERROR(aurora_data!D645+aurora_data!D745,0)</f>
        <v>0</v>
      </c>
      <c r="F33" s="62">
        <f>IFERROR(aurora_data!E645+aurora_data!E745,0)</f>
        <v>0</v>
      </c>
      <c r="G33" s="62">
        <f>IFERROR(aurora_data!F645+aurora_data!F745,0)</f>
        <v>0</v>
      </c>
      <c r="H33" s="62">
        <f>IFERROR(aurora_data!G645+aurora_data!G745,0)</f>
        <v>0</v>
      </c>
      <c r="I33" s="63">
        <f>IFERROR(aurora_data!H645+aurora_data!H745,0)</f>
        <v>0</v>
      </c>
      <c r="J33" s="36">
        <f>IFERROR(aurora_data!I645+aurora_data!I745,0)</f>
        <v>0</v>
      </c>
      <c r="K33" s="62">
        <f>IFERROR(aurora_data!J645+aurora_data!J745,0)</f>
        <v>0</v>
      </c>
      <c r="L33" s="62">
        <f>IFERROR(aurora_data!K645+aurora_data!K745,0)</f>
        <v>0</v>
      </c>
      <c r="M33" s="62">
        <f>IFERROR(aurora_data!L645+aurora_data!L745,0)</f>
        <v>0</v>
      </c>
      <c r="N33" s="63">
        <f>IFERROR(aurora_data!M645+aurora_data!M745,0)</f>
        <v>0</v>
      </c>
      <c r="O33" s="36">
        <f>IFERROR(aurora_data!N645+aurora_data!N745,0)</f>
        <v>0</v>
      </c>
      <c r="P33" s="62">
        <f>IFERROR(aurora_data!O645+aurora_data!O745,0)</f>
        <v>0</v>
      </c>
      <c r="Q33" s="62">
        <f>IFERROR(aurora_data!P645+aurora_data!P745,0)</f>
        <v>0</v>
      </c>
      <c r="R33" s="63">
        <f>IFERROR(aurora_data!Q645+aurora_data!Q745,0)</f>
        <v>0</v>
      </c>
      <c r="S33" s="62">
        <f>IFERROR(aurora_data!R645+aurora_data!R745,0)</f>
        <v>0</v>
      </c>
      <c r="T33" s="62">
        <f>IFERROR(aurora_data!S645+aurora_data!S745,0)</f>
        <v>0</v>
      </c>
      <c r="U33" s="63">
        <f>IFERROR(aurora_data!T645+aurora_data!T745,0)</f>
        <v>0</v>
      </c>
      <c r="V33" s="64" t="s">
        <v>198</v>
      </c>
      <c r="W33" s="36">
        <f>IFERROR(aurora_data!U645+aurora_data!U745,0)</f>
        <v>0</v>
      </c>
      <c r="X33" s="71">
        <f t="shared" si="2"/>
        <v>0</v>
      </c>
      <c r="Y33" s="2"/>
    </row>
    <row r="34" spans="1:25" customFormat="1" ht="16.5" customHeight="1" thickBot="1">
      <c r="A34" s="2"/>
      <c r="B34" s="197"/>
      <c r="C34" s="199"/>
      <c r="D34" s="37" t="s">
        <v>141</v>
      </c>
      <c r="E34" s="59">
        <f>IFERROR(aurora_data!D646+aurora_data!D746,0)</f>
        <v>8</v>
      </c>
      <c r="F34" s="65">
        <f>IFERROR(aurora_data!E646+aurora_data!E746,0)</f>
        <v>12</v>
      </c>
      <c r="G34" s="65">
        <f>IFERROR(aurora_data!F646+aurora_data!F746,0)</f>
        <v>9</v>
      </c>
      <c r="H34" s="65">
        <f>IFERROR(aurora_data!G646+aurora_data!G746,0)</f>
        <v>32</v>
      </c>
      <c r="I34" s="66">
        <f>IFERROR(aurora_data!H646+aurora_data!H746,0)</f>
        <v>0</v>
      </c>
      <c r="J34" s="59">
        <f>IFERROR(aurora_data!I646+aurora_data!I746,0)</f>
        <v>1</v>
      </c>
      <c r="K34" s="65">
        <f>IFERROR(aurora_data!J646+aurora_data!J746,0)</f>
        <v>4</v>
      </c>
      <c r="L34" s="65">
        <f>IFERROR(aurora_data!K646+aurora_data!K746,0)</f>
        <v>9</v>
      </c>
      <c r="M34" s="65">
        <f>IFERROR(aurora_data!L646+aurora_data!L746,0)</f>
        <v>7</v>
      </c>
      <c r="N34" s="66">
        <f>IFERROR(aurora_data!M646+aurora_data!M746,0)</f>
        <v>40</v>
      </c>
      <c r="O34" s="59">
        <f>IFERROR(aurora_data!N646+aurora_data!N746,0)</f>
        <v>20</v>
      </c>
      <c r="P34" s="65">
        <f>IFERROR(aurora_data!O646+aurora_data!O746,0)</f>
        <v>14</v>
      </c>
      <c r="Q34" s="65">
        <f>IFERROR(aurora_data!P646+aurora_data!P746,0)</f>
        <v>13</v>
      </c>
      <c r="R34" s="66">
        <f>IFERROR(aurora_data!Q646+aurora_data!Q746,0)</f>
        <v>14</v>
      </c>
      <c r="S34" s="65">
        <f>IFERROR(aurora_data!R646+aurora_data!R746,0)</f>
        <v>23</v>
      </c>
      <c r="T34" s="65">
        <f>IFERROR(aurora_data!S646+aurora_data!S746,0)</f>
        <v>38</v>
      </c>
      <c r="U34" s="66">
        <f>IFERROR(aurora_data!T646+aurora_data!T746,0)</f>
        <v>0</v>
      </c>
      <c r="V34" s="67" t="s">
        <v>198</v>
      </c>
      <c r="W34" s="59">
        <f>IFERROR(aurora_data!U646+aurora_data!U746,0)</f>
        <v>61</v>
      </c>
      <c r="X34" s="72">
        <f t="shared" si="2"/>
        <v>1.0166666666666666</v>
      </c>
      <c r="Y34" s="2"/>
    </row>
    <row r="35" spans="1:25" customFormat="1" ht="16.5" customHeight="1" thickBot="1">
      <c r="A35" s="2"/>
      <c r="B35" s="197"/>
      <c r="C35" s="199"/>
      <c r="D35" s="38" t="s">
        <v>203</v>
      </c>
      <c r="E35" s="60">
        <f>IFERROR(aurora_data!D647+aurora_data!D747,0)</f>
        <v>0</v>
      </c>
      <c r="F35" s="68">
        <f>IFERROR(aurora_data!E647+aurora_data!E747,0)</f>
        <v>0</v>
      </c>
      <c r="G35" s="68">
        <f>IFERROR(aurora_data!F647+aurora_data!F747,0)</f>
        <v>0</v>
      </c>
      <c r="H35" s="68">
        <f>IFERROR(aurora_data!G647+aurora_data!G747,0)</f>
        <v>0</v>
      </c>
      <c r="I35" s="69">
        <f>IFERROR(aurora_data!H647+aurora_data!H747,0)</f>
        <v>0</v>
      </c>
      <c r="J35" s="60">
        <f>IFERROR(aurora_data!I647+aurora_data!I747,0)</f>
        <v>0</v>
      </c>
      <c r="K35" s="68">
        <f>IFERROR(aurora_data!J647+aurora_data!J747,0)</f>
        <v>0</v>
      </c>
      <c r="L35" s="68">
        <f>IFERROR(aurora_data!K647+aurora_data!K747,0)</f>
        <v>0</v>
      </c>
      <c r="M35" s="68">
        <f>IFERROR(aurora_data!L647+aurora_data!L747,0)</f>
        <v>0</v>
      </c>
      <c r="N35" s="69">
        <f>IFERROR(aurora_data!M647+aurora_data!M747,0)</f>
        <v>0</v>
      </c>
      <c r="O35" s="60">
        <f>IFERROR(aurora_data!N647+aurora_data!N747,0)</f>
        <v>0</v>
      </c>
      <c r="P35" s="68">
        <f>IFERROR(aurora_data!O647+aurora_data!O747,0)</f>
        <v>0</v>
      </c>
      <c r="Q35" s="68">
        <f>IFERROR(aurora_data!P647+aurora_data!P747,0)</f>
        <v>0</v>
      </c>
      <c r="R35" s="69">
        <f>IFERROR(aurora_data!Q647+aurora_data!Q747,0)</f>
        <v>0</v>
      </c>
      <c r="S35" s="68">
        <f>IFERROR(aurora_data!R647+aurora_data!R747,0)</f>
        <v>0</v>
      </c>
      <c r="T35" s="68">
        <f>IFERROR(aurora_data!S647+aurora_data!S747,0)</f>
        <v>0</v>
      </c>
      <c r="U35" s="74">
        <f>IFERROR(aurora_data!T647+aurora_data!T747,0)</f>
        <v>0</v>
      </c>
      <c r="V35" s="75" t="s">
        <v>198</v>
      </c>
      <c r="W35" s="60">
        <f>IFERROR(aurora_data!U647+aurora_data!U747,0)</f>
        <v>0</v>
      </c>
      <c r="X35" s="73">
        <f t="shared" si="2"/>
        <v>0</v>
      </c>
      <c r="Y35" s="2"/>
    </row>
    <row r="36" spans="1:25" ht="16.5" customHeight="1">
      <c r="B36" s="97"/>
      <c r="C36" s="97"/>
    </row>
  </sheetData>
  <sheetProtection sheet="1" objects="1" scenarios="1"/>
  <autoFilter ref="B8:X35" xr:uid="{B0402F8C-1D00-49C0-8C11-6A5F37B52C3E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21" showButton="0"/>
  </autoFilter>
  <mergeCells count="2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B28:B35"/>
    <mergeCell ref="C28:C35"/>
    <mergeCell ref="J10:N10"/>
    <mergeCell ref="O10:R10"/>
    <mergeCell ref="S10:U10"/>
    <mergeCell ref="B12:B19"/>
    <mergeCell ref="C12:C19"/>
    <mergeCell ref="B20:B27"/>
    <mergeCell ref="C20:C27"/>
  </mergeCells>
  <conditionalFormatting sqref="E13:W13">
    <cfRule type="expression" dxfId="43" priority="2">
      <formula>ROUND(E$13,0) &gt;= ROUND(E$12,0)</formula>
    </cfRule>
  </conditionalFormatting>
  <conditionalFormatting sqref="E18:W18">
    <cfRule type="expression" dxfId="42" priority="4">
      <formula>ROUND(E$18,0) &lt; ROUND(E$12,0)</formula>
    </cfRule>
  </conditionalFormatting>
  <conditionalFormatting sqref="E21:W21">
    <cfRule type="expression" dxfId="41" priority="3">
      <formula>ROUND(E$21,0) &gt;= ROUND(E$20,0)</formula>
    </cfRule>
  </conditionalFormatting>
  <conditionalFormatting sqref="E26:W26">
    <cfRule type="expression" dxfId="40" priority="5">
      <formula>ROUND(E$26,0) &lt; ROUND(E$20,0)</formula>
    </cfRule>
  </conditionalFormatting>
  <conditionalFormatting sqref="E29:W29">
    <cfRule type="expression" dxfId="39" priority="1">
      <formula>ROUND(E$29,0) &gt;= ROUND(E$28,0)</formula>
    </cfRule>
  </conditionalFormatting>
  <conditionalFormatting sqref="E34:W34">
    <cfRule type="expression" dxfId="38" priority="6">
      <formula>ROUND(E$34,0) &lt; ROUND(E$28,0)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1362-331F-405A-901E-B1973C54EA32}">
  <sheetPr codeName="Sheet8">
    <tabColor rgb="FF00BBFF"/>
  </sheetPr>
  <dimension ref="A1:Y28"/>
  <sheetViews>
    <sheetView zoomScale="85" zoomScaleNormal="85" workbookViewId="0">
      <selection activeCell="B28" sqref="B28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40" t="s">
        <v>178</v>
      </c>
      <c r="B1" s="141"/>
      <c r="C1" s="142"/>
      <c r="D1" s="143" t="s">
        <v>179</v>
      </c>
      <c r="E1" s="144"/>
      <c r="F1" s="144"/>
      <c r="G1" s="144"/>
      <c r="H1" s="145"/>
      <c r="I1" s="98"/>
      <c r="J1" s="88"/>
      <c r="K1" s="100"/>
      <c r="L1" s="100"/>
      <c r="M1" s="100"/>
      <c r="N1" s="100" t="s">
        <v>180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46" t="s">
        <v>181</v>
      </c>
      <c r="B2" s="146"/>
      <c r="C2" s="147"/>
      <c r="D2" s="216" t="str">
        <f>_xlfn.CONCAT("Study Name: ","
CELF-6 RF1 OSEP Developmental Delay (Ages 5-8)")</f>
        <v>Study Name: 
CELF-6 RF1 OSEP Developmental Delay (Ages 5-8)</v>
      </c>
      <c r="E2" s="217"/>
      <c r="F2" s="217"/>
      <c r="G2" s="217"/>
      <c r="H2" s="218"/>
      <c r="I2" s="4"/>
      <c r="J2" s="4"/>
      <c r="K2" s="151" t="s">
        <v>182</v>
      </c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3"/>
      <c r="Y2" s="103"/>
    </row>
    <row r="3" spans="1:25" customFormat="1" ht="30.75" customHeight="1" thickBot="1">
      <c r="A3" s="2"/>
      <c r="B3" s="2"/>
      <c r="C3" s="2"/>
      <c r="D3" s="158" t="str">
        <f>_xlfn.CONCAT("Study Acronym: ","
OSEP_DD_RF1")</f>
        <v>Study Acronym: 
OSEP_DD_RF1</v>
      </c>
      <c r="E3" s="159"/>
      <c r="F3" s="160" t="s">
        <v>208</v>
      </c>
      <c r="G3" s="160"/>
      <c r="H3" s="161"/>
      <c r="I3" s="4"/>
      <c r="J3" s="4"/>
      <c r="K3" s="154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3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54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3"/>
      <c r="Y4" s="104"/>
    </row>
    <row r="5" spans="1:25" customFormat="1" ht="21.95" customHeight="1" thickBot="1">
      <c r="A5" s="2"/>
      <c r="B5" s="2"/>
      <c r="C5" s="102"/>
      <c r="D5" s="143" t="s">
        <v>184</v>
      </c>
      <c r="E5" s="144"/>
      <c r="F5" s="144"/>
      <c r="G5" s="144"/>
      <c r="H5" s="101"/>
      <c r="I5" s="98"/>
      <c r="J5" s="98"/>
      <c r="K5" s="154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3"/>
      <c r="Y5" s="105"/>
    </row>
    <row r="6" spans="1:25" customFormat="1" ht="60.95" customHeight="1" thickBot="1">
      <c r="A6" s="2"/>
      <c r="B6" s="2"/>
      <c r="C6" s="99"/>
      <c r="D6" s="162" t="s">
        <v>209</v>
      </c>
      <c r="E6" s="163"/>
      <c r="F6" s="163"/>
      <c r="G6" s="163"/>
      <c r="H6" s="164"/>
      <c r="I6" s="136"/>
      <c r="J6" s="137"/>
      <c r="K6" s="155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7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65" t="str">
        <f>_xlfn.CONCAT("Last Refreshed at: ",aurora_data!V1832)</f>
        <v>Last Refreshed at: 08/06/2026 @ 7:19 AM</v>
      </c>
      <c r="C8" s="166"/>
      <c r="D8" s="166"/>
      <c r="E8" s="167" t="s">
        <v>186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9"/>
      <c r="V8" s="44"/>
      <c r="W8" s="170" t="s">
        <v>187</v>
      </c>
      <c r="X8" s="171"/>
      <c r="Y8" s="2"/>
    </row>
    <row r="9" spans="1:25" customFormat="1" ht="16.5" customHeight="1" thickBot="1">
      <c r="A9" s="2"/>
      <c r="B9" s="176"/>
      <c r="C9" s="177"/>
      <c r="D9" s="29" t="s">
        <v>188</v>
      </c>
      <c r="E9" s="178" t="s">
        <v>189</v>
      </c>
      <c r="F9" s="179"/>
      <c r="G9" s="179"/>
      <c r="H9" s="179"/>
      <c r="I9" s="179"/>
      <c r="J9" s="180" t="s">
        <v>189</v>
      </c>
      <c r="K9" s="181"/>
      <c r="L9" s="181"/>
      <c r="M9" s="181"/>
      <c r="N9" s="181"/>
      <c r="O9" s="182" t="s">
        <v>189</v>
      </c>
      <c r="P9" s="183"/>
      <c r="Q9" s="183"/>
      <c r="R9" s="183"/>
      <c r="S9" s="184" t="s">
        <v>189</v>
      </c>
      <c r="T9" s="185"/>
      <c r="U9" s="185"/>
      <c r="V9" s="28"/>
      <c r="W9" s="172"/>
      <c r="X9" s="173"/>
      <c r="Y9" s="2"/>
    </row>
    <row r="10" spans="1:25" customFormat="1" ht="17.25" thickTop="1" thickBot="1">
      <c r="A10" s="2"/>
      <c r="B10" s="186" t="s">
        <v>190</v>
      </c>
      <c r="C10" s="30"/>
      <c r="D10" s="31"/>
      <c r="E10" s="187" t="s">
        <v>191</v>
      </c>
      <c r="F10" s="188"/>
      <c r="G10" s="188"/>
      <c r="H10" s="188"/>
      <c r="I10" s="189"/>
      <c r="J10" s="188" t="s">
        <v>192</v>
      </c>
      <c r="K10" s="188"/>
      <c r="L10" s="188"/>
      <c r="M10" s="188"/>
      <c r="N10" s="189"/>
      <c r="O10" s="190" t="s">
        <v>193</v>
      </c>
      <c r="P10" s="190"/>
      <c r="Q10" s="190"/>
      <c r="R10" s="190"/>
      <c r="S10" s="191" t="s">
        <v>194</v>
      </c>
      <c r="T10" s="192"/>
      <c r="U10" s="193"/>
      <c r="V10" s="32"/>
      <c r="W10" s="172"/>
      <c r="X10" s="173"/>
      <c r="Y10" s="2"/>
    </row>
    <row r="11" spans="1:25" customFormat="1" ht="17.25" thickTop="1" thickBot="1">
      <c r="A11" s="2"/>
      <c r="B11" s="186"/>
      <c r="C11" s="30" t="s">
        <v>110</v>
      </c>
      <c r="D11" s="33" t="s">
        <v>112</v>
      </c>
      <c r="E11" s="96">
        <v>1</v>
      </c>
      <c r="F11" s="94">
        <v>2</v>
      </c>
      <c r="G11" s="95" t="s">
        <v>115</v>
      </c>
      <c r="H11" s="95">
        <v>4</v>
      </c>
      <c r="I11" s="95">
        <v>5</v>
      </c>
      <c r="J11" s="89" t="s">
        <v>118</v>
      </c>
      <c r="K11" s="89" t="s">
        <v>119</v>
      </c>
      <c r="L11" s="89" t="s">
        <v>120</v>
      </c>
      <c r="M11" s="93" t="s">
        <v>195</v>
      </c>
      <c r="N11" s="93" t="s">
        <v>122</v>
      </c>
      <c r="O11" s="89" t="s">
        <v>123</v>
      </c>
      <c r="P11" s="89" t="s">
        <v>124</v>
      </c>
      <c r="Q11" s="89" t="s">
        <v>125</v>
      </c>
      <c r="R11" s="89" t="s">
        <v>126</v>
      </c>
      <c r="S11" s="90" t="s">
        <v>127</v>
      </c>
      <c r="T11" s="91" t="s">
        <v>128</v>
      </c>
      <c r="U11" s="92" t="s">
        <v>196</v>
      </c>
      <c r="V11" s="28"/>
      <c r="W11" s="174"/>
      <c r="X11" s="175"/>
      <c r="Y11" s="2"/>
    </row>
    <row r="12" spans="1:25" customFormat="1">
      <c r="A12" s="2"/>
      <c r="B12" s="200" t="s">
        <v>197</v>
      </c>
      <c r="C12" s="194" t="str">
        <f>aurora_data!A1832</f>
        <v>05.00.00-08.11.30</v>
      </c>
      <c r="D12" s="34" t="s">
        <v>153</v>
      </c>
      <c r="E12" s="39">
        <f>IFERROR(aurora_data!D1832,0)</f>
        <v>0</v>
      </c>
      <c r="F12" s="40">
        <f>IFERROR(aurora_data!E1832,0)</f>
        <v>0</v>
      </c>
      <c r="G12" s="40">
        <f>IFERROR(aurora_data!F1832,0)</f>
        <v>0</v>
      </c>
      <c r="H12" s="40">
        <f>IFERROR(aurora_data!G1832,0)</f>
        <v>0</v>
      </c>
      <c r="I12" s="41">
        <f>IFERROR(aurora_data!H1832,0)</f>
        <v>0</v>
      </c>
      <c r="J12" s="39">
        <f>IFERROR(aurora_data!I1832,0)</f>
        <v>0</v>
      </c>
      <c r="K12" s="40">
        <f>IFERROR(aurora_data!J1832,0)</f>
        <v>0</v>
      </c>
      <c r="L12" s="40">
        <f>IFERROR(aurora_data!K1832,0)</f>
        <v>0</v>
      </c>
      <c r="M12" s="40">
        <f>IFERROR(aurora_data!L1832,0)</f>
        <v>0</v>
      </c>
      <c r="N12" s="41">
        <f>IFERROR(aurora_data!M1832,0)</f>
        <v>0</v>
      </c>
      <c r="O12" s="39">
        <f>IFERROR(aurora_data!N1832,0)</f>
        <v>0</v>
      </c>
      <c r="P12" s="40">
        <f>IFERROR(aurora_data!O1832,0)</f>
        <v>0</v>
      </c>
      <c r="Q12" s="40">
        <f>IFERROR(aurora_data!P1832,0)</f>
        <v>0</v>
      </c>
      <c r="R12" s="41">
        <f>IFERROR(aurora_data!Q1832,0)</f>
        <v>0</v>
      </c>
      <c r="S12" s="40">
        <f>IFERROR(aurora_data!R1832,0)</f>
        <v>0</v>
      </c>
      <c r="T12" s="40">
        <f>IFERROR(aurora_data!S1832,0)</f>
        <v>0</v>
      </c>
      <c r="U12" s="76">
        <f>IFERROR(aurora_data!T1832,0)</f>
        <v>0</v>
      </c>
      <c r="V12" s="61" t="s">
        <v>198</v>
      </c>
      <c r="W12" s="39">
        <f>IFERROR(aurora_data!U1832,0)</f>
        <v>15</v>
      </c>
      <c r="X12" s="70">
        <f>IFERROR(W12/$W$12,0)</f>
        <v>1</v>
      </c>
      <c r="Y12" s="2"/>
    </row>
    <row r="13" spans="1:25" customFormat="1">
      <c r="A13" s="2"/>
      <c r="B13" s="201"/>
      <c r="C13" s="195"/>
      <c r="D13" s="35" t="s">
        <v>199</v>
      </c>
      <c r="E13" s="110">
        <f>IFERROR(aurora_data!D1833,0)</f>
        <v>6</v>
      </c>
      <c r="F13" s="62">
        <f>IFERROR(aurora_data!E1833,0)</f>
        <v>3</v>
      </c>
      <c r="G13" s="62">
        <f>IFERROR(aurora_data!F1833,0)</f>
        <v>1</v>
      </c>
      <c r="H13" s="62">
        <f>IFERROR(aurora_data!G1833,0)</f>
        <v>5</v>
      </c>
      <c r="I13" s="63">
        <f>IFERROR(aurora_data!H1833,0)</f>
        <v>0</v>
      </c>
      <c r="J13" s="36">
        <f>IFERROR(aurora_data!I1833,0)</f>
        <v>1</v>
      </c>
      <c r="K13" s="62">
        <f>IFERROR(aurora_data!J1833,0)</f>
        <v>0</v>
      </c>
      <c r="L13" s="62">
        <f>IFERROR(aurora_data!K1833,0)</f>
        <v>4</v>
      </c>
      <c r="M13" s="62">
        <f>IFERROR(aurora_data!L1833,0)</f>
        <v>2</v>
      </c>
      <c r="N13" s="63">
        <f>IFERROR(aurora_data!M1833,0)</f>
        <v>8</v>
      </c>
      <c r="O13" s="36">
        <f>IFERROR(aurora_data!N1833,0)</f>
        <v>7</v>
      </c>
      <c r="P13" s="62">
        <f>IFERROR(aurora_data!O1833,0)</f>
        <v>0</v>
      </c>
      <c r="Q13" s="62">
        <f>IFERROR(aurora_data!P1833,0)</f>
        <v>7</v>
      </c>
      <c r="R13" s="63">
        <f>IFERROR(aurora_data!Q1833,0)</f>
        <v>1</v>
      </c>
      <c r="S13" s="62">
        <f>IFERROR(aurora_data!R1833,0)</f>
        <v>8</v>
      </c>
      <c r="T13" s="62">
        <f>IFERROR(aurora_data!S1833,0)</f>
        <v>7</v>
      </c>
      <c r="U13" s="63">
        <f>IFERROR(aurora_data!T1833,0)</f>
        <v>0</v>
      </c>
      <c r="V13" s="64" t="s">
        <v>198</v>
      </c>
      <c r="W13" s="36">
        <f>IFERROR(aurora_data!U1833,0)</f>
        <v>15</v>
      </c>
      <c r="X13" s="71">
        <f t="shared" ref="X13:X19" si="0">IFERROR(W13/$W$12,0)</f>
        <v>1</v>
      </c>
      <c r="Y13" s="2"/>
    </row>
    <row r="14" spans="1:25" customFormat="1">
      <c r="A14" s="2"/>
      <c r="B14" s="201"/>
      <c r="C14" s="195"/>
      <c r="D14" s="35" t="s">
        <v>137</v>
      </c>
      <c r="E14" s="110">
        <f>IFERROR(aurora_data!D1834,0)</f>
        <v>0</v>
      </c>
      <c r="F14" s="62">
        <f>IFERROR(aurora_data!E1834,0)</f>
        <v>0</v>
      </c>
      <c r="G14" s="62">
        <f>IFERROR(aurora_data!F1834,0)</f>
        <v>0</v>
      </c>
      <c r="H14" s="62">
        <f>IFERROR(aurora_data!G1834,0)</f>
        <v>1</v>
      </c>
      <c r="I14" s="63">
        <f>IFERROR(aurora_data!H1834,0)</f>
        <v>0</v>
      </c>
      <c r="J14" s="36">
        <f>IFERROR(aurora_data!I1834,0)</f>
        <v>0</v>
      </c>
      <c r="K14" s="62">
        <f>IFERROR(aurora_data!J1834,0)</f>
        <v>0</v>
      </c>
      <c r="L14" s="62">
        <f>IFERROR(aurora_data!K1834,0)</f>
        <v>0</v>
      </c>
      <c r="M14" s="62">
        <f>IFERROR(aurora_data!L1834,0)</f>
        <v>0</v>
      </c>
      <c r="N14" s="63">
        <f>IFERROR(aurora_data!M1834,0)</f>
        <v>1</v>
      </c>
      <c r="O14" s="36">
        <f>IFERROR(aurora_data!N1834,0)</f>
        <v>1</v>
      </c>
      <c r="P14" s="62">
        <f>IFERROR(aurora_data!O1834,0)</f>
        <v>0</v>
      </c>
      <c r="Q14" s="62">
        <f>IFERROR(aurora_data!P1834,0)</f>
        <v>0</v>
      </c>
      <c r="R14" s="63">
        <f>IFERROR(aurora_data!Q1834,0)</f>
        <v>0</v>
      </c>
      <c r="S14" s="62">
        <f>IFERROR(aurora_data!R1834,0)</f>
        <v>1</v>
      </c>
      <c r="T14" s="62">
        <f>IFERROR(aurora_data!S1834,0)</f>
        <v>0</v>
      </c>
      <c r="U14" s="63">
        <f>IFERROR(aurora_data!T1834,0)</f>
        <v>0</v>
      </c>
      <c r="V14" s="64" t="s">
        <v>198</v>
      </c>
      <c r="W14" s="36">
        <f>IFERROR(aurora_data!U1834,0)</f>
        <v>1</v>
      </c>
      <c r="X14" s="71">
        <f t="shared" si="0"/>
        <v>6.6666666666666666E-2</v>
      </c>
      <c r="Y14" s="2"/>
    </row>
    <row r="15" spans="1:25" customFormat="1">
      <c r="A15" s="2"/>
      <c r="B15" s="201"/>
      <c r="C15" s="195"/>
      <c r="D15" s="35" t="s">
        <v>200</v>
      </c>
      <c r="E15" s="36">
        <f>IFERROR(aurora_data!D1835,0)</f>
        <v>0</v>
      </c>
      <c r="F15" s="62">
        <f>IFERROR(aurora_data!E1835,0)</f>
        <v>0</v>
      </c>
      <c r="G15" s="62">
        <f>IFERROR(aurora_data!F1835,0)</f>
        <v>0</v>
      </c>
      <c r="H15" s="62">
        <f>IFERROR(aurora_data!G1835,0)</f>
        <v>0</v>
      </c>
      <c r="I15" s="63">
        <f>IFERROR(aurora_data!H1835,0)</f>
        <v>0</v>
      </c>
      <c r="J15" s="36">
        <f>IFERROR(aurora_data!I1835,0)</f>
        <v>0</v>
      </c>
      <c r="K15" s="62">
        <f>IFERROR(aurora_data!J1835,0)</f>
        <v>0</v>
      </c>
      <c r="L15" s="62">
        <f>IFERROR(aurora_data!K1835,0)</f>
        <v>0</v>
      </c>
      <c r="M15" s="62">
        <f>IFERROR(aurora_data!L1835,0)</f>
        <v>0</v>
      </c>
      <c r="N15" s="63">
        <f>IFERROR(aurora_data!M1835,0)</f>
        <v>0</v>
      </c>
      <c r="O15" s="36">
        <f>IFERROR(aurora_data!N1835,0)</f>
        <v>0</v>
      </c>
      <c r="P15" s="62">
        <f>IFERROR(aurora_data!O1835,0)</f>
        <v>0</v>
      </c>
      <c r="Q15" s="62">
        <f>IFERROR(aurora_data!P1835,0)</f>
        <v>0</v>
      </c>
      <c r="R15" s="63">
        <f>IFERROR(aurora_data!Q1835,0)</f>
        <v>0</v>
      </c>
      <c r="S15" s="62">
        <f>IFERROR(aurora_data!R1835,0)</f>
        <v>0</v>
      </c>
      <c r="T15" s="62">
        <f>IFERROR(aurora_data!S1835,0)</f>
        <v>0</v>
      </c>
      <c r="U15" s="63">
        <f>IFERROR(aurora_data!T1835,0)</f>
        <v>0</v>
      </c>
      <c r="V15" s="64" t="s">
        <v>198</v>
      </c>
      <c r="W15" s="36">
        <f>IFERROR(aurora_data!U1835,0)</f>
        <v>0</v>
      </c>
      <c r="X15" s="71">
        <f t="shared" si="0"/>
        <v>0</v>
      </c>
      <c r="Y15" s="2"/>
    </row>
    <row r="16" spans="1:25" customFormat="1">
      <c r="A16" s="2"/>
      <c r="B16" s="201"/>
      <c r="C16" s="195"/>
      <c r="D16" s="35" t="s">
        <v>201</v>
      </c>
      <c r="E16" s="36">
        <f>IFERROR(aurora_data!D1836,0)</f>
        <v>0</v>
      </c>
      <c r="F16" s="62">
        <f>IFERROR(aurora_data!E1836,0)</f>
        <v>0</v>
      </c>
      <c r="G16" s="62">
        <f>IFERROR(aurora_data!F1836,0)</f>
        <v>0</v>
      </c>
      <c r="H16" s="62">
        <f>IFERROR(aurora_data!G1836,0)</f>
        <v>0</v>
      </c>
      <c r="I16" s="63">
        <f>IFERROR(aurora_data!H1836,0)</f>
        <v>0</v>
      </c>
      <c r="J16" s="36">
        <f>IFERROR(aurora_data!I1836,0)</f>
        <v>0</v>
      </c>
      <c r="K16" s="62">
        <f>IFERROR(aurora_data!J1836,0)</f>
        <v>0</v>
      </c>
      <c r="L16" s="62">
        <f>IFERROR(aurora_data!K1836,0)</f>
        <v>0</v>
      </c>
      <c r="M16" s="62">
        <f>IFERROR(aurora_data!L1836,0)</f>
        <v>0</v>
      </c>
      <c r="N16" s="63">
        <f>IFERROR(aurora_data!M1836,0)</f>
        <v>0</v>
      </c>
      <c r="O16" s="36">
        <f>IFERROR(aurora_data!N1836,0)</f>
        <v>0</v>
      </c>
      <c r="P16" s="62">
        <f>IFERROR(aurora_data!O1836,0)</f>
        <v>0</v>
      </c>
      <c r="Q16" s="62">
        <f>IFERROR(aurora_data!P1836,0)</f>
        <v>0</v>
      </c>
      <c r="R16" s="63">
        <f>IFERROR(aurora_data!Q1836,0)</f>
        <v>0</v>
      </c>
      <c r="S16" s="62">
        <f>IFERROR(aurora_data!R1836,0)</f>
        <v>0</v>
      </c>
      <c r="T16" s="62">
        <f>IFERROR(aurora_data!S1836,0)</f>
        <v>0</v>
      </c>
      <c r="U16" s="63">
        <f>IFERROR(aurora_data!T1836,0)</f>
        <v>0</v>
      </c>
      <c r="V16" s="64" t="s">
        <v>198</v>
      </c>
      <c r="W16" s="36">
        <f>IFERROR(aurora_data!U1836,0)</f>
        <v>0</v>
      </c>
      <c r="X16" s="71">
        <f t="shared" si="0"/>
        <v>0</v>
      </c>
      <c r="Y16" s="2"/>
    </row>
    <row r="17" spans="1:25" customFormat="1" ht="16.5" thickBot="1">
      <c r="A17" s="2"/>
      <c r="B17" s="201"/>
      <c r="C17" s="195"/>
      <c r="D17" s="35" t="s">
        <v>202</v>
      </c>
      <c r="E17" s="36">
        <f>IFERROR(aurora_data!D1837,0)</f>
        <v>0</v>
      </c>
      <c r="F17" s="62">
        <f>IFERROR(aurora_data!E1837,0)</f>
        <v>0</v>
      </c>
      <c r="G17" s="62">
        <f>IFERROR(aurora_data!F1837,0)</f>
        <v>0</v>
      </c>
      <c r="H17" s="62">
        <f>IFERROR(aurora_data!G1837,0)</f>
        <v>0</v>
      </c>
      <c r="I17" s="63">
        <f>IFERROR(aurora_data!H1837,0)</f>
        <v>0</v>
      </c>
      <c r="J17" s="36">
        <f>IFERROR(aurora_data!I1837,0)</f>
        <v>0</v>
      </c>
      <c r="K17" s="62">
        <f>IFERROR(aurora_data!J1837,0)</f>
        <v>0</v>
      </c>
      <c r="L17" s="62">
        <f>IFERROR(aurora_data!K1837,0)</f>
        <v>0</v>
      </c>
      <c r="M17" s="62">
        <f>IFERROR(aurora_data!L1837,0)</f>
        <v>0</v>
      </c>
      <c r="N17" s="63">
        <f>IFERROR(aurora_data!M1837,0)</f>
        <v>0</v>
      </c>
      <c r="O17" s="36">
        <f>IFERROR(aurora_data!N1837,0)</f>
        <v>0</v>
      </c>
      <c r="P17" s="62">
        <f>IFERROR(aurora_data!O1837,0)</f>
        <v>0</v>
      </c>
      <c r="Q17" s="62">
        <f>IFERROR(aurora_data!P1837,0)</f>
        <v>0</v>
      </c>
      <c r="R17" s="63">
        <f>IFERROR(aurora_data!Q1837,0)</f>
        <v>0</v>
      </c>
      <c r="S17" s="62">
        <f>IFERROR(aurora_data!R1837,0)</f>
        <v>0</v>
      </c>
      <c r="T17" s="62">
        <f>IFERROR(aurora_data!S1837,0)</f>
        <v>0</v>
      </c>
      <c r="U17" s="63">
        <f>IFERROR(aurora_data!T1837,0)</f>
        <v>0</v>
      </c>
      <c r="V17" s="64" t="s">
        <v>198</v>
      </c>
      <c r="W17" s="36">
        <f>IFERROR(aurora_data!U1837,0)</f>
        <v>0</v>
      </c>
      <c r="X17" s="71">
        <f t="shared" si="0"/>
        <v>0</v>
      </c>
      <c r="Y17" s="2"/>
    </row>
    <row r="18" spans="1:25" customFormat="1" ht="16.5" thickBot="1">
      <c r="A18" s="2"/>
      <c r="B18" s="201"/>
      <c r="C18" s="195"/>
      <c r="D18" s="37" t="s">
        <v>141</v>
      </c>
      <c r="E18" s="59">
        <f>IFERROR(aurora_data!D1838,0)</f>
        <v>6</v>
      </c>
      <c r="F18" s="65">
        <f>IFERROR(aurora_data!E1838,0)</f>
        <v>3</v>
      </c>
      <c r="G18" s="65">
        <f>IFERROR(aurora_data!F1838,0)</f>
        <v>1</v>
      </c>
      <c r="H18" s="65">
        <f>IFERROR(aurora_data!G1838,0)</f>
        <v>6</v>
      </c>
      <c r="I18" s="66">
        <f>IFERROR(aurora_data!H1838,0)</f>
        <v>0</v>
      </c>
      <c r="J18" s="59">
        <f>IFERROR(aurora_data!I1838,0)</f>
        <v>1</v>
      </c>
      <c r="K18" s="65">
        <f>IFERROR(aurora_data!J1838,0)</f>
        <v>0</v>
      </c>
      <c r="L18" s="65">
        <f>IFERROR(aurora_data!K1838,0)</f>
        <v>4</v>
      </c>
      <c r="M18" s="65">
        <f>IFERROR(aurora_data!L1838,0)</f>
        <v>2</v>
      </c>
      <c r="N18" s="66">
        <f>IFERROR(aurora_data!M1838,0)</f>
        <v>9</v>
      </c>
      <c r="O18" s="59">
        <f>IFERROR(aurora_data!N1838,0)</f>
        <v>8</v>
      </c>
      <c r="P18" s="65">
        <f>IFERROR(aurora_data!O1838,0)</f>
        <v>0</v>
      </c>
      <c r="Q18" s="65">
        <f>IFERROR(aurora_data!P1838,0)</f>
        <v>7</v>
      </c>
      <c r="R18" s="66">
        <f>IFERROR(aurora_data!Q1838,0)</f>
        <v>1</v>
      </c>
      <c r="S18" s="65">
        <f>IFERROR(aurora_data!R1838,0)</f>
        <v>9</v>
      </c>
      <c r="T18" s="65">
        <f>IFERROR(aurora_data!S1838,0)</f>
        <v>7</v>
      </c>
      <c r="U18" s="66">
        <f>IFERROR(aurora_data!T1838,0)</f>
        <v>0</v>
      </c>
      <c r="V18" s="67" t="s">
        <v>198</v>
      </c>
      <c r="W18" s="59">
        <f>IFERROR(aurora_data!U1838,0)</f>
        <v>16</v>
      </c>
      <c r="X18" s="72">
        <f t="shared" si="0"/>
        <v>1.0666666666666667</v>
      </c>
      <c r="Y18" s="2"/>
    </row>
    <row r="19" spans="1:25" customFormat="1" ht="16.5" thickBot="1">
      <c r="A19" s="2"/>
      <c r="B19" s="201"/>
      <c r="C19" s="195"/>
      <c r="D19" s="38" t="s">
        <v>203</v>
      </c>
      <c r="E19" s="60">
        <f>IFERROR(aurora_data!D1839,0)</f>
        <v>0</v>
      </c>
      <c r="F19" s="68">
        <f>IFERROR(aurora_data!E1839,0)</f>
        <v>0</v>
      </c>
      <c r="G19" s="68">
        <f>IFERROR(aurora_data!F1839,0)</f>
        <v>0</v>
      </c>
      <c r="H19" s="68">
        <f>IFERROR(aurora_data!G1839,0)</f>
        <v>0</v>
      </c>
      <c r="I19" s="69">
        <f>IFERROR(aurora_data!H1839,0)</f>
        <v>0</v>
      </c>
      <c r="J19" s="60">
        <f>IFERROR(aurora_data!I1839,0)</f>
        <v>0</v>
      </c>
      <c r="K19" s="68">
        <f>IFERROR(aurora_data!J1839,0)</f>
        <v>0</v>
      </c>
      <c r="L19" s="68">
        <f>IFERROR(aurora_data!K1839,0)</f>
        <v>0</v>
      </c>
      <c r="M19" s="68">
        <f>IFERROR(aurora_data!L1839,0)</f>
        <v>0</v>
      </c>
      <c r="N19" s="69">
        <f>IFERROR(aurora_data!M1839,0)</f>
        <v>0</v>
      </c>
      <c r="O19" s="60">
        <f>IFERROR(aurora_data!N1839,0)</f>
        <v>0</v>
      </c>
      <c r="P19" s="68">
        <f>IFERROR(aurora_data!O1839,0)</f>
        <v>0</v>
      </c>
      <c r="Q19" s="68">
        <f>IFERROR(aurora_data!P1839,0)</f>
        <v>0</v>
      </c>
      <c r="R19" s="69">
        <f>IFERROR(aurora_data!Q1839,0)</f>
        <v>0</v>
      </c>
      <c r="S19" s="68">
        <f>IFERROR(aurora_data!R1839,0)</f>
        <v>0</v>
      </c>
      <c r="T19" s="68">
        <f>IFERROR(aurora_data!S1839,0)</f>
        <v>0</v>
      </c>
      <c r="U19" s="74">
        <f>IFERROR(aurora_data!T1839,0)</f>
        <v>0</v>
      </c>
      <c r="V19" s="75" t="s">
        <v>198</v>
      </c>
      <c r="W19" s="60">
        <f>IFERROR(aurora_data!U1839,0)</f>
        <v>0</v>
      </c>
      <c r="X19" s="73">
        <f t="shared" si="0"/>
        <v>0</v>
      </c>
      <c r="Y19" s="2"/>
    </row>
    <row r="20" spans="1:25" customFormat="1" ht="15.75" customHeight="1">
      <c r="A20" s="2"/>
      <c r="B20" s="196" t="s">
        <v>197</v>
      </c>
      <c r="C20" s="198" t="s">
        <v>130</v>
      </c>
      <c r="D20" s="34" t="s">
        <v>153</v>
      </c>
      <c r="E20" s="39">
        <f>IFERROR(aurora_data!D1840,0)</f>
        <v>0</v>
      </c>
      <c r="F20" s="40">
        <f>IFERROR(aurora_data!E1840,0)</f>
        <v>0</v>
      </c>
      <c r="G20" s="40">
        <f>IFERROR(aurora_data!F1840,0)</f>
        <v>0</v>
      </c>
      <c r="H20" s="40">
        <f>IFERROR(aurora_data!G1840,0)</f>
        <v>0</v>
      </c>
      <c r="I20" s="41">
        <f>IFERROR(aurora_data!H1840,0)</f>
        <v>0</v>
      </c>
      <c r="J20" s="39">
        <f>IFERROR(aurora_data!I1840,0)</f>
        <v>0</v>
      </c>
      <c r="K20" s="40">
        <f>IFERROR(aurora_data!J1840,0)</f>
        <v>0</v>
      </c>
      <c r="L20" s="40">
        <f>IFERROR(aurora_data!K1840,0)</f>
        <v>0</v>
      </c>
      <c r="M20" s="40">
        <f>IFERROR(aurora_data!L1840,0)</f>
        <v>0</v>
      </c>
      <c r="N20" s="41">
        <f>IFERROR(aurora_data!M1840,0)</f>
        <v>0</v>
      </c>
      <c r="O20" s="39">
        <f>IFERROR(aurora_data!N1840,0)</f>
        <v>0</v>
      </c>
      <c r="P20" s="40">
        <f>IFERROR(aurora_data!O1840,0)</f>
        <v>0</v>
      </c>
      <c r="Q20" s="40">
        <f>IFERROR(aurora_data!P1840,0)</f>
        <v>0</v>
      </c>
      <c r="R20" s="41">
        <f>IFERROR(aurora_data!Q1840,0)</f>
        <v>0</v>
      </c>
      <c r="S20" s="40">
        <f>IFERROR(aurora_data!R1840,0)</f>
        <v>0</v>
      </c>
      <c r="T20" s="40">
        <f>IFERROR(aurora_data!S1840,0)</f>
        <v>0</v>
      </c>
      <c r="U20" s="41">
        <f>IFERROR(aurora_data!T1840,0)</f>
        <v>0</v>
      </c>
      <c r="V20" s="61" t="s">
        <v>198</v>
      </c>
      <c r="W20" s="39">
        <f>IFERROR(aurora_data!U1840,0)</f>
        <v>15</v>
      </c>
      <c r="X20" s="70">
        <f>IFERROR(W20/$W$20,0)</f>
        <v>1</v>
      </c>
      <c r="Y20" s="2"/>
    </row>
    <row r="21" spans="1:25" customFormat="1" ht="15.75" customHeight="1">
      <c r="A21" s="2"/>
      <c r="B21" s="197"/>
      <c r="C21" s="199"/>
      <c r="D21" s="35" t="s">
        <v>199</v>
      </c>
      <c r="E21" s="36">
        <f>IFERROR(aurora_data!D1841,0)</f>
        <v>6</v>
      </c>
      <c r="F21" s="62">
        <f>IFERROR(aurora_data!E1841,0)</f>
        <v>3</v>
      </c>
      <c r="G21" s="62">
        <f>IFERROR(aurora_data!F1841,0)</f>
        <v>1</v>
      </c>
      <c r="H21" s="62">
        <f>IFERROR(aurora_data!G1841,0)</f>
        <v>5</v>
      </c>
      <c r="I21" s="63">
        <f>IFERROR(aurora_data!H1841,0)</f>
        <v>0</v>
      </c>
      <c r="J21" s="36">
        <f>IFERROR(aurora_data!I1841,0)</f>
        <v>1</v>
      </c>
      <c r="K21" s="62">
        <f>IFERROR(aurora_data!J1841,0)</f>
        <v>0</v>
      </c>
      <c r="L21" s="62">
        <f>IFERROR(aurora_data!K1841,0)</f>
        <v>4</v>
      </c>
      <c r="M21" s="62">
        <f>IFERROR(aurora_data!L1841,0)</f>
        <v>2</v>
      </c>
      <c r="N21" s="63">
        <f>IFERROR(aurora_data!M1841,0)</f>
        <v>8</v>
      </c>
      <c r="O21" s="36">
        <f>IFERROR(aurora_data!N1841,0)</f>
        <v>7</v>
      </c>
      <c r="P21" s="62">
        <f>IFERROR(aurora_data!O1841,0)</f>
        <v>0</v>
      </c>
      <c r="Q21" s="62">
        <f>IFERROR(aurora_data!P1841,0)</f>
        <v>7</v>
      </c>
      <c r="R21" s="63">
        <f>IFERROR(aurora_data!Q1841,0)</f>
        <v>1</v>
      </c>
      <c r="S21" s="62">
        <f>IFERROR(aurora_data!R1841,0)</f>
        <v>8</v>
      </c>
      <c r="T21" s="62">
        <f>IFERROR(aurora_data!S1841,0)</f>
        <v>7</v>
      </c>
      <c r="U21" s="63">
        <f>IFERROR(aurora_data!T1841,0)</f>
        <v>0</v>
      </c>
      <c r="V21" s="64" t="s">
        <v>198</v>
      </c>
      <c r="W21" s="36">
        <f>IFERROR(aurora_data!U1841,0)</f>
        <v>15</v>
      </c>
      <c r="X21" s="71">
        <f t="shared" ref="X21:X27" si="1">IFERROR(W21/$W$20,0)</f>
        <v>1</v>
      </c>
      <c r="Y21" s="2"/>
    </row>
    <row r="22" spans="1:25" customFormat="1" ht="15.75" customHeight="1">
      <c r="A22" s="2"/>
      <c r="B22" s="197"/>
      <c r="C22" s="199"/>
      <c r="D22" s="35" t="s">
        <v>137</v>
      </c>
      <c r="E22" s="36">
        <f>IFERROR(aurora_data!D1842,0)</f>
        <v>0</v>
      </c>
      <c r="F22" s="62">
        <f>IFERROR(aurora_data!E1842,0)</f>
        <v>0</v>
      </c>
      <c r="G22" s="62">
        <f>IFERROR(aurora_data!F1842,0)</f>
        <v>0</v>
      </c>
      <c r="H22" s="62">
        <f>IFERROR(aurora_data!G1842,0)</f>
        <v>1</v>
      </c>
      <c r="I22" s="63">
        <f>IFERROR(aurora_data!H1842,0)</f>
        <v>0</v>
      </c>
      <c r="J22" s="36">
        <f>IFERROR(aurora_data!I1842,0)</f>
        <v>0</v>
      </c>
      <c r="K22" s="62">
        <f>IFERROR(aurora_data!J1842,0)</f>
        <v>0</v>
      </c>
      <c r="L22" s="62">
        <f>IFERROR(aurora_data!K1842,0)</f>
        <v>0</v>
      </c>
      <c r="M22" s="62">
        <f>IFERROR(aurora_data!L1842,0)</f>
        <v>0</v>
      </c>
      <c r="N22" s="63">
        <f>IFERROR(aurora_data!M1842,0)</f>
        <v>1</v>
      </c>
      <c r="O22" s="36">
        <f>IFERROR(aurora_data!N1842,0)</f>
        <v>1</v>
      </c>
      <c r="P22" s="62">
        <f>IFERROR(aurora_data!O1842,0)</f>
        <v>0</v>
      </c>
      <c r="Q22" s="62">
        <v>66</v>
      </c>
      <c r="R22" s="63">
        <f>IFERROR(aurora_data!Q1842,0)</f>
        <v>0</v>
      </c>
      <c r="S22" s="62">
        <f>IFERROR(aurora_data!R1842,0)</f>
        <v>1</v>
      </c>
      <c r="T22" s="62">
        <f>IFERROR(aurora_data!S1842,0)</f>
        <v>0</v>
      </c>
      <c r="U22" s="63">
        <f>IFERROR(aurora_data!T1842,0)</f>
        <v>0</v>
      </c>
      <c r="V22" s="64" t="s">
        <v>198</v>
      </c>
      <c r="W22" s="36">
        <f>IFERROR(aurora_data!U1842,0)</f>
        <v>1</v>
      </c>
      <c r="X22" s="71">
        <f t="shared" si="1"/>
        <v>6.6666666666666666E-2</v>
      </c>
      <c r="Y22" s="2"/>
    </row>
    <row r="23" spans="1:25" customFormat="1" ht="15.75" customHeight="1">
      <c r="A23" s="2"/>
      <c r="B23" s="197"/>
      <c r="C23" s="199"/>
      <c r="D23" s="35" t="s">
        <v>200</v>
      </c>
      <c r="E23" s="36">
        <f>IFERROR(aurora_data!D1843,0)</f>
        <v>0</v>
      </c>
      <c r="F23" s="62">
        <f>IFERROR(aurora_data!E1843,0)</f>
        <v>0</v>
      </c>
      <c r="G23" s="62">
        <f>IFERROR(aurora_data!F1843,0)</f>
        <v>0</v>
      </c>
      <c r="H23" s="62">
        <f>IFERROR(aurora_data!G1843,0)</f>
        <v>0</v>
      </c>
      <c r="I23" s="63">
        <f>IFERROR(aurora_data!H1843,0)</f>
        <v>0</v>
      </c>
      <c r="J23" s="36">
        <f>IFERROR(aurora_data!I1843,0)</f>
        <v>0</v>
      </c>
      <c r="K23" s="62">
        <f>IFERROR(aurora_data!J1843,0)</f>
        <v>0</v>
      </c>
      <c r="L23" s="62">
        <f>IFERROR(aurora_data!K1843,0)</f>
        <v>0</v>
      </c>
      <c r="M23" s="62">
        <f>IFERROR(aurora_data!L1843,0)</f>
        <v>0</v>
      </c>
      <c r="N23" s="63">
        <f>IFERROR(aurora_data!M1843,0)</f>
        <v>0</v>
      </c>
      <c r="O23" s="36">
        <f>IFERROR(aurora_data!N1843,0)</f>
        <v>0</v>
      </c>
      <c r="P23" s="62">
        <f>IFERROR(aurora_data!O1843,0)</f>
        <v>0</v>
      </c>
      <c r="Q23" s="62">
        <f>IFERROR(aurora_data!P1843,0)</f>
        <v>0</v>
      </c>
      <c r="R23" s="63">
        <f>IFERROR(aurora_data!Q1843,0)</f>
        <v>0</v>
      </c>
      <c r="S23" s="62">
        <f>IFERROR(aurora_data!R1843,0)</f>
        <v>0</v>
      </c>
      <c r="T23" s="62">
        <f>IFERROR(aurora_data!S1843,0)</f>
        <v>0</v>
      </c>
      <c r="U23" s="63">
        <f>IFERROR(aurora_data!T1843,0)</f>
        <v>0</v>
      </c>
      <c r="V23" s="64" t="s">
        <v>198</v>
      </c>
      <c r="W23" s="36">
        <f>IFERROR(aurora_data!U1843,0)</f>
        <v>0</v>
      </c>
      <c r="X23" s="71">
        <f t="shared" si="1"/>
        <v>0</v>
      </c>
      <c r="Y23" s="2"/>
    </row>
    <row r="24" spans="1:25" customFormat="1" ht="16.5" customHeight="1">
      <c r="A24" s="2"/>
      <c r="B24" s="197"/>
      <c r="C24" s="199"/>
      <c r="D24" s="35" t="s">
        <v>201</v>
      </c>
      <c r="E24" s="36">
        <f>IFERROR(aurora_data!D1844,0)</f>
        <v>0</v>
      </c>
      <c r="F24" s="62">
        <f>IFERROR(aurora_data!E1844,0)</f>
        <v>0</v>
      </c>
      <c r="G24" s="62">
        <f>IFERROR(aurora_data!F1844,0)</f>
        <v>0</v>
      </c>
      <c r="H24" s="62">
        <f>IFERROR(aurora_data!G1844,0)</f>
        <v>0</v>
      </c>
      <c r="I24" s="63">
        <f>IFERROR(aurora_data!H1844,0)</f>
        <v>0</v>
      </c>
      <c r="J24" s="36">
        <f>IFERROR(aurora_data!I1844,0)</f>
        <v>0</v>
      </c>
      <c r="K24" s="62">
        <f>IFERROR(aurora_data!J1844,0)</f>
        <v>0</v>
      </c>
      <c r="L24" s="62">
        <f>IFERROR(aurora_data!K1844,0)</f>
        <v>0</v>
      </c>
      <c r="M24" s="62">
        <f>IFERROR(aurora_data!L1844,0)</f>
        <v>0</v>
      </c>
      <c r="N24" s="63">
        <f>IFERROR(aurora_data!M1844,0)</f>
        <v>0</v>
      </c>
      <c r="O24" s="36">
        <f>IFERROR(aurora_data!N1844,0)</f>
        <v>0</v>
      </c>
      <c r="P24" s="62">
        <f>IFERROR(aurora_data!O1844,0)</f>
        <v>0</v>
      </c>
      <c r="Q24" s="62">
        <f>IFERROR(aurora_data!P1844,0)</f>
        <v>0</v>
      </c>
      <c r="R24" s="63">
        <f>IFERROR(aurora_data!Q1844,0)</f>
        <v>0</v>
      </c>
      <c r="S24" s="62">
        <f>IFERROR(aurora_data!R1844,0)</f>
        <v>0</v>
      </c>
      <c r="T24" s="62">
        <f>IFERROR(aurora_data!S1844,0)</f>
        <v>0</v>
      </c>
      <c r="U24" s="63">
        <f>IFERROR(aurora_data!T1844,0)</f>
        <v>0</v>
      </c>
      <c r="V24" s="64" t="s">
        <v>198</v>
      </c>
      <c r="W24" s="36">
        <f>IFERROR(aurora_data!U1844,0)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197"/>
      <c r="C25" s="199"/>
      <c r="D25" s="35" t="s">
        <v>202</v>
      </c>
      <c r="E25" s="36">
        <f>IFERROR(aurora_data!D1845,0)</f>
        <v>0</v>
      </c>
      <c r="F25" s="62">
        <f>IFERROR(aurora_data!E1845,0)</f>
        <v>0</v>
      </c>
      <c r="G25" s="62">
        <f>IFERROR(aurora_data!F1845,0)</f>
        <v>0</v>
      </c>
      <c r="H25" s="62">
        <f>IFERROR(aurora_data!G1845,0)</f>
        <v>0</v>
      </c>
      <c r="I25" s="63">
        <f>IFERROR(aurora_data!H1845,0)</f>
        <v>0</v>
      </c>
      <c r="J25" s="36">
        <f>IFERROR(aurora_data!I1845,0)</f>
        <v>0</v>
      </c>
      <c r="K25" s="62">
        <f>IFERROR(aurora_data!J1845,0)</f>
        <v>0</v>
      </c>
      <c r="L25" s="62">
        <f>IFERROR(aurora_data!K1845,0)</f>
        <v>0</v>
      </c>
      <c r="M25" s="62">
        <f>IFERROR(aurora_data!L1845,0)</f>
        <v>0</v>
      </c>
      <c r="N25" s="63">
        <f>IFERROR(aurora_data!M1845,0)</f>
        <v>0</v>
      </c>
      <c r="O25" s="36">
        <f>IFERROR(aurora_data!N1845,0)</f>
        <v>0</v>
      </c>
      <c r="P25" s="62">
        <f>IFERROR(aurora_data!O1845,0)</f>
        <v>0</v>
      </c>
      <c r="Q25" s="62">
        <f>IFERROR(aurora_data!P1845,0)</f>
        <v>0</v>
      </c>
      <c r="R25" s="63">
        <f>IFERROR(aurora_data!Q1845,0)</f>
        <v>0</v>
      </c>
      <c r="S25" s="62">
        <f>IFERROR(aurora_data!R1845,0)</f>
        <v>0</v>
      </c>
      <c r="T25" s="62">
        <f>IFERROR(aurora_data!S1845,0)</f>
        <v>0</v>
      </c>
      <c r="U25" s="63">
        <f>IFERROR(aurora_data!T1845,0)</f>
        <v>0</v>
      </c>
      <c r="V25" s="64" t="s">
        <v>198</v>
      </c>
      <c r="W25" s="36">
        <f>IFERROR(aurora_data!U1845,0)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197"/>
      <c r="C26" s="199"/>
      <c r="D26" s="37" t="s">
        <v>141</v>
      </c>
      <c r="E26" s="59">
        <f>IFERROR(aurora_data!D1846,0)</f>
        <v>6</v>
      </c>
      <c r="F26" s="65">
        <f>IFERROR(aurora_data!E1846,0)</f>
        <v>3</v>
      </c>
      <c r="G26" s="65">
        <f>IFERROR(aurora_data!F1846,0)</f>
        <v>1</v>
      </c>
      <c r="H26" s="65">
        <f>IFERROR(aurora_data!G1846,0)</f>
        <v>6</v>
      </c>
      <c r="I26" s="66">
        <f>IFERROR(aurora_data!H1846,0)</f>
        <v>0</v>
      </c>
      <c r="J26" s="59">
        <f>IFERROR(aurora_data!I1846,0)</f>
        <v>1</v>
      </c>
      <c r="K26" s="65">
        <f>IFERROR(aurora_data!J1846,0)</f>
        <v>0</v>
      </c>
      <c r="L26" s="65">
        <f>IFERROR(aurora_data!K1846,0)</f>
        <v>4</v>
      </c>
      <c r="M26" s="65">
        <f>IFERROR(aurora_data!L1846,0)</f>
        <v>2</v>
      </c>
      <c r="N26" s="66">
        <f>IFERROR(aurora_data!M1846,0)</f>
        <v>9</v>
      </c>
      <c r="O26" s="59">
        <f>IFERROR(aurora_data!N1846,0)</f>
        <v>8</v>
      </c>
      <c r="P26" s="65">
        <f>IFERROR(aurora_data!O1846,0)</f>
        <v>0</v>
      </c>
      <c r="Q26" s="65">
        <f>IFERROR(aurora_data!P1846,0)</f>
        <v>7</v>
      </c>
      <c r="R26" s="66">
        <f>IFERROR(aurora_data!Q1846,0)</f>
        <v>1</v>
      </c>
      <c r="S26" s="65">
        <f>IFERROR(aurora_data!R1846,0)</f>
        <v>9</v>
      </c>
      <c r="T26" s="65">
        <f>IFERROR(aurora_data!S1846,0)</f>
        <v>7</v>
      </c>
      <c r="U26" s="66">
        <f>IFERROR(aurora_data!T1846,0)</f>
        <v>0</v>
      </c>
      <c r="V26" s="67" t="s">
        <v>198</v>
      </c>
      <c r="W26" s="59">
        <f>IFERROR(aurora_data!U1846,0)</f>
        <v>16</v>
      </c>
      <c r="X26" s="72">
        <f t="shared" si="1"/>
        <v>1.0666666666666667</v>
      </c>
      <c r="Y26" s="2"/>
    </row>
    <row r="27" spans="1:25" customFormat="1" ht="16.5" customHeight="1" thickBot="1">
      <c r="A27" s="2"/>
      <c r="B27" s="197"/>
      <c r="C27" s="199"/>
      <c r="D27" s="38" t="s">
        <v>203</v>
      </c>
      <c r="E27" s="60">
        <f>IFERROR(aurora_data!D1847,0)</f>
        <v>0</v>
      </c>
      <c r="F27" s="68">
        <f>IFERROR(aurora_data!E1847,0)</f>
        <v>0</v>
      </c>
      <c r="G27" s="68">
        <f>IFERROR(aurora_data!F1847,0)</f>
        <v>0</v>
      </c>
      <c r="H27" s="68">
        <f>IFERROR(aurora_data!G1847,0)</f>
        <v>0</v>
      </c>
      <c r="I27" s="69">
        <f>IFERROR(aurora_data!H1847,0)</f>
        <v>0</v>
      </c>
      <c r="J27" s="60">
        <f>IFERROR(aurora_data!I1847,0)</f>
        <v>0</v>
      </c>
      <c r="K27" s="68">
        <f>IFERROR(aurora_data!J1847,0)</f>
        <v>0</v>
      </c>
      <c r="L27" s="68">
        <f>IFERROR(aurora_data!K1847,0)</f>
        <v>0</v>
      </c>
      <c r="M27" s="68">
        <f>IFERROR(aurora_data!L1847,0)</f>
        <v>0</v>
      </c>
      <c r="N27" s="69">
        <f>IFERROR(aurora_data!M1847,0)</f>
        <v>0</v>
      </c>
      <c r="O27" s="60">
        <f>IFERROR(aurora_data!N1847,0)</f>
        <v>0</v>
      </c>
      <c r="P27" s="68">
        <f>IFERROR(aurora_data!O1847,0)</f>
        <v>0</v>
      </c>
      <c r="Q27" s="68">
        <f>IFERROR(aurora_data!P1847,0)</f>
        <v>0</v>
      </c>
      <c r="R27" s="69">
        <f>IFERROR(aurora_data!Q1847,0)</f>
        <v>0</v>
      </c>
      <c r="S27" s="68">
        <f>IFERROR(aurora_data!R1847,0)</f>
        <v>0</v>
      </c>
      <c r="T27" s="68">
        <f>IFERROR(aurora_data!S1847,0)</f>
        <v>0</v>
      </c>
      <c r="U27" s="74">
        <f>IFERROR(aurora_data!T1847,0)</f>
        <v>0</v>
      </c>
      <c r="V27" s="75" t="s">
        <v>198</v>
      </c>
      <c r="W27" s="60">
        <f>IFERROR(aurora_data!U1847,0)</f>
        <v>0</v>
      </c>
      <c r="X27" s="73">
        <f t="shared" si="1"/>
        <v>0</v>
      </c>
      <c r="Y27" s="2"/>
    </row>
    <row r="28" spans="1:25" ht="16.5" customHeight="1">
      <c r="B28" s="97"/>
      <c r="C28" s="97"/>
    </row>
  </sheetData>
  <sheetProtection sheet="1" objects="1" scenarios="1"/>
  <mergeCells count="26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B20:B27"/>
    <mergeCell ref="C20:C27"/>
    <mergeCell ref="J10:N10"/>
    <mergeCell ref="O10:R10"/>
    <mergeCell ref="S10:U10"/>
    <mergeCell ref="B12:B19"/>
    <mergeCell ref="C12:C19"/>
  </mergeCells>
  <conditionalFormatting sqref="E13:W13">
    <cfRule type="expression" dxfId="37" priority="2">
      <formula>ROUND(E$13,0) &gt;= ROUND(E$12,0)</formula>
    </cfRule>
  </conditionalFormatting>
  <conditionalFormatting sqref="E18:W18">
    <cfRule type="expression" dxfId="36" priority="4">
      <formula>ROUND(E$18,0) &lt; ROUND(E$12,0)</formula>
    </cfRule>
  </conditionalFormatting>
  <conditionalFormatting sqref="E21:W21">
    <cfRule type="expression" dxfId="35" priority="1">
      <formula>ROUND(E$21,0) &gt;= ROUND(E$20,0)</formula>
    </cfRule>
  </conditionalFormatting>
  <conditionalFormatting sqref="E26:W26">
    <cfRule type="expression" dxfId="34" priority="6">
      <formula>ROUND(E$26,0) &lt; ROUND(E$20,0)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A6A4-834B-4191-81F3-8154B163675D}">
  <sheetPr codeName="Sheet9">
    <tabColor rgb="FF00BBFF"/>
  </sheetPr>
  <dimension ref="A1:Y36"/>
  <sheetViews>
    <sheetView topLeftCell="A3" zoomScale="85" zoomScaleNormal="85" workbookViewId="0">
      <selection activeCell="M22" sqref="M22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40" t="s">
        <v>178</v>
      </c>
      <c r="B1" s="141"/>
      <c r="C1" s="142"/>
      <c r="D1" s="143" t="s">
        <v>179</v>
      </c>
      <c r="E1" s="144"/>
      <c r="F1" s="144"/>
      <c r="G1" s="144"/>
      <c r="H1" s="145"/>
      <c r="I1" s="98"/>
      <c r="J1" s="88"/>
      <c r="K1" s="100"/>
      <c r="L1" s="100"/>
      <c r="M1" s="100"/>
      <c r="N1" s="100" t="s">
        <v>180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46" t="s">
        <v>181</v>
      </c>
      <c r="B2" s="146"/>
      <c r="C2" s="147"/>
      <c r="D2" s="148" t="str">
        <f>_xlfn.CONCAT("Study Name: ","
CELF-6 RF1 &amp; 2 OSEP Speech Impairment (Age 5-21)")</f>
        <v>Study Name: 
CELF-6 RF1 &amp; 2 OSEP Speech Impairment (Age 5-21)</v>
      </c>
      <c r="E2" s="149"/>
      <c r="F2" s="149"/>
      <c r="G2" s="149"/>
      <c r="H2" s="150"/>
      <c r="I2" s="4"/>
      <c r="J2" s="4"/>
      <c r="K2" s="151" t="s">
        <v>182</v>
      </c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3"/>
      <c r="Y2" s="103"/>
    </row>
    <row r="3" spans="1:25" customFormat="1" ht="30.75" customHeight="1" thickBot="1">
      <c r="A3" s="2"/>
      <c r="B3" s="2"/>
      <c r="C3" s="2"/>
      <c r="D3" s="158" t="str">
        <f>_xlfn.CONCAT("Study Acronym: ","
OSEP_SI_RF1/OSEP_SI_RF2")</f>
        <v>Study Acronym: 
OSEP_SI_RF1/OSEP_SI_RF2</v>
      </c>
      <c r="E3" s="159"/>
      <c r="F3" s="160" t="s">
        <v>210</v>
      </c>
      <c r="G3" s="160"/>
      <c r="H3" s="161"/>
      <c r="I3" s="4"/>
      <c r="J3" s="4"/>
      <c r="K3" s="154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3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54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3"/>
      <c r="Y4" s="104"/>
    </row>
    <row r="5" spans="1:25" customFormat="1" ht="21.95" customHeight="1" thickBot="1">
      <c r="A5" s="2"/>
      <c r="B5" s="2"/>
      <c r="C5" s="102"/>
      <c r="D5" s="143" t="s">
        <v>184</v>
      </c>
      <c r="E5" s="144"/>
      <c r="F5" s="144"/>
      <c r="G5" s="144"/>
      <c r="H5" s="101"/>
      <c r="I5" s="98"/>
      <c r="J5" s="98"/>
      <c r="K5" s="154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3"/>
      <c r="Y5" s="105"/>
    </row>
    <row r="6" spans="1:25" customFormat="1" ht="60.95" customHeight="1" thickBot="1">
      <c r="A6" s="2"/>
      <c r="B6" s="2"/>
      <c r="C6" s="99"/>
      <c r="D6" s="162" t="s">
        <v>209</v>
      </c>
      <c r="E6" s="163"/>
      <c r="F6" s="163"/>
      <c r="G6" s="163"/>
      <c r="H6" s="164"/>
      <c r="I6" s="136"/>
      <c r="J6" s="137"/>
      <c r="K6" s="155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7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65" t="str">
        <f>_xlfn.CONCAT("Last Refreshed at: ",aurora_data!V1432)</f>
        <v>Last Refreshed at: 08/06/2026 @ 7:19 AM</v>
      </c>
      <c r="C8" s="166"/>
      <c r="D8" s="166"/>
      <c r="E8" s="167" t="s">
        <v>186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9"/>
      <c r="V8" s="44"/>
      <c r="W8" s="170" t="s">
        <v>187</v>
      </c>
      <c r="X8" s="171"/>
      <c r="Y8" s="2"/>
    </row>
    <row r="9" spans="1:25" customFormat="1" ht="16.5" customHeight="1" thickBot="1">
      <c r="A9" s="2"/>
      <c r="B9" s="176"/>
      <c r="C9" s="177"/>
      <c r="D9" s="29" t="s">
        <v>188</v>
      </c>
      <c r="E9" s="178" t="s">
        <v>189</v>
      </c>
      <c r="F9" s="179"/>
      <c r="G9" s="179"/>
      <c r="H9" s="179"/>
      <c r="I9" s="179"/>
      <c r="J9" s="180" t="s">
        <v>189</v>
      </c>
      <c r="K9" s="181"/>
      <c r="L9" s="181"/>
      <c r="M9" s="181"/>
      <c r="N9" s="181"/>
      <c r="O9" s="182" t="s">
        <v>189</v>
      </c>
      <c r="P9" s="183"/>
      <c r="Q9" s="183"/>
      <c r="R9" s="183"/>
      <c r="S9" s="184" t="s">
        <v>189</v>
      </c>
      <c r="T9" s="185"/>
      <c r="U9" s="185"/>
      <c r="V9" s="28"/>
      <c r="W9" s="172"/>
      <c r="X9" s="173"/>
      <c r="Y9" s="2"/>
    </row>
    <row r="10" spans="1:25" customFormat="1" ht="17.25" thickTop="1" thickBot="1">
      <c r="A10" s="2"/>
      <c r="B10" s="186" t="s">
        <v>190</v>
      </c>
      <c r="C10" s="30"/>
      <c r="D10" s="31"/>
      <c r="E10" s="187" t="s">
        <v>191</v>
      </c>
      <c r="F10" s="188"/>
      <c r="G10" s="188"/>
      <c r="H10" s="188"/>
      <c r="I10" s="189"/>
      <c r="J10" s="188" t="s">
        <v>192</v>
      </c>
      <c r="K10" s="188"/>
      <c r="L10" s="188"/>
      <c r="M10" s="188"/>
      <c r="N10" s="189"/>
      <c r="O10" s="190" t="s">
        <v>193</v>
      </c>
      <c r="P10" s="190"/>
      <c r="Q10" s="190"/>
      <c r="R10" s="190"/>
      <c r="S10" s="191" t="s">
        <v>194</v>
      </c>
      <c r="T10" s="192"/>
      <c r="U10" s="193"/>
      <c r="V10" s="32"/>
      <c r="W10" s="172"/>
      <c r="X10" s="173"/>
      <c r="Y10" s="2"/>
    </row>
    <row r="11" spans="1:25" customFormat="1" ht="17.25" thickTop="1" thickBot="1">
      <c r="A11" s="2"/>
      <c r="B11" s="186"/>
      <c r="C11" s="30" t="s">
        <v>110</v>
      </c>
      <c r="D11" s="33" t="s">
        <v>112</v>
      </c>
      <c r="E11" s="96">
        <v>1</v>
      </c>
      <c r="F11" s="94">
        <v>2</v>
      </c>
      <c r="G11" s="95" t="s">
        <v>115</v>
      </c>
      <c r="H11" s="95">
        <v>4</v>
      </c>
      <c r="I11" s="95">
        <v>5</v>
      </c>
      <c r="J11" s="89" t="s">
        <v>118</v>
      </c>
      <c r="K11" s="89" t="s">
        <v>119</v>
      </c>
      <c r="L11" s="89" t="s">
        <v>120</v>
      </c>
      <c r="M11" s="93" t="s">
        <v>195</v>
      </c>
      <c r="N11" s="93" t="s">
        <v>122</v>
      </c>
      <c r="O11" s="89" t="s">
        <v>123</v>
      </c>
      <c r="P11" s="89" t="s">
        <v>124</v>
      </c>
      <c r="Q11" s="89" t="s">
        <v>125</v>
      </c>
      <c r="R11" s="89" t="s">
        <v>126</v>
      </c>
      <c r="S11" s="90" t="s">
        <v>127</v>
      </c>
      <c r="T11" s="91" t="s">
        <v>128</v>
      </c>
      <c r="U11" s="92" t="s">
        <v>196</v>
      </c>
      <c r="V11" s="28"/>
      <c r="W11" s="174"/>
      <c r="X11" s="175"/>
      <c r="Y11" s="2"/>
    </row>
    <row r="12" spans="1:25" customFormat="1">
      <c r="A12" s="2"/>
      <c r="B12" s="200" t="s">
        <v>197</v>
      </c>
      <c r="C12" s="194" t="str">
        <f>aurora_data!A1432</f>
        <v>05.00.00-08.11.30</v>
      </c>
      <c r="D12" s="34" t="s">
        <v>153</v>
      </c>
      <c r="E12" s="39">
        <f>IFERROR(aurora_data!D1432,0)</f>
        <v>0</v>
      </c>
      <c r="F12" s="40">
        <f>IFERROR(aurora_data!E1432,0)</f>
        <v>0</v>
      </c>
      <c r="G12" s="40">
        <f>IFERROR(aurora_data!F1432,0)</f>
        <v>0</v>
      </c>
      <c r="H12" s="40">
        <f>IFERROR(aurora_data!G1432,0)</f>
        <v>0</v>
      </c>
      <c r="I12" s="41">
        <f>IFERROR(aurora_data!H1432,0)</f>
        <v>0</v>
      </c>
      <c r="J12" s="39">
        <f>IFERROR(aurora_data!I1432,0)</f>
        <v>0</v>
      </c>
      <c r="K12" s="40">
        <f>IFERROR(aurora_data!J1432,0)</f>
        <v>0</v>
      </c>
      <c r="L12" s="40">
        <f>IFERROR(aurora_data!K1432,0)</f>
        <v>0</v>
      </c>
      <c r="M12" s="40">
        <f>IFERROR(aurora_data!L1432,0)</f>
        <v>0</v>
      </c>
      <c r="N12" s="41">
        <f>IFERROR(aurora_data!M1432,0)</f>
        <v>0</v>
      </c>
      <c r="O12" s="39">
        <f>IFERROR(aurora_data!N1432,0)</f>
        <v>0</v>
      </c>
      <c r="P12" s="40">
        <f>IFERROR(aurora_data!O1432,0)</f>
        <v>0</v>
      </c>
      <c r="Q12" s="40">
        <f>IFERROR(aurora_data!P1432,0)</f>
        <v>0</v>
      </c>
      <c r="R12" s="41">
        <f>IFERROR(aurora_data!Q1432,0)</f>
        <v>0</v>
      </c>
      <c r="S12" s="40">
        <f>IFERROR(aurora_data!R1432,0)</f>
        <v>0</v>
      </c>
      <c r="T12" s="40">
        <f>IFERROR(aurora_data!S1432,0)</f>
        <v>0</v>
      </c>
      <c r="U12" s="76">
        <f>IFERROR(aurora_data!T1432,0)</f>
        <v>0</v>
      </c>
      <c r="V12" s="61" t="s">
        <v>198</v>
      </c>
      <c r="W12" s="39">
        <f>IFERROR(aurora_data!U1432,0)</f>
        <v>20</v>
      </c>
      <c r="X12" s="70">
        <f>IFERROR(W12/$W$12,0)</f>
        <v>1</v>
      </c>
      <c r="Y12" s="2"/>
    </row>
    <row r="13" spans="1:25" customFormat="1">
      <c r="A13" s="2"/>
      <c r="B13" s="201"/>
      <c r="C13" s="195"/>
      <c r="D13" s="35" t="s">
        <v>199</v>
      </c>
      <c r="E13" s="110">
        <f>IFERROR(aurora_data!D1433,0)</f>
        <v>0</v>
      </c>
      <c r="F13" s="62">
        <f>IFERROR(aurora_data!E1433,0)</f>
        <v>6</v>
      </c>
      <c r="G13" s="62">
        <f>IFERROR(aurora_data!F1433,0)</f>
        <v>6</v>
      </c>
      <c r="H13" s="62">
        <f>IFERROR(aurora_data!G1433,0)</f>
        <v>8</v>
      </c>
      <c r="I13" s="63">
        <f>IFERROR(aurora_data!H1433,0)</f>
        <v>0</v>
      </c>
      <c r="J13" s="36">
        <f>IFERROR(aurora_data!I1433,0)</f>
        <v>2</v>
      </c>
      <c r="K13" s="62">
        <f>IFERROR(aurora_data!J1433,0)</f>
        <v>4</v>
      </c>
      <c r="L13" s="62">
        <f>IFERROR(aurora_data!K1433,0)</f>
        <v>6</v>
      </c>
      <c r="M13" s="62">
        <f>IFERROR(aurora_data!L1433,0)</f>
        <v>0</v>
      </c>
      <c r="N13" s="63">
        <f>IFERROR(aurora_data!M1433,0)</f>
        <v>8</v>
      </c>
      <c r="O13" s="36">
        <f>IFERROR(aurora_data!N1433,0)</f>
        <v>5</v>
      </c>
      <c r="P13" s="62">
        <f>IFERROR(aurora_data!O1433,0)</f>
        <v>2</v>
      </c>
      <c r="Q13" s="62">
        <f>IFERROR(aurora_data!P1433,0)</f>
        <v>9</v>
      </c>
      <c r="R13" s="63">
        <f>IFERROR(aurora_data!Q1433,0)</f>
        <v>4</v>
      </c>
      <c r="S13" s="62">
        <f>IFERROR(aurora_data!R1433,0)</f>
        <v>10</v>
      </c>
      <c r="T13" s="62">
        <f>IFERROR(aurora_data!S1433,0)</f>
        <v>10</v>
      </c>
      <c r="U13" s="63">
        <f>IFERROR(aurora_data!T1433,0)</f>
        <v>0</v>
      </c>
      <c r="V13" s="64" t="s">
        <v>198</v>
      </c>
      <c r="W13" s="36">
        <f>IFERROR(aurora_data!U1433,0)</f>
        <v>20</v>
      </c>
      <c r="X13" s="71">
        <f t="shared" ref="X13:X19" si="0">IFERROR(W13/$W$12,0)</f>
        <v>1</v>
      </c>
      <c r="Y13" s="2"/>
    </row>
    <row r="14" spans="1:25" customFormat="1">
      <c r="A14" s="2"/>
      <c r="B14" s="201"/>
      <c r="C14" s="195"/>
      <c r="D14" s="35" t="s">
        <v>137</v>
      </c>
      <c r="E14" s="110">
        <f>IFERROR(aurora_data!D1434,0)</f>
        <v>0</v>
      </c>
      <c r="F14" s="62">
        <f>IFERROR(aurora_data!E1434,0)</f>
        <v>0</v>
      </c>
      <c r="G14" s="62">
        <f>IFERROR(aurora_data!F1434,0)</f>
        <v>1</v>
      </c>
      <c r="H14" s="62">
        <f>IFERROR(aurora_data!G1434,0)</f>
        <v>4</v>
      </c>
      <c r="I14" s="63">
        <f>IFERROR(aurora_data!H1434,0)</f>
        <v>0</v>
      </c>
      <c r="J14" s="36">
        <f>IFERROR(aurora_data!I1434,0)</f>
        <v>0</v>
      </c>
      <c r="K14" s="62">
        <f>IFERROR(aurora_data!J1434,0)</f>
        <v>0</v>
      </c>
      <c r="L14" s="62">
        <f>IFERROR(aurora_data!K1434,0)</f>
        <v>0</v>
      </c>
      <c r="M14" s="62">
        <f>IFERROR(aurora_data!L1434,0)</f>
        <v>1</v>
      </c>
      <c r="N14" s="63">
        <f>IFERROR(aurora_data!M1434,0)</f>
        <v>4</v>
      </c>
      <c r="O14" s="36">
        <f>IFERROR(aurora_data!N1434,0)</f>
        <v>1</v>
      </c>
      <c r="P14" s="62">
        <f>IFERROR(aurora_data!O1434,0)</f>
        <v>0</v>
      </c>
      <c r="Q14" s="62">
        <f>IFERROR(aurora_data!P1434,0)</f>
        <v>2</v>
      </c>
      <c r="R14" s="63">
        <f>IFERROR(aurora_data!Q1434,0)</f>
        <v>2</v>
      </c>
      <c r="S14" s="62">
        <f>IFERROR(aurora_data!R1434,0)</f>
        <v>0</v>
      </c>
      <c r="T14" s="62">
        <f>IFERROR(aurora_data!S1434,0)</f>
        <v>5</v>
      </c>
      <c r="U14" s="63">
        <f>IFERROR(aurora_data!T1434,0)</f>
        <v>0</v>
      </c>
      <c r="V14" s="64" t="s">
        <v>198</v>
      </c>
      <c r="W14" s="36">
        <f>IFERROR(aurora_data!U1434,0)</f>
        <v>5</v>
      </c>
      <c r="X14" s="71">
        <f t="shared" si="0"/>
        <v>0.25</v>
      </c>
      <c r="Y14" s="2"/>
    </row>
    <row r="15" spans="1:25" customFormat="1">
      <c r="A15" s="2"/>
      <c r="B15" s="201"/>
      <c r="C15" s="195"/>
      <c r="D15" s="35" t="s">
        <v>200</v>
      </c>
      <c r="E15" s="36">
        <f>IFERROR(aurora_data!D1435,0)</f>
        <v>0</v>
      </c>
      <c r="F15" s="62">
        <f>IFERROR(aurora_data!E1435,0)</f>
        <v>0</v>
      </c>
      <c r="G15" s="62">
        <f>IFERROR(aurora_data!F1435,0)</f>
        <v>0</v>
      </c>
      <c r="H15" s="62">
        <f>IFERROR(aurora_data!G1435,0)</f>
        <v>0</v>
      </c>
      <c r="I15" s="63">
        <f>IFERROR(aurora_data!H1435,0)</f>
        <v>0</v>
      </c>
      <c r="J15" s="36">
        <f>IFERROR(aurora_data!I1435,0)</f>
        <v>0</v>
      </c>
      <c r="K15" s="62">
        <f>IFERROR(aurora_data!J1435,0)</f>
        <v>0</v>
      </c>
      <c r="L15" s="62">
        <f>IFERROR(aurora_data!K1435,0)</f>
        <v>0</v>
      </c>
      <c r="M15" s="62">
        <f>IFERROR(aurora_data!L1435,0)</f>
        <v>0</v>
      </c>
      <c r="N15" s="63">
        <f>IFERROR(aurora_data!M1435,0)</f>
        <v>0</v>
      </c>
      <c r="O15" s="36">
        <f>IFERROR(aurora_data!N1435,0)</f>
        <v>0</v>
      </c>
      <c r="P15" s="62">
        <f>IFERROR(aurora_data!O1435,0)</f>
        <v>0</v>
      </c>
      <c r="Q15" s="62">
        <f>IFERROR(aurora_data!P1435,0)</f>
        <v>0</v>
      </c>
      <c r="R15" s="63">
        <f>IFERROR(aurora_data!Q1435,0)</f>
        <v>0</v>
      </c>
      <c r="S15" s="62">
        <f>IFERROR(aurora_data!R1435,0)</f>
        <v>0</v>
      </c>
      <c r="T15" s="62">
        <f>IFERROR(aurora_data!S1435,0)</f>
        <v>0</v>
      </c>
      <c r="U15" s="63">
        <f>IFERROR(aurora_data!T1435,0)</f>
        <v>0</v>
      </c>
      <c r="V15" s="64" t="s">
        <v>198</v>
      </c>
      <c r="W15" s="36">
        <f>IFERROR(aurora_data!U1435,0)</f>
        <v>0</v>
      </c>
      <c r="X15" s="71">
        <f t="shared" si="0"/>
        <v>0</v>
      </c>
      <c r="Y15" s="2"/>
    </row>
    <row r="16" spans="1:25" customFormat="1">
      <c r="A16" s="2"/>
      <c r="B16" s="201"/>
      <c r="C16" s="195"/>
      <c r="D16" s="35" t="s">
        <v>201</v>
      </c>
      <c r="E16" s="36">
        <f>IFERROR(aurora_data!D1436,0)</f>
        <v>0</v>
      </c>
      <c r="F16" s="62">
        <f>IFERROR(aurora_data!E1436,0)</f>
        <v>0</v>
      </c>
      <c r="G16" s="62">
        <f>IFERROR(aurora_data!F1436,0)</f>
        <v>0</v>
      </c>
      <c r="H16" s="62">
        <f>IFERROR(aurora_data!G1436,0)</f>
        <v>0</v>
      </c>
      <c r="I16" s="63">
        <f>IFERROR(aurora_data!H1436,0)</f>
        <v>0</v>
      </c>
      <c r="J16" s="36">
        <f>IFERROR(aurora_data!I1436,0)</f>
        <v>0</v>
      </c>
      <c r="K16" s="62">
        <f>IFERROR(aurora_data!J1436,0)</f>
        <v>0</v>
      </c>
      <c r="L16" s="62">
        <f>IFERROR(aurora_data!K1436,0)</f>
        <v>0</v>
      </c>
      <c r="M16" s="62">
        <f>IFERROR(aurora_data!L1436,0)</f>
        <v>0</v>
      </c>
      <c r="N16" s="63">
        <f>IFERROR(aurora_data!M1436,0)</f>
        <v>0</v>
      </c>
      <c r="O16" s="36">
        <f>IFERROR(aurora_data!N1436,0)</f>
        <v>0</v>
      </c>
      <c r="P16" s="62">
        <f>IFERROR(aurora_data!O1436,0)</f>
        <v>0</v>
      </c>
      <c r="Q16" s="62">
        <f>IFERROR(aurora_data!P1436,0)</f>
        <v>0</v>
      </c>
      <c r="R16" s="63">
        <f>IFERROR(aurora_data!Q1436,0)</f>
        <v>0</v>
      </c>
      <c r="S16" s="62">
        <f>IFERROR(aurora_data!R1436,0)</f>
        <v>0</v>
      </c>
      <c r="T16" s="62">
        <f>IFERROR(aurora_data!S1436,0)</f>
        <v>0</v>
      </c>
      <c r="U16" s="63">
        <f>IFERROR(aurora_data!T1436,0)</f>
        <v>0</v>
      </c>
      <c r="V16" s="64" t="s">
        <v>198</v>
      </c>
      <c r="W16" s="36">
        <f>IFERROR(aurora_data!U1436,0)</f>
        <v>0</v>
      </c>
      <c r="X16" s="71">
        <f t="shared" si="0"/>
        <v>0</v>
      </c>
      <c r="Y16" s="2"/>
    </row>
    <row r="17" spans="1:25" customFormat="1" ht="16.5" thickBot="1">
      <c r="A17" s="2"/>
      <c r="B17" s="201"/>
      <c r="C17" s="195"/>
      <c r="D17" s="35" t="s">
        <v>202</v>
      </c>
      <c r="E17" s="36">
        <f>IFERROR(aurora_data!D1437,0)</f>
        <v>0</v>
      </c>
      <c r="F17" s="62">
        <f>IFERROR(aurora_data!E1437,0)</f>
        <v>0</v>
      </c>
      <c r="G17" s="62">
        <f>IFERROR(aurora_data!F1437,0)</f>
        <v>0</v>
      </c>
      <c r="H17" s="62">
        <f>IFERROR(aurora_data!G1437,0)</f>
        <v>0</v>
      </c>
      <c r="I17" s="63">
        <f>IFERROR(aurora_data!H1437,0)</f>
        <v>0</v>
      </c>
      <c r="J17" s="36">
        <f>IFERROR(aurora_data!I1437,0)</f>
        <v>0</v>
      </c>
      <c r="K17" s="62">
        <f>IFERROR(aurora_data!J1437,0)</f>
        <v>0</v>
      </c>
      <c r="L17" s="62">
        <f>IFERROR(aurora_data!K1437,0)</f>
        <v>0</v>
      </c>
      <c r="M17" s="62">
        <f>IFERROR(aurora_data!L1437,0)</f>
        <v>0</v>
      </c>
      <c r="N17" s="63">
        <f>IFERROR(aurora_data!M1437,0)</f>
        <v>0</v>
      </c>
      <c r="O17" s="36">
        <f>IFERROR(aurora_data!N1437,0)</f>
        <v>0</v>
      </c>
      <c r="P17" s="62">
        <f>IFERROR(aurora_data!O1437,0)</f>
        <v>0</v>
      </c>
      <c r="Q17" s="62">
        <f>IFERROR(aurora_data!P1437,0)</f>
        <v>0</v>
      </c>
      <c r="R17" s="63">
        <f>IFERROR(aurora_data!Q1437,0)</f>
        <v>0</v>
      </c>
      <c r="S17" s="62">
        <f>IFERROR(aurora_data!R1437,0)</f>
        <v>0</v>
      </c>
      <c r="T17" s="62">
        <f>IFERROR(aurora_data!S1437,0)</f>
        <v>0</v>
      </c>
      <c r="U17" s="63">
        <f>IFERROR(aurora_data!T1437,0)</f>
        <v>0</v>
      </c>
      <c r="V17" s="64" t="s">
        <v>198</v>
      </c>
      <c r="W17" s="36">
        <f>IFERROR(aurora_data!U1437,0)</f>
        <v>0</v>
      </c>
      <c r="X17" s="71">
        <f t="shared" si="0"/>
        <v>0</v>
      </c>
      <c r="Y17" s="2"/>
    </row>
    <row r="18" spans="1:25" customFormat="1" ht="16.5" thickBot="1">
      <c r="A18" s="2"/>
      <c r="B18" s="201"/>
      <c r="C18" s="195"/>
      <c r="D18" s="37" t="s">
        <v>141</v>
      </c>
      <c r="E18" s="59">
        <f>IFERROR(aurora_data!D1438,0)</f>
        <v>0</v>
      </c>
      <c r="F18" s="65">
        <f>IFERROR(aurora_data!E1438,0)</f>
        <v>6</v>
      </c>
      <c r="G18" s="65">
        <f>IFERROR(aurora_data!F1438,0)</f>
        <v>7</v>
      </c>
      <c r="H18" s="65">
        <f>IFERROR(aurora_data!G1438,0)</f>
        <v>12</v>
      </c>
      <c r="I18" s="66">
        <f>IFERROR(aurora_data!H1438,0)</f>
        <v>0</v>
      </c>
      <c r="J18" s="59">
        <f>IFERROR(aurora_data!I1438,0)</f>
        <v>2</v>
      </c>
      <c r="K18" s="65">
        <f>IFERROR(aurora_data!J1438,0)</f>
        <v>4</v>
      </c>
      <c r="L18" s="65">
        <f>IFERROR(aurora_data!K1438,0)</f>
        <v>6</v>
      </c>
      <c r="M18" s="65">
        <f>IFERROR(aurora_data!L1438,0)</f>
        <v>1</v>
      </c>
      <c r="N18" s="66">
        <f>IFERROR(aurora_data!M1438,0)</f>
        <v>12</v>
      </c>
      <c r="O18" s="59">
        <f>IFERROR(aurora_data!N1438,0)</f>
        <v>6</v>
      </c>
      <c r="P18" s="65">
        <f>IFERROR(aurora_data!O1438,0)</f>
        <v>2</v>
      </c>
      <c r="Q18" s="65">
        <f>IFERROR(aurora_data!P1438,0)</f>
        <v>11</v>
      </c>
      <c r="R18" s="66">
        <f>IFERROR(aurora_data!Q1438,0)</f>
        <v>6</v>
      </c>
      <c r="S18" s="65">
        <f>IFERROR(aurora_data!R1438,0)</f>
        <v>10</v>
      </c>
      <c r="T18" s="65">
        <f>IFERROR(aurora_data!S1438,0)</f>
        <v>15</v>
      </c>
      <c r="U18" s="66">
        <f>IFERROR(aurora_data!T1438,0)</f>
        <v>0</v>
      </c>
      <c r="V18" s="67" t="s">
        <v>198</v>
      </c>
      <c r="W18" s="59">
        <f>IFERROR(aurora_data!U1438,0)</f>
        <v>25</v>
      </c>
      <c r="X18" s="72">
        <f t="shared" si="0"/>
        <v>1.25</v>
      </c>
      <c r="Y18" s="2"/>
    </row>
    <row r="19" spans="1:25" customFormat="1" ht="16.5" thickBot="1">
      <c r="A19" s="2"/>
      <c r="B19" s="201"/>
      <c r="C19" s="195"/>
      <c r="D19" s="38" t="s">
        <v>203</v>
      </c>
      <c r="E19" s="60">
        <f>IFERROR(aurora_data!D1439,0)</f>
        <v>0</v>
      </c>
      <c r="F19" s="68">
        <f>IFERROR(aurora_data!E1439,0)</f>
        <v>0</v>
      </c>
      <c r="G19" s="68">
        <f>IFERROR(aurora_data!F1439,0)</f>
        <v>0</v>
      </c>
      <c r="H19" s="68">
        <f>IFERROR(aurora_data!G1439,0)</f>
        <v>0</v>
      </c>
      <c r="I19" s="69">
        <f>IFERROR(aurora_data!H1439,0)</f>
        <v>0</v>
      </c>
      <c r="J19" s="60">
        <f>IFERROR(aurora_data!I1439,0)</f>
        <v>0</v>
      </c>
      <c r="K19" s="68">
        <f>IFERROR(aurora_data!J1439,0)</f>
        <v>0</v>
      </c>
      <c r="L19" s="68">
        <f>IFERROR(aurora_data!K1439,0)</f>
        <v>0</v>
      </c>
      <c r="M19" s="68">
        <f>IFERROR(aurora_data!L1439,0)</f>
        <v>0</v>
      </c>
      <c r="N19" s="69">
        <f>IFERROR(aurora_data!M1439,0)</f>
        <v>0</v>
      </c>
      <c r="O19" s="60">
        <f>IFERROR(aurora_data!N1439,0)</f>
        <v>0</v>
      </c>
      <c r="P19" s="68">
        <f>IFERROR(aurora_data!O1439,0)</f>
        <v>0</v>
      </c>
      <c r="Q19" s="68">
        <f>IFERROR(aurora_data!P1439,0)</f>
        <v>0</v>
      </c>
      <c r="R19" s="69">
        <f>IFERROR(aurora_data!Q1439,0)</f>
        <v>0</v>
      </c>
      <c r="S19" s="68">
        <f>IFERROR(aurora_data!R1439,0)</f>
        <v>0</v>
      </c>
      <c r="T19" s="68">
        <f>IFERROR(aurora_data!S1439,0)</f>
        <v>0</v>
      </c>
      <c r="U19" s="74">
        <f>IFERROR(aurora_data!T1439,0)</f>
        <v>0</v>
      </c>
      <c r="V19" s="75" t="s">
        <v>198</v>
      </c>
      <c r="W19" s="60">
        <f>IFERROR(aurora_data!U1439,0)</f>
        <v>0</v>
      </c>
      <c r="X19" s="73">
        <f t="shared" si="0"/>
        <v>0</v>
      </c>
      <c r="Y19" s="2"/>
    </row>
    <row r="20" spans="1:25" customFormat="1">
      <c r="A20" s="2"/>
      <c r="B20" s="200" t="s">
        <v>197</v>
      </c>
      <c r="C20" s="194" t="str">
        <f>aurora_data!A1532</f>
        <v>09.00.00-21.11.30</v>
      </c>
      <c r="D20" s="34" t="s">
        <v>153</v>
      </c>
      <c r="E20" s="39">
        <f>IFERROR(aurora_data!D1532,0)</f>
        <v>0</v>
      </c>
      <c r="F20" s="40">
        <f>IFERROR(aurora_data!E1532,0)</f>
        <v>0</v>
      </c>
      <c r="G20" s="40">
        <f>IFERROR(aurora_data!F1532,0)</f>
        <v>0</v>
      </c>
      <c r="H20" s="40">
        <f>IFERROR(aurora_data!G1532,0)</f>
        <v>0</v>
      </c>
      <c r="I20" s="41">
        <f>IFERROR(aurora_data!H1532,0)</f>
        <v>0</v>
      </c>
      <c r="J20" s="39">
        <f>IFERROR(aurora_data!I1532,0)</f>
        <v>0</v>
      </c>
      <c r="K20" s="40">
        <f>IFERROR(aurora_data!J1532,0)</f>
        <v>0</v>
      </c>
      <c r="L20" s="40">
        <f>IFERROR(aurora_data!K1532,0)</f>
        <v>0</v>
      </c>
      <c r="M20" s="40">
        <f>IFERROR(aurora_data!L1532,0)</f>
        <v>0</v>
      </c>
      <c r="N20" s="41">
        <f>IFERROR(aurora_data!M1532,0)</f>
        <v>0</v>
      </c>
      <c r="O20" s="39">
        <f>IFERROR(aurora_data!N1532,0)</f>
        <v>0</v>
      </c>
      <c r="P20" s="40">
        <f>IFERROR(aurora_data!O1532,0)</f>
        <v>0</v>
      </c>
      <c r="Q20" s="40">
        <f>IFERROR(aurora_data!P1532,0)</f>
        <v>0</v>
      </c>
      <c r="R20" s="41">
        <f>IFERROR(aurora_data!Q1532,0)</f>
        <v>0</v>
      </c>
      <c r="S20" s="40">
        <f>IFERROR(aurora_data!R1532,0)</f>
        <v>0</v>
      </c>
      <c r="T20" s="40">
        <f>IFERROR(aurora_data!S1532,0)</f>
        <v>0</v>
      </c>
      <c r="U20" s="76">
        <f>IFERROR(aurora_data!T1532,0)</f>
        <v>0</v>
      </c>
      <c r="V20" s="61" t="s">
        <v>198</v>
      </c>
      <c r="W20" s="39">
        <f>IFERROR(aurora_data!U1532,0)</f>
        <v>20</v>
      </c>
      <c r="X20" s="70">
        <f>IFERROR(W20/$W$20,0)</f>
        <v>1</v>
      </c>
      <c r="Y20" s="2"/>
    </row>
    <row r="21" spans="1:25" customFormat="1" ht="16.5" customHeight="1">
      <c r="A21" s="2"/>
      <c r="B21" s="201"/>
      <c r="C21" s="195"/>
      <c r="D21" s="35" t="s">
        <v>199</v>
      </c>
      <c r="E21" s="36">
        <f>IFERROR(aurora_data!D1533,0)</f>
        <v>0</v>
      </c>
      <c r="F21" s="62">
        <f>IFERROR(aurora_data!E1533,0)</f>
        <v>1</v>
      </c>
      <c r="G21" s="62">
        <f>IFERROR(aurora_data!F1533,0)</f>
        <v>7</v>
      </c>
      <c r="H21" s="62">
        <f>IFERROR(aurora_data!G1533,0)</f>
        <v>12</v>
      </c>
      <c r="I21" s="63">
        <f>IFERROR(aurora_data!H1533,0)</f>
        <v>0</v>
      </c>
      <c r="J21" s="36">
        <f>IFERROR(aurora_data!I1533,0)</f>
        <v>0</v>
      </c>
      <c r="K21" s="62">
        <f>IFERROR(aurora_data!J1533,0)</f>
        <v>3</v>
      </c>
      <c r="L21" s="62">
        <f>IFERROR(aurora_data!K1533,0)</f>
        <v>2</v>
      </c>
      <c r="M21" s="62">
        <f>IFERROR(aurora_data!L1533,0)</f>
        <v>1</v>
      </c>
      <c r="N21" s="63">
        <f>IFERROR(aurora_data!M1533,0)</f>
        <v>14</v>
      </c>
      <c r="O21" s="36">
        <f>IFERROR(aurora_data!N1533,0)</f>
        <v>3</v>
      </c>
      <c r="P21" s="62">
        <f>IFERROR(aurora_data!O1533,0)</f>
        <v>3</v>
      </c>
      <c r="Q21" s="62">
        <f>IFERROR(aurora_data!P1533,0)</f>
        <v>8</v>
      </c>
      <c r="R21" s="63">
        <f>IFERROR(aurora_data!Q1533,0)</f>
        <v>6</v>
      </c>
      <c r="S21" s="62">
        <f>IFERROR(aurora_data!R1533,0)</f>
        <v>9</v>
      </c>
      <c r="T21" s="62">
        <f>IFERROR(aurora_data!S1533,0)</f>
        <v>11</v>
      </c>
      <c r="U21" s="63">
        <f>IFERROR(aurora_data!T1533,0)</f>
        <v>0</v>
      </c>
      <c r="V21" s="64" t="s">
        <v>198</v>
      </c>
      <c r="W21" s="36">
        <f>IFERROR(aurora_data!U1533,0)</f>
        <v>20</v>
      </c>
      <c r="X21" s="71">
        <f t="shared" ref="X21:X27" si="1">IFERROR(W21/$W$20,0)</f>
        <v>1</v>
      </c>
      <c r="Y21" s="2"/>
    </row>
    <row r="22" spans="1:25" customFormat="1" ht="16.5" customHeight="1">
      <c r="A22" s="2"/>
      <c r="B22" s="201"/>
      <c r="C22" s="195"/>
      <c r="D22" s="35" t="s">
        <v>137</v>
      </c>
      <c r="E22" s="36">
        <f>IFERROR(aurora_data!D1534,0)</f>
        <v>0</v>
      </c>
      <c r="F22" s="62">
        <f>IFERROR(aurora_data!E1534,0)</f>
        <v>0</v>
      </c>
      <c r="G22" s="62">
        <f>IFERROR(aurora_data!F1534,0)</f>
        <v>0</v>
      </c>
      <c r="H22" s="62">
        <f>IFERROR(aurora_data!G1534,0)</f>
        <v>0</v>
      </c>
      <c r="I22" s="63">
        <f>IFERROR(aurora_data!H1534,0)</f>
        <v>0</v>
      </c>
      <c r="J22" s="36">
        <f>IFERROR(aurora_data!I1534,0)</f>
        <v>0</v>
      </c>
      <c r="K22" s="62">
        <f>IFERROR(aurora_data!J1534,0)</f>
        <v>0</v>
      </c>
      <c r="L22" s="62">
        <f>IFERROR(aurora_data!K1534,0)</f>
        <v>0</v>
      </c>
      <c r="M22" s="62">
        <f>IFERROR(aurora_data!L1534,0)</f>
        <v>0</v>
      </c>
      <c r="N22" s="63">
        <f>IFERROR(aurora_data!M1534,0)</f>
        <v>0</v>
      </c>
      <c r="O22" s="36">
        <f>IFERROR(aurora_data!N1534,0)</f>
        <v>0</v>
      </c>
      <c r="P22" s="62">
        <f>IFERROR(aurora_data!O1534,0)</f>
        <v>0</v>
      </c>
      <c r="Q22" s="62">
        <f>IFERROR(aurora_data!P1534,0)</f>
        <v>0</v>
      </c>
      <c r="R22" s="63">
        <f>IFERROR(aurora_data!Q1534,0)</f>
        <v>0</v>
      </c>
      <c r="S22" s="62">
        <f>IFERROR(aurora_data!R1534,0)</f>
        <v>0</v>
      </c>
      <c r="T22" s="62">
        <f>IFERROR(aurora_data!S1534,0)</f>
        <v>0</v>
      </c>
      <c r="U22" s="63">
        <f>IFERROR(aurora_data!T1534,0)</f>
        <v>0</v>
      </c>
      <c r="V22" s="64" t="s">
        <v>198</v>
      </c>
      <c r="W22" s="36">
        <f>IFERROR(aurora_data!U1534,0)</f>
        <v>0</v>
      </c>
      <c r="X22" s="71">
        <f t="shared" si="1"/>
        <v>0</v>
      </c>
      <c r="Y22" s="2"/>
    </row>
    <row r="23" spans="1:25" customFormat="1">
      <c r="A23" s="2"/>
      <c r="B23" s="201"/>
      <c r="C23" s="195"/>
      <c r="D23" s="35" t="s">
        <v>200</v>
      </c>
      <c r="E23" s="36">
        <f>IFERROR(aurora_data!D1535,0)</f>
        <v>0</v>
      </c>
      <c r="F23" s="62">
        <f>IFERROR(aurora_data!E1535,0)</f>
        <v>0</v>
      </c>
      <c r="G23" s="62">
        <f>IFERROR(aurora_data!F1535,0)</f>
        <v>0</v>
      </c>
      <c r="H23" s="62">
        <f>IFERROR(aurora_data!G1535,0)</f>
        <v>0</v>
      </c>
      <c r="I23" s="63">
        <f>IFERROR(aurora_data!H1535,0)</f>
        <v>0</v>
      </c>
      <c r="J23" s="36">
        <f>IFERROR(aurora_data!I1535,0)</f>
        <v>0</v>
      </c>
      <c r="K23" s="62">
        <f>IFERROR(aurora_data!J1535,0)</f>
        <v>0</v>
      </c>
      <c r="L23" s="62">
        <f>IFERROR(aurora_data!K1535,0)</f>
        <v>0</v>
      </c>
      <c r="M23" s="62">
        <f>IFERROR(aurora_data!L1535,0)</f>
        <v>0</v>
      </c>
      <c r="N23" s="63">
        <f>IFERROR(aurora_data!M1535,0)</f>
        <v>0</v>
      </c>
      <c r="O23" s="36">
        <f>IFERROR(aurora_data!N1535,0)</f>
        <v>0</v>
      </c>
      <c r="P23" s="62">
        <f>IFERROR(aurora_data!O1535,0)</f>
        <v>0</v>
      </c>
      <c r="Q23" s="62">
        <f>IFERROR(aurora_data!P1535,0)</f>
        <v>0</v>
      </c>
      <c r="R23" s="63">
        <f>IFERROR(aurora_data!Q1535,0)</f>
        <v>0</v>
      </c>
      <c r="S23" s="62">
        <f>IFERROR(aurora_data!R1535,0)</f>
        <v>0</v>
      </c>
      <c r="T23" s="62">
        <f>IFERROR(aurora_data!S1535,0)</f>
        <v>0</v>
      </c>
      <c r="U23" s="63">
        <f>IFERROR(aurora_data!T1535,0)</f>
        <v>0</v>
      </c>
      <c r="V23" s="64" t="s">
        <v>198</v>
      </c>
      <c r="W23" s="36">
        <f>IFERROR(aurora_data!U1535,0)</f>
        <v>0</v>
      </c>
      <c r="X23" s="71">
        <f t="shared" si="1"/>
        <v>0</v>
      </c>
      <c r="Y23" s="2"/>
    </row>
    <row r="24" spans="1:25" customFormat="1" ht="16.5" customHeight="1">
      <c r="A24" s="2"/>
      <c r="B24" s="201"/>
      <c r="C24" s="195"/>
      <c r="D24" s="35" t="s">
        <v>201</v>
      </c>
      <c r="E24" s="36">
        <f>IFERROR(aurora_data!D1536,0)</f>
        <v>0</v>
      </c>
      <c r="F24" s="62">
        <f>IFERROR(aurora_data!E1536,0)</f>
        <v>0</v>
      </c>
      <c r="G24" s="62">
        <f>IFERROR(aurora_data!F1536,0)</f>
        <v>0</v>
      </c>
      <c r="H24" s="62">
        <f>IFERROR(aurora_data!G1536,0)</f>
        <v>0</v>
      </c>
      <c r="I24" s="63">
        <f>IFERROR(aurora_data!H1536,0)</f>
        <v>0</v>
      </c>
      <c r="J24" s="36">
        <f>IFERROR(aurora_data!I1536,0)</f>
        <v>0</v>
      </c>
      <c r="K24" s="62">
        <f>IFERROR(aurora_data!J1536,0)</f>
        <v>0</v>
      </c>
      <c r="L24" s="62">
        <f>IFERROR(aurora_data!K1536,0)</f>
        <v>0</v>
      </c>
      <c r="M24" s="62">
        <f>IFERROR(aurora_data!L1536,0)</f>
        <v>0</v>
      </c>
      <c r="N24" s="63">
        <f>IFERROR(aurora_data!M1536,0)</f>
        <v>0</v>
      </c>
      <c r="O24" s="36">
        <f>IFERROR(aurora_data!N1536,0)</f>
        <v>0</v>
      </c>
      <c r="P24" s="62">
        <f>IFERROR(aurora_data!O1536,0)</f>
        <v>0</v>
      </c>
      <c r="Q24" s="62">
        <f>IFERROR(aurora_data!P1536,0)</f>
        <v>0</v>
      </c>
      <c r="R24" s="63">
        <f>IFERROR(aurora_data!Q1536,0)</f>
        <v>0</v>
      </c>
      <c r="S24" s="62">
        <f>IFERROR(aurora_data!R1536,0)</f>
        <v>0</v>
      </c>
      <c r="T24" s="62">
        <f>IFERROR(aurora_data!S1536,0)</f>
        <v>0</v>
      </c>
      <c r="U24" s="63">
        <f>IFERROR(aurora_data!T1536,0)</f>
        <v>0</v>
      </c>
      <c r="V24" s="64" t="s">
        <v>198</v>
      </c>
      <c r="W24" s="36">
        <f>IFERROR(aurora_data!U1536,0)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01"/>
      <c r="C25" s="195"/>
      <c r="D25" s="35" t="s">
        <v>202</v>
      </c>
      <c r="E25" s="36">
        <f>IFERROR(aurora_data!D1537,0)</f>
        <v>0</v>
      </c>
      <c r="F25" s="62">
        <f>IFERROR(aurora_data!E1537,0)</f>
        <v>0</v>
      </c>
      <c r="G25" s="62">
        <f>IFERROR(aurora_data!F1537,0)</f>
        <v>0</v>
      </c>
      <c r="H25" s="62">
        <f>IFERROR(aurora_data!G1537,0)</f>
        <v>0</v>
      </c>
      <c r="I25" s="63">
        <f>IFERROR(aurora_data!H1537,0)</f>
        <v>0</v>
      </c>
      <c r="J25" s="36">
        <f>IFERROR(aurora_data!I1537,0)</f>
        <v>0</v>
      </c>
      <c r="K25" s="62">
        <f>IFERROR(aurora_data!J1537,0)</f>
        <v>0</v>
      </c>
      <c r="L25" s="62">
        <f>IFERROR(aurora_data!K1537,0)</f>
        <v>0</v>
      </c>
      <c r="M25" s="62">
        <f>IFERROR(aurora_data!L1537,0)</f>
        <v>0</v>
      </c>
      <c r="N25" s="63">
        <f>IFERROR(aurora_data!M1537,0)</f>
        <v>0</v>
      </c>
      <c r="O25" s="36">
        <f>IFERROR(aurora_data!N1537,0)</f>
        <v>0</v>
      </c>
      <c r="P25" s="62">
        <f>IFERROR(aurora_data!O1537,0)</f>
        <v>0</v>
      </c>
      <c r="Q25" s="62">
        <f>IFERROR(aurora_data!P1537,0)</f>
        <v>0</v>
      </c>
      <c r="R25" s="63">
        <f>IFERROR(aurora_data!Q1537,0)</f>
        <v>0</v>
      </c>
      <c r="S25" s="62">
        <f>IFERROR(aurora_data!R1537,0)</f>
        <v>0</v>
      </c>
      <c r="T25" s="62">
        <f>IFERROR(aurora_data!S1537,0)</f>
        <v>0</v>
      </c>
      <c r="U25" s="63">
        <f>IFERROR(aurora_data!T1537,0)</f>
        <v>0</v>
      </c>
      <c r="V25" s="64" t="s">
        <v>198</v>
      </c>
      <c r="W25" s="36">
        <f>IFERROR(aurora_data!U1537,0)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01"/>
      <c r="C26" s="195"/>
      <c r="D26" s="37" t="s">
        <v>141</v>
      </c>
      <c r="E26" s="59">
        <f>IFERROR(aurora_data!D1538,0)</f>
        <v>0</v>
      </c>
      <c r="F26" s="65">
        <f>IFERROR(aurora_data!E1538,0)</f>
        <v>1</v>
      </c>
      <c r="G26" s="65">
        <f>IFERROR(aurora_data!F1538,0)</f>
        <v>7</v>
      </c>
      <c r="H26" s="65">
        <f>IFERROR(aurora_data!G1538,0)</f>
        <v>12</v>
      </c>
      <c r="I26" s="66">
        <f>IFERROR(aurora_data!H1538,0)</f>
        <v>0</v>
      </c>
      <c r="J26" s="59">
        <f>IFERROR(aurora_data!I1538,0)</f>
        <v>0</v>
      </c>
      <c r="K26" s="65">
        <f>IFERROR(aurora_data!J1538,0)</f>
        <v>3</v>
      </c>
      <c r="L26" s="65">
        <f>IFERROR(aurora_data!K1538,0)</f>
        <v>2</v>
      </c>
      <c r="M26" s="65">
        <f>IFERROR(aurora_data!L1538,0)</f>
        <v>1</v>
      </c>
      <c r="N26" s="66">
        <f>IFERROR(aurora_data!M1538,0)</f>
        <v>14</v>
      </c>
      <c r="O26" s="59">
        <f>IFERROR(aurora_data!N1538,0)</f>
        <v>3</v>
      </c>
      <c r="P26" s="65">
        <f>IFERROR(aurora_data!O1538,0)</f>
        <v>3</v>
      </c>
      <c r="Q26" s="65">
        <f>IFERROR(aurora_data!P1538,0)</f>
        <v>8</v>
      </c>
      <c r="R26" s="66">
        <f>IFERROR(aurora_data!Q1538,0)</f>
        <v>6</v>
      </c>
      <c r="S26" s="65">
        <f>IFERROR(aurora_data!R1538,0)</f>
        <v>9</v>
      </c>
      <c r="T26" s="65">
        <f>IFERROR(aurora_data!S1538,0)</f>
        <v>11</v>
      </c>
      <c r="U26" s="66">
        <f>IFERROR(aurora_data!T1538,0)</f>
        <v>0</v>
      </c>
      <c r="V26" s="67" t="s">
        <v>198</v>
      </c>
      <c r="W26" s="59">
        <f>IFERROR(aurora_data!U1538,0)</f>
        <v>20</v>
      </c>
      <c r="X26" s="72">
        <f t="shared" si="1"/>
        <v>1</v>
      </c>
      <c r="Y26" s="2"/>
    </row>
    <row r="27" spans="1:25" customFormat="1" ht="16.5" thickBot="1">
      <c r="A27" s="2"/>
      <c r="B27" s="201"/>
      <c r="C27" s="195"/>
      <c r="D27" s="38" t="s">
        <v>203</v>
      </c>
      <c r="E27" s="60">
        <f>IFERROR(aurora_data!D1539,0)</f>
        <v>0</v>
      </c>
      <c r="F27" s="68">
        <f>IFERROR(aurora_data!E1539,0)</f>
        <v>0</v>
      </c>
      <c r="G27" s="68">
        <f>IFERROR(aurora_data!F1539,0)</f>
        <v>0</v>
      </c>
      <c r="H27" s="68">
        <f>IFERROR(aurora_data!G1539,0)</f>
        <v>0</v>
      </c>
      <c r="I27" s="69">
        <f>IFERROR(aurora_data!H1539,0)</f>
        <v>0</v>
      </c>
      <c r="J27" s="60">
        <f>IFERROR(aurora_data!I1539,0)</f>
        <v>0</v>
      </c>
      <c r="K27" s="68">
        <f>IFERROR(aurora_data!J1539,0)</f>
        <v>0</v>
      </c>
      <c r="L27" s="68">
        <f>IFERROR(aurora_data!K1539,0)</f>
        <v>0</v>
      </c>
      <c r="M27" s="68">
        <f>IFERROR(aurora_data!L1539,0)</f>
        <v>0</v>
      </c>
      <c r="N27" s="69">
        <f>IFERROR(aurora_data!M1539,0)</f>
        <v>0</v>
      </c>
      <c r="O27" s="60">
        <f>IFERROR(aurora_data!N1539,0)</f>
        <v>0</v>
      </c>
      <c r="P27" s="68">
        <f>IFERROR(aurora_data!O1539,0)</f>
        <v>0</v>
      </c>
      <c r="Q27" s="68">
        <f>IFERROR(aurora_data!P1539,0)</f>
        <v>0</v>
      </c>
      <c r="R27" s="69">
        <f>IFERROR(aurora_data!Q1539,0)</f>
        <v>0</v>
      </c>
      <c r="S27" s="68">
        <f>IFERROR(aurora_data!R1539,0)</f>
        <v>0</v>
      </c>
      <c r="T27" s="68">
        <f>IFERROR(aurora_data!S1539,0)</f>
        <v>0</v>
      </c>
      <c r="U27" s="74">
        <f>IFERROR(aurora_data!T1539,0)</f>
        <v>0</v>
      </c>
      <c r="V27" s="75" t="s">
        <v>198</v>
      </c>
      <c r="W27" s="60">
        <f>IFERROR(aurora_data!U1539,0)</f>
        <v>0</v>
      </c>
      <c r="X27" s="73">
        <f t="shared" si="1"/>
        <v>0</v>
      </c>
      <c r="Y27" s="2"/>
    </row>
    <row r="28" spans="1:25" customFormat="1" ht="15.75" customHeight="1">
      <c r="A28" s="2"/>
      <c r="B28" s="196" t="s">
        <v>197</v>
      </c>
      <c r="C28" s="198" t="s">
        <v>130</v>
      </c>
      <c r="D28" s="34" t="s">
        <v>153</v>
      </c>
      <c r="E28" s="39">
        <f>IFERROR(aurora_data!D1440+aurora_data!D1540,0)</f>
        <v>0</v>
      </c>
      <c r="F28" s="40">
        <f>IFERROR(aurora_data!E1440+aurora_data!E1540,0)</f>
        <v>0</v>
      </c>
      <c r="G28" s="40">
        <f>IFERROR(aurora_data!F1440+aurora_data!F1540,0)</f>
        <v>0</v>
      </c>
      <c r="H28" s="40">
        <f>IFERROR(aurora_data!G1440+aurora_data!G1540,0)</f>
        <v>0</v>
      </c>
      <c r="I28" s="41">
        <f>IFERROR(aurora_data!H1440+aurora_data!H1540,0)</f>
        <v>0</v>
      </c>
      <c r="J28" s="39">
        <f>IFERROR(aurora_data!I1440+aurora_data!I1540,0)</f>
        <v>0</v>
      </c>
      <c r="K28" s="40">
        <f>IFERROR(aurora_data!J1440+aurora_data!J1540,0)</f>
        <v>0</v>
      </c>
      <c r="L28" s="40">
        <f>IFERROR(aurora_data!K1440+aurora_data!K1540,0)</f>
        <v>0</v>
      </c>
      <c r="M28" s="40">
        <f>IFERROR(aurora_data!L1440+aurora_data!L1540,0)</f>
        <v>0</v>
      </c>
      <c r="N28" s="41">
        <f>IFERROR(aurora_data!M1440+aurora_data!M1540,0)</f>
        <v>0</v>
      </c>
      <c r="O28" s="39">
        <f>IFERROR(aurora_data!N1440+aurora_data!N1540,0)</f>
        <v>0</v>
      </c>
      <c r="P28" s="40">
        <f>IFERROR(aurora_data!O1440+aurora_data!O1540,0)</f>
        <v>0</v>
      </c>
      <c r="Q28" s="40">
        <f>IFERROR(aurora_data!P1440+aurora_data!P1540,0)</f>
        <v>0</v>
      </c>
      <c r="R28" s="41">
        <f>IFERROR(aurora_data!Q1440+aurora_data!Q1540,0)</f>
        <v>0</v>
      </c>
      <c r="S28" s="40">
        <f>IFERROR(aurora_data!R1440+aurora_data!R1540,0)</f>
        <v>0</v>
      </c>
      <c r="T28" s="40">
        <f>IFERROR(aurora_data!S1440+aurora_data!S1540,0)</f>
        <v>0</v>
      </c>
      <c r="U28" s="41">
        <f>IFERROR(aurora_data!T1440+aurora_data!T1540,0)</f>
        <v>0</v>
      </c>
      <c r="V28" s="61" t="s">
        <v>198</v>
      </c>
      <c r="W28" s="39">
        <f>IFERROR(aurora_data!U1440+aurora_data!U1540,0)</f>
        <v>40</v>
      </c>
      <c r="X28" s="70">
        <f>IFERROR(W28/$W$28,0)</f>
        <v>1</v>
      </c>
      <c r="Y28" s="2"/>
    </row>
    <row r="29" spans="1:25" customFormat="1" ht="15.75" customHeight="1">
      <c r="A29" s="2"/>
      <c r="B29" s="197"/>
      <c r="C29" s="199"/>
      <c r="D29" s="35" t="s">
        <v>199</v>
      </c>
      <c r="E29" s="36">
        <f>IFERROR(aurora_data!D1441+aurora_data!D1541,0)</f>
        <v>0</v>
      </c>
      <c r="F29" s="62">
        <f>IFERROR(aurora_data!E1441+aurora_data!E1541,0)</f>
        <v>7</v>
      </c>
      <c r="G29" s="62">
        <f>IFERROR(aurora_data!F1441+aurora_data!F1541,0)</f>
        <v>13</v>
      </c>
      <c r="H29" s="62">
        <f>IFERROR(aurora_data!G1441+aurora_data!G1541,0)</f>
        <v>20</v>
      </c>
      <c r="I29" s="63">
        <f>IFERROR(aurora_data!H1441+aurora_data!H1541,0)</f>
        <v>0</v>
      </c>
      <c r="J29" s="36">
        <f>IFERROR(aurora_data!I1441+aurora_data!I1541,0)</f>
        <v>2</v>
      </c>
      <c r="K29" s="62">
        <f>IFERROR(aurora_data!J1441+aurora_data!J1541,0)</f>
        <v>7</v>
      </c>
      <c r="L29" s="62">
        <f>IFERROR(aurora_data!K1441+aurora_data!K1541,0)</f>
        <v>8</v>
      </c>
      <c r="M29" s="62">
        <f>IFERROR(aurora_data!L1441+aurora_data!L1541,0)</f>
        <v>1</v>
      </c>
      <c r="N29" s="63">
        <f>IFERROR(aurora_data!M1441+aurora_data!M1541,0)</f>
        <v>22</v>
      </c>
      <c r="O29" s="36">
        <f>IFERROR(aurora_data!N1441+aurora_data!N1541,0)</f>
        <v>8</v>
      </c>
      <c r="P29" s="62">
        <f>IFERROR(aurora_data!O1441+aurora_data!O1541,0)</f>
        <v>5</v>
      </c>
      <c r="Q29" s="62">
        <f>IFERROR(aurora_data!P1441+aurora_data!P1541,0)</f>
        <v>17</v>
      </c>
      <c r="R29" s="63">
        <f>IFERROR(aurora_data!Q1441+aurora_data!Q1541,0)</f>
        <v>10</v>
      </c>
      <c r="S29" s="62">
        <f>IFERROR(aurora_data!R1441+aurora_data!R1541,0)</f>
        <v>19</v>
      </c>
      <c r="T29" s="62">
        <f>IFERROR(aurora_data!S1441+aurora_data!S1541,0)</f>
        <v>21</v>
      </c>
      <c r="U29" s="63">
        <f>IFERROR(aurora_data!T1441+aurora_data!T1541,0)</f>
        <v>0</v>
      </c>
      <c r="V29" s="64" t="s">
        <v>198</v>
      </c>
      <c r="W29" s="36">
        <f>IFERROR(aurora_data!U1441+aurora_data!U1541,0)</f>
        <v>40</v>
      </c>
      <c r="X29" s="71">
        <f t="shared" ref="X29:X35" si="2">IFERROR(W29/$W$28,0)</f>
        <v>1</v>
      </c>
      <c r="Y29" s="2"/>
    </row>
    <row r="30" spans="1:25" customFormat="1" ht="15.75" customHeight="1">
      <c r="A30" s="2"/>
      <c r="B30" s="197"/>
      <c r="C30" s="199"/>
      <c r="D30" s="35" t="s">
        <v>137</v>
      </c>
      <c r="E30" s="36">
        <f>IFERROR(aurora_data!D1442+aurora_data!D1542,0)</f>
        <v>0</v>
      </c>
      <c r="F30" s="62">
        <f>IFERROR(aurora_data!E1442+aurora_data!E1542,0)</f>
        <v>0</v>
      </c>
      <c r="G30" s="62">
        <f>IFERROR(aurora_data!F1442+aurora_data!F1542,0)</f>
        <v>1</v>
      </c>
      <c r="H30" s="62">
        <f>IFERROR(aurora_data!G1442+aurora_data!G1542,0)</f>
        <v>4</v>
      </c>
      <c r="I30" s="63">
        <f>IFERROR(aurora_data!H1442+aurora_data!H1542,0)</f>
        <v>0</v>
      </c>
      <c r="J30" s="36">
        <f>IFERROR(aurora_data!I1442+aurora_data!I1542,0)</f>
        <v>0</v>
      </c>
      <c r="K30" s="62">
        <f>IFERROR(aurora_data!J1442+aurora_data!J1542,0)</f>
        <v>0</v>
      </c>
      <c r="L30" s="62">
        <f>IFERROR(aurora_data!K1442+aurora_data!K1542,0)</f>
        <v>0</v>
      </c>
      <c r="M30" s="62">
        <f>IFERROR(aurora_data!L1442+aurora_data!L1542,0)</f>
        <v>1</v>
      </c>
      <c r="N30" s="63">
        <f>IFERROR(aurora_data!M1442+aurora_data!M1542,0)</f>
        <v>4</v>
      </c>
      <c r="O30" s="36">
        <f>IFERROR(aurora_data!N1442+aurora_data!N1542,0)</f>
        <v>1</v>
      </c>
      <c r="P30" s="62">
        <f>IFERROR(aurora_data!O1442+aurora_data!O1542,0)</f>
        <v>0</v>
      </c>
      <c r="Q30" s="62">
        <f>IFERROR(aurora_data!P1442+aurora_data!P1542,0)</f>
        <v>2</v>
      </c>
      <c r="R30" s="63">
        <f>IFERROR(aurora_data!Q1442+aurora_data!Q1542,0)</f>
        <v>2</v>
      </c>
      <c r="S30" s="62">
        <f>IFERROR(aurora_data!R1442+aurora_data!R1542,0)</f>
        <v>0</v>
      </c>
      <c r="T30" s="62">
        <f>IFERROR(aurora_data!S1442+aurora_data!S1542,0)</f>
        <v>5</v>
      </c>
      <c r="U30" s="63">
        <f>IFERROR(aurora_data!T1442+aurora_data!T1542,0)</f>
        <v>0</v>
      </c>
      <c r="V30" s="64" t="s">
        <v>198</v>
      </c>
      <c r="W30" s="36">
        <f>IFERROR(aurora_data!U1442+aurora_data!U1542,0)</f>
        <v>5</v>
      </c>
      <c r="X30" s="71">
        <f t="shared" si="2"/>
        <v>0.125</v>
      </c>
      <c r="Y30" s="2"/>
    </row>
    <row r="31" spans="1:25" customFormat="1" ht="15.75" customHeight="1">
      <c r="A31" s="2"/>
      <c r="B31" s="197"/>
      <c r="C31" s="199"/>
      <c r="D31" s="35" t="s">
        <v>200</v>
      </c>
      <c r="E31" s="36">
        <f>IFERROR(aurora_data!D1443+aurora_data!D1543,0)</f>
        <v>0</v>
      </c>
      <c r="F31" s="62">
        <f>IFERROR(aurora_data!E1443+aurora_data!E1543,0)</f>
        <v>0</v>
      </c>
      <c r="G31" s="62">
        <f>IFERROR(aurora_data!F1443+aurora_data!F1543,0)</f>
        <v>0</v>
      </c>
      <c r="H31" s="62">
        <f>IFERROR(aurora_data!G1443+aurora_data!G1543,0)</f>
        <v>0</v>
      </c>
      <c r="I31" s="63">
        <f>IFERROR(aurora_data!H1443+aurora_data!H1543,0)</f>
        <v>0</v>
      </c>
      <c r="J31" s="36">
        <f>IFERROR(aurora_data!I1443+aurora_data!I1543,0)</f>
        <v>0</v>
      </c>
      <c r="K31" s="62">
        <f>IFERROR(aurora_data!J1443+aurora_data!J1543,0)</f>
        <v>0</v>
      </c>
      <c r="L31" s="62">
        <f>IFERROR(aurora_data!K1443+aurora_data!K1543,0)</f>
        <v>0</v>
      </c>
      <c r="M31" s="62">
        <f>IFERROR(aurora_data!L1443+aurora_data!L1543,0)</f>
        <v>0</v>
      </c>
      <c r="N31" s="63">
        <f>IFERROR(aurora_data!M1443+aurora_data!M1543,0)</f>
        <v>0</v>
      </c>
      <c r="O31" s="36">
        <f>IFERROR(aurora_data!N1443+aurora_data!N1543,0)</f>
        <v>0</v>
      </c>
      <c r="P31" s="62">
        <f>IFERROR(aurora_data!O1443+aurora_data!O1543,0)</f>
        <v>0</v>
      </c>
      <c r="Q31" s="62">
        <f>IFERROR(aurora_data!P1443+aurora_data!P1543,0)</f>
        <v>0</v>
      </c>
      <c r="R31" s="63">
        <f>IFERROR(aurora_data!Q1443+aurora_data!Q1543,0)</f>
        <v>0</v>
      </c>
      <c r="S31" s="62">
        <f>IFERROR(aurora_data!R1443+aurora_data!R1543,0)</f>
        <v>0</v>
      </c>
      <c r="T31" s="62">
        <f>IFERROR(aurora_data!S1443+aurora_data!S1543,0)</f>
        <v>0</v>
      </c>
      <c r="U31" s="63">
        <f>IFERROR(aurora_data!T1443+aurora_data!T1543,0)</f>
        <v>0</v>
      </c>
      <c r="V31" s="64" t="s">
        <v>198</v>
      </c>
      <c r="W31" s="36">
        <f>IFERROR(aurora_data!U1443+aurora_data!U1543,0)</f>
        <v>0</v>
      </c>
      <c r="X31" s="71">
        <f t="shared" si="2"/>
        <v>0</v>
      </c>
      <c r="Y31" s="2"/>
    </row>
    <row r="32" spans="1:25" customFormat="1" ht="16.5" customHeight="1">
      <c r="A32" s="2"/>
      <c r="B32" s="197"/>
      <c r="C32" s="199"/>
      <c r="D32" s="35" t="s">
        <v>201</v>
      </c>
      <c r="E32" s="36">
        <f>IFERROR(aurora_data!D1444+aurora_data!D1544,0)</f>
        <v>0</v>
      </c>
      <c r="F32" s="62">
        <f>IFERROR(aurora_data!E1444+aurora_data!E1544,0)</f>
        <v>0</v>
      </c>
      <c r="G32" s="62">
        <f>IFERROR(aurora_data!F1444+aurora_data!F1544,0)</f>
        <v>0</v>
      </c>
      <c r="H32" s="62">
        <f>IFERROR(aurora_data!G1444+aurora_data!G1544,0)</f>
        <v>0</v>
      </c>
      <c r="I32" s="63">
        <f>IFERROR(aurora_data!H1444+aurora_data!H1544,0)</f>
        <v>0</v>
      </c>
      <c r="J32" s="36">
        <f>IFERROR(aurora_data!I1444+aurora_data!I1544,0)</f>
        <v>0</v>
      </c>
      <c r="K32" s="62">
        <f>IFERROR(aurora_data!J1444+aurora_data!J1544,0)</f>
        <v>0</v>
      </c>
      <c r="L32" s="62">
        <f>IFERROR(aurora_data!K1444+aurora_data!K1544,0)</f>
        <v>0</v>
      </c>
      <c r="M32" s="62">
        <f>IFERROR(aurora_data!L1444+aurora_data!L1544,0)</f>
        <v>0</v>
      </c>
      <c r="N32" s="63">
        <f>IFERROR(aurora_data!M1444+aurora_data!M1544,0)</f>
        <v>0</v>
      </c>
      <c r="O32" s="36">
        <f>IFERROR(aurora_data!N1444+aurora_data!N1544,0)</f>
        <v>0</v>
      </c>
      <c r="P32" s="62">
        <f>IFERROR(aurora_data!O1444+aurora_data!O1544,0)</f>
        <v>0</v>
      </c>
      <c r="Q32" s="62">
        <f>IFERROR(aurora_data!P1444+aurora_data!P1544,0)</f>
        <v>0</v>
      </c>
      <c r="R32" s="63">
        <f>IFERROR(aurora_data!Q1444+aurora_data!Q1544,0)</f>
        <v>0</v>
      </c>
      <c r="S32" s="62">
        <f>IFERROR(aurora_data!R1444+aurora_data!R1544,0)</f>
        <v>0</v>
      </c>
      <c r="T32" s="62">
        <f>IFERROR(aurora_data!S1444+aurora_data!S1544,0)</f>
        <v>0</v>
      </c>
      <c r="U32" s="63">
        <f>IFERROR(aurora_data!T1444+aurora_data!T1544,0)</f>
        <v>0</v>
      </c>
      <c r="V32" s="64" t="s">
        <v>198</v>
      </c>
      <c r="W32" s="36">
        <f>IFERROR(aurora_data!U1444+aurora_data!U1544,0)</f>
        <v>0</v>
      </c>
      <c r="X32" s="71">
        <f t="shared" si="2"/>
        <v>0</v>
      </c>
      <c r="Y32" s="2"/>
    </row>
    <row r="33" spans="1:25" customFormat="1" ht="16.5" customHeight="1" thickBot="1">
      <c r="A33" s="2"/>
      <c r="B33" s="197"/>
      <c r="C33" s="199"/>
      <c r="D33" s="35" t="s">
        <v>202</v>
      </c>
      <c r="E33" s="36">
        <f>IFERROR(aurora_data!D1445+aurora_data!D1545,0)</f>
        <v>0</v>
      </c>
      <c r="F33" s="62">
        <f>IFERROR(aurora_data!E1445+aurora_data!E1545,0)</f>
        <v>0</v>
      </c>
      <c r="G33" s="62">
        <f>IFERROR(aurora_data!F1445+aurora_data!F1545,0)</f>
        <v>0</v>
      </c>
      <c r="H33" s="62">
        <f>IFERROR(aurora_data!G1445+aurora_data!G1545,0)</f>
        <v>0</v>
      </c>
      <c r="I33" s="63">
        <f>IFERROR(aurora_data!H1445+aurora_data!H1545,0)</f>
        <v>0</v>
      </c>
      <c r="J33" s="36">
        <f>IFERROR(aurora_data!I1445+aurora_data!I1545,0)</f>
        <v>0</v>
      </c>
      <c r="K33" s="62">
        <f>IFERROR(aurora_data!J1445+aurora_data!J1545,0)</f>
        <v>0</v>
      </c>
      <c r="L33" s="62">
        <f>IFERROR(aurora_data!K1445+aurora_data!K1545,0)</f>
        <v>0</v>
      </c>
      <c r="M33" s="62">
        <f>IFERROR(aurora_data!L1445+aurora_data!L1545,0)</f>
        <v>0</v>
      </c>
      <c r="N33" s="63">
        <f>IFERROR(aurora_data!M1445+aurora_data!M1545,0)</f>
        <v>0</v>
      </c>
      <c r="O33" s="36">
        <f>IFERROR(aurora_data!N1445+aurora_data!N1545,0)</f>
        <v>0</v>
      </c>
      <c r="P33" s="62">
        <f>IFERROR(aurora_data!O1445+aurora_data!O1545,0)</f>
        <v>0</v>
      </c>
      <c r="Q33" s="62">
        <f>IFERROR(aurora_data!P1445+aurora_data!P1545,0)</f>
        <v>0</v>
      </c>
      <c r="R33" s="63">
        <f>IFERROR(aurora_data!Q1445+aurora_data!Q1545,0)</f>
        <v>0</v>
      </c>
      <c r="S33" s="62">
        <f>IFERROR(aurora_data!R1445+aurora_data!R1545,0)</f>
        <v>0</v>
      </c>
      <c r="T33" s="62">
        <f>IFERROR(aurora_data!S1445+aurora_data!S1545,0)</f>
        <v>0</v>
      </c>
      <c r="U33" s="63">
        <f>IFERROR(aurora_data!T1445+aurora_data!T1545,0)</f>
        <v>0</v>
      </c>
      <c r="V33" s="64" t="s">
        <v>198</v>
      </c>
      <c r="W33" s="36">
        <f>IFERROR(aurora_data!U1445+aurora_data!U1545,0)</f>
        <v>0</v>
      </c>
      <c r="X33" s="71">
        <f t="shared" si="2"/>
        <v>0</v>
      </c>
      <c r="Y33" s="2"/>
    </row>
    <row r="34" spans="1:25" customFormat="1" ht="16.5" customHeight="1" thickBot="1">
      <c r="A34" s="2"/>
      <c r="B34" s="197"/>
      <c r="C34" s="199"/>
      <c r="D34" s="37" t="s">
        <v>141</v>
      </c>
      <c r="E34" s="59">
        <f>IFERROR(aurora_data!D1446+aurora_data!D1546,0)</f>
        <v>0</v>
      </c>
      <c r="F34" s="65">
        <f>IFERROR(aurora_data!E1446+aurora_data!E1546,0)</f>
        <v>7</v>
      </c>
      <c r="G34" s="65">
        <f>IFERROR(aurora_data!F1446+aurora_data!F1546,0)</f>
        <v>14</v>
      </c>
      <c r="H34" s="65">
        <f>IFERROR(aurora_data!G1446+aurora_data!G1546,0)</f>
        <v>24</v>
      </c>
      <c r="I34" s="66">
        <f>IFERROR(aurora_data!H1446+aurora_data!H1546,0)</f>
        <v>0</v>
      </c>
      <c r="J34" s="59">
        <f>IFERROR(aurora_data!I1446+aurora_data!I1546,0)</f>
        <v>2</v>
      </c>
      <c r="K34" s="65">
        <f>IFERROR(aurora_data!J1446+aurora_data!J1546,0)</f>
        <v>7</v>
      </c>
      <c r="L34" s="65">
        <f>IFERROR(aurora_data!K1446+aurora_data!K1546,0)</f>
        <v>8</v>
      </c>
      <c r="M34" s="65">
        <f>IFERROR(aurora_data!L1446+aurora_data!L1546,0)</f>
        <v>2</v>
      </c>
      <c r="N34" s="66">
        <f>IFERROR(aurora_data!M1446+aurora_data!M1546,0)</f>
        <v>26</v>
      </c>
      <c r="O34" s="59">
        <f>IFERROR(aurora_data!N1446+aurora_data!N1546,0)</f>
        <v>9</v>
      </c>
      <c r="P34" s="65">
        <f>IFERROR(aurora_data!O1446+aurora_data!O1546,0)</f>
        <v>5</v>
      </c>
      <c r="Q34" s="65">
        <f>IFERROR(aurora_data!P1446+aurora_data!P1546,0)</f>
        <v>19</v>
      </c>
      <c r="R34" s="66">
        <f>IFERROR(aurora_data!Q1446+aurora_data!Q1546,0)</f>
        <v>12</v>
      </c>
      <c r="S34" s="65">
        <f>IFERROR(aurora_data!R1446+aurora_data!R1546,0)</f>
        <v>19</v>
      </c>
      <c r="T34" s="65">
        <f>IFERROR(aurora_data!S1446+aurora_data!S1546,0)</f>
        <v>26</v>
      </c>
      <c r="U34" s="66">
        <f>IFERROR(aurora_data!T1446+aurora_data!T1546,0)</f>
        <v>0</v>
      </c>
      <c r="V34" s="67" t="s">
        <v>198</v>
      </c>
      <c r="W34" s="59">
        <f>IFERROR(aurora_data!U1446+aurora_data!U1546,0)</f>
        <v>45</v>
      </c>
      <c r="X34" s="72">
        <f t="shared" si="2"/>
        <v>1.125</v>
      </c>
      <c r="Y34" s="2"/>
    </row>
    <row r="35" spans="1:25" customFormat="1" ht="16.5" customHeight="1" thickBot="1">
      <c r="A35" s="2"/>
      <c r="B35" s="197"/>
      <c r="C35" s="199"/>
      <c r="D35" s="38" t="s">
        <v>203</v>
      </c>
      <c r="E35" s="60">
        <f>IFERROR(aurora_data!D1447+aurora_data!D1547,0)</f>
        <v>0</v>
      </c>
      <c r="F35" s="68">
        <f>IFERROR(aurora_data!E1447+aurora_data!E1547,0)</f>
        <v>0</v>
      </c>
      <c r="G35" s="68">
        <f>IFERROR(aurora_data!F1447+aurora_data!F1547,0)</f>
        <v>0</v>
      </c>
      <c r="H35" s="68">
        <f>IFERROR(aurora_data!G1447+aurora_data!G1547,0)</f>
        <v>0</v>
      </c>
      <c r="I35" s="69">
        <f>IFERROR(aurora_data!H1447+aurora_data!H1547,0)</f>
        <v>0</v>
      </c>
      <c r="J35" s="60">
        <f>IFERROR(aurora_data!I1447+aurora_data!I1547,0)</f>
        <v>0</v>
      </c>
      <c r="K35" s="68">
        <f>IFERROR(aurora_data!J1447+aurora_data!J1547,0)</f>
        <v>0</v>
      </c>
      <c r="L35" s="68">
        <f>IFERROR(aurora_data!K1447+aurora_data!K1547,0)</f>
        <v>0</v>
      </c>
      <c r="M35" s="68">
        <f>IFERROR(aurora_data!L1447+aurora_data!L1547,0)</f>
        <v>0</v>
      </c>
      <c r="N35" s="69">
        <f>IFERROR(aurora_data!M1447+aurora_data!M1547,0)</f>
        <v>0</v>
      </c>
      <c r="O35" s="60">
        <f>IFERROR(aurora_data!N1447+aurora_data!N1547,0)</f>
        <v>0</v>
      </c>
      <c r="P35" s="68">
        <f>IFERROR(aurora_data!O1447+aurora_data!O1547,0)</f>
        <v>0</v>
      </c>
      <c r="Q35" s="68">
        <f>IFERROR(aurora_data!P1447+aurora_data!P1547,0)</f>
        <v>0</v>
      </c>
      <c r="R35" s="69">
        <f>IFERROR(aurora_data!Q1447+aurora_data!Q1547,0)</f>
        <v>0</v>
      </c>
      <c r="S35" s="68">
        <f>IFERROR(aurora_data!R1447+aurora_data!R1547,0)</f>
        <v>0</v>
      </c>
      <c r="T35" s="68">
        <f>IFERROR(aurora_data!S1447+aurora_data!S1547,0)</f>
        <v>0</v>
      </c>
      <c r="U35" s="74">
        <f>IFERROR(aurora_data!T1447+aurora_data!T1547,0)</f>
        <v>0</v>
      </c>
      <c r="V35" s="75" t="s">
        <v>198</v>
      </c>
      <c r="W35" s="60">
        <f>IFERROR(aurora_data!U1447+aurora_data!U1547,0)</f>
        <v>0</v>
      </c>
      <c r="X35" s="73">
        <f t="shared" si="2"/>
        <v>0</v>
      </c>
      <c r="Y35" s="2"/>
    </row>
    <row r="36" spans="1:25" ht="16.5" customHeight="1">
      <c r="B36" s="97"/>
      <c r="C36" s="97"/>
    </row>
  </sheetData>
  <sheetProtection sheet="1" objects="1" scenarios="1"/>
  <mergeCells count="2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B28:B35"/>
    <mergeCell ref="C28:C35"/>
    <mergeCell ref="J10:N10"/>
    <mergeCell ref="O10:R10"/>
    <mergeCell ref="S10:U10"/>
    <mergeCell ref="B12:B19"/>
    <mergeCell ref="C12:C19"/>
    <mergeCell ref="B20:B27"/>
    <mergeCell ref="C20:C27"/>
  </mergeCells>
  <conditionalFormatting sqref="E13:W13">
    <cfRule type="expression" dxfId="33" priority="4">
      <formula>ROUND(E$13,0) &gt;= ROUND(E$12,0)</formula>
    </cfRule>
  </conditionalFormatting>
  <conditionalFormatting sqref="E18:W18">
    <cfRule type="expression" dxfId="32" priority="6">
      <formula>ROUND(E$18,0) &lt; ROUND(E$12,0)</formula>
    </cfRule>
  </conditionalFormatting>
  <conditionalFormatting sqref="E21:W21">
    <cfRule type="expression" dxfId="31" priority="5">
      <formula>ROUND(E$21,0) &gt;= ROUND(E$20,0)</formula>
    </cfRule>
  </conditionalFormatting>
  <conditionalFormatting sqref="E26:W26">
    <cfRule type="expression" dxfId="30" priority="7">
      <formula>ROUND(E$26,0) &lt; ROUND(E$20,0)</formula>
    </cfRule>
  </conditionalFormatting>
  <conditionalFormatting sqref="E29:W29">
    <cfRule type="expression" dxfId="29" priority="3">
      <formula>ROUND(E$29,0) &gt;= ROUND(E$28,0)</formula>
    </cfRule>
  </conditionalFormatting>
  <conditionalFormatting sqref="E34:W34">
    <cfRule type="expression" dxfId="28" priority="8">
      <formula>ROUND(E$34,0) &lt; ROUND(E$28,0)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66BF-2D72-4F2B-9EA8-E76679E0122E}">
  <sheetPr codeName="Sheet10">
    <tabColor rgb="FF92D050"/>
  </sheetPr>
  <dimension ref="A1:Y36"/>
  <sheetViews>
    <sheetView zoomScale="85" zoomScaleNormal="85" workbookViewId="0">
      <selection activeCell="E14" sqref="E14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40" t="s">
        <v>178</v>
      </c>
      <c r="B1" s="141"/>
      <c r="C1" s="142"/>
      <c r="D1" s="143" t="s">
        <v>179</v>
      </c>
      <c r="E1" s="144"/>
      <c r="F1" s="144"/>
      <c r="G1" s="144"/>
      <c r="H1" s="145"/>
      <c r="I1" s="98"/>
      <c r="J1" s="88"/>
      <c r="K1" s="100"/>
      <c r="L1" s="100"/>
      <c r="M1" s="100"/>
      <c r="N1" s="100" t="s">
        <v>180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46" t="s">
        <v>181</v>
      </c>
      <c r="B2" s="146"/>
      <c r="C2" s="147"/>
      <c r="D2" s="216" t="str">
        <f>_xlfn.CONCAT("Study Name: ","
CELF-6 RF1 &amp; 2 OSEP Intellectual Disability (Age 5-21)")</f>
        <v>Study Name: 
CELF-6 RF1 &amp; 2 OSEP Intellectual Disability (Age 5-21)</v>
      </c>
      <c r="E2" s="217"/>
      <c r="F2" s="217"/>
      <c r="G2" s="217"/>
      <c r="H2" s="218"/>
      <c r="I2" s="4"/>
      <c r="J2" s="4"/>
      <c r="K2" s="151" t="s">
        <v>182</v>
      </c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3"/>
      <c r="Y2" s="103"/>
    </row>
    <row r="3" spans="1:25" customFormat="1" ht="30.75" customHeight="1" thickBot="1">
      <c r="A3" s="2"/>
      <c r="B3" s="2"/>
      <c r="C3" s="2"/>
      <c r="D3" s="158" t="str">
        <f>_xlfn.CONCAT("Study Acronym: ","
OSEP_ID_RF1/OSEP_ID_RF2")</f>
        <v>Study Acronym: 
OSEP_ID_RF1/OSEP_ID_RF2</v>
      </c>
      <c r="E3" s="159"/>
      <c r="F3" s="160" t="s">
        <v>211</v>
      </c>
      <c r="G3" s="160"/>
      <c r="H3" s="161"/>
      <c r="I3" s="4"/>
      <c r="J3" s="4"/>
      <c r="K3" s="154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3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54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3"/>
      <c r="Y4" s="104"/>
    </row>
    <row r="5" spans="1:25" customFormat="1" ht="21.95" customHeight="1" thickBot="1">
      <c r="A5" s="2"/>
      <c r="B5" s="2"/>
      <c r="C5" s="102"/>
      <c r="D5" s="143" t="s">
        <v>184</v>
      </c>
      <c r="E5" s="144"/>
      <c r="F5" s="144"/>
      <c r="G5" s="144"/>
      <c r="H5" s="101"/>
      <c r="I5" s="98"/>
      <c r="J5" s="98"/>
      <c r="K5" s="154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3"/>
      <c r="Y5" s="105"/>
    </row>
    <row r="6" spans="1:25" customFormat="1" ht="60.95" customHeight="1" thickBot="1">
      <c r="A6" s="2"/>
      <c r="B6" s="2"/>
      <c r="C6" s="99"/>
      <c r="D6" s="162" t="s">
        <v>209</v>
      </c>
      <c r="E6" s="163"/>
      <c r="F6" s="163"/>
      <c r="G6" s="163"/>
      <c r="H6" s="164"/>
      <c r="I6" s="136"/>
      <c r="J6" s="137"/>
      <c r="K6" s="155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7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65" t="str">
        <f>_xlfn.CONCAT("Last Refreshed at: ",aurora_data!V832)</f>
        <v>Last Refreshed at: 08/06/2026 @ 7:19 AM</v>
      </c>
      <c r="C8" s="166"/>
      <c r="D8" s="166"/>
      <c r="E8" s="167" t="s">
        <v>186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9"/>
      <c r="V8" s="44"/>
      <c r="W8" s="170" t="s">
        <v>187</v>
      </c>
      <c r="X8" s="171"/>
      <c r="Y8" s="2"/>
    </row>
    <row r="9" spans="1:25" customFormat="1" ht="16.5" customHeight="1" thickBot="1">
      <c r="A9" s="2"/>
      <c r="B9" s="176"/>
      <c r="C9" s="177"/>
      <c r="D9" s="29" t="s">
        <v>188</v>
      </c>
      <c r="E9" s="178" t="s">
        <v>189</v>
      </c>
      <c r="F9" s="179"/>
      <c r="G9" s="179"/>
      <c r="H9" s="179"/>
      <c r="I9" s="179"/>
      <c r="J9" s="180" t="s">
        <v>189</v>
      </c>
      <c r="K9" s="181"/>
      <c r="L9" s="181"/>
      <c r="M9" s="181"/>
      <c r="N9" s="181"/>
      <c r="O9" s="182" t="s">
        <v>189</v>
      </c>
      <c r="P9" s="183"/>
      <c r="Q9" s="183"/>
      <c r="R9" s="183"/>
      <c r="S9" s="184" t="s">
        <v>189</v>
      </c>
      <c r="T9" s="185"/>
      <c r="U9" s="185"/>
      <c r="V9" s="28"/>
      <c r="W9" s="172"/>
      <c r="X9" s="173"/>
      <c r="Y9" s="2"/>
    </row>
    <row r="10" spans="1:25" customFormat="1" ht="17.25" thickTop="1" thickBot="1">
      <c r="A10" s="2"/>
      <c r="B10" s="186" t="s">
        <v>190</v>
      </c>
      <c r="C10" s="30"/>
      <c r="D10" s="31"/>
      <c r="E10" s="187" t="s">
        <v>191</v>
      </c>
      <c r="F10" s="188"/>
      <c r="G10" s="188"/>
      <c r="H10" s="188"/>
      <c r="I10" s="189"/>
      <c r="J10" s="188" t="s">
        <v>192</v>
      </c>
      <c r="K10" s="188"/>
      <c r="L10" s="188"/>
      <c r="M10" s="188"/>
      <c r="N10" s="189"/>
      <c r="O10" s="190" t="s">
        <v>193</v>
      </c>
      <c r="P10" s="190"/>
      <c r="Q10" s="190"/>
      <c r="R10" s="190"/>
      <c r="S10" s="191" t="s">
        <v>194</v>
      </c>
      <c r="T10" s="192"/>
      <c r="U10" s="193"/>
      <c r="V10" s="32"/>
      <c r="W10" s="172"/>
      <c r="X10" s="173"/>
      <c r="Y10" s="2"/>
    </row>
    <row r="11" spans="1:25" customFormat="1" ht="17.25" thickTop="1" thickBot="1">
      <c r="A11" s="2"/>
      <c r="B11" s="186"/>
      <c r="C11" s="30" t="s">
        <v>110</v>
      </c>
      <c r="D11" s="33" t="s">
        <v>112</v>
      </c>
      <c r="E11" s="96">
        <v>1</v>
      </c>
      <c r="F11" s="94">
        <v>2</v>
      </c>
      <c r="G11" s="95" t="s">
        <v>115</v>
      </c>
      <c r="H11" s="95">
        <v>4</v>
      </c>
      <c r="I11" s="95">
        <v>5</v>
      </c>
      <c r="J11" s="89" t="s">
        <v>118</v>
      </c>
      <c r="K11" s="89" t="s">
        <v>119</v>
      </c>
      <c r="L11" s="89" t="s">
        <v>120</v>
      </c>
      <c r="M11" s="93" t="s">
        <v>195</v>
      </c>
      <c r="N11" s="93" t="s">
        <v>122</v>
      </c>
      <c r="O11" s="89" t="s">
        <v>123</v>
      </c>
      <c r="P11" s="89" t="s">
        <v>124</v>
      </c>
      <c r="Q11" s="89" t="s">
        <v>125</v>
      </c>
      <c r="R11" s="89" t="s">
        <v>126</v>
      </c>
      <c r="S11" s="90" t="s">
        <v>127</v>
      </c>
      <c r="T11" s="91" t="s">
        <v>128</v>
      </c>
      <c r="U11" s="92" t="s">
        <v>196</v>
      </c>
      <c r="V11" s="28"/>
      <c r="W11" s="174"/>
      <c r="X11" s="175"/>
      <c r="Y11" s="2"/>
    </row>
    <row r="12" spans="1:25" customFormat="1">
      <c r="A12" s="2"/>
      <c r="B12" s="200" t="s">
        <v>212</v>
      </c>
      <c r="C12" s="194" t="str">
        <f>aurora_data!A832</f>
        <v>05.00.00-08.11.30</v>
      </c>
      <c r="D12" s="34" t="s">
        <v>153</v>
      </c>
      <c r="E12" s="39">
        <f>IFERROR(aurora_data!D832,0)</f>
        <v>0</v>
      </c>
      <c r="F12" s="40">
        <f>IFERROR(aurora_data!E832,0)</f>
        <v>0</v>
      </c>
      <c r="G12" s="40">
        <f>IFERROR(aurora_data!F832,0)</f>
        <v>0</v>
      </c>
      <c r="H12" s="40">
        <f>IFERROR(aurora_data!G832,0)</f>
        <v>0</v>
      </c>
      <c r="I12" s="41">
        <f>IFERROR(aurora_data!H832,0)</f>
        <v>0</v>
      </c>
      <c r="J12" s="39">
        <f>IFERROR(aurora_data!I832,0)</f>
        <v>0</v>
      </c>
      <c r="K12" s="40">
        <f>IFERROR(aurora_data!J832,0)</f>
        <v>0</v>
      </c>
      <c r="L12" s="40">
        <f>IFERROR(aurora_data!K832,0)</f>
        <v>0</v>
      </c>
      <c r="M12" s="40">
        <f>IFERROR(aurora_data!L832,0)</f>
        <v>0</v>
      </c>
      <c r="N12" s="41">
        <f>IFERROR(aurora_data!M832,0)</f>
        <v>0</v>
      </c>
      <c r="O12" s="39">
        <f>IFERROR(aurora_data!N832,0)</f>
        <v>0</v>
      </c>
      <c r="P12" s="40">
        <f>IFERROR(aurora_data!O832,0)</f>
        <v>0</v>
      </c>
      <c r="Q12" s="40">
        <f>IFERROR(aurora_data!P832,0)</f>
        <v>0</v>
      </c>
      <c r="R12" s="41">
        <f>IFERROR(aurora_data!Q832,0)</f>
        <v>0</v>
      </c>
      <c r="S12" s="40">
        <f>IFERROR(aurora_data!R832,0)</f>
        <v>0</v>
      </c>
      <c r="T12" s="40">
        <f>IFERROR(aurora_data!S832,0)</f>
        <v>0</v>
      </c>
      <c r="U12" s="76">
        <f>IFERROR(aurora_data!T832,0)</f>
        <v>0</v>
      </c>
      <c r="V12" s="61" t="s">
        <v>198</v>
      </c>
      <c r="W12" s="39">
        <f>IFERROR(aurora_data!U832,0)</f>
        <v>5</v>
      </c>
      <c r="X12" s="70">
        <f>IFERROR(W12/$W$12,0)</f>
        <v>1</v>
      </c>
      <c r="Y12" s="2"/>
    </row>
    <row r="13" spans="1:25" customFormat="1">
      <c r="A13" s="2"/>
      <c r="B13" s="201"/>
      <c r="C13" s="195"/>
      <c r="D13" s="35" t="s">
        <v>199</v>
      </c>
      <c r="E13" s="110">
        <f>IFERROR(aurora_data!D833,0)</f>
        <v>0</v>
      </c>
      <c r="F13" s="62">
        <f>IFERROR(aurora_data!E833,0)</f>
        <v>0</v>
      </c>
      <c r="G13" s="62">
        <f>IFERROR(aurora_data!F833,0)</f>
        <v>2</v>
      </c>
      <c r="H13" s="62">
        <f>IFERROR(aurora_data!G833,0)</f>
        <v>0</v>
      </c>
      <c r="I13" s="63">
        <f>IFERROR(aurora_data!H833,0)</f>
        <v>0</v>
      </c>
      <c r="J13" s="36">
        <f>IFERROR(aurora_data!I833,0)</f>
        <v>0</v>
      </c>
      <c r="K13" s="62">
        <f>IFERROR(aurora_data!J833,0)</f>
        <v>2</v>
      </c>
      <c r="L13" s="62">
        <f>IFERROR(aurora_data!K833,0)</f>
        <v>0</v>
      </c>
      <c r="M13" s="62">
        <f>IFERROR(aurora_data!L833,0)</f>
        <v>0</v>
      </c>
      <c r="N13" s="63">
        <f>IFERROR(aurora_data!M833,0)</f>
        <v>0</v>
      </c>
      <c r="O13" s="36">
        <f>IFERROR(aurora_data!N833,0)</f>
        <v>0</v>
      </c>
      <c r="P13" s="62">
        <f>IFERROR(aurora_data!O833,0)</f>
        <v>1</v>
      </c>
      <c r="Q13" s="62">
        <f>IFERROR(aurora_data!P833,0)</f>
        <v>1</v>
      </c>
      <c r="R13" s="63">
        <f>IFERROR(aurora_data!Q833,0)</f>
        <v>0</v>
      </c>
      <c r="S13" s="62">
        <f>IFERROR(aurora_data!R833,0)</f>
        <v>0</v>
      </c>
      <c r="T13" s="62">
        <f>IFERROR(aurora_data!S833,0)</f>
        <v>2</v>
      </c>
      <c r="U13" s="63">
        <f>IFERROR(aurora_data!T833,0)</f>
        <v>0</v>
      </c>
      <c r="V13" s="64" t="s">
        <v>198</v>
      </c>
      <c r="W13" s="36">
        <f>IFERROR(aurora_data!U833,0)</f>
        <v>2</v>
      </c>
      <c r="X13" s="71">
        <f t="shared" ref="X13:X19" si="0">IFERROR(W13/$W$12,0)</f>
        <v>0.4</v>
      </c>
      <c r="Y13" s="2"/>
    </row>
    <row r="14" spans="1:25" customFormat="1">
      <c r="A14" s="2"/>
      <c r="B14" s="201"/>
      <c r="C14" s="195"/>
      <c r="D14" s="35" t="s">
        <v>137</v>
      </c>
      <c r="E14" s="110">
        <f>IFERROR(aurora_data!D834,0)</f>
        <v>0</v>
      </c>
      <c r="F14" s="62">
        <f>IFERROR(aurora_data!E834,0)</f>
        <v>0</v>
      </c>
      <c r="G14" s="62">
        <f>IFERROR(aurora_data!F834,0)</f>
        <v>0</v>
      </c>
      <c r="H14" s="62">
        <f>IFERROR(aurora_data!G834,0)</f>
        <v>0</v>
      </c>
      <c r="I14" s="63">
        <f>IFERROR(aurora_data!H834,0)</f>
        <v>0</v>
      </c>
      <c r="J14" s="36">
        <f>IFERROR(aurora_data!I834,0)</f>
        <v>0</v>
      </c>
      <c r="K14" s="62">
        <f>IFERROR(aurora_data!J834,0)</f>
        <v>0</v>
      </c>
      <c r="L14" s="62">
        <f>IFERROR(aurora_data!K834,0)</f>
        <v>0</v>
      </c>
      <c r="M14" s="62">
        <f>IFERROR(aurora_data!L834,0)</f>
        <v>0</v>
      </c>
      <c r="N14" s="63">
        <f>IFERROR(aurora_data!M834,0)</f>
        <v>0</v>
      </c>
      <c r="O14" s="36">
        <f>IFERROR(aurora_data!N834,0)</f>
        <v>0</v>
      </c>
      <c r="P14" s="62">
        <f>IFERROR(aurora_data!O834,0)</f>
        <v>0</v>
      </c>
      <c r="Q14" s="62">
        <f>IFERROR(aurora_data!P834,0)</f>
        <v>0</v>
      </c>
      <c r="R14" s="63">
        <f>IFERROR(aurora_data!Q834,0)</f>
        <v>0</v>
      </c>
      <c r="S14" s="62">
        <f>IFERROR(aurora_data!R834,0)</f>
        <v>0</v>
      </c>
      <c r="T14" s="62">
        <f>IFERROR(aurora_data!S834,0)</f>
        <v>0</v>
      </c>
      <c r="U14" s="63">
        <f>IFERROR(aurora_data!T834,0)</f>
        <v>0</v>
      </c>
      <c r="V14" s="64" t="s">
        <v>198</v>
      </c>
      <c r="W14" s="36">
        <f>IFERROR(aurora_data!U834,0)</f>
        <v>0</v>
      </c>
      <c r="X14" s="71">
        <f t="shared" si="0"/>
        <v>0</v>
      </c>
      <c r="Y14" s="2"/>
    </row>
    <row r="15" spans="1:25" customFormat="1">
      <c r="A15" s="2"/>
      <c r="B15" s="201"/>
      <c r="C15" s="195"/>
      <c r="D15" s="35" t="s">
        <v>200</v>
      </c>
      <c r="E15" s="36">
        <f>IFERROR(aurora_data!D835,0)</f>
        <v>0</v>
      </c>
      <c r="F15" s="62">
        <f>IFERROR(aurora_data!E835,0)</f>
        <v>0</v>
      </c>
      <c r="G15" s="62">
        <f>IFERROR(aurora_data!F835,0)</f>
        <v>0</v>
      </c>
      <c r="H15" s="62">
        <f>IFERROR(aurora_data!G835,0)</f>
        <v>0</v>
      </c>
      <c r="I15" s="63">
        <f>IFERROR(aurora_data!H835,0)</f>
        <v>0</v>
      </c>
      <c r="J15" s="36">
        <f>IFERROR(aurora_data!I835,0)</f>
        <v>0</v>
      </c>
      <c r="K15" s="62">
        <f>IFERROR(aurora_data!J835,0)</f>
        <v>0</v>
      </c>
      <c r="L15" s="62">
        <f>IFERROR(aurora_data!K835,0)</f>
        <v>0</v>
      </c>
      <c r="M15" s="62">
        <f>IFERROR(aurora_data!L835,0)</f>
        <v>0</v>
      </c>
      <c r="N15" s="63">
        <f>IFERROR(aurora_data!M835,0)</f>
        <v>0</v>
      </c>
      <c r="O15" s="36">
        <f>IFERROR(aurora_data!N835,0)</f>
        <v>0</v>
      </c>
      <c r="P15" s="62">
        <f>IFERROR(aurora_data!O835,0)</f>
        <v>0</v>
      </c>
      <c r="Q15" s="62">
        <f>IFERROR(aurora_data!P835,0)</f>
        <v>0</v>
      </c>
      <c r="R15" s="63">
        <f>IFERROR(aurora_data!Q835,0)</f>
        <v>0</v>
      </c>
      <c r="S15" s="62">
        <f>IFERROR(aurora_data!R835,0)</f>
        <v>0</v>
      </c>
      <c r="T15" s="62">
        <f>IFERROR(aurora_data!S835,0)</f>
        <v>0</v>
      </c>
      <c r="U15" s="63">
        <f>IFERROR(aurora_data!T835,0)</f>
        <v>0</v>
      </c>
      <c r="V15" s="64" t="s">
        <v>198</v>
      </c>
      <c r="W15" s="36">
        <f>IFERROR(aurora_data!U835,0)</f>
        <v>0</v>
      </c>
      <c r="X15" s="71">
        <f t="shared" si="0"/>
        <v>0</v>
      </c>
      <c r="Y15" s="2"/>
    </row>
    <row r="16" spans="1:25" customFormat="1">
      <c r="A16" s="2"/>
      <c r="B16" s="201"/>
      <c r="C16" s="195"/>
      <c r="D16" s="35" t="s">
        <v>201</v>
      </c>
      <c r="E16" s="36">
        <f>IFERROR(aurora_data!D836,0)</f>
        <v>0</v>
      </c>
      <c r="F16" s="62">
        <f>IFERROR(aurora_data!E836,0)</f>
        <v>0</v>
      </c>
      <c r="G16" s="62">
        <f>IFERROR(aurora_data!F836,0)</f>
        <v>0</v>
      </c>
      <c r="H16" s="62">
        <f>IFERROR(aurora_data!G836,0)</f>
        <v>0</v>
      </c>
      <c r="I16" s="63">
        <f>IFERROR(aurora_data!H836,0)</f>
        <v>0</v>
      </c>
      <c r="J16" s="36">
        <f>IFERROR(aurora_data!I836,0)</f>
        <v>0</v>
      </c>
      <c r="K16" s="62">
        <f>IFERROR(aurora_data!J836,0)</f>
        <v>0</v>
      </c>
      <c r="L16" s="62">
        <f>IFERROR(aurora_data!K836,0)</f>
        <v>0</v>
      </c>
      <c r="M16" s="62">
        <f>IFERROR(aurora_data!L836,0)</f>
        <v>0</v>
      </c>
      <c r="N16" s="63">
        <f>IFERROR(aurora_data!M836,0)</f>
        <v>0</v>
      </c>
      <c r="O16" s="36">
        <f>IFERROR(aurora_data!N836,0)</f>
        <v>0</v>
      </c>
      <c r="P16" s="62">
        <f>IFERROR(aurora_data!O836,0)</f>
        <v>0</v>
      </c>
      <c r="Q16" s="62">
        <f>IFERROR(aurora_data!P836,0)</f>
        <v>0</v>
      </c>
      <c r="R16" s="63">
        <f>IFERROR(aurora_data!Q836,0)</f>
        <v>0</v>
      </c>
      <c r="S16" s="62">
        <f>IFERROR(aurora_data!R836,0)</f>
        <v>0</v>
      </c>
      <c r="T16" s="62">
        <f>IFERROR(aurora_data!S836,0)</f>
        <v>0</v>
      </c>
      <c r="U16" s="63">
        <f>IFERROR(aurora_data!T836,0)</f>
        <v>0</v>
      </c>
      <c r="V16" s="64" t="s">
        <v>198</v>
      </c>
      <c r="W16" s="36">
        <f>IFERROR(aurora_data!U836,0)</f>
        <v>0</v>
      </c>
      <c r="X16" s="71">
        <f t="shared" si="0"/>
        <v>0</v>
      </c>
      <c r="Y16" s="2"/>
    </row>
    <row r="17" spans="1:25" customFormat="1" ht="16.5" thickBot="1">
      <c r="A17" s="2"/>
      <c r="B17" s="201"/>
      <c r="C17" s="195"/>
      <c r="D17" s="35" t="s">
        <v>202</v>
      </c>
      <c r="E17" s="36">
        <f>IFERROR(aurora_data!D837,0)</f>
        <v>0</v>
      </c>
      <c r="F17" s="62">
        <f>IFERROR(aurora_data!E837,0)</f>
        <v>0</v>
      </c>
      <c r="G17" s="62">
        <f>IFERROR(aurora_data!F837,0)</f>
        <v>0</v>
      </c>
      <c r="H17" s="62">
        <f>IFERROR(aurora_data!G837,0)</f>
        <v>0</v>
      </c>
      <c r="I17" s="63">
        <f>IFERROR(aurora_data!H837,0)</f>
        <v>0</v>
      </c>
      <c r="J17" s="36">
        <f>IFERROR(aurora_data!I837,0)</f>
        <v>0</v>
      </c>
      <c r="K17" s="62">
        <f>IFERROR(aurora_data!J837,0)</f>
        <v>0</v>
      </c>
      <c r="L17" s="62">
        <f>IFERROR(aurora_data!K837,0)</f>
        <v>0</v>
      </c>
      <c r="M17" s="62">
        <f>IFERROR(aurora_data!L837,0)</f>
        <v>0</v>
      </c>
      <c r="N17" s="63">
        <f>IFERROR(aurora_data!M837,0)</f>
        <v>0</v>
      </c>
      <c r="O17" s="36">
        <f>IFERROR(aurora_data!N837,0)</f>
        <v>0</v>
      </c>
      <c r="P17" s="62">
        <f>IFERROR(aurora_data!O837,0)</f>
        <v>0</v>
      </c>
      <c r="Q17" s="62">
        <f>IFERROR(aurora_data!P837,0)</f>
        <v>0</v>
      </c>
      <c r="R17" s="63">
        <f>IFERROR(aurora_data!Q837,0)</f>
        <v>0</v>
      </c>
      <c r="S17" s="62">
        <f>IFERROR(aurora_data!R837,0)</f>
        <v>0</v>
      </c>
      <c r="T17" s="62">
        <f>IFERROR(aurora_data!S837,0)</f>
        <v>0</v>
      </c>
      <c r="U17" s="63">
        <f>IFERROR(aurora_data!T837,0)</f>
        <v>0</v>
      </c>
      <c r="V17" s="64" t="s">
        <v>198</v>
      </c>
      <c r="W17" s="36">
        <f>IFERROR(aurora_data!U837,0)</f>
        <v>0</v>
      </c>
      <c r="X17" s="71">
        <f t="shared" si="0"/>
        <v>0</v>
      </c>
      <c r="Y17" s="2"/>
    </row>
    <row r="18" spans="1:25" customFormat="1" ht="16.5" thickBot="1">
      <c r="A18" s="2"/>
      <c r="B18" s="201"/>
      <c r="C18" s="195"/>
      <c r="D18" s="37" t="s">
        <v>141</v>
      </c>
      <c r="E18" s="59">
        <f>IFERROR(aurora_data!D838,0)</f>
        <v>0</v>
      </c>
      <c r="F18" s="65">
        <f>IFERROR(aurora_data!E838,0)</f>
        <v>0</v>
      </c>
      <c r="G18" s="65">
        <f>IFERROR(aurora_data!F838,0)</f>
        <v>2</v>
      </c>
      <c r="H18" s="65">
        <f>IFERROR(aurora_data!G838,0)</f>
        <v>0</v>
      </c>
      <c r="I18" s="66">
        <f>IFERROR(aurora_data!H838,0)</f>
        <v>0</v>
      </c>
      <c r="J18" s="59">
        <f>IFERROR(aurora_data!I838,0)</f>
        <v>0</v>
      </c>
      <c r="K18" s="65">
        <f>IFERROR(aurora_data!J838,0)</f>
        <v>2</v>
      </c>
      <c r="L18" s="65">
        <f>IFERROR(aurora_data!K838,0)</f>
        <v>0</v>
      </c>
      <c r="M18" s="65">
        <f>IFERROR(aurora_data!L838,0)</f>
        <v>0</v>
      </c>
      <c r="N18" s="66">
        <f>IFERROR(aurora_data!M838,0)</f>
        <v>0</v>
      </c>
      <c r="O18" s="59">
        <f>IFERROR(aurora_data!N838,0)</f>
        <v>0</v>
      </c>
      <c r="P18" s="65">
        <f>IFERROR(aurora_data!O838,0)</f>
        <v>1</v>
      </c>
      <c r="Q18" s="65">
        <f>IFERROR(aurora_data!P838,0)</f>
        <v>1</v>
      </c>
      <c r="R18" s="66">
        <f>IFERROR(aurora_data!Q838,0)</f>
        <v>0</v>
      </c>
      <c r="S18" s="65">
        <f>IFERROR(aurora_data!R838,0)</f>
        <v>0</v>
      </c>
      <c r="T18" s="65">
        <f>IFERROR(aurora_data!S838,0)</f>
        <v>2</v>
      </c>
      <c r="U18" s="66">
        <f>IFERROR(aurora_data!T838,0)</f>
        <v>0</v>
      </c>
      <c r="V18" s="67" t="s">
        <v>198</v>
      </c>
      <c r="W18" s="59">
        <f>IFERROR(aurora_data!U838,0)</f>
        <v>2</v>
      </c>
      <c r="X18" s="72">
        <f t="shared" si="0"/>
        <v>0.4</v>
      </c>
      <c r="Y18" s="2"/>
    </row>
    <row r="19" spans="1:25" customFormat="1" ht="16.5" thickBot="1">
      <c r="A19" s="2"/>
      <c r="B19" s="201"/>
      <c r="C19" s="195"/>
      <c r="D19" s="38" t="s">
        <v>203</v>
      </c>
      <c r="E19" s="60">
        <f>IFERROR(aurora_data!D839,0)</f>
        <v>0</v>
      </c>
      <c r="F19" s="68">
        <f>IFERROR(aurora_data!E839,0)</f>
        <v>0</v>
      </c>
      <c r="G19" s="68">
        <f>IFERROR(aurora_data!F839,0)</f>
        <v>0</v>
      </c>
      <c r="H19" s="68">
        <f>IFERROR(aurora_data!G839,0)</f>
        <v>0</v>
      </c>
      <c r="I19" s="69">
        <f>IFERROR(aurora_data!H839,0)</f>
        <v>0</v>
      </c>
      <c r="J19" s="60">
        <f>IFERROR(aurora_data!I839,0)</f>
        <v>0</v>
      </c>
      <c r="K19" s="68">
        <f>IFERROR(aurora_data!J839,0)</f>
        <v>0</v>
      </c>
      <c r="L19" s="68">
        <f>IFERROR(aurora_data!K839,0)</f>
        <v>0</v>
      </c>
      <c r="M19" s="68">
        <f>IFERROR(aurora_data!L839,0)</f>
        <v>0</v>
      </c>
      <c r="N19" s="69">
        <f>IFERROR(aurora_data!M839,0)</f>
        <v>0</v>
      </c>
      <c r="O19" s="60">
        <f>IFERROR(aurora_data!N839,0)</f>
        <v>0</v>
      </c>
      <c r="P19" s="68">
        <f>IFERROR(aurora_data!O839,0)</f>
        <v>0</v>
      </c>
      <c r="Q19" s="68">
        <f>IFERROR(aurora_data!P839,0)</f>
        <v>0</v>
      </c>
      <c r="R19" s="69">
        <f>IFERROR(aurora_data!Q839,0)</f>
        <v>0</v>
      </c>
      <c r="S19" s="68">
        <f>IFERROR(aurora_data!R839,0)</f>
        <v>0</v>
      </c>
      <c r="T19" s="68">
        <f>IFERROR(aurora_data!S839,0)</f>
        <v>0</v>
      </c>
      <c r="U19" s="74">
        <f>IFERROR(aurora_data!T839,0)</f>
        <v>0</v>
      </c>
      <c r="V19" s="75" t="s">
        <v>198</v>
      </c>
      <c r="W19" s="60">
        <f>IFERROR(aurora_data!U839,0)</f>
        <v>0</v>
      </c>
      <c r="X19" s="73">
        <f t="shared" si="0"/>
        <v>0</v>
      </c>
      <c r="Y19" s="2"/>
    </row>
    <row r="20" spans="1:25" customFormat="1">
      <c r="A20" s="2"/>
      <c r="B20" s="200" t="s">
        <v>212</v>
      </c>
      <c r="C20" s="194" t="str">
        <f>aurora_data!A932</f>
        <v>09.00.00-21.11.30</v>
      </c>
      <c r="D20" s="34" t="s">
        <v>153</v>
      </c>
      <c r="E20" s="39">
        <f>IFERROR(aurora_data!D932,0)</f>
        <v>0</v>
      </c>
      <c r="F20" s="40">
        <f>IFERROR(aurora_data!E932,0)</f>
        <v>0</v>
      </c>
      <c r="G20" s="40">
        <f>IFERROR(aurora_data!F932,0)</f>
        <v>0</v>
      </c>
      <c r="H20" s="40">
        <f>IFERROR(aurora_data!G932,0)</f>
        <v>0</v>
      </c>
      <c r="I20" s="41">
        <f>IFERROR(aurora_data!H932,0)</f>
        <v>0</v>
      </c>
      <c r="J20" s="39">
        <f>IFERROR(aurora_data!I932,0)</f>
        <v>0</v>
      </c>
      <c r="K20" s="40">
        <f>IFERROR(aurora_data!J932,0)</f>
        <v>0</v>
      </c>
      <c r="L20" s="40">
        <f>IFERROR(aurora_data!K932,0)</f>
        <v>0</v>
      </c>
      <c r="M20" s="40">
        <f>IFERROR(aurora_data!L932,0)</f>
        <v>0</v>
      </c>
      <c r="N20" s="41">
        <f>IFERROR(aurora_data!M932,0)</f>
        <v>0</v>
      </c>
      <c r="O20" s="39">
        <f>IFERROR(aurora_data!N932,0)</f>
        <v>0</v>
      </c>
      <c r="P20" s="40">
        <f>IFERROR(aurora_data!O932,0)</f>
        <v>0</v>
      </c>
      <c r="Q20" s="40">
        <f>IFERROR(aurora_data!P932,0)</f>
        <v>0</v>
      </c>
      <c r="R20" s="41">
        <f>IFERROR(aurora_data!Q932,0)</f>
        <v>0</v>
      </c>
      <c r="S20" s="40">
        <f>IFERROR(aurora_data!R932,0)</f>
        <v>0</v>
      </c>
      <c r="T20" s="40">
        <f>IFERROR(aurora_data!S932,0)</f>
        <v>0</v>
      </c>
      <c r="U20" s="76">
        <f>IFERROR(aurora_data!T932,0)</f>
        <v>0</v>
      </c>
      <c r="V20" s="61" t="s">
        <v>198</v>
      </c>
      <c r="W20" s="39">
        <f>IFERROR(aurora_data!U932,0)</f>
        <v>7</v>
      </c>
      <c r="X20" s="70">
        <f>IFERROR(W20/$W$20,0)</f>
        <v>1</v>
      </c>
      <c r="Y20" s="2"/>
    </row>
    <row r="21" spans="1:25" customFormat="1" ht="16.5" customHeight="1">
      <c r="A21" s="2"/>
      <c r="B21" s="201"/>
      <c r="C21" s="195"/>
      <c r="D21" s="35" t="s">
        <v>199</v>
      </c>
      <c r="E21" s="36">
        <f>IFERROR(aurora_data!D933,0)</f>
        <v>2</v>
      </c>
      <c r="F21" s="62">
        <f>IFERROR(aurora_data!E933,0)</f>
        <v>1</v>
      </c>
      <c r="G21" s="62">
        <f>IFERROR(aurora_data!F933,0)</f>
        <v>1</v>
      </c>
      <c r="H21" s="62">
        <f>IFERROR(aurora_data!G933,0)</f>
        <v>0</v>
      </c>
      <c r="I21" s="63">
        <f>IFERROR(aurora_data!H933,0)</f>
        <v>0</v>
      </c>
      <c r="J21" s="36">
        <f>IFERROR(aurora_data!I933,0)</f>
        <v>0</v>
      </c>
      <c r="K21" s="62">
        <f>IFERROR(aurora_data!J933,0)</f>
        <v>1</v>
      </c>
      <c r="L21" s="62">
        <f>IFERROR(aurora_data!K933,0)</f>
        <v>0</v>
      </c>
      <c r="M21" s="62">
        <f>IFERROR(aurora_data!L933,0)</f>
        <v>0</v>
      </c>
      <c r="N21" s="63">
        <f>IFERROR(aurora_data!M933,0)</f>
        <v>3</v>
      </c>
      <c r="O21" s="36">
        <f>IFERROR(aurora_data!N933,0)</f>
        <v>0</v>
      </c>
      <c r="P21" s="62">
        <f>IFERROR(aurora_data!O933,0)</f>
        <v>1</v>
      </c>
      <c r="Q21" s="62">
        <f>IFERROR(aurora_data!P933,0)</f>
        <v>2</v>
      </c>
      <c r="R21" s="63">
        <f>IFERROR(aurora_data!Q933,0)</f>
        <v>1</v>
      </c>
      <c r="S21" s="62">
        <f>IFERROR(aurora_data!R933,0)</f>
        <v>2</v>
      </c>
      <c r="T21" s="62">
        <f>IFERROR(aurora_data!S933,0)</f>
        <v>2</v>
      </c>
      <c r="U21" s="63">
        <f>IFERROR(aurora_data!T933,0)</f>
        <v>0</v>
      </c>
      <c r="V21" s="64" t="s">
        <v>198</v>
      </c>
      <c r="W21" s="36">
        <f>IFERROR(aurora_data!U933,0)</f>
        <v>4</v>
      </c>
      <c r="X21" s="71">
        <f t="shared" ref="X21:X27" si="1">IFERROR(W21/$W$20,0)</f>
        <v>0.5714285714285714</v>
      </c>
      <c r="Y21" s="2"/>
    </row>
    <row r="22" spans="1:25" customFormat="1" ht="16.5" customHeight="1">
      <c r="A22" s="2"/>
      <c r="B22" s="201"/>
      <c r="C22" s="195"/>
      <c r="D22" s="35" t="s">
        <v>137</v>
      </c>
      <c r="E22" s="36">
        <f>IFERROR(aurora_data!D934,0)</f>
        <v>0</v>
      </c>
      <c r="F22" s="62">
        <f>IFERROR(aurora_data!E934,0)</f>
        <v>0</v>
      </c>
      <c r="G22" s="62">
        <f>IFERROR(aurora_data!F934,0)</f>
        <v>0</v>
      </c>
      <c r="H22" s="62">
        <f>IFERROR(aurora_data!G934,0)</f>
        <v>0</v>
      </c>
      <c r="I22" s="63">
        <f>IFERROR(aurora_data!H934,0)</f>
        <v>0</v>
      </c>
      <c r="J22" s="36">
        <f>IFERROR(aurora_data!I934,0)</f>
        <v>0</v>
      </c>
      <c r="K22" s="62">
        <f>IFERROR(aurora_data!J934,0)</f>
        <v>0</v>
      </c>
      <c r="L22" s="62">
        <f>IFERROR(aurora_data!K934,0)</f>
        <v>0</v>
      </c>
      <c r="M22" s="62">
        <f>IFERROR(aurora_data!L934,0)</f>
        <v>0</v>
      </c>
      <c r="N22" s="63">
        <f>IFERROR(aurora_data!M934,0)</f>
        <v>0</v>
      </c>
      <c r="O22" s="36">
        <f>IFERROR(aurora_data!N934,0)</f>
        <v>0</v>
      </c>
      <c r="P22" s="62">
        <f>IFERROR(aurora_data!O934,0)</f>
        <v>0</v>
      </c>
      <c r="Q22" s="62">
        <f>IFERROR(aurora_data!P934,0)</f>
        <v>0</v>
      </c>
      <c r="R22" s="63">
        <f>IFERROR(aurora_data!Q934,0)</f>
        <v>0</v>
      </c>
      <c r="S22" s="62">
        <f>IFERROR(aurora_data!R934,0)</f>
        <v>0</v>
      </c>
      <c r="T22" s="62">
        <f>IFERROR(aurora_data!S934,0)</f>
        <v>0</v>
      </c>
      <c r="U22" s="63">
        <f>IFERROR(aurora_data!T934,0)</f>
        <v>0</v>
      </c>
      <c r="V22" s="64" t="s">
        <v>198</v>
      </c>
      <c r="W22" s="36">
        <f>IFERROR(aurora_data!U934,0)</f>
        <v>0</v>
      </c>
      <c r="X22" s="71">
        <f t="shared" si="1"/>
        <v>0</v>
      </c>
      <c r="Y22" s="2"/>
    </row>
    <row r="23" spans="1:25" customFormat="1">
      <c r="A23" s="2"/>
      <c r="B23" s="201"/>
      <c r="C23" s="195"/>
      <c r="D23" s="35" t="s">
        <v>200</v>
      </c>
      <c r="E23" s="36">
        <f>IFERROR(aurora_data!D935,0)</f>
        <v>0</v>
      </c>
      <c r="F23" s="62">
        <f>IFERROR(aurora_data!E935,0)</f>
        <v>0</v>
      </c>
      <c r="G23" s="62">
        <f>IFERROR(aurora_data!F935,0)</f>
        <v>0</v>
      </c>
      <c r="H23" s="62">
        <f>IFERROR(aurora_data!G935,0)</f>
        <v>0</v>
      </c>
      <c r="I23" s="63">
        <f>IFERROR(aurora_data!H935,0)</f>
        <v>0</v>
      </c>
      <c r="J23" s="36">
        <f>IFERROR(aurora_data!I935,0)</f>
        <v>0</v>
      </c>
      <c r="K23" s="62">
        <f>IFERROR(aurora_data!J935,0)</f>
        <v>0</v>
      </c>
      <c r="L23" s="62">
        <f>IFERROR(aurora_data!K935,0)</f>
        <v>0</v>
      </c>
      <c r="M23" s="62">
        <f>IFERROR(aurora_data!L935,0)</f>
        <v>0</v>
      </c>
      <c r="N23" s="63">
        <f>IFERROR(aurora_data!M935,0)</f>
        <v>0</v>
      </c>
      <c r="O23" s="36">
        <f>IFERROR(aurora_data!N935,0)</f>
        <v>0</v>
      </c>
      <c r="P23" s="62">
        <f>IFERROR(aurora_data!O935,0)</f>
        <v>0</v>
      </c>
      <c r="Q23" s="62">
        <f>IFERROR(aurora_data!P935,0)</f>
        <v>0</v>
      </c>
      <c r="R23" s="63">
        <f>IFERROR(aurora_data!Q935,0)</f>
        <v>0</v>
      </c>
      <c r="S23" s="62">
        <f>IFERROR(aurora_data!R935,0)</f>
        <v>0</v>
      </c>
      <c r="T23" s="62">
        <f>IFERROR(aurora_data!S935,0)</f>
        <v>0</v>
      </c>
      <c r="U23" s="63">
        <f>IFERROR(aurora_data!T935,0)</f>
        <v>0</v>
      </c>
      <c r="V23" s="64" t="s">
        <v>198</v>
      </c>
      <c r="W23" s="36">
        <f>IFERROR(aurora_data!U935,0)</f>
        <v>0</v>
      </c>
      <c r="X23" s="71">
        <f t="shared" si="1"/>
        <v>0</v>
      </c>
      <c r="Y23" s="2"/>
    </row>
    <row r="24" spans="1:25" customFormat="1" ht="16.5" customHeight="1">
      <c r="A24" s="2"/>
      <c r="B24" s="201"/>
      <c r="C24" s="195"/>
      <c r="D24" s="35" t="s">
        <v>201</v>
      </c>
      <c r="E24" s="36">
        <f>IFERROR(aurora_data!D936,0)</f>
        <v>0</v>
      </c>
      <c r="F24" s="62">
        <f>IFERROR(aurora_data!E936,0)</f>
        <v>0</v>
      </c>
      <c r="G24" s="62">
        <f>IFERROR(aurora_data!F936,0)</f>
        <v>0</v>
      </c>
      <c r="H24" s="62">
        <f>IFERROR(aurora_data!G936,0)</f>
        <v>0</v>
      </c>
      <c r="I24" s="63">
        <f>IFERROR(aurora_data!H936,0)</f>
        <v>0</v>
      </c>
      <c r="J24" s="36">
        <f>IFERROR(aurora_data!I936,0)</f>
        <v>0</v>
      </c>
      <c r="K24" s="62">
        <f>IFERROR(aurora_data!J936,0)</f>
        <v>0</v>
      </c>
      <c r="L24" s="62">
        <f>IFERROR(aurora_data!K936,0)</f>
        <v>0</v>
      </c>
      <c r="M24" s="62">
        <f>IFERROR(aurora_data!L936,0)</f>
        <v>0</v>
      </c>
      <c r="N24" s="63">
        <f>IFERROR(aurora_data!M936,0)</f>
        <v>0</v>
      </c>
      <c r="O24" s="36">
        <f>IFERROR(aurora_data!N936,0)</f>
        <v>0</v>
      </c>
      <c r="P24" s="62">
        <f>IFERROR(aurora_data!O936,0)</f>
        <v>0</v>
      </c>
      <c r="Q24" s="62">
        <f>IFERROR(aurora_data!P936,0)</f>
        <v>0</v>
      </c>
      <c r="R24" s="63">
        <f>IFERROR(aurora_data!Q936,0)</f>
        <v>0</v>
      </c>
      <c r="S24" s="62">
        <f>IFERROR(aurora_data!R936,0)</f>
        <v>0</v>
      </c>
      <c r="T24" s="62">
        <f>IFERROR(aurora_data!S936,0)</f>
        <v>0</v>
      </c>
      <c r="U24" s="63">
        <f>IFERROR(aurora_data!T936,0)</f>
        <v>0</v>
      </c>
      <c r="V24" s="64" t="s">
        <v>198</v>
      </c>
      <c r="W24" s="36">
        <f>IFERROR(aurora_data!U936,0)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01"/>
      <c r="C25" s="195"/>
      <c r="D25" s="35" t="s">
        <v>202</v>
      </c>
      <c r="E25" s="36">
        <f>IFERROR(aurora_data!D937,0)</f>
        <v>0</v>
      </c>
      <c r="F25" s="62">
        <f>IFERROR(aurora_data!E937,0)</f>
        <v>0</v>
      </c>
      <c r="G25" s="62">
        <f>IFERROR(aurora_data!F937,0)</f>
        <v>0</v>
      </c>
      <c r="H25" s="62">
        <f>IFERROR(aurora_data!G937,0)</f>
        <v>0</v>
      </c>
      <c r="I25" s="63">
        <f>IFERROR(aurora_data!H937,0)</f>
        <v>0</v>
      </c>
      <c r="J25" s="36">
        <f>IFERROR(aurora_data!I937,0)</f>
        <v>0</v>
      </c>
      <c r="K25" s="62">
        <f>IFERROR(aurora_data!J937,0)</f>
        <v>0</v>
      </c>
      <c r="L25" s="62">
        <f>IFERROR(aurora_data!K937,0)</f>
        <v>0</v>
      </c>
      <c r="M25" s="62">
        <f>IFERROR(aurora_data!L937,0)</f>
        <v>0</v>
      </c>
      <c r="N25" s="63">
        <f>IFERROR(aurora_data!M937,0)</f>
        <v>0</v>
      </c>
      <c r="O25" s="36">
        <f>IFERROR(aurora_data!N937,0)</f>
        <v>0</v>
      </c>
      <c r="P25" s="62">
        <f>IFERROR(aurora_data!O937,0)</f>
        <v>0</v>
      </c>
      <c r="Q25" s="62">
        <f>IFERROR(aurora_data!P937,0)</f>
        <v>0</v>
      </c>
      <c r="R25" s="63">
        <f>IFERROR(aurora_data!Q937,0)</f>
        <v>0</v>
      </c>
      <c r="S25" s="62">
        <f>IFERROR(aurora_data!R937,0)</f>
        <v>0</v>
      </c>
      <c r="T25" s="62">
        <f>IFERROR(aurora_data!S937,0)</f>
        <v>0</v>
      </c>
      <c r="U25" s="63">
        <f>IFERROR(aurora_data!T937,0)</f>
        <v>0</v>
      </c>
      <c r="V25" s="64" t="s">
        <v>198</v>
      </c>
      <c r="W25" s="36">
        <f>IFERROR(aurora_data!U937,0)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01"/>
      <c r="C26" s="195"/>
      <c r="D26" s="37" t="s">
        <v>141</v>
      </c>
      <c r="E26" s="59">
        <f>IFERROR(aurora_data!D938,0)</f>
        <v>2</v>
      </c>
      <c r="F26" s="65">
        <f>IFERROR(aurora_data!E938,0)</f>
        <v>1</v>
      </c>
      <c r="G26" s="65">
        <f>IFERROR(aurora_data!F938,0)</f>
        <v>1</v>
      </c>
      <c r="H26" s="65">
        <f>IFERROR(aurora_data!G938,0)</f>
        <v>0</v>
      </c>
      <c r="I26" s="66">
        <f>IFERROR(aurora_data!H938,0)</f>
        <v>0</v>
      </c>
      <c r="J26" s="59">
        <f>IFERROR(aurora_data!I938,0)</f>
        <v>0</v>
      </c>
      <c r="K26" s="65">
        <f>IFERROR(aurora_data!J938,0)</f>
        <v>1</v>
      </c>
      <c r="L26" s="65">
        <f>IFERROR(aurora_data!K938,0)</f>
        <v>0</v>
      </c>
      <c r="M26" s="65">
        <f>IFERROR(aurora_data!L938,0)</f>
        <v>0</v>
      </c>
      <c r="N26" s="66">
        <f>IFERROR(aurora_data!M938,0)</f>
        <v>3</v>
      </c>
      <c r="O26" s="59">
        <f>IFERROR(aurora_data!N938,0)</f>
        <v>0</v>
      </c>
      <c r="P26" s="65">
        <f>IFERROR(aurora_data!O938,0)</f>
        <v>1</v>
      </c>
      <c r="Q26" s="65">
        <f>IFERROR(aurora_data!P938,0)</f>
        <v>2</v>
      </c>
      <c r="R26" s="66">
        <f>IFERROR(aurora_data!Q938,0)</f>
        <v>1</v>
      </c>
      <c r="S26" s="65">
        <f>IFERROR(aurora_data!R938,0)</f>
        <v>2</v>
      </c>
      <c r="T26" s="65">
        <f>IFERROR(aurora_data!S938,0)</f>
        <v>2</v>
      </c>
      <c r="U26" s="66">
        <f>IFERROR(aurora_data!T938,0)</f>
        <v>0</v>
      </c>
      <c r="V26" s="67" t="s">
        <v>198</v>
      </c>
      <c r="W26" s="59">
        <f>IFERROR(aurora_data!U938,0)</f>
        <v>4</v>
      </c>
      <c r="X26" s="72">
        <f t="shared" si="1"/>
        <v>0.5714285714285714</v>
      </c>
      <c r="Y26" s="2"/>
    </row>
    <row r="27" spans="1:25" customFormat="1" ht="16.5" thickBot="1">
      <c r="A27" s="2"/>
      <c r="B27" s="201"/>
      <c r="C27" s="195"/>
      <c r="D27" s="38" t="s">
        <v>203</v>
      </c>
      <c r="E27" s="60">
        <f>IFERROR(aurora_data!D939,0)</f>
        <v>0</v>
      </c>
      <c r="F27" s="68">
        <f>IFERROR(aurora_data!E939,0)</f>
        <v>0</v>
      </c>
      <c r="G27" s="68">
        <f>IFERROR(aurora_data!F939,0)</f>
        <v>0</v>
      </c>
      <c r="H27" s="68">
        <f>IFERROR(aurora_data!G939,0)</f>
        <v>0</v>
      </c>
      <c r="I27" s="69">
        <f>IFERROR(aurora_data!H939,0)</f>
        <v>0</v>
      </c>
      <c r="J27" s="60">
        <f>IFERROR(aurora_data!I939,0)</f>
        <v>0</v>
      </c>
      <c r="K27" s="68">
        <f>IFERROR(aurora_data!J939,0)</f>
        <v>0</v>
      </c>
      <c r="L27" s="68">
        <f>IFERROR(aurora_data!K939,0)</f>
        <v>0</v>
      </c>
      <c r="M27" s="68">
        <f>IFERROR(aurora_data!L939,0)</f>
        <v>0</v>
      </c>
      <c r="N27" s="69">
        <f>IFERROR(aurora_data!M939,0)</f>
        <v>0</v>
      </c>
      <c r="O27" s="60">
        <f>IFERROR(aurora_data!N939,0)</f>
        <v>0</v>
      </c>
      <c r="P27" s="68">
        <f>IFERROR(aurora_data!O939,0)</f>
        <v>0</v>
      </c>
      <c r="Q27" s="68">
        <f>IFERROR(aurora_data!P939,0)</f>
        <v>0</v>
      </c>
      <c r="R27" s="69">
        <f>IFERROR(aurora_data!Q939,0)</f>
        <v>0</v>
      </c>
      <c r="S27" s="68">
        <f>IFERROR(aurora_data!R939,0)</f>
        <v>0</v>
      </c>
      <c r="T27" s="68">
        <f>IFERROR(aurora_data!S939,0)</f>
        <v>0</v>
      </c>
      <c r="U27" s="74">
        <f>IFERROR(aurora_data!T939,0)</f>
        <v>0</v>
      </c>
      <c r="V27" s="75" t="s">
        <v>198</v>
      </c>
      <c r="W27" s="60">
        <f>IFERROR(aurora_data!U939,0)</f>
        <v>0</v>
      </c>
      <c r="X27" s="73">
        <f t="shared" si="1"/>
        <v>0</v>
      </c>
      <c r="Y27" s="2"/>
    </row>
    <row r="28" spans="1:25" customFormat="1" ht="15.75" customHeight="1">
      <c r="A28" s="2"/>
      <c r="B28" s="196" t="s">
        <v>212</v>
      </c>
      <c r="C28" s="198" t="s">
        <v>130</v>
      </c>
      <c r="D28" s="34" t="s">
        <v>153</v>
      </c>
      <c r="E28" s="39">
        <f>IFERROR(aurora_data!D840+aurora_data!D940,0)</f>
        <v>0</v>
      </c>
      <c r="F28" s="40">
        <f>IFERROR(aurora_data!E840+aurora_data!E940,0)</f>
        <v>0</v>
      </c>
      <c r="G28" s="40">
        <f>IFERROR(aurora_data!F840+aurora_data!F940,0)</f>
        <v>0</v>
      </c>
      <c r="H28" s="40">
        <f>IFERROR(aurora_data!G840+aurora_data!G940,0)</f>
        <v>0</v>
      </c>
      <c r="I28" s="41">
        <f>IFERROR(aurora_data!H840+aurora_data!H940,0)</f>
        <v>0</v>
      </c>
      <c r="J28" s="39">
        <f>IFERROR(aurora_data!I840+aurora_data!I940,0)</f>
        <v>0</v>
      </c>
      <c r="K28" s="40">
        <f>IFERROR(aurora_data!J840+aurora_data!J940,0)</f>
        <v>0</v>
      </c>
      <c r="L28" s="40">
        <f>IFERROR(aurora_data!K840+aurora_data!K940,0)</f>
        <v>0</v>
      </c>
      <c r="M28" s="40">
        <f>IFERROR(aurora_data!L840+aurora_data!L940,0)</f>
        <v>0</v>
      </c>
      <c r="N28" s="41">
        <f>IFERROR(aurora_data!M840+aurora_data!M940,0)</f>
        <v>0</v>
      </c>
      <c r="O28" s="39">
        <f>IFERROR(aurora_data!N840+aurora_data!N940,0)</f>
        <v>0</v>
      </c>
      <c r="P28" s="40">
        <f>IFERROR(aurora_data!O840+aurora_data!O940,0)</f>
        <v>0</v>
      </c>
      <c r="Q28" s="40">
        <f>IFERROR(aurora_data!P840+aurora_data!P940,0)</f>
        <v>0</v>
      </c>
      <c r="R28" s="41">
        <f>IFERROR(aurora_data!Q840+aurora_data!Q940,0)</f>
        <v>0</v>
      </c>
      <c r="S28" s="40">
        <f>IFERROR(aurora_data!R840+aurora_data!R940,0)</f>
        <v>0</v>
      </c>
      <c r="T28" s="40">
        <f>IFERROR(aurora_data!S840+aurora_data!S940,0)</f>
        <v>0</v>
      </c>
      <c r="U28" s="41">
        <f>IFERROR(aurora_data!T840+aurora_data!T940,0)</f>
        <v>0</v>
      </c>
      <c r="V28" s="61" t="s">
        <v>198</v>
      </c>
      <c r="W28" s="39">
        <f>IFERROR(aurora_data!U840+aurora_data!U940,0)</f>
        <v>12</v>
      </c>
      <c r="X28" s="70">
        <f>IFERROR(W28/$W$28,0)</f>
        <v>1</v>
      </c>
      <c r="Y28" s="2"/>
    </row>
    <row r="29" spans="1:25" customFormat="1" ht="15.75" customHeight="1">
      <c r="A29" s="2"/>
      <c r="B29" s="197"/>
      <c r="C29" s="199"/>
      <c r="D29" s="35" t="s">
        <v>199</v>
      </c>
      <c r="E29" s="36">
        <f>IFERROR(aurora_data!D841+aurora_data!D941,0)</f>
        <v>2</v>
      </c>
      <c r="F29" s="62">
        <f>IFERROR(aurora_data!E841+aurora_data!E941,0)</f>
        <v>1</v>
      </c>
      <c r="G29" s="62">
        <f>IFERROR(aurora_data!F841+aurora_data!F941,0)</f>
        <v>3</v>
      </c>
      <c r="H29" s="62">
        <f>IFERROR(aurora_data!G841+aurora_data!G941,0)</f>
        <v>0</v>
      </c>
      <c r="I29" s="63">
        <f>IFERROR(aurora_data!H841+aurora_data!H941,0)</f>
        <v>0</v>
      </c>
      <c r="J29" s="36">
        <f>IFERROR(aurora_data!I841+aurora_data!I941,0)</f>
        <v>0</v>
      </c>
      <c r="K29" s="62">
        <f>IFERROR(aurora_data!J841+aurora_data!J941,0)</f>
        <v>3</v>
      </c>
      <c r="L29" s="62">
        <f>IFERROR(aurora_data!K841+aurora_data!K941,0)</f>
        <v>0</v>
      </c>
      <c r="M29" s="62">
        <f>IFERROR(aurora_data!L841+aurora_data!L941,0)</f>
        <v>0</v>
      </c>
      <c r="N29" s="63">
        <f>IFERROR(aurora_data!M841+aurora_data!M941,0)</f>
        <v>3</v>
      </c>
      <c r="O29" s="36">
        <f>IFERROR(aurora_data!N841+aurora_data!N941,0)</f>
        <v>0</v>
      </c>
      <c r="P29" s="62">
        <f>IFERROR(aurora_data!O841+aurora_data!O941,0)</f>
        <v>2</v>
      </c>
      <c r="Q29" s="62">
        <f>IFERROR(aurora_data!P841+aurora_data!P941,0)</f>
        <v>3</v>
      </c>
      <c r="R29" s="63">
        <f>IFERROR(aurora_data!Q841+aurora_data!Q941,0)</f>
        <v>1</v>
      </c>
      <c r="S29" s="62">
        <f>IFERROR(aurora_data!R841+aurora_data!R941,0)</f>
        <v>2</v>
      </c>
      <c r="T29" s="62">
        <f>IFERROR(aurora_data!S841+aurora_data!S941,0)</f>
        <v>4</v>
      </c>
      <c r="U29" s="63">
        <f>IFERROR(aurora_data!T841+aurora_data!T941,0)</f>
        <v>0</v>
      </c>
      <c r="V29" s="64" t="s">
        <v>198</v>
      </c>
      <c r="W29" s="36">
        <f>IFERROR(aurora_data!U841+aurora_data!U941,0)</f>
        <v>6</v>
      </c>
      <c r="X29" s="71">
        <f t="shared" ref="X29:X35" si="2">IFERROR(W29/$W$28,0)</f>
        <v>0.5</v>
      </c>
      <c r="Y29" s="2"/>
    </row>
    <row r="30" spans="1:25" customFormat="1" ht="15.75" customHeight="1">
      <c r="A30" s="2"/>
      <c r="B30" s="197"/>
      <c r="C30" s="199"/>
      <c r="D30" s="35" t="s">
        <v>137</v>
      </c>
      <c r="E30" s="36">
        <f>IFERROR(aurora_data!D842+aurora_data!D942,0)</f>
        <v>0</v>
      </c>
      <c r="F30" s="62">
        <f>IFERROR(aurora_data!E842+aurora_data!E942,0)</f>
        <v>0</v>
      </c>
      <c r="G30" s="62">
        <f>IFERROR(aurora_data!F842+aurora_data!F942,0)</f>
        <v>0</v>
      </c>
      <c r="H30" s="62">
        <f>IFERROR(aurora_data!G842+aurora_data!G942,0)</f>
        <v>0</v>
      </c>
      <c r="I30" s="63">
        <f>IFERROR(aurora_data!H842+aurora_data!H942,0)</f>
        <v>0</v>
      </c>
      <c r="J30" s="36">
        <f>IFERROR(aurora_data!I842+aurora_data!I942,0)</f>
        <v>0</v>
      </c>
      <c r="K30" s="62">
        <f>IFERROR(aurora_data!J842+aurora_data!J942,0)</f>
        <v>0</v>
      </c>
      <c r="L30" s="62">
        <f>IFERROR(aurora_data!K842+aurora_data!K942,0)</f>
        <v>0</v>
      </c>
      <c r="M30" s="62">
        <f>IFERROR(aurora_data!L842+aurora_data!L942,0)</f>
        <v>0</v>
      </c>
      <c r="N30" s="63">
        <f>IFERROR(aurora_data!M842+aurora_data!M942,0)</f>
        <v>0</v>
      </c>
      <c r="O30" s="36">
        <f>IFERROR(aurora_data!N842+aurora_data!N942,0)</f>
        <v>0</v>
      </c>
      <c r="P30" s="62">
        <f>IFERROR(aurora_data!O842+aurora_data!O942,0)</f>
        <v>0</v>
      </c>
      <c r="Q30" s="62">
        <f>IFERROR(aurora_data!P842+aurora_data!P942,0)</f>
        <v>0</v>
      </c>
      <c r="R30" s="63">
        <f>IFERROR(aurora_data!Q842+aurora_data!Q942,0)</f>
        <v>0</v>
      </c>
      <c r="S30" s="62">
        <f>IFERROR(aurora_data!R842+aurora_data!R942,0)</f>
        <v>0</v>
      </c>
      <c r="T30" s="62">
        <f>IFERROR(aurora_data!S842+aurora_data!S942,0)</f>
        <v>0</v>
      </c>
      <c r="U30" s="63">
        <f>IFERROR(aurora_data!T842+aurora_data!T942,0)</f>
        <v>0</v>
      </c>
      <c r="V30" s="64" t="s">
        <v>198</v>
      </c>
      <c r="W30" s="36">
        <f>IFERROR(aurora_data!U842+aurora_data!U942,0)</f>
        <v>0</v>
      </c>
      <c r="X30" s="71">
        <f t="shared" si="2"/>
        <v>0</v>
      </c>
      <c r="Y30" s="2"/>
    </row>
    <row r="31" spans="1:25" customFormat="1" ht="15.75" customHeight="1">
      <c r="A31" s="2"/>
      <c r="B31" s="197"/>
      <c r="C31" s="199"/>
      <c r="D31" s="35" t="s">
        <v>200</v>
      </c>
      <c r="E31" s="36">
        <f>IFERROR(aurora_data!D843+aurora_data!D943,0)</f>
        <v>0</v>
      </c>
      <c r="F31" s="62">
        <f>IFERROR(aurora_data!E843+aurora_data!E943,0)</f>
        <v>0</v>
      </c>
      <c r="G31" s="62">
        <f>IFERROR(aurora_data!F843+aurora_data!F943,0)</f>
        <v>0</v>
      </c>
      <c r="H31" s="62">
        <f>IFERROR(aurora_data!G843+aurora_data!G943,0)</f>
        <v>0</v>
      </c>
      <c r="I31" s="63">
        <f>IFERROR(aurora_data!H843+aurora_data!H943,0)</f>
        <v>0</v>
      </c>
      <c r="J31" s="36">
        <f>IFERROR(aurora_data!I843+aurora_data!I943,0)</f>
        <v>0</v>
      </c>
      <c r="K31" s="62">
        <f>IFERROR(aurora_data!J843+aurora_data!J943,0)</f>
        <v>0</v>
      </c>
      <c r="L31" s="62">
        <f>IFERROR(aurora_data!K843+aurora_data!K943,0)</f>
        <v>0</v>
      </c>
      <c r="M31" s="62">
        <f>IFERROR(aurora_data!L843+aurora_data!L943,0)</f>
        <v>0</v>
      </c>
      <c r="N31" s="63">
        <f>IFERROR(aurora_data!M843+aurora_data!M943,0)</f>
        <v>0</v>
      </c>
      <c r="O31" s="36">
        <f>IFERROR(aurora_data!N843+aurora_data!N943,0)</f>
        <v>0</v>
      </c>
      <c r="P31" s="62">
        <f>IFERROR(aurora_data!O843+aurora_data!O943,0)</f>
        <v>0</v>
      </c>
      <c r="Q31" s="62">
        <f>IFERROR(aurora_data!P843+aurora_data!P943,0)</f>
        <v>0</v>
      </c>
      <c r="R31" s="63">
        <f>IFERROR(aurora_data!Q843+aurora_data!Q943,0)</f>
        <v>0</v>
      </c>
      <c r="S31" s="62">
        <f>IFERROR(aurora_data!R843+aurora_data!R943,0)</f>
        <v>0</v>
      </c>
      <c r="T31" s="62">
        <f>IFERROR(aurora_data!S843+aurora_data!S943,0)</f>
        <v>0</v>
      </c>
      <c r="U31" s="63">
        <f>IFERROR(aurora_data!T843+aurora_data!T943,0)</f>
        <v>0</v>
      </c>
      <c r="V31" s="64" t="s">
        <v>198</v>
      </c>
      <c r="W31" s="36">
        <f>IFERROR(aurora_data!U843+aurora_data!U943,0)</f>
        <v>0</v>
      </c>
      <c r="X31" s="71">
        <f t="shared" si="2"/>
        <v>0</v>
      </c>
      <c r="Y31" s="2"/>
    </row>
    <row r="32" spans="1:25" customFormat="1" ht="16.5" customHeight="1">
      <c r="A32" s="2"/>
      <c r="B32" s="197"/>
      <c r="C32" s="199"/>
      <c r="D32" s="35" t="s">
        <v>201</v>
      </c>
      <c r="E32" s="36">
        <f>IFERROR(aurora_data!D844+aurora_data!D944,0)</f>
        <v>0</v>
      </c>
      <c r="F32" s="62">
        <f>IFERROR(aurora_data!E844+aurora_data!E944,0)</f>
        <v>0</v>
      </c>
      <c r="G32" s="62">
        <f>IFERROR(aurora_data!F844+aurora_data!F944,0)</f>
        <v>0</v>
      </c>
      <c r="H32" s="62">
        <f>IFERROR(aurora_data!G844+aurora_data!G944,0)</f>
        <v>0</v>
      </c>
      <c r="I32" s="63">
        <f>IFERROR(aurora_data!H844+aurora_data!H944,0)</f>
        <v>0</v>
      </c>
      <c r="J32" s="36">
        <f>IFERROR(aurora_data!I844+aurora_data!I944,0)</f>
        <v>0</v>
      </c>
      <c r="K32" s="62">
        <f>IFERROR(aurora_data!J844+aurora_data!J944,0)</f>
        <v>0</v>
      </c>
      <c r="L32" s="62">
        <f>IFERROR(aurora_data!K844+aurora_data!K944,0)</f>
        <v>0</v>
      </c>
      <c r="M32" s="62">
        <f>IFERROR(aurora_data!L844+aurora_data!L944,0)</f>
        <v>0</v>
      </c>
      <c r="N32" s="63">
        <f>IFERROR(aurora_data!M844+aurora_data!M944,0)</f>
        <v>0</v>
      </c>
      <c r="O32" s="36">
        <f>IFERROR(aurora_data!N844+aurora_data!N944,0)</f>
        <v>0</v>
      </c>
      <c r="P32" s="62">
        <f>IFERROR(aurora_data!O844+aurora_data!O944,0)</f>
        <v>0</v>
      </c>
      <c r="Q32" s="62">
        <f>IFERROR(aurora_data!P844+aurora_data!P944,0)</f>
        <v>0</v>
      </c>
      <c r="R32" s="63">
        <f>IFERROR(aurora_data!Q844+aurora_data!Q944,0)</f>
        <v>0</v>
      </c>
      <c r="S32" s="62">
        <f>IFERROR(aurora_data!R844+aurora_data!R944,0)</f>
        <v>0</v>
      </c>
      <c r="T32" s="62">
        <f>IFERROR(aurora_data!S844+aurora_data!S944,0)</f>
        <v>0</v>
      </c>
      <c r="U32" s="63">
        <f>IFERROR(aurora_data!T844+aurora_data!T944,0)</f>
        <v>0</v>
      </c>
      <c r="V32" s="64" t="s">
        <v>198</v>
      </c>
      <c r="W32" s="36">
        <f>IFERROR(aurora_data!U844+aurora_data!U944,0)</f>
        <v>0</v>
      </c>
      <c r="X32" s="71">
        <f t="shared" si="2"/>
        <v>0</v>
      </c>
      <c r="Y32" s="2"/>
    </row>
    <row r="33" spans="1:25" customFormat="1" ht="16.5" customHeight="1" thickBot="1">
      <c r="A33" s="2"/>
      <c r="B33" s="197"/>
      <c r="C33" s="199"/>
      <c r="D33" s="35" t="s">
        <v>202</v>
      </c>
      <c r="E33" s="36">
        <f>IFERROR(aurora_data!D845+aurora_data!D945,0)</f>
        <v>0</v>
      </c>
      <c r="F33" s="62">
        <f>IFERROR(aurora_data!E845+aurora_data!E945,0)</f>
        <v>0</v>
      </c>
      <c r="G33" s="62">
        <f>IFERROR(aurora_data!F845+aurora_data!F945,0)</f>
        <v>0</v>
      </c>
      <c r="H33" s="62">
        <f>IFERROR(aurora_data!G845+aurora_data!G945,0)</f>
        <v>0</v>
      </c>
      <c r="I33" s="63">
        <f>IFERROR(aurora_data!H845+aurora_data!H945,0)</f>
        <v>0</v>
      </c>
      <c r="J33" s="36">
        <f>IFERROR(aurora_data!I845+aurora_data!I945,0)</f>
        <v>0</v>
      </c>
      <c r="K33" s="62">
        <f>IFERROR(aurora_data!J845+aurora_data!J945,0)</f>
        <v>0</v>
      </c>
      <c r="L33" s="62">
        <f>IFERROR(aurora_data!K845+aurora_data!K945,0)</f>
        <v>0</v>
      </c>
      <c r="M33" s="62">
        <f>IFERROR(aurora_data!L845+aurora_data!L945,0)</f>
        <v>0</v>
      </c>
      <c r="N33" s="63">
        <f>IFERROR(aurora_data!M845+aurora_data!M945,0)</f>
        <v>0</v>
      </c>
      <c r="O33" s="36">
        <f>IFERROR(aurora_data!N845+aurora_data!N945,0)</f>
        <v>0</v>
      </c>
      <c r="P33" s="62">
        <f>IFERROR(aurora_data!O845+aurora_data!O945,0)</f>
        <v>0</v>
      </c>
      <c r="Q33" s="62">
        <f>IFERROR(aurora_data!P845+aurora_data!P945,0)</f>
        <v>0</v>
      </c>
      <c r="R33" s="63">
        <f>IFERROR(aurora_data!Q845+aurora_data!Q945,0)</f>
        <v>0</v>
      </c>
      <c r="S33" s="62">
        <f>IFERROR(aurora_data!R845+aurora_data!R945,0)</f>
        <v>0</v>
      </c>
      <c r="T33" s="62">
        <f>IFERROR(aurora_data!S845+aurora_data!S945,0)</f>
        <v>0</v>
      </c>
      <c r="U33" s="63">
        <f>IFERROR(aurora_data!T845+aurora_data!T945,0)</f>
        <v>0</v>
      </c>
      <c r="V33" s="64" t="s">
        <v>198</v>
      </c>
      <c r="W33" s="36">
        <f>IFERROR(aurora_data!U845+aurora_data!U945,0)</f>
        <v>0</v>
      </c>
      <c r="X33" s="71">
        <f t="shared" si="2"/>
        <v>0</v>
      </c>
      <c r="Y33" s="2"/>
    </row>
    <row r="34" spans="1:25" customFormat="1" ht="16.5" customHeight="1" thickBot="1">
      <c r="A34" s="2"/>
      <c r="B34" s="197"/>
      <c r="C34" s="199"/>
      <c r="D34" s="37" t="s">
        <v>141</v>
      </c>
      <c r="E34" s="59">
        <f>IFERROR(aurora_data!D846+aurora_data!D946,0)</f>
        <v>2</v>
      </c>
      <c r="F34" s="65">
        <f>IFERROR(aurora_data!E846+aurora_data!E946,0)</f>
        <v>1</v>
      </c>
      <c r="G34" s="65">
        <f>IFERROR(aurora_data!F846+aurora_data!F946,0)</f>
        <v>3</v>
      </c>
      <c r="H34" s="65">
        <f>IFERROR(aurora_data!G846+aurora_data!G946,0)</f>
        <v>0</v>
      </c>
      <c r="I34" s="66">
        <f>IFERROR(aurora_data!H846+aurora_data!H946,0)</f>
        <v>0</v>
      </c>
      <c r="J34" s="59">
        <f>IFERROR(aurora_data!I846+aurora_data!I946,0)</f>
        <v>0</v>
      </c>
      <c r="K34" s="65">
        <f>IFERROR(aurora_data!J846+aurora_data!J946,0)</f>
        <v>3</v>
      </c>
      <c r="L34" s="65">
        <f>IFERROR(aurora_data!K846+aurora_data!K946,0)</f>
        <v>0</v>
      </c>
      <c r="M34" s="65">
        <f>IFERROR(aurora_data!L846+aurora_data!L946,0)</f>
        <v>0</v>
      </c>
      <c r="N34" s="66">
        <f>IFERROR(aurora_data!M846+aurora_data!M946,0)</f>
        <v>3</v>
      </c>
      <c r="O34" s="59">
        <f>IFERROR(aurora_data!N846+aurora_data!N946,0)</f>
        <v>0</v>
      </c>
      <c r="P34" s="65">
        <f>IFERROR(aurora_data!O846+aurora_data!O946,0)</f>
        <v>2</v>
      </c>
      <c r="Q34" s="65">
        <f>IFERROR(aurora_data!P846+aurora_data!P946,0)</f>
        <v>3</v>
      </c>
      <c r="R34" s="66">
        <f>IFERROR(aurora_data!Q846+aurora_data!Q946,0)</f>
        <v>1</v>
      </c>
      <c r="S34" s="65">
        <f>IFERROR(aurora_data!R846+aurora_data!R946,0)</f>
        <v>2</v>
      </c>
      <c r="T34" s="65">
        <f>IFERROR(aurora_data!S846+aurora_data!S946,0)</f>
        <v>4</v>
      </c>
      <c r="U34" s="66">
        <f>IFERROR(aurora_data!T846+aurora_data!T946,0)</f>
        <v>0</v>
      </c>
      <c r="V34" s="67" t="s">
        <v>198</v>
      </c>
      <c r="W34" s="59">
        <f>IFERROR(aurora_data!U846+aurora_data!U946,0)</f>
        <v>6</v>
      </c>
      <c r="X34" s="72">
        <f t="shared" si="2"/>
        <v>0.5</v>
      </c>
      <c r="Y34" s="2"/>
    </row>
    <row r="35" spans="1:25" customFormat="1" ht="16.5" customHeight="1" thickBot="1">
      <c r="A35" s="2"/>
      <c r="B35" s="197"/>
      <c r="C35" s="199"/>
      <c r="D35" s="38" t="s">
        <v>203</v>
      </c>
      <c r="E35" s="60">
        <f>IFERROR(aurora_data!D847+aurora_data!D947,0)</f>
        <v>0</v>
      </c>
      <c r="F35" s="68">
        <f>IFERROR(aurora_data!E847+aurora_data!E947,0)</f>
        <v>0</v>
      </c>
      <c r="G35" s="68">
        <f>IFERROR(aurora_data!F847+aurora_data!F947,0)</f>
        <v>0</v>
      </c>
      <c r="H35" s="68">
        <f>IFERROR(aurora_data!G847+aurora_data!G947,0)</f>
        <v>0</v>
      </c>
      <c r="I35" s="69">
        <f>IFERROR(aurora_data!H847+aurora_data!H947,0)</f>
        <v>0</v>
      </c>
      <c r="J35" s="60">
        <f>IFERROR(aurora_data!I847+aurora_data!I947,0)</f>
        <v>0</v>
      </c>
      <c r="K35" s="68">
        <f>IFERROR(aurora_data!J847+aurora_data!J947,0)</f>
        <v>0</v>
      </c>
      <c r="L35" s="68">
        <f>IFERROR(aurora_data!K847+aurora_data!K947,0)</f>
        <v>0</v>
      </c>
      <c r="M35" s="68">
        <f>IFERROR(aurora_data!L847+aurora_data!L947,0)</f>
        <v>0</v>
      </c>
      <c r="N35" s="69">
        <f>IFERROR(aurora_data!M847+aurora_data!M947,0)</f>
        <v>0</v>
      </c>
      <c r="O35" s="60">
        <f>IFERROR(aurora_data!N847+aurora_data!N947,0)</f>
        <v>0</v>
      </c>
      <c r="P35" s="68">
        <f>IFERROR(aurora_data!O847+aurora_data!O947,0)</f>
        <v>0</v>
      </c>
      <c r="Q35" s="68">
        <f>IFERROR(aurora_data!P847+aurora_data!P947,0)</f>
        <v>0</v>
      </c>
      <c r="R35" s="69">
        <f>IFERROR(aurora_data!Q847+aurora_data!Q947,0)</f>
        <v>0</v>
      </c>
      <c r="S35" s="68">
        <f>IFERROR(aurora_data!R847+aurora_data!R947,0)</f>
        <v>0</v>
      </c>
      <c r="T35" s="68">
        <f>IFERROR(aurora_data!S847+aurora_data!S947,0)</f>
        <v>0</v>
      </c>
      <c r="U35" s="74">
        <f>IFERROR(aurora_data!T847+aurora_data!T947,0)</f>
        <v>0</v>
      </c>
      <c r="V35" s="75" t="s">
        <v>198</v>
      </c>
      <c r="W35" s="60">
        <f>IFERROR(aurora_data!U847+aurora_data!U947,0)</f>
        <v>0</v>
      </c>
      <c r="X35" s="73">
        <f t="shared" si="2"/>
        <v>0</v>
      </c>
      <c r="Y35" s="2"/>
    </row>
    <row r="36" spans="1:25" ht="16.5" customHeight="1">
      <c r="B36" s="97"/>
      <c r="C36" s="97"/>
    </row>
  </sheetData>
  <sheetProtection sheet="1" objects="1" scenarios="1"/>
  <mergeCells count="2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B28:B35"/>
    <mergeCell ref="C28:C35"/>
    <mergeCell ref="J10:N10"/>
    <mergeCell ref="O10:R10"/>
    <mergeCell ref="S10:U10"/>
    <mergeCell ref="B12:B19"/>
    <mergeCell ref="C12:C19"/>
    <mergeCell ref="B20:B27"/>
    <mergeCell ref="C20:C27"/>
  </mergeCells>
  <conditionalFormatting sqref="E13:W13">
    <cfRule type="expression" dxfId="27" priority="2">
      <formula>ROUND(E$13,0) &gt;= ROUND(E$12,0)</formula>
    </cfRule>
  </conditionalFormatting>
  <conditionalFormatting sqref="E18:W18">
    <cfRule type="expression" dxfId="26" priority="4">
      <formula>ROUND(E$18,0) &lt; ROUND(E$12,0)</formula>
    </cfRule>
  </conditionalFormatting>
  <conditionalFormatting sqref="E21:W21">
    <cfRule type="expression" dxfId="25" priority="3">
      <formula>ROUND(E$21,0) &gt;= ROUND(E$20,0)</formula>
    </cfRule>
  </conditionalFormatting>
  <conditionalFormatting sqref="E26:W26">
    <cfRule type="expression" dxfId="24" priority="5">
      <formula>ROUND(E$26,0) &lt; ROUND(E$20,0)</formula>
    </cfRule>
  </conditionalFormatting>
  <conditionalFormatting sqref="E29:W29">
    <cfRule type="expression" dxfId="23" priority="1">
      <formula>ROUND(E$29,0) &gt;= ROUND(E$28,0)</formula>
    </cfRule>
  </conditionalFormatting>
  <conditionalFormatting sqref="E34:W34">
    <cfRule type="expression" dxfId="22" priority="6">
      <formula>ROUND(E$34,0) &lt; ROUND(E$28,0)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2911-5C6C-415A-A661-B9FFED6802CC}">
  <sheetPr codeName="Sheet11">
    <tabColor rgb="FF92D050"/>
  </sheetPr>
  <dimension ref="A1:Y36"/>
  <sheetViews>
    <sheetView zoomScale="85" zoomScaleNormal="85" workbookViewId="0">
      <selection activeCell="E14" sqref="E14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40" t="s">
        <v>178</v>
      </c>
      <c r="B1" s="141"/>
      <c r="C1" s="142"/>
      <c r="D1" s="143" t="s">
        <v>179</v>
      </c>
      <c r="E1" s="144"/>
      <c r="F1" s="144"/>
      <c r="G1" s="144"/>
      <c r="H1" s="145"/>
      <c r="I1" s="98"/>
      <c r="J1" s="88"/>
      <c r="K1" s="100"/>
      <c r="L1" s="100"/>
      <c r="M1" s="100"/>
      <c r="N1" s="100" t="s">
        <v>180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46" t="s">
        <v>181</v>
      </c>
      <c r="B2" s="146"/>
      <c r="C2" s="147"/>
      <c r="D2" s="148" t="str">
        <f>_xlfn.CONCAT("Study Name: ","
CELF-6 RF1 &amp; 2 OSEP ADHD (Age 5-17)")</f>
        <v>Study Name: 
CELF-6 RF1 &amp; 2 OSEP ADHD (Age 5-17)</v>
      </c>
      <c r="E2" s="149"/>
      <c r="F2" s="149"/>
      <c r="G2" s="149"/>
      <c r="H2" s="150"/>
      <c r="I2" s="4"/>
      <c r="J2" s="4"/>
      <c r="K2" s="151" t="s">
        <v>182</v>
      </c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3"/>
      <c r="Y2" s="103"/>
    </row>
    <row r="3" spans="1:25" customFormat="1" ht="30.75" customHeight="1" thickBot="1">
      <c r="A3" s="2"/>
      <c r="B3" s="2"/>
      <c r="C3" s="2"/>
      <c r="D3" s="158" t="str">
        <f>_xlfn.CONCAT("Study Acronym: ","
OSEP_ADHD_RF1/OSEP_ADHD_RF2")</f>
        <v>Study Acronym: 
OSEP_ADHD_RF1/OSEP_ADHD_RF2</v>
      </c>
      <c r="E3" s="159"/>
      <c r="F3" s="160" t="s">
        <v>213</v>
      </c>
      <c r="G3" s="160"/>
      <c r="H3" s="161"/>
      <c r="I3" s="4"/>
      <c r="J3" s="4"/>
      <c r="K3" s="154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3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54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3"/>
      <c r="Y4" s="104"/>
    </row>
    <row r="5" spans="1:25" customFormat="1" ht="21.95" customHeight="1" thickBot="1">
      <c r="A5" s="2"/>
      <c r="B5" s="2"/>
      <c r="C5" s="102"/>
      <c r="D5" s="143" t="s">
        <v>184</v>
      </c>
      <c r="E5" s="144"/>
      <c r="F5" s="144"/>
      <c r="G5" s="144"/>
      <c r="H5" s="101"/>
      <c r="I5" s="98"/>
      <c r="J5" s="98"/>
      <c r="K5" s="154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3"/>
      <c r="Y5" s="105"/>
    </row>
    <row r="6" spans="1:25" customFormat="1" ht="60.95" customHeight="1" thickBot="1">
      <c r="A6" s="2"/>
      <c r="B6" s="2"/>
      <c r="C6" s="99"/>
      <c r="D6" s="162" t="s">
        <v>214</v>
      </c>
      <c r="E6" s="163"/>
      <c r="F6" s="163"/>
      <c r="G6" s="163"/>
      <c r="H6" s="164"/>
      <c r="I6" s="136"/>
      <c r="J6" s="137"/>
      <c r="K6" s="155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7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65" t="str">
        <f>_xlfn.CONCAT("Last Refreshed at: ",aurora_data!V1032)</f>
        <v>Last Refreshed at: 08/06/2026 @ 7:19 AM</v>
      </c>
      <c r="C8" s="166"/>
      <c r="D8" s="166"/>
      <c r="E8" s="167" t="s">
        <v>186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9"/>
      <c r="V8" s="44"/>
      <c r="W8" s="170" t="s">
        <v>187</v>
      </c>
      <c r="X8" s="171"/>
      <c r="Y8" s="2"/>
    </row>
    <row r="9" spans="1:25" customFormat="1" ht="16.5" customHeight="1" thickBot="1">
      <c r="A9" s="2"/>
      <c r="B9" s="176"/>
      <c r="C9" s="177"/>
      <c r="D9" s="29" t="s">
        <v>188</v>
      </c>
      <c r="E9" s="178" t="s">
        <v>189</v>
      </c>
      <c r="F9" s="179"/>
      <c r="G9" s="179"/>
      <c r="H9" s="179"/>
      <c r="I9" s="179"/>
      <c r="J9" s="180" t="s">
        <v>189</v>
      </c>
      <c r="K9" s="181"/>
      <c r="L9" s="181"/>
      <c r="M9" s="181"/>
      <c r="N9" s="181"/>
      <c r="O9" s="182" t="s">
        <v>189</v>
      </c>
      <c r="P9" s="183"/>
      <c r="Q9" s="183"/>
      <c r="R9" s="183"/>
      <c r="S9" s="184" t="s">
        <v>189</v>
      </c>
      <c r="T9" s="185"/>
      <c r="U9" s="185"/>
      <c r="V9" s="28"/>
      <c r="W9" s="172"/>
      <c r="X9" s="173"/>
      <c r="Y9" s="2"/>
    </row>
    <row r="10" spans="1:25" customFormat="1" ht="17.25" thickTop="1" thickBot="1">
      <c r="A10" s="2"/>
      <c r="B10" s="186" t="s">
        <v>190</v>
      </c>
      <c r="C10" s="30"/>
      <c r="D10" s="31"/>
      <c r="E10" s="187" t="s">
        <v>191</v>
      </c>
      <c r="F10" s="188"/>
      <c r="G10" s="188"/>
      <c r="H10" s="188"/>
      <c r="I10" s="189"/>
      <c r="J10" s="188" t="s">
        <v>192</v>
      </c>
      <c r="K10" s="188"/>
      <c r="L10" s="188"/>
      <c r="M10" s="188"/>
      <c r="N10" s="189"/>
      <c r="O10" s="190" t="s">
        <v>193</v>
      </c>
      <c r="P10" s="190"/>
      <c r="Q10" s="190"/>
      <c r="R10" s="190"/>
      <c r="S10" s="191" t="s">
        <v>194</v>
      </c>
      <c r="T10" s="192"/>
      <c r="U10" s="193"/>
      <c r="V10" s="32"/>
      <c r="W10" s="172"/>
      <c r="X10" s="173"/>
      <c r="Y10" s="2"/>
    </row>
    <row r="11" spans="1:25" customFormat="1" ht="17.25" thickTop="1" thickBot="1">
      <c r="A11" s="2"/>
      <c r="B11" s="186"/>
      <c r="C11" s="30" t="s">
        <v>110</v>
      </c>
      <c r="D11" s="33" t="s">
        <v>112</v>
      </c>
      <c r="E11" s="96">
        <v>1</v>
      </c>
      <c r="F11" s="94">
        <v>2</v>
      </c>
      <c r="G11" s="95" t="s">
        <v>115</v>
      </c>
      <c r="H11" s="95">
        <v>4</v>
      </c>
      <c r="I11" s="95">
        <v>5</v>
      </c>
      <c r="J11" s="89" t="s">
        <v>118</v>
      </c>
      <c r="K11" s="89" t="s">
        <v>119</v>
      </c>
      <c r="L11" s="89" t="s">
        <v>120</v>
      </c>
      <c r="M11" s="93" t="s">
        <v>195</v>
      </c>
      <c r="N11" s="93" t="s">
        <v>122</v>
      </c>
      <c r="O11" s="89" t="s">
        <v>123</v>
      </c>
      <c r="P11" s="89" t="s">
        <v>124</v>
      </c>
      <c r="Q11" s="89" t="s">
        <v>125</v>
      </c>
      <c r="R11" s="89" t="s">
        <v>126</v>
      </c>
      <c r="S11" s="90" t="s">
        <v>127</v>
      </c>
      <c r="T11" s="91" t="s">
        <v>128</v>
      </c>
      <c r="U11" s="92" t="s">
        <v>196</v>
      </c>
      <c r="V11" s="28"/>
      <c r="W11" s="174"/>
      <c r="X11" s="175"/>
      <c r="Y11" s="2"/>
    </row>
    <row r="12" spans="1:25" customFormat="1">
      <c r="A12" s="2"/>
      <c r="B12" s="200" t="s">
        <v>212</v>
      </c>
      <c r="C12" s="194" t="str">
        <f>aurora_data!A1032</f>
        <v>05.00.00-08.11.30</v>
      </c>
      <c r="D12" s="34" t="s">
        <v>153</v>
      </c>
      <c r="E12" s="39">
        <f>IFERROR(aurora_data!D1032,0)</f>
        <v>0</v>
      </c>
      <c r="F12" s="40">
        <f>IFERROR(aurora_data!E1032,0)</f>
        <v>0</v>
      </c>
      <c r="G12" s="40">
        <f>IFERROR(aurora_data!F1032,0)</f>
        <v>0</v>
      </c>
      <c r="H12" s="40">
        <f>IFERROR(aurora_data!G1032,0)</f>
        <v>0</v>
      </c>
      <c r="I12" s="41">
        <f>IFERROR(aurora_data!H1032,0)</f>
        <v>0</v>
      </c>
      <c r="J12" s="39">
        <f>IFERROR(aurora_data!I1032,0)</f>
        <v>0</v>
      </c>
      <c r="K12" s="40">
        <f>IFERROR(aurora_data!J1032,0)</f>
        <v>0</v>
      </c>
      <c r="L12" s="40">
        <f>IFERROR(aurora_data!K1032,0)</f>
        <v>0</v>
      </c>
      <c r="M12" s="40">
        <f>IFERROR(aurora_data!L1032,0)</f>
        <v>0</v>
      </c>
      <c r="N12" s="41">
        <f>IFERROR(aurora_data!M1032,0)</f>
        <v>0</v>
      </c>
      <c r="O12" s="39">
        <f>IFERROR(aurora_data!N1032,0)</f>
        <v>0</v>
      </c>
      <c r="P12" s="40">
        <f>IFERROR(aurora_data!O1032,0)</f>
        <v>0</v>
      </c>
      <c r="Q12" s="40">
        <f>IFERROR(aurora_data!P1032,0)</f>
        <v>0</v>
      </c>
      <c r="R12" s="41">
        <f>IFERROR(aurora_data!Q1032,0)</f>
        <v>0</v>
      </c>
      <c r="S12" s="40">
        <f>IFERROR(aurora_data!R1032,0)</f>
        <v>0</v>
      </c>
      <c r="T12" s="40">
        <f>IFERROR(aurora_data!S1032,0)</f>
        <v>0</v>
      </c>
      <c r="U12" s="76">
        <f>IFERROR(aurora_data!T1032,0)</f>
        <v>0</v>
      </c>
      <c r="V12" s="61" t="s">
        <v>198</v>
      </c>
      <c r="W12" s="39">
        <f>IFERROR(aurora_data!U1032,0)</f>
        <v>35</v>
      </c>
      <c r="X12" s="70">
        <f>IFERROR(W12/$W$12,0)</f>
        <v>1</v>
      </c>
      <c r="Y12" s="2"/>
    </row>
    <row r="13" spans="1:25" customFormat="1">
      <c r="A13" s="2"/>
      <c r="B13" s="201"/>
      <c r="C13" s="195"/>
      <c r="D13" s="35" t="s">
        <v>199</v>
      </c>
      <c r="E13" s="110">
        <f>IFERROR(aurora_data!D1033,0)</f>
        <v>3</v>
      </c>
      <c r="F13" s="62">
        <f>IFERROR(aurora_data!E1033,0)</f>
        <v>5</v>
      </c>
      <c r="G13" s="62">
        <f>IFERROR(aurora_data!F1033,0)</f>
        <v>3</v>
      </c>
      <c r="H13" s="62">
        <f>IFERROR(aurora_data!G1033,0)</f>
        <v>3</v>
      </c>
      <c r="I13" s="63">
        <f>IFERROR(aurora_data!H1033,0)</f>
        <v>0</v>
      </c>
      <c r="J13" s="36">
        <f>IFERROR(aurora_data!I1033,0)</f>
        <v>1</v>
      </c>
      <c r="K13" s="62">
        <f>IFERROR(aurora_data!J1033,0)</f>
        <v>3</v>
      </c>
      <c r="L13" s="62">
        <f>IFERROR(aurora_data!K1033,0)</f>
        <v>2</v>
      </c>
      <c r="M13" s="62">
        <f>IFERROR(aurora_data!L1033,0)</f>
        <v>2</v>
      </c>
      <c r="N13" s="63">
        <f>IFERROR(aurora_data!M1033,0)</f>
        <v>6</v>
      </c>
      <c r="O13" s="36">
        <f>IFERROR(aurora_data!N1033,0)</f>
        <v>3</v>
      </c>
      <c r="P13" s="62">
        <f>IFERROR(aurora_data!O1033,0)</f>
        <v>3</v>
      </c>
      <c r="Q13" s="62">
        <f>IFERROR(aurora_data!P1033,0)</f>
        <v>8</v>
      </c>
      <c r="R13" s="63">
        <f>IFERROR(aurora_data!Q1033,0)</f>
        <v>0</v>
      </c>
      <c r="S13" s="62">
        <f>IFERROR(aurora_data!R1033,0)</f>
        <v>6</v>
      </c>
      <c r="T13" s="62">
        <f>IFERROR(aurora_data!S1033,0)</f>
        <v>8</v>
      </c>
      <c r="U13" s="63">
        <f>IFERROR(aurora_data!T1033,0)</f>
        <v>0</v>
      </c>
      <c r="V13" s="64" t="s">
        <v>198</v>
      </c>
      <c r="W13" s="36">
        <f>IFERROR(aurora_data!U1033,0)</f>
        <v>14</v>
      </c>
      <c r="X13" s="71">
        <f t="shared" ref="X13:X19" si="0">IFERROR(W13/$W$12,0)</f>
        <v>0.4</v>
      </c>
      <c r="Y13" s="2"/>
    </row>
    <row r="14" spans="1:25" customFormat="1">
      <c r="A14" s="2"/>
      <c r="B14" s="201"/>
      <c r="C14" s="195"/>
      <c r="D14" s="35" t="s">
        <v>137</v>
      </c>
      <c r="E14" s="110">
        <f>IFERROR(aurora_data!D1034,0)</f>
        <v>0</v>
      </c>
      <c r="F14" s="62">
        <f>IFERROR(aurora_data!E1034,0)</f>
        <v>0</v>
      </c>
      <c r="G14" s="62">
        <f>IFERROR(aurora_data!F1034,0)</f>
        <v>0</v>
      </c>
      <c r="H14" s="62">
        <f>IFERROR(aurora_data!G1034,0)</f>
        <v>0</v>
      </c>
      <c r="I14" s="63">
        <f>IFERROR(aurora_data!H1034,0)</f>
        <v>0</v>
      </c>
      <c r="J14" s="36">
        <f>IFERROR(aurora_data!I1034,0)</f>
        <v>0</v>
      </c>
      <c r="K14" s="62">
        <f>IFERROR(aurora_data!J1034,0)</f>
        <v>0</v>
      </c>
      <c r="L14" s="62">
        <f>IFERROR(aurora_data!K1034,0)</f>
        <v>0</v>
      </c>
      <c r="M14" s="62">
        <f>IFERROR(aurora_data!L1034,0)</f>
        <v>0</v>
      </c>
      <c r="N14" s="63">
        <f>IFERROR(aurora_data!M1034,0)</f>
        <v>0</v>
      </c>
      <c r="O14" s="36">
        <f>IFERROR(aurora_data!N1034,0)</f>
        <v>0</v>
      </c>
      <c r="P14" s="62">
        <f>IFERROR(aurora_data!O1034,0)</f>
        <v>0</v>
      </c>
      <c r="Q14" s="62">
        <f>IFERROR(aurora_data!P1034,0)</f>
        <v>0</v>
      </c>
      <c r="R14" s="63">
        <f>IFERROR(aurora_data!Q1034,0)</f>
        <v>0</v>
      </c>
      <c r="S14" s="62">
        <f>IFERROR(aurora_data!R1034,0)</f>
        <v>0</v>
      </c>
      <c r="T14" s="62">
        <f>IFERROR(aurora_data!S1034,0)</f>
        <v>0</v>
      </c>
      <c r="U14" s="63">
        <f>IFERROR(aurora_data!T1034,0)</f>
        <v>0</v>
      </c>
      <c r="V14" s="64" t="s">
        <v>198</v>
      </c>
      <c r="W14" s="36">
        <f>IFERROR(aurora_data!U1034,0)</f>
        <v>0</v>
      </c>
      <c r="X14" s="71">
        <f t="shared" si="0"/>
        <v>0</v>
      </c>
      <c r="Y14" s="2"/>
    </row>
    <row r="15" spans="1:25" customFormat="1">
      <c r="A15" s="2"/>
      <c r="B15" s="201"/>
      <c r="C15" s="195"/>
      <c r="D15" s="35" t="s">
        <v>200</v>
      </c>
      <c r="E15" s="36">
        <f>IFERROR(aurora_data!D1035,0)</f>
        <v>0</v>
      </c>
      <c r="F15" s="62">
        <f>IFERROR(aurora_data!E1035,0)</f>
        <v>0</v>
      </c>
      <c r="G15" s="62">
        <f>IFERROR(aurora_data!F1035,0)</f>
        <v>0</v>
      </c>
      <c r="H15" s="62">
        <f>IFERROR(aurora_data!G1035,0)</f>
        <v>0</v>
      </c>
      <c r="I15" s="63">
        <f>IFERROR(aurora_data!H1035,0)</f>
        <v>0</v>
      </c>
      <c r="J15" s="36">
        <f>IFERROR(aurora_data!I1035,0)</f>
        <v>0</v>
      </c>
      <c r="K15" s="62">
        <f>IFERROR(aurora_data!J1035,0)</f>
        <v>0</v>
      </c>
      <c r="L15" s="62">
        <f>IFERROR(aurora_data!K1035,0)</f>
        <v>0</v>
      </c>
      <c r="M15" s="62">
        <f>IFERROR(aurora_data!L1035,0)</f>
        <v>0</v>
      </c>
      <c r="N15" s="63">
        <f>IFERROR(aurora_data!M1035,0)</f>
        <v>0</v>
      </c>
      <c r="O15" s="36">
        <f>IFERROR(aurora_data!N1035,0)</f>
        <v>0</v>
      </c>
      <c r="P15" s="62">
        <f>IFERROR(aurora_data!O1035,0)</f>
        <v>0</v>
      </c>
      <c r="Q15" s="62">
        <f>IFERROR(aurora_data!P1035,0)</f>
        <v>0</v>
      </c>
      <c r="R15" s="63">
        <f>IFERROR(aurora_data!Q1035,0)</f>
        <v>0</v>
      </c>
      <c r="S15" s="62">
        <f>IFERROR(aurora_data!R1035,0)</f>
        <v>0</v>
      </c>
      <c r="T15" s="62">
        <f>IFERROR(aurora_data!S1035,0)</f>
        <v>0</v>
      </c>
      <c r="U15" s="63">
        <f>IFERROR(aurora_data!T1035,0)</f>
        <v>0</v>
      </c>
      <c r="V15" s="64" t="s">
        <v>198</v>
      </c>
      <c r="W15" s="36">
        <f>IFERROR(aurora_data!U1035,0)</f>
        <v>0</v>
      </c>
      <c r="X15" s="71">
        <f t="shared" si="0"/>
        <v>0</v>
      </c>
      <c r="Y15" s="2"/>
    </row>
    <row r="16" spans="1:25" customFormat="1">
      <c r="A16" s="2"/>
      <c r="B16" s="201"/>
      <c r="C16" s="195"/>
      <c r="D16" s="35" t="s">
        <v>201</v>
      </c>
      <c r="E16" s="36">
        <f>IFERROR(aurora_data!D1036,0)</f>
        <v>0</v>
      </c>
      <c r="F16" s="62">
        <f>IFERROR(aurora_data!E1036,0)</f>
        <v>0</v>
      </c>
      <c r="G16" s="62">
        <f>IFERROR(aurora_data!F1036,0)</f>
        <v>0</v>
      </c>
      <c r="H16" s="62">
        <f>IFERROR(aurora_data!G1036,0)</f>
        <v>0</v>
      </c>
      <c r="I16" s="63">
        <f>IFERROR(aurora_data!H1036,0)</f>
        <v>0</v>
      </c>
      <c r="J16" s="36">
        <f>IFERROR(aurora_data!I1036,0)</f>
        <v>0</v>
      </c>
      <c r="K16" s="62">
        <f>IFERROR(aurora_data!J1036,0)</f>
        <v>0</v>
      </c>
      <c r="L16" s="62">
        <f>IFERROR(aurora_data!K1036,0)</f>
        <v>0</v>
      </c>
      <c r="M16" s="62">
        <f>IFERROR(aurora_data!L1036,0)</f>
        <v>0</v>
      </c>
      <c r="N16" s="63">
        <f>IFERROR(aurora_data!M1036,0)</f>
        <v>0</v>
      </c>
      <c r="O16" s="36">
        <f>IFERROR(aurora_data!N1036,0)</f>
        <v>0</v>
      </c>
      <c r="P16" s="62">
        <f>IFERROR(aurora_data!O1036,0)</f>
        <v>0</v>
      </c>
      <c r="Q16" s="62">
        <f>IFERROR(aurora_data!P1036,0)</f>
        <v>0</v>
      </c>
      <c r="R16" s="63">
        <f>IFERROR(aurora_data!Q1036,0)</f>
        <v>0</v>
      </c>
      <c r="S16" s="62">
        <f>IFERROR(aurora_data!R1036,0)</f>
        <v>0</v>
      </c>
      <c r="T16" s="62">
        <f>IFERROR(aurora_data!S1036,0)</f>
        <v>0</v>
      </c>
      <c r="U16" s="63">
        <f>IFERROR(aurora_data!T1036,0)</f>
        <v>0</v>
      </c>
      <c r="V16" s="64" t="s">
        <v>198</v>
      </c>
      <c r="W16" s="36">
        <f>IFERROR(aurora_data!U1036,0)</f>
        <v>0</v>
      </c>
      <c r="X16" s="71">
        <f t="shared" si="0"/>
        <v>0</v>
      </c>
      <c r="Y16" s="2"/>
    </row>
    <row r="17" spans="1:25" customFormat="1" ht="16.5" thickBot="1">
      <c r="A17" s="2"/>
      <c r="B17" s="201"/>
      <c r="C17" s="195"/>
      <c r="D17" s="35" t="s">
        <v>202</v>
      </c>
      <c r="E17" s="36">
        <f>IFERROR(aurora_data!D1037,0)</f>
        <v>0</v>
      </c>
      <c r="F17" s="62">
        <f>IFERROR(aurora_data!E1037,0)</f>
        <v>0</v>
      </c>
      <c r="G17" s="62">
        <f>IFERROR(aurora_data!F1037,0)</f>
        <v>0</v>
      </c>
      <c r="H17" s="62">
        <f>IFERROR(aurora_data!G1037,0)</f>
        <v>0</v>
      </c>
      <c r="I17" s="63">
        <f>IFERROR(aurora_data!H1037,0)</f>
        <v>0</v>
      </c>
      <c r="J17" s="36">
        <f>IFERROR(aurora_data!I1037,0)</f>
        <v>0</v>
      </c>
      <c r="K17" s="62">
        <f>IFERROR(aurora_data!J1037,0)</f>
        <v>0</v>
      </c>
      <c r="L17" s="62">
        <f>IFERROR(aurora_data!K1037,0)</f>
        <v>0</v>
      </c>
      <c r="M17" s="62">
        <f>IFERROR(aurora_data!L1037,0)</f>
        <v>0</v>
      </c>
      <c r="N17" s="63">
        <f>IFERROR(aurora_data!M1037,0)</f>
        <v>0</v>
      </c>
      <c r="O17" s="36">
        <f>IFERROR(aurora_data!N1037,0)</f>
        <v>0</v>
      </c>
      <c r="P17" s="62">
        <f>IFERROR(aurora_data!O1037,0)</f>
        <v>0</v>
      </c>
      <c r="Q17" s="62">
        <f>IFERROR(aurora_data!P1037,0)</f>
        <v>0</v>
      </c>
      <c r="R17" s="63">
        <f>IFERROR(aurora_data!Q1037,0)</f>
        <v>0</v>
      </c>
      <c r="S17" s="62">
        <f>IFERROR(aurora_data!R1037,0)</f>
        <v>0</v>
      </c>
      <c r="T17" s="62">
        <f>IFERROR(aurora_data!S1037,0)</f>
        <v>0</v>
      </c>
      <c r="U17" s="63">
        <f>IFERROR(aurora_data!T1037,0)</f>
        <v>0</v>
      </c>
      <c r="V17" s="64" t="s">
        <v>198</v>
      </c>
      <c r="W17" s="36">
        <f>IFERROR(aurora_data!U1037,0)</f>
        <v>0</v>
      </c>
      <c r="X17" s="71">
        <f t="shared" si="0"/>
        <v>0</v>
      </c>
      <c r="Y17" s="2"/>
    </row>
    <row r="18" spans="1:25" customFormat="1" ht="16.5" thickBot="1">
      <c r="A18" s="2"/>
      <c r="B18" s="201"/>
      <c r="C18" s="195"/>
      <c r="D18" s="37" t="s">
        <v>141</v>
      </c>
      <c r="E18" s="59">
        <f>IFERROR(aurora_data!D1038,0)</f>
        <v>3</v>
      </c>
      <c r="F18" s="65">
        <f>IFERROR(aurora_data!E1038,0)</f>
        <v>5</v>
      </c>
      <c r="G18" s="65">
        <f>IFERROR(aurora_data!F1038,0)</f>
        <v>3</v>
      </c>
      <c r="H18" s="65">
        <f>IFERROR(aurora_data!G1038,0)</f>
        <v>3</v>
      </c>
      <c r="I18" s="66">
        <f>IFERROR(aurora_data!H1038,0)</f>
        <v>0</v>
      </c>
      <c r="J18" s="59">
        <f>IFERROR(aurora_data!I1038,0)</f>
        <v>1</v>
      </c>
      <c r="K18" s="65">
        <f>IFERROR(aurora_data!J1038,0)</f>
        <v>3</v>
      </c>
      <c r="L18" s="65">
        <f>IFERROR(aurora_data!K1038,0)</f>
        <v>2</v>
      </c>
      <c r="M18" s="65">
        <f>IFERROR(aurora_data!L1038,0)</f>
        <v>2</v>
      </c>
      <c r="N18" s="66">
        <f>IFERROR(aurora_data!M1038,0)</f>
        <v>6</v>
      </c>
      <c r="O18" s="59">
        <f>IFERROR(aurora_data!N1038,0)</f>
        <v>3</v>
      </c>
      <c r="P18" s="65">
        <f>IFERROR(aurora_data!O1038,0)</f>
        <v>3</v>
      </c>
      <c r="Q18" s="65">
        <f>IFERROR(aurora_data!P1038,0)</f>
        <v>8</v>
      </c>
      <c r="R18" s="66">
        <f>IFERROR(aurora_data!Q1038,0)</f>
        <v>0</v>
      </c>
      <c r="S18" s="65">
        <f>IFERROR(aurora_data!R1038,0)</f>
        <v>6</v>
      </c>
      <c r="T18" s="65">
        <f>IFERROR(aurora_data!S1038,0)</f>
        <v>8</v>
      </c>
      <c r="U18" s="66">
        <f>IFERROR(aurora_data!T1038,0)</f>
        <v>0</v>
      </c>
      <c r="V18" s="67" t="s">
        <v>198</v>
      </c>
      <c r="W18" s="59">
        <f>IFERROR(aurora_data!U1038,0)</f>
        <v>14</v>
      </c>
      <c r="X18" s="72">
        <f t="shared" si="0"/>
        <v>0.4</v>
      </c>
      <c r="Y18" s="2"/>
    </row>
    <row r="19" spans="1:25" customFormat="1" ht="16.5" thickBot="1">
      <c r="A19" s="2"/>
      <c r="B19" s="201"/>
      <c r="C19" s="195"/>
      <c r="D19" s="38" t="s">
        <v>203</v>
      </c>
      <c r="E19" s="60">
        <f>IFERROR(aurora_data!D1039,0)</f>
        <v>0</v>
      </c>
      <c r="F19" s="68">
        <f>IFERROR(aurora_data!E1039,0)</f>
        <v>0</v>
      </c>
      <c r="G19" s="68">
        <f>IFERROR(aurora_data!F1039,0)</f>
        <v>0</v>
      </c>
      <c r="H19" s="68">
        <f>IFERROR(aurora_data!G1039,0)</f>
        <v>0</v>
      </c>
      <c r="I19" s="69">
        <f>IFERROR(aurora_data!H1039,0)</f>
        <v>0</v>
      </c>
      <c r="J19" s="60">
        <f>IFERROR(aurora_data!I1039,0)</f>
        <v>0</v>
      </c>
      <c r="K19" s="68">
        <f>IFERROR(aurora_data!J1039,0)</f>
        <v>0</v>
      </c>
      <c r="L19" s="68">
        <f>IFERROR(aurora_data!K1039,0)</f>
        <v>0</v>
      </c>
      <c r="M19" s="68">
        <f>IFERROR(aurora_data!L1039,0)</f>
        <v>0</v>
      </c>
      <c r="N19" s="69">
        <f>IFERROR(aurora_data!M1039,0)</f>
        <v>0</v>
      </c>
      <c r="O19" s="60">
        <f>IFERROR(aurora_data!N1039,0)</f>
        <v>0</v>
      </c>
      <c r="P19" s="68">
        <f>IFERROR(aurora_data!O1039,0)</f>
        <v>0</v>
      </c>
      <c r="Q19" s="68">
        <f>IFERROR(aurora_data!P1039,0)</f>
        <v>0</v>
      </c>
      <c r="R19" s="69">
        <f>IFERROR(aurora_data!Q1039,0)</f>
        <v>0</v>
      </c>
      <c r="S19" s="68">
        <f>IFERROR(aurora_data!R1039,0)</f>
        <v>0</v>
      </c>
      <c r="T19" s="68">
        <f>IFERROR(aurora_data!S1039,0)</f>
        <v>0</v>
      </c>
      <c r="U19" s="74">
        <f>IFERROR(aurora_data!T1039,0)</f>
        <v>0</v>
      </c>
      <c r="V19" s="75" t="s">
        <v>198</v>
      </c>
      <c r="W19" s="60">
        <f>IFERROR(aurora_data!U1039,0)</f>
        <v>0</v>
      </c>
      <c r="X19" s="73">
        <f t="shared" si="0"/>
        <v>0</v>
      </c>
      <c r="Y19" s="2"/>
    </row>
    <row r="20" spans="1:25" customFormat="1">
      <c r="A20" s="2"/>
      <c r="B20" s="200" t="s">
        <v>212</v>
      </c>
      <c r="C20" s="194" t="str">
        <f>aurora_data!A1132</f>
        <v>09.00.00-17.11.30</v>
      </c>
      <c r="D20" s="34" t="s">
        <v>153</v>
      </c>
      <c r="E20" s="39">
        <f>IFERROR(aurora_data!D1132,0)</f>
        <v>0</v>
      </c>
      <c r="F20" s="40">
        <f>IFERROR(aurora_data!E1132,0)</f>
        <v>0</v>
      </c>
      <c r="G20" s="40">
        <f>IFERROR(aurora_data!F1132,0)</f>
        <v>0</v>
      </c>
      <c r="H20" s="40">
        <f>IFERROR(aurora_data!G1132,0)</f>
        <v>0</v>
      </c>
      <c r="I20" s="41">
        <f>IFERROR(aurora_data!H1132,0)</f>
        <v>0</v>
      </c>
      <c r="J20" s="39">
        <f>IFERROR(aurora_data!I1132,0)</f>
        <v>0</v>
      </c>
      <c r="K20" s="40">
        <f>IFERROR(aurora_data!J1132,0)</f>
        <v>0</v>
      </c>
      <c r="L20" s="40">
        <f>IFERROR(aurora_data!K1132,0)</f>
        <v>0</v>
      </c>
      <c r="M20" s="40">
        <f>IFERROR(aurora_data!L1132,0)</f>
        <v>0</v>
      </c>
      <c r="N20" s="41">
        <f>IFERROR(aurora_data!M1132,0)</f>
        <v>0</v>
      </c>
      <c r="O20" s="39">
        <f>IFERROR(aurora_data!N1132,0)</f>
        <v>0</v>
      </c>
      <c r="P20" s="40">
        <f>IFERROR(aurora_data!O1132,0)</f>
        <v>0</v>
      </c>
      <c r="Q20" s="40">
        <f>IFERROR(aurora_data!P1132,0)</f>
        <v>0</v>
      </c>
      <c r="R20" s="41">
        <f>IFERROR(aurora_data!Q1132,0)</f>
        <v>0</v>
      </c>
      <c r="S20" s="40">
        <f>IFERROR(aurora_data!R1132,0)</f>
        <v>0</v>
      </c>
      <c r="T20" s="40">
        <f>IFERROR(aurora_data!S1132,0)</f>
        <v>0</v>
      </c>
      <c r="U20" s="76">
        <f>IFERROR(aurora_data!T1132,0)</f>
        <v>0</v>
      </c>
      <c r="V20" s="61" t="s">
        <v>198</v>
      </c>
      <c r="W20" s="39">
        <f>IFERROR(aurora_data!U1132,0)</f>
        <v>113</v>
      </c>
      <c r="X20" s="70">
        <f>IFERROR(W20/$W$20,0)</f>
        <v>1</v>
      </c>
      <c r="Y20" s="2"/>
    </row>
    <row r="21" spans="1:25" customFormat="1" ht="16.5" customHeight="1">
      <c r="A21" s="2"/>
      <c r="B21" s="201"/>
      <c r="C21" s="195"/>
      <c r="D21" s="35" t="s">
        <v>199</v>
      </c>
      <c r="E21" s="36">
        <f>IFERROR(aurora_data!D1133,0)</f>
        <v>2</v>
      </c>
      <c r="F21" s="62">
        <f>IFERROR(aurora_data!E1133,0)</f>
        <v>6</v>
      </c>
      <c r="G21" s="62">
        <f>IFERROR(aurora_data!F1133,0)</f>
        <v>7</v>
      </c>
      <c r="H21" s="62">
        <f>IFERROR(aurora_data!G1133,0)</f>
        <v>6</v>
      </c>
      <c r="I21" s="63">
        <f>IFERROR(aurora_data!H1133,0)</f>
        <v>0</v>
      </c>
      <c r="J21" s="36">
        <f>IFERROR(aurora_data!I1133,0)</f>
        <v>0</v>
      </c>
      <c r="K21" s="62">
        <f>IFERROR(aurora_data!J1133,0)</f>
        <v>2</v>
      </c>
      <c r="L21" s="62">
        <f>IFERROR(aurora_data!K1133,0)</f>
        <v>0</v>
      </c>
      <c r="M21" s="62">
        <f>IFERROR(aurora_data!L1133,0)</f>
        <v>6</v>
      </c>
      <c r="N21" s="63">
        <f>IFERROR(aurora_data!M1133,0)</f>
        <v>13</v>
      </c>
      <c r="O21" s="36">
        <f>IFERROR(aurora_data!N1133,0)</f>
        <v>5</v>
      </c>
      <c r="P21" s="62">
        <f>IFERROR(aurora_data!O1133,0)</f>
        <v>5</v>
      </c>
      <c r="Q21" s="62">
        <f>IFERROR(aurora_data!P1133,0)</f>
        <v>10</v>
      </c>
      <c r="R21" s="63">
        <f>IFERROR(aurora_data!Q1133,0)</f>
        <v>1</v>
      </c>
      <c r="S21" s="62">
        <f>IFERROR(aurora_data!R1133,0)</f>
        <v>5</v>
      </c>
      <c r="T21" s="62">
        <f>IFERROR(aurora_data!S1133,0)</f>
        <v>16</v>
      </c>
      <c r="U21" s="63">
        <f>IFERROR(aurora_data!T1133,0)</f>
        <v>0</v>
      </c>
      <c r="V21" s="64" t="s">
        <v>198</v>
      </c>
      <c r="W21" s="36">
        <f>IFERROR(aurora_data!U1133,0)</f>
        <v>21</v>
      </c>
      <c r="X21" s="71">
        <f t="shared" ref="X21:X27" si="1">IFERROR(W21/$W$20,0)</f>
        <v>0.18584070796460178</v>
      </c>
      <c r="Y21" s="2"/>
    </row>
    <row r="22" spans="1:25" customFormat="1" ht="16.5" customHeight="1">
      <c r="A22" s="2"/>
      <c r="B22" s="201"/>
      <c r="C22" s="195"/>
      <c r="D22" s="35" t="s">
        <v>137</v>
      </c>
      <c r="E22" s="36">
        <f>IFERROR(aurora_data!D1134,0)</f>
        <v>0</v>
      </c>
      <c r="F22" s="62">
        <f>IFERROR(aurora_data!E1134,0)</f>
        <v>0</v>
      </c>
      <c r="G22" s="62">
        <f>IFERROR(aurora_data!F1134,0)</f>
        <v>0</v>
      </c>
      <c r="H22" s="62">
        <f>IFERROR(aurora_data!G1134,0)</f>
        <v>0</v>
      </c>
      <c r="I22" s="63">
        <f>IFERROR(aurora_data!H1134,0)</f>
        <v>0</v>
      </c>
      <c r="J22" s="36">
        <f>IFERROR(aurora_data!I1134,0)</f>
        <v>0</v>
      </c>
      <c r="K22" s="62">
        <f>IFERROR(aurora_data!J1134,0)</f>
        <v>0</v>
      </c>
      <c r="L22" s="62">
        <f>IFERROR(aurora_data!K1134,0)</f>
        <v>0</v>
      </c>
      <c r="M22" s="62">
        <f>IFERROR(aurora_data!L1134,0)</f>
        <v>0</v>
      </c>
      <c r="N22" s="63">
        <f>IFERROR(aurora_data!M1134,0)</f>
        <v>0</v>
      </c>
      <c r="O22" s="36">
        <f>IFERROR(aurora_data!N1134,0)</f>
        <v>0</v>
      </c>
      <c r="P22" s="62">
        <f>IFERROR(aurora_data!O1134,0)</f>
        <v>0</v>
      </c>
      <c r="Q22" s="62">
        <f>IFERROR(aurora_data!P1134,0)</f>
        <v>0</v>
      </c>
      <c r="R22" s="63">
        <f>IFERROR(aurora_data!Q1134,0)</f>
        <v>0</v>
      </c>
      <c r="S22" s="62">
        <f>IFERROR(aurora_data!R1134,0)</f>
        <v>0</v>
      </c>
      <c r="T22" s="62">
        <f>IFERROR(aurora_data!S1134,0)</f>
        <v>0</v>
      </c>
      <c r="U22" s="63">
        <f>IFERROR(aurora_data!T1134,0)</f>
        <v>0</v>
      </c>
      <c r="V22" s="64" t="s">
        <v>198</v>
      </c>
      <c r="W22" s="36">
        <f>IFERROR(aurora_data!U1134,0)</f>
        <v>0</v>
      </c>
      <c r="X22" s="71">
        <f t="shared" si="1"/>
        <v>0</v>
      </c>
      <c r="Y22" s="2"/>
    </row>
    <row r="23" spans="1:25" customFormat="1">
      <c r="A23" s="2"/>
      <c r="B23" s="201"/>
      <c r="C23" s="195"/>
      <c r="D23" s="35" t="s">
        <v>200</v>
      </c>
      <c r="E23" s="36">
        <f>IFERROR(aurora_data!D1135,0)</f>
        <v>0</v>
      </c>
      <c r="F23" s="62">
        <f>IFERROR(aurora_data!E1135,0)</f>
        <v>0</v>
      </c>
      <c r="G23" s="62">
        <f>IFERROR(aurora_data!F1135,0)</f>
        <v>0</v>
      </c>
      <c r="H23" s="62">
        <f>IFERROR(aurora_data!G1135,0)</f>
        <v>0</v>
      </c>
      <c r="I23" s="63">
        <f>IFERROR(aurora_data!H1135,0)</f>
        <v>0</v>
      </c>
      <c r="J23" s="36">
        <f>IFERROR(aurora_data!I1135,0)</f>
        <v>0</v>
      </c>
      <c r="K23" s="62">
        <f>IFERROR(aurora_data!J1135,0)</f>
        <v>0</v>
      </c>
      <c r="L23" s="62">
        <f>IFERROR(aurora_data!K1135,0)</f>
        <v>0</v>
      </c>
      <c r="M23" s="62">
        <f>IFERROR(aurora_data!L1135,0)</f>
        <v>0</v>
      </c>
      <c r="N23" s="63">
        <f>IFERROR(aurora_data!M1135,0)</f>
        <v>0</v>
      </c>
      <c r="O23" s="36">
        <f>IFERROR(aurora_data!N1135,0)</f>
        <v>0</v>
      </c>
      <c r="P23" s="62">
        <f>IFERROR(aurora_data!O1135,0)</f>
        <v>0</v>
      </c>
      <c r="Q23" s="62">
        <f>IFERROR(aurora_data!P1135,0)</f>
        <v>0</v>
      </c>
      <c r="R23" s="63">
        <f>IFERROR(aurora_data!Q1135,0)</f>
        <v>0</v>
      </c>
      <c r="S23" s="62">
        <f>IFERROR(aurora_data!R1135,0)</f>
        <v>0</v>
      </c>
      <c r="T23" s="62">
        <f>IFERROR(aurora_data!S1135,0)</f>
        <v>0</v>
      </c>
      <c r="U23" s="63">
        <f>IFERROR(aurora_data!T1135,0)</f>
        <v>0</v>
      </c>
      <c r="V23" s="64" t="s">
        <v>198</v>
      </c>
      <c r="W23" s="36">
        <f>IFERROR(aurora_data!U1135,0)</f>
        <v>0</v>
      </c>
      <c r="X23" s="71">
        <f t="shared" si="1"/>
        <v>0</v>
      </c>
      <c r="Y23" s="2"/>
    </row>
    <row r="24" spans="1:25" customFormat="1" ht="16.5" customHeight="1">
      <c r="A24" s="2"/>
      <c r="B24" s="201"/>
      <c r="C24" s="195"/>
      <c r="D24" s="35" t="s">
        <v>201</v>
      </c>
      <c r="E24" s="36">
        <f>IFERROR(aurora_data!D1136,0)</f>
        <v>0</v>
      </c>
      <c r="F24" s="62">
        <f>IFERROR(aurora_data!E1136,0)</f>
        <v>0</v>
      </c>
      <c r="G24" s="62">
        <f>IFERROR(aurora_data!F1136,0)</f>
        <v>0</v>
      </c>
      <c r="H24" s="62">
        <f>IFERROR(aurora_data!G1136,0)</f>
        <v>0</v>
      </c>
      <c r="I24" s="63">
        <f>IFERROR(aurora_data!H1136,0)</f>
        <v>0</v>
      </c>
      <c r="J24" s="36">
        <f>IFERROR(aurora_data!I1136,0)</f>
        <v>0</v>
      </c>
      <c r="K24" s="62">
        <f>IFERROR(aurora_data!J1136,0)</f>
        <v>0</v>
      </c>
      <c r="L24" s="62">
        <f>IFERROR(aurora_data!K1136,0)</f>
        <v>0</v>
      </c>
      <c r="M24" s="62">
        <f>IFERROR(aurora_data!L1136,0)</f>
        <v>0</v>
      </c>
      <c r="N24" s="63">
        <f>IFERROR(aurora_data!M1136,0)</f>
        <v>0</v>
      </c>
      <c r="O24" s="36">
        <f>IFERROR(aurora_data!N1136,0)</f>
        <v>0</v>
      </c>
      <c r="P24" s="62">
        <f>IFERROR(aurora_data!O1136,0)</f>
        <v>0</v>
      </c>
      <c r="Q24" s="62">
        <f>IFERROR(aurora_data!P1136,0)</f>
        <v>0</v>
      </c>
      <c r="R24" s="63">
        <f>IFERROR(aurora_data!Q1136,0)</f>
        <v>0</v>
      </c>
      <c r="S24" s="62">
        <f>IFERROR(aurora_data!R1136,0)</f>
        <v>0</v>
      </c>
      <c r="T24" s="62">
        <f>IFERROR(aurora_data!S1136,0)</f>
        <v>0</v>
      </c>
      <c r="U24" s="63">
        <f>IFERROR(aurora_data!T1136,0)</f>
        <v>0</v>
      </c>
      <c r="V24" s="64" t="s">
        <v>198</v>
      </c>
      <c r="W24" s="36">
        <f>IFERROR(aurora_data!U1136,0)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01"/>
      <c r="C25" s="195"/>
      <c r="D25" s="35" t="s">
        <v>202</v>
      </c>
      <c r="E25" s="36">
        <f>IFERROR(aurora_data!D1137,0)</f>
        <v>0</v>
      </c>
      <c r="F25" s="62">
        <f>IFERROR(aurora_data!E1137,0)</f>
        <v>0</v>
      </c>
      <c r="G25" s="62">
        <f>IFERROR(aurora_data!F1137,0)</f>
        <v>0</v>
      </c>
      <c r="H25" s="62">
        <f>IFERROR(aurora_data!G1137,0)</f>
        <v>0</v>
      </c>
      <c r="I25" s="63">
        <f>IFERROR(aurora_data!H1137,0)</f>
        <v>0</v>
      </c>
      <c r="J25" s="36">
        <f>IFERROR(aurora_data!I1137,0)</f>
        <v>0</v>
      </c>
      <c r="K25" s="62">
        <f>IFERROR(aurora_data!J1137,0)</f>
        <v>0</v>
      </c>
      <c r="L25" s="62">
        <f>IFERROR(aurora_data!K1137,0)</f>
        <v>0</v>
      </c>
      <c r="M25" s="62">
        <f>IFERROR(aurora_data!L1137,0)</f>
        <v>0</v>
      </c>
      <c r="N25" s="63">
        <f>IFERROR(aurora_data!M1137,0)</f>
        <v>0</v>
      </c>
      <c r="O25" s="36">
        <f>IFERROR(aurora_data!N1137,0)</f>
        <v>0</v>
      </c>
      <c r="P25" s="62">
        <f>IFERROR(aurora_data!O1137,0)</f>
        <v>0</v>
      </c>
      <c r="Q25" s="62">
        <f>IFERROR(aurora_data!P1137,0)</f>
        <v>0</v>
      </c>
      <c r="R25" s="63">
        <f>IFERROR(aurora_data!Q1137,0)</f>
        <v>0</v>
      </c>
      <c r="S25" s="62">
        <f>IFERROR(aurora_data!R1137,0)</f>
        <v>0</v>
      </c>
      <c r="T25" s="62">
        <f>IFERROR(aurora_data!S1137,0)</f>
        <v>0</v>
      </c>
      <c r="U25" s="63">
        <f>IFERROR(aurora_data!T1137,0)</f>
        <v>0</v>
      </c>
      <c r="V25" s="64" t="s">
        <v>198</v>
      </c>
      <c r="W25" s="36">
        <f>IFERROR(aurora_data!U1137,0)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01"/>
      <c r="C26" s="195"/>
      <c r="D26" s="37" t="s">
        <v>141</v>
      </c>
      <c r="E26" s="59">
        <f>IFERROR(aurora_data!D1138,0)</f>
        <v>2</v>
      </c>
      <c r="F26" s="65">
        <f>IFERROR(aurora_data!E1138,0)</f>
        <v>6</v>
      </c>
      <c r="G26" s="65">
        <f>IFERROR(aurora_data!F1138,0)</f>
        <v>7</v>
      </c>
      <c r="H26" s="65">
        <f>IFERROR(aurora_data!G1138,0)</f>
        <v>6</v>
      </c>
      <c r="I26" s="66">
        <f>IFERROR(aurora_data!H1138,0)</f>
        <v>0</v>
      </c>
      <c r="J26" s="59">
        <f>IFERROR(aurora_data!I1138,0)</f>
        <v>0</v>
      </c>
      <c r="K26" s="65">
        <f>IFERROR(aurora_data!J1138,0)</f>
        <v>2</v>
      </c>
      <c r="L26" s="65">
        <f>IFERROR(aurora_data!K1138,0)</f>
        <v>0</v>
      </c>
      <c r="M26" s="65">
        <f>IFERROR(aurora_data!L1138,0)</f>
        <v>6</v>
      </c>
      <c r="N26" s="66">
        <f>IFERROR(aurora_data!M1138,0)</f>
        <v>13</v>
      </c>
      <c r="O26" s="59">
        <f>IFERROR(aurora_data!N1138,0)</f>
        <v>5</v>
      </c>
      <c r="P26" s="65">
        <f>IFERROR(aurora_data!O1138,0)</f>
        <v>5</v>
      </c>
      <c r="Q26" s="65">
        <f>IFERROR(aurora_data!P1138,0)</f>
        <v>10</v>
      </c>
      <c r="R26" s="66">
        <f>IFERROR(aurora_data!Q1138,0)</f>
        <v>1</v>
      </c>
      <c r="S26" s="65">
        <f>IFERROR(aurora_data!R1138,0)</f>
        <v>5</v>
      </c>
      <c r="T26" s="65">
        <f>IFERROR(aurora_data!S1138,0)</f>
        <v>16</v>
      </c>
      <c r="U26" s="66">
        <f>IFERROR(aurora_data!T1138,0)</f>
        <v>0</v>
      </c>
      <c r="V26" s="67" t="s">
        <v>198</v>
      </c>
      <c r="W26" s="59">
        <f>IFERROR(aurora_data!U1138,0)</f>
        <v>21</v>
      </c>
      <c r="X26" s="72">
        <f t="shared" si="1"/>
        <v>0.18584070796460178</v>
      </c>
      <c r="Y26" s="2"/>
    </row>
    <row r="27" spans="1:25" customFormat="1" ht="16.5" thickBot="1">
      <c r="A27" s="2"/>
      <c r="B27" s="201"/>
      <c r="C27" s="195"/>
      <c r="D27" s="38" t="s">
        <v>203</v>
      </c>
      <c r="E27" s="60">
        <f>IFERROR(aurora_data!D1139,0)</f>
        <v>0</v>
      </c>
      <c r="F27" s="68">
        <f>IFERROR(aurora_data!E1139,0)</f>
        <v>0</v>
      </c>
      <c r="G27" s="68">
        <f>IFERROR(aurora_data!F1139,0)</f>
        <v>0</v>
      </c>
      <c r="H27" s="68">
        <f>IFERROR(aurora_data!G1139,0)</f>
        <v>0</v>
      </c>
      <c r="I27" s="69">
        <f>IFERROR(aurora_data!H1139,0)</f>
        <v>0</v>
      </c>
      <c r="J27" s="60">
        <f>IFERROR(aurora_data!I1139,0)</f>
        <v>0</v>
      </c>
      <c r="K27" s="68">
        <f>IFERROR(aurora_data!J1139,0)</f>
        <v>0</v>
      </c>
      <c r="L27" s="68">
        <f>IFERROR(aurora_data!K1139,0)</f>
        <v>0</v>
      </c>
      <c r="M27" s="68">
        <f>IFERROR(aurora_data!L1139,0)</f>
        <v>0</v>
      </c>
      <c r="N27" s="69">
        <f>IFERROR(aurora_data!M1139,0)</f>
        <v>0</v>
      </c>
      <c r="O27" s="60">
        <f>IFERROR(aurora_data!N1139,0)</f>
        <v>0</v>
      </c>
      <c r="P27" s="68">
        <f>IFERROR(aurora_data!O1139,0)</f>
        <v>0</v>
      </c>
      <c r="Q27" s="68">
        <f>IFERROR(aurora_data!P1139,0)</f>
        <v>0</v>
      </c>
      <c r="R27" s="69">
        <f>IFERROR(aurora_data!Q1139,0)</f>
        <v>0</v>
      </c>
      <c r="S27" s="68">
        <f>IFERROR(aurora_data!R1139,0)</f>
        <v>0</v>
      </c>
      <c r="T27" s="68">
        <f>IFERROR(aurora_data!S1139,0)</f>
        <v>0</v>
      </c>
      <c r="U27" s="74">
        <f>IFERROR(aurora_data!T1139,0)</f>
        <v>0</v>
      </c>
      <c r="V27" s="75" t="s">
        <v>198</v>
      </c>
      <c r="W27" s="60">
        <f>IFERROR(aurora_data!U1139,0)</f>
        <v>0</v>
      </c>
      <c r="X27" s="73">
        <f t="shared" si="1"/>
        <v>0</v>
      </c>
      <c r="Y27" s="2"/>
    </row>
    <row r="28" spans="1:25" customFormat="1" ht="15.75" customHeight="1">
      <c r="A28" s="2"/>
      <c r="B28" s="196" t="s">
        <v>212</v>
      </c>
      <c r="C28" s="198" t="s">
        <v>130</v>
      </c>
      <c r="D28" s="34" t="s">
        <v>153</v>
      </c>
      <c r="E28" s="39">
        <f>IFERROR(aurora_data!D1040+aurora_data!D1140,0)</f>
        <v>0</v>
      </c>
      <c r="F28" s="40">
        <f>IFERROR(aurora_data!E1040+aurora_data!E1140,0)</f>
        <v>0</v>
      </c>
      <c r="G28" s="40">
        <f>IFERROR(aurora_data!F1040+aurora_data!F1140,0)</f>
        <v>0</v>
      </c>
      <c r="H28" s="40">
        <f>IFERROR(aurora_data!G1040+aurora_data!G1140,0)</f>
        <v>0</v>
      </c>
      <c r="I28" s="41">
        <f>IFERROR(aurora_data!H1040+aurora_data!H1140,0)</f>
        <v>0</v>
      </c>
      <c r="J28" s="39">
        <f>IFERROR(aurora_data!I1040+aurora_data!I1140,0)</f>
        <v>0</v>
      </c>
      <c r="K28" s="40">
        <f>IFERROR(aurora_data!J1040+aurora_data!J1140,0)</f>
        <v>0</v>
      </c>
      <c r="L28" s="40">
        <f>IFERROR(aurora_data!K1040+aurora_data!K1140,0)</f>
        <v>0</v>
      </c>
      <c r="M28" s="40">
        <f>IFERROR(aurora_data!L1040+aurora_data!L1140,0)</f>
        <v>0</v>
      </c>
      <c r="N28" s="41">
        <f>IFERROR(aurora_data!M1040+aurora_data!M1140,0)</f>
        <v>0</v>
      </c>
      <c r="O28" s="39">
        <f>IFERROR(aurora_data!N1040+aurora_data!N1140,0)</f>
        <v>0</v>
      </c>
      <c r="P28" s="40">
        <f>IFERROR(aurora_data!O1040+aurora_data!O1140,0)</f>
        <v>0</v>
      </c>
      <c r="Q28" s="40">
        <f>IFERROR(aurora_data!P1040+aurora_data!P1140,0)</f>
        <v>0</v>
      </c>
      <c r="R28" s="41">
        <f>IFERROR(aurora_data!Q1040+aurora_data!Q1140,0)</f>
        <v>0</v>
      </c>
      <c r="S28" s="40">
        <f>IFERROR(aurora_data!R1040+aurora_data!R1140,0)</f>
        <v>0</v>
      </c>
      <c r="T28" s="40">
        <f>IFERROR(aurora_data!S1040+aurora_data!S1140,0)</f>
        <v>0</v>
      </c>
      <c r="U28" s="41">
        <f>IFERROR(aurora_data!T1040+aurora_data!T1140,0)</f>
        <v>0</v>
      </c>
      <c r="V28" s="61" t="s">
        <v>198</v>
      </c>
      <c r="W28" s="39">
        <f>IFERROR(aurora_data!U1040+aurora_data!U1140,0)</f>
        <v>148</v>
      </c>
      <c r="X28" s="70">
        <f>IFERROR(W28/$W$28,0)</f>
        <v>1</v>
      </c>
      <c r="Y28" s="2"/>
    </row>
    <row r="29" spans="1:25" customFormat="1" ht="15.75" customHeight="1">
      <c r="A29" s="2"/>
      <c r="B29" s="197"/>
      <c r="C29" s="199"/>
      <c r="D29" s="35" t="s">
        <v>199</v>
      </c>
      <c r="E29" s="36">
        <f>IFERROR(aurora_data!D1041+aurora_data!D1141,0)</f>
        <v>5</v>
      </c>
      <c r="F29" s="62">
        <f>IFERROR(aurora_data!E1041+aurora_data!E1141,0)</f>
        <v>11</v>
      </c>
      <c r="G29" s="62">
        <f>IFERROR(aurora_data!F1041+aurora_data!F1141,0)</f>
        <v>10</v>
      </c>
      <c r="H29" s="62">
        <f>IFERROR(aurora_data!G1041+aurora_data!G1141,0)</f>
        <v>9</v>
      </c>
      <c r="I29" s="63">
        <f>IFERROR(aurora_data!H1041+aurora_data!H1141,0)</f>
        <v>0</v>
      </c>
      <c r="J29" s="36">
        <f>IFERROR(aurora_data!I1041+aurora_data!I1141,0)</f>
        <v>1</v>
      </c>
      <c r="K29" s="62">
        <f>IFERROR(aurora_data!J1041+aurora_data!J1141,0)</f>
        <v>5</v>
      </c>
      <c r="L29" s="62">
        <f>IFERROR(aurora_data!K1041+aurora_data!K1141,0)</f>
        <v>2</v>
      </c>
      <c r="M29" s="62">
        <f>IFERROR(aurora_data!L1041+aurora_data!L1141,0)</f>
        <v>8</v>
      </c>
      <c r="N29" s="63">
        <f>IFERROR(aurora_data!M1041+aurora_data!M1141,0)</f>
        <v>19</v>
      </c>
      <c r="O29" s="36">
        <f>IFERROR(aurora_data!N1041+aurora_data!N1141,0)</f>
        <v>8</v>
      </c>
      <c r="P29" s="62">
        <f>IFERROR(aurora_data!O1041+aurora_data!O1141,0)</f>
        <v>8</v>
      </c>
      <c r="Q29" s="62">
        <f>IFERROR(aurora_data!P1041+aurora_data!P1141,0)</f>
        <v>18</v>
      </c>
      <c r="R29" s="63">
        <f>IFERROR(aurora_data!Q1041+aurora_data!Q1141,0)</f>
        <v>1</v>
      </c>
      <c r="S29" s="62">
        <f>IFERROR(aurora_data!R1041+aurora_data!R1141,0)</f>
        <v>11</v>
      </c>
      <c r="T29" s="62">
        <f>IFERROR(aurora_data!S1041+aurora_data!S1141,0)</f>
        <v>24</v>
      </c>
      <c r="U29" s="63">
        <f>IFERROR(aurora_data!T1041+aurora_data!T1141,0)</f>
        <v>0</v>
      </c>
      <c r="V29" s="64" t="s">
        <v>198</v>
      </c>
      <c r="W29" s="36">
        <f>IFERROR(aurora_data!U1041+aurora_data!U1141,0)</f>
        <v>35</v>
      </c>
      <c r="X29" s="71">
        <f t="shared" ref="X29:X35" si="2">IFERROR(W29/$W$28,0)</f>
        <v>0.23648648648648649</v>
      </c>
      <c r="Y29" s="2"/>
    </row>
    <row r="30" spans="1:25" customFormat="1" ht="15.75" customHeight="1">
      <c r="A30" s="2"/>
      <c r="B30" s="197"/>
      <c r="C30" s="199"/>
      <c r="D30" s="35" t="s">
        <v>137</v>
      </c>
      <c r="E30" s="36">
        <f>IFERROR(aurora_data!D1042+aurora_data!D1142,0)</f>
        <v>0</v>
      </c>
      <c r="F30" s="62">
        <f>IFERROR(aurora_data!E1042+aurora_data!E1142,0)</f>
        <v>0</v>
      </c>
      <c r="G30" s="62">
        <f>IFERROR(aurora_data!F1042+aurora_data!F1142,0)</f>
        <v>0</v>
      </c>
      <c r="H30" s="62">
        <f>IFERROR(aurora_data!G1042+aurora_data!G1142,0)</f>
        <v>0</v>
      </c>
      <c r="I30" s="63">
        <f>IFERROR(aurora_data!H1042+aurora_data!H1142,0)</f>
        <v>0</v>
      </c>
      <c r="J30" s="36">
        <f>IFERROR(aurora_data!I1042+aurora_data!I1142,0)</f>
        <v>0</v>
      </c>
      <c r="K30" s="62">
        <f>IFERROR(aurora_data!J1042+aurora_data!J1142,0)</f>
        <v>0</v>
      </c>
      <c r="L30" s="62">
        <f>IFERROR(aurora_data!K1042+aurora_data!K1142,0)</f>
        <v>0</v>
      </c>
      <c r="M30" s="62">
        <f>IFERROR(aurora_data!L1042+aurora_data!L1142,0)</f>
        <v>0</v>
      </c>
      <c r="N30" s="63">
        <f>IFERROR(aurora_data!M1042+aurora_data!M1142,0)</f>
        <v>0</v>
      </c>
      <c r="O30" s="36">
        <f>IFERROR(aurora_data!N1042+aurora_data!N1142,0)</f>
        <v>0</v>
      </c>
      <c r="P30" s="62">
        <f>IFERROR(aurora_data!O1042+aurora_data!O1142,0)</f>
        <v>0</v>
      </c>
      <c r="Q30" s="62">
        <f>IFERROR(aurora_data!P1042+aurora_data!P1142,0)</f>
        <v>0</v>
      </c>
      <c r="R30" s="63">
        <f>IFERROR(aurora_data!Q1042+aurora_data!Q1142,0)</f>
        <v>0</v>
      </c>
      <c r="S30" s="62">
        <f>IFERROR(aurora_data!R1042+aurora_data!R1142,0)</f>
        <v>0</v>
      </c>
      <c r="T30" s="62">
        <f>IFERROR(aurora_data!S1042+aurora_data!S1142,0)</f>
        <v>0</v>
      </c>
      <c r="U30" s="63">
        <f>IFERROR(aurora_data!T1042+aurora_data!T1142,0)</f>
        <v>0</v>
      </c>
      <c r="V30" s="64" t="s">
        <v>198</v>
      </c>
      <c r="W30" s="36">
        <f>IFERROR(aurora_data!U1042+aurora_data!U1142,0)</f>
        <v>0</v>
      </c>
      <c r="X30" s="71">
        <f t="shared" si="2"/>
        <v>0</v>
      </c>
      <c r="Y30" s="2"/>
    </row>
    <row r="31" spans="1:25" customFormat="1" ht="15.75" customHeight="1">
      <c r="A31" s="2"/>
      <c r="B31" s="197"/>
      <c r="C31" s="199"/>
      <c r="D31" s="35" t="s">
        <v>200</v>
      </c>
      <c r="E31" s="36">
        <f>IFERROR(aurora_data!D1043+aurora_data!D1143,0)</f>
        <v>0</v>
      </c>
      <c r="F31" s="62">
        <f>IFERROR(aurora_data!E1043+aurora_data!E1143,0)</f>
        <v>0</v>
      </c>
      <c r="G31" s="62">
        <f>IFERROR(aurora_data!F1043+aurora_data!F1143,0)</f>
        <v>0</v>
      </c>
      <c r="H31" s="62">
        <f>IFERROR(aurora_data!G1043+aurora_data!G1143,0)</f>
        <v>0</v>
      </c>
      <c r="I31" s="63">
        <f>IFERROR(aurora_data!H1043+aurora_data!H1143,0)</f>
        <v>0</v>
      </c>
      <c r="J31" s="36">
        <f>IFERROR(aurora_data!I1043+aurora_data!I1143,0)</f>
        <v>0</v>
      </c>
      <c r="K31" s="62">
        <f>IFERROR(aurora_data!J1043+aurora_data!J1143,0)</f>
        <v>0</v>
      </c>
      <c r="L31" s="62">
        <f>IFERROR(aurora_data!K1043+aurora_data!K1143,0)</f>
        <v>0</v>
      </c>
      <c r="M31" s="62">
        <f>IFERROR(aurora_data!L1043+aurora_data!L1143,0)</f>
        <v>0</v>
      </c>
      <c r="N31" s="63">
        <f>IFERROR(aurora_data!M1043+aurora_data!M1143,0)</f>
        <v>0</v>
      </c>
      <c r="O31" s="36">
        <f>IFERROR(aurora_data!N1043+aurora_data!N1143,0)</f>
        <v>0</v>
      </c>
      <c r="P31" s="62">
        <f>IFERROR(aurora_data!O1043+aurora_data!O1143,0)</f>
        <v>0</v>
      </c>
      <c r="Q31" s="62">
        <f>IFERROR(aurora_data!P1043+aurora_data!P1143,0)</f>
        <v>0</v>
      </c>
      <c r="R31" s="63">
        <f>IFERROR(aurora_data!Q1043+aurora_data!Q1143,0)</f>
        <v>0</v>
      </c>
      <c r="S31" s="62">
        <f>IFERROR(aurora_data!R1043+aurora_data!R1143,0)</f>
        <v>0</v>
      </c>
      <c r="T31" s="62">
        <f>IFERROR(aurora_data!S1043+aurora_data!S1143,0)</f>
        <v>0</v>
      </c>
      <c r="U31" s="63">
        <f>IFERROR(aurora_data!T1043+aurora_data!T1143,0)</f>
        <v>0</v>
      </c>
      <c r="V31" s="64" t="s">
        <v>198</v>
      </c>
      <c r="W31" s="36">
        <f>IFERROR(aurora_data!U1043+aurora_data!U1143,0)</f>
        <v>0</v>
      </c>
      <c r="X31" s="71">
        <f t="shared" si="2"/>
        <v>0</v>
      </c>
      <c r="Y31" s="2"/>
    </row>
    <row r="32" spans="1:25" customFormat="1" ht="16.5" customHeight="1">
      <c r="A32" s="2"/>
      <c r="B32" s="197"/>
      <c r="C32" s="199"/>
      <c r="D32" s="35" t="s">
        <v>201</v>
      </c>
      <c r="E32" s="36">
        <f>IFERROR(aurora_data!D1044+aurora_data!D1144,0)</f>
        <v>0</v>
      </c>
      <c r="F32" s="62">
        <f>IFERROR(aurora_data!E1044+aurora_data!E1144,0)</f>
        <v>0</v>
      </c>
      <c r="G32" s="62">
        <f>IFERROR(aurora_data!F1044+aurora_data!F1144,0)</f>
        <v>0</v>
      </c>
      <c r="H32" s="62">
        <f>IFERROR(aurora_data!G1044+aurora_data!G1144,0)</f>
        <v>0</v>
      </c>
      <c r="I32" s="63">
        <f>IFERROR(aurora_data!H1044+aurora_data!H1144,0)</f>
        <v>0</v>
      </c>
      <c r="J32" s="36">
        <f>IFERROR(aurora_data!I1044+aurora_data!I1144,0)</f>
        <v>0</v>
      </c>
      <c r="K32" s="62">
        <f>IFERROR(aurora_data!J1044+aurora_data!J1144,0)</f>
        <v>0</v>
      </c>
      <c r="L32" s="62">
        <f>IFERROR(aurora_data!K1044+aurora_data!K1144,0)</f>
        <v>0</v>
      </c>
      <c r="M32" s="62">
        <f>IFERROR(aurora_data!L1044+aurora_data!L1144,0)</f>
        <v>0</v>
      </c>
      <c r="N32" s="63">
        <f>IFERROR(aurora_data!M1044+aurora_data!M1144,0)</f>
        <v>0</v>
      </c>
      <c r="O32" s="36">
        <f>IFERROR(aurora_data!N1044+aurora_data!N1144,0)</f>
        <v>0</v>
      </c>
      <c r="P32" s="62">
        <f>IFERROR(aurora_data!O1044+aurora_data!O1144,0)</f>
        <v>0</v>
      </c>
      <c r="Q32" s="62">
        <f>IFERROR(aurora_data!P1044+aurora_data!P1144,0)</f>
        <v>0</v>
      </c>
      <c r="R32" s="63">
        <f>IFERROR(aurora_data!Q1044+aurora_data!Q1144,0)</f>
        <v>0</v>
      </c>
      <c r="S32" s="62">
        <f>IFERROR(aurora_data!R1044+aurora_data!R1144,0)</f>
        <v>0</v>
      </c>
      <c r="T32" s="62">
        <f>IFERROR(aurora_data!S1044+aurora_data!S1144,0)</f>
        <v>0</v>
      </c>
      <c r="U32" s="63">
        <f>IFERROR(aurora_data!T1044+aurora_data!T1144,0)</f>
        <v>0</v>
      </c>
      <c r="V32" s="64" t="s">
        <v>198</v>
      </c>
      <c r="W32" s="36">
        <f>IFERROR(aurora_data!U1044+aurora_data!U1144,0)</f>
        <v>0</v>
      </c>
      <c r="X32" s="71">
        <f t="shared" si="2"/>
        <v>0</v>
      </c>
      <c r="Y32" s="2"/>
    </row>
    <row r="33" spans="1:25" customFormat="1" ht="16.5" customHeight="1" thickBot="1">
      <c r="A33" s="2"/>
      <c r="B33" s="197"/>
      <c r="C33" s="199"/>
      <c r="D33" s="35" t="s">
        <v>202</v>
      </c>
      <c r="E33" s="36">
        <f>IFERROR(aurora_data!D1045+aurora_data!D1145,0)</f>
        <v>0</v>
      </c>
      <c r="F33" s="62">
        <f>IFERROR(aurora_data!E1045+aurora_data!E1145,0)</f>
        <v>0</v>
      </c>
      <c r="G33" s="62">
        <f>IFERROR(aurora_data!F1045+aurora_data!F1145,0)</f>
        <v>0</v>
      </c>
      <c r="H33" s="62">
        <f>IFERROR(aurora_data!G1045+aurora_data!G1145,0)</f>
        <v>0</v>
      </c>
      <c r="I33" s="63">
        <f>IFERROR(aurora_data!H1045+aurora_data!H1145,0)</f>
        <v>0</v>
      </c>
      <c r="J33" s="36">
        <f>IFERROR(aurora_data!I1045+aurora_data!I1145,0)</f>
        <v>0</v>
      </c>
      <c r="K33" s="62">
        <f>IFERROR(aurora_data!J1045+aurora_data!J1145,0)</f>
        <v>0</v>
      </c>
      <c r="L33" s="62">
        <f>IFERROR(aurora_data!K1045+aurora_data!K1145,0)</f>
        <v>0</v>
      </c>
      <c r="M33" s="62">
        <f>IFERROR(aurora_data!L1045+aurora_data!L1145,0)</f>
        <v>0</v>
      </c>
      <c r="N33" s="63">
        <f>IFERROR(aurora_data!M1045+aurora_data!M1145,0)</f>
        <v>0</v>
      </c>
      <c r="O33" s="36">
        <f>IFERROR(aurora_data!N1045+aurora_data!N1145,0)</f>
        <v>0</v>
      </c>
      <c r="P33" s="62">
        <f>IFERROR(aurora_data!O1045+aurora_data!O1145,0)</f>
        <v>0</v>
      </c>
      <c r="Q33" s="62">
        <f>IFERROR(aurora_data!P1045+aurora_data!P1145,0)</f>
        <v>0</v>
      </c>
      <c r="R33" s="63">
        <f>IFERROR(aurora_data!Q1045+aurora_data!Q1145,0)</f>
        <v>0</v>
      </c>
      <c r="S33" s="62">
        <f>IFERROR(aurora_data!R1045+aurora_data!R1145,0)</f>
        <v>0</v>
      </c>
      <c r="T33" s="62">
        <f>IFERROR(aurora_data!S1045+aurora_data!S1145,0)</f>
        <v>0</v>
      </c>
      <c r="U33" s="63">
        <f>IFERROR(aurora_data!T1045+aurora_data!T1145,0)</f>
        <v>0</v>
      </c>
      <c r="V33" s="64" t="s">
        <v>198</v>
      </c>
      <c r="W33" s="36">
        <f>IFERROR(aurora_data!U1045+aurora_data!U1145,0)</f>
        <v>0</v>
      </c>
      <c r="X33" s="71">
        <f t="shared" si="2"/>
        <v>0</v>
      </c>
      <c r="Y33" s="2"/>
    </row>
    <row r="34" spans="1:25" customFormat="1" ht="16.5" customHeight="1" thickBot="1">
      <c r="A34" s="2"/>
      <c r="B34" s="197"/>
      <c r="C34" s="199"/>
      <c r="D34" s="37" t="s">
        <v>141</v>
      </c>
      <c r="E34" s="59">
        <f>IFERROR(aurora_data!D1046+aurora_data!D1146,0)</f>
        <v>5</v>
      </c>
      <c r="F34" s="65">
        <f>IFERROR(aurora_data!E1046+aurora_data!E1146,0)</f>
        <v>11</v>
      </c>
      <c r="G34" s="65">
        <f>IFERROR(aurora_data!F1046+aurora_data!F1146,0)</f>
        <v>10</v>
      </c>
      <c r="H34" s="65">
        <f>IFERROR(aurora_data!G1046+aurora_data!G1146,0)</f>
        <v>9</v>
      </c>
      <c r="I34" s="66">
        <f>IFERROR(aurora_data!H1046+aurora_data!H1146,0)</f>
        <v>0</v>
      </c>
      <c r="J34" s="59">
        <f>IFERROR(aurora_data!I1046+aurora_data!I1146,0)</f>
        <v>1</v>
      </c>
      <c r="K34" s="65">
        <f>IFERROR(aurora_data!J1046+aurora_data!J1146,0)</f>
        <v>5</v>
      </c>
      <c r="L34" s="65">
        <f>IFERROR(aurora_data!K1046+aurora_data!K1146,0)</f>
        <v>2</v>
      </c>
      <c r="M34" s="65">
        <f>IFERROR(aurora_data!L1046+aurora_data!L1146,0)</f>
        <v>8</v>
      </c>
      <c r="N34" s="66">
        <f>IFERROR(aurora_data!M1046+aurora_data!M1146,0)</f>
        <v>19</v>
      </c>
      <c r="O34" s="59">
        <f>IFERROR(aurora_data!N1046+aurora_data!N1146,0)</f>
        <v>8</v>
      </c>
      <c r="P34" s="65">
        <f>IFERROR(aurora_data!O1046+aurora_data!O1146,0)</f>
        <v>8</v>
      </c>
      <c r="Q34" s="65">
        <f>IFERROR(aurora_data!P1046+aurora_data!P1146,0)</f>
        <v>18</v>
      </c>
      <c r="R34" s="66">
        <f>IFERROR(aurora_data!Q1046+aurora_data!Q1146,0)</f>
        <v>1</v>
      </c>
      <c r="S34" s="65">
        <f>IFERROR(aurora_data!R1046+aurora_data!R1146,0)</f>
        <v>11</v>
      </c>
      <c r="T34" s="65">
        <f>IFERROR(aurora_data!S1046+aurora_data!S1146,0)</f>
        <v>24</v>
      </c>
      <c r="U34" s="66">
        <f>IFERROR(aurora_data!T1046+aurora_data!T1146,0)</f>
        <v>0</v>
      </c>
      <c r="V34" s="67" t="s">
        <v>198</v>
      </c>
      <c r="W34" s="59">
        <f>IFERROR(aurora_data!U1046+aurora_data!U1146,0)</f>
        <v>35</v>
      </c>
      <c r="X34" s="72">
        <f t="shared" si="2"/>
        <v>0.23648648648648649</v>
      </c>
      <c r="Y34" s="2"/>
    </row>
    <row r="35" spans="1:25" customFormat="1" ht="16.5" customHeight="1" thickBot="1">
      <c r="A35" s="2"/>
      <c r="B35" s="197"/>
      <c r="C35" s="199"/>
      <c r="D35" s="38" t="s">
        <v>203</v>
      </c>
      <c r="E35" s="60">
        <f>IFERROR(aurora_data!D1047+aurora_data!D1147,0)</f>
        <v>0</v>
      </c>
      <c r="F35" s="68">
        <f>IFERROR(aurora_data!E1047+aurora_data!E1147,0)</f>
        <v>0</v>
      </c>
      <c r="G35" s="68">
        <f>IFERROR(aurora_data!F1047+aurora_data!F1147,0)</f>
        <v>0</v>
      </c>
      <c r="H35" s="68">
        <f>IFERROR(aurora_data!G1047+aurora_data!G1147,0)</f>
        <v>0</v>
      </c>
      <c r="I35" s="69">
        <f>IFERROR(aurora_data!H1047+aurora_data!H1147,0)</f>
        <v>0</v>
      </c>
      <c r="J35" s="60">
        <f>IFERROR(aurora_data!I1047+aurora_data!I1147,0)</f>
        <v>0</v>
      </c>
      <c r="K35" s="68">
        <f>IFERROR(aurora_data!J1047+aurora_data!J1147,0)</f>
        <v>0</v>
      </c>
      <c r="L35" s="68">
        <f>IFERROR(aurora_data!K1047+aurora_data!K1147,0)</f>
        <v>0</v>
      </c>
      <c r="M35" s="68">
        <f>IFERROR(aurora_data!L1047+aurora_data!L1147,0)</f>
        <v>0</v>
      </c>
      <c r="N35" s="69">
        <f>IFERROR(aurora_data!M1047+aurora_data!M1147,0)</f>
        <v>0</v>
      </c>
      <c r="O35" s="60">
        <f>IFERROR(aurora_data!N1047+aurora_data!N1147,0)</f>
        <v>0</v>
      </c>
      <c r="P35" s="68">
        <f>IFERROR(aurora_data!O1047+aurora_data!O1147,0)</f>
        <v>0</v>
      </c>
      <c r="Q35" s="68">
        <f>IFERROR(aurora_data!P1047+aurora_data!P1147,0)</f>
        <v>0</v>
      </c>
      <c r="R35" s="69">
        <f>IFERROR(aurora_data!Q1047+aurora_data!Q1147,0)</f>
        <v>0</v>
      </c>
      <c r="S35" s="68">
        <f>IFERROR(aurora_data!R1047+aurora_data!R1147,0)</f>
        <v>0</v>
      </c>
      <c r="T35" s="68">
        <f>IFERROR(aurora_data!S1047+aurora_data!S1147,0)</f>
        <v>0</v>
      </c>
      <c r="U35" s="74">
        <f>IFERROR(aurora_data!T1047+aurora_data!T1147,0)</f>
        <v>0</v>
      </c>
      <c r="V35" s="75" t="s">
        <v>198</v>
      </c>
      <c r="W35" s="60">
        <f>IFERROR(aurora_data!U1047+aurora_data!U1147,0)</f>
        <v>0</v>
      </c>
      <c r="X35" s="73">
        <f t="shared" si="2"/>
        <v>0</v>
      </c>
      <c r="Y35" s="2"/>
    </row>
    <row r="36" spans="1:25" ht="16.5" customHeight="1">
      <c r="B36" s="97"/>
      <c r="C36" s="97"/>
    </row>
  </sheetData>
  <sheetProtection sheet="1" objects="1" scenarios="1"/>
  <mergeCells count="2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B28:B35"/>
    <mergeCell ref="C28:C35"/>
    <mergeCell ref="J10:N10"/>
    <mergeCell ref="O10:R10"/>
    <mergeCell ref="S10:U10"/>
    <mergeCell ref="B12:B19"/>
    <mergeCell ref="C12:C19"/>
    <mergeCell ref="B20:B27"/>
    <mergeCell ref="C20:C27"/>
  </mergeCells>
  <conditionalFormatting sqref="E13:W13">
    <cfRule type="expression" dxfId="21" priority="2">
      <formula>ROUND(E$13,0) &gt;= ROUND(E$12,0)</formula>
    </cfRule>
  </conditionalFormatting>
  <conditionalFormatting sqref="E18:W18">
    <cfRule type="expression" dxfId="20" priority="4">
      <formula>ROUND(E$18,0) &lt; ROUND(E$12,0)</formula>
    </cfRule>
  </conditionalFormatting>
  <conditionalFormatting sqref="E21:W21">
    <cfRule type="expression" dxfId="19" priority="3">
      <formula>ROUND(E$21,0) &gt;= ROUND(E$20,0)</formula>
    </cfRule>
  </conditionalFormatting>
  <conditionalFormatting sqref="E26:W26">
    <cfRule type="expression" dxfId="18" priority="5">
      <formula>ROUND(E$26,0) &lt; ROUND(E$20,0)</formula>
    </cfRule>
  </conditionalFormatting>
  <conditionalFormatting sqref="E29:W29">
    <cfRule type="expression" dxfId="17" priority="1">
      <formula>ROUND(E$29,0) &gt;= ROUND(E$28,0)</formula>
    </cfRule>
  </conditionalFormatting>
  <conditionalFormatting sqref="E34:W34">
    <cfRule type="expression" dxfId="16" priority="6">
      <formula>ROUND(E$34,0) &lt; ROUND(E$28,0)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4CB4-74A0-4245-AAC6-840FF272DA7B}">
  <sheetPr codeName="Sheet12">
    <tabColor rgb="FF92D050"/>
  </sheetPr>
  <dimension ref="A1:Y44"/>
  <sheetViews>
    <sheetView zoomScale="85" zoomScaleNormal="85" workbookViewId="0">
      <selection sqref="A1:C1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40" t="s">
        <v>178</v>
      </c>
      <c r="B1" s="141"/>
      <c r="C1" s="142"/>
      <c r="D1" s="143" t="s">
        <v>179</v>
      </c>
      <c r="E1" s="144"/>
      <c r="F1" s="144"/>
      <c r="G1" s="144"/>
      <c r="H1" s="145"/>
      <c r="I1" s="98"/>
      <c r="J1" s="88"/>
      <c r="K1" s="100"/>
      <c r="L1" s="100"/>
      <c r="M1" s="100"/>
      <c r="N1" s="100" t="s">
        <v>180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46" t="s">
        <v>181</v>
      </c>
      <c r="B2" s="146"/>
      <c r="C2" s="147"/>
      <c r="D2" s="148" t="str">
        <f>_xlfn.CONCAT("Study Name: ","
CELF-6 RF1 &amp; 2 OSEP Specific Learning Disability (Age 5-21)")</f>
        <v>Study Name: 
CELF-6 RF1 &amp; 2 OSEP Specific Learning Disability (Age 5-21)</v>
      </c>
      <c r="E2" s="149"/>
      <c r="F2" s="149"/>
      <c r="G2" s="149"/>
      <c r="H2" s="150"/>
      <c r="I2" s="4"/>
      <c r="J2" s="4"/>
      <c r="K2" s="151" t="s">
        <v>182</v>
      </c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3"/>
      <c r="Y2" s="103"/>
    </row>
    <row r="3" spans="1:25" customFormat="1" ht="30.75" customHeight="1" thickBot="1">
      <c r="A3" s="2"/>
      <c r="B3" s="2"/>
      <c r="C3" s="2"/>
      <c r="D3" s="158" t="str">
        <f>_xlfn.CONCAT("Study Acronym: ","
OSEP_SLD_RF1/OSEP_SLD_RF2")</f>
        <v>Study Acronym: 
OSEP_SLD_RF1/OSEP_SLD_RF2</v>
      </c>
      <c r="E3" s="159"/>
      <c r="F3" s="160" t="s">
        <v>215</v>
      </c>
      <c r="G3" s="160"/>
      <c r="H3" s="161"/>
      <c r="I3" s="4"/>
      <c r="J3" s="4"/>
      <c r="K3" s="154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3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54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3"/>
      <c r="Y4" s="104"/>
    </row>
    <row r="5" spans="1:25" customFormat="1" ht="21.95" customHeight="1" thickBot="1">
      <c r="A5" s="2"/>
      <c r="B5" s="2"/>
      <c r="C5" s="102"/>
      <c r="D5" s="143" t="s">
        <v>184</v>
      </c>
      <c r="E5" s="144"/>
      <c r="F5" s="144"/>
      <c r="G5" s="144"/>
      <c r="H5" s="101"/>
      <c r="I5" s="98"/>
      <c r="J5" s="98"/>
      <c r="K5" s="154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3"/>
      <c r="Y5" s="105"/>
    </row>
    <row r="6" spans="1:25" customFormat="1" ht="60.95" customHeight="1" thickBot="1">
      <c r="A6" s="2"/>
      <c r="B6" s="2"/>
      <c r="C6" s="99"/>
      <c r="D6" s="162" t="s">
        <v>209</v>
      </c>
      <c r="E6" s="163"/>
      <c r="F6" s="163"/>
      <c r="G6" s="163"/>
      <c r="H6" s="164"/>
      <c r="I6" s="136"/>
      <c r="J6" s="137"/>
      <c r="K6" s="155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7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65" t="str">
        <f>_xlfn.CONCAT("Last Refreshed at: ",aurora_data!V1232)</f>
        <v>Last Refreshed at: 08/06/2026 @ 7:19 AM</v>
      </c>
      <c r="C8" s="166"/>
      <c r="D8" s="166"/>
      <c r="E8" s="167" t="s">
        <v>186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9"/>
      <c r="V8" s="44"/>
      <c r="W8" s="170" t="s">
        <v>187</v>
      </c>
      <c r="X8" s="171"/>
      <c r="Y8" s="2"/>
    </row>
    <row r="9" spans="1:25" customFormat="1" ht="16.5" customHeight="1" thickBot="1">
      <c r="A9" s="2"/>
      <c r="B9" s="176"/>
      <c r="C9" s="177"/>
      <c r="D9" s="29" t="s">
        <v>188</v>
      </c>
      <c r="E9" s="178" t="s">
        <v>189</v>
      </c>
      <c r="F9" s="179"/>
      <c r="G9" s="179"/>
      <c r="H9" s="179"/>
      <c r="I9" s="179"/>
      <c r="J9" s="180" t="s">
        <v>189</v>
      </c>
      <c r="K9" s="181"/>
      <c r="L9" s="181"/>
      <c r="M9" s="181"/>
      <c r="N9" s="181"/>
      <c r="O9" s="182" t="s">
        <v>189</v>
      </c>
      <c r="P9" s="183"/>
      <c r="Q9" s="183"/>
      <c r="R9" s="183"/>
      <c r="S9" s="184" t="s">
        <v>189</v>
      </c>
      <c r="T9" s="185"/>
      <c r="U9" s="185"/>
      <c r="V9" s="28"/>
      <c r="W9" s="172"/>
      <c r="X9" s="173"/>
      <c r="Y9" s="2"/>
    </row>
    <row r="10" spans="1:25" customFormat="1" ht="17.25" thickTop="1" thickBot="1">
      <c r="A10" s="2"/>
      <c r="B10" s="186" t="s">
        <v>190</v>
      </c>
      <c r="C10" s="30"/>
      <c r="D10" s="31"/>
      <c r="E10" s="187" t="s">
        <v>191</v>
      </c>
      <c r="F10" s="188"/>
      <c r="G10" s="188"/>
      <c r="H10" s="188"/>
      <c r="I10" s="189"/>
      <c r="J10" s="188" t="s">
        <v>192</v>
      </c>
      <c r="K10" s="188"/>
      <c r="L10" s="188"/>
      <c r="M10" s="188"/>
      <c r="N10" s="189"/>
      <c r="O10" s="190" t="s">
        <v>193</v>
      </c>
      <c r="P10" s="190"/>
      <c r="Q10" s="190"/>
      <c r="R10" s="190"/>
      <c r="S10" s="191" t="s">
        <v>194</v>
      </c>
      <c r="T10" s="192"/>
      <c r="U10" s="193"/>
      <c r="V10" s="32"/>
      <c r="W10" s="172"/>
      <c r="X10" s="173"/>
      <c r="Y10" s="2"/>
    </row>
    <row r="11" spans="1:25" customFormat="1" ht="17.25" thickTop="1" thickBot="1">
      <c r="A11" s="2"/>
      <c r="B11" s="186"/>
      <c r="C11" s="30" t="s">
        <v>110</v>
      </c>
      <c r="D11" s="33" t="s">
        <v>112</v>
      </c>
      <c r="E11" s="96">
        <v>1</v>
      </c>
      <c r="F11" s="94">
        <v>2</v>
      </c>
      <c r="G11" s="95" t="s">
        <v>115</v>
      </c>
      <c r="H11" s="95">
        <v>4</v>
      </c>
      <c r="I11" s="95">
        <v>5</v>
      </c>
      <c r="J11" s="89" t="s">
        <v>118</v>
      </c>
      <c r="K11" s="89" t="s">
        <v>119</v>
      </c>
      <c r="L11" s="89" t="s">
        <v>120</v>
      </c>
      <c r="M11" s="93" t="s">
        <v>195</v>
      </c>
      <c r="N11" s="93" t="s">
        <v>122</v>
      </c>
      <c r="O11" s="89" t="s">
        <v>123</v>
      </c>
      <c r="P11" s="89" t="s">
        <v>124</v>
      </c>
      <c r="Q11" s="89" t="s">
        <v>125</v>
      </c>
      <c r="R11" s="89" t="s">
        <v>126</v>
      </c>
      <c r="S11" s="90" t="s">
        <v>127</v>
      </c>
      <c r="T11" s="91" t="s">
        <v>128</v>
      </c>
      <c r="U11" s="92" t="s">
        <v>196</v>
      </c>
      <c r="V11" s="28"/>
      <c r="W11" s="174"/>
      <c r="X11" s="175"/>
      <c r="Y11" s="2"/>
    </row>
    <row r="12" spans="1:25" customFormat="1">
      <c r="A12" s="2"/>
      <c r="B12" s="200" t="s">
        <v>212</v>
      </c>
      <c r="C12" s="194" t="str">
        <f>aurora_data!A1232</f>
        <v>05.00.00-08.11.30</v>
      </c>
      <c r="D12" s="34" t="s">
        <v>153</v>
      </c>
      <c r="E12" s="39">
        <f>IFERROR(aurora_data!D1232,0)</f>
        <v>0</v>
      </c>
      <c r="F12" s="40">
        <f>IFERROR(aurora_data!E1232,0)</f>
        <v>0</v>
      </c>
      <c r="G12" s="40">
        <f>IFERROR(aurora_data!F1232,0)</f>
        <v>0</v>
      </c>
      <c r="H12" s="40">
        <f>IFERROR(aurora_data!G1232,0)</f>
        <v>0</v>
      </c>
      <c r="I12" s="41">
        <f>IFERROR(aurora_data!H1232,0)</f>
        <v>0</v>
      </c>
      <c r="J12" s="39">
        <f>IFERROR(aurora_data!I1232,0)</f>
        <v>0</v>
      </c>
      <c r="K12" s="40">
        <f>IFERROR(aurora_data!J1232,0)</f>
        <v>0</v>
      </c>
      <c r="L12" s="40">
        <f>IFERROR(aurora_data!K1232,0)</f>
        <v>0</v>
      </c>
      <c r="M12" s="40">
        <f>IFERROR(aurora_data!L1232,0)</f>
        <v>0</v>
      </c>
      <c r="N12" s="41">
        <f>IFERROR(aurora_data!M1232,0)</f>
        <v>0</v>
      </c>
      <c r="O12" s="39">
        <f>IFERROR(aurora_data!N1232,0)</f>
        <v>0</v>
      </c>
      <c r="P12" s="40">
        <f>IFERROR(aurora_data!O1232,0)</f>
        <v>0</v>
      </c>
      <c r="Q12" s="40">
        <f>IFERROR(aurora_data!P1232,0)</f>
        <v>0</v>
      </c>
      <c r="R12" s="41">
        <f>IFERROR(aurora_data!Q1232,0)</f>
        <v>0</v>
      </c>
      <c r="S12" s="40">
        <f>IFERROR(aurora_data!R1232,0)</f>
        <v>0</v>
      </c>
      <c r="T12" s="40">
        <f>IFERROR(aurora_data!S1232,0)</f>
        <v>0</v>
      </c>
      <c r="U12" s="76">
        <f>IFERROR(aurora_data!T1232,0)</f>
        <v>0</v>
      </c>
      <c r="V12" s="61" t="s">
        <v>198</v>
      </c>
      <c r="W12" s="39">
        <f>IFERROR(aurora_data!U1232,0)</f>
        <v>5</v>
      </c>
      <c r="X12" s="70">
        <f>IFERROR(W12/$W12,0)</f>
        <v>1</v>
      </c>
      <c r="Y12" s="2"/>
    </row>
    <row r="13" spans="1:25" customFormat="1">
      <c r="A13" s="2"/>
      <c r="B13" s="201"/>
      <c r="C13" s="195"/>
      <c r="D13" s="35" t="s">
        <v>199</v>
      </c>
      <c r="E13" s="110">
        <f>IFERROR(aurora_data!D1233,0)</f>
        <v>0</v>
      </c>
      <c r="F13" s="62">
        <f>IFERROR(aurora_data!E1233,0)</f>
        <v>0</v>
      </c>
      <c r="G13" s="62">
        <f>IFERROR(aurora_data!F1233,0)</f>
        <v>1</v>
      </c>
      <c r="H13" s="62">
        <f>IFERROR(aurora_data!G1233,0)</f>
        <v>1</v>
      </c>
      <c r="I13" s="63">
        <f>IFERROR(aurora_data!H1233,0)</f>
        <v>0</v>
      </c>
      <c r="J13" s="36">
        <f>IFERROR(aurora_data!I1233,0)</f>
        <v>0</v>
      </c>
      <c r="K13" s="62">
        <f>IFERROR(aurora_data!J1233,0)</f>
        <v>0</v>
      </c>
      <c r="L13" s="62">
        <f>IFERROR(aurora_data!K1233,0)</f>
        <v>1</v>
      </c>
      <c r="M13" s="62">
        <f>IFERROR(aurora_data!L1233,0)</f>
        <v>1</v>
      </c>
      <c r="N13" s="63">
        <f>IFERROR(aurora_data!M1233,0)</f>
        <v>0</v>
      </c>
      <c r="O13" s="36">
        <f>IFERROR(aurora_data!N1233,0)</f>
        <v>0</v>
      </c>
      <c r="P13" s="62">
        <f>IFERROR(aurora_data!O1233,0)</f>
        <v>1</v>
      </c>
      <c r="Q13" s="62">
        <f>IFERROR(aurora_data!P1233,0)</f>
        <v>1</v>
      </c>
      <c r="R13" s="63">
        <f>IFERROR(aurora_data!Q1233,0)</f>
        <v>0</v>
      </c>
      <c r="S13" s="62">
        <f>IFERROR(aurora_data!R1233,0)</f>
        <v>1</v>
      </c>
      <c r="T13" s="62">
        <f>IFERROR(aurora_data!S1233,0)</f>
        <v>1</v>
      </c>
      <c r="U13" s="63">
        <f>IFERROR(aurora_data!T1233,0)</f>
        <v>0</v>
      </c>
      <c r="V13" s="64" t="s">
        <v>198</v>
      </c>
      <c r="W13" s="36">
        <f>IFERROR(aurora_data!U1233,0)</f>
        <v>2</v>
      </c>
      <c r="X13" s="71">
        <f>IFERROR(W13/$W12,0)</f>
        <v>0.4</v>
      </c>
      <c r="Y13" s="2"/>
    </row>
    <row r="14" spans="1:25" customFormat="1">
      <c r="A14" s="2"/>
      <c r="B14" s="201"/>
      <c r="C14" s="195"/>
      <c r="D14" s="35" t="s">
        <v>137</v>
      </c>
      <c r="E14" s="110">
        <f>IFERROR(aurora_data!D1234,0)</f>
        <v>0</v>
      </c>
      <c r="F14" s="62">
        <f>IFERROR(aurora_data!E1234,0)</f>
        <v>0</v>
      </c>
      <c r="G14" s="62">
        <f>IFERROR(aurora_data!F1234,0)</f>
        <v>0</v>
      </c>
      <c r="H14" s="62">
        <f>IFERROR(aurora_data!G1234,0)</f>
        <v>0</v>
      </c>
      <c r="I14" s="63">
        <f>IFERROR(aurora_data!H1234,0)</f>
        <v>0</v>
      </c>
      <c r="J14" s="36">
        <f>IFERROR(aurora_data!I1234,0)</f>
        <v>0</v>
      </c>
      <c r="K14" s="62">
        <f>IFERROR(aurora_data!J1234,0)</f>
        <v>0</v>
      </c>
      <c r="L14" s="62">
        <f>IFERROR(aurora_data!K1234,0)</f>
        <v>0</v>
      </c>
      <c r="M14" s="62">
        <f>IFERROR(aurora_data!L1234,0)</f>
        <v>0</v>
      </c>
      <c r="N14" s="63">
        <f>IFERROR(aurora_data!M1234,0)</f>
        <v>0</v>
      </c>
      <c r="O14" s="36">
        <f>IFERROR(aurora_data!N1234,0)</f>
        <v>0</v>
      </c>
      <c r="P14" s="62">
        <f>IFERROR(aurora_data!O1234,0)</f>
        <v>0</v>
      </c>
      <c r="Q14" s="62">
        <f>IFERROR(aurora_data!P1234,0)</f>
        <v>0</v>
      </c>
      <c r="R14" s="63">
        <f>IFERROR(aurora_data!Q1234,0)</f>
        <v>0</v>
      </c>
      <c r="S14" s="62">
        <f>IFERROR(aurora_data!R1234,0)</f>
        <v>0</v>
      </c>
      <c r="T14" s="62">
        <f>IFERROR(aurora_data!S1234,0)</f>
        <v>0</v>
      </c>
      <c r="U14" s="63">
        <f>IFERROR(aurora_data!T1234,0)</f>
        <v>0</v>
      </c>
      <c r="V14" s="64" t="s">
        <v>198</v>
      </c>
      <c r="W14" s="36">
        <f>IFERROR(aurora_data!U1234,0)</f>
        <v>0</v>
      </c>
      <c r="X14" s="71">
        <f>IFERROR(W14/$W12,0)</f>
        <v>0</v>
      </c>
      <c r="Y14" s="2"/>
    </row>
    <row r="15" spans="1:25" customFormat="1">
      <c r="A15" s="2"/>
      <c r="B15" s="201"/>
      <c r="C15" s="195"/>
      <c r="D15" s="35" t="s">
        <v>200</v>
      </c>
      <c r="E15" s="36">
        <f>IFERROR(aurora_data!D1235,0)</f>
        <v>0</v>
      </c>
      <c r="F15" s="62">
        <f>IFERROR(aurora_data!E1235,0)</f>
        <v>0</v>
      </c>
      <c r="G15" s="62">
        <f>IFERROR(aurora_data!F1235,0)</f>
        <v>0</v>
      </c>
      <c r="H15" s="62">
        <f>IFERROR(aurora_data!G1235,0)</f>
        <v>0</v>
      </c>
      <c r="I15" s="63">
        <f>IFERROR(aurora_data!H1235,0)</f>
        <v>0</v>
      </c>
      <c r="J15" s="36">
        <f>IFERROR(aurora_data!I1235,0)</f>
        <v>0</v>
      </c>
      <c r="K15" s="62">
        <f>IFERROR(aurora_data!J1235,0)</f>
        <v>0</v>
      </c>
      <c r="L15" s="62">
        <f>IFERROR(aurora_data!K1235,0)</f>
        <v>0</v>
      </c>
      <c r="M15" s="62">
        <f>IFERROR(aurora_data!L1235,0)</f>
        <v>0</v>
      </c>
      <c r="N15" s="63">
        <f>IFERROR(aurora_data!M1235,0)</f>
        <v>0</v>
      </c>
      <c r="O15" s="36">
        <f>IFERROR(aurora_data!N1235,0)</f>
        <v>0</v>
      </c>
      <c r="P15" s="62">
        <f>IFERROR(aurora_data!O1235,0)</f>
        <v>0</v>
      </c>
      <c r="Q15" s="62">
        <f>IFERROR(aurora_data!P1235,0)</f>
        <v>0</v>
      </c>
      <c r="R15" s="63">
        <f>IFERROR(aurora_data!Q1235,0)</f>
        <v>0</v>
      </c>
      <c r="S15" s="62">
        <f>IFERROR(aurora_data!R1235,0)</f>
        <v>0</v>
      </c>
      <c r="T15" s="62">
        <f>IFERROR(aurora_data!S1235,0)</f>
        <v>0</v>
      </c>
      <c r="U15" s="63">
        <f>IFERROR(aurora_data!T1235,0)</f>
        <v>0</v>
      </c>
      <c r="V15" s="64" t="s">
        <v>198</v>
      </c>
      <c r="W15" s="36">
        <f>IFERROR(aurora_data!U1235,0)</f>
        <v>0</v>
      </c>
      <c r="X15" s="71">
        <f>IFERROR(W15/$W12,0)</f>
        <v>0</v>
      </c>
      <c r="Y15" s="2"/>
    </row>
    <row r="16" spans="1:25" customFormat="1">
      <c r="A16" s="2"/>
      <c r="B16" s="201"/>
      <c r="C16" s="195"/>
      <c r="D16" s="35" t="s">
        <v>201</v>
      </c>
      <c r="E16" s="36">
        <f>IFERROR(aurora_data!D1236,0)</f>
        <v>0</v>
      </c>
      <c r="F16" s="62">
        <f>IFERROR(aurora_data!E1236,0)</f>
        <v>0</v>
      </c>
      <c r="G16" s="62">
        <f>IFERROR(aurora_data!F1236,0)</f>
        <v>0</v>
      </c>
      <c r="H16" s="62">
        <f>IFERROR(aurora_data!G1236,0)</f>
        <v>0</v>
      </c>
      <c r="I16" s="63">
        <f>IFERROR(aurora_data!H1236,0)</f>
        <v>0</v>
      </c>
      <c r="J16" s="36">
        <f>IFERROR(aurora_data!I1236,0)</f>
        <v>0</v>
      </c>
      <c r="K16" s="62">
        <f>IFERROR(aurora_data!J1236,0)</f>
        <v>0</v>
      </c>
      <c r="L16" s="62">
        <f>IFERROR(aurora_data!K1236,0)</f>
        <v>0</v>
      </c>
      <c r="M16" s="62">
        <f>IFERROR(aurora_data!L1236,0)</f>
        <v>0</v>
      </c>
      <c r="N16" s="63">
        <f>IFERROR(aurora_data!M1236,0)</f>
        <v>0</v>
      </c>
      <c r="O16" s="36">
        <f>IFERROR(aurora_data!N1236,0)</f>
        <v>0</v>
      </c>
      <c r="P16" s="62">
        <f>IFERROR(aurora_data!O1236,0)</f>
        <v>0</v>
      </c>
      <c r="Q16" s="62">
        <f>IFERROR(aurora_data!P1236,0)</f>
        <v>0</v>
      </c>
      <c r="R16" s="63">
        <f>IFERROR(aurora_data!Q1236,0)</f>
        <v>0</v>
      </c>
      <c r="S16" s="62">
        <f>IFERROR(aurora_data!R1236,0)</f>
        <v>0</v>
      </c>
      <c r="T16" s="62">
        <f>IFERROR(aurora_data!S1236,0)</f>
        <v>0</v>
      </c>
      <c r="U16" s="63">
        <f>IFERROR(aurora_data!T1236,0)</f>
        <v>0</v>
      </c>
      <c r="V16" s="64" t="s">
        <v>198</v>
      </c>
      <c r="W16" s="36">
        <f>IFERROR(aurora_data!U1236,0)</f>
        <v>0</v>
      </c>
      <c r="X16" s="71">
        <f>IFERROR(W16/$W12,0)</f>
        <v>0</v>
      </c>
      <c r="Y16" s="2"/>
    </row>
    <row r="17" spans="1:25" customFormat="1" ht="16.5" thickBot="1">
      <c r="A17" s="2"/>
      <c r="B17" s="201"/>
      <c r="C17" s="195"/>
      <c r="D17" s="35" t="s">
        <v>202</v>
      </c>
      <c r="E17" s="36">
        <f>IFERROR(aurora_data!D1237,0)</f>
        <v>0</v>
      </c>
      <c r="F17" s="62">
        <f>IFERROR(aurora_data!E1237,0)</f>
        <v>0</v>
      </c>
      <c r="G17" s="62">
        <f>IFERROR(aurora_data!F1237,0)</f>
        <v>0</v>
      </c>
      <c r="H17" s="62">
        <f>IFERROR(aurora_data!G1237,0)</f>
        <v>0</v>
      </c>
      <c r="I17" s="63">
        <f>IFERROR(aurora_data!H1237,0)</f>
        <v>0</v>
      </c>
      <c r="J17" s="36">
        <f>IFERROR(aurora_data!I1237,0)</f>
        <v>0</v>
      </c>
      <c r="K17" s="62">
        <f>IFERROR(aurora_data!J1237,0)</f>
        <v>0</v>
      </c>
      <c r="L17" s="62">
        <f>IFERROR(aurora_data!K1237,0)</f>
        <v>0</v>
      </c>
      <c r="M17" s="62">
        <f>IFERROR(aurora_data!L1237,0)</f>
        <v>0</v>
      </c>
      <c r="N17" s="63">
        <f>IFERROR(aurora_data!M1237,0)</f>
        <v>0</v>
      </c>
      <c r="O17" s="36">
        <f>IFERROR(aurora_data!N1237,0)</f>
        <v>0</v>
      </c>
      <c r="P17" s="62">
        <f>IFERROR(aurora_data!O1237,0)</f>
        <v>0</v>
      </c>
      <c r="Q17" s="62">
        <f>IFERROR(aurora_data!P1237,0)</f>
        <v>0</v>
      </c>
      <c r="R17" s="63">
        <f>IFERROR(aurora_data!Q1237,0)</f>
        <v>0</v>
      </c>
      <c r="S17" s="62">
        <f>IFERROR(aurora_data!R1237,0)</f>
        <v>0</v>
      </c>
      <c r="T17" s="62">
        <f>IFERROR(aurora_data!S1237,0)</f>
        <v>0</v>
      </c>
      <c r="U17" s="63">
        <f>IFERROR(aurora_data!T1237,0)</f>
        <v>0</v>
      </c>
      <c r="V17" s="64" t="s">
        <v>198</v>
      </c>
      <c r="W17" s="36">
        <f>IFERROR(aurora_data!U1237,0)</f>
        <v>0</v>
      </c>
      <c r="X17" s="71">
        <f>IFERROR(W17/$W12,0)</f>
        <v>0</v>
      </c>
      <c r="Y17" s="2"/>
    </row>
    <row r="18" spans="1:25" customFormat="1" ht="16.5" thickBot="1">
      <c r="A18" s="2"/>
      <c r="B18" s="201"/>
      <c r="C18" s="195"/>
      <c r="D18" s="37" t="s">
        <v>141</v>
      </c>
      <c r="E18" s="59">
        <f>IFERROR(aurora_data!D1238,0)</f>
        <v>0</v>
      </c>
      <c r="F18" s="65">
        <f>IFERROR(aurora_data!E1238,0)</f>
        <v>0</v>
      </c>
      <c r="G18" s="65">
        <f>IFERROR(aurora_data!F1238,0)</f>
        <v>1</v>
      </c>
      <c r="H18" s="65">
        <f>IFERROR(aurora_data!G1238,0)</f>
        <v>1</v>
      </c>
      <c r="I18" s="66">
        <f>IFERROR(aurora_data!H1238,0)</f>
        <v>0</v>
      </c>
      <c r="J18" s="59">
        <f>IFERROR(aurora_data!I1238,0)</f>
        <v>0</v>
      </c>
      <c r="K18" s="65">
        <f>IFERROR(aurora_data!J1238,0)</f>
        <v>0</v>
      </c>
      <c r="L18" s="65">
        <f>IFERROR(aurora_data!K1238,0)</f>
        <v>1</v>
      </c>
      <c r="M18" s="65">
        <f>IFERROR(aurora_data!L1238,0)</f>
        <v>1</v>
      </c>
      <c r="N18" s="66">
        <f>IFERROR(aurora_data!M1238,0)</f>
        <v>0</v>
      </c>
      <c r="O18" s="59">
        <f>IFERROR(aurora_data!N1238,0)</f>
        <v>0</v>
      </c>
      <c r="P18" s="65">
        <f>IFERROR(aurora_data!O1238,0)</f>
        <v>1</v>
      </c>
      <c r="Q18" s="65">
        <f>IFERROR(aurora_data!P1238,0)</f>
        <v>1</v>
      </c>
      <c r="R18" s="66">
        <f>IFERROR(aurora_data!Q1238,0)</f>
        <v>0</v>
      </c>
      <c r="S18" s="65">
        <f>IFERROR(aurora_data!R1238,0)</f>
        <v>1</v>
      </c>
      <c r="T18" s="65">
        <f>IFERROR(aurora_data!S1238,0)</f>
        <v>1</v>
      </c>
      <c r="U18" s="66">
        <f>IFERROR(aurora_data!T1238,0)</f>
        <v>0</v>
      </c>
      <c r="V18" s="67" t="s">
        <v>198</v>
      </c>
      <c r="W18" s="59">
        <f>IFERROR(aurora_data!U1238,0)</f>
        <v>2</v>
      </c>
      <c r="X18" s="72">
        <f>IFERROR(W18/$W12,0)</f>
        <v>0.4</v>
      </c>
      <c r="Y18" s="2"/>
    </row>
    <row r="19" spans="1:25" customFormat="1" ht="16.5" thickBot="1">
      <c r="A19" s="2"/>
      <c r="B19" s="201"/>
      <c r="C19" s="195"/>
      <c r="D19" s="38" t="s">
        <v>203</v>
      </c>
      <c r="E19" s="60">
        <f>IFERROR(aurora_data!D1239,0)</f>
        <v>0</v>
      </c>
      <c r="F19" s="68">
        <f>IFERROR(aurora_data!E1239,0)</f>
        <v>0</v>
      </c>
      <c r="G19" s="68">
        <f>IFERROR(aurora_data!F1239,0)</f>
        <v>0</v>
      </c>
      <c r="H19" s="68">
        <f>IFERROR(aurora_data!G1239,0)</f>
        <v>0</v>
      </c>
      <c r="I19" s="69">
        <f>IFERROR(aurora_data!H1239,0)</f>
        <v>0</v>
      </c>
      <c r="J19" s="60">
        <f>IFERROR(aurora_data!I1239,0)</f>
        <v>0</v>
      </c>
      <c r="K19" s="68">
        <f>IFERROR(aurora_data!J1239,0)</f>
        <v>0</v>
      </c>
      <c r="L19" s="68">
        <f>IFERROR(aurora_data!K1239,0)</f>
        <v>0</v>
      </c>
      <c r="M19" s="68">
        <f>IFERROR(aurora_data!L1239,0)</f>
        <v>0</v>
      </c>
      <c r="N19" s="69">
        <f>IFERROR(aurora_data!M1239,0)</f>
        <v>0</v>
      </c>
      <c r="O19" s="60">
        <f>IFERROR(aurora_data!N1239,0)</f>
        <v>0</v>
      </c>
      <c r="P19" s="68">
        <f>IFERROR(aurora_data!O1239,0)</f>
        <v>0</v>
      </c>
      <c r="Q19" s="68">
        <f>IFERROR(aurora_data!P1239,0)</f>
        <v>0</v>
      </c>
      <c r="R19" s="69">
        <f>IFERROR(aurora_data!Q1239,0)</f>
        <v>0</v>
      </c>
      <c r="S19" s="68">
        <f>IFERROR(aurora_data!R1239,0)</f>
        <v>0</v>
      </c>
      <c r="T19" s="68">
        <f>IFERROR(aurora_data!S1239,0)</f>
        <v>0</v>
      </c>
      <c r="U19" s="74">
        <f>IFERROR(aurora_data!T1239,0)</f>
        <v>0</v>
      </c>
      <c r="V19" s="75" t="s">
        <v>198</v>
      </c>
      <c r="W19" s="60">
        <f>IFERROR(aurora_data!U1239,0)</f>
        <v>0</v>
      </c>
      <c r="X19" s="73">
        <f>IFERROR(W19/$W12,0)</f>
        <v>0</v>
      </c>
      <c r="Y19" s="2"/>
    </row>
    <row r="20" spans="1:25" customFormat="1">
      <c r="A20" s="2"/>
      <c r="B20" s="200" t="s">
        <v>212</v>
      </c>
      <c r="C20" s="194" t="str">
        <f>aurora_data!A1332</f>
        <v>09.00.00-12.11.30</v>
      </c>
      <c r="D20" s="34" t="s">
        <v>153</v>
      </c>
      <c r="E20" s="39">
        <f>IFERROR(aurora_data!D1332,0)</f>
        <v>0</v>
      </c>
      <c r="F20" s="40">
        <f>IFERROR(aurora_data!E1332,0)</f>
        <v>0</v>
      </c>
      <c r="G20" s="40">
        <f>IFERROR(aurora_data!F1332,0)</f>
        <v>0</v>
      </c>
      <c r="H20" s="40">
        <f>IFERROR(aurora_data!G1332,0)</f>
        <v>0</v>
      </c>
      <c r="I20" s="41">
        <f>IFERROR(aurora_data!H1332,0)</f>
        <v>0</v>
      </c>
      <c r="J20" s="39">
        <f>IFERROR(aurora_data!I1332,0)</f>
        <v>0</v>
      </c>
      <c r="K20" s="40">
        <f>IFERROR(aurora_data!J1332,0)</f>
        <v>0</v>
      </c>
      <c r="L20" s="40">
        <f>IFERROR(aurora_data!K1332,0)</f>
        <v>0</v>
      </c>
      <c r="M20" s="40">
        <f>IFERROR(aurora_data!L1332,0)</f>
        <v>0</v>
      </c>
      <c r="N20" s="41">
        <f>IFERROR(aurora_data!M1332,0)</f>
        <v>0</v>
      </c>
      <c r="O20" s="39">
        <f>IFERROR(aurora_data!N1332,0)</f>
        <v>0</v>
      </c>
      <c r="P20" s="40">
        <f>IFERROR(aurora_data!O1332,0)</f>
        <v>0</v>
      </c>
      <c r="Q20" s="40">
        <f>IFERROR(aurora_data!P1332,0)</f>
        <v>0</v>
      </c>
      <c r="R20" s="41">
        <f>IFERROR(aurora_data!Q1332,0)</f>
        <v>0</v>
      </c>
      <c r="S20" s="40">
        <f>IFERROR(aurora_data!R1332,0)</f>
        <v>0</v>
      </c>
      <c r="T20" s="40">
        <f>IFERROR(aurora_data!S1332,0)</f>
        <v>0</v>
      </c>
      <c r="U20" s="76">
        <f>IFERROR(aurora_data!T1332,0)</f>
        <v>0</v>
      </c>
      <c r="V20" s="61" t="s">
        <v>198</v>
      </c>
      <c r="W20" s="39">
        <f>IFERROR(aurora_data!U1332,0)</f>
        <v>9</v>
      </c>
      <c r="X20" s="70">
        <f t="shared" ref="X20" si="0">IFERROR(W20/$W20,0)</f>
        <v>1</v>
      </c>
      <c r="Y20" s="2"/>
    </row>
    <row r="21" spans="1:25" customFormat="1" ht="16.5" customHeight="1">
      <c r="A21" s="2"/>
      <c r="B21" s="201"/>
      <c r="C21" s="195"/>
      <c r="D21" s="35" t="s">
        <v>199</v>
      </c>
      <c r="E21" s="36">
        <f>IFERROR(aurora_data!D1333,0)</f>
        <v>0</v>
      </c>
      <c r="F21" s="62">
        <f>IFERROR(aurora_data!E1333,0)</f>
        <v>0</v>
      </c>
      <c r="G21" s="62">
        <f>IFERROR(aurora_data!F1333,0)</f>
        <v>0</v>
      </c>
      <c r="H21" s="62">
        <f>IFERROR(aurora_data!G1333,0)</f>
        <v>0</v>
      </c>
      <c r="I21" s="63">
        <f>IFERROR(aurora_data!H1333,0)</f>
        <v>0</v>
      </c>
      <c r="J21" s="36">
        <f>IFERROR(aurora_data!I1333,0)</f>
        <v>0</v>
      </c>
      <c r="K21" s="62">
        <f>IFERROR(aurora_data!J1333,0)</f>
        <v>0</v>
      </c>
      <c r="L21" s="62">
        <f>IFERROR(aurora_data!K1333,0)</f>
        <v>0</v>
      </c>
      <c r="M21" s="62">
        <f>IFERROR(aurora_data!L1333,0)</f>
        <v>0</v>
      </c>
      <c r="N21" s="63">
        <f>IFERROR(aurora_data!M1333,0)</f>
        <v>0</v>
      </c>
      <c r="O21" s="36">
        <f>IFERROR(aurora_data!N1333,0)</f>
        <v>0</v>
      </c>
      <c r="P21" s="62">
        <f>IFERROR(aurora_data!O1333,0)</f>
        <v>0</v>
      </c>
      <c r="Q21" s="62">
        <f>IFERROR(aurora_data!P1333,0)</f>
        <v>0</v>
      </c>
      <c r="R21" s="63">
        <f>IFERROR(aurora_data!Q1333,0)</f>
        <v>0</v>
      </c>
      <c r="S21" s="62">
        <f>IFERROR(aurora_data!R1333,0)</f>
        <v>0</v>
      </c>
      <c r="T21" s="62">
        <f>IFERROR(aurora_data!S1333,0)</f>
        <v>0</v>
      </c>
      <c r="U21" s="63">
        <f>IFERROR(aurora_data!T1333,0)</f>
        <v>0</v>
      </c>
      <c r="V21" s="64" t="s">
        <v>198</v>
      </c>
      <c r="W21" s="36">
        <f>IFERROR(aurora_data!U1333,0)</f>
        <v>0</v>
      </c>
      <c r="X21" s="71">
        <f t="shared" ref="X21" si="1">IFERROR(W21/$W20,0)</f>
        <v>0</v>
      </c>
      <c r="Y21" s="2"/>
    </row>
    <row r="22" spans="1:25" customFormat="1" ht="16.5" customHeight="1">
      <c r="A22" s="2"/>
      <c r="B22" s="201"/>
      <c r="C22" s="195"/>
      <c r="D22" s="35" t="s">
        <v>137</v>
      </c>
      <c r="E22" s="36">
        <f>IFERROR(aurora_data!D1334,0)</f>
        <v>0</v>
      </c>
      <c r="F22" s="62">
        <f>IFERROR(aurora_data!E1334,0)</f>
        <v>0</v>
      </c>
      <c r="G22" s="62">
        <f>IFERROR(aurora_data!F1334,0)</f>
        <v>0</v>
      </c>
      <c r="H22" s="62">
        <f>IFERROR(aurora_data!G1334,0)</f>
        <v>0</v>
      </c>
      <c r="I22" s="63">
        <f>IFERROR(aurora_data!H1334,0)</f>
        <v>0</v>
      </c>
      <c r="J22" s="36">
        <f>IFERROR(aurora_data!I1334,0)</f>
        <v>0</v>
      </c>
      <c r="K22" s="62">
        <f>IFERROR(aurora_data!J1334,0)</f>
        <v>0</v>
      </c>
      <c r="L22" s="62">
        <f>IFERROR(aurora_data!K1334,0)</f>
        <v>0</v>
      </c>
      <c r="M22" s="62">
        <f>IFERROR(aurora_data!L1334,0)</f>
        <v>0</v>
      </c>
      <c r="N22" s="63">
        <f>IFERROR(aurora_data!M1334,0)</f>
        <v>0</v>
      </c>
      <c r="O22" s="36">
        <f>IFERROR(aurora_data!N1334,0)</f>
        <v>0</v>
      </c>
      <c r="P22" s="62">
        <f>IFERROR(aurora_data!O1334,0)</f>
        <v>0</v>
      </c>
      <c r="Q22" s="62">
        <f>IFERROR(aurora_data!P1334,0)</f>
        <v>0</v>
      </c>
      <c r="R22" s="63">
        <f>IFERROR(aurora_data!Q1334,0)</f>
        <v>0</v>
      </c>
      <c r="S22" s="62">
        <f>IFERROR(aurora_data!R1334,0)</f>
        <v>0</v>
      </c>
      <c r="T22" s="62">
        <f>IFERROR(aurora_data!S1334,0)</f>
        <v>0</v>
      </c>
      <c r="U22" s="63">
        <f>IFERROR(aurora_data!T1334,0)</f>
        <v>0</v>
      </c>
      <c r="V22" s="64" t="s">
        <v>198</v>
      </c>
      <c r="W22" s="36">
        <f>IFERROR(aurora_data!U1334,0)</f>
        <v>0</v>
      </c>
      <c r="X22" s="71">
        <f t="shared" ref="X22" si="2">IFERROR(W22/$W20,0)</f>
        <v>0</v>
      </c>
      <c r="Y22" s="2"/>
    </row>
    <row r="23" spans="1:25" customFormat="1">
      <c r="A23" s="2"/>
      <c r="B23" s="201"/>
      <c r="C23" s="195"/>
      <c r="D23" s="35" t="s">
        <v>200</v>
      </c>
      <c r="E23" s="36">
        <f>IFERROR(aurora_data!D1335,0)</f>
        <v>0</v>
      </c>
      <c r="F23" s="62">
        <f>IFERROR(aurora_data!E1335,0)</f>
        <v>0</v>
      </c>
      <c r="G23" s="62">
        <f>IFERROR(aurora_data!F1335,0)</f>
        <v>0</v>
      </c>
      <c r="H23" s="62">
        <f>IFERROR(aurora_data!G1335,0)</f>
        <v>0</v>
      </c>
      <c r="I23" s="63">
        <f>IFERROR(aurora_data!H1335,0)</f>
        <v>0</v>
      </c>
      <c r="J23" s="36">
        <f>IFERROR(aurora_data!I1335,0)</f>
        <v>0</v>
      </c>
      <c r="K23" s="62">
        <f>IFERROR(aurora_data!J1335,0)</f>
        <v>0</v>
      </c>
      <c r="L23" s="62">
        <f>IFERROR(aurora_data!K1335,0)</f>
        <v>0</v>
      </c>
      <c r="M23" s="62">
        <f>IFERROR(aurora_data!L1335,0)</f>
        <v>0</v>
      </c>
      <c r="N23" s="63">
        <f>IFERROR(aurora_data!M1335,0)</f>
        <v>0</v>
      </c>
      <c r="O23" s="36">
        <f>IFERROR(aurora_data!N1335,0)</f>
        <v>0</v>
      </c>
      <c r="P23" s="62">
        <f>IFERROR(aurora_data!O1335,0)</f>
        <v>0</v>
      </c>
      <c r="Q23" s="62">
        <f>IFERROR(aurora_data!P1335,0)</f>
        <v>0</v>
      </c>
      <c r="R23" s="63">
        <f>IFERROR(aurora_data!Q1335,0)</f>
        <v>0</v>
      </c>
      <c r="S23" s="62">
        <f>IFERROR(aurora_data!R1335,0)</f>
        <v>0</v>
      </c>
      <c r="T23" s="62">
        <f>IFERROR(aurora_data!S1335,0)</f>
        <v>0</v>
      </c>
      <c r="U23" s="63">
        <f>IFERROR(aurora_data!T1335,0)</f>
        <v>0</v>
      </c>
      <c r="V23" s="64" t="s">
        <v>198</v>
      </c>
      <c r="W23" s="36">
        <f>IFERROR(aurora_data!U1335,0)</f>
        <v>0</v>
      </c>
      <c r="X23" s="71">
        <f t="shared" ref="X23" si="3">IFERROR(W23/$W20,0)</f>
        <v>0</v>
      </c>
      <c r="Y23" s="2"/>
    </row>
    <row r="24" spans="1:25" customFormat="1" ht="16.5" customHeight="1">
      <c r="A24" s="2"/>
      <c r="B24" s="201"/>
      <c r="C24" s="195"/>
      <c r="D24" s="35" t="s">
        <v>201</v>
      </c>
      <c r="E24" s="36">
        <f>IFERROR(aurora_data!D1336,0)</f>
        <v>0</v>
      </c>
      <c r="F24" s="62">
        <f>IFERROR(aurora_data!E1336,0)</f>
        <v>0</v>
      </c>
      <c r="G24" s="62">
        <f>IFERROR(aurora_data!F1336,0)</f>
        <v>0</v>
      </c>
      <c r="H24" s="62">
        <f>IFERROR(aurora_data!G1336,0)</f>
        <v>0</v>
      </c>
      <c r="I24" s="63">
        <f>IFERROR(aurora_data!H1336,0)</f>
        <v>0</v>
      </c>
      <c r="J24" s="36">
        <f>IFERROR(aurora_data!I1336,0)</f>
        <v>0</v>
      </c>
      <c r="K24" s="62">
        <f>IFERROR(aurora_data!J1336,0)</f>
        <v>0</v>
      </c>
      <c r="L24" s="62">
        <f>IFERROR(aurora_data!K1336,0)</f>
        <v>0</v>
      </c>
      <c r="M24" s="62">
        <f>IFERROR(aurora_data!L1336,0)</f>
        <v>0</v>
      </c>
      <c r="N24" s="63">
        <f>IFERROR(aurora_data!M1336,0)</f>
        <v>0</v>
      </c>
      <c r="O24" s="36">
        <f>IFERROR(aurora_data!N1336,0)</f>
        <v>0</v>
      </c>
      <c r="P24" s="62">
        <f>IFERROR(aurora_data!O1336,0)</f>
        <v>0</v>
      </c>
      <c r="Q24" s="62">
        <f>IFERROR(aurora_data!P1336,0)</f>
        <v>0</v>
      </c>
      <c r="R24" s="63">
        <f>IFERROR(aurora_data!Q1336,0)</f>
        <v>0</v>
      </c>
      <c r="S24" s="62">
        <f>IFERROR(aurora_data!R1336,0)</f>
        <v>0</v>
      </c>
      <c r="T24" s="62">
        <f>IFERROR(aurora_data!S1336,0)</f>
        <v>0</v>
      </c>
      <c r="U24" s="63">
        <f>IFERROR(aurora_data!T1336,0)</f>
        <v>0</v>
      </c>
      <c r="V24" s="64" t="s">
        <v>198</v>
      </c>
      <c r="W24" s="36">
        <f>IFERROR(aurora_data!U1336,0)</f>
        <v>0</v>
      </c>
      <c r="X24" s="71">
        <f t="shared" ref="X24" si="4">IFERROR(W24/$W20,0)</f>
        <v>0</v>
      </c>
      <c r="Y24" s="2"/>
    </row>
    <row r="25" spans="1:25" customFormat="1" ht="16.5" customHeight="1" thickBot="1">
      <c r="A25" s="2"/>
      <c r="B25" s="201"/>
      <c r="C25" s="195"/>
      <c r="D25" s="35" t="s">
        <v>202</v>
      </c>
      <c r="E25" s="36">
        <f>IFERROR(aurora_data!D1337,0)</f>
        <v>0</v>
      </c>
      <c r="F25" s="62">
        <f>IFERROR(aurora_data!E1337,0)</f>
        <v>0</v>
      </c>
      <c r="G25" s="62">
        <f>IFERROR(aurora_data!F1337,0)</f>
        <v>0</v>
      </c>
      <c r="H25" s="62">
        <f>IFERROR(aurora_data!G1337,0)</f>
        <v>0</v>
      </c>
      <c r="I25" s="63">
        <f>IFERROR(aurora_data!H1337,0)</f>
        <v>0</v>
      </c>
      <c r="J25" s="36">
        <f>IFERROR(aurora_data!I1337,0)</f>
        <v>0</v>
      </c>
      <c r="K25" s="62">
        <f>IFERROR(aurora_data!J1337,0)</f>
        <v>0</v>
      </c>
      <c r="L25" s="62">
        <f>IFERROR(aurora_data!K1337,0)</f>
        <v>0</v>
      </c>
      <c r="M25" s="62">
        <f>IFERROR(aurora_data!L1337,0)</f>
        <v>0</v>
      </c>
      <c r="N25" s="63">
        <f>IFERROR(aurora_data!M1337,0)</f>
        <v>0</v>
      </c>
      <c r="O25" s="36">
        <f>IFERROR(aurora_data!N1337,0)</f>
        <v>0</v>
      </c>
      <c r="P25" s="62">
        <f>IFERROR(aurora_data!O1337,0)</f>
        <v>0</v>
      </c>
      <c r="Q25" s="62">
        <f>IFERROR(aurora_data!P1337,0)</f>
        <v>0</v>
      </c>
      <c r="R25" s="63">
        <f>IFERROR(aurora_data!Q1337,0)</f>
        <v>0</v>
      </c>
      <c r="S25" s="62">
        <f>IFERROR(aurora_data!R1337,0)</f>
        <v>0</v>
      </c>
      <c r="T25" s="62">
        <f>IFERROR(aurora_data!S1337,0)</f>
        <v>0</v>
      </c>
      <c r="U25" s="63">
        <f>IFERROR(aurora_data!T1337,0)</f>
        <v>0</v>
      </c>
      <c r="V25" s="64" t="s">
        <v>198</v>
      </c>
      <c r="W25" s="36">
        <f>IFERROR(aurora_data!U1337,0)</f>
        <v>0</v>
      </c>
      <c r="X25" s="71">
        <f t="shared" ref="X25" si="5">IFERROR(W25/$W20,0)</f>
        <v>0</v>
      </c>
      <c r="Y25" s="2"/>
    </row>
    <row r="26" spans="1:25" customFormat="1" ht="16.5" customHeight="1" thickBot="1">
      <c r="A26" s="2"/>
      <c r="B26" s="201"/>
      <c r="C26" s="195"/>
      <c r="D26" s="37" t="s">
        <v>141</v>
      </c>
      <c r="E26" s="59">
        <f>IFERROR(aurora_data!D1338,0)</f>
        <v>0</v>
      </c>
      <c r="F26" s="65">
        <f>IFERROR(aurora_data!E1338,0)</f>
        <v>0</v>
      </c>
      <c r="G26" s="65">
        <f>IFERROR(aurora_data!F1338,0)</f>
        <v>0</v>
      </c>
      <c r="H26" s="65">
        <f>IFERROR(aurora_data!G1338,0)</f>
        <v>0</v>
      </c>
      <c r="I26" s="66">
        <f>IFERROR(aurora_data!H1338,0)</f>
        <v>0</v>
      </c>
      <c r="J26" s="59">
        <f>IFERROR(aurora_data!I1338,0)</f>
        <v>0</v>
      </c>
      <c r="K26" s="65">
        <f>IFERROR(aurora_data!J1338,0)</f>
        <v>0</v>
      </c>
      <c r="L26" s="65">
        <f>IFERROR(aurora_data!K1338,0)</f>
        <v>0</v>
      </c>
      <c r="M26" s="65">
        <f>IFERROR(aurora_data!L1338,0)</f>
        <v>0</v>
      </c>
      <c r="N26" s="66">
        <f>IFERROR(aurora_data!M1338,0)</f>
        <v>0</v>
      </c>
      <c r="O26" s="59">
        <f>IFERROR(aurora_data!N1338,0)</f>
        <v>0</v>
      </c>
      <c r="P26" s="65">
        <f>IFERROR(aurora_data!O1338,0)</f>
        <v>0</v>
      </c>
      <c r="Q26" s="65">
        <f>IFERROR(aurora_data!P1338,0)</f>
        <v>0</v>
      </c>
      <c r="R26" s="66">
        <f>IFERROR(aurora_data!Q1338,0)</f>
        <v>0</v>
      </c>
      <c r="S26" s="65">
        <f>IFERROR(aurora_data!R1338,0)</f>
        <v>0</v>
      </c>
      <c r="T26" s="65">
        <f>IFERROR(aurora_data!S1338,0)</f>
        <v>0</v>
      </c>
      <c r="U26" s="66">
        <f>IFERROR(aurora_data!T1338,0)</f>
        <v>0</v>
      </c>
      <c r="V26" s="67" t="s">
        <v>198</v>
      </c>
      <c r="W26" s="59">
        <f>IFERROR(aurora_data!U1338,0)</f>
        <v>0</v>
      </c>
      <c r="X26" s="72">
        <f t="shared" ref="X26" si="6">IFERROR(W26/$W20,0)</f>
        <v>0</v>
      </c>
      <c r="Y26" s="2"/>
    </row>
    <row r="27" spans="1:25" customFormat="1" ht="16.5" thickBot="1">
      <c r="A27" s="2"/>
      <c r="B27" s="201"/>
      <c r="C27" s="195"/>
      <c r="D27" s="38" t="s">
        <v>203</v>
      </c>
      <c r="E27" s="60">
        <f>IFERROR(aurora_data!D1339,0)</f>
        <v>0</v>
      </c>
      <c r="F27" s="68">
        <f>IFERROR(aurora_data!E1339,0)</f>
        <v>0</v>
      </c>
      <c r="G27" s="68">
        <f>IFERROR(aurora_data!F1339,0)</f>
        <v>0</v>
      </c>
      <c r="H27" s="68">
        <f>IFERROR(aurora_data!G1339,0)</f>
        <v>0</v>
      </c>
      <c r="I27" s="69">
        <f>IFERROR(aurora_data!H1339,0)</f>
        <v>0</v>
      </c>
      <c r="J27" s="60">
        <f>IFERROR(aurora_data!I1339,0)</f>
        <v>0</v>
      </c>
      <c r="K27" s="68">
        <f>IFERROR(aurora_data!J1339,0)</f>
        <v>0</v>
      </c>
      <c r="L27" s="68">
        <f>IFERROR(aurora_data!K1339,0)</f>
        <v>0</v>
      </c>
      <c r="M27" s="68">
        <f>IFERROR(aurora_data!L1339,0)</f>
        <v>0</v>
      </c>
      <c r="N27" s="69">
        <f>IFERROR(aurora_data!M1339,0)</f>
        <v>0</v>
      </c>
      <c r="O27" s="60">
        <f>IFERROR(aurora_data!N1339,0)</f>
        <v>0</v>
      </c>
      <c r="P27" s="68">
        <f>IFERROR(aurora_data!O1339,0)</f>
        <v>0</v>
      </c>
      <c r="Q27" s="68">
        <f>IFERROR(aurora_data!P1339,0)</f>
        <v>0</v>
      </c>
      <c r="R27" s="69">
        <f>IFERROR(aurora_data!Q1339,0)</f>
        <v>0</v>
      </c>
      <c r="S27" s="68">
        <f>IFERROR(aurora_data!R1339,0)</f>
        <v>0</v>
      </c>
      <c r="T27" s="68">
        <f>IFERROR(aurora_data!S1339,0)</f>
        <v>0</v>
      </c>
      <c r="U27" s="74">
        <f>IFERROR(aurora_data!T1339,0)</f>
        <v>0</v>
      </c>
      <c r="V27" s="75" t="s">
        <v>198</v>
      </c>
      <c r="W27" s="60">
        <f>IFERROR(aurora_data!U1339,0)</f>
        <v>0</v>
      </c>
      <c r="X27" s="73">
        <f t="shared" ref="X27" si="7">IFERROR(W27/$W20,0)</f>
        <v>0</v>
      </c>
      <c r="Y27" s="2"/>
    </row>
    <row r="28" spans="1:25" customFormat="1">
      <c r="A28" s="2"/>
      <c r="B28" s="200" t="s">
        <v>212</v>
      </c>
      <c r="C28" s="194" t="str">
        <f>aurora_data!A1340</f>
        <v>13.00.00-21.11.30</v>
      </c>
      <c r="D28" s="34" t="s">
        <v>153</v>
      </c>
      <c r="E28" s="39">
        <f>IFERROR(aurora_data!D1340,0)</f>
        <v>0</v>
      </c>
      <c r="F28" s="40">
        <f>IFERROR(aurora_data!E1340,0)</f>
        <v>0</v>
      </c>
      <c r="G28" s="40">
        <f>IFERROR(aurora_data!F1340,0)</f>
        <v>0</v>
      </c>
      <c r="H28" s="40">
        <f>IFERROR(aurora_data!G1340,0)</f>
        <v>0</v>
      </c>
      <c r="I28" s="41">
        <f>IFERROR(aurora_data!H1340,0)</f>
        <v>0</v>
      </c>
      <c r="J28" s="39">
        <f>IFERROR(aurora_data!I1340,0)</f>
        <v>0</v>
      </c>
      <c r="K28" s="40">
        <f>IFERROR(aurora_data!J1340,0)</f>
        <v>0</v>
      </c>
      <c r="L28" s="40">
        <f>IFERROR(aurora_data!K1340,0)</f>
        <v>0</v>
      </c>
      <c r="M28" s="40">
        <f>IFERROR(aurora_data!L1340,0)</f>
        <v>0</v>
      </c>
      <c r="N28" s="41">
        <f>IFERROR(aurora_data!M1340,0)</f>
        <v>0</v>
      </c>
      <c r="O28" s="39">
        <f>IFERROR(aurora_data!N1340,0)</f>
        <v>0</v>
      </c>
      <c r="P28" s="40">
        <f>IFERROR(aurora_data!O1340,0)</f>
        <v>0</v>
      </c>
      <c r="Q28" s="40">
        <f>IFERROR(aurora_data!P1340,0)</f>
        <v>0</v>
      </c>
      <c r="R28" s="41">
        <f>IFERROR(aurora_data!Q1340,0)</f>
        <v>0</v>
      </c>
      <c r="S28" s="40">
        <f>IFERROR(aurora_data!R1340,0)</f>
        <v>0</v>
      </c>
      <c r="T28" s="40">
        <f>IFERROR(aurora_data!S1340,0)</f>
        <v>0</v>
      </c>
      <c r="U28" s="76">
        <f>IFERROR(aurora_data!T1340,0)</f>
        <v>0</v>
      </c>
      <c r="V28" s="61" t="s">
        <v>198</v>
      </c>
      <c r="W28" s="39">
        <f>IFERROR(aurora_data!U1340,0)</f>
        <v>9</v>
      </c>
      <c r="X28" s="70">
        <f t="shared" ref="X28" si="8">IFERROR(W28/$W28,0)</f>
        <v>1</v>
      </c>
      <c r="Y28" s="2"/>
    </row>
    <row r="29" spans="1:25" customFormat="1" ht="16.5" customHeight="1">
      <c r="A29" s="2"/>
      <c r="B29" s="201"/>
      <c r="C29" s="195"/>
      <c r="D29" s="35" t="s">
        <v>199</v>
      </c>
      <c r="E29" s="36">
        <f>IFERROR(aurora_data!D1341,0)</f>
        <v>0</v>
      </c>
      <c r="F29" s="62">
        <f>IFERROR(aurora_data!E1341,0)</f>
        <v>1</v>
      </c>
      <c r="G29" s="62">
        <f>IFERROR(aurora_data!F1341,0)</f>
        <v>2</v>
      </c>
      <c r="H29" s="62">
        <f>IFERROR(aurora_data!G1341,0)</f>
        <v>1</v>
      </c>
      <c r="I29" s="63">
        <f>IFERROR(aurora_data!H1341,0)</f>
        <v>0</v>
      </c>
      <c r="J29" s="36">
        <f>IFERROR(aurora_data!I1341,0)</f>
        <v>0</v>
      </c>
      <c r="K29" s="62">
        <f>IFERROR(aurora_data!J1341,0)</f>
        <v>0</v>
      </c>
      <c r="L29" s="62">
        <f>IFERROR(aurora_data!K1341,0)</f>
        <v>1</v>
      </c>
      <c r="M29" s="62">
        <f>IFERROR(aurora_data!L1341,0)</f>
        <v>1</v>
      </c>
      <c r="N29" s="63">
        <f>IFERROR(aurora_data!M1341,0)</f>
        <v>2</v>
      </c>
      <c r="O29" s="36">
        <f>IFERROR(aurora_data!N1341,0)</f>
        <v>3</v>
      </c>
      <c r="P29" s="62">
        <f>IFERROR(aurora_data!O1341,0)</f>
        <v>0</v>
      </c>
      <c r="Q29" s="62">
        <f>IFERROR(aurora_data!P1341,0)</f>
        <v>0</v>
      </c>
      <c r="R29" s="63">
        <f>IFERROR(aurora_data!Q1341,0)</f>
        <v>1</v>
      </c>
      <c r="S29" s="62">
        <f>IFERROR(aurora_data!R1341,0)</f>
        <v>2</v>
      </c>
      <c r="T29" s="62">
        <f>IFERROR(aurora_data!S1341,0)</f>
        <v>2</v>
      </c>
      <c r="U29" s="63">
        <f>IFERROR(aurora_data!T1341,0)</f>
        <v>0</v>
      </c>
      <c r="V29" s="64" t="s">
        <v>198</v>
      </c>
      <c r="W29" s="36">
        <f>IFERROR(aurora_data!U1341,0)</f>
        <v>4</v>
      </c>
      <c r="X29" s="71">
        <f t="shared" ref="X29" si="9">IFERROR(W29/$W28,0)</f>
        <v>0.44444444444444442</v>
      </c>
      <c r="Y29" s="2"/>
    </row>
    <row r="30" spans="1:25" customFormat="1" ht="16.5" customHeight="1">
      <c r="A30" s="2"/>
      <c r="B30" s="201"/>
      <c r="C30" s="195"/>
      <c r="D30" s="35" t="s">
        <v>137</v>
      </c>
      <c r="E30" s="36">
        <f>IFERROR(aurora_data!D1342,0)</f>
        <v>0</v>
      </c>
      <c r="F30" s="62">
        <f>IFERROR(aurora_data!E1342,0)</f>
        <v>0</v>
      </c>
      <c r="G30" s="62">
        <f>IFERROR(aurora_data!F1342,0)</f>
        <v>0</v>
      </c>
      <c r="H30" s="62">
        <f>IFERROR(aurora_data!G1342,0)</f>
        <v>0</v>
      </c>
      <c r="I30" s="63">
        <f>IFERROR(aurora_data!H1342,0)</f>
        <v>0</v>
      </c>
      <c r="J30" s="36">
        <f>IFERROR(aurora_data!I1342,0)</f>
        <v>0</v>
      </c>
      <c r="K30" s="62">
        <f>IFERROR(aurora_data!J1342,0)</f>
        <v>0</v>
      </c>
      <c r="L30" s="62">
        <f>IFERROR(aurora_data!K1342,0)</f>
        <v>0</v>
      </c>
      <c r="M30" s="62">
        <f>IFERROR(aurora_data!L1342,0)</f>
        <v>0</v>
      </c>
      <c r="N30" s="63">
        <f>IFERROR(aurora_data!M1342,0)</f>
        <v>0</v>
      </c>
      <c r="O30" s="36">
        <f>IFERROR(aurora_data!N1342,0)</f>
        <v>0</v>
      </c>
      <c r="P30" s="62">
        <f>IFERROR(aurora_data!O1342,0)</f>
        <v>0</v>
      </c>
      <c r="Q30" s="62">
        <f>IFERROR(aurora_data!P1342,0)</f>
        <v>0</v>
      </c>
      <c r="R30" s="63">
        <f>IFERROR(aurora_data!Q1342,0)</f>
        <v>0</v>
      </c>
      <c r="S30" s="62">
        <f>IFERROR(aurora_data!R1342,0)</f>
        <v>0</v>
      </c>
      <c r="T30" s="62">
        <f>IFERROR(aurora_data!S1342,0)</f>
        <v>0</v>
      </c>
      <c r="U30" s="63">
        <f>IFERROR(aurora_data!T1342,0)</f>
        <v>0</v>
      </c>
      <c r="V30" s="64" t="s">
        <v>198</v>
      </c>
      <c r="W30" s="36">
        <f>IFERROR(aurora_data!U1342,0)</f>
        <v>0</v>
      </c>
      <c r="X30" s="71">
        <f t="shared" ref="X30" si="10">IFERROR(W30/$W28,0)</f>
        <v>0</v>
      </c>
      <c r="Y30" s="2"/>
    </row>
    <row r="31" spans="1:25" customFormat="1">
      <c r="A31" s="2"/>
      <c r="B31" s="201"/>
      <c r="C31" s="195"/>
      <c r="D31" s="35" t="s">
        <v>200</v>
      </c>
      <c r="E31" s="36">
        <f>IFERROR(aurora_data!D1343,0)</f>
        <v>0</v>
      </c>
      <c r="F31" s="62">
        <f>IFERROR(aurora_data!E1343,0)</f>
        <v>0</v>
      </c>
      <c r="G31" s="62">
        <f>IFERROR(aurora_data!F1343,0)</f>
        <v>0</v>
      </c>
      <c r="H31" s="62">
        <f>IFERROR(aurora_data!G1343,0)</f>
        <v>0</v>
      </c>
      <c r="I31" s="63">
        <f>IFERROR(aurora_data!H1343,0)</f>
        <v>0</v>
      </c>
      <c r="J31" s="36">
        <f>IFERROR(aurora_data!I1343,0)</f>
        <v>0</v>
      </c>
      <c r="K31" s="62">
        <f>IFERROR(aurora_data!J1343,0)</f>
        <v>0</v>
      </c>
      <c r="L31" s="62">
        <f>IFERROR(aurora_data!K1343,0)</f>
        <v>0</v>
      </c>
      <c r="M31" s="62">
        <f>IFERROR(aurora_data!L1343,0)</f>
        <v>0</v>
      </c>
      <c r="N31" s="63">
        <f>IFERROR(aurora_data!M1343,0)</f>
        <v>0</v>
      </c>
      <c r="O31" s="36">
        <f>IFERROR(aurora_data!N1343,0)</f>
        <v>0</v>
      </c>
      <c r="P31" s="62">
        <f>IFERROR(aurora_data!O1343,0)</f>
        <v>0</v>
      </c>
      <c r="Q31" s="62">
        <f>IFERROR(aurora_data!P1343,0)</f>
        <v>0</v>
      </c>
      <c r="R31" s="63">
        <f>IFERROR(aurora_data!Q1343,0)</f>
        <v>0</v>
      </c>
      <c r="S31" s="62">
        <f>IFERROR(aurora_data!R1343,0)</f>
        <v>0</v>
      </c>
      <c r="T31" s="62">
        <f>IFERROR(aurora_data!S1343,0)</f>
        <v>0</v>
      </c>
      <c r="U31" s="63">
        <f>IFERROR(aurora_data!T1343,0)</f>
        <v>0</v>
      </c>
      <c r="V31" s="64" t="s">
        <v>198</v>
      </c>
      <c r="W31" s="36">
        <f>IFERROR(aurora_data!U1343,0)</f>
        <v>0</v>
      </c>
      <c r="X31" s="71">
        <f t="shared" ref="X31" si="11">IFERROR(W31/$W28,0)</f>
        <v>0</v>
      </c>
      <c r="Y31" s="2"/>
    </row>
    <row r="32" spans="1:25" customFormat="1" ht="16.5" customHeight="1">
      <c r="A32" s="2"/>
      <c r="B32" s="201"/>
      <c r="C32" s="195"/>
      <c r="D32" s="35" t="s">
        <v>201</v>
      </c>
      <c r="E32" s="36">
        <f>IFERROR(aurora_data!D1344,0)</f>
        <v>0</v>
      </c>
      <c r="F32" s="62">
        <f>IFERROR(aurora_data!E1344,0)</f>
        <v>0</v>
      </c>
      <c r="G32" s="62">
        <f>IFERROR(aurora_data!F1344,0)</f>
        <v>0</v>
      </c>
      <c r="H32" s="62">
        <f>IFERROR(aurora_data!G1344,0)</f>
        <v>0</v>
      </c>
      <c r="I32" s="63">
        <f>IFERROR(aurora_data!H1344,0)</f>
        <v>0</v>
      </c>
      <c r="J32" s="36">
        <f>IFERROR(aurora_data!I1344,0)</f>
        <v>0</v>
      </c>
      <c r="K32" s="62">
        <f>IFERROR(aurora_data!J1344,0)</f>
        <v>0</v>
      </c>
      <c r="L32" s="62">
        <f>IFERROR(aurora_data!K1344,0)</f>
        <v>0</v>
      </c>
      <c r="M32" s="62">
        <f>IFERROR(aurora_data!L1344,0)</f>
        <v>0</v>
      </c>
      <c r="N32" s="63">
        <f>IFERROR(aurora_data!M1344,0)</f>
        <v>0</v>
      </c>
      <c r="O32" s="36">
        <f>IFERROR(aurora_data!N1344,0)</f>
        <v>0</v>
      </c>
      <c r="P32" s="62">
        <f>IFERROR(aurora_data!O1344,0)</f>
        <v>0</v>
      </c>
      <c r="Q32" s="62">
        <f>IFERROR(aurora_data!P1344,0)</f>
        <v>0</v>
      </c>
      <c r="R32" s="63">
        <f>IFERROR(aurora_data!Q1344,0)</f>
        <v>0</v>
      </c>
      <c r="S32" s="62">
        <f>IFERROR(aurora_data!R1344,0)</f>
        <v>0</v>
      </c>
      <c r="T32" s="62">
        <f>IFERROR(aurora_data!S1344,0)</f>
        <v>0</v>
      </c>
      <c r="U32" s="63">
        <f>IFERROR(aurora_data!T1344,0)</f>
        <v>0</v>
      </c>
      <c r="V32" s="64" t="s">
        <v>198</v>
      </c>
      <c r="W32" s="36">
        <f>IFERROR(aurora_data!U1344,0)</f>
        <v>0</v>
      </c>
      <c r="X32" s="71">
        <f t="shared" ref="X32" si="12">IFERROR(W32/$W28,0)</f>
        <v>0</v>
      </c>
      <c r="Y32" s="2"/>
    </row>
    <row r="33" spans="1:25" customFormat="1" ht="16.5" customHeight="1" thickBot="1">
      <c r="A33" s="2"/>
      <c r="B33" s="201"/>
      <c r="C33" s="195"/>
      <c r="D33" s="35" t="s">
        <v>202</v>
      </c>
      <c r="E33" s="36">
        <f>IFERROR(aurora_data!D1345,0)</f>
        <v>0</v>
      </c>
      <c r="F33" s="62">
        <f>IFERROR(aurora_data!E1345,0)</f>
        <v>0</v>
      </c>
      <c r="G33" s="62">
        <f>IFERROR(aurora_data!F1345,0)</f>
        <v>0</v>
      </c>
      <c r="H33" s="62">
        <f>IFERROR(aurora_data!G1345,0)</f>
        <v>0</v>
      </c>
      <c r="I33" s="63">
        <f>IFERROR(aurora_data!H1345,0)</f>
        <v>0</v>
      </c>
      <c r="J33" s="36">
        <f>IFERROR(aurora_data!I1345,0)</f>
        <v>0</v>
      </c>
      <c r="K33" s="62">
        <f>IFERROR(aurora_data!J1345,0)</f>
        <v>0</v>
      </c>
      <c r="L33" s="62">
        <f>IFERROR(aurora_data!K1345,0)</f>
        <v>0</v>
      </c>
      <c r="M33" s="62">
        <f>IFERROR(aurora_data!L1345,0)</f>
        <v>0</v>
      </c>
      <c r="N33" s="63">
        <f>IFERROR(aurora_data!M1345,0)</f>
        <v>0</v>
      </c>
      <c r="O33" s="36">
        <f>IFERROR(aurora_data!N1345,0)</f>
        <v>0</v>
      </c>
      <c r="P33" s="62">
        <f>IFERROR(aurora_data!O1345,0)</f>
        <v>0</v>
      </c>
      <c r="Q33" s="62">
        <f>IFERROR(aurora_data!P1345,0)</f>
        <v>0</v>
      </c>
      <c r="R33" s="63">
        <f>IFERROR(aurora_data!Q1345,0)</f>
        <v>0</v>
      </c>
      <c r="S33" s="62">
        <f>IFERROR(aurora_data!R1345,0)</f>
        <v>0</v>
      </c>
      <c r="T33" s="62">
        <f>IFERROR(aurora_data!S1345,0)</f>
        <v>0</v>
      </c>
      <c r="U33" s="63">
        <f>IFERROR(aurora_data!T1345,0)</f>
        <v>0</v>
      </c>
      <c r="V33" s="64" t="s">
        <v>198</v>
      </c>
      <c r="W33" s="36">
        <f>IFERROR(aurora_data!U1345,0)</f>
        <v>0</v>
      </c>
      <c r="X33" s="71">
        <f t="shared" ref="X33" si="13">IFERROR(W33/$W28,0)</f>
        <v>0</v>
      </c>
      <c r="Y33" s="2"/>
    </row>
    <row r="34" spans="1:25" customFormat="1" ht="16.5" customHeight="1" thickBot="1">
      <c r="A34" s="2"/>
      <c r="B34" s="201"/>
      <c r="C34" s="195"/>
      <c r="D34" s="37" t="s">
        <v>141</v>
      </c>
      <c r="E34" s="59">
        <f>IFERROR(aurora_data!D1346,0)</f>
        <v>0</v>
      </c>
      <c r="F34" s="65">
        <f>IFERROR(aurora_data!E1346,0)</f>
        <v>1</v>
      </c>
      <c r="G34" s="65">
        <f>IFERROR(aurora_data!F1346,0)</f>
        <v>2</v>
      </c>
      <c r="H34" s="65">
        <f>IFERROR(aurora_data!G1346,0)</f>
        <v>1</v>
      </c>
      <c r="I34" s="66">
        <f>IFERROR(aurora_data!H1346,0)</f>
        <v>0</v>
      </c>
      <c r="J34" s="59">
        <f>IFERROR(aurora_data!I1346,0)</f>
        <v>0</v>
      </c>
      <c r="K34" s="65">
        <f>IFERROR(aurora_data!J1346,0)</f>
        <v>0</v>
      </c>
      <c r="L34" s="65">
        <f>IFERROR(aurora_data!K1346,0)</f>
        <v>1</v>
      </c>
      <c r="M34" s="65">
        <f>IFERROR(aurora_data!L1346,0)</f>
        <v>1</v>
      </c>
      <c r="N34" s="66">
        <f>IFERROR(aurora_data!M1346,0)</f>
        <v>2</v>
      </c>
      <c r="O34" s="59">
        <f>IFERROR(aurora_data!N1346,0)</f>
        <v>3</v>
      </c>
      <c r="P34" s="65">
        <f>IFERROR(aurora_data!O1346,0)</f>
        <v>0</v>
      </c>
      <c r="Q34" s="65">
        <f>IFERROR(aurora_data!P1346,0)</f>
        <v>0</v>
      </c>
      <c r="R34" s="66">
        <f>IFERROR(aurora_data!Q1346,0)</f>
        <v>1</v>
      </c>
      <c r="S34" s="65">
        <f>IFERROR(aurora_data!R1346,0)</f>
        <v>2</v>
      </c>
      <c r="T34" s="65">
        <f>IFERROR(aurora_data!S1346,0)</f>
        <v>2</v>
      </c>
      <c r="U34" s="66">
        <f>IFERROR(aurora_data!T1346,0)</f>
        <v>0</v>
      </c>
      <c r="V34" s="67" t="s">
        <v>198</v>
      </c>
      <c r="W34" s="59">
        <f>IFERROR(aurora_data!U1346,0)</f>
        <v>4</v>
      </c>
      <c r="X34" s="72">
        <f t="shared" ref="X34" si="14">IFERROR(W34/$W28,0)</f>
        <v>0.44444444444444442</v>
      </c>
      <c r="Y34" s="2"/>
    </row>
    <row r="35" spans="1:25" customFormat="1" ht="16.5" thickBot="1">
      <c r="A35" s="2"/>
      <c r="B35" s="201"/>
      <c r="C35" s="195"/>
      <c r="D35" s="38" t="s">
        <v>203</v>
      </c>
      <c r="E35" s="60">
        <f>IFERROR(aurora_data!D1347,0)</f>
        <v>0</v>
      </c>
      <c r="F35" s="68">
        <f>IFERROR(aurora_data!E1347,0)</f>
        <v>0</v>
      </c>
      <c r="G35" s="68">
        <f>IFERROR(aurora_data!F1347,0)</f>
        <v>0</v>
      </c>
      <c r="H35" s="68">
        <f>IFERROR(aurora_data!G1347,0)</f>
        <v>0</v>
      </c>
      <c r="I35" s="69">
        <f>IFERROR(aurora_data!H1347,0)</f>
        <v>0</v>
      </c>
      <c r="J35" s="60">
        <f>IFERROR(aurora_data!I1347,0)</f>
        <v>0</v>
      </c>
      <c r="K35" s="68">
        <f>IFERROR(aurora_data!J1347,0)</f>
        <v>0</v>
      </c>
      <c r="L35" s="68">
        <f>IFERROR(aurora_data!K1347,0)</f>
        <v>0</v>
      </c>
      <c r="M35" s="68">
        <f>IFERROR(aurora_data!L1347,0)</f>
        <v>0</v>
      </c>
      <c r="N35" s="69">
        <f>IFERROR(aurora_data!M1347,0)</f>
        <v>0</v>
      </c>
      <c r="O35" s="60">
        <f>IFERROR(aurora_data!N1347,0)</f>
        <v>0</v>
      </c>
      <c r="P35" s="68">
        <f>IFERROR(aurora_data!O1347,0)</f>
        <v>0</v>
      </c>
      <c r="Q35" s="68">
        <f>IFERROR(aurora_data!P1347,0)</f>
        <v>0</v>
      </c>
      <c r="R35" s="69">
        <f>IFERROR(aurora_data!Q1347,0)</f>
        <v>0</v>
      </c>
      <c r="S35" s="68">
        <f>IFERROR(aurora_data!R1347,0)</f>
        <v>0</v>
      </c>
      <c r="T35" s="68">
        <f>IFERROR(aurora_data!S1347,0)</f>
        <v>0</v>
      </c>
      <c r="U35" s="74">
        <f>IFERROR(aurora_data!T1347,0)</f>
        <v>0</v>
      </c>
      <c r="V35" s="75" t="s">
        <v>198</v>
      </c>
      <c r="W35" s="60">
        <f>IFERROR(aurora_data!U1347,0)</f>
        <v>0</v>
      </c>
      <c r="X35" s="73">
        <f t="shared" ref="X35" si="15">IFERROR(W35/$W28,0)</f>
        <v>0</v>
      </c>
      <c r="Y35" s="2"/>
    </row>
    <row r="36" spans="1:25" customFormat="1" ht="15.75" customHeight="1">
      <c r="A36" s="2"/>
      <c r="B36" s="196" t="s">
        <v>212</v>
      </c>
      <c r="C36" s="198" t="s">
        <v>130</v>
      </c>
      <c r="D36" s="34" t="s">
        <v>153</v>
      </c>
      <c r="E36" s="39">
        <f>IFERROR(aurora_data!D1240+aurora_data!D1348,0)</f>
        <v>0</v>
      </c>
      <c r="F36" s="40">
        <f>IFERROR(aurora_data!E1240+aurora_data!E1348,0)</f>
        <v>0</v>
      </c>
      <c r="G36" s="40">
        <f>IFERROR(aurora_data!F1240+aurora_data!F1348,0)</f>
        <v>0</v>
      </c>
      <c r="H36" s="40">
        <f>IFERROR(aurora_data!G1240+aurora_data!G1348,0)</f>
        <v>0</v>
      </c>
      <c r="I36" s="41">
        <f>IFERROR(aurora_data!H1240+aurora_data!H1348,0)</f>
        <v>0</v>
      </c>
      <c r="J36" s="39">
        <f>IFERROR(aurora_data!I1240+aurora_data!I1348,0)</f>
        <v>0</v>
      </c>
      <c r="K36" s="40">
        <f>IFERROR(aurora_data!J1240+aurora_data!J1348,0)</f>
        <v>0</v>
      </c>
      <c r="L36" s="40">
        <f>IFERROR(aurora_data!K1240+aurora_data!K1348,0)</f>
        <v>0</v>
      </c>
      <c r="M36" s="40">
        <f>IFERROR(aurora_data!L1240+aurora_data!L1348,0)</f>
        <v>0</v>
      </c>
      <c r="N36" s="41">
        <f>IFERROR(aurora_data!M1240+aurora_data!M1348,0)</f>
        <v>0</v>
      </c>
      <c r="O36" s="39">
        <f>IFERROR(aurora_data!N1240+aurora_data!N1348,0)</f>
        <v>0</v>
      </c>
      <c r="P36" s="40">
        <f>IFERROR(aurora_data!O1240+aurora_data!O1348,0)</f>
        <v>0</v>
      </c>
      <c r="Q36" s="40">
        <f>IFERROR(aurora_data!P1240+aurora_data!P1348,0)</f>
        <v>0</v>
      </c>
      <c r="R36" s="41">
        <f>IFERROR(aurora_data!Q1240+aurora_data!Q1348,0)</f>
        <v>0</v>
      </c>
      <c r="S36" s="40">
        <f>IFERROR(aurora_data!R1240+aurora_data!R1348,0)</f>
        <v>0</v>
      </c>
      <c r="T36" s="40">
        <f>IFERROR(aurora_data!S1240+aurora_data!S1348,0)</f>
        <v>0</v>
      </c>
      <c r="U36" s="41">
        <f>IFERROR(aurora_data!T1240+aurora_data!T1348,0)</f>
        <v>0</v>
      </c>
      <c r="V36" s="61" t="s">
        <v>198</v>
      </c>
      <c r="W36" s="39">
        <f>IFERROR(aurora_data!U1240+aurora_data!U1348,0)</f>
        <v>23</v>
      </c>
      <c r="X36" s="70">
        <f t="shared" ref="X36" si="16">IFERROR(W36/$W36,0)</f>
        <v>1</v>
      </c>
      <c r="Y36" s="2"/>
    </row>
    <row r="37" spans="1:25" customFormat="1" ht="15.75" customHeight="1">
      <c r="A37" s="2"/>
      <c r="B37" s="197"/>
      <c r="C37" s="199"/>
      <c r="D37" s="35" t="s">
        <v>199</v>
      </c>
      <c r="E37" s="36">
        <f>IFERROR(aurora_data!D1241+aurora_data!D1349,0)</f>
        <v>0</v>
      </c>
      <c r="F37" s="62">
        <f>IFERROR(aurora_data!E1241+aurora_data!E1349,0)</f>
        <v>1</v>
      </c>
      <c r="G37" s="62">
        <f>IFERROR(aurora_data!F1241+aurora_data!F1349,0)</f>
        <v>3</v>
      </c>
      <c r="H37" s="62">
        <f>IFERROR(aurora_data!G1241+aurora_data!G1349,0)</f>
        <v>2</v>
      </c>
      <c r="I37" s="63">
        <f>IFERROR(aurora_data!H1241+aurora_data!H1349,0)</f>
        <v>0</v>
      </c>
      <c r="J37" s="36">
        <f>IFERROR(aurora_data!I1241+aurora_data!I1349,0)</f>
        <v>0</v>
      </c>
      <c r="K37" s="62">
        <f>IFERROR(aurora_data!J1241+aurora_data!J1349,0)</f>
        <v>0</v>
      </c>
      <c r="L37" s="62">
        <f>IFERROR(aurora_data!K1241+aurora_data!K1349,0)</f>
        <v>2</v>
      </c>
      <c r="M37" s="62">
        <f>IFERROR(aurora_data!L1241+aurora_data!L1349,0)</f>
        <v>2</v>
      </c>
      <c r="N37" s="63">
        <f>IFERROR(aurora_data!M1241+aurora_data!M1349,0)</f>
        <v>2</v>
      </c>
      <c r="O37" s="36">
        <f>IFERROR(aurora_data!N1241+aurora_data!N1349,0)</f>
        <v>3</v>
      </c>
      <c r="P37" s="62">
        <f>IFERROR(aurora_data!O1241+aurora_data!O1349,0)</f>
        <v>1</v>
      </c>
      <c r="Q37" s="62">
        <f>IFERROR(aurora_data!P1241+aurora_data!P1349,0)</f>
        <v>1</v>
      </c>
      <c r="R37" s="63">
        <f>IFERROR(aurora_data!Q1241+aurora_data!Q1349,0)</f>
        <v>1</v>
      </c>
      <c r="S37" s="62">
        <f>IFERROR(aurora_data!R1241+aurora_data!R1349,0)</f>
        <v>3</v>
      </c>
      <c r="T37" s="62">
        <f>IFERROR(aurora_data!S1241+aurora_data!S1349,0)</f>
        <v>3</v>
      </c>
      <c r="U37" s="63">
        <f>IFERROR(aurora_data!T1241+aurora_data!T1349,0)</f>
        <v>0</v>
      </c>
      <c r="V37" s="64" t="s">
        <v>198</v>
      </c>
      <c r="W37" s="36">
        <f>IFERROR(aurora_data!U1241+aurora_data!U1349,0)</f>
        <v>6</v>
      </c>
      <c r="X37" s="71">
        <f t="shared" ref="X37" si="17">IFERROR(W37/$W36,0)</f>
        <v>0.2608695652173913</v>
      </c>
      <c r="Y37" s="2"/>
    </row>
    <row r="38" spans="1:25" customFormat="1" ht="15.75" customHeight="1">
      <c r="A38" s="2"/>
      <c r="B38" s="197"/>
      <c r="C38" s="199"/>
      <c r="D38" s="35" t="s">
        <v>137</v>
      </c>
      <c r="E38" s="36">
        <f>IFERROR(aurora_data!D1242+aurora_data!D1350,0)</f>
        <v>0</v>
      </c>
      <c r="F38" s="62">
        <f>IFERROR(aurora_data!E1242+aurora_data!E1350,0)</f>
        <v>0</v>
      </c>
      <c r="G38" s="62">
        <f>IFERROR(aurora_data!F1242+aurora_data!F1350,0)</f>
        <v>0</v>
      </c>
      <c r="H38" s="62">
        <f>IFERROR(aurora_data!G1242+aurora_data!G1350,0)</f>
        <v>0</v>
      </c>
      <c r="I38" s="63">
        <f>IFERROR(aurora_data!H1242+aurora_data!H1350,0)</f>
        <v>0</v>
      </c>
      <c r="J38" s="36">
        <f>IFERROR(aurora_data!I1242+aurora_data!I1350,0)</f>
        <v>0</v>
      </c>
      <c r="K38" s="62">
        <f>IFERROR(aurora_data!J1242+aurora_data!J1350,0)</f>
        <v>0</v>
      </c>
      <c r="L38" s="62">
        <f>IFERROR(aurora_data!K1242+aurora_data!K1350,0)</f>
        <v>0</v>
      </c>
      <c r="M38" s="62">
        <f>IFERROR(aurora_data!L1242+aurora_data!L1350,0)</f>
        <v>0</v>
      </c>
      <c r="N38" s="63">
        <f>IFERROR(aurora_data!M1242+aurora_data!M1350,0)</f>
        <v>0</v>
      </c>
      <c r="O38" s="36">
        <f>IFERROR(aurora_data!N1242+aurora_data!N1350,0)</f>
        <v>0</v>
      </c>
      <c r="P38" s="62">
        <f>IFERROR(aurora_data!O1242+aurora_data!O1350,0)</f>
        <v>0</v>
      </c>
      <c r="Q38" s="62">
        <f>IFERROR(aurora_data!P1242+aurora_data!P1350,0)</f>
        <v>0</v>
      </c>
      <c r="R38" s="63">
        <f>IFERROR(aurora_data!Q1242+aurora_data!Q1350,0)</f>
        <v>0</v>
      </c>
      <c r="S38" s="62">
        <f>IFERROR(aurora_data!R1242+aurora_data!R1350,0)</f>
        <v>0</v>
      </c>
      <c r="T38" s="62">
        <f>IFERROR(aurora_data!S1242+aurora_data!S1350,0)</f>
        <v>0</v>
      </c>
      <c r="U38" s="63">
        <f>IFERROR(aurora_data!T1242+aurora_data!T1350,0)</f>
        <v>0</v>
      </c>
      <c r="V38" s="64" t="s">
        <v>198</v>
      </c>
      <c r="W38" s="36">
        <f>IFERROR(aurora_data!U1242+aurora_data!U1350,0)</f>
        <v>0</v>
      </c>
      <c r="X38" s="71">
        <f t="shared" ref="X38" si="18">IFERROR(W38/$W36,0)</f>
        <v>0</v>
      </c>
      <c r="Y38" s="2"/>
    </row>
    <row r="39" spans="1:25" customFormat="1" ht="15.75" customHeight="1">
      <c r="A39" s="2"/>
      <c r="B39" s="197"/>
      <c r="C39" s="199"/>
      <c r="D39" s="35" t="s">
        <v>200</v>
      </c>
      <c r="E39" s="36">
        <f>IFERROR(aurora_data!D1243+aurora_data!D1351,0)</f>
        <v>0</v>
      </c>
      <c r="F39" s="62">
        <f>IFERROR(aurora_data!E1243+aurora_data!E1351,0)</f>
        <v>0</v>
      </c>
      <c r="G39" s="62">
        <f>IFERROR(aurora_data!F1243+aurora_data!F1351,0)</f>
        <v>0</v>
      </c>
      <c r="H39" s="62">
        <f>IFERROR(aurora_data!G1243+aurora_data!G1351,0)</f>
        <v>0</v>
      </c>
      <c r="I39" s="63">
        <f>IFERROR(aurora_data!H1243+aurora_data!H1351,0)</f>
        <v>0</v>
      </c>
      <c r="J39" s="36">
        <f>IFERROR(aurora_data!I1243+aurora_data!I1351,0)</f>
        <v>0</v>
      </c>
      <c r="K39" s="62">
        <f>IFERROR(aurora_data!J1243+aurora_data!J1351,0)</f>
        <v>0</v>
      </c>
      <c r="L39" s="62">
        <f>IFERROR(aurora_data!K1243+aurora_data!K1351,0)</f>
        <v>0</v>
      </c>
      <c r="M39" s="62">
        <f>IFERROR(aurora_data!L1243+aurora_data!L1351,0)</f>
        <v>0</v>
      </c>
      <c r="N39" s="63">
        <f>IFERROR(aurora_data!M1243+aurora_data!M1351,0)</f>
        <v>0</v>
      </c>
      <c r="O39" s="36">
        <f>IFERROR(aurora_data!N1243+aurora_data!N1351,0)</f>
        <v>0</v>
      </c>
      <c r="P39" s="62">
        <f>IFERROR(aurora_data!O1243+aurora_data!O1351,0)</f>
        <v>0</v>
      </c>
      <c r="Q39" s="62">
        <f>IFERROR(aurora_data!P1243+aurora_data!P1351,0)</f>
        <v>0</v>
      </c>
      <c r="R39" s="63">
        <f>IFERROR(aurora_data!Q1243+aurora_data!Q1351,0)</f>
        <v>0</v>
      </c>
      <c r="S39" s="62">
        <f>IFERROR(aurora_data!R1243+aurora_data!R1351,0)</f>
        <v>0</v>
      </c>
      <c r="T39" s="62">
        <f>IFERROR(aurora_data!S1243+aurora_data!S1351,0)</f>
        <v>0</v>
      </c>
      <c r="U39" s="63">
        <f>IFERROR(aurora_data!T1243+aurora_data!T1351,0)</f>
        <v>0</v>
      </c>
      <c r="V39" s="64" t="s">
        <v>198</v>
      </c>
      <c r="W39" s="36">
        <f>IFERROR(aurora_data!U1243+aurora_data!U1351,0)</f>
        <v>0</v>
      </c>
      <c r="X39" s="71">
        <f t="shared" ref="X39" si="19">IFERROR(W39/$W36,0)</f>
        <v>0</v>
      </c>
      <c r="Y39" s="2"/>
    </row>
    <row r="40" spans="1:25" customFormat="1" ht="16.5" customHeight="1">
      <c r="A40" s="2"/>
      <c r="B40" s="197"/>
      <c r="C40" s="199"/>
      <c r="D40" s="35" t="s">
        <v>201</v>
      </c>
      <c r="E40" s="36">
        <f>IFERROR(aurora_data!D1244+aurora_data!D1352,0)</f>
        <v>0</v>
      </c>
      <c r="F40" s="62">
        <f>IFERROR(aurora_data!E1244+aurora_data!E1352,0)</f>
        <v>0</v>
      </c>
      <c r="G40" s="62">
        <f>IFERROR(aurora_data!F1244+aurora_data!F1352,0)</f>
        <v>0</v>
      </c>
      <c r="H40" s="62">
        <f>IFERROR(aurora_data!G1244+aurora_data!G1352,0)</f>
        <v>0</v>
      </c>
      <c r="I40" s="63">
        <f>IFERROR(aurora_data!H1244+aurora_data!H1352,0)</f>
        <v>0</v>
      </c>
      <c r="J40" s="36">
        <f>IFERROR(aurora_data!I1244+aurora_data!I1352,0)</f>
        <v>0</v>
      </c>
      <c r="K40" s="62">
        <f>IFERROR(aurora_data!J1244+aurora_data!J1352,0)</f>
        <v>0</v>
      </c>
      <c r="L40" s="62">
        <f>IFERROR(aurora_data!K1244+aurora_data!K1352,0)</f>
        <v>0</v>
      </c>
      <c r="M40" s="62">
        <f>IFERROR(aurora_data!L1244+aurora_data!L1352,0)</f>
        <v>0</v>
      </c>
      <c r="N40" s="63">
        <f>IFERROR(aurora_data!M1244+aurora_data!M1352,0)</f>
        <v>0</v>
      </c>
      <c r="O40" s="36">
        <f>IFERROR(aurora_data!N1244+aurora_data!N1352,0)</f>
        <v>0</v>
      </c>
      <c r="P40" s="62">
        <f>IFERROR(aurora_data!O1244+aurora_data!O1352,0)</f>
        <v>0</v>
      </c>
      <c r="Q40" s="62">
        <f>IFERROR(aurora_data!P1244+aurora_data!P1352,0)</f>
        <v>0</v>
      </c>
      <c r="R40" s="63">
        <f>IFERROR(aurora_data!Q1244+aurora_data!Q1352,0)</f>
        <v>0</v>
      </c>
      <c r="S40" s="62">
        <f>IFERROR(aurora_data!R1244+aurora_data!R1352,0)</f>
        <v>0</v>
      </c>
      <c r="T40" s="62">
        <f>IFERROR(aurora_data!S1244+aurora_data!S1352,0)</f>
        <v>0</v>
      </c>
      <c r="U40" s="63">
        <f>IFERROR(aurora_data!T1244+aurora_data!T1352,0)</f>
        <v>0</v>
      </c>
      <c r="V40" s="64" t="s">
        <v>198</v>
      </c>
      <c r="W40" s="36">
        <f>IFERROR(aurora_data!U1244+aurora_data!U1352,0)</f>
        <v>0</v>
      </c>
      <c r="X40" s="71">
        <f t="shared" ref="X40" si="20">IFERROR(W40/$W36,0)</f>
        <v>0</v>
      </c>
      <c r="Y40" s="2"/>
    </row>
    <row r="41" spans="1:25" customFormat="1" ht="16.5" customHeight="1" thickBot="1">
      <c r="A41" s="2"/>
      <c r="B41" s="197"/>
      <c r="C41" s="199"/>
      <c r="D41" s="35" t="s">
        <v>202</v>
      </c>
      <c r="E41" s="36">
        <f>IFERROR(aurora_data!D1245+aurora_data!D1353,0)</f>
        <v>0</v>
      </c>
      <c r="F41" s="62">
        <f>IFERROR(aurora_data!E1245+aurora_data!E1353,0)</f>
        <v>0</v>
      </c>
      <c r="G41" s="62">
        <f>IFERROR(aurora_data!F1245+aurora_data!F1353,0)</f>
        <v>0</v>
      </c>
      <c r="H41" s="62">
        <f>IFERROR(aurora_data!G1245+aurora_data!G1353,0)</f>
        <v>0</v>
      </c>
      <c r="I41" s="63">
        <f>IFERROR(aurora_data!H1245+aurora_data!H1353,0)</f>
        <v>0</v>
      </c>
      <c r="J41" s="36">
        <f>IFERROR(aurora_data!I1245+aurora_data!I1353,0)</f>
        <v>0</v>
      </c>
      <c r="K41" s="62">
        <f>IFERROR(aurora_data!J1245+aurora_data!J1353,0)</f>
        <v>0</v>
      </c>
      <c r="L41" s="62">
        <f>IFERROR(aurora_data!K1245+aurora_data!K1353,0)</f>
        <v>0</v>
      </c>
      <c r="M41" s="62">
        <f>IFERROR(aurora_data!L1245+aurora_data!L1353,0)</f>
        <v>0</v>
      </c>
      <c r="N41" s="63">
        <f>IFERROR(aurora_data!M1245+aurora_data!M1353,0)</f>
        <v>0</v>
      </c>
      <c r="O41" s="36">
        <f>IFERROR(aurora_data!N1245+aurora_data!N1353,0)</f>
        <v>0</v>
      </c>
      <c r="P41" s="62">
        <f>IFERROR(aurora_data!O1245+aurora_data!O1353,0)</f>
        <v>0</v>
      </c>
      <c r="Q41" s="62">
        <f>IFERROR(aurora_data!P1245+aurora_data!P1353,0)</f>
        <v>0</v>
      </c>
      <c r="R41" s="63">
        <f>IFERROR(aurora_data!Q1245+aurora_data!Q1353,0)</f>
        <v>0</v>
      </c>
      <c r="S41" s="62">
        <f>IFERROR(aurora_data!R1245+aurora_data!R1353,0)</f>
        <v>0</v>
      </c>
      <c r="T41" s="62">
        <f>IFERROR(aurora_data!S1245+aurora_data!S1353,0)</f>
        <v>0</v>
      </c>
      <c r="U41" s="63">
        <f>IFERROR(aurora_data!T1245+aurora_data!T1353,0)</f>
        <v>0</v>
      </c>
      <c r="V41" s="64" t="s">
        <v>198</v>
      </c>
      <c r="W41" s="36">
        <f>IFERROR(aurora_data!U1245+aurora_data!U1353,0)</f>
        <v>0</v>
      </c>
      <c r="X41" s="71">
        <f t="shared" ref="X41" si="21">IFERROR(W41/$W36,0)</f>
        <v>0</v>
      </c>
      <c r="Y41" s="2"/>
    </row>
    <row r="42" spans="1:25" customFormat="1" ht="16.5" customHeight="1" thickBot="1">
      <c r="A42" s="2"/>
      <c r="B42" s="197"/>
      <c r="C42" s="199"/>
      <c r="D42" s="37" t="s">
        <v>141</v>
      </c>
      <c r="E42" s="59">
        <f>IFERROR(aurora_data!D1246+aurora_data!D1354,0)</f>
        <v>0</v>
      </c>
      <c r="F42" s="65">
        <f>IFERROR(aurora_data!E1246+aurora_data!E1354,0)</f>
        <v>1</v>
      </c>
      <c r="G42" s="65">
        <f>IFERROR(aurora_data!F1246+aurora_data!F1354,0)</f>
        <v>3</v>
      </c>
      <c r="H42" s="65">
        <f>IFERROR(aurora_data!G1246+aurora_data!G1354,0)</f>
        <v>2</v>
      </c>
      <c r="I42" s="66">
        <f>IFERROR(aurora_data!H1246+aurora_data!H1354,0)</f>
        <v>0</v>
      </c>
      <c r="J42" s="59">
        <f>IFERROR(aurora_data!I1246+aurora_data!I1354,0)</f>
        <v>0</v>
      </c>
      <c r="K42" s="65">
        <f>IFERROR(aurora_data!J1246+aurora_data!J1354,0)</f>
        <v>0</v>
      </c>
      <c r="L42" s="65">
        <f>IFERROR(aurora_data!K1246+aurora_data!K1354,0)</f>
        <v>2</v>
      </c>
      <c r="M42" s="65">
        <f>IFERROR(aurora_data!L1246+aurora_data!L1354,0)</f>
        <v>2</v>
      </c>
      <c r="N42" s="66">
        <f>IFERROR(aurora_data!M1246+aurora_data!M1354,0)</f>
        <v>2</v>
      </c>
      <c r="O42" s="59">
        <f>IFERROR(aurora_data!N1246+aurora_data!N1354,0)</f>
        <v>3</v>
      </c>
      <c r="P42" s="65">
        <f>IFERROR(aurora_data!O1246+aurora_data!O1354,0)</f>
        <v>1</v>
      </c>
      <c r="Q42" s="65">
        <f>IFERROR(aurora_data!P1246+aurora_data!P1354,0)</f>
        <v>1</v>
      </c>
      <c r="R42" s="66">
        <f>IFERROR(aurora_data!Q1246+aurora_data!Q1354,0)</f>
        <v>1</v>
      </c>
      <c r="S42" s="65">
        <f>IFERROR(aurora_data!R1246+aurora_data!R1354,0)</f>
        <v>3</v>
      </c>
      <c r="T42" s="65">
        <f>IFERROR(aurora_data!S1246+aurora_data!S1354,0)</f>
        <v>3</v>
      </c>
      <c r="U42" s="66">
        <f>IFERROR(aurora_data!T1246+aurora_data!T1354,0)</f>
        <v>0</v>
      </c>
      <c r="V42" s="67" t="s">
        <v>198</v>
      </c>
      <c r="W42" s="59">
        <f>IFERROR(aurora_data!U1246+aurora_data!U1354,0)</f>
        <v>6</v>
      </c>
      <c r="X42" s="72">
        <f t="shared" ref="X42" si="22">IFERROR(W42/$W36,0)</f>
        <v>0.2608695652173913</v>
      </c>
      <c r="Y42" s="2"/>
    </row>
    <row r="43" spans="1:25" customFormat="1" ht="16.5" customHeight="1" thickBot="1">
      <c r="A43" s="2"/>
      <c r="B43" s="197"/>
      <c r="C43" s="199"/>
      <c r="D43" s="38" t="s">
        <v>203</v>
      </c>
      <c r="E43" s="60">
        <f>IFERROR(aurora_data!D1247+aurora_data!D1355,0)</f>
        <v>0</v>
      </c>
      <c r="F43" s="68">
        <f>IFERROR(aurora_data!E1247+aurora_data!E1355,0)</f>
        <v>0</v>
      </c>
      <c r="G43" s="68">
        <f>IFERROR(aurora_data!F1247+aurora_data!F1355,0)</f>
        <v>0</v>
      </c>
      <c r="H43" s="68">
        <f>IFERROR(aurora_data!G1247+aurora_data!G1355,0)</f>
        <v>0</v>
      </c>
      <c r="I43" s="69">
        <f>IFERROR(aurora_data!H1247+aurora_data!H1355,0)</f>
        <v>0</v>
      </c>
      <c r="J43" s="60">
        <f>IFERROR(aurora_data!I1247+aurora_data!I1355,0)</f>
        <v>0</v>
      </c>
      <c r="K43" s="68">
        <f>IFERROR(aurora_data!J1247+aurora_data!J1355,0)</f>
        <v>0</v>
      </c>
      <c r="L43" s="68">
        <f>IFERROR(aurora_data!K1247+aurora_data!K1355,0)</f>
        <v>0</v>
      </c>
      <c r="M43" s="68">
        <f>IFERROR(aurora_data!L1247+aurora_data!L1355,0)</f>
        <v>0</v>
      </c>
      <c r="N43" s="69">
        <f>IFERROR(aurora_data!M1247+aurora_data!M1355,0)</f>
        <v>0</v>
      </c>
      <c r="O43" s="60">
        <f>IFERROR(aurora_data!N1247+aurora_data!N1355,0)</f>
        <v>0</v>
      </c>
      <c r="P43" s="68">
        <f>IFERROR(aurora_data!O1247+aurora_data!O1355,0)</f>
        <v>0</v>
      </c>
      <c r="Q43" s="68">
        <f>IFERROR(aurora_data!P1247+aurora_data!P1355,0)</f>
        <v>0</v>
      </c>
      <c r="R43" s="69">
        <f>IFERROR(aurora_data!Q1247+aurora_data!Q1355,0)</f>
        <v>0</v>
      </c>
      <c r="S43" s="68">
        <f>IFERROR(aurora_data!R1247+aurora_data!R1355,0)</f>
        <v>0</v>
      </c>
      <c r="T43" s="68">
        <f>IFERROR(aurora_data!S1247+aurora_data!S1355,0)</f>
        <v>0</v>
      </c>
      <c r="U43" s="74">
        <f>IFERROR(aurora_data!T1247+aurora_data!T1355,0)</f>
        <v>0</v>
      </c>
      <c r="V43" s="75" t="s">
        <v>198</v>
      </c>
      <c r="W43" s="60">
        <f>IFERROR(aurora_data!U1247+aurora_data!U1355,0)</f>
        <v>0</v>
      </c>
      <c r="X43" s="73">
        <f t="shared" ref="X43" si="23">IFERROR(W43/$W36,0)</f>
        <v>0</v>
      </c>
      <c r="Y43" s="2"/>
    </row>
    <row r="44" spans="1:25" ht="16.5" customHeight="1">
      <c r="B44" s="97"/>
      <c r="C44" s="97"/>
    </row>
  </sheetData>
  <sheetProtection sheet="1" objects="1" scenarios="1"/>
  <mergeCells count="30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O10:R10"/>
    <mergeCell ref="S10:U10"/>
    <mergeCell ref="J10:N10"/>
    <mergeCell ref="B12:B19"/>
    <mergeCell ref="C12:C19"/>
    <mergeCell ref="B20:B27"/>
    <mergeCell ref="C20:C27"/>
    <mergeCell ref="B36:B43"/>
    <mergeCell ref="C36:C43"/>
    <mergeCell ref="B28:B35"/>
    <mergeCell ref="C28:C35"/>
  </mergeCells>
  <conditionalFormatting sqref="E13:W13">
    <cfRule type="expression" dxfId="15" priority="4">
      <formula>ROUND(E$13,0) &gt;= ROUND(E$12,0)</formula>
    </cfRule>
  </conditionalFormatting>
  <conditionalFormatting sqref="E18:W18">
    <cfRule type="expression" dxfId="14" priority="6">
      <formula>ROUND(E$18,0) &lt; ROUND(E$12,0)</formula>
    </cfRule>
  </conditionalFormatting>
  <conditionalFormatting sqref="E21:W21">
    <cfRule type="expression" dxfId="13" priority="5">
      <formula>ROUND(E$21,0) &gt;= ROUND(E$20,0)</formula>
    </cfRule>
  </conditionalFormatting>
  <conditionalFormatting sqref="E26:W26">
    <cfRule type="expression" dxfId="12" priority="7">
      <formula>ROUND(E$26,0) &lt; ROUND(E$20,0)</formula>
    </cfRule>
  </conditionalFormatting>
  <conditionalFormatting sqref="E29:W29">
    <cfRule type="expression" dxfId="11" priority="1">
      <formula>ROUND(E$21,0) &gt;= ROUND(E$20,0)</formula>
    </cfRule>
  </conditionalFormatting>
  <conditionalFormatting sqref="E34:W34">
    <cfRule type="expression" dxfId="10" priority="2">
      <formula>ROUND(E$26,0) &lt; ROUND(E$20,0)</formula>
    </cfRule>
  </conditionalFormatting>
  <conditionalFormatting sqref="E37:W37">
    <cfRule type="expression" dxfId="9" priority="3">
      <formula>ROUND(E$37,0) &gt;= ROUND(E$36,0)</formula>
    </cfRule>
  </conditionalFormatting>
  <conditionalFormatting sqref="E42:W42">
    <cfRule type="expression" dxfId="8" priority="8">
      <formula>ROUND(E$42,0) &lt; ROUND(E$36,0)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24A4-2A02-4DEC-92EF-EE353951E3BE}">
  <sheetPr codeName="Sheet13">
    <tabColor rgb="FF92D050"/>
  </sheetPr>
  <dimension ref="A1:Y44"/>
  <sheetViews>
    <sheetView zoomScale="85" zoomScaleNormal="85" workbookViewId="0">
      <selection activeCell="H23" sqref="H23"/>
    </sheetView>
  </sheetViews>
  <sheetFormatPr defaultColWidth="2.625" defaultRowHeight="15.75"/>
  <cols>
    <col min="1" max="1" width="1.375" style="2" customWidth="1"/>
    <col min="2" max="2" width="10.875" style="2" customWidth="1"/>
    <col min="3" max="3" width="15.625" style="2" customWidth="1"/>
    <col min="4" max="4" width="22.625" style="4" customWidth="1"/>
    <col min="5" max="8" width="7.625" style="4" customWidth="1"/>
    <col min="9" max="9" width="6.625" style="4" hidden="1" customWidth="1"/>
    <col min="10" max="21" width="7.625" style="4" customWidth="1"/>
    <col min="22" max="22" width="0.625" style="2" customWidth="1"/>
    <col min="23" max="24" width="5.875" style="2" customWidth="1"/>
    <col min="25" max="25" width="12.5" style="2" customWidth="1"/>
    <col min="26" max="26" width="2.625" style="2" customWidth="1"/>
    <col min="27" max="64" width="7.625" style="2" customWidth="1"/>
    <col min="65" max="16323" width="2.625" style="2"/>
    <col min="16324" max="16324" width="1.375" style="2" customWidth="1"/>
    <col min="16325" max="16325" width="2.625" style="2" customWidth="1"/>
    <col min="16326" max="16326" width="3.5" style="2" customWidth="1"/>
    <col min="16327" max="16327" width="1" style="2" customWidth="1"/>
    <col min="16328" max="16328" width="0.875" style="2" customWidth="1"/>
    <col min="16329" max="16329" width="2.375" style="2" customWidth="1"/>
    <col min="16330" max="16384" width="20.375" style="2" customWidth="1"/>
  </cols>
  <sheetData>
    <row r="1" spans="1:25" customFormat="1" ht="25.5" customHeight="1">
      <c r="A1" s="140" t="s">
        <v>178</v>
      </c>
      <c r="B1" s="141"/>
      <c r="C1" s="142"/>
      <c r="D1" s="143" t="s">
        <v>179</v>
      </c>
      <c r="E1" s="144"/>
      <c r="F1" s="144"/>
      <c r="G1" s="144"/>
      <c r="H1" s="145"/>
      <c r="I1" s="98"/>
      <c r="J1" s="88"/>
      <c r="K1" s="100"/>
      <c r="L1" s="100"/>
      <c r="M1" s="100"/>
      <c r="N1" s="100" t="s">
        <v>180</v>
      </c>
      <c r="O1" s="100"/>
      <c r="P1" s="100"/>
      <c r="Q1" s="100"/>
      <c r="R1" s="100"/>
      <c r="S1" s="100"/>
      <c r="T1" s="100"/>
      <c r="U1" s="100"/>
      <c r="V1" s="100"/>
      <c r="W1" s="100"/>
      <c r="X1" s="106"/>
      <c r="Y1" s="108"/>
    </row>
    <row r="2" spans="1:25" customFormat="1" ht="31.5" customHeight="1">
      <c r="A2" s="146" t="s">
        <v>181</v>
      </c>
      <c r="B2" s="146"/>
      <c r="C2" s="147"/>
      <c r="D2" s="148" t="str">
        <f>_xlfn.CONCAT("Study Name: ","
CELF-6 RF1 &amp; 2 OSEP Gifted and Talented  (Age 5-21)")</f>
        <v>Study Name: 
CELF-6 RF1 &amp; 2 OSEP Gifted and Talented  (Age 5-21)</v>
      </c>
      <c r="E2" s="149"/>
      <c r="F2" s="149"/>
      <c r="G2" s="149"/>
      <c r="H2" s="150"/>
      <c r="I2" s="4"/>
      <c r="J2" s="4"/>
      <c r="K2" s="151" t="s">
        <v>182</v>
      </c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3"/>
      <c r="Y2" s="103"/>
    </row>
    <row r="3" spans="1:25" customFormat="1" ht="30.75" customHeight="1" thickBot="1">
      <c r="A3" s="2"/>
      <c r="B3" s="2"/>
      <c r="C3" s="2"/>
      <c r="D3" s="158" t="str">
        <f>_xlfn.CONCAT("Study Acronym: ","
OSEP_GT_RF1/OSEP_GT_RF2")</f>
        <v>Study Acronym: 
OSEP_GT_RF1/OSEP_GT_RF2</v>
      </c>
      <c r="E3" s="159"/>
      <c r="F3" s="160" t="s">
        <v>216</v>
      </c>
      <c r="G3" s="160"/>
      <c r="H3" s="161"/>
      <c r="I3" s="4"/>
      <c r="J3" s="4"/>
      <c r="K3" s="154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3"/>
      <c r="Y3" s="103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154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3"/>
      <c r="Y4" s="104"/>
    </row>
    <row r="5" spans="1:25" customFormat="1" ht="21.95" customHeight="1" thickBot="1">
      <c r="A5" s="2"/>
      <c r="B5" s="2"/>
      <c r="C5" s="102"/>
      <c r="D5" s="143" t="s">
        <v>184</v>
      </c>
      <c r="E5" s="144"/>
      <c r="F5" s="144"/>
      <c r="G5" s="144"/>
      <c r="H5" s="101"/>
      <c r="I5" s="98"/>
      <c r="J5" s="98"/>
      <c r="K5" s="154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3"/>
      <c r="Y5" s="105"/>
    </row>
    <row r="6" spans="1:25" customFormat="1" ht="60.95" customHeight="1" thickBot="1">
      <c r="A6" s="2"/>
      <c r="B6" s="2"/>
      <c r="C6" s="99"/>
      <c r="D6" s="219" t="s">
        <v>217</v>
      </c>
      <c r="E6" s="220"/>
      <c r="F6" s="220"/>
      <c r="G6" s="220"/>
      <c r="H6" s="221"/>
      <c r="I6" s="136"/>
      <c r="J6" s="137"/>
      <c r="K6" s="155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7"/>
      <c r="Y6" s="107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165" t="str">
        <f>_xlfn.CONCAT("Last Refreshed at: ",aurora_data!V1632)</f>
        <v>Last Refreshed at: 08/06/2026 @ 7:19 AM</v>
      </c>
      <c r="C8" s="166"/>
      <c r="D8" s="166"/>
      <c r="E8" s="167" t="s">
        <v>186</v>
      </c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9"/>
      <c r="V8" s="44"/>
      <c r="W8" s="170" t="s">
        <v>187</v>
      </c>
      <c r="X8" s="171"/>
      <c r="Y8" s="2"/>
    </row>
    <row r="9" spans="1:25" customFormat="1" ht="16.5" customHeight="1" thickBot="1">
      <c r="A9" s="2"/>
      <c r="B9" s="176"/>
      <c r="C9" s="177"/>
      <c r="D9" s="29" t="s">
        <v>188</v>
      </c>
      <c r="E9" s="178" t="s">
        <v>189</v>
      </c>
      <c r="F9" s="179"/>
      <c r="G9" s="179"/>
      <c r="H9" s="179"/>
      <c r="I9" s="179"/>
      <c r="J9" s="180" t="s">
        <v>189</v>
      </c>
      <c r="K9" s="181"/>
      <c r="L9" s="181"/>
      <c r="M9" s="181"/>
      <c r="N9" s="181"/>
      <c r="O9" s="182" t="s">
        <v>189</v>
      </c>
      <c r="P9" s="183"/>
      <c r="Q9" s="183"/>
      <c r="R9" s="183"/>
      <c r="S9" s="184" t="s">
        <v>189</v>
      </c>
      <c r="T9" s="185"/>
      <c r="U9" s="185"/>
      <c r="V9" s="28"/>
      <c r="W9" s="172"/>
      <c r="X9" s="173"/>
      <c r="Y9" s="2"/>
    </row>
    <row r="10" spans="1:25" customFormat="1" ht="17.25" thickTop="1" thickBot="1">
      <c r="A10" s="2"/>
      <c r="B10" s="186" t="s">
        <v>190</v>
      </c>
      <c r="C10" s="30"/>
      <c r="D10" s="31"/>
      <c r="E10" s="187" t="s">
        <v>191</v>
      </c>
      <c r="F10" s="188"/>
      <c r="G10" s="188"/>
      <c r="H10" s="188"/>
      <c r="I10" s="189"/>
      <c r="J10" s="188" t="s">
        <v>192</v>
      </c>
      <c r="K10" s="188"/>
      <c r="L10" s="188"/>
      <c r="M10" s="188"/>
      <c r="N10" s="189"/>
      <c r="O10" s="190" t="s">
        <v>193</v>
      </c>
      <c r="P10" s="190"/>
      <c r="Q10" s="190"/>
      <c r="R10" s="190"/>
      <c r="S10" s="191" t="s">
        <v>194</v>
      </c>
      <c r="T10" s="192"/>
      <c r="U10" s="193"/>
      <c r="V10" s="32"/>
      <c r="W10" s="172"/>
      <c r="X10" s="173"/>
      <c r="Y10" s="2"/>
    </row>
    <row r="11" spans="1:25" customFormat="1" ht="17.25" thickTop="1" thickBot="1">
      <c r="A11" s="2"/>
      <c r="B11" s="186"/>
      <c r="C11" s="30" t="s">
        <v>110</v>
      </c>
      <c r="D11" s="33" t="s">
        <v>112</v>
      </c>
      <c r="E11" s="96">
        <v>1</v>
      </c>
      <c r="F11" s="94">
        <v>2</v>
      </c>
      <c r="G11" s="95" t="s">
        <v>115</v>
      </c>
      <c r="H11" s="95">
        <v>4</v>
      </c>
      <c r="I11" s="95">
        <v>5</v>
      </c>
      <c r="J11" s="89" t="s">
        <v>118</v>
      </c>
      <c r="K11" s="89" t="s">
        <v>119</v>
      </c>
      <c r="L11" s="89" t="s">
        <v>120</v>
      </c>
      <c r="M11" s="93" t="s">
        <v>195</v>
      </c>
      <c r="N11" s="93" t="s">
        <v>122</v>
      </c>
      <c r="O11" s="89" t="s">
        <v>123</v>
      </c>
      <c r="P11" s="89" t="s">
        <v>124</v>
      </c>
      <c r="Q11" s="89" t="s">
        <v>125</v>
      </c>
      <c r="R11" s="89" t="s">
        <v>126</v>
      </c>
      <c r="S11" s="90" t="s">
        <v>127</v>
      </c>
      <c r="T11" s="91" t="s">
        <v>128</v>
      </c>
      <c r="U11" s="92" t="s">
        <v>196</v>
      </c>
      <c r="V11" s="28"/>
      <c r="W11" s="174"/>
      <c r="X11" s="175"/>
      <c r="Y11" s="2"/>
    </row>
    <row r="12" spans="1:25" customFormat="1">
      <c r="A12" s="2"/>
      <c r="B12" s="200" t="s">
        <v>212</v>
      </c>
      <c r="C12" s="194" t="str">
        <f>aurora_data!A1632</f>
        <v>05.00.00-08.11.30</v>
      </c>
      <c r="D12" s="34" t="s">
        <v>153</v>
      </c>
      <c r="E12" s="39">
        <f>IFERROR(aurora_data!D1632,0)</f>
        <v>0</v>
      </c>
      <c r="F12" s="40">
        <f>IFERROR(aurora_data!E1632,0)</f>
        <v>0</v>
      </c>
      <c r="G12" s="40">
        <f>IFERROR(aurora_data!F1632,0)</f>
        <v>0</v>
      </c>
      <c r="H12" s="40">
        <f>IFERROR(aurora_data!G1632,0)</f>
        <v>0</v>
      </c>
      <c r="I12" s="41">
        <f>IFERROR(aurora_data!H1632,0)</f>
        <v>0</v>
      </c>
      <c r="J12" s="39">
        <f>IFERROR(aurora_data!I1632,0)</f>
        <v>0</v>
      </c>
      <c r="K12" s="40">
        <f>IFERROR(aurora_data!J1632,0)</f>
        <v>0</v>
      </c>
      <c r="L12" s="40">
        <f>IFERROR(aurora_data!K1632,0)</f>
        <v>0</v>
      </c>
      <c r="M12" s="40">
        <f>IFERROR(aurora_data!L1632,0)</f>
        <v>0</v>
      </c>
      <c r="N12" s="41">
        <f>IFERROR(aurora_data!M1632,0)</f>
        <v>0</v>
      </c>
      <c r="O12" s="39">
        <f>IFERROR(aurora_data!N1632,0)</f>
        <v>0</v>
      </c>
      <c r="P12" s="40">
        <f>IFERROR(aurora_data!O1632,0)</f>
        <v>0</v>
      </c>
      <c r="Q12" s="40">
        <f>IFERROR(aurora_data!P1632,0)</f>
        <v>0</v>
      </c>
      <c r="R12" s="41">
        <f>IFERROR(aurora_data!Q1632,0)</f>
        <v>0</v>
      </c>
      <c r="S12" s="40">
        <f>IFERROR(aurora_data!R1632,0)</f>
        <v>0</v>
      </c>
      <c r="T12" s="40">
        <f>IFERROR(aurora_data!S1632,0)</f>
        <v>0</v>
      </c>
      <c r="U12" s="76">
        <f>IFERROR(aurora_data!T1632,0)</f>
        <v>0</v>
      </c>
      <c r="V12" s="61" t="s">
        <v>198</v>
      </c>
      <c r="W12" s="39">
        <f>IFERROR(aurora_data!U1632,0)</f>
        <v>15</v>
      </c>
      <c r="X12" s="70">
        <f>IFERROR(W12/$W$12,0)</f>
        <v>1</v>
      </c>
      <c r="Y12" s="2"/>
    </row>
    <row r="13" spans="1:25" customFormat="1">
      <c r="A13" s="2"/>
      <c r="B13" s="201"/>
      <c r="C13" s="195"/>
      <c r="D13" s="35" t="s">
        <v>199</v>
      </c>
      <c r="E13" s="110">
        <f>IFERROR(aurora_data!D1633,0)</f>
        <v>1</v>
      </c>
      <c r="F13" s="62">
        <f>IFERROR(aurora_data!E1633,0)</f>
        <v>0</v>
      </c>
      <c r="G13" s="62">
        <f>IFERROR(aurora_data!F1633,0)</f>
        <v>0</v>
      </c>
      <c r="H13" s="62">
        <f>IFERROR(aurora_data!G1633,0)</f>
        <v>0</v>
      </c>
      <c r="I13" s="63">
        <f>IFERROR(aurora_data!H1633,0)</f>
        <v>0</v>
      </c>
      <c r="J13" s="36">
        <f>IFERROR(aurora_data!I1633,0)</f>
        <v>0</v>
      </c>
      <c r="K13" s="62">
        <f>IFERROR(aurora_data!J1633,0)</f>
        <v>0</v>
      </c>
      <c r="L13" s="62">
        <f>IFERROR(aurora_data!K1633,0)</f>
        <v>1</v>
      </c>
      <c r="M13" s="62">
        <f>IFERROR(aurora_data!L1633,0)</f>
        <v>0</v>
      </c>
      <c r="N13" s="63">
        <f>IFERROR(aurora_data!M1633,0)</f>
        <v>0</v>
      </c>
      <c r="O13" s="36">
        <f>IFERROR(aurora_data!N1633,0)</f>
        <v>0</v>
      </c>
      <c r="P13" s="62">
        <f>IFERROR(aurora_data!O1633,0)</f>
        <v>0</v>
      </c>
      <c r="Q13" s="62">
        <f>IFERROR(aurora_data!P1633,0)</f>
        <v>1</v>
      </c>
      <c r="R13" s="63">
        <f>IFERROR(aurora_data!Q1633,0)</f>
        <v>0</v>
      </c>
      <c r="S13" s="62">
        <f>IFERROR(aurora_data!R1633,0)</f>
        <v>1</v>
      </c>
      <c r="T13" s="62">
        <f>IFERROR(aurora_data!S1633,0)</f>
        <v>0</v>
      </c>
      <c r="U13" s="63">
        <f>IFERROR(aurora_data!T1633,0)</f>
        <v>0</v>
      </c>
      <c r="V13" s="64" t="s">
        <v>198</v>
      </c>
      <c r="W13" s="36">
        <f>IFERROR(aurora_data!U1633,0)</f>
        <v>1</v>
      </c>
      <c r="X13" s="71">
        <f t="shared" ref="X13:X19" si="0">IFERROR(W13/$W$12,0)</f>
        <v>6.6666666666666666E-2</v>
      </c>
      <c r="Y13" s="2"/>
    </row>
    <row r="14" spans="1:25" customFormat="1">
      <c r="A14" s="2"/>
      <c r="B14" s="201"/>
      <c r="C14" s="195"/>
      <c r="D14" s="35" t="s">
        <v>137</v>
      </c>
      <c r="E14" s="110">
        <f>IFERROR(aurora_data!D1634,0)</f>
        <v>0</v>
      </c>
      <c r="F14" s="62">
        <f>IFERROR(aurora_data!E1634,0)</f>
        <v>0</v>
      </c>
      <c r="G14" s="62">
        <f>IFERROR(aurora_data!F1634,0)</f>
        <v>0</v>
      </c>
      <c r="H14" s="62">
        <f>IFERROR(aurora_data!G1634,0)</f>
        <v>0</v>
      </c>
      <c r="I14" s="63">
        <f>IFERROR(aurora_data!H1634,0)</f>
        <v>0</v>
      </c>
      <c r="J14" s="36">
        <f>IFERROR(aurora_data!I1634,0)</f>
        <v>0</v>
      </c>
      <c r="K14" s="62">
        <f>IFERROR(aurora_data!J1634,0)</f>
        <v>0</v>
      </c>
      <c r="L14" s="62">
        <f>IFERROR(aurora_data!K1634,0)</f>
        <v>0</v>
      </c>
      <c r="M14" s="62">
        <f>IFERROR(aurora_data!L1634,0)</f>
        <v>0</v>
      </c>
      <c r="N14" s="63">
        <f>IFERROR(aurora_data!M1634,0)</f>
        <v>0</v>
      </c>
      <c r="O14" s="36">
        <f>IFERROR(aurora_data!N1634,0)</f>
        <v>0</v>
      </c>
      <c r="P14" s="62">
        <f>IFERROR(aurora_data!O1634,0)</f>
        <v>0</v>
      </c>
      <c r="Q14" s="62">
        <f>IFERROR(aurora_data!P1634,0)</f>
        <v>0</v>
      </c>
      <c r="R14" s="63">
        <f>IFERROR(aurora_data!Q1634,0)</f>
        <v>0</v>
      </c>
      <c r="S14" s="62">
        <f>IFERROR(aurora_data!R1634,0)</f>
        <v>0</v>
      </c>
      <c r="T14" s="62">
        <f>IFERROR(aurora_data!S1634,0)</f>
        <v>0</v>
      </c>
      <c r="U14" s="63">
        <f>IFERROR(aurora_data!T1634,0)</f>
        <v>0</v>
      </c>
      <c r="V14" s="64" t="s">
        <v>198</v>
      </c>
      <c r="W14" s="36">
        <f>IFERROR(aurora_data!U1634,0)</f>
        <v>0</v>
      </c>
      <c r="X14" s="71">
        <f t="shared" si="0"/>
        <v>0</v>
      </c>
      <c r="Y14" s="2"/>
    </row>
    <row r="15" spans="1:25" customFormat="1">
      <c r="A15" s="2"/>
      <c r="B15" s="201"/>
      <c r="C15" s="195"/>
      <c r="D15" s="35" t="s">
        <v>200</v>
      </c>
      <c r="E15" s="36">
        <f>IFERROR(aurora_data!D1635,0)</f>
        <v>0</v>
      </c>
      <c r="F15" s="62">
        <f>IFERROR(aurora_data!E1635,0)</f>
        <v>0</v>
      </c>
      <c r="G15" s="62">
        <f>IFERROR(aurora_data!F1635,0)</f>
        <v>0</v>
      </c>
      <c r="H15" s="62">
        <f>IFERROR(aurora_data!G1635,0)</f>
        <v>0</v>
      </c>
      <c r="I15" s="63">
        <f>IFERROR(aurora_data!H1635,0)</f>
        <v>0</v>
      </c>
      <c r="J15" s="36">
        <f>IFERROR(aurora_data!I1635,0)</f>
        <v>0</v>
      </c>
      <c r="K15" s="62">
        <f>IFERROR(aurora_data!J1635,0)</f>
        <v>0</v>
      </c>
      <c r="L15" s="62">
        <f>IFERROR(aurora_data!K1635,0)</f>
        <v>0</v>
      </c>
      <c r="M15" s="62">
        <f>IFERROR(aurora_data!L1635,0)</f>
        <v>0</v>
      </c>
      <c r="N15" s="63">
        <f>IFERROR(aurora_data!M1635,0)</f>
        <v>0</v>
      </c>
      <c r="O15" s="36">
        <f>IFERROR(aurora_data!N1635,0)</f>
        <v>0</v>
      </c>
      <c r="P15" s="62">
        <f>IFERROR(aurora_data!O1635,0)</f>
        <v>0</v>
      </c>
      <c r="Q15" s="62">
        <f>IFERROR(aurora_data!P1635,0)</f>
        <v>0</v>
      </c>
      <c r="R15" s="63">
        <f>IFERROR(aurora_data!Q1635,0)</f>
        <v>0</v>
      </c>
      <c r="S15" s="62">
        <f>IFERROR(aurora_data!R1635,0)</f>
        <v>0</v>
      </c>
      <c r="T15" s="62">
        <f>IFERROR(aurora_data!S1635,0)</f>
        <v>0</v>
      </c>
      <c r="U15" s="63">
        <f>IFERROR(aurora_data!T1635,0)</f>
        <v>0</v>
      </c>
      <c r="V15" s="64" t="s">
        <v>198</v>
      </c>
      <c r="W15" s="36">
        <f>IFERROR(aurora_data!U1635,0)</f>
        <v>0</v>
      </c>
      <c r="X15" s="71">
        <f t="shared" si="0"/>
        <v>0</v>
      </c>
      <c r="Y15" s="2"/>
    </row>
    <row r="16" spans="1:25" customFormat="1">
      <c r="A16" s="2"/>
      <c r="B16" s="201"/>
      <c r="C16" s="195"/>
      <c r="D16" s="35" t="s">
        <v>201</v>
      </c>
      <c r="E16" s="36">
        <f>IFERROR(aurora_data!D1636,0)</f>
        <v>0</v>
      </c>
      <c r="F16" s="62">
        <f>IFERROR(aurora_data!E1636,0)</f>
        <v>0</v>
      </c>
      <c r="G16" s="62">
        <f>IFERROR(aurora_data!F1636,0)</f>
        <v>0</v>
      </c>
      <c r="H16" s="62">
        <f>IFERROR(aurora_data!G1636,0)</f>
        <v>0</v>
      </c>
      <c r="I16" s="63">
        <f>IFERROR(aurora_data!H1636,0)</f>
        <v>0</v>
      </c>
      <c r="J16" s="36">
        <f>IFERROR(aurora_data!I1636,0)</f>
        <v>0</v>
      </c>
      <c r="K16" s="62">
        <f>IFERROR(aurora_data!J1636,0)</f>
        <v>0</v>
      </c>
      <c r="L16" s="62">
        <f>IFERROR(aurora_data!K1636,0)</f>
        <v>0</v>
      </c>
      <c r="M16" s="62">
        <f>IFERROR(aurora_data!L1636,0)</f>
        <v>0</v>
      </c>
      <c r="N16" s="63">
        <f>IFERROR(aurora_data!M1636,0)</f>
        <v>0</v>
      </c>
      <c r="O16" s="36">
        <f>IFERROR(aurora_data!N1636,0)</f>
        <v>0</v>
      </c>
      <c r="P16" s="62">
        <f>IFERROR(aurora_data!O1636,0)</f>
        <v>0</v>
      </c>
      <c r="Q16" s="62">
        <f>IFERROR(aurora_data!P1636,0)</f>
        <v>0</v>
      </c>
      <c r="R16" s="63">
        <f>IFERROR(aurora_data!Q1636,0)</f>
        <v>0</v>
      </c>
      <c r="S16" s="62">
        <f>IFERROR(aurora_data!R1636,0)</f>
        <v>0</v>
      </c>
      <c r="T16" s="62">
        <f>IFERROR(aurora_data!S1636,0)</f>
        <v>0</v>
      </c>
      <c r="U16" s="63">
        <f>IFERROR(aurora_data!T1636,0)</f>
        <v>0</v>
      </c>
      <c r="V16" s="64" t="s">
        <v>198</v>
      </c>
      <c r="W16" s="36">
        <f>IFERROR(aurora_data!U1636,0)</f>
        <v>0</v>
      </c>
      <c r="X16" s="71">
        <f t="shared" si="0"/>
        <v>0</v>
      </c>
      <c r="Y16" s="2"/>
    </row>
    <row r="17" spans="1:25" customFormat="1" ht="16.5" thickBot="1">
      <c r="A17" s="2"/>
      <c r="B17" s="201"/>
      <c r="C17" s="195"/>
      <c r="D17" s="35" t="s">
        <v>202</v>
      </c>
      <c r="E17" s="36">
        <f>IFERROR(aurora_data!D1637,0)</f>
        <v>0</v>
      </c>
      <c r="F17" s="62">
        <f>IFERROR(aurora_data!E1637,0)</f>
        <v>0</v>
      </c>
      <c r="G17" s="62">
        <f>IFERROR(aurora_data!F1637,0)</f>
        <v>0</v>
      </c>
      <c r="H17" s="62">
        <f>IFERROR(aurora_data!G1637,0)</f>
        <v>0</v>
      </c>
      <c r="I17" s="63">
        <f>IFERROR(aurora_data!H1637,0)</f>
        <v>0</v>
      </c>
      <c r="J17" s="36">
        <f>IFERROR(aurora_data!I1637,0)</f>
        <v>0</v>
      </c>
      <c r="K17" s="62">
        <f>IFERROR(aurora_data!J1637,0)</f>
        <v>0</v>
      </c>
      <c r="L17" s="62">
        <f>IFERROR(aurora_data!K1637,0)</f>
        <v>0</v>
      </c>
      <c r="M17" s="62">
        <f>IFERROR(aurora_data!L1637,0)</f>
        <v>0</v>
      </c>
      <c r="N17" s="63">
        <f>IFERROR(aurora_data!M1637,0)</f>
        <v>0</v>
      </c>
      <c r="O17" s="36">
        <f>IFERROR(aurora_data!N1637,0)</f>
        <v>0</v>
      </c>
      <c r="P17" s="62">
        <f>IFERROR(aurora_data!O1637,0)</f>
        <v>0</v>
      </c>
      <c r="Q17" s="62">
        <f>IFERROR(aurora_data!P1637,0)</f>
        <v>0</v>
      </c>
      <c r="R17" s="63">
        <f>IFERROR(aurora_data!Q1637,0)</f>
        <v>0</v>
      </c>
      <c r="S17" s="62">
        <f>IFERROR(aurora_data!R1637,0)</f>
        <v>0</v>
      </c>
      <c r="T17" s="62">
        <f>IFERROR(aurora_data!S1637,0)</f>
        <v>0</v>
      </c>
      <c r="U17" s="63">
        <f>IFERROR(aurora_data!T1637,0)</f>
        <v>0</v>
      </c>
      <c r="V17" s="64" t="s">
        <v>198</v>
      </c>
      <c r="W17" s="36">
        <f>IFERROR(aurora_data!U1637,0)</f>
        <v>0</v>
      </c>
      <c r="X17" s="71">
        <f t="shared" si="0"/>
        <v>0</v>
      </c>
      <c r="Y17" s="2"/>
    </row>
    <row r="18" spans="1:25" customFormat="1" ht="16.5" thickBot="1">
      <c r="A18" s="2"/>
      <c r="B18" s="201"/>
      <c r="C18" s="195"/>
      <c r="D18" s="37" t="s">
        <v>141</v>
      </c>
      <c r="E18" s="59">
        <f>IFERROR(aurora_data!D1638,0)</f>
        <v>1</v>
      </c>
      <c r="F18" s="65">
        <f>IFERROR(aurora_data!E1638,0)</f>
        <v>0</v>
      </c>
      <c r="G18" s="65">
        <f>IFERROR(aurora_data!F1638,0)</f>
        <v>0</v>
      </c>
      <c r="H18" s="65">
        <f>IFERROR(aurora_data!G1638,0)</f>
        <v>0</v>
      </c>
      <c r="I18" s="66">
        <f>IFERROR(aurora_data!H1638,0)</f>
        <v>0</v>
      </c>
      <c r="J18" s="59">
        <f>IFERROR(aurora_data!I1638,0)</f>
        <v>0</v>
      </c>
      <c r="K18" s="65">
        <f>IFERROR(aurora_data!J1638,0)</f>
        <v>0</v>
      </c>
      <c r="L18" s="65">
        <f>IFERROR(aurora_data!K1638,0)</f>
        <v>1</v>
      </c>
      <c r="M18" s="65">
        <f>IFERROR(aurora_data!L1638,0)</f>
        <v>0</v>
      </c>
      <c r="N18" s="66">
        <f>IFERROR(aurora_data!M1638,0)</f>
        <v>0</v>
      </c>
      <c r="O18" s="59">
        <f>IFERROR(aurora_data!N1638,0)</f>
        <v>0</v>
      </c>
      <c r="P18" s="65">
        <f>IFERROR(aurora_data!O1638,0)</f>
        <v>0</v>
      </c>
      <c r="Q18" s="65">
        <f>IFERROR(aurora_data!P1638,0)</f>
        <v>1</v>
      </c>
      <c r="R18" s="66">
        <f>IFERROR(aurora_data!Q1638,0)</f>
        <v>0</v>
      </c>
      <c r="S18" s="65">
        <f>IFERROR(aurora_data!R1638,0)</f>
        <v>1</v>
      </c>
      <c r="T18" s="65">
        <f>IFERROR(aurora_data!S1638,0)</f>
        <v>0</v>
      </c>
      <c r="U18" s="66">
        <f>IFERROR(aurora_data!T1638,0)</f>
        <v>0</v>
      </c>
      <c r="V18" s="67" t="s">
        <v>198</v>
      </c>
      <c r="W18" s="59">
        <f>IFERROR(aurora_data!U1638,0)</f>
        <v>1</v>
      </c>
      <c r="X18" s="72">
        <f t="shared" si="0"/>
        <v>6.6666666666666666E-2</v>
      </c>
      <c r="Y18" s="2"/>
    </row>
    <row r="19" spans="1:25" customFormat="1" ht="16.5" thickBot="1">
      <c r="A19" s="2"/>
      <c r="B19" s="201"/>
      <c r="C19" s="195"/>
      <c r="D19" s="38" t="s">
        <v>203</v>
      </c>
      <c r="E19" s="60">
        <f>IFERROR(aurora_data!D1639,0)</f>
        <v>0</v>
      </c>
      <c r="F19" s="68">
        <f>IFERROR(aurora_data!E1639,0)</f>
        <v>0</v>
      </c>
      <c r="G19" s="68">
        <f>IFERROR(aurora_data!F1639,0)</f>
        <v>0</v>
      </c>
      <c r="H19" s="68">
        <f>IFERROR(aurora_data!G1639,0)</f>
        <v>0</v>
      </c>
      <c r="I19" s="69">
        <f>IFERROR(aurora_data!H1639,0)</f>
        <v>0</v>
      </c>
      <c r="J19" s="60">
        <f>IFERROR(aurora_data!I1639,0)</f>
        <v>0</v>
      </c>
      <c r="K19" s="68">
        <f>IFERROR(aurora_data!J1639,0)</f>
        <v>0</v>
      </c>
      <c r="L19" s="68">
        <f>IFERROR(aurora_data!K1639,0)</f>
        <v>0</v>
      </c>
      <c r="M19" s="68">
        <f>IFERROR(aurora_data!L1639,0)</f>
        <v>0</v>
      </c>
      <c r="N19" s="69">
        <f>IFERROR(aurora_data!M1639,0)</f>
        <v>0</v>
      </c>
      <c r="O19" s="60">
        <f>IFERROR(aurora_data!N1639,0)</f>
        <v>0</v>
      </c>
      <c r="P19" s="68">
        <f>IFERROR(aurora_data!O1639,0)</f>
        <v>0</v>
      </c>
      <c r="Q19" s="68">
        <f>IFERROR(aurora_data!P1639,0)</f>
        <v>0</v>
      </c>
      <c r="R19" s="69">
        <f>IFERROR(aurora_data!Q1639,0)</f>
        <v>0</v>
      </c>
      <c r="S19" s="68">
        <f>IFERROR(aurora_data!R1639,0)</f>
        <v>0</v>
      </c>
      <c r="T19" s="68">
        <f>IFERROR(aurora_data!S1639,0)</f>
        <v>0</v>
      </c>
      <c r="U19" s="74">
        <f>IFERROR(aurora_data!T1639,0)</f>
        <v>0</v>
      </c>
      <c r="V19" s="75" t="s">
        <v>198</v>
      </c>
      <c r="W19" s="60">
        <f>IFERROR(aurora_data!U1639,0)</f>
        <v>0</v>
      </c>
      <c r="X19" s="73">
        <f t="shared" si="0"/>
        <v>0</v>
      </c>
      <c r="Y19" s="2"/>
    </row>
    <row r="20" spans="1:25" customFormat="1">
      <c r="A20" s="2"/>
      <c r="B20" s="200" t="s">
        <v>212</v>
      </c>
      <c r="C20" s="194" t="str">
        <f>aurora_data!A1732</f>
        <v>09.00.00-12.11.30</v>
      </c>
      <c r="D20" s="34" t="s">
        <v>153</v>
      </c>
      <c r="E20" s="39">
        <f>IFERROR(aurora_data!D1732,0)</f>
        <v>0</v>
      </c>
      <c r="F20" s="40">
        <f>IFERROR(aurora_data!E1732,0)</f>
        <v>0</v>
      </c>
      <c r="G20" s="40">
        <f>IFERROR(aurora_data!F1732,0)</f>
        <v>0</v>
      </c>
      <c r="H20" s="40">
        <f>IFERROR(aurora_data!G1732,0)</f>
        <v>0</v>
      </c>
      <c r="I20" s="41">
        <f>IFERROR(aurora_data!H1732,0)</f>
        <v>0</v>
      </c>
      <c r="J20" s="39">
        <f>IFERROR(aurora_data!I1732,0)</f>
        <v>0</v>
      </c>
      <c r="K20" s="40">
        <f>IFERROR(aurora_data!J1732,0)</f>
        <v>0</v>
      </c>
      <c r="L20" s="40">
        <f>IFERROR(aurora_data!K1732,0)</f>
        <v>0</v>
      </c>
      <c r="M20" s="40">
        <f>IFERROR(aurora_data!L1732,0)</f>
        <v>0</v>
      </c>
      <c r="N20" s="41">
        <f>IFERROR(aurora_data!M1732,0)</f>
        <v>0</v>
      </c>
      <c r="O20" s="39">
        <f>IFERROR(aurora_data!N1732,0)</f>
        <v>0</v>
      </c>
      <c r="P20" s="40">
        <f>IFERROR(aurora_data!O1732,0)</f>
        <v>0</v>
      </c>
      <c r="Q20" s="40">
        <f>IFERROR(aurora_data!P1732,0)</f>
        <v>0</v>
      </c>
      <c r="R20" s="41">
        <f>IFERROR(aurora_data!Q1732,0)</f>
        <v>0</v>
      </c>
      <c r="S20" s="40">
        <f>IFERROR(aurora_data!R1732,0)</f>
        <v>0</v>
      </c>
      <c r="T20" s="40">
        <f>IFERROR(aurora_data!S1732,0)</f>
        <v>0</v>
      </c>
      <c r="U20" s="76">
        <f>IFERROR(aurora_data!T1732,0)</f>
        <v>0</v>
      </c>
      <c r="V20" s="61" t="s">
        <v>198</v>
      </c>
      <c r="W20" s="39">
        <f>IFERROR(aurora_data!U1732,0)</f>
        <v>15</v>
      </c>
      <c r="X20" s="70">
        <f>IFERROR(W20/$W$20,0)</f>
        <v>1</v>
      </c>
      <c r="Y20" s="2"/>
    </row>
    <row r="21" spans="1:25" customFormat="1" ht="16.5" customHeight="1">
      <c r="A21" s="2"/>
      <c r="B21" s="201"/>
      <c r="C21" s="195"/>
      <c r="D21" s="35" t="s">
        <v>199</v>
      </c>
      <c r="E21" s="36">
        <f>IFERROR(aurora_data!D1733,0)</f>
        <v>0</v>
      </c>
      <c r="F21" s="62">
        <f>IFERROR(aurora_data!E1733,0)</f>
        <v>2</v>
      </c>
      <c r="G21" s="62">
        <f>IFERROR(aurora_data!F1733,0)</f>
        <v>3</v>
      </c>
      <c r="H21" s="62">
        <f>IFERROR(aurora_data!G1733,0)</f>
        <v>3</v>
      </c>
      <c r="I21" s="63">
        <f>IFERROR(aurora_data!H1733,0)</f>
        <v>0</v>
      </c>
      <c r="J21" s="36">
        <f>IFERROR(aurora_data!I1733,0)</f>
        <v>0</v>
      </c>
      <c r="K21" s="62">
        <f>IFERROR(aurora_data!J1733,0)</f>
        <v>1</v>
      </c>
      <c r="L21" s="62">
        <f>IFERROR(aurora_data!K1733,0)</f>
        <v>0</v>
      </c>
      <c r="M21" s="62">
        <f>IFERROR(aurora_data!L1733,0)</f>
        <v>1</v>
      </c>
      <c r="N21" s="63">
        <f>IFERROR(aurora_data!M1733,0)</f>
        <v>6</v>
      </c>
      <c r="O21" s="36">
        <f>IFERROR(aurora_data!N1733,0)</f>
        <v>3</v>
      </c>
      <c r="P21" s="62">
        <f>IFERROR(aurora_data!O1733,0)</f>
        <v>0</v>
      </c>
      <c r="Q21" s="62">
        <f>IFERROR(aurora_data!P1733,0)</f>
        <v>2</v>
      </c>
      <c r="R21" s="63">
        <f>IFERROR(aurora_data!Q1733,0)</f>
        <v>3</v>
      </c>
      <c r="S21" s="62">
        <f>IFERROR(aurora_data!R1733,0)</f>
        <v>4</v>
      </c>
      <c r="T21" s="62">
        <f>IFERROR(aurora_data!S1733,0)</f>
        <v>4</v>
      </c>
      <c r="U21" s="63">
        <f>IFERROR(aurora_data!T1733,0)</f>
        <v>0</v>
      </c>
      <c r="V21" s="64" t="s">
        <v>198</v>
      </c>
      <c r="W21" s="36">
        <f>IFERROR(aurora_data!U1733,0)</f>
        <v>8</v>
      </c>
      <c r="X21" s="71">
        <f t="shared" ref="X21:X27" si="1">IFERROR(W21/$W$20,0)</f>
        <v>0.53333333333333333</v>
      </c>
      <c r="Y21" s="2"/>
    </row>
    <row r="22" spans="1:25" customFormat="1" ht="16.5" customHeight="1">
      <c r="A22" s="2"/>
      <c r="B22" s="201"/>
      <c r="C22" s="195"/>
      <c r="D22" s="35" t="s">
        <v>137</v>
      </c>
      <c r="E22" s="36">
        <f>IFERROR(aurora_data!D1734,0)</f>
        <v>0</v>
      </c>
      <c r="F22" s="62">
        <f>IFERROR(aurora_data!E1734,0)</f>
        <v>0</v>
      </c>
      <c r="G22" s="62">
        <f>IFERROR(aurora_data!F1734,0)</f>
        <v>0</v>
      </c>
      <c r="H22" s="62">
        <f>IFERROR(aurora_data!G1734,0)</f>
        <v>0</v>
      </c>
      <c r="I22" s="63">
        <f>IFERROR(aurora_data!H1734,0)</f>
        <v>0</v>
      </c>
      <c r="J22" s="36">
        <f>IFERROR(aurora_data!I1734,0)</f>
        <v>0</v>
      </c>
      <c r="K22" s="62">
        <f>IFERROR(aurora_data!J1734,0)</f>
        <v>0</v>
      </c>
      <c r="L22" s="62">
        <f>IFERROR(aurora_data!K1734,0)</f>
        <v>0</v>
      </c>
      <c r="M22" s="62">
        <f>IFERROR(aurora_data!L1734,0)</f>
        <v>0</v>
      </c>
      <c r="N22" s="63">
        <f>IFERROR(aurora_data!M1734,0)</f>
        <v>0</v>
      </c>
      <c r="O22" s="36">
        <f>IFERROR(aurora_data!N1734,0)</f>
        <v>0</v>
      </c>
      <c r="P22" s="62">
        <f>IFERROR(aurora_data!O1734,0)</f>
        <v>0</v>
      </c>
      <c r="Q22" s="62">
        <f>IFERROR(aurora_data!P1734,0)</f>
        <v>0</v>
      </c>
      <c r="R22" s="63">
        <f>IFERROR(aurora_data!Q1734,0)</f>
        <v>0</v>
      </c>
      <c r="S22" s="62">
        <f>IFERROR(aurora_data!R1734,0)</f>
        <v>0</v>
      </c>
      <c r="T22" s="62">
        <f>IFERROR(aurora_data!S1734,0)</f>
        <v>0</v>
      </c>
      <c r="U22" s="63">
        <f>IFERROR(aurora_data!T1734,0)</f>
        <v>0</v>
      </c>
      <c r="V22" s="64" t="s">
        <v>198</v>
      </c>
      <c r="W22" s="36">
        <f>IFERROR(aurora_data!U1734,0)</f>
        <v>0</v>
      </c>
      <c r="X22" s="71">
        <f t="shared" si="1"/>
        <v>0</v>
      </c>
      <c r="Y22" s="2"/>
    </row>
    <row r="23" spans="1:25" customFormat="1">
      <c r="A23" s="2"/>
      <c r="B23" s="201"/>
      <c r="C23" s="195"/>
      <c r="D23" s="35" t="s">
        <v>200</v>
      </c>
      <c r="E23" s="36">
        <f>IFERROR(aurora_data!D1735,0)</f>
        <v>0</v>
      </c>
      <c r="F23" s="62">
        <f>IFERROR(aurora_data!E1735,0)</f>
        <v>0</v>
      </c>
      <c r="G23" s="62">
        <f>IFERROR(aurora_data!F1735,0)</f>
        <v>0</v>
      </c>
      <c r="H23" s="62">
        <f>IFERROR(aurora_data!G1735,0)</f>
        <v>0</v>
      </c>
      <c r="I23" s="63">
        <f>IFERROR(aurora_data!H1735,0)</f>
        <v>0</v>
      </c>
      <c r="J23" s="36">
        <f>IFERROR(aurora_data!I1735,0)</f>
        <v>0</v>
      </c>
      <c r="K23" s="62">
        <f>IFERROR(aurora_data!J1735,0)</f>
        <v>0</v>
      </c>
      <c r="L23" s="62">
        <f>IFERROR(aurora_data!K1735,0)</f>
        <v>0</v>
      </c>
      <c r="M23" s="62">
        <f>IFERROR(aurora_data!L1735,0)</f>
        <v>0</v>
      </c>
      <c r="N23" s="63">
        <f>IFERROR(aurora_data!M1735,0)</f>
        <v>0</v>
      </c>
      <c r="O23" s="36">
        <f>IFERROR(aurora_data!N1735,0)</f>
        <v>0</v>
      </c>
      <c r="P23" s="62">
        <f>IFERROR(aurora_data!O1735,0)</f>
        <v>0</v>
      </c>
      <c r="Q23" s="62">
        <f>IFERROR(aurora_data!P1735,0)</f>
        <v>0</v>
      </c>
      <c r="R23" s="63">
        <f>IFERROR(aurora_data!Q1735,0)</f>
        <v>0</v>
      </c>
      <c r="S23" s="62">
        <f>IFERROR(aurora_data!R1735,0)</f>
        <v>0</v>
      </c>
      <c r="T23" s="62">
        <f>IFERROR(aurora_data!S1735,0)</f>
        <v>0</v>
      </c>
      <c r="U23" s="63">
        <f>IFERROR(aurora_data!T1735,0)</f>
        <v>0</v>
      </c>
      <c r="V23" s="64" t="s">
        <v>198</v>
      </c>
      <c r="W23" s="36">
        <f>IFERROR(aurora_data!U1735,0)</f>
        <v>0</v>
      </c>
      <c r="X23" s="71">
        <f t="shared" si="1"/>
        <v>0</v>
      </c>
      <c r="Y23" s="2"/>
    </row>
    <row r="24" spans="1:25" customFormat="1" ht="16.5" customHeight="1">
      <c r="A24" s="2"/>
      <c r="B24" s="201"/>
      <c r="C24" s="195"/>
      <c r="D24" s="35" t="s">
        <v>201</v>
      </c>
      <c r="E24" s="36">
        <f>IFERROR(aurora_data!D1736,0)</f>
        <v>0</v>
      </c>
      <c r="F24" s="62">
        <f>IFERROR(aurora_data!E1736,0)</f>
        <v>0</v>
      </c>
      <c r="G24" s="62">
        <f>IFERROR(aurora_data!F1736,0)</f>
        <v>0</v>
      </c>
      <c r="H24" s="62">
        <f>IFERROR(aurora_data!G1736,0)</f>
        <v>0</v>
      </c>
      <c r="I24" s="63">
        <f>IFERROR(aurora_data!H1736,0)</f>
        <v>0</v>
      </c>
      <c r="J24" s="36">
        <f>IFERROR(aurora_data!I1736,0)</f>
        <v>0</v>
      </c>
      <c r="K24" s="62">
        <f>IFERROR(aurora_data!J1736,0)</f>
        <v>0</v>
      </c>
      <c r="L24" s="62">
        <f>IFERROR(aurora_data!K1736,0)</f>
        <v>0</v>
      </c>
      <c r="M24" s="62">
        <f>IFERROR(aurora_data!L1736,0)</f>
        <v>0</v>
      </c>
      <c r="N24" s="63">
        <f>IFERROR(aurora_data!M1736,0)</f>
        <v>0</v>
      </c>
      <c r="O24" s="36">
        <f>IFERROR(aurora_data!N1736,0)</f>
        <v>0</v>
      </c>
      <c r="P24" s="62">
        <f>IFERROR(aurora_data!O1736,0)</f>
        <v>0</v>
      </c>
      <c r="Q24" s="62">
        <f>IFERROR(aurora_data!P1736,0)</f>
        <v>0</v>
      </c>
      <c r="R24" s="63">
        <f>IFERROR(aurora_data!Q1736,0)</f>
        <v>0</v>
      </c>
      <c r="S24" s="62">
        <f>IFERROR(aurora_data!R1736,0)</f>
        <v>0</v>
      </c>
      <c r="T24" s="62">
        <f>IFERROR(aurora_data!S1736,0)</f>
        <v>0</v>
      </c>
      <c r="U24" s="63">
        <f>IFERROR(aurora_data!T1736,0)</f>
        <v>0</v>
      </c>
      <c r="V24" s="64" t="s">
        <v>198</v>
      </c>
      <c r="W24" s="36">
        <f>IFERROR(aurora_data!U1736,0)</f>
        <v>0</v>
      </c>
      <c r="X24" s="71">
        <f t="shared" si="1"/>
        <v>0</v>
      </c>
      <c r="Y24" s="2"/>
    </row>
    <row r="25" spans="1:25" customFormat="1" ht="16.5" customHeight="1" thickBot="1">
      <c r="A25" s="2"/>
      <c r="B25" s="201"/>
      <c r="C25" s="195"/>
      <c r="D25" s="35" t="s">
        <v>202</v>
      </c>
      <c r="E25" s="36">
        <f>IFERROR(aurora_data!D1737,0)</f>
        <v>0</v>
      </c>
      <c r="F25" s="62">
        <f>IFERROR(aurora_data!E1737,0)</f>
        <v>0</v>
      </c>
      <c r="G25" s="62">
        <f>IFERROR(aurora_data!F1737,0)</f>
        <v>0</v>
      </c>
      <c r="H25" s="62">
        <f>IFERROR(aurora_data!G1737,0)</f>
        <v>0</v>
      </c>
      <c r="I25" s="63">
        <f>IFERROR(aurora_data!H1737,0)</f>
        <v>0</v>
      </c>
      <c r="J25" s="36">
        <f>IFERROR(aurora_data!I1737,0)</f>
        <v>0</v>
      </c>
      <c r="K25" s="62">
        <f>IFERROR(aurora_data!J1737,0)</f>
        <v>0</v>
      </c>
      <c r="L25" s="62">
        <f>IFERROR(aurora_data!K1737,0)</f>
        <v>0</v>
      </c>
      <c r="M25" s="62">
        <f>IFERROR(aurora_data!L1737,0)</f>
        <v>0</v>
      </c>
      <c r="N25" s="63">
        <f>IFERROR(aurora_data!M1737,0)</f>
        <v>0</v>
      </c>
      <c r="O25" s="36">
        <f>IFERROR(aurora_data!N1737,0)</f>
        <v>0</v>
      </c>
      <c r="P25" s="62">
        <f>IFERROR(aurora_data!O1737,0)</f>
        <v>0</v>
      </c>
      <c r="Q25" s="62">
        <f>IFERROR(aurora_data!P1737,0)</f>
        <v>0</v>
      </c>
      <c r="R25" s="63">
        <f>IFERROR(aurora_data!Q1737,0)</f>
        <v>0</v>
      </c>
      <c r="S25" s="62">
        <f>IFERROR(aurora_data!R1737,0)</f>
        <v>0</v>
      </c>
      <c r="T25" s="62">
        <f>IFERROR(aurora_data!S1737,0)</f>
        <v>0</v>
      </c>
      <c r="U25" s="63">
        <f>IFERROR(aurora_data!T1737,0)</f>
        <v>0</v>
      </c>
      <c r="V25" s="64" t="s">
        <v>198</v>
      </c>
      <c r="W25" s="36">
        <f>IFERROR(aurora_data!U1737,0)</f>
        <v>0</v>
      </c>
      <c r="X25" s="71">
        <f t="shared" si="1"/>
        <v>0</v>
      </c>
      <c r="Y25" s="2"/>
    </row>
    <row r="26" spans="1:25" customFormat="1" ht="16.5" customHeight="1" thickBot="1">
      <c r="A26" s="2"/>
      <c r="B26" s="201"/>
      <c r="C26" s="195"/>
      <c r="D26" s="37" t="s">
        <v>141</v>
      </c>
      <c r="E26" s="59">
        <f>IFERROR(aurora_data!D1738,0)</f>
        <v>0</v>
      </c>
      <c r="F26" s="65">
        <f>IFERROR(aurora_data!E1738,0)</f>
        <v>2</v>
      </c>
      <c r="G26" s="65">
        <f>IFERROR(aurora_data!F1738,0)</f>
        <v>3</v>
      </c>
      <c r="H26" s="65">
        <f>IFERROR(aurora_data!G1738,0)</f>
        <v>3</v>
      </c>
      <c r="I26" s="66">
        <f>IFERROR(aurora_data!H1738,0)</f>
        <v>0</v>
      </c>
      <c r="J26" s="59">
        <f>IFERROR(aurora_data!I1738,0)</f>
        <v>0</v>
      </c>
      <c r="K26" s="65">
        <f>IFERROR(aurora_data!J1738,0)</f>
        <v>1</v>
      </c>
      <c r="L26" s="65">
        <f>IFERROR(aurora_data!K1738,0)</f>
        <v>0</v>
      </c>
      <c r="M26" s="65">
        <f>IFERROR(aurora_data!L1738,0)</f>
        <v>1</v>
      </c>
      <c r="N26" s="66">
        <f>IFERROR(aurora_data!M1738,0)</f>
        <v>6</v>
      </c>
      <c r="O26" s="59">
        <f>IFERROR(aurora_data!N1738,0)</f>
        <v>3</v>
      </c>
      <c r="P26" s="65">
        <f>IFERROR(aurora_data!O1738,0)</f>
        <v>0</v>
      </c>
      <c r="Q26" s="65">
        <f>IFERROR(aurora_data!P1738,0)</f>
        <v>2</v>
      </c>
      <c r="R26" s="66">
        <f>IFERROR(aurora_data!Q1738,0)</f>
        <v>3</v>
      </c>
      <c r="S26" s="65">
        <f>IFERROR(aurora_data!R1738,0)</f>
        <v>4</v>
      </c>
      <c r="T26" s="65">
        <f>IFERROR(aurora_data!S1738,0)</f>
        <v>4</v>
      </c>
      <c r="U26" s="66">
        <f>IFERROR(aurora_data!T1738,0)</f>
        <v>0</v>
      </c>
      <c r="V26" s="67" t="s">
        <v>198</v>
      </c>
      <c r="W26" s="59">
        <f>IFERROR(aurora_data!U1738,0)</f>
        <v>8</v>
      </c>
      <c r="X26" s="72">
        <f t="shared" si="1"/>
        <v>0.53333333333333333</v>
      </c>
      <c r="Y26" s="2"/>
    </row>
    <row r="27" spans="1:25" customFormat="1" ht="16.5" thickBot="1">
      <c r="A27" s="2"/>
      <c r="B27" s="201"/>
      <c r="C27" s="195"/>
      <c r="D27" s="38" t="s">
        <v>203</v>
      </c>
      <c r="E27" s="60">
        <f>IFERROR(aurora_data!D1739,0)</f>
        <v>0</v>
      </c>
      <c r="F27" s="68">
        <f>IFERROR(aurora_data!E1739,0)</f>
        <v>0</v>
      </c>
      <c r="G27" s="68">
        <f>IFERROR(aurora_data!F1739,0)</f>
        <v>0</v>
      </c>
      <c r="H27" s="68">
        <f>IFERROR(aurora_data!G1739,0)</f>
        <v>0</v>
      </c>
      <c r="I27" s="69">
        <f>IFERROR(aurora_data!H1739,0)</f>
        <v>0</v>
      </c>
      <c r="J27" s="60">
        <f>IFERROR(aurora_data!I1739,0)</f>
        <v>0</v>
      </c>
      <c r="K27" s="68">
        <f>IFERROR(aurora_data!J1739,0)</f>
        <v>0</v>
      </c>
      <c r="L27" s="68">
        <f>IFERROR(aurora_data!K1739,0)</f>
        <v>0</v>
      </c>
      <c r="M27" s="68">
        <f>IFERROR(aurora_data!L1739,0)</f>
        <v>0</v>
      </c>
      <c r="N27" s="69">
        <f>IFERROR(aurora_data!M1739,0)</f>
        <v>0</v>
      </c>
      <c r="O27" s="60">
        <f>IFERROR(aurora_data!N1739,0)</f>
        <v>0</v>
      </c>
      <c r="P27" s="68">
        <f>IFERROR(aurora_data!O1739,0)</f>
        <v>0</v>
      </c>
      <c r="Q27" s="68">
        <f>IFERROR(aurora_data!P1739,0)</f>
        <v>0</v>
      </c>
      <c r="R27" s="69">
        <f>IFERROR(aurora_data!Q1739,0)</f>
        <v>0</v>
      </c>
      <c r="S27" s="68">
        <f>IFERROR(aurora_data!R1739,0)</f>
        <v>0</v>
      </c>
      <c r="T27" s="68">
        <f>IFERROR(aurora_data!S1739,0)</f>
        <v>0</v>
      </c>
      <c r="U27" s="74">
        <f>IFERROR(aurora_data!T1739,0)</f>
        <v>0</v>
      </c>
      <c r="V27" s="75" t="s">
        <v>198</v>
      </c>
      <c r="W27" s="60">
        <f>IFERROR(aurora_data!U1739,0)</f>
        <v>0</v>
      </c>
      <c r="X27" s="73">
        <f t="shared" si="1"/>
        <v>0</v>
      </c>
      <c r="Y27" s="2"/>
    </row>
    <row r="28" spans="1:25" customFormat="1">
      <c r="A28" s="2"/>
      <c r="B28" s="200" t="s">
        <v>212</v>
      </c>
      <c r="C28" s="194" t="str">
        <f>aurora_data!A1740</f>
        <v>13.00.00-21.11.30</v>
      </c>
      <c r="D28" s="34" t="s">
        <v>153</v>
      </c>
      <c r="E28" s="39">
        <f>IFERROR(aurora_data!D1740,0)</f>
        <v>0</v>
      </c>
      <c r="F28" s="40">
        <f>IFERROR(aurora_data!E1740,0)</f>
        <v>0</v>
      </c>
      <c r="G28" s="40">
        <f>IFERROR(aurora_data!F1740,0)</f>
        <v>0</v>
      </c>
      <c r="H28" s="40">
        <f>IFERROR(aurora_data!G1740,0)</f>
        <v>0</v>
      </c>
      <c r="I28" s="41">
        <f>IFERROR(aurora_data!H1740,0)</f>
        <v>0</v>
      </c>
      <c r="J28" s="39">
        <f>IFERROR(aurora_data!I1740,0)</f>
        <v>0</v>
      </c>
      <c r="K28" s="40">
        <f>IFERROR(aurora_data!J1740,0)</f>
        <v>0</v>
      </c>
      <c r="L28" s="40">
        <f>IFERROR(aurora_data!K1740,0)</f>
        <v>0</v>
      </c>
      <c r="M28" s="40">
        <f>IFERROR(aurora_data!L1740,0)</f>
        <v>0</v>
      </c>
      <c r="N28" s="41">
        <f>IFERROR(aurora_data!M1740,0)</f>
        <v>0</v>
      </c>
      <c r="O28" s="39">
        <f>IFERROR(aurora_data!N1740,0)</f>
        <v>0</v>
      </c>
      <c r="P28" s="40">
        <f>IFERROR(aurora_data!O1740,0)</f>
        <v>0</v>
      </c>
      <c r="Q28" s="40">
        <f>IFERROR(aurora_data!P1740,0)</f>
        <v>0</v>
      </c>
      <c r="R28" s="41">
        <f>IFERROR(aurora_data!Q1740,0)</f>
        <v>0</v>
      </c>
      <c r="S28" s="40">
        <f>IFERROR(aurora_data!R1740,0)</f>
        <v>0</v>
      </c>
      <c r="T28" s="40">
        <f>IFERROR(aurora_data!S1740,0)</f>
        <v>0</v>
      </c>
      <c r="U28" s="76">
        <f>IFERROR(aurora_data!T1740,0)</f>
        <v>0</v>
      </c>
      <c r="V28" s="61" t="s">
        <v>198</v>
      </c>
      <c r="W28" s="39">
        <f>IFERROR(aurora_data!U1740,0)</f>
        <v>15</v>
      </c>
      <c r="X28" s="70">
        <f t="shared" ref="X28:X35" si="2">IFERROR(W28/$W$28,0)</f>
        <v>1</v>
      </c>
      <c r="Y28" s="2"/>
    </row>
    <row r="29" spans="1:25" customFormat="1" ht="16.5" customHeight="1">
      <c r="A29" s="2"/>
      <c r="B29" s="201"/>
      <c r="C29" s="195"/>
      <c r="D29" s="35" t="s">
        <v>199</v>
      </c>
      <c r="E29" s="36">
        <f>IFERROR(aurora_data!D1741,0)</f>
        <v>0</v>
      </c>
      <c r="F29" s="62">
        <f>IFERROR(aurora_data!E1741,0)</f>
        <v>1</v>
      </c>
      <c r="G29" s="62">
        <f>IFERROR(aurora_data!F1741,0)</f>
        <v>5</v>
      </c>
      <c r="H29" s="62">
        <f>IFERROR(aurora_data!G1741,0)</f>
        <v>6</v>
      </c>
      <c r="I29" s="63">
        <f>IFERROR(aurora_data!H1741,0)</f>
        <v>0</v>
      </c>
      <c r="J29" s="36">
        <f>IFERROR(aurora_data!I1741,0)</f>
        <v>3</v>
      </c>
      <c r="K29" s="62">
        <f>IFERROR(aurora_data!J1741,0)</f>
        <v>3</v>
      </c>
      <c r="L29" s="62">
        <f>IFERROR(aurora_data!K1741,0)</f>
        <v>2</v>
      </c>
      <c r="M29" s="62">
        <f>IFERROR(aurora_data!L1741,0)</f>
        <v>1</v>
      </c>
      <c r="N29" s="63">
        <f>IFERROR(aurora_data!M1741,0)</f>
        <v>3</v>
      </c>
      <c r="O29" s="36">
        <f>IFERROR(aurora_data!N1741,0)</f>
        <v>3</v>
      </c>
      <c r="P29" s="62">
        <f>IFERROR(aurora_data!O1741,0)</f>
        <v>1</v>
      </c>
      <c r="Q29" s="62">
        <f>IFERROR(aurora_data!P1741,0)</f>
        <v>4</v>
      </c>
      <c r="R29" s="63">
        <f>IFERROR(aurora_data!Q1741,0)</f>
        <v>4</v>
      </c>
      <c r="S29" s="62">
        <f>IFERROR(aurora_data!R1741,0)</f>
        <v>7</v>
      </c>
      <c r="T29" s="62">
        <f>IFERROR(aurora_data!S1741,0)</f>
        <v>5</v>
      </c>
      <c r="U29" s="63">
        <f>IFERROR(aurora_data!T1741,0)</f>
        <v>0</v>
      </c>
      <c r="V29" s="64" t="s">
        <v>198</v>
      </c>
      <c r="W29" s="36">
        <f>IFERROR(aurora_data!U1741,0)</f>
        <v>12</v>
      </c>
      <c r="X29" s="71">
        <f t="shared" si="2"/>
        <v>0.8</v>
      </c>
      <c r="Y29" s="2"/>
    </row>
    <row r="30" spans="1:25" customFormat="1" ht="16.5" customHeight="1">
      <c r="A30" s="2"/>
      <c r="B30" s="201"/>
      <c r="C30" s="195"/>
      <c r="D30" s="35" t="s">
        <v>137</v>
      </c>
      <c r="E30" s="36">
        <f>IFERROR(aurora_data!D1742,0)</f>
        <v>0</v>
      </c>
      <c r="F30" s="62">
        <f>IFERROR(aurora_data!E1742,0)</f>
        <v>0</v>
      </c>
      <c r="G30" s="62">
        <f>IFERROR(aurora_data!F1742,0)</f>
        <v>0</v>
      </c>
      <c r="H30" s="62">
        <f>IFERROR(aurora_data!G1742,0)</f>
        <v>0</v>
      </c>
      <c r="I30" s="63">
        <f>IFERROR(aurora_data!H1742,0)</f>
        <v>0</v>
      </c>
      <c r="J30" s="36">
        <f>IFERROR(aurora_data!I1742,0)</f>
        <v>0</v>
      </c>
      <c r="K30" s="62">
        <f>IFERROR(aurora_data!J1742,0)</f>
        <v>0</v>
      </c>
      <c r="L30" s="62">
        <f>IFERROR(aurora_data!K1742,0)</f>
        <v>0</v>
      </c>
      <c r="M30" s="62">
        <f>IFERROR(aurora_data!L1742,0)</f>
        <v>0</v>
      </c>
      <c r="N30" s="63">
        <f>IFERROR(aurora_data!M1742,0)</f>
        <v>0</v>
      </c>
      <c r="O30" s="36">
        <f>IFERROR(aurora_data!N1742,0)</f>
        <v>0</v>
      </c>
      <c r="P30" s="62">
        <f>IFERROR(aurora_data!O1742,0)</f>
        <v>0</v>
      </c>
      <c r="Q30" s="62">
        <f>IFERROR(aurora_data!P1742,0)</f>
        <v>0</v>
      </c>
      <c r="R30" s="63">
        <f>IFERROR(aurora_data!Q1742,0)</f>
        <v>0</v>
      </c>
      <c r="S30" s="62">
        <f>IFERROR(aurora_data!R1742,0)</f>
        <v>0</v>
      </c>
      <c r="T30" s="62">
        <f>IFERROR(aurora_data!S1742,0)</f>
        <v>0</v>
      </c>
      <c r="U30" s="63">
        <f>IFERROR(aurora_data!T1742,0)</f>
        <v>0</v>
      </c>
      <c r="V30" s="64" t="s">
        <v>198</v>
      </c>
      <c r="W30" s="36">
        <f>IFERROR(aurora_data!U1742,0)</f>
        <v>0</v>
      </c>
      <c r="X30" s="71">
        <f t="shared" si="2"/>
        <v>0</v>
      </c>
      <c r="Y30" s="2"/>
    </row>
    <row r="31" spans="1:25" customFormat="1">
      <c r="A31" s="2"/>
      <c r="B31" s="201"/>
      <c r="C31" s="195"/>
      <c r="D31" s="35" t="s">
        <v>200</v>
      </c>
      <c r="E31" s="36">
        <f>IFERROR(aurora_data!D1743,0)</f>
        <v>0</v>
      </c>
      <c r="F31" s="62">
        <f>IFERROR(aurora_data!E1743,0)</f>
        <v>0</v>
      </c>
      <c r="G31" s="62">
        <f>IFERROR(aurora_data!F1743,0)</f>
        <v>0</v>
      </c>
      <c r="H31" s="62">
        <f>IFERROR(aurora_data!G1743,0)</f>
        <v>0</v>
      </c>
      <c r="I31" s="63">
        <f>IFERROR(aurora_data!H1743,0)</f>
        <v>0</v>
      </c>
      <c r="J31" s="36">
        <f>IFERROR(aurora_data!I1743,0)</f>
        <v>0</v>
      </c>
      <c r="K31" s="62">
        <f>IFERROR(aurora_data!J1743,0)</f>
        <v>0</v>
      </c>
      <c r="L31" s="62">
        <f>IFERROR(aurora_data!K1743,0)</f>
        <v>0</v>
      </c>
      <c r="M31" s="62">
        <f>IFERROR(aurora_data!L1743,0)</f>
        <v>0</v>
      </c>
      <c r="N31" s="63">
        <f>IFERROR(aurora_data!M1743,0)</f>
        <v>0</v>
      </c>
      <c r="O31" s="36">
        <f>IFERROR(aurora_data!N1743,0)</f>
        <v>0</v>
      </c>
      <c r="P31" s="62">
        <f>IFERROR(aurora_data!O1743,0)</f>
        <v>0</v>
      </c>
      <c r="Q31" s="62">
        <f>IFERROR(aurora_data!P1743,0)</f>
        <v>0</v>
      </c>
      <c r="R31" s="63">
        <f>IFERROR(aurora_data!Q1743,0)</f>
        <v>0</v>
      </c>
      <c r="S31" s="62">
        <f>IFERROR(aurora_data!R1743,0)</f>
        <v>0</v>
      </c>
      <c r="T31" s="62">
        <f>IFERROR(aurora_data!S1743,0)</f>
        <v>0</v>
      </c>
      <c r="U31" s="63">
        <f>IFERROR(aurora_data!T1743,0)</f>
        <v>0</v>
      </c>
      <c r="V31" s="64" t="s">
        <v>198</v>
      </c>
      <c r="W31" s="36">
        <f>IFERROR(aurora_data!U1743,0)</f>
        <v>0</v>
      </c>
      <c r="X31" s="71">
        <f t="shared" si="2"/>
        <v>0</v>
      </c>
      <c r="Y31" s="2"/>
    </row>
    <row r="32" spans="1:25" customFormat="1" ht="16.5" customHeight="1">
      <c r="A32" s="2"/>
      <c r="B32" s="201"/>
      <c r="C32" s="195"/>
      <c r="D32" s="35" t="s">
        <v>201</v>
      </c>
      <c r="E32" s="36">
        <f>IFERROR(aurora_data!D1744,0)</f>
        <v>0</v>
      </c>
      <c r="F32" s="62">
        <f>IFERROR(aurora_data!E1744,0)</f>
        <v>0</v>
      </c>
      <c r="G32" s="62">
        <f>IFERROR(aurora_data!F1744,0)</f>
        <v>0</v>
      </c>
      <c r="H32" s="62">
        <f>IFERROR(aurora_data!G1744,0)</f>
        <v>0</v>
      </c>
      <c r="I32" s="63">
        <f>IFERROR(aurora_data!H1744,0)</f>
        <v>0</v>
      </c>
      <c r="J32" s="36">
        <f>IFERROR(aurora_data!I1744,0)</f>
        <v>0</v>
      </c>
      <c r="K32" s="62">
        <f>IFERROR(aurora_data!J1744,0)</f>
        <v>0</v>
      </c>
      <c r="L32" s="62">
        <f>IFERROR(aurora_data!K1744,0)</f>
        <v>0</v>
      </c>
      <c r="M32" s="62">
        <f>IFERROR(aurora_data!L1744,0)</f>
        <v>0</v>
      </c>
      <c r="N32" s="63">
        <f>IFERROR(aurora_data!M1744,0)</f>
        <v>0</v>
      </c>
      <c r="O32" s="36">
        <f>IFERROR(aurora_data!N1744,0)</f>
        <v>0</v>
      </c>
      <c r="P32" s="62">
        <f>IFERROR(aurora_data!O1744,0)</f>
        <v>0</v>
      </c>
      <c r="Q32" s="62">
        <f>IFERROR(aurora_data!P1744,0)</f>
        <v>0</v>
      </c>
      <c r="R32" s="63">
        <f>IFERROR(aurora_data!Q1744,0)</f>
        <v>0</v>
      </c>
      <c r="S32" s="62">
        <f>IFERROR(aurora_data!R1744,0)</f>
        <v>0</v>
      </c>
      <c r="T32" s="62">
        <f>IFERROR(aurora_data!S1744,0)</f>
        <v>0</v>
      </c>
      <c r="U32" s="63">
        <f>IFERROR(aurora_data!T1744,0)</f>
        <v>0</v>
      </c>
      <c r="V32" s="64" t="s">
        <v>198</v>
      </c>
      <c r="W32" s="36">
        <f>IFERROR(aurora_data!U1744,0)</f>
        <v>0</v>
      </c>
      <c r="X32" s="71">
        <f t="shared" si="2"/>
        <v>0</v>
      </c>
      <c r="Y32" s="2"/>
    </row>
    <row r="33" spans="1:25" customFormat="1" ht="16.5" customHeight="1" thickBot="1">
      <c r="A33" s="2"/>
      <c r="B33" s="201"/>
      <c r="C33" s="195"/>
      <c r="D33" s="35" t="s">
        <v>202</v>
      </c>
      <c r="E33" s="36">
        <f>IFERROR(aurora_data!D1745,0)</f>
        <v>0</v>
      </c>
      <c r="F33" s="62">
        <f>IFERROR(aurora_data!E1745,0)</f>
        <v>0</v>
      </c>
      <c r="G33" s="62">
        <f>IFERROR(aurora_data!F1745,0)</f>
        <v>0</v>
      </c>
      <c r="H33" s="62">
        <f>IFERROR(aurora_data!G1745,0)</f>
        <v>0</v>
      </c>
      <c r="I33" s="63">
        <f>IFERROR(aurora_data!H1745,0)</f>
        <v>0</v>
      </c>
      <c r="J33" s="36">
        <f>IFERROR(aurora_data!I1745,0)</f>
        <v>0</v>
      </c>
      <c r="K33" s="62">
        <f>IFERROR(aurora_data!J1745,0)</f>
        <v>0</v>
      </c>
      <c r="L33" s="62">
        <f>IFERROR(aurora_data!K1745,0)</f>
        <v>0</v>
      </c>
      <c r="M33" s="62">
        <f>IFERROR(aurora_data!L1745,0)</f>
        <v>0</v>
      </c>
      <c r="N33" s="63">
        <f>IFERROR(aurora_data!M1745,0)</f>
        <v>0</v>
      </c>
      <c r="O33" s="36">
        <f>IFERROR(aurora_data!N1745,0)</f>
        <v>0</v>
      </c>
      <c r="P33" s="62">
        <f>IFERROR(aurora_data!O1745,0)</f>
        <v>0</v>
      </c>
      <c r="Q33" s="62">
        <f>IFERROR(aurora_data!P1745,0)</f>
        <v>0</v>
      </c>
      <c r="R33" s="63">
        <f>IFERROR(aurora_data!Q1745,0)</f>
        <v>0</v>
      </c>
      <c r="S33" s="62">
        <f>IFERROR(aurora_data!R1745,0)</f>
        <v>0</v>
      </c>
      <c r="T33" s="62">
        <f>IFERROR(aurora_data!S1745,0)</f>
        <v>0</v>
      </c>
      <c r="U33" s="63">
        <f>IFERROR(aurora_data!T1745,0)</f>
        <v>0</v>
      </c>
      <c r="V33" s="64" t="s">
        <v>198</v>
      </c>
      <c r="W33" s="36">
        <f>IFERROR(aurora_data!U1745,0)</f>
        <v>0</v>
      </c>
      <c r="X33" s="71">
        <f t="shared" si="2"/>
        <v>0</v>
      </c>
      <c r="Y33" s="2"/>
    </row>
    <row r="34" spans="1:25" customFormat="1" ht="16.5" customHeight="1" thickBot="1">
      <c r="A34" s="2"/>
      <c r="B34" s="201"/>
      <c r="C34" s="195"/>
      <c r="D34" s="37" t="s">
        <v>141</v>
      </c>
      <c r="E34" s="59">
        <f>IFERROR(aurora_data!D1746,0)</f>
        <v>0</v>
      </c>
      <c r="F34" s="65">
        <f>IFERROR(aurora_data!E1746,0)</f>
        <v>1</v>
      </c>
      <c r="G34" s="65">
        <f>IFERROR(aurora_data!F1746,0)</f>
        <v>5</v>
      </c>
      <c r="H34" s="65">
        <f>IFERROR(aurora_data!G1746,0)</f>
        <v>6</v>
      </c>
      <c r="I34" s="66">
        <f>IFERROR(aurora_data!H1746,0)</f>
        <v>0</v>
      </c>
      <c r="J34" s="59">
        <f>IFERROR(aurora_data!I1746,0)</f>
        <v>3</v>
      </c>
      <c r="K34" s="65">
        <f>IFERROR(aurora_data!J1746,0)</f>
        <v>3</v>
      </c>
      <c r="L34" s="65">
        <f>IFERROR(aurora_data!K1746,0)</f>
        <v>2</v>
      </c>
      <c r="M34" s="65">
        <f>IFERROR(aurora_data!L1746,0)</f>
        <v>1</v>
      </c>
      <c r="N34" s="66">
        <f>IFERROR(aurora_data!M1746,0)</f>
        <v>3</v>
      </c>
      <c r="O34" s="59">
        <f>IFERROR(aurora_data!N1746,0)</f>
        <v>3</v>
      </c>
      <c r="P34" s="65">
        <f>IFERROR(aurora_data!O1746,0)</f>
        <v>1</v>
      </c>
      <c r="Q34" s="65">
        <f>IFERROR(aurora_data!P1746,0)</f>
        <v>4</v>
      </c>
      <c r="R34" s="66">
        <f>IFERROR(aurora_data!Q1746,0)</f>
        <v>4</v>
      </c>
      <c r="S34" s="65">
        <f>IFERROR(aurora_data!R1746,0)</f>
        <v>7</v>
      </c>
      <c r="T34" s="65">
        <f>IFERROR(aurora_data!S1746,0)</f>
        <v>5</v>
      </c>
      <c r="U34" s="66">
        <f>IFERROR(aurora_data!T1746,0)</f>
        <v>0</v>
      </c>
      <c r="V34" s="67" t="s">
        <v>198</v>
      </c>
      <c r="W34" s="59">
        <f>IFERROR(aurora_data!U1746,0)</f>
        <v>12</v>
      </c>
      <c r="X34" s="72">
        <f t="shared" si="2"/>
        <v>0.8</v>
      </c>
      <c r="Y34" s="2"/>
    </row>
    <row r="35" spans="1:25" customFormat="1" ht="16.5" thickBot="1">
      <c r="A35" s="2"/>
      <c r="B35" s="201"/>
      <c r="C35" s="195"/>
      <c r="D35" s="38" t="s">
        <v>203</v>
      </c>
      <c r="E35" s="60">
        <f>IFERROR(aurora_data!D1747,0)</f>
        <v>0</v>
      </c>
      <c r="F35" s="68">
        <f>IFERROR(aurora_data!E1747,0)</f>
        <v>0</v>
      </c>
      <c r="G35" s="68">
        <f>IFERROR(aurora_data!F1747,0)</f>
        <v>0</v>
      </c>
      <c r="H35" s="68">
        <f>IFERROR(aurora_data!G1747,0)</f>
        <v>0</v>
      </c>
      <c r="I35" s="69">
        <f>IFERROR(aurora_data!H1747,0)</f>
        <v>0</v>
      </c>
      <c r="J35" s="60">
        <f>IFERROR(aurora_data!I1747,0)</f>
        <v>0</v>
      </c>
      <c r="K35" s="68">
        <f>IFERROR(aurora_data!J1747,0)</f>
        <v>0</v>
      </c>
      <c r="L35" s="68">
        <f>IFERROR(aurora_data!K1747,0)</f>
        <v>0</v>
      </c>
      <c r="M35" s="68">
        <f>IFERROR(aurora_data!L1747,0)</f>
        <v>0</v>
      </c>
      <c r="N35" s="69">
        <f>IFERROR(aurora_data!M1747,0)</f>
        <v>0</v>
      </c>
      <c r="O35" s="60">
        <f>IFERROR(aurora_data!N1747,0)</f>
        <v>0</v>
      </c>
      <c r="P35" s="68">
        <f>IFERROR(aurora_data!O1747,0)</f>
        <v>0</v>
      </c>
      <c r="Q35" s="68">
        <f>IFERROR(aurora_data!P1747,0)</f>
        <v>0</v>
      </c>
      <c r="R35" s="69">
        <f>IFERROR(aurora_data!Q1747,0)</f>
        <v>0</v>
      </c>
      <c r="S35" s="68">
        <f>IFERROR(aurora_data!R1747,0)</f>
        <v>0</v>
      </c>
      <c r="T35" s="68">
        <f>IFERROR(aurora_data!S1747,0)</f>
        <v>0</v>
      </c>
      <c r="U35" s="74">
        <f>IFERROR(aurora_data!T1747,0)</f>
        <v>0</v>
      </c>
      <c r="V35" s="75" t="s">
        <v>198</v>
      </c>
      <c r="W35" s="60">
        <f>IFERROR(aurora_data!U1747,0)</f>
        <v>0</v>
      </c>
      <c r="X35" s="73">
        <f t="shared" si="2"/>
        <v>0</v>
      </c>
      <c r="Y35" s="2"/>
    </row>
    <row r="36" spans="1:25" customFormat="1">
      <c r="A36" s="2"/>
      <c r="B36" s="200" t="s">
        <v>212</v>
      </c>
      <c r="C36" s="198" t="s">
        <v>130</v>
      </c>
      <c r="D36" s="34" t="s">
        <v>153</v>
      </c>
      <c r="E36" s="39">
        <f>IFERROR(aurora_data!D1640+aurora_data!D1748,0)</f>
        <v>0</v>
      </c>
      <c r="F36" s="40">
        <f>IFERROR(aurora_data!E1640+aurora_data!E1748,0)</f>
        <v>0</v>
      </c>
      <c r="G36" s="40">
        <f>IFERROR(aurora_data!F1640+aurora_data!F1748,0)</f>
        <v>0</v>
      </c>
      <c r="H36" s="40">
        <f>IFERROR(aurora_data!G1640+aurora_data!G1748,0)</f>
        <v>0</v>
      </c>
      <c r="I36" s="41">
        <f>IFERROR(aurora_data!H1640+aurora_data!H1748,0)</f>
        <v>0</v>
      </c>
      <c r="J36" s="39">
        <f>IFERROR(aurora_data!I1640+aurora_data!I1748,0)</f>
        <v>0</v>
      </c>
      <c r="K36" s="40">
        <f>IFERROR(aurora_data!J1640+aurora_data!J1748,0)</f>
        <v>0</v>
      </c>
      <c r="L36" s="40">
        <f>IFERROR(aurora_data!K1640+aurora_data!K1748,0)</f>
        <v>0</v>
      </c>
      <c r="M36" s="40">
        <f>IFERROR(aurora_data!L1640+aurora_data!L1748,0)</f>
        <v>0</v>
      </c>
      <c r="N36" s="41">
        <f>IFERROR(aurora_data!M1640+aurora_data!M1748,0)</f>
        <v>0</v>
      </c>
      <c r="O36" s="39">
        <f>IFERROR(aurora_data!N1640+aurora_data!N1748,0)</f>
        <v>0</v>
      </c>
      <c r="P36" s="40">
        <f>IFERROR(aurora_data!O1640+aurora_data!O1748,0)</f>
        <v>0</v>
      </c>
      <c r="Q36" s="40">
        <f>IFERROR(aurora_data!P1640+aurora_data!P1748,0)</f>
        <v>0</v>
      </c>
      <c r="R36" s="41">
        <f>IFERROR(aurora_data!Q1640+aurora_data!Q1748,0)</f>
        <v>0</v>
      </c>
      <c r="S36" s="40">
        <f>IFERROR(aurora_data!R1640+aurora_data!R1748,0)</f>
        <v>0</v>
      </c>
      <c r="T36" s="40">
        <f>IFERROR(aurora_data!S1640+aurora_data!S1748,0)</f>
        <v>0</v>
      </c>
      <c r="U36" s="76">
        <f>IFERROR(aurora_data!T1640+aurora_data!T1748,0)</f>
        <v>0</v>
      </c>
      <c r="V36" s="61" t="s">
        <v>198</v>
      </c>
      <c r="W36" s="39">
        <f>IFERROR(aurora_data!U1640+aurora_data!U1748,0)</f>
        <v>45</v>
      </c>
      <c r="X36" s="70">
        <f>IFERROR(W36/$W$36,0)</f>
        <v>1</v>
      </c>
      <c r="Y36" s="2"/>
    </row>
    <row r="37" spans="1:25" customFormat="1" ht="16.5" customHeight="1">
      <c r="A37" s="2"/>
      <c r="B37" s="201"/>
      <c r="C37" s="199"/>
      <c r="D37" s="35" t="s">
        <v>199</v>
      </c>
      <c r="E37" s="36">
        <f>IFERROR(aurora_data!D1641+aurora_data!D1749,0)</f>
        <v>1</v>
      </c>
      <c r="F37" s="62">
        <f>IFERROR(aurora_data!E1641+aurora_data!E1749,0)</f>
        <v>3</v>
      </c>
      <c r="G37" s="62">
        <f>IFERROR(aurora_data!F1641+aurora_data!F1749,0)</f>
        <v>8</v>
      </c>
      <c r="H37" s="62">
        <f>IFERROR(aurora_data!G1641+aurora_data!G1749,0)</f>
        <v>9</v>
      </c>
      <c r="I37" s="63">
        <f>IFERROR(aurora_data!H1641+aurora_data!H1749,0)</f>
        <v>0</v>
      </c>
      <c r="J37" s="36">
        <f>IFERROR(aurora_data!I1641+aurora_data!I1749,0)</f>
        <v>3</v>
      </c>
      <c r="K37" s="62">
        <f>IFERROR(aurora_data!J1641+aurora_data!J1749,0)</f>
        <v>4</v>
      </c>
      <c r="L37" s="62">
        <f>IFERROR(aurora_data!K1641+aurora_data!K1749,0)</f>
        <v>3</v>
      </c>
      <c r="M37" s="62">
        <f>IFERROR(aurora_data!L1641+aurora_data!L1749,0)</f>
        <v>2</v>
      </c>
      <c r="N37" s="63">
        <f>IFERROR(aurora_data!M1641+aurora_data!M1749,0)</f>
        <v>9</v>
      </c>
      <c r="O37" s="36">
        <f>IFERROR(aurora_data!N1641+aurora_data!N1749,0)</f>
        <v>6</v>
      </c>
      <c r="P37" s="62">
        <f>IFERROR(aurora_data!O1641+aurora_data!O1749,0)</f>
        <v>1</v>
      </c>
      <c r="Q37" s="62">
        <f>IFERROR(aurora_data!P1641+aurora_data!P1749,0)</f>
        <v>7</v>
      </c>
      <c r="R37" s="63">
        <f>IFERROR(aurora_data!Q1641+aurora_data!Q1749,0)</f>
        <v>7</v>
      </c>
      <c r="S37" s="62">
        <f>IFERROR(aurora_data!R1641+aurora_data!R1749,0)</f>
        <v>12</v>
      </c>
      <c r="T37" s="62">
        <f>IFERROR(aurora_data!S1641+aurora_data!S1749,0)</f>
        <v>9</v>
      </c>
      <c r="U37" s="63">
        <f>IFERROR(aurora_data!T1641+aurora_data!T1749,0)</f>
        <v>0</v>
      </c>
      <c r="V37" s="64" t="s">
        <v>198</v>
      </c>
      <c r="W37" s="36">
        <f>IFERROR(aurora_data!U1641+aurora_data!U1749,0)</f>
        <v>21</v>
      </c>
      <c r="X37" s="71">
        <f t="shared" ref="X37:X43" si="3">IFERROR(W37/$W$36,0)</f>
        <v>0.46666666666666667</v>
      </c>
      <c r="Y37" s="2"/>
    </row>
    <row r="38" spans="1:25" customFormat="1" ht="16.5" customHeight="1">
      <c r="A38" s="2"/>
      <c r="B38" s="201"/>
      <c r="C38" s="199"/>
      <c r="D38" s="35" t="s">
        <v>137</v>
      </c>
      <c r="E38" s="36">
        <f>IFERROR(aurora_data!D1642+aurora_data!D1750,0)</f>
        <v>0</v>
      </c>
      <c r="F38" s="62">
        <f>IFERROR(aurora_data!E1642+aurora_data!E1750,0)</f>
        <v>0</v>
      </c>
      <c r="G38" s="62">
        <f>IFERROR(aurora_data!F1642+aurora_data!F1750,0)</f>
        <v>0</v>
      </c>
      <c r="H38" s="62">
        <f>IFERROR(aurora_data!G1642+aurora_data!G1750,0)</f>
        <v>0</v>
      </c>
      <c r="I38" s="63">
        <f>IFERROR(aurora_data!H1642+aurora_data!H1750,0)</f>
        <v>0</v>
      </c>
      <c r="J38" s="36">
        <f>IFERROR(aurora_data!I1642+aurora_data!I1750,0)</f>
        <v>0</v>
      </c>
      <c r="K38" s="62">
        <f>IFERROR(aurora_data!J1642+aurora_data!J1750,0)</f>
        <v>0</v>
      </c>
      <c r="L38" s="62">
        <f>IFERROR(aurora_data!K1642+aurora_data!K1750,0)</f>
        <v>0</v>
      </c>
      <c r="M38" s="62">
        <f>IFERROR(aurora_data!L1642+aurora_data!L1750,0)</f>
        <v>0</v>
      </c>
      <c r="N38" s="63">
        <f>IFERROR(aurora_data!M1642+aurora_data!M1750,0)</f>
        <v>0</v>
      </c>
      <c r="O38" s="36">
        <f>IFERROR(aurora_data!N1642+aurora_data!N1750,0)</f>
        <v>0</v>
      </c>
      <c r="P38" s="62">
        <f>IFERROR(aurora_data!O1642+aurora_data!O1750,0)</f>
        <v>0</v>
      </c>
      <c r="Q38" s="62">
        <f>IFERROR(aurora_data!P1642+aurora_data!P1750,0)</f>
        <v>0</v>
      </c>
      <c r="R38" s="63">
        <f>IFERROR(aurora_data!Q1642+aurora_data!Q1750,0)</f>
        <v>0</v>
      </c>
      <c r="S38" s="62">
        <f>IFERROR(aurora_data!R1642+aurora_data!R1750,0)</f>
        <v>0</v>
      </c>
      <c r="T38" s="62">
        <f>IFERROR(aurora_data!S1642+aurora_data!S1750,0)</f>
        <v>0</v>
      </c>
      <c r="U38" s="63">
        <f>IFERROR(aurora_data!T1642+aurora_data!T1750,0)</f>
        <v>0</v>
      </c>
      <c r="V38" s="64" t="s">
        <v>198</v>
      </c>
      <c r="W38" s="36">
        <f>IFERROR(aurora_data!U1642+aurora_data!U1750,0)</f>
        <v>0</v>
      </c>
      <c r="X38" s="71">
        <f t="shared" si="3"/>
        <v>0</v>
      </c>
      <c r="Y38" s="2"/>
    </row>
    <row r="39" spans="1:25" customFormat="1">
      <c r="A39" s="2"/>
      <c r="B39" s="201"/>
      <c r="C39" s="199"/>
      <c r="D39" s="35" t="s">
        <v>200</v>
      </c>
      <c r="E39" s="36">
        <f>IFERROR(aurora_data!D1643+aurora_data!D1751,0)</f>
        <v>0</v>
      </c>
      <c r="F39" s="62">
        <f>IFERROR(aurora_data!E1643+aurora_data!E1751,0)</f>
        <v>0</v>
      </c>
      <c r="G39" s="62">
        <f>IFERROR(aurora_data!F1643+aurora_data!F1751,0)</f>
        <v>0</v>
      </c>
      <c r="H39" s="62">
        <f>IFERROR(aurora_data!G1643+aurora_data!G1751,0)</f>
        <v>0</v>
      </c>
      <c r="I39" s="63">
        <f>IFERROR(aurora_data!H1643+aurora_data!H1751,0)</f>
        <v>0</v>
      </c>
      <c r="J39" s="36">
        <f>IFERROR(aurora_data!I1643+aurora_data!I1751,0)</f>
        <v>0</v>
      </c>
      <c r="K39" s="62">
        <f>IFERROR(aurora_data!J1643+aurora_data!J1751,0)</f>
        <v>0</v>
      </c>
      <c r="L39" s="62">
        <f>IFERROR(aurora_data!K1643+aurora_data!K1751,0)</f>
        <v>0</v>
      </c>
      <c r="M39" s="62">
        <f>IFERROR(aurora_data!L1643+aurora_data!L1751,0)</f>
        <v>0</v>
      </c>
      <c r="N39" s="63">
        <f>IFERROR(aurora_data!M1643+aurora_data!M1751,0)</f>
        <v>0</v>
      </c>
      <c r="O39" s="36">
        <f>IFERROR(aurora_data!N1643+aurora_data!N1751,0)</f>
        <v>0</v>
      </c>
      <c r="P39" s="62">
        <f>IFERROR(aurora_data!O1643+aurora_data!O1751,0)</f>
        <v>0</v>
      </c>
      <c r="Q39" s="62">
        <f>IFERROR(aurora_data!P1643+aurora_data!P1751,0)</f>
        <v>0</v>
      </c>
      <c r="R39" s="63">
        <f>IFERROR(aurora_data!Q1643+aurora_data!Q1751,0)</f>
        <v>0</v>
      </c>
      <c r="S39" s="62">
        <f>IFERROR(aurora_data!R1643+aurora_data!R1751,0)</f>
        <v>0</v>
      </c>
      <c r="T39" s="62">
        <f>IFERROR(aurora_data!S1643+aurora_data!S1751,0)</f>
        <v>0</v>
      </c>
      <c r="U39" s="63">
        <f>IFERROR(aurora_data!T1643+aurora_data!T1751,0)</f>
        <v>0</v>
      </c>
      <c r="V39" s="64" t="s">
        <v>198</v>
      </c>
      <c r="W39" s="36">
        <f>IFERROR(aurora_data!U1643+aurora_data!U1751,0)</f>
        <v>0</v>
      </c>
      <c r="X39" s="71">
        <f t="shared" si="3"/>
        <v>0</v>
      </c>
      <c r="Y39" s="2"/>
    </row>
    <row r="40" spans="1:25" customFormat="1" ht="16.5" customHeight="1">
      <c r="A40" s="2"/>
      <c r="B40" s="201"/>
      <c r="C40" s="199"/>
      <c r="D40" s="35" t="s">
        <v>201</v>
      </c>
      <c r="E40" s="36">
        <f>IFERROR(aurora_data!D1644+aurora_data!D1752,0)</f>
        <v>0</v>
      </c>
      <c r="F40" s="62">
        <f>IFERROR(aurora_data!E1644+aurora_data!E1752,0)</f>
        <v>0</v>
      </c>
      <c r="G40" s="62">
        <f>IFERROR(aurora_data!F1644+aurora_data!F1752,0)</f>
        <v>0</v>
      </c>
      <c r="H40" s="62">
        <f>IFERROR(aurora_data!G1644+aurora_data!G1752,0)</f>
        <v>0</v>
      </c>
      <c r="I40" s="63">
        <f>IFERROR(aurora_data!H1644+aurora_data!H1752,0)</f>
        <v>0</v>
      </c>
      <c r="J40" s="36">
        <f>IFERROR(aurora_data!I1644+aurora_data!I1752,0)</f>
        <v>0</v>
      </c>
      <c r="K40" s="62">
        <f>IFERROR(aurora_data!J1644+aurora_data!J1752,0)</f>
        <v>0</v>
      </c>
      <c r="L40" s="62">
        <f>IFERROR(aurora_data!K1644+aurora_data!K1752,0)</f>
        <v>0</v>
      </c>
      <c r="M40" s="62">
        <f>IFERROR(aurora_data!L1644+aurora_data!L1752,0)</f>
        <v>0</v>
      </c>
      <c r="N40" s="63">
        <f>IFERROR(aurora_data!M1644+aurora_data!M1752,0)</f>
        <v>0</v>
      </c>
      <c r="O40" s="36">
        <f>IFERROR(aurora_data!N1644+aurora_data!N1752,0)</f>
        <v>0</v>
      </c>
      <c r="P40" s="62">
        <f>IFERROR(aurora_data!O1644+aurora_data!O1752,0)</f>
        <v>0</v>
      </c>
      <c r="Q40" s="62">
        <f>IFERROR(aurora_data!P1644+aurora_data!P1752,0)</f>
        <v>0</v>
      </c>
      <c r="R40" s="63">
        <f>IFERROR(aurora_data!Q1644+aurora_data!Q1752,0)</f>
        <v>0</v>
      </c>
      <c r="S40" s="62">
        <f>IFERROR(aurora_data!R1644+aurora_data!R1752,0)</f>
        <v>0</v>
      </c>
      <c r="T40" s="62">
        <f>IFERROR(aurora_data!S1644+aurora_data!S1752,0)</f>
        <v>0</v>
      </c>
      <c r="U40" s="63">
        <f>IFERROR(aurora_data!T1644+aurora_data!T1752,0)</f>
        <v>0</v>
      </c>
      <c r="V40" s="64" t="s">
        <v>198</v>
      </c>
      <c r="W40" s="36">
        <f>IFERROR(aurora_data!U1644+aurora_data!U1752,0)</f>
        <v>0</v>
      </c>
      <c r="X40" s="71">
        <f t="shared" si="3"/>
        <v>0</v>
      </c>
      <c r="Y40" s="2"/>
    </row>
    <row r="41" spans="1:25" customFormat="1" ht="16.5" customHeight="1" thickBot="1">
      <c r="A41" s="2"/>
      <c r="B41" s="201"/>
      <c r="C41" s="199"/>
      <c r="D41" s="35" t="s">
        <v>202</v>
      </c>
      <c r="E41" s="36">
        <f>IFERROR(aurora_data!D1645+aurora_data!D1753,0)</f>
        <v>0</v>
      </c>
      <c r="F41" s="62">
        <f>IFERROR(aurora_data!E1645+aurora_data!E1753,0)</f>
        <v>0</v>
      </c>
      <c r="G41" s="62">
        <f>IFERROR(aurora_data!F1645+aurora_data!F1753,0)</f>
        <v>0</v>
      </c>
      <c r="H41" s="62">
        <f>IFERROR(aurora_data!G1645+aurora_data!G1753,0)</f>
        <v>0</v>
      </c>
      <c r="I41" s="63">
        <f>IFERROR(aurora_data!H1645+aurora_data!H1753,0)</f>
        <v>0</v>
      </c>
      <c r="J41" s="36">
        <f>IFERROR(aurora_data!I1645+aurora_data!I1753,0)</f>
        <v>0</v>
      </c>
      <c r="K41" s="62">
        <f>IFERROR(aurora_data!J1645+aurora_data!J1753,0)</f>
        <v>0</v>
      </c>
      <c r="L41" s="62">
        <f>IFERROR(aurora_data!K1645+aurora_data!K1753,0)</f>
        <v>0</v>
      </c>
      <c r="M41" s="62">
        <f>IFERROR(aurora_data!L1645+aurora_data!L1753,0)</f>
        <v>0</v>
      </c>
      <c r="N41" s="63">
        <f>IFERROR(aurora_data!M1645+aurora_data!M1753,0)</f>
        <v>0</v>
      </c>
      <c r="O41" s="36">
        <f>IFERROR(aurora_data!N1645+aurora_data!N1753,0)</f>
        <v>0</v>
      </c>
      <c r="P41" s="62">
        <f>IFERROR(aurora_data!O1645+aurora_data!O1753,0)</f>
        <v>0</v>
      </c>
      <c r="Q41" s="62">
        <f>IFERROR(aurora_data!P1645+aurora_data!P1753,0)</f>
        <v>0</v>
      </c>
      <c r="R41" s="63">
        <f>IFERROR(aurora_data!Q1645+aurora_data!Q1753,0)</f>
        <v>0</v>
      </c>
      <c r="S41" s="62">
        <f>IFERROR(aurora_data!R1645+aurora_data!R1753,0)</f>
        <v>0</v>
      </c>
      <c r="T41" s="62">
        <f>IFERROR(aurora_data!S1645+aurora_data!S1753,0)</f>
        <v>0</v>
      </c>
      <c r="U41" s="63">
        <f>IFERROR(aurora_data!T1645+aurora_data!T1753,0)</f>
        <v>0</v>
      </c>
      <c r="V41" s="64" t="s">
        <v>198</v>
      </c>
      <c r="W41" s="36">
        <f>IFERROR(aurora_data!U1645+aurora_data!U1753,0)</f>
        <v>0</v>
      </c>
      <c r="X41" s="71">
        <f t="shared" si="3"/>
        <v>0</v>
      </c>
      <c r="Y41" s="2"/>
    </row>
    <row r="42" spans="1:25" customFormat="1" ht="16.5" customHeight="1" thickBot="1">
      <c r="A42" s="2"/>
      <c r="B42" s="201"/>
      <c r="C42" s="199"/>
      <c r="D42" s="37" t="s">
        <v>141</v>
      </c>
      <c r="E42" s="59">
        <f>IFERROR(aurora_data!D1646+aurora_data!D1754,0)</f>
        <v>1</v>
      </c>
      <c r="F42" s="65">
        <f>IFERROR(aurora_data!E1646+aurora_data!E1754,0)</f>
        <v>3</v>
      </c>
      <c r="G42" s="65">
        <f>IFERROR(aurora_data!F1646+aurora_data!F1754,0)</f>
        <v>8</v>
      </c>
      <c r="H42" s="65">
        <f>IFERROR(aurora_data!G1646+aurora_data!G1754,0)</f>
        <v>9</v>
      </c>
      <c r="I42" s="66">
        <f>IFERROR(aurora_data!H1646+aurora_data!H1754,0)</f>
        <v>0</v>
      </c>
      <c r="J42" s="59">
        <f>IFERROR(aurora_data!I1646+aurora_data!I1754,0)</f>
        <v>3</v>
      </c>
      <c r="K42" s="65">
        <f>IFERROR(aurora_data!J1646+aurora_data!J1754,0)</f>
        <v>4</v>
      </c>
      <c r="L42" s="65">
        <f>IFERROR(aurora_data!K1646+aurora_data!K1754,0)</f>
        <v>3</v>
      </c>
      <c r="M42" s="65">
        <f>IFERROR(aurora_data!L1646+aurora_data!L1754,0)</f>
        <v>2</v>
      </c>
      <c r="N42" s="66">
        <f>IFERROR(aurora_data!M1646+aurora_data!M1754,0)</f>
        <v>9</v>
      </c>
      <c r="O42" s="59">
        <f>IFERROR(aurora_data!N1646+aurora_data!N1754,0)</f>
        <v>6</v>
      </c>
      <c r="P42" s="65">
        <f>IFERROR(aurora_data!O1646+aurora_data!O1754,0)</f>
        <v>1</v>
      </c>
      <c r="Q42" s="65">
        <f>IFERROR(aurora_data!P1646+aurora_data!P1754,0)</f>
        <v>7</v>
      </c>
      <c r="R42" s="66">
        <f>IFERROR(aurora_data!Q1646+aurora_data!Q1754,0)</f>
        <v>7</v>
      </c>
      <c r="S42" s="65">
        <f>IFERROR(aurora_data!R1646+aurora_data!R1754,0)</f>
        <v>12</v>
      </c>
      <c r="T42" s="65">
        <f>IFERROR(aurora_data!S1646+aurora_data!S1754,0)</f>
        <v>9</v>
      </c>
      <c r="U42" s="66">
        <f>IFERROR(aurora_data!T1646+aurora_data!T1754,0)</f>
        <v>0</v>
      </c>
      <c r="V42" s="67" t="s">
        <v>198</v>
      </c>
      <c r="W42" s="59">
        <f>IFERROR(aurora_data!U1646+aurora_data!U1754,0)</f>
        <v>21</v>
      </c>
      <c r="X42" s="72">
        <f t="shared" si="3"/>
        <v>0.46666666666666667</v>
      </c>
      <c r="Y42" s="2"/>
    </row>
    <row r="43" spans="1:25" customFormat="1" ht="16.5" thickBot="1">
      <c r="A43" s="2"/>
      <c r="B43" s="201"/>
      <c r="C43" s="199"/>
      <c r="D43" s="38" t="s">
        <v>203</v>
      </c>
      <c r="E43" s="60">
        <f>IFERROR(aurora_data!D1647+aurora_data!D1755,0)</f>
        <v>0</v>
      </c>
      <c r="F43" s="68">
        <f>IFERROR(aurora_data!E1647+aurora_data!E1755,0)</f>
        <v>0</v>
      </c>
      <c r="G43" s="68">
        <f>IFERROR(aurora_data!F1647+aurora_data!F1755,0)</f>
        <v>0</v>
      </c>
      <c r="H43" s="68">
        <f>IFERROR(aurora_data!G1647+aurora_data!G1755,0)</f>
        <v>0</v>
      </c>
      <c r="I43" s="69">
        <f>IFERROR(aurora_data!H1647+aurora_data!H1755,0)</f>
        <v>0</v>
      </c>
      <c r="J43" s="60">
        <f>IFERROR(aurora_data!I1647+aurora_data!I1755,0)</f>
        <v>0</v>
      </c>
      <c r="K43" s="68">
        <f>IFERROR(aurora_data!J1647+aurora_data!J1755,0)</f>
        <v>0</v>
      </c>
      <c r="L43" s="68">
        <f>IFERROR(aurora_data!K1647+aurora_data!K1755,0)</f>
        <v>0</v>
      </c>
      <c r="M43" s="68">
        <f>IFERROR(aurora_data!L1647+aurora_data!L1755,0)</f>
        <v>0</v>
      </c>
      <c r="N43" s="69">
        <f>IFERROR(aurora_data!M1647+aurora_data!M1755,0)</f>
        <v>0</v>
      </c>
      <c r="O43" s="60">
        <f>IFERROR(aurora_data!N1647+aurora_data!N1755,0)</f>
        <v>0</v>
      </c>
      <c r="P43" s="68">
        <f>IFERROR(aurora_data!O1647+aurora_data!O1755,0)</f>
        <v>0</v>
      </c>
      <c r="Q43" s="68">
        <f>IFERROR(aurora_data!P1647+aurora_data!P1755,0)</f>
        <v>0</v>
      </c>
      <c r="R43" s="69">
        <f>IFERROR(aurora_data!Q1647+aurora_data!Q1755,0)</f>
        <v>0</v>
      </c>
      <c r="S43" s="68">
        <f>IFERROR(aurora_data!R1647+aurora_data!R1755,0)</f>
        <v>0</v>
      </c>
      <c r="T43" s="68">
        <f>IFERROR(aurora_data!S1647+aurora_data!S1755,0)</f>
        <v>0</v>
      </c>
      <c r="U43" s="74">
        <f>IFERROR(aurora_data!T1647+aurora_data!T1755,0)</f>
        <v>0</v>
      </c>
      <c r="V43" s="75" t="s">
        <v>198</v>
      </c>
      <c r="W43" s="60">
        <f>IFERROR(aurora_data!U1647+aurora_data!U1755,0)</f>
        <v>0</v>
      </c>
      <c r="X43" s="73">
        <f t="shared" si="3"/>
        <v>0</v>
      </c>
      <c r="Y43" s="2"/>
    </row>
    <row r="44" spans="1:25" ht="16.5" customHeight="1">
      <c r="B44" s="97"/>
      <c r="C44" s="97"/>
    </row>
  </sheetData>
  <sheetProtection sheet="1" objects="1" scenarios="1"/>
  <mergeCells count="30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O10:R10"/>
    <mergeCell ref="S10:U10"/>
    <mergeCell ref="J10:N10"/>
    <mergeCell ref="B12:B19"/>
    <mergeCell ref="C12:C19"/>
    <mergeCell ref="B20:B27"/>
    <mergeCell ref="C20:C27"/>
    <mergeCell ref="B36:B43"/>
    <mergeCell ref="C36:C43"/>
    <mergeCell ref="B28:B35"/>
    <mergeCell ref="C28:C35"/>
  </mergeCells>
  <conditionalFormatting sqref="E13:W13">
    <cfRule type="expression" dxfId="7" priority="6">
      <formula>ROUND(E$13,0) &gt;= ROUND(E$12,0)</formula>
    </cfRule>
  </conditionalFormatting>
  <conditionalFormatting sqref="E18:W18">
    <cfRule type="expression" dxfId="6" priority="8">
      <formula>ROUND(E$18,0) &lt; ROUND(E$12,0)</formula>
    </cfRule>
  </conditionalFormatting>
  <conditionalFormatting sqref="E21:W21">
    <cfRule type="expression" dxfId="5" priority="7">
      <formula>ROUND(E$21,0) &gt;= ROUND(E$20,0)</formula>
    </cfRule>
  </conditionalFormatting>
  <conditionalFormatting sqref="E26:W26">
    <cfRule type="expression" dxfId="4" priority="9">
      <formula>ROUND(E$26,0) &lt; ROUND(E$20,0)</formula>
    </cfRule>
  </conditionalFormatting>
  <conditionalFormatting sqref="E29:W29">
    <cfRule type="expression" dxfId="3" priority="1">
      <formula>ROUND(E$21,0) &gt;= ROUND(E$20,0)</formula>
    </cfRule>
  </conditionalFormatting>
  <conditionalFormatting sqref="E34:W34">
    <cfRule type="expression" dxfId="2" priority="2">
      <formula>ROUND(E$26,0) &lt; ROUND(E$20,0)</formula>
    </cfRule>
  </conditionalFormatting>
  <conditionalFormatting sqref="E37:W37">
    <cfRule type="expression" dxfId="1" priority="3">
      <formula>ROUND(E$21,0) &gt;= ROUND(E$20,0)</formula>
    </cfRule>
  </conditionalFormatting>
  <conditionalFormatting sqref="E42:W42">
    <cfRule type="expression" dxfId="0" priority="4">
      <formula>ROUND(E$26,0) &lt; ROUND(E$20,0)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24320BA0CE54A980154A6C0D5A146" ma:contentTypeVersion="21" ma:contentTypeDescription="Create a new document." ma:contentTypeScope="" ma:versionID="8a13163ac93bf87f5f9fb50c299bdbcd">
  <xsd:schema xmlns:xsd="http://www.w3.org/2001/XMLSchema" xmlns:xs="http://www.w3.org/2001/XMLSchema" xmlns:p="http://schemas.microsoft.com/office/2006/metadata/properties" xmlns:ns1="http://schemas.microsoft.com/sharepoint/v3" xmlns:ns2="b633eba6-0c01-4473-86ed-edf833d3ac8f" xmlns:ns3="83d9ddb6-4f63-42da-b469-6378bedc6469" targetNamespace="http://schemas.microsoft.com/office/2006/metadata/properties" ma:root="true" ma:fieldsID="2b69b10cd0b3c30e3686833a587217de" ns1:_="" ns2:_="" ns3:_="">
    <xsd:import namespace="http://schemas.microsoft.com/sharepoint/v3"/>
    <xsd:import namespace="b633eba6-0c01-4473-86ed-edf833d3ac8f"/>
    <xsd:import namespace="83d9ddb6-4f63-42da-b469-6378bedc64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3eba6-0c01-4473-86ed-edf833d3ac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6342d94-4a90-4c9b-8c88-cb4c8647e9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9ddb6-4f63-42da-b469-6378bedc646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2d47ed-d0ca-41f7-b01c-7a1931a4c289}" ma:internalName="TaxCatchAll" ma:showField="CatchAllData" ma:web="83d9ddb6-4f63-42da-b469-6378bedc64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33eba6-0c01-4473-86ed-edf833d3ac8f">
      <Terms xmlns="http://schemas.microsoft.com/office/infopath/2007/PartnerControls"/>
    </lcf76f155ced4ddcb4097134ff3c332f>
    <TaxCatchAll xmlns="83d9ddb6-4f63-42da-b469-6378bedc6469" xsi:nil="true"/>
    <SharedWithUsers xmlns="83d9ddb6-4f63-42da-b469-6378bedc6469">
      <UserInfo>
        <DisplayName>randlaltmann5</DisplayName>
        <AccountId>1192</AccountId>
        <AccountType/>
      </UserInfo>
      <UserInfo>
        <DisplayName>Jayne Denson</DisplayName>
        <AccountId>1661</AccountId>
        <AccountType/>
      </UserInfo>
      <UserInfo>
        <DisplayName>Maggie Medina-Boice</DisplayName>
        <AccountId>860</AccountId>
        <AccountType/>
      </UserInfo>
      <UserInfo>
        <DisplayName>Lesa Neugent</DisplayName>
        <AccountId>232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178368F-FE2E-4F5C-97E2-BBBB6601DB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633eba6-0c01-4473-86ed-edf833d3ac8f"/>
    <ds:schemaRef ds:uri="83d9ddb6-4f63-42da-b469-6378bedc64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1FC3DB-12AD-4C17-98D8-6C955AB945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EC5A63-E974-4DEC-A49E-4F3724CB6B07}">
  <ds:schemaRefs>
    <ds:schemaRef ds:uri="http://schemas.microsoft.com/office/2006/metadata/properties"/>
    <ds:schemaRef ds:uri="http://schemas.microsoft.com/office/infopath/2007/PartnerControls"/>
    <ds:schemaRef ds:uri="b633eba6-0c01-4473-86ed-edf833d3ac8f"/>
    <ds:schemaRef ds:uri="83d9ddb6-4f63-42da-b469-6378bedc6469"/>
    <ds:schemaRef ds:uri="http://schemas.microsoft.com/sharepoint/v3"/>
  </ds:schemaRefs>
</ds:datastoreItem>
</file>

<file path=docMetadata/LabelInfo.xml><?xml version="1.0" encoding="utf-8"?>
<clbl:labelList xmlns:clbl="http://schemas.microsoft.com/office/2020/mipLabelMetadata">
  <clbl:label id="{8cc434d7-97d0-47d3-b5c5-14fe0e33e34b}" enabled="0" method="" siteId="{8cc434d7-97d0-47d3-b5c5-14fe0e33e3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setup</vt:lpstr>
      <vt:lpstr>aurora_data</vt:lpstr>
      <vt:lpstr>Summary</vt:lpstr>
      <vt:lpstr>C_LD</vt:lpstr>
      <vt:lpstr>C_HH</vt:lpstr>
      <vt:lpstr>C_ASDL</vt:lpstr>
      <vt:lpstr>C_SLDRW</vt:lpstr>
      <vt:lpstr>OSEP_DD</vt:lpstr>
      <vt:lpstr>OSEP_SI</vt:lpstr>
      <vt:lpstr>OSEP_ID</vt:lpstr>
      <vt:lpstr>OSEP_ADHD</vt:lpstr>
      <vt:lpstr>OSEP_SLD</vt:lpstr>
      <vt:lpstr>OSEP_GT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LaToya Favre</cp:lastModifiedBy>
  <cp:revision/>
  <dcterms:created xsi:type="dcterms:W3CDTF">2022-01-04T22:24:11Z</dcterms:created>
  <dcterms:modified xsi:type="dcterms:W3CDTF">2026-09-21T19:41:29Z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0x010100FF324320BA0CE54A980154A6C0D5A146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