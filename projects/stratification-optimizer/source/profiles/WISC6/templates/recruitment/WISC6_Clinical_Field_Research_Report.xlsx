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tables/table3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FAVRLA\PythonProjects\Psych_Hub\Tools\SCOPE\documents\Output\Recruitment_Planning_Tables\"/>
    </mc:Choice>
  </mc:AlternateContent>
  <xr:revisionPtr revIDLastSave="0" documentId="8_{9E8DF4BD-F08A-4BF5-BFE5-417D393B187B}" xr6:coauthVersionLast="47" xr6:coauthVersionMax="47" xr10:uidLastSave="{00000000-0000-0000-0000-000000000000}"/>
  <bookViews>
    <workbookView xWindow="-120" yWindow="-120" windowWidth="29040" windowHeight="15720" tabRatio="671" firstSheet="3" activeTab="6" xr2:uid="{00000000-000D-0000-FFFF-FFFF00000000}"/>
  </bookViews>
  <sheets>
    <sheet name="Open Cells" sheetId="118" state="hidden" r:id="rId1"/>
    <sheet name="setup" sheetId="8" state="hidden" r:id="rId2"/>
    <sheet name="aurora_data" sheetId="2" state="hidden" r:id="rId3"/>
    <sheet name="Summary" sheetId="5" r:id="rId4"/>
    <sheet name="WISC6_STDZ_P" sheetId="139" r:id="rId5"/>
    <sheet name="WISC6_STDZ_P_2cross" sheetId="146" r:id="rId6"/>
    <sheet name="WISC6_STDZ_D" sheetId="144" r:id="rId7"/>
    <sheet name="WISC6_STDZ_D_2cross" sheetId="147" r:id="rId8"/>
    <sheet name="R_WISC6_STDZ_P" sheetId="120" r:id="rId9"/>
    <sheet name="R_WISC6_STDZ_P_agecombined" sheetId="148" r:id="rId10"/>
    <sheet name="R_WISC6_STDZ_D" sheetId="145" r:id="rId11"/>
    <sheet name="Open Cells Pivot" sheetId="119" state="hidden" r:id="rId12"/>
    <sheet name="V_WAIS5_P" sheetId="126" r:id="rId13"/>
    <sheet name="V_WIAT4_P" sheetId="122" r:id="rId14"/>
    <sheet name="V_KTEA3_P" sheetId="140" r:id="rId15"/>
    <sheet name="V_WPPSI4_P" sheetId="127" r:id="rId16"/>
    <sheet name="V_WISC5P_P" sheetId="121" r:id="rId17"/>
    <sheet name="CB_WPPSI4_P" sheetId="142" r:id="rId18"/>
    <sheet name="CB_WISC5P_P" sheetId="141" r:id="rId19"/>
    <sheet name="CB_WAIS5_P" sheetId="143" r:id="rId20"/>
    <sheet name="Remaining Assignments" sheetId="150" r:id="rId21"/>
    <sheet name="Below Target ETH-ED" sheetId="151" r:id="rId22"/>
  </sheets>
  <definedNames>
    <definedName name="ExternalData_1" localSheetId="1" hidden="1">setup!$H$15:$M$91</definedName>
    <definedName name="ExternalData_1" localSheetId="3" hidden="1">Summary!$A$2:$F$15</definedName>
    <definedName name="ExternalData_10" localSheetId="2" hidden="1">aurora_data!#REF!</definedName>
    <definedName name="ExternalData_100" localSheetId="2" hidden="1">aurora_data!#REF!</definedName>
    <definedName name="ExternalData_101" localSheetId="2" hidden="1">aurora_data!#REF!</definedName>
    <definedName name="ExternalData_102" localSheetId="2" hidden="1">aurora_data!$A$931:$V$958</definedName>
    <definedName name="ExternalData_103" localSheetId="2" hidden="1">aurora_data!#REF!</definedName>
    <definedName name="ExternalData_104" localSheetId="2" hidden="1">aurora_data!#REF!</definedName>
    <definedName name="ExternalData_105" localSheetId="2" hidden="1">aurora_data!#REF!</definedName>
    <definedName name="ExternalData_106" localSheetId="2" hidden="1">aurora_data!#REF!</definedName>
    <definedName name="ExternalData_107" localSheetId="2" hidden="1">aurora_data!#REF!</definedName>
    <definedName name="ExternalData_108" localSheetId="2" hidden="1">aurora_data!$A$1131:$V$1149</definedName>
    <definedName name="ExternalData_109" localSheetId="2" hidden="1">aurora_data!#REF!</definedName>
    <definedName name="ExternalData_110" localSheetId="2" hidden="1">aurora_data!#REF!</definedName>
    <definedName name="ExternalData_111" localSheetId="2" hidden="1">aurora_data!#REF!</definedName>
    <definedName name="ExternalData_112" localSheetId="2" hidden="1">aurora_data!#REF!</definedName>
    <definedName name="ExternalData_113" localSheetId="2" hidden="1">aurora_data!#REF!</definedName>
    <definedName name="ExternalData_113" localSheetId="0" hidden="1">'Open Cells'!#REF!</definedName>
    <definedName name="ExternalData_114" localSheetId="2" hidden="1">aurora_data!#REF!</definedName>
    <definedName name="ExternalData_115" localSheetId="2" hidden="1">aurora_data!#REF!</definedName>
    <definedName name="ExternalData_116" localSheetId="2" hidden="1">aurora_data!#REF!</definedName>
    <definedName name="ExternalData_117" localSheetId="2" hidden="1">aurora_data!#REF!</definedName>
    <definedName name="ExternalData_118" localSheetId="2" hidden="1">aurora_data!#REF!</definedName>
    <definedName name="ExternalData_119" localSheetId="2" hidden="1">aurora_data!#REF!</definedName>
    <definedName name="ExternalData_12" localSheetId="2" hidden="1">aurora_data!#REF!</definedName>
    <definedName name="ExternalData_120" localSheetId="2" hidden="1">aurora_data!#REF!</definedName>
    <definedName name="ExternalData_121" localSheetId="2" hidden="1">aurora_data!#REF!</definedName>
    <definedName name="ExternalData_122" localSheetId="2" hidden="1">aurora_data!#REF!</definedName>
    <definedName name="ExternalData_123" localSheetId="2" hidden="1">aurora_data!#REF!</definedName>
    <definedName name="ExternalData_124" localSheetId="2" hidden="1">aurora_data!#REF!</definedName>
    <definedName name="ExternalData_125" localSheetId="2" hidden="1">aurora_data!#REF!</definedName>
    <definedName name="ExternalData_126" localSheetId="2" hidden="1">aurora_data!#REF!</definedName>
    <definedName name="ExternalData_127" localSheetId="2" hidden="1">aurora_data!#REF!</definedName>
    <definedName name="ExternalData_128" localSheetId="2" hidden="1">aurora_data!#REF!</definedName>
    <definedName name="ExternalData_129" localSheetId="2" hidden="1">aurora_data!#REF!</definedName>
    <definedName name="ExternalData_13" localSheetId="2" hidden="1">aurora_data!$A$331:$V$439</definedName>
    <definedName name="ExternalData_130" localSheetId="2" hidden="1">aurora_data!#REF!</definedName>
    <definedName name="ExternalData_131" localSheetId="2" hidden="1">aurora_data!#REF!</definedName>
    <definedName name="ExternalData_132" localSheetId="2" hidden="1">aurora_data!#REF!</definedName>
    <definedName name="ExternalData_133" localSheetId="2" hidden="1">aurora_data!#REF!</definedName>
    <definedName name="ExternalData_134" localSheetId="2" hidden="1">aurora_data!$A$3:$AK$99</definedName>
    <definedName name="ExternalData_135" localSheetId="2" hidden="1">aurora_data!$A$1331:$V$1439</definedName>
    <definedName name="ExternalData_136" localSheetId="2" hidden="1">aurora_data!$A$1531:$V$1639</definedName>
    <definedName name="ExternalData_137" localSheetId="2" hidden="1">aurora_data!$A$1731:$V$1839</definedName>
    <definedName name="ExternalData_138" localSheetId="2" hidden="1">aurora_data!$BA$3:$BV$99</definedName>
    <definedName name="ExternalData_139" localSheetId="2" hidden="1">aurora_data!$A$1931:$V$1958</definedName>
    <definedName name="ExternalData_14" localSheetId="2" hidden="1">aurora_data!#REF!</definedName>
    <definedName name="ExternalData_140" localSheetId="2" hidden="1">aurora_data!$A$2031:$V$2049</definedName>
    <definedName name="ExternalData_141" localSheetId="2" hidden="1">aurora_data!#REF!</definedName>
    <definedName name="ExternalData_142" localSheetId="2" hidden="1">aurora_data!$A$131:$AK$227</definedName>
    <definedName name="ExternalData_143" localSheetId="2" hidden="1">aurora_data!$BA$131:$BV$227</definedName>
    <definedName name="ExternalData_144" localSheetId="2" hidden="1">aurora_data!$BA$331:$BV$439</definedName>
    <definedName name="ExternalData_15" localSheetId="2" hidden="1">aurora_data!#REF!</definedName>
    <definedName name="ExternalData_17" localSheetId="2" hidden="1">aurora_data!#REF!</definedName>
    <definedName name="ExternalData_19" localSheetId="2" hidden="1">aurora_data!#REF!</definedName>
    <definedName name="ExternalData_20" localSheetId="2" hidden="1">aurora_data!#REF!</definedName>
    <definedName name="ExternalData_21" localSheetId="2" hidden="1">aurora_data!#REF!</definedName>
    <definedName name="ExternalData_22" localSheetId="2" hidden="1">aurora_data!#REF!</definedName>
    <definedName name="ExternalData_23" localSheetId="2" hidden="1">aurora_data!#REF!</definedName>
    <definedName name="ExternalData_24" localSheetId="2" hidden="1">aurora_data!#REF!</definedName>
    <definedName name="ExternalData_25" localSheetId="2" hidden="1">aurora_data!#REF!</definedName>
    <definedName name="ExternalData_26" localSheetId="2" hidden="1">aurora_data!#REF!</definedName>
    <definedName name="ExternalData_27" localSheetId="2" hidden="1">aurora_data!#REF!</definedName>
    <definedName name="ExternalData_28" localSheetId="2" hidden="1">aurora_data!#REF!</definedName>
    <definedName name="ExternalData_29" localSheetId="2" hidden="1">aurora_data!#REF!</definedName>
    <definedName name="ExternalData_30" localSheetId="2" hidden="1">aurora_data!#REF!</definedName>
    <definedName name="ExternalData_31" localSheetId="2" hidden="1">aurora_data!#REF!</definedName>
    <definedName name="ExternalData_32" localSheetId="2" hidden="1">aurora_data!#REF!</definedName>
    <definedName name="ExternalData_33" localSheetId="2" hidden="1">aurora_data!#REF!</definedName>
    <definedName name="ExternalData_34" localSheetId="2" hidden="1">aurora_data!#REF!</definedName>
    <definedName name="ExternalData_35" localSheetId="2" hidden="1">aurora_data!#REF!</definedName>
    <definedName name="ExternalData_36" localSheetId="2" hidden="1">aurora_data!#REF!</definedName>
    <definedName name="ExternalData_37" localSheetId="2" hidden="1">aurora_data!#REF!</definedName>
    <definedName name="ExternalData_38" localSheetId="2" hidden="1">aurora_data!#REF!</definedName>
    <definedName name="ExternalData_39" localSheetId="2" hidden="1">aurora_data!#REF!</definedName>
    <definedName name="ExternalData_40" localSheetId="2" hidden="1">aurora_data!#REF!</definedName>
    <definedName name="ExternalData_41" localSheetId="2" hidden="1">aurora_data!#REF!</definedName>
    <definedName name="ExternalData_42" localSheetId="2" hidden="1">aurora_data!#REF!</definedName>
    <definedName name="ExternalData_43" localSheetId="2" hidden="1">aurora_data!#REF!</definedName>
    <definedName name="ExternalData_44" localSheetId="2" hidden="1">aurora_data!#REF!</definedName>
    <definedName name="ExternalData_48" localSheetId="2" hidden="1">aurora_data!#REF!</definedName>
    <definedName name="ExternalData_49" localSheetId="2" hidden="1">aurora_data!#REF!</definedName>
    <definedName name="ExternalData_50" localSheetId="2" hidden="1">aurora_data!#REF!</definedName>
    <definedName name="ExternalData_51" localSheetId="2" hidden="1">aurora_data!#REF!</definedName>
    <definedName name="ExternalData_52" localSheetId="2" hidden="1">aurora_data!#REF!</definedName>
    <definedName name="ExternalData_53" localSheetId="2" hidden="1">aurora_data!#REF!</definedName>
    <definedName name="ExternalData_55" localSheetId="2" hidden="1">aurora_data!$A$731:$V$839</definedName>
    <definedName name="ExternalData_56" localSheetId="2" hidden="1">aurora_data!#REF!</definedName>
    <definedName name="ExternalData_57" localSheetId="2" hidden="1">aurora_data!#REF!</definedName>
    <definedName name="ExternalData_58" localSheetId="2" hidden="1">aurora_data!#REF!</definedName>
    <definedName name="ExternalData_59" localSheetId="2" hidden="1">aurora_data!#REF!</definedName>
    <definedName name="ExternalData_60" localSheetId="2" hidden="1">aurora_data!#REF!</definedName>
    <definedName name="ExternalData_61" localSheetId="2" hidden="1">aurora_data!#REF!</definedName>
    <definedName name="ExternalData_62" localSheetId="2" hidden="1">aurora_data!#REF!</definedName>
    <definedName name="ExternalData_63" localSheetId="2" hidden="1">aurora_data!#REF!</definedName>
    <definedName name="ExternalData_64" localSheetId="2" hidden="1">aurora_data!#REF!</definedName>
    <definedName name="ExternalData_65" localSheetId="2" hidden="1">aurora_data!#REF!</definedName>
    <definedName name="ExternalData_66" localSheetId="2" hidden="1">aurora_data!#REF!</definedName>
    <definedName name="ExternalData_67" localSheetId="2" hidden="1">aurora_data!#REF!</definedName>
    <definedName name="ExternalData_68" localSheetId="2" hidden="1">aurora_data!#REF!</definedName>
    <definedName name="ExternalData_69" localSheetId="2" hidden="1">aurora_data!#REF!</definedName>
    <definedName name="ExternalData_70" localSheetId="2" hidden="1">aurora_data!$A$531:$V$567</definedName>
    <definedName name="ExternalData_71" localSheetId="2" hidden="1">aurora_data!#REF!</definedName>
    <definedName name="ExternalData_72" localSheetId="2" hidden="1">aurora_data!#REF!</definedName>
    <definedName name="ExternalData_73" localSheetId="2" hidden="1">aurora_data!#REF!</definedName>
    <definedName name="ExternalData_74" localSheetId="2" hidden="1">aurora_data!#REF!</definedName>
    <definedName name="ExternalData_75" localSheetId="2" hidden="1">aurora_data!#REF!</definedName>
    <definedName name="ExternalData_76" localSheetId="2" hidden="1">aurora_data!#REF!</definedName>
    <definedName name="ExternalData_77" localSheetId="2" hidden="1">aurora_data!#REF!</definedName>
    <definedName name="ExternalData_78" localSheetId="2" hidden="1">aurora_data!#REF!</definedName>
    <definedName name="ExternalData_79" localSheetId="2" hidden="1">aurora_data!#REF!</definedName>
    <definedName name="ExternalData_80" localSheetId="2" hidden="1">aurora_data!#REF!</definedName>
    <definedName name="ExternalData_81" localSheetId="2" hidden="1">aurora_data!#REF!</definedName>
    <definedName name="ExternalData_82" localSheetId="2" hidden="1">aurora_data!#REF!</definedName>
    <definedName name="ExternalData_83" localSheetId="2" hidden="1">aurora_data!#REF!</definedName>
    <definedName name="ExternalData_84" localSheetId="2" hidden="1">aurora_data!#REF!</definedName>
    <definedName name="ExternalData_85" localSheetId="2" hidden="1">aurora_data!#REF!</definedName>
    <definedName name="ExternalData_86" localSheetId="2" hidden="1">aurora_data!#REF!</definedName>
    <definedName name="ExternalData_87" localSheetId="2" hidden="1">aurora_data!#REF!</definedName>
    <definedName name="ExternalData_88" localSheetId="2" hidden="1">aurora_data!#REF!</definedName>
    <definedName name="ExternalData_89" localSheetId="2" hidden="1">aurora_data!#REF!</definedName>
    <definedName name="ExternalData_9" localSheetId="2" hidden="1">aurora_data!#REF!</definedName>
    <definedName name="ExternalData_90" localSheetId="2" hidden="1">aurora_data!#REF!</definedName>
    <definedName name="ExternalData_91" localSheetId="2" hidden="1">aurora_data!#REF!</definedName>
    <definedName name="ExternalData_92" localSheetId="2" hidden="1">aurora_data!#REF!</definedName>
    <definedName name="ExternalData_93" localSheetId="2" hidden="1">aurora_data!#REF!</definedName>
    <definedName name="ExternalData_94" localSheetId="2" hidden="1">aurora_data!#REF!</definedName>
    <definedName name="ExternalData_95" localSheetId="2" hidden="1">aurora_data!#REF!</definedName>
    <definedName name="ExternalData_96" localSheetId="2" hidden="1">aurora_data!#REF!</definedName>
    <definedName name="ExternalData_97" localSheetId="2" hidden="1">aurora_data!#REF!</definedName>
    <definedName name="ExternalData_98" localSheetId="2" hidden="1">aurora_data!#REF!</definedName>
    <definedName name="ExternalData_99" localSheetId="2" hidden="1">aurora_data!#REF!</definedName>
    <definedName name="Query_from_Aurora2Reports_1_1_1_1_1_1_1_1_1_1_1_1_1_1" localSheetId="0" hidden="1">'Open Cells'!$A$10:$Q$28</definedName>
    <definedName name="Query_from_Aurora2Reports_1_1_1_1_1_1_1_1_1_1_1_1_1_1_1" localSheetId="0" hidden="1">'Open Cells'!$A$82:$Q$130</definedName>
    <definedName name="Query_from_Aurora2Reports_1_1_1_1_1_1_1_1_1_1_1_1_1_1_1_1" localSheetId="0" hidden="1">'Open Cells'!$A$184:$Q$218</definedName>
    <definedName name="Query_from_Aurora2Reports_1_1_1_1_1_1_1_1_1_1_1_1_1_1_1_1_1" localSheetId="0" hidden="1">'Open Cells'!$A$238:$Q$272</definedName>
    <definedName name="Query_from_Aurora2Reports_1_1_1_1_1_1_1_1_1_1_1_1_1_1_1_1_1_1" localSheetId="0" hidden="1">'Open Cells'!$A$292:$Q$326</definedName>
    <definedName name="Query_from_Aurora2Reports_1_1_1_1_1_1_1_1_1_1_1_1_1_1_1_1_1_1_1" localSheetId="0" hidden="1">'Open Cells'!$A$346:$Q$363</definedName>
    <definedName name="Query_from_Aurora2Reports_1_1_1_1_1_1_1_1_1_1_1_1_1_1_1_1_1_1_2" localSheetId="0" hidden="1">'Open Cells'!$A$383:$Q$400</definedName>
    <definedName name="Query_from_Aurora2Reports_1_1_1_1_1_1_1_1_1_1_1_1_1_1_1_1_1_1_2_1" localSheetId="0" hidden="1">'Open Cells'!$A$420:$Q$454</definedName>
    <definedName name="Query_from_Aurora2Reports_1_1_1_1_1_1_1_1_1_1_1_1_1_1_1_1_1_1_2_1_1" localSheetId="0" hidden="1">'Open Cells'!$A$474:$Q$491</definedName>
    <definedName name="Query_from_Aurora2Reports_1_1_1_1_1_1_1_1_1_1_1_1_1_1_1_1_1_1_2_1_2" localSheetId="0" hidden="1">'Open Cells'!$A$511:$Q$528</definedName>
    <definedName name="Query_from_Aurora2Reports_1_1_1_1_1_1_1_1_1_1_1_1_1_1_1_1_1_1_2_1_2_1" localSheetId="0" hidden="1">'Open Cells'!$A$548:$Q$565</definedName>
    <definedName name="Query_from_Aurora2Reports_1_1_1_1_1_1_1_1_1_1_1_1_1_1_1_1_1_1_2_1_2_1_1" localSheetId="0" hidden="1">'Open Cells'!$A$585:$Q$602</definedName>
    <definedName name="Query_from_Aurora2Reports_1_1_1_1_1_1_1_1_1_1_1_1_1_1_1_1_1_1_2_1_2_1_1_1" localSheetId="0" hidden="1">'Open Cells'!$A$622:$Q$656</definedName>
    <definedName name="Query_from_Aurora2Reports_1_1_1_1_1_1_1_1_1_1_1_1_1_1_1_1_1_1_2_1_2_1_1_1_1" localSheetId="0" hidden="1">'Open Cells'!$A$676:$Q$710</definedName>
  </definedNames>
  <calcPr calcId="191028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  <pivotCache cacheId="8" r:id="rId31"/>
    <pivotCache cacheId="9" r:id="rId32"/>
    <pivotCache cacheId="10" r:id="rId33"/>
    <pivotCache cacheId="11" r:id="rId34"/>
    <pivotCache cacheId="12" r:id="rId35"/>
    <pivotCache cacheId="13" r:id="rId3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51" l="1"/>
  <c r="G27" i="127" l="1"/>
  <c r="E13" i="126"/>
  <c r="M87" i="141"/>
  <c r="F127" i="121"/>
  <c r="AD13" i="142"/>
  <c r="AE13" i="142"/>
  <c r="AF13" i="142"/>
  <c r="AG13" i="142"/>
  <c r="AI13" i="142"/>
  <c r="AD14" i="142"/>
  <c r="AE14" i="142"/>
  <c r="AF14" i="142"/>
  <c r="AG14" i="142"/>
  <c r="AI14" i="142"/>
  <c r="AD15" i="142"/>
  <c r="AE15" i="142"/>
  <c r="AF15" i="142"/>
  <c r="AG15" i="142"/>
  <c r="AI15" i="142"/>
  <c r="AD16" i="142"/>
  <c r="AE16" i="142"/>
  <c r="AF16" i="142"/>
  <c r="AG16" i="142"/>
  <c r="AI16" i="142"/>
  <c r="AD17" i="142"/>
  <c r="AE17" i="142"/>
  <c r="AF17" i="142"/>
  <c r="AG17" i="142"/>
  <c r="AI17" i="142"/>
  <c r="AD18" i="142"/>
  <c r="AE18" i="142"/>
  <c r="AF18" i="142"/>
  <c r="AG18" i="142"/>
  <c r="AI18" i="142"/>
  <c r="AD19" i="142"/>
  <c r="AE19" i="142"/>
  <c r="AF19" i="142"/>
  <c r="AG19" i="142"/>
  <c r="AI19" i="142"/>
  <c r="AD20" i="142"/>
  <c r="AE20" i="142"/>
  <c r="AF20" i="142"/>
  <c r="AG20" i="142"/>
  <c r="AI20" i="142"/>
  <c r="AD21" i="142"/>
  <c r="AE21" i="142"/>
  <c r="AF21" i="142"/>
  <c r="AG21" i="142"/>
  <c r="AI21" i="142"/>
  <c r="AJ21" i="142" s="1"/>
  <c r="AD22" i="142"/>
  <c r="AE22" i="142"/>
  <c r="AF22" i="142"/>
  <c r="AG22" i="142"/>
  <c r="AI22" i="142"/>
  <c r="AD23" i="142"/>
  <c r="AE23" i="142"/>
  <c r="AF23" i="142"/>
  <c r="AG23" i="142"/>
  <c r="AI23" i="142"/>
  <c r="AD24" i="142"/>
  <c r="AE24" i="142"/>
  <c r="AF24" i="142"/>
  <c r="AG24" i="142"/>
  <c r="AI24" i="142"/>
  <c r="AD25" i="142"/>
  <c r="AE25" i="142"/>
  <c r="AF25" i="142"/>
  <c r="AG25" i="142"/>
  <c r="AI25" i="142"/>
  <c r="AD26" i="142"/>
  <c r="AE26" i="142"/>
  <c r="AF26" i="142"/>
  <c r="AG26" i="142"/>
  <c r="AI26" i="142"/>
  <c r="AD27" i="142"/>
  <c r="AE27" i="142"/>
  <c r="AF27" i="142"/>
  <c r="AG27" i="142"/>
  <c r="AI27" i="142"/>
  <c r="AD28" i="142"/>
  <c r="AE28" i="142"/>
  <c r="AF28" i="142"/>
  <c r="AG28" i="142"/>
  <c r="AI28" i="142"/>
  <c r="AD29" i="142"/>
  <c r="AE29" i="142"/>
  <c r="AF29" i="142"/>
  <c r="AG29" i="142"/>
  <c r="AI29" i="142"/>
  <c r="AD30" i="142"/>
  <c r="AE30" i="142"/>
  <c r="AF30" i="142"/>
  <c r="AG30" i="142"/>
  <c r="AI30" i="142"/>
  <c r="AJ30" i="142" s="1"/>
  <c r="AD31" i="142"/>
  <c r="AE31" i="142"/>
  <c r="AF31" i="142"/>
  <c r="AG31" i="142"/>
  <c r="AI31" i="142"/>
  <c r="AD32" i="142"/>
  <c r="AE32" i="142"/>
  <c r="AF32" i="142"/>
  <c r="AG32" i="142"/>
  <c r="AI32" i="142"/>
  <c r="AD33" i="142"/>
  <c r="AE33" i="142"/>
  <c r="AF33" i="142"/>
  <c r="AG33" i="142"/>
  <c r="AI33" i="142"/>
  <c r="AD34" i="142"/>
  <c r="AE34" i="142"/>
  <c r="AF34" i="142"/>
  <c r="AG34" i="142"/>
  <c r="AI34" i="142"/>
  <c r="AD35" i="142"/>
  <c r="AE35" i="142"/>
  <c r="AF35" i="142"/>
  <c r="AG35" i="142"/>
  <c r="AI35" i="142"/>
  <c r="AD36" i="142"/>
  <c r="AE36" i="142"/>
  <c r="AF36" i="142"/>
  <c r="AG36" i="142"/>
  <c r="AI36" i="142"/>
  <c r="AD37" i="142"/>
  <c r="AE37" i="142"/>
  <c r="AF37" i="142"/>
  <c r="AG37" i="142"/>
  <c r="AI37" i="142"/>
  <c r="AD38" i="142"/>
  <c r="AE38" i="142"/>
  <c r="AF38" i="142"/>
  <c r="AG38" i="142"/>
  <c r="AI38" i="142"/>
  <c r="AG12" i="142"/>
  <c r="AF12" i="142"/>
  <c r="AE12" i="142"/>
  <c r="AD12" i="142"/>
  <c r="AI12" i="142"/>
  <c r="AB21" i="142"/>
  <c r="AB12" i="142"/>
  <c r="AF102" i="141"/>
  <c r="AE102" i="141"/>
  <c r="AF93" i="141"/>
  <c r="AE93" i="141"/>
  <c r="AF84" i="141"/>
  <c r="AE84" i="141"/>
  <c r="AF75" i="141"/>
  <c r="AE75" i="141"/>
  <c r="AE30" i="141"/>
  <c r="AE21" i="141"/>
  <c r="AI21" i="141"/>
  <c r="AJ21" i="141" s="1"/>
  <c r="AD22" i="141"/>
  <c r="AE22" i="141"/>
  <c r="AF22" i="141"/>
  <c r="AG22" i="141"/>
  <c r="AI22" i="141"/>
  <c r="AD23" i="141"/>
  <c r="AE23" i="141"/>
  <c r="AF23" i="141"/>
  <c r="AG23" i="141"/>
  <c r="AI23" i="141"/>
  <c r="AD24" i="141"/>
  <c r="AE24" i="141"/>
  <c r="AF24" i="141"/>
  <c r="AG24" i="141"/>
  <c r="AI24" i="141"/>
  <c r="AD25" i="141"/>
  <c r="AE25" i="141"/>
  <c r="AF25" i="141"/>
  <c r="AG25" i="141"/>
  <c r="AI25" i="141"/>
  <c r="AD26" i="141"/>
  <c r="AE26" i="141"/>
  <c r="AF26" i="141"/>
  <c r="AG26" i="141"/>
  <c r="AI26" i="141"/>
  <c r="AD27" i="141"/>
  <c r="AE27" i="141"/>
  <c r="AF27" i="141"/>
  <c r="AG27" i="141"/>
  <c r="AI27" i="141"/>
  <c r="AD28" i="141"/>
  <c r="AE28" i="141"/>
  <c r="AF28" i="141"/>
  <c r="AG28" i="141"/>
  <c r="AI28" i="141"/>
  <c r="AD29" i="141"/>
  <c r="AE29" i="141"/>
  <c r="AF29" i="141"/>
  <c r="AG29" i="141"/>
  <c r="AI29" i="141"/>
  <c r="AI30" i="141"/>
  <c r="AJ30" i="141" s="1"/>
  <c r="AD31" i="141"/>
  <c r="AE31" i="141"/>
  <c r="AF31" i="141"/>
  <c r="AG31" i="141"/>
  <c r="AI31" i="141"/>
  <c r="AD32" i="141"/>
  <c r="AE32" i="141"/>
  <c r="AF32" i="141"/>
  <c r="AG32" i="141"/>
  <c r="AI32" i="141"/>
  <c r="AD33" i="141"/>
  <c r="AE33" i="141"/>
  <c r="AF33" i="141"/>
  <c r="AG33" i="141"/>
  <c r="AI33" i="141"/>
  <c r="AD34" i="141"/>
  <c r="AE34" i="141"/>
  <c r="AF34" i="141"/>
  <c r="AG34" i="141"/>
  <c r="AI34" i="141"/>
  <c r="AD35" i="141"/>
  <c r="AE35" i="141"/>
  <c r="AF35" i="141"/>
  <c r="AG35" i="141"/>
  <c r="AI35" i="141"/>
  <c r="AD36" i="141"/>
  <c r="AE36" i="141"/>
  <c r="AF36" i="141"/>
  <c r="AG36" i="141"/>
  <c r="AI36" i="141"/>
  <c r="AD37" i="141"/>
  <c r="AE37" i="141"/>
  <c r="AF37" i="141"/>
  <c r="AG37" i="141"/>
  <c r="AI37" i="141"/>
  <c r="AD38" i="141"/>
  <c r="AE38" i="141"/>
  <c r="AF38" i="141"/>
  <c r="AG38" i="141"/>
  <c r="AI38" i="141"/>
  <c r="AI39" i="141"/>
  <c r="AD40" i="141"/>
  <c r="AE40" i="141"/>
  <c r="AF40" i="141"/>
  <c r="AG40" i="141"/>
  <c r="AI40" i="141"/>
  <c r="AD41" i="141"/>
  <c r="AE41" i="141"/>
  <c r="AF41" i="141"/>
  <c r="AG41" i="141"/>
  <c r="AI41" i="141"/>
  <c r="AD42" i="141"/>
  <c r="AE42" i="141"/>
  <c r="AF42" i="141"/>
  <c r="AG42" i="141"/>
  <c r="AI42" i="141"/>
  <c r="AD43" i="141"/>
  <c r="AE43" i="141"/>
  <c r="AF43" i="141"/>
  <c r="AG43" i="141"/>
  <c r="AI43" i="141"/>
  <c r="AD44" i="141"/>
  <c r="AE44" i="141"/>
  <c r="AF44" i="141"/>
  <c r="AG44" i="141"/>
  <c r="AI44" i="141"/>
  <c r="AD45" i="141"/>
  <c r="AE45" i="141"/>
  <c r="AF45" i="141"/>
  <c r="AG45" i="141"/>
  <c r="AI45" i="141"/>
  <c r="AD46" i="141"/>
  <c r="AE46" i="141"/>
  <c r="AF46" i="141"/>
  <c r="AG46" i="141"/>
  <c r="AI46" i="141"/>
  <c r="AD47" i="141"/>
  <c r="AE47" i="141"/>
  <c r="AF47" i="141"/>
  <c r="AG47" i="141"/>
  <c r="AI47" i="141"/>
  <c r="AI48" i="141"/>
  <c r="AJ48" i="141" s="1"/>
  <c r="AD49" i="141"/>
  <c r="AE49" i="141"/>
  <c r="AF49" i="141"/>
  <c r="AG49" i="141"/>
  <c r="AI49" i="141"/>
  <c r="AD50" i="141"/>
  <c r="AE50" i="141"/>
  <c r="AF50" i="141"/>
  <c r="AG50" i="141"/>
  <c r="AI50" i="141"/>
  <c r="AD51" i="141"/>
  <c r="AE51" i="141"/>
  <c r="AF51" i="141"/>
  <c r="AG51" i="141"/>
  <c r="AI51" i="141"/>
  <c r="AD52" i="141"/>
  <c r="AE52" i="141"/>
  <c r="AF52" i="141"/>
  <c r="AG52" i="141"/>
  <c r="AI52" i="141"/>
  <c r="AD53" i="141"/>
  <c r="AE53" i="141"/>
  <c r="AF53" i="141"/>
  <c r="AG53" i="141"/>
  <c r="AI53" i="141"/>
  <c r="AD54" i="141"/>
  <c r="AE54" i="141"/>
  <c r="AF54" i="141"/>
  <c r="AG54" i="141"/>
  <c r="AI54" i="141"/>
  <c r="AD55" i="141"/>
  <c r="AE55" i="141"/>
  <c r="AF55" i="141"/>
  <c r="AG55" i="141"/>
  <c r="AI55" i="141"/>
  <c r="AD56" i="141"/>
  <c r="AE56" i="141"/>
  <c r="AF56" i="141"/>
  <c r="AG56" i="141"/>
  <c r="AI56" i="141"/>
  <c r="AI57" i="141"/>
  <c r="AD58" i="141"/>
  <c r="AE58" i="141"/>
  <c r="AF58" i="141"/>
  <c r="AG58" i="141"/>
  <c r="AI58" i="141"/>
  <c r="AD59" i="141"/>
  <c r="AE59" i="141"/>
  <c r="AF59" i="141"/>
  <c r="AG59" i="141"/>
  <c r="AI59" i="141"/>
  <c r="AD60" i="141"/>
  <c r="AE60" i="141"/>
  <c r="AF60" i="141"/>
  <c r="AG60" i="141"/>
  <c r="AI60" i="141"/>
  <c r="AD61" i="141"/>
  <c r="AE61" i="141"/>
  <c r="AF61" i="141"/>
  <c r="AG61" i="141"/>
  <c r="AI61" i="141"/>
  <c r="AD62" i="141"/>
  <c r="AE62" i="141"/>
  <c r="AF62" i="141"/>
  <c r="AG62" i="141"/>
  <c r="AI62" i="141"/>
  <c r="AD63" i="141"/>
  <c r="AE63" i="141"/>
  <c r="AF63" i="141"/>
  <c r="AG63" i="141"/>
  <c r="AI63" i="141"/>
  <c r="AD64" i="141"/>
  <c r="AE64" i="141"/>
  <c r="AF64" i="141"/>
  <c r="AG64" i="141"/>
  <c r="AI64" i="141"/>
  <c r="AD65" i="141"/>
  <c r="AE65" i="141"/>
  <c r="AF65" i="141"/>
  <c r="AG65" i="141"/>
  <c r="AI65" i="141"/>
  <c r="AI66" i="141"/>
  <c r="AJ66" i="141" s="1"/>
  <c r="AD67" i="141"/>
  <c r="AE67" i="141"/>
  <c r="AF67" i="141"/>
  <c r="AG67" i="141"/>
  <c r="AI67" i="141"/>
  <c r="AD68" i="141"/>
  <c r="AE68" i="141"/>
  <c r="AF68" i="141"/>
  <c r="AG68" i="141"/>
  <c r="AI68" i="141"/>
  <c r="AD69" i="141"/>
  <c r="AE69" i="141"/>
  <c r="AF69" i="141"/>
  <c r="AG69" i="141"/>
  <c r="AI69" i="141"/>
  <c r="AD70" i="141"/>
  <c r="AE70" i="141"/>
  <c r="AF70" i="141"/>
  <c r="AG70" i="141"/>
  <c r="AI70" i="141"/>
  <c r="AD71" i="141"/>
  <c r="AE71" i="141"/>
  <c r="AF71" i="141"/>
  <c r="AG71" i="141"/>
  <c r="AI71" i="141"/>
  <c r="AD72" i="141"/>
  <c r="AE72" i="141"/>
  <c r="AF72" i="141"/>
  <c r="AG72" i="141"/>
  <c r="AI72" i="141"/>
  <c r="AD73" i="141"/>
  <c r="AE73" i="141"/>
  <c r="AF73" i="141"/>
  <c r="AG73" i="141"/>
  <c r="AI73" i="141"/>
  <c r="AD74" i="141"/>
  <c r="AE74" i="141"/>
  <c r="AF74" i="141"/>
  <c r="AG74" i="141"/>
  <c r="AI74" i="141"/>
  <c r="AI75" i="141"/>
  <c r="AJ75" i="141" s="1"/>
  <c r="AD76" i="141"/>
  <c r="AE76" i="141"/>
  <c r="AF76" i="141"/>
  <c r="AG76" i="141"/>
  <c r="AI76" i="141"/>
  <c r="AD77" i="141"/>
  <c r="AE77" i="141"/>
  <c r="AF77" i="141"/>
  <c r="AG77" i="141"/>
  <c r="AI77" i="141"/>
  <c r="AD78" i="141"/>
  <c r="AE78" i="141"/>
  <c r="AF78" i="141"/>
  <c r="AG78" i="141"/>
  <c r="AI78" i="141"/>
  <c r="AD79" i="141"/>
  <c r="AE79" i="141"/>
  <c r="AF79" i="141"/>
  <c r="AG79" i="141"/>
  <c r="AI79" i="141"/>
  <c r="AD80" i="141"/>
  <c r="AE80" i="141"/>
  <c r="AF80" i="141"/>
  <c r="AG80" i="141"/>
  <c r="AI80" i="141"/>
  <c r="AD81" i="141"/>
  <c r="AE81" i="141"/>
  <c r="AF81" i="141"/>
  <c r="AG81" i="141"/>
  <c r="AI81" i="141"/>
  <c r="AD82" i="141"/>
  <c r="AE82" i="141"/>
  <c r="AF82" i="141"/>
  <c r="AG82" i="141"/>
  <c r="AI82" i="141"/>
  <c r="AD83" i="141"/>
  <c r="AE83" i="141"/>
  <c r="AF83" i="141"/>
  <c r="AG83" i="141"/>
  <c r="AI83" i="141"/>
  <c r="AI84" i="141"/>
  <c r="AJ84" i="141" s="1"/>
  <c r="AD85" i="141"/>
  <c r="AE85" i="141"/>
  <c r="AF85" i="141"/>
  <c r="AG85" i="141"/>
  <c r="AI85" i="141"/>
  <c r="AD86" i="141"/>
  <c r="AE86" i="141"/>
  <c r="AF86" i="141"/>
  <c r="AG86" i="141"/>
  <c r="AI86" i="141"/>
  <c r="AD87" i="141"/>
  <c r="AE87" i="141"/>
  <c r="AF87" i="141"/>
  <c r="AG87" i="141"/>
  <c r="AI87" i="141"/>
  <c r="AD88" i="141"/>
  <c r="AE88" i="141"/>
  <c r="AF88" i="141"/>
  <c r="AG88" i="141"/>
  <c r="AI88" i="141"/>
  <c r="AD89" i="141"/>
  <c r="AE89" i="141"/>
  <c r="AF89" i="141"/>
  <c r="AG89" i="141"/>
  <c r="AI89" i="141"/>
  <c r="AD90" i="141"/>
  <c r="AE90" i="141"/>
  <c r="AF90" i="141"/>
  <c r="AG90" i="141"/>
  <c r="AI90" i="141"/>
  <c r="AD91" i="141"/>
  <c r="AE91" i="141"/>
  <c r="AF91" i="141"/>
  <c r="AG91" i="141"/>
  <c r="AI91" i="141"/>
  <c r="AD92" i="141"/>
  <c r="AE92" i="141"/>
  <c r="AF92" i="141"/>
  <c r="AG92" i="141"/>
  <c r="AI92" i="141"/>
  <c r="AI93" i="141"/>
  <c r="AD94" i="141"/>
  <c r="AE94" i="141"/>
  <c r="AF94" i="141"/>
  <c r="AG94" i="141"/>
  <c r="AI94" i="141"/>
  <c r="AD95" i="141"/>
  <c r="AE95" i="141"/>
  <c r="AF95" i="141"/>
  <c r="AG95" i="141"/>
  <c r="AI95" i="141"/>
  <c r="AD96" i="141"/>
  <c r="AE96" i="141"/>
  <c r="AF96" i="141"/>
  <c r="AG96" i="141"/>
  <c r="AI96" i="141"/>
  <c r="AD97" i="141"/>
  <c r="AE97" i="141"/>
  <c r="AF97" i="141"/>
  <c r="AG97" i="141"/>
  <c r="AI97" i="141"/>
  <c r="AD98" i="141"/>
  <c r="AE98" i="141"/>
  <c r="AF98" i="141"/>
  <c r="AG98" i="141"/>
  <c r="AI98" i="141"/>
  <c r="AD99" i="141"/>
  <c r="AE99" i="141"/>
  <c r="AF99" i="141"/>
  <c r="AG99" i="141"/>
  <c r="AI99" i="141"/>
  <c r="AD100" i="141"/>
  <c r="AE100" i="141"/>
  <c r="AF100" i="141"/>
  <c r="AG100" i="141"/>
  <c r="AI100" i="141"/>
  <c r="AD101" i="141"/>
  <c r="AE101" i="141"/>
  <c r="AF101" i="141"/>
  <c r="AG101" i="141"/>
  <c r="AI101" i="141"/>
  <c r="AI102" i="141"/>
  <c r="AJ102" i="141" s="1"/>
  <c r="AD103" i="141"/>
  <c r="AE103" i="141"/>
  <c r="AF103" i="141"/>
  <c r="AG103" i="141"/>
  <c r="AI103" i="141"/>
  <c r="AD104" i="141"/>
  <c r="AE104" i="141"/>
  <c r="AF104" i="141"/>
  <c r="AG104" i="141"/>
  <c r="AI104" i="141"/>
  <c r="AD105" i="141"/>
  <c r="AE105" i="141"/>
  <c r="AF105" i="141"/>
  <c r="AG105" i="141"/>
  <c r="AI105" i="141"/>
  <c r="AD106" i="141"/>
  <c r="AE106" i="141"/>
  <c r="AF106" i="141"/>
  <c r="AG106" i="141"/>
  <c r="AI106" i="141"/>
  <c r="AD107" i="141"/>
  <c r="AE107" i="141"/>
  <c r="AF107" i="141"/>
  <c r="AG107" i="141"/>
  <c r="AI107" i="141"/>
  <c r="AD108" i="141"/>
  <c r="AE108" i="141"/>
  <c r="AF108" i="141"/>
  <c r="AG108" i="141"/>
  <c r="AI108" i="141"/>
  <c r="AD109" i="141"/>
  <c r="AE109" i="141"/>
  <c r="AF109" i="141"/>
  <c r="AG109" i="141"/>
  <c r="AI109" i="141"/>
  <c r="AD110" i="141"/>
  <c r="AE110" i="141"/>
  <c r="AF110" i="141"/>
  <c r="AG110" i="141"/>
  <c r="AI110" i="141"/>
  <c r="AI111" i="141"/>
  <c r="AJ111" i="141" s="1"/>
  <c r="AD112" i="141"/>
  <c r="AE112" i="141"/>
  <c r="AF112" i="141"/>
  <c r="AG112" i="141"/>
  <c r="AI112" i="141"/>
  <c r="AD113" i="141"/>
  <c r="AE113" i="141"/>
  <c r="AF113" i="141"/>
  <c r="AG113" i="141"/>
  <c r="AI113" i="141"/>
  <c r="AD114" i="141"/>
  <c r="AE114" i="141"/>
  <c r="AF114" i="141"/>
  <c r="AG114" i="141"/>
  <c r="AI114" i="141"/>
  <c r="AD115" i="141"/>
  <c r="AE115" i="141"/>
  <c r="AF115" i="141"/>
  <c r="AG115" i="141"/>
  <c r="AI115" i="141"/>
  <c r="AD116" i="141"/>
  <c r="AE116" i="141"/>
  <c r="AF116" i="141"/>
  <c r="AG116" i="141"/>
  <c r="AI116" i="141"/>
  <c r="AD117" i="141"/>
  <c r="AE117" i="141"/>
  <c r="AF117" i="141"/>
  <c r="AG117" i="141"/>
  <c r="AI117" i="141"/>
  <c r="AD118" i="141"/>
  <c r="AE118" i="141"/>
  <c r="AF118" i="141"/>
  <c r="AG118" i="141"/>
  <c r="AI118" i="141"/>
  <c r="AD119" i="141"/>
  <c r="AE119" i="141"/>
  <c r="AF119" i="141"/>
  <c r="AG119" i="141"/>
  <c r="AI119" i="141"/>
  <c r="AD14" i="141"/>
  <c r="AE14" i="141"/>
  <c r="AF14" i="141"/>
  <c r="AG14" i="141"/>
  <c r="AI14" i="141"/>
  <c r="AD15" i="141"/>
  <c r="AE15" i="141"/>
  <c r="AF15" i="141"/>
  <c r="AG15" i="141"/>
  <c r="AI15" i="141"/>
  <c r="AD16" i="141"/>
  <c r="AE16" i="141"/>
  <c r="AF16" i="141"/>
  <c r="AG16" i="141"/>
  <c r="AI16" i="141"/>
  <c r="AD17" i="141"/>
  <c r="AE17" i="141"/>
  <c r="AF17" i="141"/>
  <c r="AG17" i="141"/>
  <c r="AI17" i="141"/>
  <c r="AD18" i="141"/>
  <c r="AE18" i="141"/>
  <c r="AF18" i="141"/>
  <c r="AG18" i="141"/>
  <c r="AI18" i="141"/>
  <c r="AD19" i="141"/>
  <c r="AE19" i="141"/>
  <c r="AF19" i="141"/>
  <c r="AG19" i="141"/>
  <c r="AI19" i="141"/>
  <c r="AD20" i="141"/>
  <c r="AE20" i="141"/>
  <c r="AF20" i="141"/>
  <c r="AG20" i="141"/>
  <c r="AI20" i="141"/>
  <c r="AI13" i="141"/>
  <c r="AF13" i="141"/>
  <c r="AG13" i="141"/>
  <c r="AE13" i="141"/>
  <c r="AD13" i="141"/>
  <c r="AI12" i="141"/>
  <c r="AB102" i="141"/>
  <c r="AB93" i="141"/>
  <c r="AB84" i="141"/>
  <c r="AB75" i="141"/>
  <c r="AB66" i="141"/>
  <c r="AB57" i="141"/>
  <c r="AB48" i="141"/>
  <c r="AB39" i="141"/>
  <c r="AB30" i="141"/>
  <c r="AB21" i="141"/>
  <c r="AB12" i="141"/>
  <c r="AD174" i="122"/>
  <c r="AD173" i="122"/>
  <c r="AD172" i="122"/>
  <c r="AD171" i="122"/>
  <c r="AD170" i="122"/>
  <c r="AD169" i="122"/>
  <c r="AD168" i="122"/>
  <c r="AD167" i="122"/>
  <c r="AI104" i="122"/>
  <c r="AG104" i="122"/>
  <c r="AF104" i="122"/>
  <c r="AE104" i="122"/>
  <c r="AD104" i="122"/>
  <c r="AI103" i="122"/>
  <c r="AG103" i="122"/>
  <c r="AF103" i="122"/>
  <c r="AE103" i="122"/>
  <c r="AD103" i="122"/>
  <c r="AI102" i="122"/>
  <c r="AG102" i="122"/>
  <c r="AF102" i="122"/>
  <c r="AE102" i="122"/>
  <c r="AD102" i="122"/>
  <c r="AI101" i="122"/>
  <c r="AG101" i="122"/>
  <c r="AF101" i="122"/>
  <c r="AE101" i="122"/>
  <c r="AD101" i="122"/>
  <c r="AI100" i="122"/>
  <c r="AG100" i="122"/>
  <c r="AF100" i="122"/>
  <c r="AE100" i="122"/>
  <c r="AD100" i="122"/>
  <c r="AI99" i="122"/>
  <c r="AG99" i="122"/>
  <c r="AF99" i="122"/>
  <c r="AE99" i="122"/>
  <c r="AD99" i="122"/>
  <c r="AI98" i="122"/>
  <c r="AG98" i="122"/>
  <c r="AF98" i="122"/>
  <c r="AE98" i="122"/>
  <c r="AD98" i="122"/>
  <c r="AI97" i="122"/>
  <c r="AG97" i="122"/>
  <c r="AF97" i="122"/>
  <c r="AE97" i="122"/>
  <c r="AD97" i="122"/>
  <c r="AD42" i="127"/>
  <c r="AE42" i="127"/>
  <c r="AF42" i="127"/>
  <c r="AG42" i="127"/>
  <c r="AI42" i="127"/>
  <c r="AD43" i="127"/>
  <c r="AE43" i="127"/>
  <c r="AF43" i="127"/>
  <c r="AG43" i="127"/>
  <c r="AI43" i="127"/>
  <c r="AD44" i="127"/>
  <c r="AE44" i="127"/>
  <c r="AF44" i="127"/>
  <c r="AG44" i="127"/>
  <c r="AI44" i="127"/>
  <c r="AD45" i="127"/>
  <c r="AE45" i="127"/>
  <c r="AF45" i="127"/>
  <c r="AG45" i="127"/>
  <c r="AI45" i="127"/>
  <c r="AD46" i="127"/>
  <c r="AE46" i="127"/>
  <c r="AF46" i="127"/>
  <c r="AG46" i="127"/>
  <c r="AI46" i="127"/>
  <c r="AD47" i="127"/>
  <c r="AE47" i="127"/>
  <c r="AF47" i="127"/>
  <c r="AG47" i="127"/>
  <c r="AI47" i="127"/>
  <c r="AD48" i="127"/>
  <c r="AE48" i="127"/>
  <c r="AF48" i="127"/>
  <c r="AG48" i="127"/>
  <c r="AI48" i="127"/>
  <c r="AI41" i="127"/>
  <c r="AI40" i="127"/>
  <c r="AG41" i="127"/>
  <c r="AF41" i="127"/>
  <c r="AE41" i="127"/>
  <c r="AD41" i="127"/>
  <c r="AI168" i="121"/>
  <c r="AI169" i="121"/>
  <c r="AI170" i="121"/>
  <c r="AI171" i="121"/>
  <c r="AI172" i="121"/>
  <c r="AI173" i="121"/>
  <c r="AI174" i="121"/>
  <c r="AD168" i="121"/>
  <c r="AE168" i="121"/>
  <c r="AF168" i="121"/>
  <c r="AG168" i="121"/>
  <c r="AD169" i="121"/>
  <c r="AE169" i="121"/>
  <c r="AF169" i="121"/>
  <c r="AG169" i="121"/>
  <c r="AD170" i="121"/>
  <c r="AE170" i="121"/>
  <c r="AF170" i="121"/>
  <c r="AG170" i="121"/>
  <c r="AD171" i="121"/>
  <c r="AE171" i="121"/>
  <c r="AF171" i="121"/>
  <c r="AG171" i="121"/>
  <c r="AD172" i="121"/>
  <c r="AE172" i="121"/>
  <c r="AF172" i="121"/>
  <c r="AG172" i="121"/>
  <c r="AD173" i="121"/>
  <c r="AE173" i="121"/>
  <c r="AF173" i="121"/>
  <c r="AG173" i="121"/>
  <c r="AD174" i="121"/>
  <c r="AE174" i="121"/>
  <c r="AF174" i="121"/>
  <c r="AG174" i="121"/>
  <c r="AD126" i="121"/>
  <c r="AE126" i="121"/>
  <c r="AF126" i="121"/>
  <c r="AG126" i="121"/>
  <c r="AD127" i="121"/>
  <c r="AE127" i="121"/>
  <c r="AF127" i="121"/>
  <c r="AG127" i="121"/>
  <c r="AD128" i="121"/>
  <c r="AE128" i="121"/>
  <c r="AF128" i="121"/>
  <c r="AG128" i="121"/>
  <c r="AD129" i="121"/>
  <c r="AE129" i="121"/>
  <c r="AF129" i="121"/>
  <c r="AG129" i="121"/>
  <c r="AD130" i="121"/>
  <c r="AE130" i="121"/>
  <c r="AF130" i="121"/>
  <c r="AG130" i="121"/>
  <c r="AD131" i="121"/>
  <c r="AE131" i="121"/>
  <c r="AF131" i="121"/>
  <c r="AG131" i="121"/>
  <c r="AD132" i="121"/>
  <c r="AE132" i="121"/>
  <c r="AF132" i="121"/>
  <c r="AG132" i="121"/>
  <c r="AG125" i="121"/>
  <c r="AF125" i="121"/>
  <c r="AE125" i="121"/>
  <c r="AD125" i="121"/>
  <c r="AI125" i="121"/>
  <c r="AI126" i="121"/>
  <c r="AI127" i="121"/>
  <c r="AI128" i="121"/>
  <c r="AI129" i="121"/>
  <c r="AI130" i="121"/>
  <c r="AI131" i="121"/>
  <c r="AI132" i="121"/>
  <c r="AI124" i="121"/>
  <c r="AJ124" i="121" s="1"/>
  <c r="AI167" i="121"/>
  <c r="AI166" i="121"/>
  <c r="AJ166" i="121" s="1"/>
  <c r="AG167" i="121"/>
  <c r="AF167" i="121"/>
  <c r="AE167" i="121"/>
  <c r="AD167" i="121"/>
  <c r="AD154" i="121"/>
  <c r="AE154" i="121"/>
  <c r="AF154" i="121"/>
  <c r="AG154" i="121"/>
  <c r="AI154" i="121"/>
  <c r="AD155" i="121"/>
  <c r="AE155" i="121"/>
  <c r="AF155" i="121"/>
  <c r="AG155" i="121"/>
  <c r="AI155" i="121"/>
  <c r="AD156" i="121"/>
  <c r="AE156" i="121"/>
  <c r="AF156" i="121"/>
  <c r="AG156" i="121"/>
  <c r="AI156" i="121"/>
  <c r="AD157" i="121"/>
  <c r="AE157" i="121"/>
  <c r="AF157" i="121"/>
  <c r="AG157" i="121"/>
  <c r="AI157" i="121"/>
  <c r="AD158" i="121"/>
  <c r="AE158" i="121"/>
  <c r="AF158" i="121"/>
  <c r="AG158" i="121"/>
  <c r="AI158" i="121"/>
  <c r="AD159" i="121"/>
  <c r="AE159" i="121"/>
  <c r="AF159" i="121"/>
  <c r="AG159" i="121"/>
  <c r="AI159" i="121"/>
  <c r="AD160" i="121"/>
  <c r="AE160" i="121"/>
  <c r="AF160" i="121"/>
  <c r="AG160" i="121"/>
  <c r="AI160" i="121"/>
  <c r="AI153" i="121"/>
  <c r="AI152" i="121"/>
  <c r="AJ152" i="121" s="1"/>
  <c r="AG153" i="121"/>
  <c r="AF153" i="121"/>
  <c r="AE153" i="121"/>
  <c r="AD153" i="121"/>
  <c r="AD140" i="121"/>
  <c r="AE140" i="121"/>
  <c r="AF140" i="121"/>
  <c r="AG140" i="121"/>
  <c r="AI140" i="121"/>
  <c r="AD141" i="121"/>
  <c r="AE141" i="121"/>
  <c r="AF141" i="121"/>
  <c r="AG141" i="121"/>
  <c r="AI141" i="121"/>
  <c r="AD142" i="121"/>
  <c r="AE142" i="121"/>
  <c r="AF142" i="121"/>
  <c r="AG142" i="121"/>
  <c r="AI142" i="121"/>
  <c r="AD143" i="121"/>
  <c r="AE143" i="121"/>
  <c r="AF143" i="121"/>
  <c r="AG143" i="121"/>
  <c r="AI143" i="121"/>
  <c r="AD144" i="121"/>
  <c r="AE144" i="121"/>
  <c r="AF144" i="121"/>
  <c r="AG144" i="121"/>
  <c r="AI144" i="121"/>
  <c r="AD145" i="121"/>
  <c r="AE145" i="121"/>
  <c r="AF145" i="121"/>
  <c r="AG145" i="121"/>
  <c r="AI145" i="121"/>
  <c r="AD146" i="121"/>
  <c r="AE146" i="121"/>
  <c r="AF146" i="121"/>
  <c r="AG146" i="121"/>
  <c r="AI146" i="121"/>
  <c r="AI139" i="121"/>
  <c r="AI138" i="121"/>
  <c r="AG139" i="121"/>
  <c r="AF139" i="121"/>
  <c r="AE139" i="121"/>
  <c r="AD139" i="121"/>
  <c r="AD112" i="121"/>
  <c r="AE112" i="121"/>
  <c r="AF112" i="121"/>
  <c r="AG112" i="121"/>
  <c r="AI112" i="121"/>
  <c r="AD113" i="121"/>
  <c r="AE113" i="121"/>
  <c r="AF113" i="121"/>
  <c r="AG113" i="121"/>
  <c r="AI113" i="121"/>
  <c r="AD114" i="121"/>
  <c r="AE114" i="121"/>
  <c r="AF114" i="121"/>
  <c r="AG114" i="121"/>
  <c r="AI114" i="121"/>
  <c r="AD115" i="121"/>
  <c r="AE115" i="121"/>
  <c r="AF115" i="121"/>
  <c r="AG115" i="121"/>
  <c r="AI115" i="121"/>
  <c r="AD116" i="121"/>
  <c r="AE116" i="121"/>
  <c r="AF116" i="121"/>
  <c r="AG116" i="121"/>
  <c r="AI116" i="121"/>
  <c r="AD117" i="121"/>
  <c r="AE117" i="121"/>
  <c r="AF117" i="121"/>
  <c r="AG117" i="121"/>
  <c r="AI117" i="121"/>
  <c r="AD118" i="121"/>
  <c r="AE118" i="121"/>
  <c r="AF118" i="121"/>
  <c r="AG118" i="121"/>
  <c r="AI118" i="121"/>
  <c r="AI111" i="121"/>
  <c r="AG111" i="121"/>
  <c r="AF111" i="121"/>
  <c r="AE111" i="121"/>
  <c r="AD111" i="121"/>
  <c r="AI110" i="121"/>
  <c r="AD98" i="121"/>
  <c r="AE98" i="121"/>
  <c r="AF98" i="121"/>
  <c r="AG98" i="121"/>
  <c r="AI98" i="121"/>
  <c r="AD99" i="121"/>
  <c r="AE99" i="121"/>
  <c r="AF99" i="121"/>
  <c r="AG99" i="121"/>
  <c r="AI99" i="121"/>
  <c r="AD100" i="121"/>
  <c r="AE100" i="121"/>
  <c r="AF100" i="121"/>
  <c r="AG100" i="121"/>
  <c r="AI100" i="121"/>
  <c r="AD101" i="121"/>
  <c r="AE101" i="121"/>
  <c r="AF101" i="121"/>
  <c r="AG101" i="121"/>
  <c r="AI101" i="121"/>
  <c r="AD102" i="121"/>
  <c r="AE102" i="121"/>
  <c r="AF102" i="121"/>
  <c r="AG102" i="121"/>
  <c r="AI102" i="121"/>
  <c r="AD103" i="121"/>
  <c r="AE103" i="121"/>
  <c r="AF103" i="121"/>
  <c r="AG103" i="121"/>
  <c r="AI103" i="121"/>
  <c r="AD104" i="121"/>
  <c r="AE104" i="121"/>
  <c r="AF104" i="121"/>
  <c r="AG104" i="121"/>
  <c r="AI104" i="121"/>
  <c r="AI97" i="121"/>
  <c r="AI96" i="121"/>
  <c r="AG97" i="121"/>
  <c r="AF97" i="121"/>
  <c r="AE97" i="121"/>
  <c r="AD97" i="121"/>
  <c r="AD84" i="121"/>
  <c r="AE84" i="121"/>
  <c r="AF84" i="121"/>
  <c r="AG84" i="121"/>
  <c r="AI84" i="121"/>
  <c r="AD85" i="121"/>
  <c r="AE85" i="121"/>
  <c r="AF85" i="121"/>
  <c r="AG85" i="121"/>
  <c r="AI85" i="121"/>
  <c r="AD86" i="121"/>
  <c r="AE86" i="121"/>
  <c r="AF86" i="121"/>
  <c r="AG86" i="121"/>
  <c r="AI86" i="121"/>
  <c r="AD87" i="121"/>
  <c r="AE87" i="121"/>
  <c r="AF87" i="121"/>
  <c r="AG87" i="121"/>
  <c r="AI87" i="121"/>
  <c r="AD88" i="121"/>
  <c r="AE88" i="121"/>
  <c r="AF88" i="121"/>
  <c r="AG88" i="121"/>
  <c r="AI88" i="121"/>
  <c r="AD89" i="121"/>
  <c r="AE89" i="121"/>
  <c r="AF89" i="121"/>
  <c r="AG89" i="121"/>
  <c r="AI89" i="121"/>
  <c r="AD90" i="121"/>
  <c r="AE90" i="121"/>
  <c r="AF90" i="121"/>
  <c r="AG90" i="121"/>
  <c r="AI90" i="121"/>
  <c r="AI83" i="121"/>
  <c r="AI82" i="121"/>
  <c r="AJ82" i="121" s="1"/>
  <c r="AG83" i="121"/>
  <c r="AF83" i="121"/>
  <c r="AE83" i="121"/>
  <c r="AD83" i="121"/>
  <c r="AD70" i="121"/>
  <c r="AE70" i="121"/>
  <c r="AF70" i="121"/>
  <c r="AG70" i="121"/>
  <c r="AI70" i="121"/>
  <c r="AD71" i="121"/>
  <c r="AE71" i="121"/>
  <c r="AF71" i="121"/>
  <c r="AG71" i="121"/>
  <c r="AI71" i="121"/>
  <c r="AD72" i="121"/>
  <c r="AE72" i="121"/>
  <c r="AF72" i="121"/>
  <c r="AG72" i="121"/>
  <c r="AI72" i="121"/>
  <c r="AD73" i="121"/>
  <c r="AE73" i="121"/>
  <c r="AF73" i="121"/>
  <c r="AG73" i="121"/>
  <c r="AI73" i="121"/>
  <c r="AD74" i="121"/>
  <c r="AE74" i="121"/>
  <c r="AF74" i="121"/>
  <c r="AG74" i="121"/>
  <c r="AI74" i="121"/>
  <c r="AD75" i="121"/>
  <c r="AE75" i="121"/>
  <c r="AF75" i="121"/>
  <c r="AG75" i="121"/>
  <c r="AI75" i="121"/>
  <c r="AD76" i="121"/>
  <c r="AE76" i="121"/>
  <c r="AF76" i="121"/>
  <c r="AG76" i="121"/>
  <c r="AI76" i="121"/>
  <c r="AI69" i="121"/>
  <c r="AI68" i="121"/>
  <c r="AJ68" i="121" s="1"/>
  <c r="AG69" i="121"/>
  <c r="AF69" i="121"/>
  <c r="AE69" i="121"/>
  <c r="AD69" i="121"/>
  <c r="AD56" i="121"/>
  <c r="AE56" i="121"/>
  <c r="AF56" i="121"/>
  <c r="AG56" i="121"/>
  <c r="AI56" i="121"/>
  <c r="AD57" i="121"/>
  <c r="AE57" i="121"/>
  <c r="AF57" i="121"/>
  <c r="AG57" i="121"/>
  <c r="AI57" i="121"/>
  <c r="AD58" i="121"/>
  <c r="AE58" i="121"/>
  <c r="AF58" i="121"/>
  <c r="AG58" i="121"/>
  <c r="AI58" i="121"/>
  <c r="AD59" i="121"/>
  <c r="AE59" i="121"/>
  <c r="AF59" i="121"/>
  <c r="AG59" i="121"/>
  <c r="AI59" i="121"/>
  <c r="AD60" i="121"/>
  <c r="AE60" i="121"/>
  <c r="AF60" i="121"/>
  <c r="AG60" i="121"/>
  <c r="AI60" i="121"/>
  <c r="AD61" i="121"/>
  <c r="AE61" i="121"/>
  <c r="AF61" i="121"/>
  <c r="AG61" i="121"/>
  <c r="AI61" i="121"/>
  <c r="AD62" i="121"/>
  <c r="AE62" i="121"/>
  <c r="AF62" i="121"/>
  <c r="AG62" i="121"/>
  <c r="AI62" i="121"/>
  <c r="AI55" i="121"/>
  <c r="AI54" i="121"/>
  <c r="AJ54" i="121" s="1"/>
  <c r="AG55" i="121"/>
  <c r="AF55" i="121"/>
  <c r="AE55" i="121"/>
  <c r="AD55" i="121"/>
  <c r="AD42" i="121"/>
  <c r="AE42" i="121"/>
  <c r="AF42" i="121"/>
  <c r="AG42" i="121"/>
  <c r="AI42" i="121"/>
  <c r="AD43" i="121"/>
  <c r="AE43" i="121"/>
  <c r="AF43" i="121"/>
  <c r="AG43" i="121"/>
  <c r="AI43" i="121"/>
  <c r="AD44" i="121"/>
  <c r="AE44" i="121"/>
  <c r="AF44" i="121"/>
  <c r="AG44" i="121"/>
  <c r="AI44" i="121"/>
  <c r="AD45" i="121"/>
  <c r="AE45" i="121"/>
  <c r="AF45" i="121"/>
  <c r="AG45" i="121"/>
  <c r="AI45" i="121"/>
  <c r="AD46" i="121"/>
  <c r="AE46" i="121"/>
  <c r="AF46" i="121"/>
  <c r="AG46" i="121"/>
  <c r="AI46" i="121"/>
  <c r="AD47" i="121"/>
  <c r="AE47" i="121"/>
  <c r="AF47" i="121"/>
  <c r="AG47" i="121"/>
  <c r="AI47" i="121"/>
  <c r="AD48" i="121"/>
  <c r="AE48" i="121"/>
  <c r="AF48" i="121"/>
  <c r="AG48" i="121"/>
  <c r="AI48" i="121"/>
  <c r="AI41" i="121"/>
  <c r="AI40" i="121"/>
  <c r="AJ40" i="121" s="1"/>
  <c r="AG41" i="121"/>
  <c r="AF41" i="121"/>
  <c r="AE41" i="121"/>
  <c r="AD41" i="121"/>
  <c r="AD28" i="121"/>
  <c r="AE28" i="121"/>
  <c r="AF28" i="121"/>
  <c r="AG28" i="121"/>
  <c r="AI28" i="121"/>
  <c r="AD29" i="121"/>
  <c r="AE29" i="121"/>
  <c r="AF29" i="121"/>
  <c r="AG29" i="121"/>
  <c r="AI29" i="121"/>
  <c r="AD30" i="121"/>
  <c r="AE30" i="121"/>
  <c r="AF30" i="121"/>
  <c r="AG30" i="121"/>
  <c r="AI30" i="121"/>
  <c r="AD31" i="121"/>
  <c r="AE31" i="121"/>
  <c r="AF31" i="121"/>
  <c r="AG31" i="121"/>
  <c r="AI31" i="121"/>
  <c r="AD32" i="121"/>
  <c r="AE32" i="121"/>
  <c r="AF32" i="121"/>
  <c r="AG32" i="121"/>
  <c r="AI32" i="121"/>
  <c r="AD33" i="121"/>
  <c r="AE33" i="121"/>
  <c r="AF33" i="121"/>
  <c r="AG33" i="121"/>
  <c r="AI33" i="121"/>
  <c r="AD34" i="121"/>
  <c r="AE34" i="121"/>
  <c r="AF34" i="121"/>
  <c r="AG34" i="121"/>
  <c r="AI34" i="121"/>
  <c r="AI27" i="121"/>
  <c r="AI26" i="121"/>
  <c r="AJ26" i="121" s="1"/>
  <c r="AG27" i="121"/>
  <c r="AF27" i="121"/>
  <c r="AE27" i="121"/>
  <c r="AD27" i="121"/>
  <c r="AD14" i="121"/>
  <c r="AE14" i="121"/>
  <c r="AF14" i="121"/>
  <c r="AG14" i="121"/>
  <c r="AI14" i="121"/>
  <c r="AD15" i="121"/>
  <c r="AE15" i="121"/>
  <c r="AF15" i="121"/>
  <c r="AG15" i="121"/>
  <c r="AI15" i="121"/>
  <c r="AD16" i="121"/>
  <c r="AE16" i="121"/>
  <c r="AF16" i="121"/>
  <c r="AG16" i="121"/>
  <c r="AI16" i="121"/>
  <c r="AD17" i="121"/>
  <c r="AE17" i="121"/>
  <c r="AF17" i="121"/>
  <c r="AG17" i="121"/>
  <c r="AI17" i="121"/>
  <c r="AD18" i="121"/>
  <c r="AE18" i="121"/>
  <c r="AF18" i="121"/>
  <c r="AG18" i="121"/>
  <c r="AI18" i="121"/>
  <c r="AD19" i="121"/>
  <c r="AE19" i="121"/>
  <c r="AF19" i="121"/>
  <c r="AG19" i="121"/>
  <c r="AI19" i="121"/>
  <c r="AD20" i="121"/>
  <c r="AE20" i="121"/>
  <c r="AF20" i="121"/>
  <c r="AG20" i="121"/>
  <c r="AI20" i="121"/>
  <c r="AI13" i="121"/>
  <c r="AI12" i="121"/>
  <c r="AG13" i="121"/>
  <c r="AF13" i="121"/>
  <c r="AE13" i="121"/>
  <c r="AD13" i="121"/>
  <c r="AB152" i="121"/>
  <c r="AB138" i="121"/>
  <c r="AB124" i="121"/>
  <c r="AB110" i="121"/>
  <c r="AB96" i="121"/>
  <c r="AB82" i="121"/>
  <c r="AB68" i="121"/>
  <c r="AB54" i="121"/>
  <c r="AB40" i="121"/>
  <c r="AB26" i="121"/>
  <c r="AB12" i="121"/>
  <c r="AD28" i="127"/>
  <c r="AE28" i="127"/>
  <c r="AF28" i="127"/>
  <c r="AG28" i="127"/>
  <c r="AI28" i="127"/>
  <c r="AD29" i="127"/>
  <c r="AE29" i="127"/>
  <c r="AF29" i="127"/>
  <c r="AG29" i="127"/>
  <c r="AI29" i="127"/>
  <c r="AD30" i="127"/>
  <c r="AE30" i="127"/>
  <c r="AF30" i="127"/>
  <c r="AG30" i="127"/>
  <c r="AI30" i="127"/>
  <c r="AD31" i="127"/>
  <c r="AE31" i="127"/>
  <c r="AF31" i="127"/>
  <c r="AG31" i="127"/>
  <c r="AI31" i="127"/>
  <c r="AD32" i="127"/>
  <c r="AE32" i="127"/>
  <c r="AF32" i="127"/>
  <c r="AG32" i="127"/>
  <c r="AI32" i="127"/>
  <c r="AD33" i="127"/>
  <c r="AE33" i="127"/>
  <c r="AF33" i="127"/>
  <c r="AG33" i="127"/>
  <c r="AI33" i="127"/>
  <c r="AD34" i="127"/>
  <c r="AE34" i="127"/>
  <c r="AF34" i="127"/>
  <c r="AG34" i="127"/>
  <c r="AI34" i="127"/>
  <c r="AI27" i="127"/>
  <c r="AI26" i="127"/>
  <c r="AJ26" i="127" s="1"/>
  <c r="AG27" i="127"/>
  <c r="AF27" i="127"/>
  <c r="AE27" i="127"/>
  <c r="AD27" i="127"/>
  <c r="AD14" i="127"/>
  <c r="AE14" i="127"/>
  <c r="AF14" i="127"/>
  <c r="AG14" i="127"/>
  <c r="AI14" i="127"/>
  <c r="AD15" i="127"/>
  <c r="AE15" i="127"/>
  <c r="AF15" i="127"/>
  <c r="AG15" i="127"/>
  <c r="AI15" i="127"/>
  <c r="AD16" i="127"/>
  <c r="AE16" i="127"/>
  <c r="AF16" i="127"/>
  <c r="AG16" i="127"/>
  <c r="AI16" i="127"/>
  <c r="AD17" i="127"/>
  <c r="AE17" i="127"/>
  <c r="AF17" i="127"/>
  <c r="AG17" i="127"/>
  <c r="AI17" i="127"/>
  <c r="AD18" i="127"/>
  <c r="AE18" i="127"/>
  <c r="AF18" i="127"/>
  <c r="AG18" i="127"/>
  <c r="AI18" i="127"/>
  <c r="AD19" i="127"/>
  <c r="AE19" i="127"/>
  <c r="AF19" i="127"/>
  <c r="AG19" i="127"/>
  <c r="AI19" i="127"/>
  <c r="AD20" i="127"/>
  <c r="AE20" i="127"/>
  <c r="AF20" i="127"/>
  <c r="AG20" i="127"/>
  <c r="AI20" i="127"/>
  <c r="AI13" i="127"/>
  <c r="AI12" i="127"/>
  <c r="AG13" i="127"/>
  <c r="AF13" i="127"/>
  <c r="AE13" i="127"/>
  <c r="AD13" i="127"/>
  <c r="AB26" i="127"/>
  <c r="AB12" i="127"/>
  <c r="AE168" i="140"/>
  <c r="AF168" i="140"/>
  <c r="AG168" i="140"/>
  <c r="AH168" i="140"/>
  <c r="AJ168" i="140"/>
  <c r="AE169" i="140"/>
  <c r="AF169" i="140"/>
  <c r="AG169" i="140"/>
  <c r="AH169" i="140"/>
  <c r="AJ169" i="140"/>
  <c r="AE170" i="140"/>
  <c r="AF170" i="140"/>
  <c r="AG170" i="140"/>
  <c r="AH170" i="140"/>
  <c r="AJ170" i="140"/>
  <c r="AE171" i="140"/>
  <c r="AF171" i="140"/>
  <c r="AG171" i="140"/>
  <c r="AH171" i="140"/>
  <c r="AJ171" i="140"/>
  <c r="AE172" i="140"/>
  <c r="AF172" i="140"/>
  <c r="AG172" i="140"/>
  <c r="AH172" i="140"/>
  <c r="AJ172" i="140"/>
  <c r="AE173" i="140"/>
  <c r="AF173" i="140"/>
  <c r="AG173" i="140"/>
  <c r="AH173" i="140"/>
  <c r="AJ173" i="140"/>
  <c r="AE174" i="140"/>
  <c r="AF174" i="140"/>
  <c r="AG174" i="140"/>
  <c r="AH174" i="140"/>
  <c r="AJ174" i="140"/>
  <c r="AJ167" i="140"/>
  <c r="AJ166" i="140"/>
  <c r="AK166" i="140" s="1"/>
  <c r="AG167" i="140"/>
  <c r="AH167" i="140"/>
  <c r="AF167" i="140"/>
  <c r="AE167" i="140"/>
  <c r="AJ152" i="140"/>
  <c r="AK152" i="140" s="1"/>
  <c r="AE154" i="140"/>
  <c r="AF154" i="140"/>
  <c r="AG154" i="140"/>
  <c r="AH154" i="140"/>
  <c r="AJ154" i="140"/>
  <c r="AE155" i="140"/>
  <c r="AF155" i="140"/>
  <c r="AG155" i="140"/>
  <c r="AH155" i="140"/>
  <c r="AJ155" i="140"/>
  <c r="AE156" i="140"/>
  <c r="AF156" i="140"/>
  <c r="AG156" i="140"/>
  <c r="AH156" i="140"/>
  <c r="AJ156" i="140"/>
  <c r="AE157" i="140"/>
  <c r="AF157" i="140"/>
  <c r="AG157" i="140"/>
  <c r="AH157" i="140"/>
  <c r="AJ157" i="140"/>
  <c r="AE158" i="140"/>
  <c r="AF158" i="140"/>
  <c r="AG158" i="140"/>
  <c r="AH158" i="140"/>
  <c r="AJ158" i="140"/>
  <c r="AE159" i="140"/>
  <c r="AF159" i="140"/>
  <c r="AG159" i="140"/>
  <c r="AH159" i="140"/>
  <c r="AJ159" i="140"/>
  <c r="AE160" i="140"/>
  <c r="AF160" i="140"/>
  <c r="AG160" i="140"/>
  <c r="AH160" i="140"/>
  <c r="AJ160" i="140"/>
  <c r="AJ153" i="140"/>
  <c r="AG153" i="140"/>
  <c r="AH153" i="140"/>
  <c r="AF153" i="140"/>
  <c r="AE153" i="140"/>
  <c r="AE140" i="140"/>
  <c r="AF140" i="140"/>
  <c r="AG140" i="140"/>
  <c r="AH140" i="140"/>
  <c r="AJ140" i="140"/>
  <c r="AE141" i="140"/>
  <c r="AF141" i="140"/>
  <c r="AG141" i="140"/>
  <c r="AH141" i="140"/>
  <c r="AJ141" i="140"/>
  <c r="AE142" i="140"/>
  <c r="AF142" i="140"/>
  <c r="AG142" i="140"/>
  <c r="AH142" i="140"/>
  <c r="AJ142" i="140"/>
  <c r="AE143" i="140"/>
  <c r="AF143" i="140"/>
  <c r="AG143" i="140"/>
  <c r="AH143" i="140"/>
  <c r="AJ143" i="140"/>
  <c r="AE144" i="140"/>
  <c r="AF144" i="140"/>
  <c r="AG144" i="140"/>
  <c r="AH144" i="140"/>
  <c r="AJ144" i="140"/>
  <c r="AE145" i="140"/>
  <c r="AF145" i="140"/>
  <c r="AG145" i="140"/>
  <c r="AH145" i="140"/>
  <c r="AJ145" i="140"/>
  <c r="AE146" i="140"/>
  <c r="AF146" i="140"/>
  <c r="AG146" i="140"/>
  <c r="AH146" i="140"/>
  <c r="AJ146" i="140"/>
  <c r="AJ139" i="140"/>
  <c r="AJ138" i="140"/>
  <c r="AK138" i="140" s="1"/>
  <c r="AG139" i="140"/>
  <c r="AH139" i="140"/>
  <c r="AF139" i="140"/>
  <c r="AE139" i="140"/>
  <c r="AE126" i="140"/>
  <c r="AF126" i="140"/>
  <c r="AG126" i="140"/>
  <c r="AH126" i="140"/>
  <c r="AJ126" i="140"/>
  <c r="AE127" i="140"/>
  <c r="AF127" i="140"/>
  <c r="AG127" i="140"/>
  <c r="AH127" i="140"/>
  <c r="AJ127" i="140"/>
  <c r="AE128" i="140"/>
  <c r="AF128" i="140"/>
  <c r="AG128" i="140"/>
  <c r="AH128" i="140"/>
  <c r="AJ128" i="140"/>
  <c r="AE129" i="140"/>
  <c r="AF129" i="140"/>
  <c r="AG129" i="140"/>
  <c r="AH129" i="140"/>
  <c r="AJ129" i="140"/>
  <c r="AE130" i="140"/>
  <c r="AF130" i="140"/>
  <c r="AG130" i="140"/>
  <c r="AH130" i="140"/>
  <c r="AJ130" i="140"/>
  <c r="AE131" i="140"/>
  <c r="AF131" i="140"/>
  <c r="AG131" i="140"/>
  <c r="AH131" i="140"/>
  <c r="AJ131" i="140"/>
  <c r="AE132" i="140"/>
  <c r="AF132" i="140"/>
  <c r="AG132" i="140"/>
  <c r="AH132" i="140"/>
  <c r="AJ132" i="140"/>
  <c r="AG125" i="140"/>
  <c r="AH125" i="140"/>
  <c r="AJ125" i="140"/>
  <c r="AJ124" i="140"/>
  <c r="AK124" i="140" s="1"/>
  <c r="AF125" i="140"/>
  <c r="AE125" i="140"/>
  <c r="AE112" i="140"/>
  <c r="AF112" i="140"/>
  <c r="AG112" i="140"/>
  <c r="AH112" i="140"/>
  <c r="AJ112" i="140"/>
  <c r="AE113" i="140"/>
  <c r="AF113" i="140"/>
  <c r="AG113" i="140"/>
  <c r="AH113" i="140"/>
  <c r="AJ113" i="140"/>
  <c r="AE114" i="140"/>
  <c r="AF114" i="140"/>
  <c r="AG114" i="140"/>
  <c r="AH114" i="140"/>
  <c r="AJ114" i="140"/>
  <c r="AE115" i="140"/>
  <c r="AF115" i="140"/>
  <c r="AG115" i="140"/>
  <c r="AH115" i="140"/>
  <c r="AJ115" i="140"/>
  <c r="AE116" i="140"/>
  <c r="AF116" i="140"/>
  <c r="AG116" i="140"/>
  <c r="AH116" i="140"/>
  <c r="AJ116" i="140"/>
  <c r="AE117" i="140"/>
  <c r="AF117" i="140"/>
  <c r="AG117" i="140"/>
  <c r="AH117" i="140"/>
  <c r="AJ117" i="140"/>
  <c r="AE118" i="140"/>
  <c r="AF118" i="140"/>
  <c r="AG118" i="140"/>
  <c r="AH118" i="140"/>
  <c r="AJ118" i="140"/>
  <c r="AJ111" i="140"/>
  <c r="AJ110" i="140"/>
  <c r="AK110" i="140" s="1"/>
  <c r="AG111" i="140"/>
  <c r="AH111" i="140"/>
  <c r="AF111" i="140"/>
  <c r="AE111" i="140"/>
  <c r="AJ97" i="140"/>
  <c r="AJ98" i="140"/>
  <c r="AJ99" i="140"/>
  <c r="AJ100" i="140"/>
  <c r="AJ101" i="140"/>
  <c r="AJ102" i="140"/>
  <c r="AJ103" i="140"/>
  <c r="AJ104" i="140"/>
  <c r="AJ96" i="140"/>
  <c r="AK96" i="140" s="1"/>
  <c r="AE98" i="140"/>
  <c r="AF98" i="140"/>
  <c r="AG98" i="140"/>
  <c r="AH98" i="140"/>
  <c r="AE99" i="140"/>
  <c r="AF99" i="140"/>
  <c r="AG99" i="140"/>
  <c r="AH99" i="140"/>
  <c r="AE100" i="140"/>
  <c r="AF100" i="140"/>
  <c r="AG100" i="140"/>
  <c r="AH100" i="140"/>
  <c r="AE101" i="140"/>
  <c r="AF101" i="140"/>
  <c r="AG101" i="140"/>
  <c r="AH101" i="140"/>
  <c r="AE102" i="140"/>
  <c r="AF102" i="140"/>
  <c r="AG102" i="140"/>
  <c r="AH102" i="140"/>
  <c r="AE103" i="140"/>
  <c r="AF103" i="140"/>
  <c r="AG103" i="140"/>
  <c r="AH103" i="140"/>
  <c r="AE104" i="140"/>
  <c r="AF104" i="140"/>
  <c r="AG104" i="140"/>
  <c r="AH104" i="140"/>
  <c r="AG97" i="140"/>
  <c r="AH97" i="140"/>
  <c r="AF97" i="140"/>
  <c r="AE97" i="140"/>
  <c r="AJ83" i="140"/>
  <c r="AJ84" i="140"/>
  <c r="AJ85" i="140"/>
  <c r="AJ86" i="140"/>
  <c r="AJ87" i="140"/>
  <c r="AJ88" i="140"/>
  <c r="AJ89" i="140"/>
  <c r="AJ90" i="140"/>
  <c r="AJ82" i="140"/>
  <c r="AK82" i="140" s="1"/>
  <c r="AJ69" i="140"/>
  <c r="AJ70" i="140"/>
  <c r="AJ71" i="140"/>
  <c r="AJ72" i="140"/>
  <c r="AJ73" i="140"/>
  <c r="AJ74" i="140"/>
  <c r="AJ75" i="140"/>
  <c r="AJ76" i="140"/>
  <c r="AJ68" i="140"/>
  <c r="AK68" i="140" s="1"/>
  <c r="AE84" i="140"/>
  <c r="AF84" i="140"/>
  <c r="AG84" i="140"/>
  <c r="AH84" i="140"/>
  <c r="AE85" i="140"/>
  <c r="AF85" i="140"/>
  <c r="AG85" i="140"/>
  <c r="AH85" i="140"/>
  <c r="AE86" i="140"/>
  <c r="AF86" i="140"/>
  <c r="AG86" i="140"/>
  <c r="AH86" i="140"/>
  <c r="AE87" i="140"/>
  <c r="AF87" i="140"/>
  <c r="AG87" i="140"/>
  <c r="AH87" i="140"/>
  <c r="AE88" i="140"/>
  <c r="AF88" i="140"/>
  <c r="AG88" i="140"/>
  <c r="AH88" i="140"/>
  <c r="AE89" i="140"/>
  <c r="AF89" i="140"/>
  <c r="AG89" i="140"/>
  <c r="AH89" i="140"/>
  <c r="AE90" i="140"/>
  <c r="AF90" i="140"/>
  <c r="AG90" i="140"/>
  <c r="AH90" i="140"/>
  <c r="AG83" i="140"/>
  <c r="AH83" i="140"/>
  <c r="AF83" i="140"/>
  <c r="AE83" i="140"/>
  <c r="AE70" i="140"/>
  <c r="AF70" i="140"/>
  <c r="AG70" i="140"/>
  <c r="AH70" i="140"/>
  <c r="AE71" i="140"/>
  <c r="AF71" i="140"/>
  <c r="AG71" i="140"/>
  <c r="AH71" i="140"/>
  <c r="AE72" i="140"/>
  <c r="AF72" i="140"/>
  <c r="AG72" i="140"/>
  <c r="AH72" i="140"/>
  <c r="AE73" i="140"/>
  <c r="AF73" i="140"/>
  <c r="AG73" i="140"/>
  <c r="AH73" i="140"/>
  <c r="AE74" i="140"/>
  <c r="AF74" i="140"/>
  <c r="AG74" i="140"/>
  <c r="AH74" i="140"/>
  <c r="AE75" i="140"/>
  <c r="AF75" i="140"/>
  <c r="AG75" i="140"/>
  <c r="AH75" i="140"/>
  <c r="AE76" i="140"/>
  <c r="AF76" i="140"/>
  <c r="AG76" i="140"/>
  <c r="AH76" i="140"/>
  <c r="AG69" i="140"/>
  <c r="AH69" i="140"/>
  <c r="AF69" i="140"/>
  <c r="AE42" i="140"/>
  <c r="AF42" i="140"/>
  <c r="AG42" i="140"/>
  <c r="AH42" i="140"/>
  <c r="AE43" i="140"/>
  <c r="AF43" i="140"/>
  <c r="AG43" i="140"/>
  <c r="AH43" i="140"/>
  <c r="AE44" i="140"/>
  <c r="AF44" i="140"/>
  <c r="AG44" i="140"/>
  <c r="AH44" i="140"/>
  <c r="AE45" i="140"/>
  <c r="AF45" i="140"/>
  <c r="AG45" i="140"/>
  <c r="AH45" i="140"/>
  <c r="AE46" i="140"/>
  <c r="AF46" i="140"/>
  <c r="AG46" i="140"/>
  <c r="AH46" i="140"/>
  <c r="AE47" i="140"/>
  <c r="AF47" i="140"/>
  <c r="AG47" i="140"/>
  <c r="AH47" i="140"/>
  <c r="AE48" i="140"/>
  <c r="AF48" i="140"/>
  <c r="AG48" i="140"/>
  <c r="AH48" i="140"/>
  <c r="AG41" i="140"/>
  <c r="AH41" i="140"/>
  <c r="AF41" i="140"/>
  <c r="AE56" i="140"/>
  <c r="AF56" i="140"/>
  <c r="AG56" i="140"/>
  <c r="AH56" i="140"/>
  <c r="AE57" i="140"/>
  <c r="AF57" i="140"/>
  <c r="AG57" i="140"/>
  <c r="AH57" i="140"/>
  <c r="AE58" i="140"/>
  <c r="AF58" i="140"/>
  <c r="AG58" i="140"/>
  <c r="AH58" i="140"/>
  <c r="AE59" i="140"/>
  <c r="AF59" i="140"/>
  <c r="AG59" i="140"/>
  <c r="AH59" i="140"/>
  <c r="AE60" i="140"/>
  <c r="AF60" i="140"/>
  <c r="AG60" i="140"/>
  <c r="AH60" i="140"/>
  <c r="AE61" i="140"/>
  <c r="AF61" i="140"/>
  <c r="AG61" i="140"/>
  <c r="AH61" i="140"/>
  <c r="AE62" i="140"/>
  <c r="AF62" i="140"/>
  <c r="AG62" i="140"/>
  <c r="AH62" i="140"/>
  <c r="AG55" i="140"/>
  <c r="AH55" i="140"/>
  <c r="AF55" i="140"/>
  <c r="AE69" i="140"/>
  <c r="AJ55" i="140"/>
  <c r="AJ56" i="140"/>
  <c r="AJ57" i="140"/>
  <c r="AJ58" i="140"/>
  <c r="AJ59" i="140"/>
  <c r="AJ60" i="140"/>
  <c r="AJ61" i="140"/>
  <c r="AJ62" i="140"/>
  <c r="AE55" i="140"/>
  <c r="AJ54" i="140"/>
  <c r="AK54" i="140" s="1"/>
  <c r="AJ41" i="140"/>
  <c r="AJ42" i="140"/>
  <c r="AJ43" i="140"/>
  <c r="AJ44" i="140"/>
  <c r="AJ45" i="140"/>
  <c r="AJ46" i="140"/>
  <c r="AJ47" i="140"/>
  <c r="AJ48" i="140"/>
  <c r="AJ40" i="140"/>
  <c r="AK40" i="140" s="1"/>
  <c r="AE41" i="140"/>
  <c r="AJ27" i="140"/>
  <c r="AJ28" i="140"/>
  <c r="AJ29" i="140"/>
  <c r="AJ30" i="140"/>
  <c r="AJ31" i="140"/>
  <c r="AJ32" i="140"/>
  <c r="AJ33" i="140"/>
  <c r="AJ34" i="140"/>
  <c r="AJ26" i="140"/>
  <c r="AK26" i="140" s="1"/>
  <c r="AE28" i="140"/>
  <c r="AF28" i="140"/>
  <c r="AG28" i="140"/>
  <c r="AH28" i="140"/>
  <c r="AE29" i="140"/>
  <c r="AF29" i="140"/>
  <c r="AG29" i="140"/>
  <c r="AH29" i="140"/>
  <c r="AE30" i="140"/>
  <c r="AF30" i="140"/>
  <c r="AG30" i="140"/>
  <c r="AH30" i="140"/>
  <c r="AE31" i="140"/>
  <c r="AF31" i="140"/>
  <c r="AG31" i="140"/>
  <c r="AH31" i="140"/>
  <c r="AE32" i="140"/>
  <c r="AF32" i="140"/>
  <c r="AG32" i="140"/>
  <c r="AH32" i="140"/>
  <c r="AE33" i="140"/>
  <c r="AF33" i="140"/>
  <c r="AG33" i="140"/>
  <c r="AH33" i="140"/>
  <c r="AE34" i="140"/>
  <c r="AF34" i="140"/>
  <c r="AG34" i="140"/>
  <c r="AH34" i="140"/>
  <c r="AG27" i="140"/>
  <c r="AH27" i="140"/>
  <c r="AF27" i="140"/>
  <c r="AE27" i="140"/>
  <c r="AJ13" i="140"/>
  <c r="AJ14" i="140"/>
  <c r="AJ15" i="140"/>
  <c r="AJ16" i="140"/>
  <c r="AJ17" i="140"/>
  <c r="AJ18" i="140"/>
  <c r="AJ19" i="140"/>
  <c r="AJ20" i="140"/>
  <c r="AJ12" i="140"/>
  <c r="AK12" i="140" s="1"/>
  <c r="AE14" i="140"/>
  <c r="AF14" i="140"/>
  <c r="AG14" i="140"/>
  <c r="AH14" i="140"/>
  <c r="AE15" i="140"/>
  <c r="AF15" i="140"/>
  <c r="AG15" i="140"/>
  <c r="AH15" i="140"/>
  <c r="AE16" i="140"/>
  <c r="AF16" i="140"/>
  <c r="AG16" i="140"/>
  <c r="AH16" i="140"/>
  <c r="AE17" i="140"/>
  <c r="AF17" i="140"/>
  <c r="AG17" i="140"/>
  <c r="AH17" i="140"/>
  <c r="AE18" i="140"/>
  <c r="AF18" i="140"/>
  <c r="AG18" i="140"/>
  <c r="AH18" i="140"/>
  <c r="AE19" i="140"/>
  <c r="AF19" i="140"/>
  <c r="AG19" i="140"/>
  <c r="AH19" i="140"/>
  <c r="AE20" i="140"/>
  <c r="AF20" i="140"/>
  <c r="AG20" i="140"/>
  <c r="AH20" i="140"/>
  <c r="AH13" i="140"/>
  <c r="AG13" i="140"/>
  <c r="AF13" i="140"/>
  <c r="AE13" i="140"/>
  <c r="AC124" i="140"/>
  <c r="AC152" i="140"/>
  <c r="AC138" i="140"/>
  <c r="AC110" i="140"/>
  <c r="AC96" i="140"/>
  <c r="AC82" i="140"/>
  <c r="AC68" i="140"/>
  <c r="AC54" i="140"/>
  <c r="AC40" i="140"/>
  <c r="AC26" i="140"/>
  <c r="AC12" i="140"/>
  <c r="AD13" i="122"/>
  <c r="AE13" i="122"/>
  <c r="AF13" i="122"/>
  <c r="AG13" i="122"/>
  <c r="AI174" i="122"/>
  <c r="AI173" i="122"/>
  <c r="AI172" i="122"/>
  <c r="AI171" i="122"/>
  <c r="AI170" i="122"/>
  <c r="AI169" i="122"/>
  <c r="AI168" i="122"/>
  <c r="AI167" i="122"/>
  <c r="AI166" i="122"/>
  <c r="AJ166" i="122" s="1"/>
  <c r="AI160" i="122"/>
  <c r="AI159" i="122"/>
  <c r="AI158" i="122"/>
  <c r="AI157" i="122"/>
  <c r="AI156" i="122"/>
  <c r="AI155" i="122"/>
  <c r="AI154" i="122"/>
  <c r="AI153" i="122"/>
  <c r="AI152" i="122"/>
  <c r="AJ152" i="122" s="1"/>
  <c r="AI146" i="122"/>
  <c r="AI145" i="122"/>
  <c r="AI144" i="122"/>
  <c r="AI143" i="122"/>
  <c r="AI142" i="122"/>
  <c r="AI141" i="122"/>
  <c r="AI140" i="122"/>
  <c r="AI139" i="122"/>
  <c r="AI138" i="122"/>
  <c r="AJ138" i="122" s="1"/>
  <c r="AI132" i="122"/>
  <c r="AI131" i="122"/>
  <c r="AI130" i="122"/>
  <c r="AI129" i="122"/>
  <c r="AI128" i="122"/>
  <c r="AI127" i="122"/>
  <c r="AI126" i="122"/>
  <c r="AI125" i="122"/>
  <c r="AI124" i="122"/>
  <c r="AJ124" i="122" s="1"/>
  <c r="AI118" i="122"/>
  <c r="AI117" i="122"/>
  <c r="AI116" i="122"/>
  <c r="AI115" i="122"/>
  <c r="AI114" i="122"/>
  <c r="AI113" i="122"/>
  <c r="AI112" i="122"/>
  <c r="AI111" i="122"/>
  <c r="AI110" i="122"/>
  <c r="AJ110" i="122" s="1"/>
  <c r="AI96" i="122"/>
  <c r="AI90" i="122"/>
  <c r="AI89" i="122"/>
  <c r="AI88" i="122"/>
  <c r="AI87" i="122"/>
  <c r="AI86" i="122"/>
  <c r="AI85" i="122"/>
  <c r="AI84" i="122"/>
  <c r="AI83" i="122"/>
  <c r="AI82" i="122"/>
  <c r="AJ82" i="122" s="1"/>
  <c r="AI76" i="122"/>
  <c r="AI75" i="122"/>
  <c r="AI74" i="122"/>
  <c r="AI73" i="122"/>
  <c r="AI72" i="122"/>
  <c r="AI71" i="122"/>
  <c r="AI70" i="122"/>
  <c r="AI69" i="122"/>
  <c r="AI68" i="122"/>
  <c r="AI62" i="122"/>
  <c r="AI61" i="122"/>
  <c r="AI60" i="122"/>
  <c r="AI59" i="122"/>
  <c r="AI58" i="122"/>
  <c r="AI57" i="122"/>
  <c r="AI56" i="122"/>
  <c r="AI55" i="122"/>
  <c r="AI54" i="122"/>
  <c r="AI48" i="122"/>
  <c r="AI47" i="122"/>
  <c r="AI46" i="122"/>
  <c r="AI45" i="122"/>
  <c r="AI44" i="122"/>
  <c r="AI43" i="122"/>
  <c r="AI42" i="122"/>
  <c r="AI41" i="122"/>
  <c r="AI40" i="122"/>
  <c r="AJ40" i="122" s="1"/>
  <c r="AI34" i="122"/>
  <c r="AI33" i="122"/>
  <c r="AI32" i="122"/>
  <c r="AI31" i="122"/>
  <c r="AI30" i="122"/>
  <c r="AI29" i="122"/>
  <c r="AI28" i="122"/>
  <c r="AI27" i="122"/>
  <c r="AI26" i="122"/>
  <c r="AI20" i="122"/>
  <c r="AI19" i="122"/>
  <c r="AI18" i="122"/>
  <c r="AI17" i="122"/>
  <c r="AI16" i="122"/>
  <c r="AI15" i="122"/>
  <c r="AI14" i="122"/>
  <c r="AI13" i="122"/>
  <c r="AI12" i="122"/>
  <c r="AJ12" i="122" s="1"/>
  <c r="AG174" i="122"/>
  <c r="AG173" i="122"/>
  <c r="AG172" i="122"/>
  <c r="AG171" i="122"/>
  <c r="AG170" i="122"/>
  <c r="AG169" i="122"/>
  <c r="AG168" i="122"/>
  <c r="AG167" i="122"/>
  <c r="AG160" i="122"/>
  <c r="AG159" i="122"/>
  <c r="AG158" i="122"/>
  <c r="AG157" i="122"/>
  <c r="AG156" i="122"/>
  <c r="AG155" i="122"/>
  <c r="AG154" i="122"/>
  <c r="AG153" i="122"/>
  <c r="AG146" i="122"/>
  <c r="AG145" i="122"/>
  <c r="AG144" i="122"/>
  <c r="AG143" i="122"/>
  <c r="AG142" i="122"/>
  <c r="AG141" i="122"/>
  <c r="AG140" i="122"/>
  <c r="AG139" i="122"/>
  <c r="AG132" i="122"/>
  <c r="AG131" i="122"/>
  <c r="AG130" i="122"/>
  <c r="AG129" i="122"/>
  <c r="AG128" i="122"/>
  <c r="AG127" i="122"/>
  <c r="AG126" i="122"/>
  <c r="AG125" i="122"/>
  <c r="AG118" i="122"/>
  <c r="AG117" i="122"/>
  <c r="AG116" i="122"/>
  <c r="AG115" i="122"/>
  <c r="AG114" i="122"/>
  <c r="AG113" i="122"/>
  <c r="AG112" i="122"/>
  <c r="AG111" i="122"/>
  <c r="AG90" i="122"/>
  <c r="AG89" i="122"/>
  <c r="AG88" i="122"/>
  <c r="AG87" i="122"/>
  <c r="AG86" i="122"/>
  <c r="AG85" i="122"/>
  <c r="AG84" i="122"/>
  <c r="AG83" i="122"/>
  <c r="AG76" i="122"/>
  <c r="AG75" i="122"/>
  <c r="AG74" i="122"/>
  <c r="AG73" i="122"/>
  <c r="AG72" i="122"/>
  <c r="AG71" i="122"/>
  <c r="AG70" i="122"/>
  <c r="AG69" i="122"/>
  <c r="AG62" i="122"/>
  <c r="AG61" i="122"/>
  <c r="AG60" i="122"/>
  <c r="AG59" i="122"/>
  <c r="AG58" i="122"/>
  <c r="AG57" i="122"/>
  <c r="AG56" i="122"/>
  <c r="AG55" i="122"/>
  <c r="AG48" i="122"/>
  <c r="AG47" i="122"/>
  <c r="AG46" i="122"/>
  <c r="AG45" i="122"/>
  <c r="AG44" i="122"/>
  <c r="AG43" i="122"/>
  <c r="AG42" i="122"/>
  <c r="AG41" i="122"/>
  <c r="AG34" i="122"/>
  <c r="AG33" i="122"/>
  <c r="AG32" i="122"/>
  <c r="AG31" i="122"/>
  <c r="AG30" i="122"/>
  <c r="AG29" i="122"/>
  <c r="AG28" i="122"/>
  <c r="AG27" i="122"/>
  <c r="AG20" i="122"/>
  <c r="AG19" i="122"/>
  <c r="AG18" i="122"/>
  <c r="AG17" i="122"/>
  <c r="AG16" i="122"/>
  <c r="AG15" i="122"/>
  <c r="AG14" i="122"/>
  <c r="AF174" i="122"/>
  <c r="AF173" i="122"/>
  <c r="AF172" i="122"/>
  <c r="AF171" i="122"/>
  <c r="AF170" i="122"/>
  <c r="AF169" i="122"/>
  <c r="AF168" i="122"/>
  <c r="AF167" i="122"/>
  <c r="AF160" i="122"/>
  <c r="AF159" i="122"/>
  <c r="AF158" i="122"/>
  <c r="AF157" i="122"/>
  <c r="AF156" i="122"/>
  <c r="AF155" i="122"/>
  <c r="AF154" i="122"/>
  <c r="AF153" i="122"/>
  <c r="AF146" i="122"/>
  <c r="AF145" i="122"/>
  <c r="AF144" i="122"/>
  <c r="AF143" i="122"/>
  <c r="AF142" i="122"/>
  <c r="AF141" i="122"/>
  <c r="AF140" i="122"/>
  <c r="AF139" i="122"/>
  <c r="AF132" i="122"/>
  <c r="AF131" i="122"/>
  <c r="AF130" i="122"/>
  <c r="AF129" i="122"/>
  <c r="AF128" i="122"/>
  <c r="AF127" i="122"/>
  <c r="AF126" i="122"/>
  <c r="AF125" i="122"/>
  <c r="AF118" i="122"/>
  <c r="AF117" i="122"/>
  <c r="AF116" i="122"/>
  <c r="AF115" i="122"/>
  <c r="AF114" i="122"/>
  <c r="AF113" i="122"/>
  <c r="AF112" i="122"/>
  <c r="AF111" i="122"/>
  <c r="AF90" i="122"/>
  <c r="AF89" i="122"/>
  <c r="AF88" i="122"/>
  <c r="AF87" i="122"/>
  <c r="AF86" i="122"/>
  <c r="AF85" i="122"/>
  <c r="AF84" i="122"/>
  <c r="AF83" i="122"/>
  <c r="AF76" i="122"/>
  <c r="AF75" i="122"/>
  <c r="AF74" i="122"/>
  <c r="AF73" i="122"/>
  <c r="AF72" i="122"/>
  <c r="AF71" i="122"/>
  <c r="AF70" i="122"/>
  <c r="AF69" i="122"/>
  <c r="AF62" i="122"/>
  <c r="AF61" i="122"/>
  <c r="AF60" i="122"/>
  <c r="AF59" i="122"/>
  <c r="AF58" i="122"/>
  <c r="AF57" i="122"/>
  <c r="AF56" i="122"/>
  <c r="AF55" i="122"/>
  <c r="AF48" i="122"/>
  <c r="AF47" i="122"/>
  <c r="AF46" i="122"/>
  <c r="AF45" i="122"/>
  <c r="AF44" i="122"/>
  <c r="AF43" i="122"/>
  <c r="AF42" i="122"/>
  <c r="AF41" i="122"/>
  <c r="AF34" i="122"/>
  <c r="AF33" i="122"/>
  <c r="AF32" i="122"/>
  <c r="AF31" i="122"/>
  <c r="AF30" i="122"/>
  <c r="AF29" i="122"/>
  <c r="AF28" i="122"/>
  <c r="AF27" i="122"/>
  <c r="AF20" i="122"/>
  <c r="AF19" i="122"/>
  <c r="AF18" i="122"/>
  <c r="AF17" i="122"/>
  <c r="AF16" i="122"/>
  <c r="AF15" i="122"/>
  <c r="AF14" i="122"/>
  <c r="AE174" i="122"/>
  <c r="AE173" i="122"/>
  <c r="AE172" i="122"/>
  <c r="AE171" i="122"/>
  <c r="AE170" i="122"/>
  <c r="AE169" i="122"/>
  <c r="AE168" i="122"/>
  <c r="AE167" i="122"/>
  <c r="AE160" i="122"/>
  <c r="AE159" i="122"/>
  <c r="AE158" i="122"/>
  <c r="AE157" i="122"/>
  <c r="AE156" i="122"/>
  <c r="AE155" i="122"/>
  <c r="AE154" i="122"/>
  <c r="AE153" i="122"/>
  <c r="AE146" i="122"/>
  <c r="AE145" i="122"/>
  <c r="AE144" i="122"/>
  <c r="AE143" i="122"/>
  <c r="AE142" i="122"/>
  <c r="AE141" i="122"/>
  <c r="AE140" i="122"/>
  <c r="AE139" i="122"/>
  <c r="AE132" i="122"/>
  <c r="AE131" i="122"/>
  <c r="AE130" i="122"/>
  <c r="AE129" i="122"/>
  <c r="AE128" i="122"/>
  <c r="AE127" i="122"/>
  <c r="AE126" i="122"/>
  <c r="AE125" i="122"/>
  <c r="AE118" i="122"/>
  <c r="AE117" i="122"/>
  <c r="AE116" i="122"/>
  <c r="AE115" i="122"/>
  <c r="AE114" i="122"/>
  <c r="AE113" i="122"/>
  <c r="AE112" i="122"/>
  <c r="AE111" i="122"/>
  <c r="AE90" i="122"/>
  <c r="AE89" i="122"/>
  <c r="AE88" i="122"/>
  <c r="AE87" i="122"/>
  <c r="AE86" i="122"/>
  <c r="AE85" i="122"/>
  <c r="AE84" i="122"/>
  <c r="AE83" i="122"/>
  <c r="AE76" i="122"/>
  <c r="AE75" i="122"/>
  <c r="AE74" i="122"/>
  <c r="AE73" i="122"/>
  <c r="AE72" i="122"/>
  <c r="AE71" i="122"/>
  <c r="AE70" i="122"/>
  <c r="AE69" i="122"/>
  <c r="AE62" i="122"/>
  <c r="AE61" i="122"/>
  <c r="AE60" i="122"/>
  <c r="AE59" i="122"/>
  <c r="AE58" i="122"/>
  <c r="AE57" i="122"/>
  <c r="AE56" i="122"/>
  <c r="AE55" i="122"/>
  <c r="AE48" i="122"/>
  <c r="AE47" i="122"/>
  <c r="AE46" i="122"/>
  <c r="AE45" i="122"/>
  <c r="AE44" i="122"/>
  <c r="AE43" i="122"/>
  <c r="AE42" i="122"/>
  <c r="AE41" i="122"/>
  <c r="AE34" i="122"/>
  <c r="AE33" i="122"/>
  <c r="AE32" i="122"/>
  <c r="AE31" i="122"/>
  <c r="AE30" i="122"/>
  <c r="AE29" i="122"/>
  <c r="AE28" i="122"/>
  <c r="AE27" i="122"/>
  <c r="AE20" i="122"/>
  <c r="AE19" i="122"/>
  <c r="AE18" i="122"/>
  <c r="AE17" i="122"/>
  <c r="AE16" i="122"/>
  <c r="AE15" i="122"/>
  <c r="AE14" i="122"/>
  <c r="AD160" i="122"/>
  <c r="AD159" i="122"/>
  <c r="AD158" i="122"/>
  <c r="AD157" i="122"/>
  <c r="AD156" i="122"/>
  <c r="AD155" i="122"/>
  <c r="AD154" i="122"/>
  <c r="AD153" i="122"/>
  <c r="AD146" i="122"/>
  <c r="AD145" i="122"/>
  <c r="AD144" i="122"/>
  <c r="AD143" i="122"/>
  <c r="AD142" i="122"/>
  <c r="AD141" i="122"/>
  <c r="AD140" i="122"/>
  <c r="AD139" i="122"/>
  <c r="AD132" i="122"/>
  <c r="AD131" i="122"/>
  <c r="AD130" i="122"/>
  <c r="AD129" i="122"/>
  <c r="AD128" i="122"/>
  <c r="AD127" i="122"/>
  <c r="AD126" i="122"/>
  <c r="AD125" i="122"/>
  <c r="AD118" i="122"/>
  <c r="AD117" i="122"/>
  <c r="AD116" i="122"/>
  <c r="AD115" i="122"/>
  <c r="AD114" i="122"/>
  <c r="AD113" i="122"/>
  <c r="AD112" i="122"/>
  <c r="AD111" i="122"/>
  <c r="AD90" i="122"/>
  <c r="AD89" i="122"/>
  <c r="AD88" i="122"/>
  <c r="AD87" i="122"/>
  <c r="AD86" i="122"/>
  <c r="AD85" i="122"/>
  <c r="AD84" i="122"/>
  <c r="AD83" i="122"/>
  <c r="AD76" i="122"/>
  <c r="AD75" i="122"/>
  <c r="AD74" i="122"/>
  <c r="AD73" i="122"/>
  <c r="AD72" i="122"/>
  <c r="AD71" i="122"/>
  <c r="AD70" i="122"/>
  <c r="AD69" i="122"/>
  <c r="AD62" i="122"/>
  <c r="AD61" i="122"/>
  <c r="AD60" i="122"/>
  <c r="AD59" i="122"/>
  <c r="AD58" i="122"/>
  <c r="AD57" i="122"/>
  <c r="AD56" i="122"/>
  <c r="AD55" i="122"/>
  <c r="AD48" i="122"/>
  <c r="AD47" i="122"/>
  <c r="AD46" i="122"/>
  <c r="AD45" i="122"/>
  <c r="AD44" i="122"/>
  <c r="AD43" i="122"/>
  <c r="AD42" i="122"/>
  <c r="AD41" i="122"/>
  <c r="AD34" i="122"/>
  <c r="AD33" i="122"/>
  <c r="AD32" i="122"/>
  <c r="AD31" i="122"/>
  <c r="AD30" i="122"/>
  <c r="AD29" i="122"/>
  <c r="AD28" i="122"/>
  <c r="AD27" i="122"/>
  <c r="AD20" i="122"/>
  <c r="AD19" i="122"/>
  <c r="AD18" i="122"/>
  <c r="AD17" i="122"/>
  <c r="AD16" i="122"/>
  <c r="AD15" i="122"/>
  <c r="AD14" i="122"/>
  <c r="AB152" i="122"/>
  <c r="AB138" i="122"/>
  <c r="AB124" i="122"/>
  <c r="AB110" i="122"/>
  <c r="AB96" i="122"/>
  <c r="AB82" i="122"/>
  <c r="AB68" i="122"/>
  <c r="AB54" i="122"/>
  <c r="AB40" i="122"/>
  <c r="AB26" i="122"/>
  <c r="AB12" i="122"/>
  <c r="E9" i="143"/>
  <c r="E9" i="142"/>
  <c r="E9" i="141"/>
  <c r="E39" i="145"/>
  <c r="E9" i="121"/>
  <c r="B8" i="144"/>
  <c r="W31" i="142"/>
  <c r="W32" i="142"/>
  <c r="W33" i="142"/>
  <c r="W34" i="142"/>
  <c r="W35" i="142"/>
  <c r="W36" i="142"/>
  <c r="W37" i="142"/>
  <c r="W38" i="142"/>
  <c r="W30" i="142"/>
  <c r="W22" i="142"/>
  <c r="W23" i="142"/>
  <c r="W24" i="142"/>
  <c r="W25" i="142"/>
  <c r="W26" i="142"/>
  <c r="W27" i="142"/>
  <c r="W28" i="142"/>
  <c r="W29" i="142"/>
  <c r="W21" i="142"/>
  <c r="W13" i="142"/>
  <c r="W14" i="142"/>
  <c r="W15" i="142"/>
  <c r="W16" i="142"/>
  <c r="W17" i="142"/>
  <c r="W18" i="142"/>
  <c r="W19" i="142"/>
  <c r="W20" i="142"/>
  <c r="W12" i="142"/>
  <c r="W90" i="148"/>
  <c r="U90" i="148"/>
  <c r="T90" i="148"/>
  <c r="S90" i="148"/>
  <c r="R90" i="148"/>
  <c r="Q90" i="148"/>
  <c r="P90" i="148"/>
  <c r="O90" i="148"/>
  <c r="N90" i="148"/>
  <c r="M90" i="148"/>
  <c r="L90" i="148"/>
  <c r="K90" i="148"/>
  <c r="J90" i="148"/>
  <c r="I90" i="148"/>
  <c r="H90" i="148"/>
  <c r="G90" i="148"/>
  <c r="F90" i="148"/>
  <c r="E90" i="148"/>
  <c r="W89" i="148"/>
  <c r="U89" i="148"/>
  <c r="T89" i="148"/>
  <c r="S89" i="148"/>
  <c r="R89" i="148"/>
  <c r="Q89" i="148"/>
  <c r="P89" i="148"/>
  <c r="O89" i="148"/>
  <c r="N89" i="148"/>
  <c r="M89" i="148"/>
  <c r="L89" i="148"/>
  <c r="K89" i="148"/>
  <c r="J89" i="148"/>
  <c r="I89" i="148"/>
  <c r="H89" i="148"/>
  <c r="G89" i="148"/>
  <c r="F89" i="148"/>
  <c r="E89" i="148"/>
  <c r="W88" i="148"/>
  <c r="U88" i="148"/>
  <c r="T88" i="148"/>
  <c r="S88" i="148"/>
  <c r="R88" i="148"/>
  <c r="Q88" i="148"/>
  <c r="P88" i="148"/>
  <c r="O88" i="148"/>
  <c r="N88" i="148"/>
  <c r="M88" i="148"/>
  <c r="L88" i="148"/>
  <c r="K88" i="148"/>
  <c r="J88" i="148"/>
  <c r="I88" i="148"/>
  <c r="H88" i="148"/>
  <c r="G88" i="148"/>
  <c r="F88" i="148"/>
  <c r="E88" i="148"/>
  <c r="W87" i="148"/>
  <c r="U87" i="148"/>
  <c r="T87" i="148"/>
  <c r="S87" i="148"/>
  <c r="R87" i="148"/>
  <c r="Q87" i="148"/>
  <c r="P87" i="148"/>
  <c r="O87" i="148"/>
  <c r="N87" i="148"/>
  <c r="M87" i="148"/>
  <c r="L87" i="148"/>
  <c r="K87" i="148"/>
  <c r="J87" i="148"/>
  <c r="I87" i="148"/>
  <c r="H87" i="148"/>
  <c r="G87" i="148"/>
  <c r="F87" i="148"/>
  <c r="E87" i="148"/>
  <c r="W86" i="148"/>
  <c r="U86" i="148"/>
  <c r="T86" i="148"/>
  <c r="S86" i="148"/>
  <c r="R86" i="148"/>
  <c r="Q86" i="148"/>
  <c r="P86" i="148"/>
  <c r="O86" i="148"/>
  <c r="N86" i="148"/>
  <c r="M86" i="148"/>
  <c r="L86" i="148"/>
  <c r="K86" i="148"/>
  <c r="J86" i="148"/>
  <c r="I86" i="148"/>
  <c r="H86" i="148"/>
  <c r="G86" i="148"/>
  <c r="F86" i="148"/>
  <c r="E86" i="148"/>
  <c r="W85" i="148"/>
  <c r="U85" i="148"/>
  <c r="T85" i="148"/>
  <c r="S85" i="148"/>
  <c r="R85" i="148"/>
  <c r="Q85" i="148"/>
  <c r="P85" i="148"/>
  <c r="O85" i="148"/>
  <c r="N85" i="148"/>
  <c r="M85" i="148"/>
  <c r="L85" i="148"/>
  <c r="K85" i="148"/>
  <c r="J85" i="148"/>
  <c r="I85" i="148"/>
  <c r="H85" i="148"/>
  <c r="G85" i="148"/>
  <c r="F85" i="148"/>
  <c r="E85" i="148"/>
  <c r="W84" i="148"/>
  <c r="U84" i="148"/>
  <c r="T84" i="148"/>
  <c r="S84" i="148"/>
  <c r="R84" i="148"/>
  <c r="Q84" i="148"/>
  <c r="P84" i="148"/>
  <c r="O84" i="148"/>
  <c r="N84" i="148"/>
  <c r="M84" i="148"/>
  <c r="L84" i="148"/>
  <c r="K84" i="148"/>
  <c r="J84" i="148"/>
  <c r="I84" i="148"/>
  <c r="H84" i="148"/>
  <c r="G84" i="148"/>
  <c r="F84" i="148"/>
  <c r="E84" i="148"/>
  <c r="W83" i="148"/>
  <c r="U83" i="148"/>
  <c r="T83" i="148"/>
  <c r="S83" i="148"/>
  <c r="R83" i="148"/>
  <c r="Q83" i="148"/>
  <c r="P83" i="148"/>
  <c r="O83" i="148"/>
  <c r="N83" i="148"/>
  <c r="M83" i="148"/>
  <c r="L83" i="148"/>
  <c r="K83" i="148"/>
  <c r="J83" i="148"/>
  <c r="I83" i="148"/>
  <c r="H83" i="148"/>
  <c r="G83" i="148"/>
  <c r="F83" i="148"/>
  <c r="E83" i="148"/>
  <c r="W82" i="148"/>
  <c r="U82" i="148"/>
  <c r="T82" i="148"/>
  <c r="S82" i="148"/>
  <c r="R82" i="148"/>
  <c r="Q82" i="148"/>
  <c r="P82" i="148"/>
  <c r="O82" i="148"/>
  <c r="N82" i="148"/>
  <c r="M82" i="148"/>
  <c r="L82" i="148"/>
  <c r="K82" i="148"/>
  <c r="J82" i="148"/>
  <c r="I82" i="148"/>
  <c r="H82" i="148"/>
  <c r="G82" i="148"/>
  <c r="F82" i="148"/>
  <c r="E82" i="148"/>
  <c r="W76" i="148"/>
  <c r="U76" i="148"/>
  <c r="T76" i="148"/>
  <c r="S76" i="148"/>
  <c r="R76" i="148"/>
  <c r="Q76" i="148"/>
  <c r="P76" i="148"/>
  <c r="O76" i="148"/>
  <c r="N76" i="148"/>
  <c r="M76" i="148"/>
  <c r="L76" i="148"/>
  <c r="K76" i="148"/>
  <c r="J76" i="148"/>
  <c r="I76" i="148"/>
  <c r="H76" i="148"/>
  <c r="G76" i="148"/>
  <c r="F76" i="148"/>
  <c r="E76" i="148"/>
  <c r="W75" i="148"/>
  <c r="U75" i="148"/>
  <c r="T75" i="148"/>
  <c r="S75" i="148"/>
  <c r="R75" i="148"/>
  <c r="Q75" i="148"/>
  <c r="P75" i="148"/>
  <c r="O75" i="148"/>
  <c r="N75" i="148"/>
  <c r="M75" i="148"/>
  <c r="L75" i="148"/>
  <c r="K75" i="148"/>
  <c r="J75" i="148"/>
  <c r="I75" i="148"/>
  <c r="H75" i="148"/>
  <c r="G75" i="148"/>
  <c r="F75" i="148"/>
  <c r="E75" i="148"/>
  <c r="W74" i="148"/>
  <c r="U74" i="148"/>
  <c r="T74" i="148"/>
  <c r="S74" i="148"/>
  <c r="R74" i="148"/>
  <c r="Q74" i="148"/>
  <c r="P74" i="148"/>
  <c r="O74" i="148"/>
  <c r="N74" i="148"/>
  <c r="M74" i="148"/>
  <c r="L74" i="148"/>
  <c r="K74" i="148"/>
  <c r="J74" i="148"/>
  <c r="I74" i="148"/>
  <c r="H74" i="148"/>
  <c r="G74" i="148"/>
  <c r="F74" i="148"/>
  <c r="E74" i="148"/>
  <c r="W73" i="148"/>
  <c r="U73" i="148"/>
  <c r="T73" i="148"/>
  <c r="S73" i="148"/>
  <c r="R73" i="148"/>
  <c r="Q73" i="148"/>
  <c r="P73" i="148"/>
  <c r="O73" i="148"/>
  <c r="N73" i="148"/>
  <c r="M73" i="148"/>
  <c r="L73" i="148"/>
  <c r="K73" i="148"/>
  <c r="J73" i="148"/>
  <c r="I73" i="148"/>
  <c r="H73" i="148"/>
  <c r="G73" i="148"/>
  <c r="F73" i="148"/>
  <c r="E73" i="148"/>
  <c r="W72" i="148"/>
  <c r="U72" i="148"/>
  <c r="T72" i="148"/>
  <c r="S72" i="148"/>
  <c r="R72" i="148"/>
  <c r="Q72" i="148"/>
  <c r="P72" i="148"/>
  <c r="O72" i="148"/>
  <c r="N72" i="148"/>
  <c r="M72" i="148"/>
  <c r="L72" i="148"/>
  <c r="K72" i="148"/>
  <c r="J72" i="148"/>
  <c r="I72" i="148"/>
  <c r="H72" i="148"/>
  <c r="G72" i="148"/>
  <c r="F72" i="148"/>
  <c r="E72" i="148"/>
  <c r="W71" i="148"/>
  <c r="U71" i="148"/>
  <c r="T71" i="148"/>
  <c r="S71" i="148"/>
  <c r="R71" i="148"/>
  <c r="Q71" i="148"/>
  <c r="P71" i="148"/>
  <c r="O71" i="148"/>
  <c r="N71" i="148"/>
  <c r="M71" i="148"/>
  <c r="L71" i="148"/>
  <c r="K71" i="148"/>
  <c r="J71" i="148"/>
  <c r="I71" i="148"/>
  <c r="H71" i="148"/>
  <c r="G71" i="148"/>
  <c r="F71" i="148"/>
  <c r="E71" i="148"/>
  <c r="W70" i="148"/>
  <c r="U70" i="148"/>
  <c r="T70" i="148"/>
  <c r="S70" i="148"/>
  <c r="R70" i="148"/>
  <c r="Q70" i="148"/>
  <c r="P70" i="148"/>
  <c r="O70" i="148"/>
  <c r="N70" i="148"/>
  <c r="M70" i="148"/>
  <c r="L70" i="148"/>
  <c r="K70" i="148"/>
  <c r="J70" i="148"/>
  <c r="I70" i="148"/>
  <c r="H70" i="148"/>
  <c r="G70" i="148"/>
  <c r="F70" i="148"/>
  <c r="E70" i="148"/>
  <c r="W69" i="148"/>
  <c r="U69" i="148"/>
  <c r="T69" i="148"/>
  <c r="S69" i="148"/>
  <c r="R69" i="148"/>
  <c r="Q69" i="148"/>
  <c r="P69" i="148"/>
  <c r="O69" i="148"/>
  <c r="N69" i="148"/>
  <c r="M69" i="148"/>
  <c r="L69" i="148"/>
  <c r="K69" i="148"/>
  <c r="J69" i="148"/>
  <c r="I69" i="148"/>
  <c r="H69" i="148"/>
  <c r="G69" i="148"/>
  <c r="F69" i="148"/>
  <c r="E69" i="148"/>
  <c r="W68" i="148"/>
  <c r="X68" i="148" s="1"/>
  <c r="U68" i="148"/>
  <c r="T68" i="148"/>
  <c r="S68" i="148"/>
  <c r="R68" i="148"/>
  <c r="Q68" i="148"/>
  <c r="P68" i="148"/>
  <c r="O68" i="148"/>
  <c r="N68" i="148"/>
  <c r="M68" i="148"/>
  <c r="L68" i="148"/>
  <c r="K68" i="148"/>
  <c r="J68" i="148"/>
  <c r="I68" i="148"/>
  <c r="H68" i="148"/>
  <c r="G68" i="148"/>
  <c r="F68" i="148"/>
  <c r="E68" i="148"/>
  <c r="W62" i="148"/>
  <c r="U62" i="148"/>
  <c r="T62" i="148"/>
  <c r="S62" i="148"/>
  <c r="R62" i="148"/>
  <c r="Q62" i="148"/>
  <c r="P62" i="148"/>
  <c r="O62" i="148"/>
  <c r="N62" i="148"/>
  <c r="M62" i="148"/>
  <c r="L62" i="148"/>
  <c r="K62" i="148"/>
  <c r="J62" i="148"/>
  <c r="I62" i="148"/>
  <c r="H62" i="148"/>
  <c r="G62" i="148"/>
  <c r="F62" i="148"/>
  <c r="E62" i="148"/>
  <c r="W61" i="148"/>
  <c r="U61" i="148"/>
  <c r="T61" i="148"/>
  <c r="S61" i="148"/>
  <c r="R61" i="148"/>
  <c r="Q61" i="148"/>
  <c r="P61" i="148"/>
  <c r="O61" i="148"/>
  <c r="N61" i="148"/>
  <c r="M61" i="148"/>
  <c r="L61" i="148"/>
  <c r="K61" i="148"/>
  <c r="J61" i="148"/>
  <c r="I61" i="148"/>
  <c r="H61" i="148"/>
  <c r="G61" i="148"/>
  <c r="F61" i="148"/>
  <c r="E61" i="148"/>
  <c r="W60" i="148"/>
  <c r="U60" i="148"/>
  <c r="T60" i="148"/>
  <c r="S60" i="148"/>
  <c r="R60" i="148"/>
  <c r="Q60" i="148"/>
  <c r="P60" i="148"/>
  <c r="O60" i="148"/>
  <c r="N60" i="148"/>
  <c r="M60" i="148"/>
  <c r="L60" i="148"/>
  <c r="K60" i="148"/>
  <c r="J60" i="148"/>
  <c r="I60" i="148"/>
  <c r="H60" i="148"/>
  <c r="G60" i="148"/>
  <c r="F60" i="148"/>
  <c r="E60" i="148"/>
  <c r="W59" i="148"/>
  <c r="U59" i="148"/>
  <c r="T59" i="148"/>
  <c r="S59" i="148"/>
  <c r="R59" i="148"/>
  <c r="Q59" i="148"/>
  <c r="P59" i="148"/>
  <c r="O59" i="148"/>
  <c r="N59" i="148"/>
  <c r="M59" i="148"/>
  <c r="L59" i="148"/>
  <c r="K59" i="148"/>
  <c r="J59" i="148"/>
  <c r="I59" i="148"/>
  <c r="H59" i="148"/>
  <c r="G59" i="148"/>
  <c r="F59" i="148"/>
  <c r="E59" i="148"/>
  <c r="W58" i="148"/>
  <c r="U58" i="148"/>
  <c r="T58" i="148"/>
  <c r="S58" i="148"/>
  <c r="R58" i="148"/>
  <c r="Q58" i="148"/>
  <c r="P58" i="148"/>
  <c r="O58" i="148"/>
  <c r="N58" i="148"/>
  <c r="M58" i="148"/>
  <c r="L58" i="148"/>
  <c r="K58" i="148"/>
  <c r="J58" i="148"/>
  <c r="I58" i="148"/>
  <c r="H58" i="148"/>
  <c r="G58" i="148"/>
  <c r="F58" i="148"/>
  <c r="E58" i="148"/>
  <c r="W57" i="148"/>
  <c r="U57" i="148"/>
  <c r="T57" i="148"/>
  <c r="S57" i="148"/>
  <c r="R57" i="148"/>
  <c r="Q57" i="148"/>
  <c r="P57" i="148"/>
  <c r="O57" i="148"/>
  <c r="N57" i="148"/>
  <c r="M57" i="148"/>
  <c r="L57" i="148"/>
  <c r="K57" i="148"/>
  <c r="J57" i="148"/>
  <c r="I57" i="148"/>
  <c r="H57" i="148"/>
  <c r="G57" i="148"/>
  <c r="F57" i="148"/>
  <c r="E57" i="148"/>
  <c r="W56" i="148"/>
  <c r="U56" i="148"/>
  <c r="T56" i="148"/>
  <c r="S56" i="148"/>
  <c r="R56" i="148"/>
  <c r="Q56" i="148"/>
  <c r="P56" i="148"/>
  <c r="O56" i="148"/>
  <c r="N56" i="148"/>
  <c r="M56" i="148"/>
  <c r="L56" i="148"/>
  <c r="K56" i="148"/>
  <c r="J56" i="148"/>
  <c r="I56" i="148"/>
  <c r="H56" i="148"/>
  <c r="G56" i="148"/>
  <c r="F56" i="148"/>
  <c r="E56" i="148"/>
  <c r="W55" i="148"/>
  <c r="U55" i="148"/>
  <c r="T55" i="148"/>
  <c r="S55" i="148"/>
  <c r="R55" i="148"/>
  <c r="Q55" i="148"/>
  <c r="P55" i="148"/>
  <c r="O55" i="148"/>
  <c r="N55" i="148"/>
  <c r="M55" i="148"/>
  <c r="L55" i="148"/>
  <c r="K55" i="148"/>
  <c r="J55" i="148"/>
  <c r="I55" i="148"/>
  <c r="H55" i="148"/>
  <c r="G55" i="148"/>
  <c r="F55" i="148"/>
  <c r="E55" i="148"/>
  <c r="W54" i="148"/>
  <c r="U54" i="148"/>
  <c r="T54" i="148"/>
  <c r="S54" i="148"/>
  <c r="R54" i="148"/>
  <c r="Q54" i="148"/>
  <c r="P54" i="148"/>
  <c r="O54" i="148"/>
  <c r="N54" i="148"/>
  <c r="M54" i="148"/>
  <c r="L54" i="148"/>
  <c r="K54" i="148"/>
  <c r="J54" i="148"/>
  <c r="I54" i="148"/>
  <c r="H54" i="148"/>
  <c r="G54" i="148"/>
  <c r="F54" i="148"/>
  <c r="E54" i="148"/>
  <c r="W48" i="148"/>
  <c r="U48" i="148"/>
  <c r="T48" i="148"/>
  <c r="S48" i="148"/>
  <c r="R48" i="148"/>
  <c r="Q48" i="148"/>
  <c r="P48" i="148"/>
  <c r="O48" i="148"/>
  <c r="N48" i="148"/>
  <c r="M48" i="148"/>
  <c r="L48" i="148"/>
  <c r="K48" i="148"/>
  <c r="J48" i="148"/>
  <c r="I48" i="148"/>
  <c r="H48" i="148"/>
  <c r="G48" i="148"/>
  <c r="F48" i="148"/>
  <c r="E48" i="148"/>
  <c r="W47" i="148"/>
  <c r="U47" i="148"/>
  <c r="T47" i="148"/>
  <c r="S47" i="148"/>
  <c r="R47" i="148"/>
  <c r="Q47" i="148"/>
  <c r="P47" i="148"/>
  <c r="O47" i="148"/>
  <c r="N47" i="148"/>
  <c r="M47" i="148"/>
  <c r="L47" i="148"/>
  <c r="K47" i="148"/>
  <c r="J47" i="148"/>
  <c r="I47" i="148"/>
  <c r="H47" i="148"/>
  <c r="G47" i="148"/>
  <c r="F47" i="148"/>
  <c r="E47" i="148"/>
  <c r="W46" i="148"/>
  <c r="U46" i="148"/>
  <c r="T46" i="148"/>
  <c r="S46" i="148"/>
  <c r="R46" i="148"/>
  <c r="Q46" i="148"/>
  <c r="P46" i="148"/>
  <c r="O46" i="148"/>
  <c r="N46" i="148"/>
  <c r="M46" i="148"/>
  <c r="L46" i="148"/>
  <c r="K46" i="148"/>
  <c r="J46" i="148"/>
  <c r="I46" i="148"/>
  <c r="H46" i="148"/>
  <c r="G46" i="148"/>
  <c r="F46" i="148"/>
  <c r="E46" i="148"/>
  <c r="W45" i="148"/>
  <c r="U45" i="148"/>
  <c r="T45" i="148"/>
  <c r="S45" i="148"/>
  <c r="R45" i="148"/>
  <c r="Q45" i="148"/>
  <c r="P45" i="148"/>
  <c r="O45" i="148"/>
  <c r="N45" i="148"/>
  <c r="M45" i="148"/>
  <c r="L45" i="148"/>
  <c r="K45" i="148"/>
  <c r="J45" i="148"/>
  <c r="I45" i="148"/>
  <c r="H45" i="148"/>
  <c r="G45" i="148"/>
  <c r="F45" i="148"/>
  <c r="E45" i="148"/>
  <c r="W44" i="148"/>
  <c r="U44" i="148"/>
  <c r="T44" i="148"/>
  <c r="S44" i="148"/>
  <c r="R44" i="148"/>
  <c r="Q44" i="148"/>
  <c r="P44" i="148"/>
  <c r="O44" i="148"/>
  <c r="N44" i="148"/>
  <c r="M44" i="148"/>
  <c r="L44" i="148"/>
  <c r="K44" i="148"/>
  <c r="J44" i="148"/>
  <c r="I44" i="148"/>
  <c r="H44" i="148"/>
  <c r="G44" i="148"/>
  <c r="F44" i="148"/>
  <c r="E44" i="148"/>
  <c r="W43" i="148"/>
  <c r="U43" i="148"/>
  <c r="T43" i="148"/>
  <c r="S43" i="148"/>
  <c r="R43" i="148"/>
  <c r="Q43" i="148"/>
  <c r="P43" i="148"/>
  <c r="O43" i="148"/>
  <c r="N43" i="148"/>
  <c r="M43" i="148"/>
  <c r="L43" i="148"/>
  <c r="K43" i="148"/>
  <c r="J43" i="148"/>
  <c r="I43" i="148"/>
  <c r="H43" i="148"/>
  <c r="G43" i="148"/>
  <c r="F43" i="148"/>
  <c r="E43" i="148"/>
  <c r="W42" i="148"/>
  <c r="U42" i="148"/>
  <c r="T42" i="148"/>
  <c r="S42" i="148"/>
  <c r="R42" i="148"/>
  <c r="Q42" i="148"/>
  <c r="P42" i="148"/>
  <c r="O42" i="148"/>
  <c r="N42" i="148"/>
  <c r="M42" i="148"/>
  <c r="L42" i="148"/>
  <c r="K42" i="148"/>
  <c r="J42" i="148"/>
  <c r="I42" i="148"/>
  <c r="H42" i="148"/>
  <c r="G42" i="148"/>
  <c r="F42" i="148"/>
  <c r="E42" i="148"/>
  <c r="W41" i="148"/>
  <c r="U41" i="148"/>
  <c r="T41" i="148"/>
  <c r="S41" i="148"/>
  <c r="R41" i="148"/>
  <c r="Q41" i="148"/>
  <c r="P41" i="148"/>
  <c r="O41" i="148"/>
  <c r="N41" i="148"/>
  <c r="M41" i="148"/>
  <c r="L41" i="148"/>
  <c r="K41" i="148"/>
  <c r="J41" i="148"/>
  <c r="I41" i="148"/>
  <c r="H41" i="148"/>
  <c r="G41" i="148"/>
  <c r="F41" i="148"/>
  <c r="E41" i="148"/>
  <c r="W40" i="148"/>
  <c r="U40" i="148"/>
  <c r="T40" i="148"/>
  <c r="S40" i="148"/>
  <c r="R40" i="148"/>
  <c r="Q40" i="148"/>
  <c r="P40" i="148"/>
  <c r="O40" i="148"/>
  <c r="N40" i="148"/>
  <c r="M40" i="148"/>
  <c r="L40" i="148"/>
  <c r="K40" i="148"/>
  <c r="J40" i="148"/>
  <c r="I40" i="148"/>
  <c r="H40" i="148"/>
  <c r="G40" i="148"/>
  <c r="F40" i="148"/>
  <c r="E40" i="148"/>
  <c r="W34" i="148"/>
  <c r="U34" i="148"/>
  <c r="T34" i="148"/>
  <c r="S34" i="148"/>
  <c r="R34" i="148"/>
  <c r="Q34" i="148"/>
  <c r="P34" i="148"/>
  <c r="O34" i="148"/>
  <c r="N34" i="148"/>
  <c r="M34" i="148"/>
  <c r="L34" i="148"/>
  <c r="K34" i="148"/>
  <c r="J34" i="148"/>
  <c r="I34" i="148"/>
  <c r="H34" i="148"/>
  <c r="G34" i="148"/>
  <c r="F34" i="148"/>
  <c r="E34" i="148"/>
  <c r="W33" i="148"/>
  <c r="U33" i="148"/>
  <c r="T33" i="148"/>
  <c r="S33" i="148"/>
  <c r="R33" i="148"/>
  <c r="Q33" i="148"/>
  <c r="P33" i="148"/>
  <c r="O33" i="148"/>
  <c r="N33" i="148"/>
  <c r="M33" i="148"/>
  <c r="L33" i="148"/>
  <c r="K33" i="148"/>
  <c r="J33" i="148"/>
  <c r="I33" i="148"/>
  <c r="H33" i="148"/>
  <c r="G33" i="148"/>
  <c r="F33" i="148"/>
  <c r="E33" i="148"/>
  <c r="W32" i="148"/>
  <c r="U32" i="148"/>
  <c r="T32" i="148"/>
  <c r="S32" i="148"/>
  <c r="R32" i="148"/>
  <c r="Q32" i="148"/>
  <c r="P32" i="148"/>
  <c r="O32" i="148"/>
  <c r="N32" i="148"/>
  <c r="M32" i="148"/>
  <c r="L32" i="148"/>
  <c r="K32" i="148"/>
  <c r="J32" i="148"/>
  <c r="I32" i="148"/>
  <c r="H32" i="148"/>
  <c r="G32" i="148"/>
  <c r="F32" i="148"/>
  <c r="E32" i="148"/>
  <c r="W31" i="148"/>
  <c r="U31" i="148"/>
  <c r="T31" i="148"/>
  <c r="S31" i="148"/>
  <c r="R31" i="148"/>
  <c r="Q31" i="148"/>
  <c r="P31" i="148"/>
  <c r="O31" i="148"/>
  <c r="N31" i="148"/>
  <c r="M31" i="148"/>
  <c r="L31" i="148"/>
  <c r="K31" i="148"/>
  <c r="J31" i="148"/>
  <c r="I31" i="148"/>
  <c r="H31" i="148"/>
  <c r="G31" i="148"/>
  <c r="F31" i="148"/>
  <c r="E31" i="148"/>
  <c r="W30" i="148"/>
  <c r="U30" i="148"/>
  <c r="T30" i="148"/>
  <c r="S30" i="148"/>
  <c r="R30" i="148"/>
  <c r="Q30" i="148"/>
  <c r="P30" i="148"/>
  <c r="O30" i="148"/>
  <c r="N30" i="148"/>
  <c r="M30" i="148"/>
  <c r="L30" i="148"/>
  <c r="K30" i="148"/>
  <c r="J30" i="148"/>
  <c r="I30" i="148"/>
  <c r="H30" i="148"/>
  <c r="G30" i="148"/>
  <c r="F30" i="148"/>
  <c r="E30" i="148"/>
  <c r="W29" i="148"/>
  <c r="U29" i="148"/>
  <c r="T29" i="148"/>
  <c r="S29" i="148"/>
  <c r="R29" i="148"/>
  <c r="Q29" i="148"/>
  <c r="P29" i="148"/>
  <c r="O29" i="148"/>
  <c r="N29" i="148"/>
  <c r="M29" i="148"/>
  <c r="L29" i="148"/>
  <c r="K29" i="148"/>
  <c r="J29" i="148"/>
  <c r="I29" i="148"/>
  <c r="H29" i="148"/>
  <c r="G29" i="148"/>
  <c r="F29" i="148"/>
  <c r="E29" i="148"/>
  <c r="W28" i="148"/>
  <c r="U28" i="148"/>
  <c r="T28" i="148"/>
  <c r="S28" i="148"/>
  <c r="R28" i="148"/>
  <c r="Q28" i="148"/>
  <c r="P28" i="148"/>
  <c r="O28" i="148"/>
  <c r="N28" i="148"/>
  <c r="M28" i="148"/>
  <c r="L28" i="148"/>
  <c r="K28" i="148"/>
  <c r="J28" i="148"/>
  <c r="I28" i="148"/>
  <c r="H28" i="148"/>
  <c r="G28" i="148"/>
  <c r="F28" i="148"/>
  <c r="E28" i="148"/>
  <c r="W27" i="148"/>
  <c r="U27" i="148"/>
  <c r="T27" i="148"/>
  <c r="S27" i="148"/>
  <c r="R27" i="148"/>
  <c r="Q27" i="148"/>
  <c r="P27" i="148"/>
  <c r="O27" i="148"/>
  <c r="N27" i="148"/>
  <c r="M27" i="148"/>
  <c r="L27" i="148"/>
  <c r="K27" i="148"/>
  <c r="J27" i="148"/>
  <c r="I27" i="148"/>
  <c r="H27" i="148"/>
  <c r="G27" i="148"/>
  <c r="F27" i="148"/>
  <c r="E27" i="148"/>
  <c r="W26" i="148"/>
  <c r="X26" i="148" s="1"/>
  <c r="U26" i="148"/>
  <c r="T26" i="148"/>
  <c r="S26" i="148"/>
  <c r="R26" i="148"/>
  <c r="Q26" i="148"/>
  <c r="P26" i="148"/>
  <c r="O26" i="148"/>
  <c r="N26" i="148"/>
  <c r="M26" i="148"/>
  <c r="L26" i="148"/>
  <c r="K26" i="148"/>
  <c r="J26" i="148"/>
  <c r="I26" i="148"/>
  <c r="H26" i="148"/>
  <c r="G26" i="148"/>
  <c r="F26" i="148"/>
  <c r="E26" i="148"/>
  <c r="W20" i="148"/>
  <c r="U20" i="148"/>
  <c r="T20" i="148"/>
  <c r="S20" i="148"/>
  <c r="R20" i="148"/>
  <c r="Q20" i="148"/>
  <c r="P20" i="148"/>
  <c r="O20" i="148"/>
  <c r="N20" i="148"/>
  <c r="M20" i="148"/>
  <c r="L20" i="148"/>
  <c r="K20" i="148"/>
  <c r="J20" i="148"/>
  <c r="I20" i="148"/>
  <c r="H20" i="148"/>
  <c r="G20" i="148"/>
  <c r="F20" i="148"/>
  <c r="E20" i="148"/>
  <c r="W19" i="148"/>
  <c r="U19" i="148"/>
  <c r="T19" i="148"/>
  <c r="S19" i="148"/>
  <c r="R19" i="148"/>
  <c r="Q19" i="148"/>
  <c r="P19" i="148"/>
  <c r="O19" i="148"/>
  <c r="N19" i="148"/>
  <c r="M19" i="148"/>
  <c r="L19" i="148"/>
  <c r="K19" i="148"/>
  <c r="J19" i="148"/>
  <c r="I19" i="148"/>
  <c r="H19" i="148"/>
  <c r="G19" i="148"/>
  <c r="F19" i="148"/>
  <c r="E19" i="148"/>
  <c r="W18" i="148"/>
  <c r="U18" i="148"/>
  <c r="T18" i="148"/>
  <c r="S18" i="148"/>
  <c r="R18" i="148"/>
  <c r="Q18" i="148"/>
  <c r="P18" i="148"/>
  <c r="O18" i="148"/>
  <c r="N18" i="148"/>
  <c r="M18" i="148"/>
  <c r="L18" i="148"/>
  <c r="K18" i="148"/>
  <c r="J18" i="148"/>
  <c r="I18" i="148"/>
  <c r="H18" i="148"/>
  <c r="G18" i="148"/>
  <c r="F18" i="148"/>
  <c r="E18" i="148"/>
  <c r="W17" i="148"/>
  <c r="U17" i="148"/>
  <c r="T17" i="148"/>
  <c r="S17" i="148"/>
  <c r="R17" i="148"/>
  <c r="Q17" i="148"/>
  <c r="P17" i="148"/>
  <c r="O17" i="148"/>
  <c r="N17" i="148"/>
  <c r="M17" i="148"/>
  <c r="L17" i="148"/>
  <c r="K17" i="148"/>
  <c r="J17" i="148"/>
  <c r="I17" i="148"/>
  <c r="H17" i="148"/>
  <c r="G17" i="148"/>
  <c r="F17" i="148"/>
  <c r="E17" i="148"/>
  <c r="W16" i="148"/>
  <c r="U16" i="148"/>
  <c r="T16" i="148"/>
  <c r="S16" i="148"/>
  <c r="R16" i="148"/>
  <c r="Q16" i="148"/>
  <c r="P16" i="148"/>
  <c r="O16" i="148"/>
  <c r="N16" i="148"/>
  <c r="M16" i="148"/>
  <c r="L16" i="148"/>
  <c r="K16" i="148"/>
  <c r="J16" i="148"/>
  <c r="I16" i="148"/>
  <c r="H16" i="148"/>
  <c r="G16" i="148"/>
  <c r="F16" i="148"/>
  <c r="E16" i="148"/>
  <c r="W15" i="148"/>
  <c r="U15" i="148"/>
  <c r="T15" i="148"/>
  <c r="S15" i="148"/>
  <c r="R15" i="148"/>
  <c r="Q15" i="148"/>
  <c r="P15" i="148"/>
  <c r="O15" i="148"/>
  <c r="N15" i="148"/>
  <c r="M15" i="148"/>
  <c r="L15" i="148"/>
  <c r="K15" i="148"/>
  <c r="J15" i="148"/>
  <c r="I15" i="148"/>
  <c r="H15" i="148"/>
  <c r="G15" i="148"/>
  <c r="F15" i="148"/>
  <c r="E15" i="148"/>
  <c r="W14" i="148"/>
  <c r="U14" i="148"/>
  <c r="T14" i="148"/>
  <c r="S14" i="148"/>
  <c r="R14" i="148"/>
  <c r="Q14" i="148"/>
  <c r="P14" i="148"/>
  <c r="O14" i="148"/>
  <c r="N14" i="148"/>
  <c r="M14" i="148"/>
  <c r="L14" i="148"/>
  <c r="K14" i="148"/>
  <c r="J14" i="148"/>
  <c r="I14" i="148"/>
  <c r="H14" i="148"/>
  <c r="G14" i="148"/>
  <c r="F14" i="148"/>
  <c r="E14" i="148"/>
  <c r="W13" i="148"/>
  <c r="U13" i="148"/>
  <c r="T13" i="148"/>
  <c r="S13" i="148"/>
  <c r="R13" i="148"/>
  <c r="Q13" i="148"/>
  <c r="P13" i="148"/>
  <c r="O13" i="148"/>
  <c r="N13" i="148"/>
  <c r="M13" i="148"/>
  <c r="L13" i="148"/>
  <c r="K13" i="148"/>
  <c r="J13" i="148"/>
  <c r="I13" i="148"/>
  <c r="H13" i="148"/>
  <c r="G13" i="148"/>
  <c r="F13" i="148"/>
  <c r="E13" i="148"/>
  <c r="W12" i="148"/>
  <c r="U12" i="148"/>
  <c r="T12" i="148"/>
  <c r="S12" i="148"/>
  <c r="R12" i="148"/>
  <c r="Q12" i="148"/>
  <c r="P12" i="148"/>
  <c r="O12" i="148"/>
  <c r="N12" i="148"/>
  <c r="M12" i="148"/>
  <c r="L12" i="148"/>
  <c r="K12" i="148"/>
  <c r="J12" i="148"/>
  <c r="I12" i="148"/>
  <c r="H12" i="148"/>
  <c r="G12" i="148"/>
  <c r="F12" i="148"/>
  <c r="E12" i="148"/>
  <c r="B8" i="148"/>
  <c r="D3" i="148"/>
  <c r="D2" i="148"/>
  <c r="W163" i="147"/>
  <c r="U163" i="147"/>
  <c r="T163" i="147"/>
  <c r="S163" i="147"/>
  <c r="R163" i="147"/>
  <c r="Q163" i="147"/>
  <c r="P163" i="147"/>
  <c r="O163" i="147"/>
  <c r="N163" i="147"/>
  <c r="M163" i="147"/>
  <c r="L163" i="147"/>
  <c r="K163" i="147"/>
  <c r="J163" i="147"/>
  <c r="I163" i="147"/>
  <c r="H163" i="147"/>
  <c r="G163" i="147"/>
  <c r="F163" i="147"/>
  <c r="E163" i="147"/>
  <c r="W162" i="147"/>
  <c r="U162" i="147"/>
  <c r="T162" i="147"/>
  <c r="S162" i="147"/>
  <c r="R162" i="147"/>
  <c r="Q162" i="147"/>
  <c r="P162" i="147"/>
  <c r="O162" i="147"/>
  <c r="N162" i="147"/>
  <c r="M162" i="147"/>
  <c r="L162" i="147"/>
  <c r="K162" i="147"/>
  <c r="J162" i="147"/>
  <c r="I162" i="147"/>
  <c r="H162" i="147"/>
  <c r="G162" i="147"/>
  <c r="F162" i="147"/>
  <c r="E162" i="147"/>
  <c r="W161" i="147"/>
  <c r="U161" i="147"/>
  <c r="T161" i="147"/>
  <c r="S161" i="147"/>
  <c r="R161" i="147"/>
  <c r="Q161" i="147"/>
  <c r="P161" i="147"/>
  <c r="O161" i="147"/>
  <c r="N161" i="147"/>
  <c r="M161" i="147"/>
  <c r="L161" i="147"/>
  <c r="K161" i="147"/>
  <c r="J161" i="147"/>
  <c r="I161" i="147"/>
  <c r="H161" i="147"/>
  <c r="G161" i="147"/>
  <c r="F161" i="147"/>
  <c r="E161" i="147"/>
  <c r="W160" i="147"/>
  <c r="U160" i="147"/>
  <c r="T160" i="147"/>
  <c r="S160" i="147"/>
  <c r="R160" i="147"/>
  <c r="Q160" i="147"/>
  <c r="P160" i="147"/>
  <c r="O160" i="147"/>
  <c r="N160" i="147"/>
  <c r="M160" i="147"/>
  <c r="L160" i="147"/>
  <c r="K160" i="147"/>
  <c r="J160" i="147"/>
  <c r="I160" i="147"/>
  <c r="H160" i="147"/>
  <c r="G160" i="147"/>
  <c r="F160" i="147"/>
  <c r="E160" i="147"/>
  <c r="W159" i="147"/>
  <c r="U159" i="147"/>
  <c r="T159" i="147"/>
  <c r="S159" i="147"/>
  <c r="R159" i="147"/>
  <c r="Q159" i="147"/>
  <c r="P159" i="147"/>
  <c r="O159" i="147"/>
  <c r="N159" i="147"/>
  <c r="M159" i="147"/>
  <c r="L159" i="147"/>
  <c r="K159" i="147"/>
  <c r="J159" i="147"/>
  <c r="I159" i="147"/>
  <c r="H159" i="147"/>
  <c r="G159" i="147"/>
  <c r="F159" i="147"/>
  <c r="E159" i="147"/>
  <c r="W158" i="147"/>
  <c r="U158" i="147"/>
  <c r="T158" i="147"/>
  <c r="S158" i="147"/>
  <c r="R158" i="147"/>
  <c r="Q158" i="147"/>
  <c r="P158" i="147"/>
  <c r="O158" i="147"/>
  <c r="N158" i="147"/>
  <c r="M158" i="147"/>
  <c r="L158" i="147"/>
  <c r="K158" i="147"/>
  <c r="J158" i="147"/>
  <c r="I158" i="147"/>
  <c r="H158" i="147"/>
  <c r="G158" i="147"/>
  <c r="F158" i="147"/>
  <c r="E158" i="147"/>
  <c r="W157" i="147"/>
  <c r="U157" i="147"/>
  <c r="T157" i="147"/>
  <c r="S157" i="147"/>
  <c r="R157" i="147"/>
  <c r="Q157" i="147"/>
  <c r="P157" i="147"/>
  <c r="O157" i="147"/>
  <c r="N157" i="147"/>
  <c r="M157" i="147"/>
  <c r="L157" i="147"/>
  <c r="K157" i="147"/>
  <c r="J157" i="147"/>
  <c r="I157" i="147"/>
  <c r="H157" i="147"/>
  <c r="G157" i="147"/>
  <c r="F157" i="147"/>
  <c r="E157" i="147"/>
  <c r="W156" i="147"/>
  <c r="U156" i="147"/>
  <c r="T156" i="147"/>
  <c r="S156" i="147"/>
  <c r="R156" i="147"/>
  <c r="Q156" i="147"/>
  <c r="P156" i="147"/>
  <c r="O156" i="147"/>
  <c r="N156" i="147"/>
  <c r="M156" i="147"/>
  <c r="L156" i="147"/>
  <c r="K156" i="147"/>
  <c r="J156" i="147"/>
  <c r="I156" i="147"/>
  <c r="H156" i="147"/>
  <c r="G156" i="147"/>
  <c r="F156" i="147"/>
  <c r="E156" i="147"/>
  <c r="W150" i="147"/>
  <c r="U150" i="147"/>
  <c r="T150" i="147"/>
  <c r="S150" i="147"/>
  <c r="R150" i="147"/>
  <c r="Q150" i="147"/>
  <c r="P150" i="147"/>
  <c r="O150" i="147"/>
  <c r="N150" i="147"/>
  <c r="M150" i="147"/>
  <c r="L150" i="147"/>
  <c r="K150" i="147"/>
  <c r="J150" i="147"/>
  <c r="I150" i="147"/>
  <c r="H150" i="147"/>
  <c r="G150" i="147"/>
  <c r="F150" i="147"/>
  <c r="E150" i="147"/>
  <c r="W149" i="147"/>
  <c r="U149" i="147"/>
  <c r="T149" i="147"/>
  <c r="S149" i="147"/>
  <c r="R149" i="147"/>
  <c r="Q149" i="147"/>
  <c r="P149" i="147"/>
  <c r="O149" i="147"/>
  <c r="N149" i="147"/>
  <c r="M149" i="147"/>
  <c r="L149" i="147"/>
  <c r="K149" i="147"/>
  <c r="J149" i="147"/>
  <c r="I149" i="147"/>
  <c r="H149" i="147"/>
  <c r="G149" i="147"/>
  <c r="F149" i="147"/>
  <c r="E149" i="147"/>
  <c r="W148" i="147"/>
  <c r="U148" i="147"/>
  <c r="T148" i="147"/>
  <c r="S148" i="147"/>
  <c r="R148" i="147"/>
  <c r="Q148" i="147"/>
  <c r="P148" i="147"/>
  <c r="O148" i="147"/>
  <c r="N148" i="147"/>
  <c r="M148" i="147"/>
  <c r="L148" i="147"/>
  <c r="K148" i="147"/>
  <c r="J148" i="147"/>
  <c r="I148" i="147"/>
  <c r="H148" i="147"/>
  <c r="G148" i="147"/>
  <c r="F148" i="147"/>
  <c r="E148" i="147"/>
  <c r="W147" i="147"/>
  <c r="U147" i="147"/>
  <c r="T147" i="147"/>
  <c r="S147" i="147"/>
  <c r="R147" i="147"/>
  <c r="Q147" i="147"/>
  <c r="P147" i="147"/>
  <c r="O147" i="147"/>
  <c r="N147" i="147"/>
  <c r="M147" i="147"/>
  <c r="L147" i="147"/>
  <c r="K147" i="147"/>
  <c r="J147" i="147"/>
  <c r="I147" i="147"/>
  <c r="H147" i="147"/>
  <c r="G147" i="147"/>
  <c r="F147" i="147"/>
  <c r="E147" i="147"/>
  <c r="W146" i="147"/>
  <c r="U146" i="147"/>
  <c r="T146" i="147"/>
  <c r="S146" i="147"/>
  <c r="R146" i="147"/>
  <c r="Q146" i="147"/>
  <c r="P146" i="147"/>
  <c r="O146" i="147"/>
  <c r="N146" i="147"/>
  <c r="M146" i="147"/>
  <c r="L146" i="147"/>
  <c r="K146" i="147"/>
  <c r="J146" i="147"/>
  <c r="I146" i="147"/>
  <c r="H146" i="147"/>
  <c r="G146" i="147"/>
  <c r="F146" i="147"/>
  <c r="E146" i="147"/>
  <c r="W145" i="147"/>
  <c r="U145" i="147"/>
  <c r="T145" i="147"/>
  <c r="S145" i="147"/>
  <c r="R145" i="147"/>
  <c r="Q145" i="147"/>
  <c r="P145" i="147"/>
  <c r="O145" i="147"/>
  <c r="N145" i="147"/>
  <c r="M145" i="147"/>
  <c r="L145" i="147"/>
  <c r="K145" i="147"/>
  <c r="J145" i="147"/>
  <c r="I145" i="147"/>
  <c r="H145" i="147"/>
  <c r="G145" i="147"/>
  <c r="F145" i="147"/>
  <c r="E145" i="147"/>
  <c r="W144" i="147"/>
  <c r="U144" i="147"/>
  <c r="T144" i="147"/>
  <c r="S144" i="147"/>
  <c r="R144" i="147"/>
  <c r="Q144" i="147"/>
  <c r="P144" i="147"/>
  <c r="O144" i="147"/>
  <c r="N144" i="147"/>
  <c r="M144" i="147"/>
  <c r="L144" i="147"/>
  <c r="K144" i="147"/>
  <c r="J144" i="147"/>
  <c r="I144" i="147"/>
  <c r="H144" i="147"/>
  <c r="G144" i="147"/>
  <c r="F144" i="147"/>
  <c r="E144" i="147"/>
  <c r="W143" i="147"/>
  <c r="U143" i="147"/>
  <c r="T143" i="147"/>
  <c r="S143" i="147"/>
  <c r="R143" i="147"/>
  <c r="Q143" i="147"/>
  <c r="P143" i="147"/>
  <c r="O143" i="147"/>
  <c r="N143" i="147"/>
  <c r="M143" i="147"/>
  <c r="L143" i="147"/>
  <c r="K143" i="147"/>
  <c r="J143" i="147"/>
  <c r="I143" i="147"/>
  <c r="H143" i="147"/>
  <c r="G143" i="147"/>
  <c r="F143" i="147"/>
  <c r="E143" i="147"/>
  <c r="C143" i="147"/>
  <c r="W137" i="147"/>
  <c r="U137" i="147"/>
  <c r="T137" i="147"/>
  <c r="S137" i="147"/>
  <c r="R137" i="147"/>
  <c r="Q137" i="147"/>
  <c r="P137" i="147"/>
  <c r="O137" i="147"/>
  <c r="N137" i="147"/>
  <c r="M137" i="147"/>
  <c r="L137" i="147"/>
  <c r="K137" i="147"/>
  <c r="J137" i="147"/>
  <c r="I137" i="147"/>
  <c r="H137" i="147"/>
  <c r="G137" i="147"/>
  <c r="F137" i="147"/>
  <c r="E137" i="147"/>
  <c r="W136" i="147"/>
  <c r="U136" i="147"/>
  <c r="T136" i="147"/>
  <c r="S136" i="147"/>
  <c r="R136" i="147"/>
  <c r="Q136" i="147"/>
  <c r="P136" i="147"/>
  <c r="O136" i="147"/>
  <c r="N136" i="147"/>
  <c r="M136" i="147"/>
  <c r="L136" i="147"/>
  <c r="K136" i="147"/>
  <c r="J136" i="147"/>
  <c r="I136" i="147"/>
  <c r="H136" i="147"/>
  <c r="G136" i="147"/>
  <c r="F136" i="147"/>
  <c r="E136" i="147"/>
  <c r="W135" i="147"/>
  <c r="U135" i="147"/>
  <c r="T135" i="147"/>
  <c r="S135" i="147"/>
  <c r="R135" i="147"/>
  <c r="Q135" i="147"/>
  <c r="P135" i="147"/>
  <c r="O135" i="147"/>
  <c r="N135" i="147"/>
  <c r="M135" i="147"/>
  <c r="L135" i="147"/>
  <c r="K135" i="147"/>
  <c r="J135" i="147"/>
  <c r="I135" i="147"/>
  <c r="H135" i="147"/>
  <c r="G135" i="147"/>
  <c r="F135" i="147"/>
  <c r="E135" i="147"/>
  <c r="W134" i="147"/>
  <c r="U134" i="147"/>
  <c r="T134" i="147"/>
  <c r="S134" i="147"/>
  <c r="R134" i="147"/>
  <c r="Q134" i="147"/>
  <c r="P134" i="147"/>
  <c r="O134" i="147"/>
  <c r="N134" i="147"/>
  <c r="M134" i="147"/>
  <c r="L134" i="147"/>
  <c r="K134" i="147"/>
  <c r="J134" i="147"/>
  <c r="I134" i="147"/>
  <c r="H134" i="147"/>
  <c r="G134" i="147"/>
  <c r="F134" i="147"/>
  <c r="E134" i="147"/>
  <c r="W133" i="147"/>
  <c r="U133" i="147"/>
  <c r="T133" i="147"/>
  <c r="S133" i="147"/>
  <c r="R133" i="147"/>
  <c r="Q133" i="147"/>
  <c r="P133" i="147"/>
  <c r="O133" i="147"/>
  <c r="N133" i="147"/>
  <c r="M133" i="147"/>
  <c r="L133" i="147"/>
  <c r="K133" i="147"/>
  <c r="J133" i="147"/>
  <c r="I133" i="147"/>
  <c r="H133" i="147"/>
  <c r="G133" i="147"/>
  <c r="F133" i="147"/>
  <c r="E133" i="147"/>
  <c r="W132" i="147"/>
  <c r="U132" i="147"/>
  <c r="T132" i="147"/>
  <c r="S132" i="147"/>
  <c r="R132" i="147"/>
  <c r="Q132" i="147"/>
  <c r="P132" i="147"/>
  <c r="O132" i="147"/>
  <c r="N132" i="147"/>
  <c r="M132" i="147"/>
  <c r="L132" i="147"/>
  <c r="K132" i="147"/>
  <c r="J132" i="147"/>
  <c r="I132" i="147"/>
  <c r="H132" i="147"/>
  <c r="G132" i="147"/>
  <c r="F132" i="147"/>
  <c r="E132" i="147"/>
  <c r="W131" i="147"/>
  <c r="U131" i="147"/>
  <c r="T131" i="147"/>
  <c r="S131" i="147"/>
  <c r="R131" i="147"/>
  <c r="Q131" i="147"/>
  <c r="P131" i="147"/>
  <c r="O131" i="147"/>
  <c r="N131" i="147"/>
  <c r="M131" i="147"/>
  <c r="L131" i="147"/>
  <c r="K131" i="147"/>
  <c r="J131" i="147"/>
  <c r="I131" i="147"/>
  <c r="H131" i="147"/>
  <c r="G131" i="147"/>
  <c r="F131" i="147"/>
  <c r="E131" i="147"/>
  <c r="W130" i="147"/>
  <c r="X130" i="147" s="1"/>
  <c r="U130" i="147"/>
  <c r="T130" i="147"/>
  <c r="S130" i="147"/>
  <c r="R130" i="147"/>
  <c r="Q130" i="147"/>
  <c r="P130" i="147"/>
  <c r="O130" i="147"/>
  <c r="N130" i="147"/>
  <c r="M130" i="147"/>
  <c r="L130" i="147"/>
  <c r="K130" i="147"/>
  <c r="J130" i="147"/>
  <c r="I130" i="147"/>
  <c r="H130" i="147"/>
  <c r="G130" i="147"/>
  <c r="F130" i="147"/>
  <c r="E130" i="147"/>
  <c r="C130" i="147"/>
  <c r="W124" i="147"/>
  <c r="U124" i="147"/>
  <c r="T124" i="147"/>
  <c r="S124" i="147"/>
  <c r="R124" i="147"/>
  <c r="Q124" i="147"/>
  <c r="P124" i="147"/>
  <c r="O124" i="147"/>
  <c r="N124" i="147"/>
  <c r="M124" i="147"/>
  <c r="L124" i="147"/>
  <c r="K124" i="147"/>
  <c r="J124" i="147"/>
  <c r="I124" i="147"/>
  <c r="H124" i="147"/>
  <c r="G124" i="147"/>
  <c r="F124" i="147"/>
  <c r="E124" i="147"/>
  <c r="W123" i="147"/>
  <c r="U123" i="147"/>
  <c r="T123" i="147"/>
  <c r="S123" i="147"/>
  <c r="R123" i="147"/>
  <c r="Q123" i="147"/>
  <c r="P123" i="147"/>
  <c r="O123" i="147"/>
  <c r="N123" i="147"/>
  <c r="M123" i="147"/>
  <c r="L123" i="147"/>
  <c r="K123" i="147"/>
  <c r="J123" i="147"/>
  <c r="I123" i="147"/>
  <c r="H123" i="147"/>
  <c r="G123" i="147"/>
  <c r="F123" i="147"/>
  <c r="E123" i="147"/>
  <c r="W122" i="147"/>
  <c r="U122" i="147"/>
  <c r="T122" i="147"/>
  <c r="S122" i="147"/>
  <c r="R122" i="147"/>
  <c r="Q122" i="147"/>
  <c r="P122" i="147"/>
  <c r="O122" i="147"/>
  <c r="N122" i="147"/>
  <c r="M122" i="147"/>
  <c r="L122" i="147"/>
  <c r="K122" i="147"/>
  <c r="J122" i="147"/>
  <c r="I122" i="147"/>
  <c r="H122" i="147"/>
  <c r="G122" i="147"/>
  <c r="F122" i="147"/>
  <c r="E122" i="147"/>
  <c r="W121" i="147"/>
  <c r="U121" i="147"/>
  <c r="T121" i="147"/>
  <c r="S121" i="147"/>
  <c r="R121" i="147"/>
  <c r="Q121" i="147"/>
  <c r="P121" i="147"/>
  <c r="O121" i="147"/>
  <c r="N121" i="147"/>
  <c r="M121" i="147"/>
  <c r="L121" i="147"/>
  <c r="K121" i="147"/>
  <c r="J121" i="147"/>
  <c r="I121" i="147"/>
  <c r="H121" i="147"/>
  <c r="G121" i="147"/>
  <c r="F121" i="147"/>
  <c r="E121" i="147"/>
  <c r="W120" i="147"/>
  <c r="U120" i="147"/>
  <c r="T120" i="147"/>
  <c r="S120" i="147"/>
  <c r="R120" i="147"/>
  <c r="Q120" i="147"/>
  <c r="P120" i="147"/>
  <c r="O120" i="147"/>
  <c r="N120" i="147"/>
  <c r="M120" i="147"/>
  <c r="L120" i="147"/>
  <c r="K120" i="147"/>
  <c r="J120" i="147"/>
  <c r="I120" i="147"/>
  <c r="H120" i="147"/>
  <c r="G120" i="147"/>
  <c r="F120" i="147"/>
  <c r="E120" i="147"/>
  <c r="W119" i="147"/>
  <c r="U119" i="147"/>
  <c r="T119" i="147"/>
  <c r="S119" i="147"/>
  <c r="R119" i="147"/>
  <c r="Q119" i="147"/>
  <c r="P119" i="147"/>
  <c r="O119" i="147"/>
  <c r="N119" i="147"/>
  <c r="M119" i="147"/>
  <c r="L119" i="147"/>
  <c r="K119" i="147"/>
  <c r="J119" i="147"/>
  <c r="I119" i="147"/>
  <c r="H119" i="147"/>
  <c r="G119" i="147"/>
  <c r="F119" i="147"/>
  <c r="E119" i="147"/>
  <c r="W118" i="147"/>
  <c r="U118" i="147"/>
  <c r="T118" i="147"/>
  <c r="S118" i="147"/>
  <c r="R118" i="147"/>
  <c r="Q118" i="147"/>
  <c r="P118" i="147"/>
  <c r="O118" i="147"/>
  <c r="N118" i="147"/>
  <c r="M118" i="147"/>
  <c r="L118" i="147"/>
  <c r="K118" i="147"/>
  <c r="J118" i="147"/>
  <c r="I118" i="147"/>
  <c r="H118" i="147"/>
  <c r="G118" i="147"/>
  <c r="F118" i="147"/>
  <c r="E118" i="147"/>
  <c r="W117" i="147"/>
  <c r="X117" i="147" s="1"/>
  <c r="U117" i="147"/>
  <c r="T117" i="147"/>
  <c r="S117" i="147"/>
  <c r="R117" i="147"/>
  <c r="Q117" i="147"/>
  <c r="P117" i="147"/>
  <c r="O117" i="147"/>
  <c r="N117" i="147"/>
  <c r="M117" i="147"/>
  <c r="L117" i="147"/>
  <c r="K117" i="147"/>
  <c r="J117" i="147"/>
  <c r="I117" i="147"/>
  <c r="H117" i="147"/>
  <c r="G117" i="147"/>
  <c r="F117" i="147"/>
  <c r="E117" i="147"/>
  <c r="C117" i="147"/>
  <c r="W111" i="147"/>
  <c r="U111" i="147"/>
  <c r="T111" i="147"/>
  <c r="S111" i="147"/>
  <c r="R111" i="147"/>
  <c r="Q111" i="147"/>
  <c r="P111" i="147"/>
  <c r="O111" i="147"/>
  <c r="N111" i="147"/>
  <c r="M111" i="147"/>
  <c r="L111" i="147"/>
  <c r="K111" i="147"/>
  <c r="J111" i="147"/>
  <c r="I111" i="147"/>
  <c r="H111" i="147"/>
  <c r="G111" i="147"/>
  <c r="F111" i="147"/>
  <c r="E111" i="147"/>
  <c r="W110" i="147"/>
  <c r="U110" i="147"/>
  <c r="T110" i="147"/>
  <c r="S110" i="147"/>
  <c r="R110" i="147"/>
  <c r="Q110" i="147"/>
  <c r="P110" i="147"/>
  <c r="O110" i="147"/>
  <c r="N110" i="147"/>
  <c r="M110" i="147"/>
  <c r="L110" i="147"/>
  <c r="K110" i="147"/>
  <c r="J110" i="147"/>
  <c r="I110" i="147"/>
  <c r="H110" i="147"/>
  <c r="G110" i="147"/>
  <c r="F110" i="147"/>
  <c r="E110" i="147"/>
  <c r="W109" i="147"/>
  <c r="U109" i="147"/>
  <c r="T109" i="147"/>
  <c r="S109" i="147"/>
  <c r="R109" i="147"/>
  <c r="Q109" i="147"/>
  <c r="P109" i="147"/>
  <c r="O109" i="147"/>
  <c r="N109" i="147"/>
  <c r="M109" i="147"/>
  <c r="L109" i="147"/>
  <c r="K109" i="147"/>
  <c r="J109" i="147"/>
  <c r="I109" i="147"/>
  <c r="H109" i="147"/>
  <c r="G109" i="147"/>
  <c r="F109" i="147"/>
  <c r="E109" i="147"/>
  <c r="W108" i="147"/>
  <c r="U108" i="147"/>
  <c r="T108" i="147"/>
  <c r="S108" i="147"/>
  <c r="R108" i="147"/>
  <c r="Q108" i="147"/>
  <c r="P108" i="147"/>
  <c r="O108" i="147"/>
  <c r="N108" i="147"/>
  <c r="M108" i="147"/>
  <c r="L108" i="147"/>
  <c r="K108" i="147"/>
  <c r="J108" i="147"/>
  <c r="I108" i="147"/>
  <c r="H108" i="147"/>
  <c r="G108" i="147"/>
  <c r="F108" i="147"/>
  <c r="E108" i="147"/>
  <c r="W107" i="147"/>
  <c r="U107" i="147"/>
  <c r="T107" i="147"/>
  <c r="S107" i="147"/>
  <c r="R107" i="147"/>
  <c r="Q107" i="147"/>
  <c r="P107" i="147"/>
  <c r="O107" i="147"/>
  <c r="N107" i="147"/>
  <c r="M107" i="147"/>
  <c r="L107" i="147"/>
  <c r="K107" i="147"/>
  <c r="J107" i="147"/>
  <c r="I107" i="147"/>
  <c r="H107" i="147"/>
  <c r="G107" i="147"/>
  <c r="F107" i="147"/>
  <c r="E107" i="147"/>
  <c r="W106" i="147"/>
  <c r="U106" i="147"/>
  <c r="T106" i="147"/>
  <c r="S106" i="147"/>
  <c r="R106" i="147"/>
  <c r="Q106" i="147"/>
  <c r="P106" i="147"/>
  <c r="O106" i="147"/>
  <c r="N106" i="147"/>
  <c r="M106" i="147"/>
  <c r="L106" i="147"/>
  <c r="K106" i="147"/>
  <c r="J106" i="147"/>
  <c r="I106" i="147"/>
  <c r="H106" i="147"/>
  <c r="G106" i="147"/>
  <c r="F106" i="147"/>
  <c r="E106" i="147"/>
  <c r="W105" i="147"/>
  <c r="U105" i="147"/>
  <c r="T105" i="147"/>
  <c r="S105" i="147"/>
  <c r="R105" i="147"/>
  <c r="Q105" i="147"/>
  <c r="P105" i="147"/>
  <c r="O105" i="147"/>
  <c r="N105" i="147"/>
  <c r="M105" i="147"/>
  <c r="L105" i="147"/>
  <c r="K105" i="147"/>
  <c r="J105" i="147"/>
  <c r="I105" i="147"/>
  <c r="H105" i="147"/>
  <c r="G105" i="147"/>
  <c r="F105" i="147"/>
  <c r="E105" i="147"/>
  <c r="W104" i="147"/>
  <c r="X104" i="147" s="1"/>
  <c r="U104" i="147"/>
  <c r="T104" i="147"/>
  <c r="S104" i="147"/>
  <c r="R104" i="147"/>
  <c r="Q104" i="147"/>
  <c r="P104" i="147"/>
  <c r="O104" i="147"/>
  <c r="N104" i="147"/>
  <c r="M104" i="147"/>
  <c r="L104" i="147"/>
  <c r="K104" i="147"/>
  <c r="J104" i="147"/>
  <c r="I104" i="147"/>
  <c r="H104" i="147"/>
  <c r="G104" i="147"/>
  <c r="F104" i="147"/>
  <c r="E104" i="147"/>
  <c r="C104" i="147"/>
  <c r="W98" i="147"/>
  <c r="U98" i="147"/>
  <c r="T98" i="147"/>
  <c r="S98" i="147"/>
  <c r="R98" i="147"/>
  <c r="Q98" i="147"/>
  <c r="P98" i="147"/>
  <c r="O98" i="147"/>
  <c r="N98" i="147"/>
  <c r="M98" i="147"/>
  <c r="L98" i="147"/>
  <c r="K98" i="147"/>
  <c r="J98" i="147"/>
  <c r="I98" i="147"/>
  <c r="H98" i="147"/>
  <c r="G98" i="147"/>
  <c r="F98" i="147"/>
  <c r="E98" i="147"/>
  <c r="W97" i="147"/>
  <c r="U97" i="147"/>
  <c r="T97" i="147"/>
  <c r="S97" i="147"/>
  <c r="R97" i="147"/>
  <c r="Q97" i="147"/>
  <c r="P97" i="147"/>
  <c r="O97" i="147"/>
  <c r="N97" i="147"/>
  <c r="M97" i="147"/>
  <c r="L97" i="147"/>
  <c r="K97" i="147"/>
  <c r="J97" i="147"/>
  <c r="I97" i="147"/>
  <c r="H97" i="147"/>
  <c r="G97" i="147"/>
  <c r="F97" i="147"/>
  <c r="E97" i="147"/>
  <c r="W96" i="147"/>
  <c r="U96" i="147"/>
  <c r="T96" i="147"/>
  <c r="S96" i="147"/>
  <c r="R96" i="147"/>
  <c r="Q96" i="147"/>
  <c r="P96" i="147"/>
  <c r="O96" i="147"/>
  <c r="N96" i="147"/>
  <c r="M96" i="147"/>
  <c r="L96" i="147"/>
  <c r="K96" i="147"/>
  <c r="J96" i="147"/>
  <c r="I96" i="147"/>
  <c r="H96" i="147"/>
  <c r="G96" i="147"/>
  <c r="F96" i="147"/>
  <c r="E96" i="147"/>
  <c r="W95" i="147"/>
  <c r="U95" i="147"/>
  <c r="T95" i="147"/>
  <c r="S95" i="147"/>
  <c r="R95" i="147"/>
  <c r="Q95" i="147"/>
  <c r="P95" i="147"/>
  <c r="O95" i="147"/>
  <c r="N95" i="147"/>
  <c r="M95" i="147"/>
  <c r="L95" i="147"/>
  <c r="K95" i="147"/>
  <c r="J95" i="147"/>
  <c r="I95" i="147"/>
  <c r="H95" i="147"/>
  <c r="G95" i="147"/>
  <c r="F95" i="147"/>
  <c r="E95" i="147"/>
  <c r="W94" i="147"/>
  <c r="U94" i="147"/>
  <c r="T94" i="147"/>
  <c r="S94" i="147"/>
  <c r="R94" i="147"/>
  <c r="Q94" i="147"/>
  <c r="P94" i="147"/>
  <c r="O94" i="147"/>
  <c r="N94" i="147"/>
  <c r="M94" i="147"/>
  <c r="L94" i="147"/>
  <c r="K94" i="147"/>
  <c r="J94" i="147"/>
  <c r="I94" i="147"/>
  <c r="H94" i="147"/>
  <c r="G94" i="147"/>
  <c r="F94" i="147"/>
  <c r="E94" i="147"/>
  <c r="W93" i="147"/>
  <c r="U93" i="147"/>
  <c r="T93" i="147"/>
  <c r="S93" i="147"/>
  <c r="R93" i="147"/>
  <c r="Q93" i="147"/>
  <c r="P93" i="147"/>
  <c r="O93" i="147"/>
  <c r="N93" i="147"/>
  <c r="M93" i="147"/>
  <c r="L93" i="147"/>
  <c r="K93" i="147"/>
  <c r="J93" i="147"/>
  <c r="I93" i="147"/>
  <c r="H93" i="147"/>
  <c r="G93" i="147"/>
  <c r="F93" i="147"/>
  <c r="E93" i="147"/>
  <c r="W92" i="147"/>
  <c r="U92" i="147"/>
  <c r="T92" i="147"/>
  <c r="S92" i="147"/>
  <c r="R92" i="147"/>
  <c r="Q92" i="147"/>
  <c r="P92" i="147"/>
  <c r="O92" i="147"/>
  <c r="N92" i="147"/>
  <c r="M92" i="147"/>
  <c r="L92" i="147"/>
  <c r="K92" i="147"/>
  <c r="J92" i="147"/>
  <c r="I92" i="147"/>
  <c r="H92" i="147"/>
  <c r="G92" i="147"/>
  <c r="F92" i="147"/>
  <c r="E92" i="147"/>
  <c r="W91" i="147"/>
  <c r="X91" i="147" s="1"/>
  <c r="U91" i="147"/>
  <c r="T91" i="147"/>
  <c r="S91" i="147"/>
  <c r="R91" i="147"/>
  <c r="Q91" i="147"/>
  <c r="P91" i="147"/>
  <c r="O91" i="147"/>
  <c r="N91" i="147"/>
  <c r="M91" i="147"/>
  <c r="L91" i="147"/>
  <c r="K91" i="147"/>
  <c r="J91" i="147"/>
  <c r="I91" i="147"/>
  <c r="H91" i="147"/>
  <c r="G91" i="147"/>
  <c r="F91" i="147"/>
  <c r="E91" i="147"/>
  <c r="C91" i="147"/>
  <c r="W85" i="147"/>
  <c r="U85" i="147"/>
  <c r="T85" i="147"/>
  <c r="S85" i="147"/>
  <c r="R85" i="147"/>
  <c r="Q85" i="147"/>
  <c r="P85" i="147"/>
  <c r="O85" i="147"/>
  <c r="N85" i="147"/>
  <c r="M85" i="147"/>
  <c r="L85" i="147"/>
  <c r="K85" i="147"/>
  <c r="J85" i="147"/>
  <c r="I85" i="147"/>
  <c r="H85" i="147"/>
  <c r="G85" i="147"/>
  <c r="F85" i="147"/>
  <c r="E85" i="147"/>
  <c r="W84" i="147"/>
  <c r="U84" i="147"/>
  <c r="T84" i="147"/>
  <c r="S84" i="147"/>
  <c r="R84" i="147"/>
  <c r="Q84" i="147"/>
  <c r="P84" i="147"/>
  <c r="O84" i="147"/>
  <c r="N84" i="147"/>
  <c r="M84" i="147"/>
  <c r="L84" i="147"/>
  <c r="K84" i="147"/>
  <c r="J84" i="147"/>
  <c r="I84" i="147"/>
  <c r="H84" i="147"/>
  <c r="G84" i="147"/>
  <c r="F84" i="147"/>
  <c r="E84" i="147"/>
  <c r="W83" i="147"/>
  <c r="U83" i="147"/>
  <c r="T83" i="147"/>
  <c r="S83" i="147"/>
  <c r="R83" i="147"/>
  <c r="Q83" i="147"/>
  <c r="P83" i="147"/>
  <c r="O83" i="147"/>
  <c r="N83" i="147"/>
  <c r="M83" i="147"/>
  <c r="L83" i="147"/>
  <c r="K83" i="147"/>
  <c r="J83" i="147"/>
  <c r="I83" i="147"/>
  <c r="H83" i="147"/>
  <c r="G83" i="147"/>
  <c r="F83" i="147"/>
  <c r="E83" i="147"/>
  <c r="W82" i="147"/>
  <c r="U82" i="147"/>
  <c r="T82" i="147"/>
  <c r="S82" i="147"/>
  <c r="R82" i="147"/>
  <c r="Q82" i="147"/>
  <c r="P82" i="147"/>
  <c r="O82" i="147"/>
  <c r="N82" i="147"/>
  <c r="M82" i="147"/>
  <c r="L82" i="147"/>
  <c r="K82" i="147"/>
  <c r="J82" i="147"/>
  <c r="I82" i="147"/>
  <c r="H82" i="147"/>
  <c r="G82" i="147"/>
  <c r="F82" i="147"/>
  <c r="E82" i="147"/>
  <c r="W81" i="147"/>
  <c r="U81" i="147"/>
  <c r="T81" i="147"/>
  <c r="S81" i="147"/>
  <c r="R81" i="147"/>
  <c r="Q81" i="147"/>
  <c r="P81" i="147"/>
  <c r="O81" i="147"/>
  <c r="N81" i="147"/>
  <c r="M81" i="147"/>
  <c r="L81" i="147"/>
  <c r="K81" i="147"/>
  <c r="J81" i="147"/>
  <c r="I81" i="147"/>
  <c r="H81" i="147"/>
  <c r="G81" i="147"/>
  <c r="F81" i="147"/>
  <c r="E81" i="147"/>
  <c r="W80" i="147"/>
  <c r="U80" i="147"/>
  <c r="T80" i="147"/>
  <c r="S80" i="147"/>
  <c r="R80" i="147"/>
  <c r="Q80" i="147"/>
  <c r="P80" i="147"/>
  <c r="O80" i="147"/>
  <c r="N80" i="147"/>
  <c r="M80" i="147"/>
  <c r="L80" i="147"/>
  <c r="K80" i="147"/>
  <c r="J80" i="147"/>
  <c r="I80" i="147"/>
  <c r="H80" i="147"/>
  <c r="G80" i="147"/>
  <c r="F80" i="147"/>
  <c r="E80" i="147"/>
  <c r="W79" i="147"/>
  <c r="U79" i="147"/>
  <c r="T79" i="147"/>
  <c r="S79" i="147"/>
  <c r="R79" i="147"/>
  <c r="Q79" i="147"/>
  <c r="P79" i="147"/>
  <c r="O79" i="147"/>
  <c r="N79" i="147"/>
  <c r="M79" i="147"/>
  <c r="L79" i="147"/>
  <c r="K79" i="147"/>
  <c r="J79" i="147"/>
  <c r="I79" i="147"/>
  <c r="H79" i="147"/>
  <c r="G79" i="147"/>
  <c r="F79" i="147"/>
  <c r="E79" i="147"/>
  <c r="W78" i="147"/>
  <c r="U78" i="147"/>
  <c r="T78" i="147"/>
  <c r="S78" i="147"/>
  <c r="R78" i="147"/>
  <c r="Q78" i="147"/>
  <c r="P78" i="147"/>
  <c r="O78" i="147"/>
  <c r="N78" i="147"/>
  <c r="M78" i="147"/>
  <c r="L78" i="147"/>
  <c r="K78" i="147"/>
  <c r="J78" i="147"/>
  <c r="I78" i="147"/>
  <c r="H78" i="147"/>
  <c r="G78" i="147"/>
  <c r="F78" i="147"/>
  <c r="E78" i="147"/>
  <c r="C78" i="147"/>
  <c r="W72" i="147"/>
  <c r="U72" i="147"/>
  <c r="T72" i="147"/>
  <c r="S72" i="147"/>
  <c r="R72" i="147"/>
  <c r="Q72" i="147"/>
  <c r="P72" i="147"/>
  <c r="O72" i="147"/>
  <c r="N72" i="147"/>
  <c r="M72" i="147"/>
  <c r="L72" i="147"/>
  <c r="K72" i="147"/>
  <c r="J72" i="147"/>
  <c r="I72" i="147"/>
  <c r="H72" i="147"/>
  <c r="G72" i="147"/>
  <c r="F72" i="147"/>
  <c r="E72" i="147"/>
  <c r="W71" i="147"/>
  <c r="U71" i="147"/>
  <c r="T71" i="147"/>
  <c r="S71" i="147"/>
  <c r="R71" i="147"/>
  <c r="Q71" i="147"/>
  <c r="P71" i="147"/>
  <c r="O71" i="147"/>
  <c r="N71" i="147"/>
  <c r="M71" i="147"/>
  <c r="L71" i="147"/>
  <c r="K71" i="147"/>
  <c r="J71" i="147"/>
  <c r="I71" i="147"/>
  <c r="H71" i="147"/>
  <c r="G71" i="147"/>
  <c r="F71" i="147"/>
  <c r="E71" i="147"/>
  <c r="W70" i="147"/>
  <c r="U70" i="147"/>
  <c r="T70" i="147"/>
  <c r="S70" i="147"/>
  <c r="R70" i="147"/>
  <c r="Q70" i="147"/>
  <c r="P70" i="147"/>
  <c r="O70" i="147"/>
  <c r="N70" i="147"/>
  <c r="M70" i="147"/>
  <c r="L70" i="147"/>
  <c r="K70" i="147"/>
  <c r="J70" i="147"/>
  <c r="I70" i="147"/>
  <c r="H70" i="147"/>
  <c r="G70" i="147"/>
  <c r="F70" i="147"/>
  <c r="E70" i="147"/>
  <c r="W69" i="147"/>
  <c r="U69" i="147"/>
  <c r="T69" i="147"/>
  <c r="S69" i="147"/>
  <c r="R69" i="147"/>
  <c r="Q69" i="147"/>
  <c r="P69" i="147"/>
  <c r="O69" i="147"/>
  <c r="N69" i="147"/>
  <c r="M69" i="147"/>
  <c r="L69" i="147"/>
  <c r="K69" i="147"/>
  <c r="J69" i="147"/>
  <c r="I69" i="147"/>
  <c r="H69" i="147"/>
  <c r="G69" i="147"/>
  <c r="F69" i="147"/>
  <c r="E69" i="147"/>
  <c r="W68" i="147"/>
  <c r="U68" i="147"/>
  <c r="T68" i="147"/>
  <c r="S68" i="147"/>
  <c r="R68" i="147"/>
  <c r="Q68" i="147"/>
  <c r="P68" i="147"/>
  <c r="O68" i="147"/>
  <c r="N68" i="147"/>
  <c r="M68" i="147"/>
  <c r="L68" i="147"/>
  <c r="K68" i="147"/>
  <c r="J68" i="147"/>
  <c r="I68" i="147"/>
  <c r="H68" i="147"/>
  <c r="G68" i="147"/>
  <c r="F68" i="147"/>
  <c r="E68" i="147"/>
  <c r="W67" i="147"/>
  <c r="U67" i="147"/>
  <c r="T67" i="147"/>
  <c r="S67" i="147"/>
  <c r="R67" i="147"/>
  <c r="Q67" i="147"/>
  <c r="P67" i="147"/>
  <c r="O67" i="147"/>
  <c r="N67" i="147"/>
  <c r="M67" i="147"/>
  <c r="L67" i="147"/>
  <c r="K67" i="147"/>
  <c r="J67" i="147"/>
  <c r="I67" i="147"/>
  <c r="H67" i="147"/>
  <c r="G67" i="147"/>
  <c r="F67" i="147"/>
  <c r="E67" i="147"/>
  <c r="W66" i="147"/>
  <c r="U66" i="147"/>
  <c r="T66" i="147"/>
  <c r="S66" i="147"/>
  <c r="R66" i="147"/>
  <c r="Q66" i="147"/>
  <c r="P66" i="147"/>
  <c r="O66" i="147"/>
  <c r="N66" i="147"/>
  <c r="M66" i="147"/>
  <c r="L66" i="147"/>
  <c r="K66" i="147"/>
  <c r="J66" i="147"/>
  <c r="I66" i="147"/>
  <c r="H66" i="147"/>
  <c r="G66" i="147"/>
  <c r="F66" i="147"/>
  <c r="E66" i="147"/>
  <c r="W65" i="147"/>
  <c r="X65" i="147" s="1"/>
  <c r="U65" i="147"/>
  <c r="T65" i="147"/>
  <c r="S65" i="147"/>
  <c r="R65" i="147"/>
  <c r="Q65" i="147"/>
  <c r="P65" i="147"/>
  <c r="O65" i="147"/>
  <c r="N65" i="147"/>
  <c r="M65" i="147"/>
  <c r="L65" i="147"/>
  <c r="K65" i="147"/>
  <c r="J65" i="147"/>
  <c r="I65" i="147"/>
  <c r="H65" i="147"/>
  <c r="G65" i="147"/>
  <c r="F65" i="147"/>
  <c r="E65" i="147"/>
  <c r="C65" i="147"/>
  <c r="W59" i="147"/>
  <c r="U59" i="147"/>
  <c r="T59" i="147"/>
  <c r="S59" i="147"/>
  <c r="R59" i="147"/>
  <c r="Q59" i="147"/>
  <c r="P59" i="147"/>
  <c r="O59" i="147"/>
  <c r="N59" i="147"/>
  <c r="M59" i="147"/>
  <c r="L59" i="147"/>
  <c r="K59" i="147"/>
  <c r="J59" i="147"/>
  <c r="I59" i="147"/>
  <c r="H59" i="147"/>
  <c r="G59" i="147"/>
  <c r="F59" i="147"/>
  <c r="E59" i="147"/>
  <c r="W58" i="147"/>
  <c r="U58" i="147"/>
  <c r="T58" i="147"/>
  <c r="S58" i="147"/>
  <c r="R58" i="147"/>
  <c r="Q58" i="147"/>
  <c r="P58" i="147"/>
  <c r="O58" i="147"/>
  <c r="N58" i="147"/>
  <c r="M58" i="147"/>
  <c r="L58" i="147"/>
  <c r="K58" i="147"/>
  <c r="J58" i="147"/>
  <c r="I58" i="147"/>
  <c r="H58" i="147"/>
  <c r="G58" i="147"/>
  <c r="F58" i="147"/>
  <c r="E58" i="147"/>
  <c r="W57" i="147"/>
  <c r="U57" i="147"/>
  <c r="T57" i="147"/>
  <c r="S57" i="147"/>
  <c r="R57" i="147"/>
  <c r="Q57" i="147"/>
  <c r="P57" i="147"/>
  <c r="O57" i="147"/>
  <c r="N57" i="147"/>
  <c r="M57" i="147"/>
  <c r="L57" i="147"/>
  <c r="K57" i="147"/>
  <c r="J57" i="147"/>
  <c r="I57" i="147"/>
  <c r="H57" i="147"/>
  <c r="G57" i="147"/>
  <c r="F57" i="147"/>
  <c r="E57" i="147"/>
  <c r="W56" i="147"/>
  <c r="U56" i="147"/>
  <c r="T56" i="147"/>
  <c r="S56" i="147"/>
  <c r="R56" i="147"/>
  <c r="Q56" i="147"/>
  <c r="P56" i="147"/>
  <c r="O56" i="147"/>
  <c r="N56" i="147"/>
  <c r="M56" i="147"/>
  <c r="L56" i="147"/>
  <c r="K56" i="147"/>
  <c r="J56" i="147"/>
  <c r="I56" i="147"/>
  <c r="H56" i="147"/>
  <c r="G56" i="147"/>
  <c r="F56" i="147"/>
  <c r="E56" i="147"/>
  <c r="W55" i="147"/>
  <c r="U55" i="147"/>
  <c r="T55" i="147"/>
  <c r="S55" i="147"/>
  <c r="R55" i="147"/>
  <c r="Q55" i="147"/>
  <c r="P55" i="147"/>
  <c r="O55" i="147"/>
  <c r="N55" i="147"/>
  <c r="M55" i="147"/>
  <c r="L55" i="147"/>
  <c r="K55" i="147"/>
  <c r="J55" i="147"/>
  <c r="I55" i="147"/>
  <c r="H55" i="147"/>
  <c r="G55" i="147"/>
  <c r="F55" i="147"/>
  <c r="E55" i="147"/>
  <c r="W54" i="147"/>
  <c r="U54" i="147"/>
  <c r="T54" i="147"/>
  <c r="S54" i="147"/>
  <c r="R54" i="147"/>
  <c r="Q54" i="147"/>
  <c r="P54" i="147"/>
  <c r="O54" i="147"/>
  <c r="N54" i="147"/>
  <c r="M54" i="147"/>
  <c r="L54" i="147"/>
  <c r="K54" i="147"/>
  <c r="J54" i="147"/>
  <c r="I54" i="147"/>
  <c r="H54" i="147"/>
  <c r="G54" i="147"/>
  <c r="F54" i="147"/>
  <c r="E54" i="147"/>
  <c r="W53" i="147"/>
  <c r="U53" i="147"/>
  <c r="T53" i="147"/>
  <c r="S53" i="147"/>
  <c r="R53" i="147"/>
  <c r="Q53" i="147"/>
  <c r="P53" i="147"/>
  <c r="O53" i="147"/>
  <c r="N53" i="147"/>
  <c r="M53" i="147"/>
  <c r="L53" i="147"/>
  <c r="K53" i="147"/>
  <c r="J53" i="147"/>
  <c r="I53" i="147"/>
  <c r="H53" i="147"/>
  <c r="G53" i="147"/>
  <c r="F53" i="147"/>
  <c r="E53" i="147"/>
  <c r="W52" i="147"/>
  <c r="U52" i="147"/>
  <c r="T52" i="147"/>
  <c r="S52" i="147"/>
  <c r="R52" i="147"/>
  <c r="Q52" i="147"/>
  <c r="P52" i="147"/>
  <c r="O52" i="147"/>
  <c r="N52" i="147"/>
  <c r="M52" i="147"/>
  <c r="L52" i="147"/>
  <c r="K52" i="147"/>
  <c r="J52" i="147"/>
  <c r="I52" i="147"/>
  <c r="H52" i="147"/>
  <c r="G52" i="147"/>
  <c r="F52" i="147"/>
  <c r="E52" i="147"/>
  <c r="C52" i="147"/>
  <c r="W46" i="147"/>
  <c r="U46" i="147"/>
  <c r="T46" i="147"/>
  <c r="S46" i="147"/>
  <c r="R46" i="147"/>
  <c r="Q46" i="147"/>
  <c r="P46" i="147"/>
  <c r="O46" i="147"/>
  <c r="N46" i="147"/>
  <c r="M46" i="147"/>
  <c r="L46" i="147"/>
  <c r="K46" i="147"/>
  <c r="J46" i="147"/>
  <c r="I46" i="147"/>
  <c r="H46" i="147"/>
  <c r="G46" i="147"/>
  <c r="F46" i="147"/>
  <c r="E46" i="147"/>
  <c r="W45" i="147"/>
  <c r="U45" i="147"/>
  <c r="T45" i="147"/>
  <c r="S45" i="147"/>
  <c r="R45" i="147"/>
  <c r="Q45" i="147"/>
  <c r="P45" i="147"/>
  <c r="O45" i="147"/>
  <c r="N45" i="147"/>
  <c r="M45" i="147"/>
  <c r="L45" i="147"/>
  <c r="K45" i="147"/>
  <c r="J45" i="147"/>
  <c r="I45" i="147"/>
  <c r="H45" i="147"/>
  <c r="G45" i="147"/>
  <c r="F45" i="147"/>
  <c r="E45" i="147"/>
  <c r="W44" i="147"/>
  <c r="U44" i="147"/>
  <c r="T44" i="147"/>
  <c r="S44" i="147"/>
  <c r="R44" i="147"/>
  <c r="Q44" i="147"/>
  <c r="P44" i="147"/>
  <c r="O44" i="147"/>
  <c r="N44" i="147"/>
  <c r="M44" i="147"/>
  <c r="L44" i="147"/>
  <c r="K44" i="147"/>
  <c r="J44" i="147"/>
  <c r="I44" i="147"/>
  <c r="H44" i="147"/>
  <c r="G44" i="147"/>
  <c r="F44" i="147"/>
  <c r="E44" i="147"/>
  <c r="W43" i="147"/>
  <c r="U43" i="147"/>
  <c r="T43" i="147"/>
  <c r="S43" i="147"/>
  <c r="R43" i="147"/>
  <c r="Q43" i="147"/>
  <c r="P43" i="147"/>
  <c r="O43" i="147"/>
  <c r="N43" i="147"/>
  <c r="M43" i="147"/>
  <c r="L43" i="147"/>
  <c r="K43" i="147"/>
  <c r="J43" i="147"/>
  <c r="I43" i="147"/>
  <c r="H43" i="147"/>
  <c r="G43" i="147"/>
  <c r="F43" i="147"/>
  <c r="E43" i="147"/>
  <c r="W42" i="147"/>
  <c r="U42" i="147"/>
  <c r="T42" i="147"/>
  <c r="S42" i="147"/>
  <c r="R42" i="147"/>
  <c r="Q42" i="147"/>
  <c r="P42" i="147"/>
  <c r="O42" i="147"/>
  <c r="N42" i="147"/>
  <c r="M42" i="147"/>
  <c r="L42" i="147"/>
  <c r="K42" i="147"/>
  <c r="J42" i="147"/>
  <c r="I42" i="147"/>
  <c r="H42" i="147"/>
  <c r="G42" i="147"/>
  <c r="F42" i="147"/>
  <c r="E42" i="147"/>
  <c r="W41" i="147"/>
  <c r="U41" i="147"/>
  <c r="T41" i="147"/>
  <c r="S41" i="147"/>
  <c r="R41" i="147"/>
  <c r="Q41" i="147"/>
  <c r="P41" i="147"/>
  <c r="O41" i="147"/>
  <c r="N41" i="147"/>
  <c r="M41" i="147"/>
  <c r="L41" i="147"/>
  <c r="K41" i="147"/>
  <c r="J41" i="147"/>
  <c r="I41" i="147"/>
  <c r="H41" i="147"/>
  <c r="G41" i="147"/>
  <c r="F41" i="147"/>
  <c r="E41" i="147"/>
  <c r="W40" i="147"/>
  <c r="U40" i="147"/>
  <c r="T40" i="147"/>
  <c r="S40" i="147"/>
  <c r="R40" i="147"/>
  <c r="Q40" i="147"/>
  <c r="P40" i="147"/>
  <c r="O40" i="147"/>
  <c r="N40" i="147"/>
  <c r="M40" i="147"/>
  <c r="L40" i="147"/>
  <c r="K40" i="147"/>
  <c r="J40" i="147"/>
  <c r="I40" i="147"/>
  <c r="H40" i="147"/>
  <c r="G40" i="147"/>
  <c r="F40" i="147"/>
  <c r="E40" i="147"/>
  <c r="W39" i="147"/>
  <c r="U39" i="147"/>
  <c r="T39" i="147"/>
  <c r="S39" i="147"/>
  <c r="R39" i="147"/>
  <c r="Q39" i="147"/>
  <c r="P39" i="147"/>
  <c r="O39" i="147"/>
  <c r="N39" i="147"/>
  <c r="M39" i="147"/>
  <c r="L39" i="147"/>
  <c r="K39" i="147"/>
  <c r="J39" i="147"/>
  <c r="I39" i="147"/>
  <c r="H39" i="147"/>
  <c r="G39" i="147"/>
  <c r="F39" i="147"/>
  <c r="E39" i="147"/>
  <c r="C39" i="147"/>
  <c r="W33" i="147"/>
  <c r="U33" i="147"/>
  <c r="T33" i="147"/>
  <c r="S33" i="147"/>
  <c r="R33" i="147"/>
  <c r="Q33" i="147"/>
  <c r="P33" i="147"/>
  <c r="O33" i="147"/>
  <c r="N33" i="147"/>
  <c r="M33" i="147"/>
  <c r="L33" i="147"/>
  <c r="K33" i="147"/>
  <c r="J33" i="147"/>
  <c r="I33" i="147"/>
  <c r="H33" i="147"/>
  <c r="G33" i="147"/>
  <c r="F33" i="147"/>
  <c r="E33" i="147"/>
  <c r="W32" i="147"/>
  <c r="U32" i="147"/>
  <c r="T32" i="147"/>
  <c r="S32" i="147"/>
  <c r="R32" i="147"/>
  <c r="Q32" i="147"/>
  <c r="P32" i="147"/>
  <c r="O32" i="147"/>
  <c r="N32" i="147"/>
  <c r="M32" i="147"/>
  <c r="L32" i="147"/>
  <c r="K32" i="147"/>
  <c r="J32" i="147"/>
  <c r="I32" i="147"/>
  <c r="H32" i="147"/>
  <c r="G32" i="147"/>
  <c r="F32" i="147"/>
  <c r="E32" i="147"/>
  <c r="W31" i="147"/>
  <c r="U31" i="147"/>
  <c r="T31" i="147"/>
  <c r="S31" i="147"/>
  <c r="R31" i="147"/>
  <c r="Q31" i="147"/>
  <c r="P31" i="147"/>
  <c r="O31" i="147"/>
  <c r="N31" i="147"/>
  <c r="M31" i="147"/>
  <c r="L31" i="147"/>
  <c r="K31" i="147"/>
  <c r="J31" i="147"/>
  <c r="I31" i="147"/>
  <c r="H31" i="147"/>
  <c r="G31" i="147"/>
  <c r="F31" i="147"/>
  <c r="E31" i="147"/>
  <c r="W30" i="147"/>
  <c r="U30" i="147"/>
  <c r="T30" i="147"/>
  <c r="S30" i="147"/>
  <c r="R30" i="147"/>
  <c r="Q30" i="147"/>
  <c r="P30" i="147"/>
  <c r="O30" i="147"/>
  <c r="N30" i="147"/>
  <c r="M30" i="147"/>
  <c r="L30" i="147"/>
  <c r="K30" i="147"/>
  <c r="J30" i="147"/>
  <c r="I30" i="147"/>
  <c r="H30" i="147"/>
  <c r="G30" i="147"/>
  <c r="F30" i="147"/>
  <c r="E30" i="147"/>
  <c r="W29" i="147"/>
  <c r="U29" i="147"/>
  <c r="T29" i="147"/>
  <c r="S29" i="147"/>
  <c r="R29" i="147"/>
  <c r="Q29" i="147"/>
  <c r="P29" i="147"/>
  <c r="O29" i="147"/>
  <c r="N29" i="147"/>
  <c r="M29" i="147"/>
  <c r="L29" i="147"/>
  <c r="K29" i="147"/>
  <c r="J29" i="147"/>
  <c r="I29" i="147"/>
  <c r="H29" i="147"/>
  <c r="G29" i="147"/>
  <c r="F29" i="147"/>
  <c r="E29" i="147"/>
  <c r="W28" i="147"/>
  <c r="U28" i="147"/>
  <c r="T28" i="147"/>
  <c r="S28" i="147"/>
  <c r="R28" i="147"/>
  <c r="Q28" i="147"/>
  <c r="P28" i="147"/>
  <c r="O28" i="147"/>
  <c r="N28" i="147"/>
  <c r="M28" i="147"/>
  <c r="L28" i="147"/>
  <c r="K28" i="147"/>
  <c r="J28" i="147"/>
  <c r="I28" i="147"/>
  <c r="H28" i="147"/>
  <c r="G28" i="147"/>
  <c r="F28" i="147"/>
  <c r="E28" i="147"/>
  <c r="W27" i="147"/>
  <c r="U27" i="147"/>
  <c r="T27" i="147"/>
  <c r="S27" i="147"/>
  <c r="R27" i="147"/>
  <c r="Q27" i="147"/>
  <c r="P27" i="147"/>
  <c r="O27" i="147"/>
  <c r="N27" i="147"/>
  <c r="M27" i="147"/>
  <c r="L27" i="147"/>
  <c r="K27" i="147"/>
  <c r="J27" i="147"/>
  <c r="I27" i="147"/>
  <c r="H27" i="147"/>
  <c r="G27" i="147"/>
  <c r="F27" i="147"/>
  <c r="E27" i="147"/>
  <c r="W26" i="147"/>
  <c r="U26" i="147"/>
  <c r="T26" i="147"/>
  <c r="S26" i="147"/>
  <c r="R26" i="147"/>
  <c r="Q26" i="147"/>
  <c r="P26" i="147"/>
  <c r="O26" i="147"/>
  <c r="N26" i="147"/>
  <c r="M26" i="147"/>
  <c r="L26" i="147"/>
  <c r="K26" i="147"/>
  <c r="J26" i="147"/>
  <c r="I26" i="147"/>
  <c r="H26" i="147"/>
  <c r="G26" i="147"/>
  <c r="F26" i="147"/>
  <c r="E26" i="147"/>
  <c r="C26" i="147"/>
  <c r="W20" i="147"/>
  <c r="U20" i="147"/>
  <c r="T20" i="147"/>
  <c r="S20" i="147"/>
  <c r="R20" i="147"/>
  <c r="Q20" i="147"/>
  <c r="P20" i="147"/>
  <c r="O20" i="147"/>
  <c r="N20" i="147"/>
  <c r="M20" i="147"/>
  <c r="L20" i="147"/>
  <c r="K20" i="147"/>
  <c r="J20" i="147"/>
  <c r="I20" i="147"/>
  <c r="H20" i="147"/>
  <c r="G20" i="147"/>
  <c r="F20" i="147"/>
  <c r="E20" i="147"/>
  <c r="W19" i="147"/>
  <c r="U19" i="147"/>
  <c r="T19" i="147"/>
  <c r="S19" i="147"/>
  <c r="R19" i="147"/>
  <c r="Q19" i="147"/>
  <c r="P19" i="147"/>
  <c r="O19" i="147"/>
  <c r="N19" i="147"/>
  <c r="M19" i="147"/>
  <c r="L19" i="147"/>
  <c r="K19" i="147"/>
  <c r="J19" i="147"/>
  <c r="I19" i="147"/>
  <c r="H19" i="147"/>
  <c r="G19" i="147"/>
  <c r="F19" i="147"/>
  <c r="E19" i="147"/>
  <c r="W18" i="147"/>
  <c r="U18" i="147"/>
  <c r="T18" i="147"/>
  <c r="S18" i="147"/>
  <c r="R18" i="147"/>
  <c r="Q18" i="147"/>
  <c r="P18" i="147"/>
  <c r="O18" i="147"/>
  <c r="N18" i="147"/>
  <c r="M18" i="147"/>
  <c r="L18" i="147"/>
  <c r="K18" i="147"/>
  <c r="J18" i="147"/>
  <c r="I18" i="147"/>
  <c r="H18" i="147"/>
  <c r="G18" i="147"/>
  <c r="F18" i="147"/>
  <c r="E18" i="147"/>
  <c r="W17" i="147"/>
  <c r="U17" i="147"/>
  <c r="T17" i="147"/>
  <c r="S17" i="147"/>
  <c r="R17" i="147"/>
  <c r="Q17" i="147"/>
  <c r="P17" i="147"/>
  <c r="O17" i="147"/>
  <c r="N17" i="147"/>
  <c r="M17" i="147"/>
  <c r="L17" i="147"/>
  <c r="K17" i="147"/>
  <c r="J17" i="147"/>
  <c r="I17" i="147"/>
  <c r="H17" i="147"/>
  <c r="G17" i="147"/>
  <c r="F17" i="147"/>
  <c r="E17" i="147"/>
  <c r="W16" i="147"/>
  <c r="U16" i="147"/>
  <c r="T16" i="147"/>
  <c r="S16" i="147"/>
  <c r="R16" i="147"/>
  <c r="Q16" i="147"/>
  <c r="P16" i="147"/>
  <c r="O16" i="147"/>
  <c r="N16" i="147"/>
  <c r="M16" i="147"/>
  <c r="L16" i="147"/>
  <c r="K16" i="147"/>
  <c r="J16" i="147"/>
  <c r="I16" i="147"/>
  <c r="H16" i="147"/>
  <c r="G16" i="147"/>
  <c r="F16" i="147"/>
  <c r="E16" i="147"/>
  <c r="W15" i="147"/>
  <c r="U15" i="147"/>
  <c r="T15" i="147"/>
  <c r="S15" i="147"/>
  <c r="R15" i="147"/>
  <c r="Q15" i="147"/>
  <c r="P15" i="147"/>
  <c r="O15" i="147"/>
  <c r="N15" i="147"/>
  <c r="M15" i="147"/>
  <c r="L15" i="147"/>
  <c r="K15" i="147"/>
  <c r="J15" i="147"/>
  <c r="I15" i="147"/>
  <c r="H15" i="147"/>
  <c r="G15" i="147"/>
  <c r="F15" i="147"/>
  <c r="E15" i="147"/>
  <c r="W14" i="147"/>
  <c r="U14" i="147"/>
  <c r="T14" i="147"/>
  <c r="S14" i="147"/>
  <c r="R14" i="147"/>
  <c r="Q14" i="147"/>
  <c r="P14" i="147"/>
  <c r="O14" i="147"/>
  <c r="N14" i="147"/>
  <c r="M14" i="147"/>
  <c r="L14" i="147"/>
  <c r="K14" i="147"/>
  <c r="J14" i="147"/>
  <c r="I14" i="147"/>
  <c r="H14" i="147"/>
  <c r="G14" i="147"/>
  <c r="F14" i="147"/>
  <c r="E14" i="147"/>
  <c r="W13" i="147"/>
  <c r="U13" i="147"/>
  <c r="T13" i="147"/>
  <c r="S13" i="147"/>
  <c r="R13" i="147"/>
  <c r="Q13" i="147"/>
  <c r="P13" i="147"/>
  <c r="O13" i="147"/>
  <c r="N13" i="147"/>
  <c r="M13" i="147"/>
  <c r="L13" i="147"/>
  <c r="K13" i="147"/>
  <c r="J13" i="147"/>
  <c r="I13" i="147"/>
  <c r="H13" i="147"/>
  <c r="G13" i="147"/>
  <c r="F13" i="147"/>
  <c r="E13" i="147"/>
  <c r="C13" i="147"/>
  <c r="B9" i="147"/>
  <c r="D3" i="147"/>
  <c r="D2" i="147"/>
  <c r="X163" i="146"/>
  <c r="V163" i="146"/>
  <c r="U163" i="146"/>
  <c r="T163" i="146"/>
  <c r="S163" i="146"/>
  <c r="R163" i="146"/>
  <c r="Q163" i="146"/>
  <c r="P163" i="146"/>
  <c r="O163" i="146"/>
  <c r="N163" i="146"/>
  <c r="M163" i="146"/>
  <c r="L163" i="146"/>
  <c r="K163" i="146"/>
  <c r="J163" i="146"/>
  <c r="I163" i="146"/>
  <c r="H163" i="146"/>
  <c r="G163" i="146"/>
  <c r="F163" i="146"/>
  <c r="X162" i="146"/>
  <c r="V162" i="146"/>
  <c r="U162" i="146"/>
  <c r="T162" i="146"/>
  <c r="S162" i="146"/>
  <c r="R162" i="146"/>
  <c r="Q162" i="146"/>
  <c r="P162" i="146"/>
  <c r="O162" i="146"/>
  <c r="N162" i="146"/>
  <c r="M162" i="146"/>
  <c r="L162" i="146"/>
  <c r="K162" i="146"/>
  <c r="J162" i="146"/>
  <c r="I162" i="146"/>
  <c r="H162" i="146"/>
  <c r="G162" i="146"/>
  <c r="F162" i="146"/>
  <c r="X161" i="146"/>
  <c r="V161" i="146"/>
  <c r="U161" i="146"/>
  <c r="T161" i="146"/>
  <c r="S161" i="146"/>
  <c r="R161" i="146"/>
  <c r="Q161" i="146"/>
  <c r="P161" i="146"/>
  <c r="O161" i="146"/>
  <c r="N161" i="146"/>
  <c r="M161" i="146"/>
  <c r="L161" i="146"/>
  <c r="K161" i="146"/>
  <c r="J161" i="146"/>
  <c r="I161" i="146"/>
  <c r="H161" i="146"/>
  <c r="G161" i="146"/>
  <c r="F161" i="146"/>
  <c r="X160" i="146"/>
  <c r="V160" i="146"/>
  <c r="U160" i="146"/>
  <c r="T160" i="146"/>
  <c r="S160" i="146"/>
  <c r="R160" i="146"/>
  <c r="Q160" i="146"/>
  <c r="P160" i="146"/>
  <c r="O160" i="146"/>
  <c r="N160" i="146"/>
  <c r="M160" i="146"/>
  <c r="L160" i="146"/>
  <c r="K160" i="146"/>
  <c r="J160" i="146"/>
  <c r="I160" i="146"/>
  <c r="H160" i="146"/>
  <c r="G160" i="146"/>
  <c r="F160" i="146"/>
  <c r="X159" i="146"/>
  <c r="V159" i="146"/>
  <c r="U159" i="146"/>
  <c r="T159" i="146"/>
  <c r="S159" i="146"/>
  <c r="R159" i="146"/>
  <c r="Q159" i="146"/>
  <c r="P159" i="146"/>
  <c r="O159" i="146"/>
  <c r="N159" i="146"/>
  <c r="M159" i="146"/>
  <c r="L159" i="146"/>
  <c r="K159" i="146"/>
  <c r="J159" i="146"/>
  <c r="I159" i="146"/>
  <c r="H159" i="146"/>
  <c r="G159" i="146"/>
  <c r="F159" i="146"/>
  <c r="X158" i="146"/>
  <c r="V158" i="146"/>
  <c r="U158" i="146"/>
  <c r="T158" i="146"/>
  <c r="S158" i="146"/>
  <c r="R158" i="146"/>
  <c r="Q158" i="146"/>
  <c r="P158" i="146"/>
  <c r="O158" i="146"/>
  <c r="N158" i="146"/>
  <c r="M158" i="146"/>
  <c r="L158" i="146"/>
  <c r="K158" i="146"/>
  <c r="J158" i="146"/>
  <c r="I158" i="146"/>
  <c r="H158" i="146"/>
  <c r="G158" i="146"/>
  <c r="F158" i="146"/>
  <c r="X157" i="146"/>
  <c r="V157" i="146"/>
  <c r="U157" i="146"/>
  <c r="T157" i="146"/>
  <c r="S157" i="146"/>
  <c r="R157" i="146"/>
  <c r="Q157" i="146"/>
  <c r="P157" i="146"/>
  <c r="O157" i="146"/>
  <c r="N157" i="146"/>
  <c r="M157" i="146"/>
  <c r="L157" i="146"/>
  <c r="K157" i="146"/>
  <c r="J157" i="146"/>
  <c r="I157" i="146"/>
  <c r="H157" i="146"/>
  <c r="G157" i="146"/>
  <c r="F157" i="146"/>
  <c r="X156" i="146"/>
  <c r="V156" i="146"/>
  <c r="U156" i="146"/>
  <c r="T156" i="146"/>
  <c r="S156" i="146"/>
  <c r="R156" i="146"/>
  <c r="Q156" i="146"/>
  <c r="P156" i="146"/>
  <c r="O156" i="146"/>
  <c r="N156" i="146"/>
  <c r="M156" i="146"/>
  <c r="L156" i="146"/>
  <c r="K156" i="146"/>
  <c r="J156" i="146"/>
  <c r="I156" i="146"/>
  <c r="H156" i="146"/>
  <c r="G156" i="146"/>
  <c r="F156" i="146"/>
  <c r="X150" i="146"/>
  <c r="V150" i="146"/>
  <c r="U150" i="146"/>
  <c r="T150" i="146"/>
  <c r="S150" i="146"/>
  <c r="R150" i="146"/>
  <c r="Q150" i="146"/>
  <c r="P150" i="146"/>
  <c r="O150" i="146"/>
  <c r="N150" i="146"/>
  <c r="M150" i="146"/>
  <c r="L150" i="146"/>
  <c r="K150" i="146"/>
  <c r="J150" i="146"/>
  <c r="I150" i="146"/>
  <c r="H150" i="146"/>
  <c r="G150" i="146"/>
  <c r="F150" i="146"/>
  <c r="X149" i="146"/>
  <c r="V149" i="146"/>
  <c r="U149" i="146"/>
  <c r="T149" i="146"/>
  <c r="S149" i="146"/>
  <c r="R149" i="146"/>
  <c r="Q149" i="146"/>
  <c r="P149" i="146"/>
  <c r="O149" i="146"/>
  <c r="N149" i="146"/>
  <c r="M149" i="146"/>
  <c r="L149" i="146"/>
  <c r="K149" i="146"/>
  <c r="J149" i="146"/>
  <c r="I149" i="146"/>
  <c r="H149" i="146"/>
  <c r="G149" i="146"/>
  <c r="F149" i="146"/>
  <c r="X148" i="146"/>
  <c r="V148" i="146"/>
  <c r="U148" i="146"/>
  <c r="T148" i="146"/>
  <c r="S148" i="146"/>
  <c r="R148" i="146"/>
  <c r="Q148" i="146"/>
  <c r="P148" i="146"/>
  <c r="O148" i="146"/>
  <c r="N148" i="146"/>
  <c r="M148" i="146"/>
  <c r="L148" i="146"/>
  <c r="K148" i="146"/>
  <c r="J148" i="146"/>
  <c r="I148" i="146"/>
  <c r="H148" i="146"/>
  <c r="G148" i="146"/>
  <c r="F148" i="146"/>
  <c r="X147" i="146"/>
  <c r="V147" i="146"/>
  <c r="U147" i="146"/>
  <c r="T147" i="146"/>
  <c r="S147" i="146"/>
  <c r="R147" i="146"/>
  <c r="Q147" i="146"/>
  <c r="P147" i="146"/>
  <c r="O147" i="146"/>
  <c r="N147" i="146"/>
  <c r="M147" i="146"/>
  <c r="L147" i="146"/>
  <c r="K147" i="146"/>
  <c r="J147" i="146"/>
  <c r="I147" i="146"/>
  <c r="H147" i="146"/>
  <c r="G147" i="146"/>
  <c r="F147" i="146"/>
  <c r="X146" i="146"/>
  <c r="V146" i="146"/>
  <c r="U146" i="146"/>
  <c r="T146" i="146"/>
  <c r="S146" i="146"/>
  <c r="R146" i="146"/>
  <c r="Q146" i="146"/>
  <c r="P146" i="146"/>
  <c r="O146" i="146"/>
  <c r="N146" i="146"/>
  <c r="M146" i="146"/>
  <c r="L146" i="146"/>
  <c r="K146" i="146"/>
  <c r="J146" i="146"/>
  <c r="I146" i="146"/>
  <c r="H146" i="146"/>
  <c r="G146" i="146"/>
  <c r="F146" i="146"/>
  <c r="X145" i="146"/>
  <c r="V145" i="146"/>
  <c r="U145" i="146"/>
  <c r="T145" i="146"/>
  <c r="S145" i="146"/>
  <c r="R145" i="146"/>
  <c r="Q145" i="146"/>
  <c r="P145" i="146"/>
  <c r="O145" i="146"/>
  <c r="N145" i="146"/>
  <c r="M145" i="146"/>
  <c r="L145" i="146"/>
  <c r="K145" i="146"/>
  <c r="J145" i="146"/>
  <c r="I145" i="146"/>
  <c r="H145" i="146"/>
  <c r="G145" i="146"/>
  <c r="F145" i="146"/>
  <c r="X144" i="146"/>
  <c r="V144" i="146"/>
  <c r="U144" i="146"/>
  <c r="T144" i="146"/>
  <c r="S144" i="146"/>
  <c r="R144" i="146"/>
  <c r="Q144" i="146"/>
  <c r="P144" i="146"/>
  <c r="O144" i="146"/>
  <c r="N144" i="146"/>
  <c r="M144" i="146"/>
  <c r="L144" i="146"/>
  <c r="K144" i="146"/>
  <c r="J144" i="146"/>
  <c r="I144" i="146"/>
  <c r="H144" i="146"/>
  <c r="G144" i="146"/>
  <c r="F144" i="146"/>
  <c r="X143" i="146"/>
  <c r="Y143" i="146" s="1"/>
  <c r="V143" i="146"/>
  <c r="U143" i="146"/>
  <c r="T143" i="146"/>
  <c r="S143" i="146"/>
  <c r="R143" i="146"/>
  <c r="Q143" i="146"/>
  <c r="P143" i="146"/>
  <c r="O143" i="146"/>
  <c r="N143" i="146"/>
  <c r="M143" i="146"/>
  <c r="L143" i="146"/>
  <c r="K143" i="146"/>
  <c r="J143" i="146"/>
  <c r="I143" i="146"/>
  <c r="H143" i="146"/>
  <c r="G143" i="146"/>
  <c r="F143" i="146"/>
  <c r="D143" i="146"/>
  <c r="X137" i="146"/>
  <c r="V137" i="146"/>
  <c r="U137" i="146"/>
  <c r="T137" i="146"/>
  <c r="S137" i="146"/>
  <c r="R137" i="146"/>
  <c r="Q137" i="146"/>
  <c r="P137" i="146"/>
  <c r="O137" i="146"/>
  <c r="N137" i="146"/>
  <c r="M137" i="146"/>
  <c r="L137" i="146"/>
  <c r="K137" i="146"/>
  <c r="J137" i="146"/>
  <c r="I137" i="146"/>
  <c r="H137" i="146"/>
  <c r="G137" i="146"/>
  <c r="F137" i="146"/>
  <c r="X136" i="146"/>
  <c r="V136" i="146"/>
  <c r="U136" i="146"/>
  <c r="T136" i="146"/>
  <c r="S136" i="146"/>
  <c r="R136" i="146"/>
  <c r="Q136" i="146"/>
  <c r="P136" i="146"/>
  <c r="O136" i="146"/>
  <c r="N136" i="146"/>
  <c r="M136" i="146"/>
  <c r="L136" i="146"/>
  <c r="K136" i="146"/>
  <c r="J136" i="146"/>
  <c r="I136" i="146"/>
  <c r="H136" i="146"/>
  <c r="G136" i="146"/>
  <c r="F136" i="146"/>
  <c r="X135" i="146"/>
  <c r="V135" i="146"/>
  <c r="U135" i="146"/>
  <c r="T135" i="146"/>
  <c r="S135" i="146"/>
  <c r="R135" i="146"/>
  <c r="Q135" i="146"/>
  <c r="P135" i="146"/>
  <c r="O135" i="146"/>
  <c r="N135" i="146"/>
  <c r="M135" i="146"/>
  <c r="L135" i="146"/>
  <c r="K135" i="146"/>
  <c r="J135" i="146"/>
  <c r="I135" i="146"/>
  <c r="H135" i="146"/>
  <c r="G135" i="146"/>
  <c r="F135" i="146"/>
  <c r="X134" i="146"/>
  <c r="V134" i="146"/>
  <c r="U134" i="146"/>
  <c r="T134" i="146"/>
  <c r="S134" i="146"/>
  <c r="R134" i="146"/>
  <c r="Q134" i="146"/>
  <c r="P134" i="146"/>
  <c r="O134" i="146"/>
  <c r="N134" i="146"/>
  <c r="M134" i="146"/>
  <c r="L134" i="146"/>
  <c r="K134" i="146"/>
  <c r="J134" i="146"/>
  <c r="I134" i="146"/>
  <c r="H134" i="146"/>
  <c r="G134" i="146"/>
  <c r="F134" i="146"/>
  <c r="X133" i="146"/>
  <c r="V133" i="146"/>
  <c r="U133" i="146"/>
  <c r="T133" i="146"/>
  <c r="S133" i="146"/>
  <c r="R133" i="146"/>
  <c r="Q133" i="146"/>
  <c r="P133" i="146"/>
  <c r="O133" i="146"/>
  <c r="N133" i="146"/>
  <c r="M133" i="146"/>
  <c r="L133" i="146"/>
  <c r="K133" i="146"/>
  <c r="J133" i="146"/>
  <c r="I133" i="146"/>
  <c r="H133" i="146"/>
  <c r="G133" i="146"/>
  <c r="F133" i="146"/>
  <c r="X132" i="146"/>
  <c r="V132" i="146"/>
  <c r="U132" i="146"/>
  <c r="T132" i="146"/>
  <c r="S132" i="146"/>
  <c r="R132" i="146"/>
  <c r="Q132" i="146"/>
  <c r="P132" i="146"/>
  <c r="O132" i="146"/>
  <c r="N132" i="146"/>
  <c r="M132" i="146"/>
  <c r="L132" i="146"/>
  <c r="K132" i="146"/>
  <c r="J132" i="146"/>
  <c r="I132" i="146"/>
  <c r="H132" i="146"/>
  <c r="G132" i="146"/>
  <c r="F132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K131" i="146"/>
  <c r="J131" i="146"/>
  <c r="I131" i="146"/>
  <c r="H131" i="146"/>
  <c r="G131" i="146"/>
  <c r="F131" i="146"/>
  <c r="X130" i="146"/>
  <c r="Y130" i="146" s="1"/>
  <c r="V130" i="146"/>
  <c r="U130" i="146"/>
  <c r="T130" i="146"/>
  <c r="S130" i="146"/>
  <c r="R130" i="146"/>
  <c r="Q130" i="146"/>
  <c r="P130" i="146"/>
  <c r="O130" i="146"/>
  <c r="N130" i="146"/>
  <c r="M130" i="146"/>
  <c r="L130" i="146"/>
  <c r="K130" i="146"/>
  <c r="J130" i="146"/>
  <c r="I130" i="146"/>
  <c r="H130" i="146"/>
  <c r="G130" i="146"/>
  <c r="F130" i="146"/>
  <c r="D130" i="146"/>
  <c r="X124" i="146"/>
  <c r="V124" i="146"/>
  <c r="U124" i="146"/>
  <c r="T124" i="146"/>
  <c r="S124" i="146"/>
  <c r="R124" i="146"/>
  <c r="Q124" i="146"/>
  <c r="P124" i="146"/>
  <c r="O124" i="146"/>
  <c r="N124" i="146"/>
  <c r="M124" i="146"/>
  <c r="L124" i="146"/>
  <c r="K124" i="146"/>
  <c r="J124" i="146"/>
  <c r="I124" i="146"/>
  <c r="H124" i="146"/>
  <c r="G124" i="146"/>
  <c r="F124" i="146"/>
  <c r="X123" i="146"/>
  <c r="V123" i="146"/>
  <c r="U123" i="146"/>
  <c r="T123" i="146"/>
  <c r="S123" i="146"/>
  <c r="R123" i="146"/>
  <c r="Q123" i="146"/>
  <c r="P123" i="146"/>
  <c r="O123" i="146"/>
  <c r="N123" i="146"/>
  <c r="M123" i="146"/>
  <c r="L123" i="146"/>
  <c r="K123" i="146"/>
  <c r="J123" i="146"/>
  <c r="I123" i="146"/>
  <c r="H123" i="146"/>
  <c r="G123" i="146"/>
  <c r="F123" i="146"/>
  <c r="X122" i="146"/>
  <c r="V122" i="146"/>
  <c r="U122" i="146"/>
  <c r="T122" i="146"/>
  <c r="S122" i="146"/>
  <c r="R122" i="146"/>
  <c r="Q122" i="146"/>
  <c r="P122" i="146"/>
  <c r="O122" i="146"/>
  <c r="N122" i="146"/>
  <c r="M122" i="146"/>
  <c r="L122" i="146"/>
  <c r="K122" i="146"/>
  <c r="J122" i="146"/>
  <c r="I122" i="146"/>
  <c r="H122" i="146"/>
  <c r="G122" i="146"/>
  <c r="F122" i="146"/>
  <c r="X121" i="146"/>
  <c r="V121" i="146"/>
  <c r="U121" i="146"/>
  <c r="T121" i="146"/>
  <c r="S121" i="146"/>
  <c r="R121" i="146"/>
  <c r="Q121" i="146"/>
  <c r="P121" i="146"/>
  <c r="O121" i="146"/>
  <c r="N121" i="146"/>
  <c r="M121" i="146"/>
  <c r="L121" i="146"/>
  <c r="K121" i="146"/>
  <c r="J121" i="146"/>
  <c r="I121" i="146"/>
  <c r="H121" i="146"/>
  <c r="G121" i="146"/>
  <c r="F121" i="146"/>
  <c r="X120" i="146"/>
  <c r="V120" i="146"/>
  <c r="U120" i="146"/>
  <c r="T120" i="146"/>
  <c r="S120" i="146"/>
  <c r="R120" i="146"/>
  <c r="Q120" i="146"/>
  <c r="P120" i="146"/>
  <c r="O120" i="146"/>
  <c r="N120" i="146"/>
  <c r="M120" i="146"/>
  <c r="L120" i="146"/>
  <c r="K120" i="146"/>
  <c r="J120" i="146"/>
  <c r="I120" i="146"/>
  <c r="H120" i="146"/>
  <c r="G120" i="146"/>
  <c r="F120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K119" i="146"/>
  <c r="J119" i="146"/>
  <c r="I119" i="146"/>
  <c r="H119" i="146"/>
  <c r="G119" i="146"/>
  <c r="F119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K118" i="146"/>
  <c r="J118" i="146"/>
  <c r="I118" i="146"/>
  <c r="H118" i="146"/>
  <c r="G118" i="146"/>
  <c r="F118" i="146"/>
  <c r="X117" i="146"/>
  <c r="Y117" i="146" s="1"/>
  <c r="V117" i="146"/>
  <c r="U117" i="146"/>
  <c r="T117" i="146"/>
  <c r="S117" i="146"/>
  <c r="R117" i="146"/>
  <c r="Q117" i="146"/>
  <c r="P117" i="146"/>
  <c r="O117" i="146"/>
  <c r="N117" i="146"/>
  <c r="M117" i="146"/>
  <c r="L117" i="146"/>
  <c r="K117" i="146"/>
  <c r="J117" i="146"/>
  <c r="I117" i="146"/>
  <c r="H117" i="146"/>
  <c r="G117" i="146"/>
  <c r="F117" i="146"/>
  <c r="D117" i="146"/>
  <c r="X111" i="146"/>
  <c r="V111" i="146"/>
  <c r="U111" i="146"/>
  <c r="T111" i="146"/>
  <c r="S111" i="146"/>
  <c r="R111" i="146"/>
  <c r="Q111" i="146"/>
  <c r="P111" i="146"/>
  <c r="O111" i="146"/>
  <c r="N111" i="146"/>
  <c r="M111" i="146"/>
  <c r="L111" i="146"/>
  <c r="K111" i="146"/>
  <c r="J111" i="146"/>
  <c r="I111" i="146"/>
  <c r="H111" i="146"/>
  <c r="G111" i="146"/>
  <c r="F111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K110" i="146"/>
  <c r="J110" i="146"/>
  <c r="I110" i="146"/>
  <c r="H110" i="146"/>
  <c r="G110" i="146"/>
  <c r="F110" i="146"/>
  <c r="X109" i="146"/>
  <c r="V109" i="146"/>
  <c r="U109" i="146"/>
  <c r="T109" i="146"/>
  <c r="S109" i="146"/>
  <c r="R109" i="146"/>
  <c r="Q109" i="146"/>
  <c r="P109" i="146"/>
  <c r="O109" i="146"/>
  <c r="N109" i="146"/>
  <c r="M109" i="146"/>
  <c r="L109" i="146"/>
  <c r="K109" i="146"/>
  <c r="J109" i="146"/>
  <c r="I109" i="146"/>
  <c r="H109" i="146"/>
  <c r="G109" i="146"/>
  <c r="F109" i="146"/>
  <c r="X108" i="146"/>
  <c r="V108" i="146"/>
  <c r="U108" i="146"/>
  <c r="T108" i="146"/>
  <c r="S108" i="146"/>
  <c r="R108" i="146"/>
  <c r="Q108" i="146"/>
  <c r="P108" i="146"/>
  <c r="O108" i="146"/>
  <c r="N108" i="146"/>
  <c r="M108" i="146"/>
  <c r="L108" i="146"/>
  <c r="K108" i="146"/>
  <c r="J108" i="146"/>
  <c r="I108" i="146"/>
  <c r="H108" i="146"/>
  <c r="G108" i="146"/>
  <c r="F108" i="146"/>
  <c r="X107" i="146"/>
  <c r="V107" i="146"/>
  <c r="U107" i="146"/>
  <c r="T107" i="146"/>
  <c r="S107" i="146"/>
  <c r="R107" i="146"/>
  <c r="Q107" i="146"/>
  <c r="P107" i="146"/>
  <c r="O107" i="146"/>
  <c r="N107" i="146"/>
  <c r="M107" i="146"/>
  <c r="L107" i="146"/>
  <c r="K107" i="146"/>
  <c r="J107" i="146"/>
  <c r="I107" i="146"/>
  <c r="H107" i="146"/>
  <c r="G107" i="146"/>
  <c r="F107" i="146"/>
  <c r="X106" i="146"/>
  <c r="V106" i="146"/>
  <c r="U106" i="146"/>
  <c r="T106" i="146"/>
  <c r="S106" i="146"/>
  <c r="R106" i="146"/>
  <c r="Q106" i="146"/>
  <c r="P106" i="146"/>
  <c r="O106" i="146"/>
  <c r="N106" i="146"/>
  <c r="M106" i="146"/>
  <c r="L106" i="146"/>
  <c r="K106" i="146"/>
  <c r="J106" i="146"/>
  <c r="I106" i="146"/>
  <c r="H106" i="146"/>
  <c r="G106" i="146"/>
  <c r="F106" i="146"/>
  <c r="X105" i="146"/>
  <c r="V105" i="146"/>
  <c r="U105" i="146"/>
  <c r="T105" i="146"/>
  <c r="S105" i="146"/>
  <c r="R105" i="146"/>
  <c r="Q105" i="146"/>
  <c r="P105" i="146"/>
  <c r="O105" i="146"/>
  <c r="N105" i="146"/>
  <c r="M105" i="146"/>
  <c r="L105" i="146"/>
  <c r="K105" i="146"/>
  <c r="J105" i="146"/>
  <c r="I105" i="146"/>
  <c r="H105" i="146"/>
  <c r="G105" i="146"/>
  <c r="F105" i="146"/>
  <c r="X104" i="146"/>
  <c r="Y104" i="146" s="1"/>
  <c r="V104" i="146"/>
  <c r="U104" i="146"/>
  <c r="T104" i="146"/>
  <c r="S104" i="146"/>
  <c r="R104" i="146"/>
  <c r="Q104" i="146"/>
  <c r="P104" i="146"/>
  <c r="O104" i="146"/>
  <c r="N104" i="146"/>
  <c r="M104" i="146"/>
  <c r="L104" i="146"/>
  <c r="K104" i="146"/>
  <c r="J104" i="146"/>
  <c r="I104" i="146"/>
  <c r="H104" i="146"/>
  <c r="G104" i="146"/>
  <c r="F104" i="146"/>
  <c r="D104" i="146"/>
  <c r="X98" i="146"/>
  <c r="V98" i="146"/>
  <c r="U98" i="146"/>
  <c r="T98" i="146"/>
  <c r="S98" i="146"/>
  <c r="R98" i="146"/>
  <c r="Q98" i="146"/>
  <c r="P98" i="146"/>
  <c r="O98" i="146"/>
  <c r="N98" i="146"/>
  <c r="M98" i="146"/>
  <c r="L98" i="146"/>
  <c r="K98" i="146"/>
  <c r="J98" i="146"/>
  <c r="I98" i="146"/>
  <c r="H98" i="146"/>
  <c r="G98" i="146"/>
  <c r="F98" i="146"/>
  <c r="X97" i="146"/>
  <c r="V97" i="146"/>
  <c r="U97" i="146"/>
  <c r="T97" i="146"/>
  <c r="S97" i="146"/>
  <c r="R97" i="146"/>
  <c r="Q97" i="146"/>
  <c r="P97" i="146"/>
  <c r="O97" i="146"/>
  <c r="N97" i="146"/>
  <c r="M97" i="146"/>
  <c r="L97" i="146"/>
  <c r="K97" i="146"/>
  <c r="J97" i="146"/>
  <c r="I97" i="146"/>
  <c r="H97" i="146"/>
  <c r="G97" i="146"/>
  <c r="F97" i="146"/>
  <c r="X96" i="146"/>
  <c r="V96" i="146"/>
  <c r="U96" i="146"/>
  <c r="T96" i="146"/>
  <c r="S96" i="146"/>
  <c r="R96" i="146"/>
  <c r="Q96" i="146"/>
  <c r="P96" i="146"/>
  <c r="O96" i="146"/>
  <c r="N96" i="146"/>
  <c r="M96" i="146"/>
  <c r="L96" i="146"/>
  <c r="K96" i="146"/>
  <c r="J96" i="146"/>
  <c r="I96" i="146"/>
  <c r="H96" i="146"/>
  <c r="G96" i="146"/>
  <c r="F96" i="146"/>
  <c r="X95" i="146"/>
  <c r="V95" i="146"/>
  <c r="U95" i="146"/>
  <c r="T95" i="146"/>
  <c r="S95" i="146"/>
  <c r="R95" i="146"/>
  <c r="Q95" i="146"/>
  <c r="P95" i="146"/>
  <c r="O95" i="146"/>
  <c r="N95" i="146"/>
  <c r="M95" i="146"/>
  <c r="L95" i="146"/>
  <c r="K95" i="146"/>
  <c r="J95" i="146"/>
  <c r="I95" i="146"/>
  <c r="H95" i="146"/>
  <c r="G95" i="146"/>
  <c r="F95" i="146"/>
  <c r="X94" i="146"/>
  <c r="V94" i="146"/>
  <c r="U94" i="146"/>
  <c r="T94" i="146"/>
  <c r="S94" i="146"/>
  <c r="R94" i="146"/>
  <c r="Q94" i="146"/>
  <c r="P94" i="146"/>
  <c r="O94" i="146"/>
  <c r="N94" i="146"/>
  <c r="M94" i="146"/>
  <c r="L94" i="146"/>
  <c r="K94" i="146"/>
  <c r="J94" i="146"/>
  <c r="I94" i="146"/>
  <c r="H94" i="146"/>
  <c r="G94" i="146"/>
  <c r="F94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K93" i="146"/>
  <c r="J93" i="146"/>
  <c r="I93" i="146"/>
  <c r="H93" i="146"/>
  <c r="G93" i="146"/>
  <c r="F93" i="146"/>
  <c r="X92" i="146"/>
  <c r="V92" i="146"/>
  <c r="U92" i="146"/>
  <c r="T92" i="146"/>
  <c r="S92" i="146"/>
  <c r="R92" i="146"/>
  <c r="Q92" i="146"/>
  <c r="P92" i="146"/>
  <c r="O92" i="146"/>
  <c r="N92" i="146"/>
  <c r="M92" i="146"/>
  <c r="L92" i="146"/>
  <c r="K92" i="146"/>
  <c r="J92" i="146"/>
  <c r="I92" i="146"/>
  <c r="H92" i="146"/>
  <c r="G92" i="146"/>
  <c r="F92" i="146"/>
  <c r="X91" i="146"/>
  <c r="V91" i="146"/>
  <c r="U91" i="146"/>
  <c r="T91" i="146"/>
  <c r="S91" i="146"/>
  <c r="R91" i="146"/>
  <c r="Q91" i="146"/>
  <c r="P91" i="146"/>
  <c r="O91" i="146"/>
  <c r="N91" i="146"/>
  <c r="M91" i="146"/>
  <c r="L91" i="146"/>
  <c r="K91" i="146"/>
  <c r="J91" i="146"/>
  <c r="I91" i="146"/>
  <c r="H91" i="146"/>
  <c r="G91" i="146"/>
  <c r="F91" i="146"/>
  <c r="D91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K85" i="146"/>
  <c r="J85" i="146"/>
  <c r="I85" i="146"/>
  <c r="H85" i="146"/>
  <c r="G85" i="146"/>
  <c r="F85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K84" i="146"/>
  <c r="J84" i="146"/>
  <c r="I84" i="146"/>
  <c r="H84" i="146"/>
  <c r="G84" i="146"/>
  <c r="F84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K83" i="146"/>
  <c r="J83" i="146"/>
  <c r="I83" i="146"/>
  <c r="H83" i="146"/>
  <c r="G83" i="146"/>
  <c r="F83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K82" i="146"/>
  <c r="J82" i="146"/>
  <c r="I82" i="146"/>
  <c r="H82" i="146"/>
  <c r="G82" i="146"/>
  <c r="F82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K81" i="146"/>
  <c r="J81" i="146"/>
  <c r="I81" i="146"/>
  <c r="H81" i="146"/>
  <c r="G81" i="146"/>
  <c r="F81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K80" i="146"/>
  <c r="J80" i="146"/>
  <c r="I80" i="146"/>
  <c r="H80" i="146"/>
  <c r="G80" i="146"/>
  <c r="F80" i="146"/>
  <c r="X79" i="146"/>
  <c r="V79" i="146"/>
  <c r="U79" i="146"/>
  <c r="T79" i="146"/>
  <c r="S79" i="146"/>
  <c r="R79" i="146"/>
  <c r="Q79" i="146"/>
  <c r="P79" i="146"/>
  <c r="O79" i="146"/>
  <c r="N79" i="146"/>
  <c r="M79" i="146"/>
  <c r="L79" i="146"/>
  <c r="K79" i="146"/>
  <c r="J79" i="146"/>
  <c r="I79" i="146"/>
  <c r="H79" i="146"/>
  <c r="G79" i="146"/>
  <c r="F79" i="146"/>
  <c r="X78" i="146"/>
  <c r="V78" i="146"/>
  <c r="U78" i="146"/>
  <c r="T78" i="146"/>
  <c r="S78" i="146"/>
  <c r="R78" i="146"/>
  <c r="Q78" i="146"/>
  <c r="P78" i="146"/>
  <c r="O78" i="146"/>
  <c r="N78" i="146"/>
  <c r="M78" i="146"/>
  <c r="L78" i="146"/>
  <c r="K78" i="146"/>
  <c r="J78" i="146"/>
  <c r="I78" i="146"/>
  <c r="H78" i="146"/>
  <c r="G78" i="146"/>
  <c r="F78" i="146"/>
  <c r="D78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K72" i="146"/>
  <c r="J72" i="146"/>
  <c r="I72" i="146"/>
  <c r="H72" i="146"/>
  <c r="G72" i="146"/>
  <c r="F72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K71" i="146"/>
  <c r="J71" i="146"/>
  <c r="I71" i="146"/>
  <c r="H71" i="146"/>
  <c r="G71" i="146"/>
  <c r="F71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K70" i="146"/>
  <c r="J70" i="146"/>
  <c r="I70" i="146"/>
  <c r="H70" i="146"/>
  <c r="G70" i="146"/>
  <c r="F70" i="146"/>
  <c r="X69" i="146"/>
  <c r="V69" i="146"/>
  <c r="U69" i="146"/>
  <c r="T69" i="146"/>
  <c r="S69" i="146"/>
  <c r="R69" i="146"/>
  <c r="Q69" i="146"/>
  <c r="P69" i="146"/>
  <c r="O69" i="146"/>
  <c r="N69" i="146"/>
  <c r="M69" i="146"/>
  <c r="L69" i="146"/>
  <c r="K69" i="146"/>
  <c r="J69" i="146"/>
  <c r="I69" i="146"/>
  <c r="H69" i="146"/>
  <c r="G69" i="146"/>
  <c r="F69" i="146"/>
  <c r="X68" i="146"/>
  <c r="V68" i="146"/>
  <c r="U68" i="146"/>
  <c r="T68" i="146"/>
  <c r="S68" i="146"/>
  <c r="R68" i="146"/>
  <c r="Q68" i="146"/>
  <c r="P68" i="146"/>
  <c r="O68" i="146"/>
  <c r="N68" i="146"/>
  <c r="M68" i="146"/>
  <c r="L68" i="146"/>
  <c r="K68" i="146"/>
  <c r="J68" i="146"/>
  <c r="I68" i="146"/>
  <c r="H68" i="146"/>
  <c r="G68" i="146"/>
  <c r="F68" i="146"/>
  <c r="X67" i="146"/>
  <c r="V67" i="146"/>
  <c r="U67" i="146"/>
  <c r="T67" i="146"/>
  <c r="S67" i="146"/>
  <c r="R67" i="146"/>
  <c r="Q67" i="146"/>
  <c r="P67" i="146"/>
  <c r="O67" i="146"/>
  <c r="N67" i="146"/>
  <c r="M67" i="146"/>
  <c r="L67" i="146"/>
  <c r="K67" i="146"/>
  <c r="J67" i="146"/>
  <c r="I67" i="146"/>
  <c r="H67" i="146"/>
  <c r="G67" i="146"/>
  <c r="F67" i="146"/>
  <c r="X66" i="146"/>
  <c r="V66" i="146"/>
  <c r="U66" i="146"/>
  <c r="T66" i="146"/>
  <c r="S66" i="146"/>
  <c r="R66" i="146"/>
  <c r="Q66" i="146"/>
  <c r="P66" i="146"/>
  <c r="O66" i="146"/>
  <c r="N66" i="146"/>
  <c r="M66" i="146"/>
  <c r="L66" i="146"/>
  <c r="K66" i="146"/>
  <c r="J66" i="146"/>
  <c r="I66" i="146"/>
  <c r="H66" i="146"/>
  <c r="G66" i="146"/>
  <c r="F66" i="146"/>
  <c r="X65" i="146"/>
  <c r="V65" i="146"/>
  <c r="U65" i="146"/>
  <c r="T65" i="146"/>
  <c r="S65" i="146"/>
  <c r="R65" i="146"/>
  <c r="Q65" i="146"/>
  <c r="P65" i="146"/>
  <c r="O65" i="146"/>
  <c r="N65" i="146"/>
  <c r="M65" i="146"/>
  <c r="L65" i="146"/>
  <c r="K65" i="146"/>
  <c r="J65" i="146"/>
  <c r="I65" i="146"/>
  <c r="H65" i="146"/>
  <c r="G65" i="146"/>
  <c r="F65" i="146"/>
  <c r="D65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K59" i="146"/>
  <c r="J59" i="146"/>
  <c r="I59" i="146"/>
  <c r="H59" i="146"/>
  <c r="G59" i="146"/>
  <c r="F59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K58" i="146"/>
  <c r="J58" i="146"/>
  <c r="I58" i="146"/>
  <c r="H58" i="146"/>
  <c r="G58" i="146"/>
  <c r="F58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K57" i="146"/>
  <c r="J57" i="146"/>
  <c r="I57" i="146"/>
  <c r="H57" i="146"/>
  <c r="G57" i="146"/>
  <c r="F57" i="146"/>
  <c r="X56" i="146"/>
  <c r="V56" i="146"/>
  <c r="U56" i="146"/>
  <c r="T56" i="146"/>
  <c r="S56" i="146"/>
  <c r="R56" i="146"/>
  <c r="Q56" i="146"/>
  <c r="P56" i="146"/>
  <c r="O56" i="146"/>
  <c r="N56" i="146"/>
  <c r="M56" i="146"/>
  <c r="L56" i="146"/>
  <c r="K56" i="146"/>
  <c r="J56" i="146"/>
  <c r="I56" i="146"/>
  <c r="H56" i="146"/>
  <c r="G56" i="146"/>
  <c r="F56" i="146"/>
  <c r="X55" i="146"/>
  <c r="V55" i="146"/>
  <c r="U55" i="146"/>
  <c r="T55" i="146"/>
  <c r="S55" i="146"/>
  <c r="R55" i="146"/>
  <c r="Q55" i="146"/>
  <c r="P55" i="146"/>
  <c r="O55" i="146"/>
  <c r="N55" i="146"/>
  <c r="M55" i="146"/>
  <c r="L55" i="146"/>
  <c r="K55" i="146"/>
  <c r="J55" i="146"/>
  <c r="I55" i="146"/>
  <c r="H55" i="146"/>
  <c r="G55" i="146"/>
  <c r="F55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K54" i="146"/>
  <c r="J54" i="146"/>
  <c r="I54" i="146"/>
  <c r="H54" i="146"/>
  <c r="G54" i="146"/>
  <c r="F54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K53" i="146"/>
  <c r="J53" i="146"/>
  <c r="I53" i="146"/>
  <c r="H53" i="146"/>
  <c r="G53" i="146"/>
  <c r="F53" i="146"/>
  <c r="X52" i="146"/>
  <c r="Y52" i="146" s="1"/>
  <c r="V52" i="146"/>
  <c r="U52" i="146"/>
  <c r="T52" i="146"/>
  <c r="S52" i="146"/>
  <c r="R52" i="146"/>
  <c r="Q52" i="146"/>
  <c r="P52" i="146"/>
  <c r="O52" i="146"/>
  <c r="N52" i="146"/>
  <c r="M52" i="146"/>
  <c r="L52" i="146"/>
  <c r="K52" i="146"/>
  <c r="J52" i="146"/>
  <c r="I52" i="146"/>
  <c r="H52" i="146"/>
  <c r="G52" i="146"/>
  <c r="F52" i="146"/>
  <c r="D52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K46" i="146"/>
  <c r="J46" i="146"/>
  <c r="I46" i="146"/>
  <c r="H46" i="146"/>
  <c r="G46" i="146"/>
  <c r="F46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K45" i="146"/>
  <c r="J45" i="146"/>
  <c r="I45" i="146"/>
  <c r="H45" i="146"/>
  <c r="G45" i="146"/>
  <c r="F45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K44" i="146"/>
  <c r="J44" i="146"/>
  <c r="I44" i="146"/>
  <c r="H44" i="146"/>
  <c r="G44" i="146"/>
  <c r="F44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K43" i="146"/>
  <c r="J43" i="146"/>
  <c r="I43" i="146"/>
  <c r="H43" i="146"/>
  <c r="G43" i="146"/>
  <c r="F43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K42" i="146"/>
  <c r="J42" i="146"/>
  <c r="I42" i="146"/>
  <c r="H42" i="146"/>
  <c r="G42" i="146"/>
  <c r="F42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K41" i="146"/>
  <c r="J41" i="146"/>
  <c r="I41" i="146"/>
  <c r="H41" i="146"/>
  <c r="G41" i="146"/>
  <c r="F41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K40" i="146"/>
  <c r="J40" i="146"/>
  <c r="I40" i="146"/>
  <c r="H40" i="146"/>
  <c r="G40" i="146"/>
  <c r="F40" i="146"/>
  <c r="X39" i="146"/>
  <c r="V39" i="146"/>
  <c r="U39" i="146"/>
  <c r="T39" i="146"/>
  <c r="S39" i="146"/>
  <c r="R39" i="146"/>
  <c r="Q39" i="146"/>
  <c r="P39" i="146"/>
  <c r="O39" i="146"/>
  <c r="N39" i="146"/>
  <c r="M39" i="146"/>
  <c r="L39" i="146"/>
  <c r="K39" i="146"/>
  <c r="J39" i="146"/>
  <c r="I39" i="146"/>
  <c r="H39" i="146"/>
  <c r="G39" i="146"/>
  <c r="F39" i="146"/>
  <c r="D39" i="146"/>
  <c r="X33" i="146"/>
  <c r="V33" i="146"/>
  <c r="U33" i="146"/>
  <c r="T33" i="146"/>
  <c r="S33" i="146"/>
  <c r="R33" i="146"/>
  <c r="Q33" i="146"/>
  <c r="P33" i="146"/>
  <c r="O33" i="146"/>
  <c r="N33" i="146"/>
  <c r="M33" i="146"/>
  <c r="L33" i="146"/>
  <c r="K33" i="146"/>
  <c r="J33" i="146"/>
  <c r="I33" i="146"/>
  <c r="H33" i="146"/>
  <c r="G33" i="146"/>
  <c r="F33" i="146"/>
  <c r="X32" i="146"/>
  <c r="V32" i="146"/>
  <c r="U32" i="146"/>
  <c r="T32" i="146"/>
  <c r="S32" i="146"/>
  <c r="R32" i="146"/>
  <c r="Q32" i="146"/>
  <c r="P32" i="146"/>
  <c r="O32" i="146"/>
  <c r="N32" i="146"/>
  <c r="M32" i="146"/>
  <c r="L32" i="146"/>
  <c r="K32" i="146"/>
  <c r="J32" i="146"/>
  <c r="I32" i="146"/>
  <c r="H32" i="146"/>
  <c r="G32" i="146"/>
  <c r="F32" i="146"/>
  <c r="X31" i="146"/>
  <c r="V31" i="146"/>
  <c r="U31" i="146"/>
  <c r="T31" i="146"/>
  <c r="S31" i="146"/>
  <c r="R31" i="146"/>
  <c r="Q31" i="146"/>
  <c r="P31" i="146"/>
  <c r="O31" i="146"/>
  <c r="N31" i="146"/>
  <c r="M31" i="146"/>
  <c r="L31" i="146"/>
  <c r="K31" i="146"/>
  <c r="J31" i="146"/>
  <c r="I31" i="146"/>
  <c r="H31" i="146"/>
  <c r="G31" i="146"/>
  <c r="F31" i="146"/>
  <c r="X30" i="146"/>
  <c r="V30" i="146"/>
  <c r="U30" i="146"/>
  <c r="T30" i="146"/>
  <c r="S30" i="146"/>
  <c r="R30" i="146"/>
  <c r="Q30" i="146"/>
  <c r="P30" i="146"/>
  <c r="O30" i="146"/>
  <c r="N30" i="146"/>
  <c r="M30" i="146"/>
  <c r="L30" i="146"/>
  <c r="K30" i="146"/>
  <c r="J30" i="146"/>
  <c r="I30" i="146"/>
  <c r="H30" i="146"/>
  <c r="G30" i="146"/>
  <c r="F30" i="146"/>
  <c r="X29" i="146"/>
  <c r="V29" i="146"/>
  <c r="U29" i="146"/>
  <c r="T29" i="146"/>
  <c r="S29" i="146"/>
  <c r="R29" i="146"/>
  <c r="Q29" i="146"/>
  <c r="P29" i="146"/>
  <c r="O29" i="146"/>
  <c r="N29" i="146"/>
  <c r="M29" i="146"/>
  <c r="L29" i="146"/>
  <c r="K29" i="146"/>
  <c r="J29" i="146"/>
  <c r="I29" i="146"/>
  <c r="H29" i="146"/>
  <c r="G29" i="146"/>
  <c r="F29" i="146"/>
  <c r="X28" i="146"/>
  <c r="V28" i="146"/>
  <c r="U28" i="146"/>
  <c r="T28" i="146"/>
  <c r="S28" i="146"/>
  <c r="R28" i="146"/>
  <c r="Q28" i="146"/>
  <c r="P28" i="146"/>
  <c r="O28" i="146"/>
  <c r="N28" i="146"/>
  <c r="M28" i="146"/>
  <c r="L28" i="146"/>
  <c r="K28" i="146"/>
  <c r="J28" i="146"/>
  <c r="I28" i="146"/>
  <c r="H28" i="146"/>
  <c r="G28" i="146"/>
  <c r="F28" i="146"/>
  <c r="X27" i="146"/>
  <c r="V27" i="146"/>
  <c r="U27" i="146"/>
  <c r="T27" i="146"/>
  <c r="S27" i="146"/>
  <c r="R27" i="146"/>
  <c r="Q27" i="146"/>
  <c r="P27" i="146"/>
  <c r="O27" i="146"/>
  <c r="N27" i="146"/>
  <c r="M27" i="146"/>
  <c r="L27" i="146"/>
  <c r="K27" i="146"/>
  <c r="J27" i="146"/>
  <c r="I27" i="146"/>
  <c r="H27" i="146"/>
  <c r="G27" i="146"/>
  <c r="F27" i="146"/>
  <c r="X26" i="146"/>
  <c r="V26" i="146"/>
  <c r="U26" i="146"/>
  <c r="T26" i="146"/>
  <c r="S26" i="146"/>
  <c r="R26" i="146"/>
  <c r="Q26" i="146"/>
  <c r="P26" i="146"/>
  <c r="O26" i="146"/>
  <c r="N26" i="146"/>
  <c r="M26" i="146"/>
  <c r="L26" i="146"/>
  <c r="K26" i="146"/>
  <c r="J26" i="146"/>
  <c r="I26" i="146"/>
  <c r="H26" i="146"/>
  <c r="G26" i="146"/>
  <c r="F26" i="146"/>
  <c r="D26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K20" i="146"/>
  <c r="J20" i="146"/>
  <c r="I20" i="146"/>
  <c r="H20" i="146"/>
  <c r="G20" i="146"/>
  <c r="F20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K19" i="146"/>
  <c r="J19" i="146"/>
  <c r="I19" i="146"/>
  <c r="H19" i="146"/>
  <c r="G19" i="146"/>
  <c r="F19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K18" i="146"/>
  <c r="J18" i="146"/>
  <c r="I18" i="146"/>
  <c r="H18" i="146"/>
  <c r="G18" i="146"/>
  <c r="F18" i="146"/>
  <c r="X17" i="146"/>
  <c r="V17" i="146"/>
  <c r="U17" i="146"/>
  <c r="T17" i="146"/>
  <c r="S17" i="146"/>
  <c r="R17" i="146"/>
  <c r="Q17" i="146"/>
  <c r="P17" i="146"/>
  <c r="O17" i="146"/>
  <c r="N17" i="146"/>
  <c r="M17" i="146"/>
  <c r="L17" i="146"/>
  <c r="K17" i="146"/>
  <c r="J17" i="146"/>
  <c r="I17" i="146"/>
  <c r="H17" i="146"/>
  <c r="G17" i="146"/>
  <c r="F17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K16" i="146"/>
  <c r="J16" i="146"/>
  <c r="I16" i="146"/>
  <c r="H16" i="146"/>
  <c r="G16" i="146"/>
  <c r="F16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K15" i="146"/>
  <c r="J15" i="146"/>
  <c r="I15" i="146"/>
  <c r="H15" i="146"/>
  <c r="G15" i="146"/>
  <c r="F15" i="146"/>
  <c r="X14" i="146"/>
  <c r="V14" i="146"/>
  <c r="U14" i="146"/>
  <c r="T14" i="146"/>
  <c r="S14" i="146"/>
  <c r="R14" i="146"/>
  <c r="Q14" i="146"/>
  <c r="P14" i="146"/>
  <c r="O14" i="146"/>
  <c r="N14" i="146"/>
  <c r="M14" i="146"/>
  <c r="L14" i="146"/>
  <c r="K14" i="146"/>
  <c r="J14" i="146"/>
  <c r="I14" i="146"/>
  <c r="H14" i="146"/>
  <c r="G14" i="146"/>
  <c r="F14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K13" i="146"/>
  <c r="J13" i="146"/>
  <c r="I13" i="146"/>
  <c r="H13" i="146"/>
  <c r="G13" i="146"/>
  <c r="F13" i="146"/>
  <c r="D13" i="146"/>
  <c r="C9" i="146"/>
  <c r="E3" i="146"/>
  <c r="E2" i="146"/>
  <c r="D3" i="142"/>
  <c r="B12" i="150" l="1"/>
  <c r="E12" i="150" s="1"/>
  <c r="B13" i="150"/>
  <c r="E13" i="150" s="1"/>
  <c r="B10" i="150"/>
  <c r="B11" i="150"/>
  <c r="B15" i="150"/>
  <c r="E15" i="150" s="1"/>
  <c r="B14" i="150"/>
  <c r="E14" i="150" s="1"/>
  <c r="AJ104" i="122"/>
  <c r="AJ60" i="121"/>
  <c r="H37" i="148"/>
  <c r="H36" i="148" s="1"/>
  <c r="H93" i="148"/>
  <c r="H92" i="148" s="1"/>
  <c r="AJ72" i="121"/>
  <c r="AJ141" i="121"/>
  <c r="AJ71" i="121"/>
  <c r="AJ87" i="141"/>
  <c r="AJ107" i="141"/>
  <c r="AJ54" i="141"/>
  <c r="AJ42" i="141"/>
  <c r="AJ108" i="141"/>
  <c r="AJ58" i="141"/>
  <c r="AJ25" i="142"/>
  <c r="AJ65" i="141"/>
  <c r="AJ117" i="121"/>
  <c r="AJ28" i="122"/>
  <c r="AK167" i="140"/>
  <c r="AK174" i="140"/>
  <c r="AJ167" i="121"/>
  <c r="AJ127" i="122"/>
  <c r="AJ29" i="122"/>
  <c r="AJ105" i="141"/>
  <c r="AK159" i="140"/>
  <c r="AJ18" i="122"/>
  <c r="AJ61" i="122"/>
  <c r="AJ117" i="122"/>
  <c r="AJ41" i="121"/>
  <c r="AJ19" i="122"/>
  <c r="AJ14" i="121"/>
  <c r="AJ142" i="121"/>
  <c r="AJ125" i="121"/>
  <c r="AJ17" i="142"/>
  <c r="AK125" i="140"/>
  <c r="AK146" i="140"/>
  <c r="AJ27" i="122"/>
  <c r="AJ70" i="122"/>
  <c r="AJ126" i="122"/>
  <c r="AJ18" i="127"/>
  <c r="AJ158" i="121"/>
  <c r="AJ41" i="127"/>
  <c r="AJ63" i="141"/>
  <c r="AJ51" i="141"/>
  <c r="AJ22" i="142"/>
  <c r="AJ60" i="141"/>
  <c r="AJ27" i="142"/>
  <c r="AJ99" i="141"/>
  <c r="AJ13" i="122"/>
  <c r="AJ15" i="122"/>
  <c r="AK103" i="140"/>
  <c r="AK126" i="140"/>
  <c r="AJ104" i="121"/>
  <c r="AJ16" i="122"/>
  <c r="AK102" i="140"/>
  <c r="AK156" i="140"/>
  <c r="AJ33" i="127"/>
  <c r="AJ14" i="122"/>
  <c r="AK104" i="140"/>
  <c r="AJ17" i="122"/>
  <c r="AK101" i="140"/>
  <c r="AJ168" i="121"/>
  <c r="AJ173" i="121"/>
  <c r="AJ74" i="121"/>
  <c r="AJ85" i="121"/>
  <c r="AJ157" i="121"/>
  <c r="AJ46" i="121"/>
  <c r="AJ57" i="121"/>
  <c r="AJ172" i="121"/>
  <c r="AJ174" i="121"/>
  <c r="AJ32" i="121"/>
  <c r="AJ84" i="121"/>
  <c r="AJ59" i="121"/>
  <c r="AJ34" i="121"/>
  <c r="AJ45" i="121"/>
  <c r="AJ56" i="121"/>
  <c r="AJ103" i="121"/>
  <c r="AJ114" i="121"/>
  <c r="AJ27" i="121"/>
  <c r="AJ70" i="121"/>
  <c r="AJ20" i="121"/>
  <c r="AJ31" i="121"/>
  <c r="AJ42" i="121"/>
  <c r="AJ89" i="121"/>
  <c r="AJ97" i="121"/>
  <c r="AJ69" i="121"/>
  <c r="AJ90" i="121"/>
  <c r="AJ28" i="121"/>
  <c r="AJ75" i="121"/>
  <c r="AJ86" i="121"/>
  <c r="AJ115" i="121"/>
  <c r="AJ61" i="121"/>
  <c r="AJ33" i="121"/>
  <c r="AJ44" i="121"/>
  <c r="AJ102" i="121"/>
  <c r="AJ113" i="121"/>
  <c r="AJ140" i="121"/>
  <c r="AJ62" i="121"/>
  <c r="AJ58" i="121"/>
  <c r="AJ116" i="121"/>
  <c r="AJ30" i="121"/>
  <c r="AJ88" i="121"/>
  <c r="AJ99" i="121"/>
  <c r="AJ30" i="127"/>
  <c r="AJ32" i="127"/>
  <c r="AJ45" i="127"/>
  <c r="AJ14" i="127"/>
  <c r="AJ31" i="127"/>
  <c r="AJ20" i="122"/>
  <c r="AJ44" i="122"/>
  <c r="AJ87" i="122"/>
  <c r="AJ41" i="122"/>
  <c r="AJ42" i="122"/>
  <c r="AJ85" i="122"/>
  <c r="AJ141" i="122"/>
  <c r="AJ43" i="122"/>
  <c r="AJ86" i="122"/>
  <c r="AJ45" i="122"/>
  <c r="AJ88" i="122"/>
  <c r="AJ144" i="122"/>
  <c r="AJ46" i="122"/>
  <c r="AJ89" i="122"/>
  <c r="AJ145" i="122"/>
  <c r="AJ169" i="122"/>
  <c r="AJ47" i="122"/>
  <c r="AJ90" i="122"/>
  <c r="AJ146" i="122"/>
  <c r="AJ48" i="122"/>
  <c r="AJ57" i="122"/>
  <c r="AJ167" i="122"/>
  <c r="AJ69" i="122"/>
  <c r="AJ125" i="122"/>
  <c r="AJ168" i="122"/>
  <c r="AJ170" i="122"/>
  <c r="AJ72" i="122"/>
  <c r="AJ128" i="122"/>
  <c r="AJ171" i="122"/>
  <c r="AJ73" i="122"/>
  <c r="AJ30" i="122"/>
  <c r="AJ172" i="122"/>
  <c r="AJ129" i="122"/>
  <c r="AJ112" i="122"/>
  <c r="AJ131" i="122"/>
  <c r="AJ83" i="122"/>
  <c r="AJ113" i="122"/>
  <c r="AJ60" i="122"/>
  <c r="AJ84" i="122"/>
  <c r="AK48" i="140"/>
  <c r="AK90" i="140"/>
  <c r="AK47" i="140"/>
  <c r="AK89" i="140"/>
  <c r="AK88" i="140"/>
  <c r="AK43" i="140"/>
  <c r="AK46" i="140"/>
  <c r="AK45" i="140"/>
  <c r="AK87" i="140"/>
  <c r="AK34" i="140"/>
  <c r="AK44" i="140"/>
  <c r="AK42" i="140"/>
  <c r="AK41" i="140"/>
  <c r="AK83" i="140"/>
  <c r="AK86" i="140"/>
  <c r="AK30" i="140"/>
  <c r="AK27" i="140"/>
  <c r="AK168" i="140"/>
  <c r="AK17" i="140"/>
  <c r="AK73" i="140"/>
  <c r="AK141" i="140"/>
  <c r="AK153" i="140"/>
  <c r="AK16" i="140"/>
  <c r="AK29" i="140"/>
  <c r="AK72" i="140"/>
  <c r="AK116" i="140"/>
  <c r="AK160" i="140"/>
  <c r="AK15" i="140"/>
  <c r="AK28" i="140"/>
  <c r="AK71" i="140"/>
  <c r="AK113" i="140"/>
  <c r="AK157" i="140"/>
  <c r="AK154" i="140"/>
  <c r="AK14" i="140"/>
  <c r="AK70" i="140"/>
  <c r="AK13" i="140"/>
  <c r="AK69" i="140"/>
  <c r="AK111" i="140"/>
  <c r="AJ20" i="141"/>
  <c r="AJ90" i="141"/>
  <c r="AJ78" i="141"/>
  <c r="AJ56" i="141"/>
  <c r="AJ117" i="141"/>
  <c r="AJ98" i="141"/>
  <c r="AJ112" i="141"/>
  <c r="AJ19" i="142"/>
  <c r="AJ16" i="142"/>
  <c r="AJ18" i="142"/>
  <c r="AJ15" i="142"/>
  <c r="AJ18" i="121"/>
  <c r="AJ144" i="121"/>
  <c r="AJ155" i="121"/>
  <c r="AJ13" i="121"/>
  <c r="AJ17" i="121"/>
  <c r="AJ153" i="121"/>
  <c r="AJ19" i="121"/>
  <c r="AJ139" i="121"/>
  <c r="AJ160" i="121"/>
  <c r="AJ132" i="121"/>
  <c r="AJ110" i="121"/>
  <c r="AJ16" i="121"/>
  <c r="AJ100" i="121"/>
  <c r="AJ111" i="121"/>
  <c r="AJ131" i="121"/>
  <c r="AJ118" i="121"/>
  <c r="AJ143" i="121"/>
  <c r="AJ154" i="121"/>
  <c r="AJ130" i="121"/>
  <c r="AJ83" i="121"/>
  <c r="AJ101" i="121"/>
  <c r="AJ112" i="121"/>
  <c r="AJ171" i="121"/>
  <c r="AJ29" i="121"/>
  <c r="AJ55" i="121"/>
  <c r="AJ76" i="121"/>
  <c r="AJ87" i="121"/>
  <c r="AJ98" i="121"/>
  <c r="AJ159" i="121"/>
  <c r="AJ170" i="121"/>
  <c r="AJ15" i="121"/>
  <c r="AJ73" i="121"/>
  <c r="AJ145" i="121"/>
  <c r="AJ156" i="121"/>
  <c r="AJ126" i="121"/>
  <c r="AJ128" i="121"/>
  <c r="AJ43" i="121"/>
  <c r="AJ129" i="121"/>
  <c r="AJ127" i="121"/>
  <c r="AJ146" i="121"/>
  <c r="AJ47" i="121"/>
  <c r="AJ138" i="121"/>
  <c r="AJ96" i="121"/>
  <c r="AJ12" i="121"/>
  <c r="AJ48" i="121"/>
  <c r="AJ169" i="121"/>
  <c r="AJ48" i="127"/>
  <c r="AJ42" i="127"/>
  <c r="AJ29" i="127"/>
  <c r="AJ13" i="127"/>
  <c r="AJ34" i="127"/>
  <c r="AJ20" i="127"/>
  <c r="AJ47" i="127"/>
  <c r="AJ27" i="127"/>
  <c r="AJ44" i="127"/>
  <c r="AJ17" i="127"/>
  <c r="AJ28" i="127"/>
  <c r="AJ46" i="127"/>
  <c r="AJ43" i="127"/>
  <c r="AJ40" i="127"/>
  <c r="AJ19" i="127"/>
  <c r="AJ12" i="127"/>
  <c r="AJ15" i="127"/>
  <c r="AJ16" i="127"/>
  <c r="AJ33" i="122"/>
  <c r="AJ99" i="122"/>
  <c r="AJ155" i="122"/>
  <c r="AJ31" i="122"/>
  <c r="AJ55" i="122"/>
  <c r="AJ74" i="122"/>
  <c r="AJ111" i="122"/>
  <c r="AJ130" i="122"/>
  <c r="AJ154" i="122"/>
  <c r="AJ173" i="122"/>
  <c r="AJ100" i="122"/>
  <c r="AJ153" i="122"/>
  <c r="AJ32" i="122"/>
  <c r="AJ56" i="122"/>
  <c r="AJ75" i="122"/>
  <c r="AJ103" i="122"/>
  <c r="AJ34" i="122"/>
  <c r="AJ58" i="122"/>
  <c r="AJ59" i="122"/>
  <c r="AJ115" i="122"/>
  <c r="AJ139" i="122"/>
  <c r="AJ158" i="122"/>
  <c r="AJ116" i="122"/>
  <c r="AJ140" i="122"/>
  <c r="AJ159" i="122"/>
  <c r="AJ101" i="122"/>
  <c r="AJ62" i="122"/>
  <c r="AJ118" i="122"/>
  <c r="AJ142" i="122"/>
  <c r="AJ76" i="122"/>
  <c r="AJ143" i="122"/>
  <c r="AJ174" i="122"/>
  <c r="AJ156" i="122"/>
  <c r="AJ102" i="122"/>
  <c r="AJ68" i="122"/>
  <c r="AJ132" i="122"/>
  <c r="AJ114" i="122"/>
  <c r="AJ157" i="122"/>
  <c r="AJ26" i="122"/>
  <c r="AJ54" i="122"/>
  <c r="AJ97" i="122"/>
  <c r="AJ71" i="122"/>
  <c r="AJ96" i="122"/>
  <c r="AJ160" i="122"/>
  <c r="AK144" i="140"/>
  <c r="AK139" i="140"/>
  <c r="AK118" i="140"/>
  <c r="AK129" i="140"/>
  <c r="AK140" i="140"/>
  <c r="AK132" i="140"/>
  <c r="AK115" i="140"/>
  <c r="AK130" i="140"/>
  <c r="AK58" i="140"/>
  <c r="AK62" i="140"/>
  <c r="AK57" i="140"/>
  <c r="AK112" i="140"/>
  <c r="AK127" i="140"/>
  <c r="AK59" i="140"/>
  <c r="AK56" i="140"/>
  <c r="AK143" i="140"/>
  <c r="AK55" i="140"/>
  <c r="AK100" i="140"/>
  <c r="AK131" i="140"/>
  <c r="AK142" i="140"/>
  <c r="AK60" i="140"/>
  <c r="AK99" i="140"/>
  <c r="AK117" i="140"/>
  <c r="AK20" i="140"/>
  <c r="AK33" i="140"/>
  <c r="AK76" i="140"/>
  <c r="AK85" i="140"/>
  <c r="AK98" i="140"/>
  <c r="AK114" i="140"/>
  <c r="AK158" i="140"/>
  <c r="AK172" i="140"/>
  <c r="AK145" i="140"/>
  <c r="AK19" i="140"/>
  <c r="AK32" i="140"/>
  <c r="AK75" i="140"/>
  <c r="AK84" i="140"/>
  <c r="AK97" i="140"/>
  <c r="AK155" i="140"/>
  <c r="AK169" i="140"/>
  <c r="AK18" i="140"/>
  <c r="AK31" i="140"/>
  <c r="AK74" i="140"/>
  <c r="AK170" i="140"/>
  <c r="AK61" i="140"/>
  <c r="AK128" i="140"/>
  <c r="AK171" i="140"/>
  <c r="AK173" i="140"/>
  <c r="AJ36" i="141"/>
  <c r="AJ52" i="141"/>
  <c r="AJ79" i="141"/>
  <c r="AJ67" i="141"/>
  <c r="AJ33" i="141"/>
  <c r="AJ38" i="141"/>
  <c r="AJ96" i="141"/>
  <c r="AJ62" i="141"/>
  <c r="AJ50" i="141"/>
  <c r="AJ28" i="141"/>
  <c r="AJ17" i="141"/>
  <c r="AJ41" i="141"/>
  <c r="AJ59" i="141"/>
  <c r="AJ37" i="141"/>
  <c r="AJ25" i="141"/>
  <c r="AJ44" i="141"/>
  <c r="AJ32" i="141"/>
  <c r="AJ53" i="141"/>
  <c r="AJ80" i="141"/>
  <c r="AJ46" i="141"/>
  <c r="AJ34" i="141"/>
  <c r="AJ89" i="141"/>
  <c r="AJ55" i="141"/>
  <c r="AJ43" i="141"/>
  <c r="AJ31" i="141"/>
  <c r="AJ16" i="141"/>
  <c r="AJ110" i="141"/>
  <c r="AJ40" i="141"/>
  <c r="AJ49" i="141"/>
  <c r="AJ83" i="141"/>
  <c r="AJ71" i="141"/>
  <c r="AJ114" i="141"/>
  <c r="AJ92" i="141"/>
  <c r="AJ68" i="141"/>
  <c r="AJ22" i="141"/>
  <c r="AJ86" i="141"/>
  <c r="AJ23" i="141"/>
  <c r="AJ119" i="141"/>
  <c r="AJ73" i="141"/>
  <c r="AJ27" i="141"/>
  <c r="AJ24" i="141"/>
  <c r="AJ19" i="141"/>
  <c r="AJ116" i="141"/>
  <c r="AJ104" i="141"/>
  <c r="AJ82" i="141"/>
  <c r="AJ70" i="141"/>
  <c r="AJ77" i="141"/>
  <c r="AJ113" i="141"/>
  <c r="AJ91" i="141"/>
  <c r="AJ18" i="141"/>
  <c r="AJ100" i="141"/>
  <c r="AJ88" i="141"/>
  <c r="AJ76" i="141"/>
  <c r="AJ74" i="141"/>
  <c r="AJ101" i="141"/>
  <c r="AJ15" i="141"/>
  <c r="AJ97" i="141"/>
  <c r="AJ85" i="141"/>
  <c r="AJ45" i="141"/>
  <c r="AJ29" i="141"/>
  <c r="AJ118" i="141"/>
  <c r="AJ106" i="141"/>
  <c r="AJ72" i="141"/>
  <c r="AJ26" i="141"/>
  <c r="AJ13" i="141"/>
  <c r="AJ115" i="141"/>
  <c r="AJ103" i="141"/>
  <c r="AJ81" i="141"/>
  <c r="AJ69" i="141"/>
  <c r="AJ61" i="141"/>
  <c r="AJ47" i="141"/>
  <c r="AJ35" i="141"/>
  <c r="AJ39" i="141"/>
  <c r="AJ28" i="142"/>
  <c r="AJ14" i="142"/>
  <c r="AJ36" i="142"/>
  <c r="AJ38" i="142"/>
  <c r="AJ24" i="142"/>
  <c r="AJ32" i="142"/>
  <c r="AJ29" i="142"/>
  <c r="AJ26" i="142"/>
  <c r="AJ37" i="142"/>
  <c r="AJ23" i="142"/>
  <c r="AJ35" i="142"/>
  <c r="AJ31" i="142"/>
  <c r="AJ20" i="142"/>
  <c r="AJ33" i="142"/>
  <c r="AJ34" i="142"/>
  <c r="AJ13" i="142"/>
  <c r="AJ12" i="142"/>
  <c r="AJ93" i="141"/>
  <c r="AJ64" i="141"/>
  <c r="AJ95" i="141"/>
  <c r="AJ109" i="141"/>
  <c r="AJ94" i="141"/>
  <c r="AJ12" i="141"/>
  <c r="AJ14" i="141"/>
  <c r="AJ57" i="141"/>
  <c r="E93" i="148"/>
  <c r="E91" i="148" s="1"/>
  <c r="G65" i="148"/>
  <c r="G64" i="148" s="1"/>
  <c r="H65" i="148"/>
  <c r="H64" i="148" s="1"/>
  <c r="G51" i="148"/>
  <c r="G49" i="148" s="1"/>
  <c r="H51" i="148"/>
  <c r="H50" i="148" s="1"/>
  <c r="H23" i="148"/>
  <c r="H22" i="148" s="1"/>
  <c r="F93" i="148"/>
  <c r="F91" i="148" s="1"/>
  <c r="G94" i="148"/>
  <c r="H94" i="148"/>
  <c r="F66" i="148"/>
  <c r="E38" i="148"/>
  <c r="E37" i="148"/>
  <c r="E35" i="148" s="1"/>
  <c r="F37" i="148"/>
  <c r="F35" i="148" s="1"/>
  <c r="G23" i="148"/>
  <c r="G22" i="148" s="1"/>
  <c r="F52" i="148"/>
  <c r="G52" i="148"/>
  <c r="I66" i="148"/>
  <c r="I94" i="148"/>
  <c r="E65" i="148"/>
  <c r="E63" i="148" s="1"/>
  <c r="F65" i="148"/>
  <c r="F64" i="148" s="1"/>
  <c r="I23" i="148"/>
  <c r="I22" i="148" s="1"/>
  <c r="F24" i="148"/>
  <c r="G24" i="148"/>
  <c r="I51" i="148"/>
  <c r="I50" i="148" s="1"/>
  <c r="E52" i="148"/>
  <c r="G79" i="148"/>
  <c r="G78" i="148" s="1"/>
  <c r="G37" i="148"/>
  <c r="G35" i="148" s="1"/>
  <c r="H24" i="148"/>
  <c r="H66" i="148"/>
  <c r="E23" i="148"/>
  <c r="E21" i="148" s="1"/>
  <c r="F23" i="148"/>
  <c r="F21" i="148" s="1"/>
  <c r="E79" i="148"/>
  <c r="E78" i="148" s="1"/>
  <c r="F79" i="148"/>
  <c r="F77" i="148" s="1"/>
  <c r="G66" i="148"/>
  <c r="H79" i="148"/>
  <c r="H78" i="148" s="1"/>
  <c r="I79" i="148"/>
  <c r="I78" i="148" s="1"/>
  <c r="E80" i="148"/>
  <c r="G38" i="148"/>
  <c r="I65" i="148"/>
  <c r="E66" i="148"/>
  <c r="G93" i="148"/>
  <c r="G91" i="148" s="1"/>
  <c r="H52" i="148"/>
  <c r="F80" i="148"/>
  <c r="I52" i="148"/>
  <c r="G80" i="148"/>
  <c r="H80" i="148"/>
  <c r="I80" i="148"/>
  <c r="H38" i="148"/>
  <c r="I38" i="148"/>
  <c r="E51" i="148"/>
  <c r="E50" i="148" s="1"/>
  <c r="I93" i="148"/>
  <c r="I91" i="148" s="1"/>
  <c r="E94" i="148"/>
  <c r="E24" i="148"/>
  <c r="F51" i="148"/>
  <c r="F94" i="148"/>
  <c r="F38" i="148"/>
  <c r="I24" i="148"/>
  <c r="I37" i="148"/>
  <c r="O114" i="146"/>
  <c r="O113" i="146" s="1"/>
  <c r="M101" i="147"/>
  <c r="M99" i="147" s="1"/>
  <c r="O127" i="146"/>
  <c r="O125" i="146" s="1"/>
  <c r="K114" i="146"/>
  <c r="K113" i="146" s="1"/>
  <c r="I115" i="146"/>
  <c r="Y45" i="146"/>
  <c r="K101" i="146"/>
  <c r="K99" i="146" s="1"/>
  <c r="X19" i="148"/>
  <c r="K140" i="146"/>
  <c r="K138" i="146" s="1"/>
  <c r="K62" i="146"/>
  <c r="K61" i="146" s="1"/>
  <c r="K127" i="146"/>
  <c r="K125" i="146" s="1"/>
  <c r="I128" i="146"/>
  <c r="J49" i="146"/>
  <c r="J48" i="146" s="1"/>
  <c r="K49" i="146"/>
  <c r="K48" i="146" s="1"/>
  <c r="K153" i="146"/>
  <c r="K152" i="146" s="1"/>
  <c r="K166" i="146"/>
  <c r="K165" i="146" s="1"/>
  <c r="K88" i="146"/>
  <c r="K86" i="146" s="1"/>
  <c r="G49" i="147"/>
  <c r="G48" i="147" s="1"/>
  <c r="F62" i="147"/>
  <c r="F61" i="147" s="1"/>
  <c r="J23" i="147"/>
  <c r="J21" i="147" s="1"/>
  <c r="L101" i="147"/>
  <c r="L99" i="147" s="1"/>
  <c r="J127" i="147"/>
  <c r="J125" i="147" s="1"/>
  <c r="J153" i="147"/>
  <c r="J151" i="147" s="1"/>
  <c r="J166" i="147"/>
  <c r="J164" i="147" s="1"/>
  <c r="G23" i="147"/>
  <c r="G22" i="147" s="1"/>
  <c r="X54" i="147"/>
  <c r="J114" i="147"/>
  <c r="J112" i="147" s="1"/>
  <c r="J88" i="147"/>
  <c r="J87" i="147" s="1"/>
  <c r="J140" i="147"/>
  <c r="J138" i="147" s="1"/>
  <c r="M114" i="147"/>
  <c r="M112" i="147" s="1"/>
  <c r="J62" i="147"/>
  <c r="J61" i="147" s="1"/>
  <c r="K37" i="147"/>
  <c r="J75" i="147"/>
  <c r="J73" i="147" s="1"/>
  <c r="L37" i="147"/>
  <c r="G36" i="147"/>
  <c r="G34" i="147" s="1"/>
  <c r="E62" i="147"/>
  <c r="E60" i="147" s="1"/>
  <c r="J101" i="147"/>
  <c r="J99" i="147" s="1"/>
  <c r="H154" i="147"/>
  <c r="E75" i="147"/>
  <c r="E73" i="147" s="1"/>
  <c r="K76" i="147"/>
  <c r="X55" i="148"/>
  <c r="J88" i="146"/>
  <c r="J86" i="146" s="1"/>
  <c r="G141" i="146"/>
  <c r="H141" i="146"/>
  <c r="N140" i="146"/>
  <c r="N138" i="146" s="1"/>
  <c r="M140" i="146"/>
  <c r="M139" i="146" s="1"/>
  <c r="I101" i="147"/>
  <c r="I99" i="147" s="1"/>
  <c r="I36" i="147"/>
  <c r="I35" i="147" s="1"/>
  <c r="E101" i="147"/>
  <c r="E99" i="147" s="1"/>
  <c r="F101" i="147"/>
  <c r="F99" i="147" s="1"/>
  <c r="G101" i="147"/>
  <c r="G99" i="147" s="1"/>
  <c r="K75" i="146"/>
  <c r="K73" i="146" s="1"/>
  <c r="I75" i="147"/>
  <c r="I74" i="147" s="1"/>
  <c r="F114" i="147"/>
  <c r="F113" i="147" s="1"/>
  <c r="J36" i="147"/>
  <c r="J34" i="147" s="1"/>
  <c r="K75" i="147"/>
  <c r="I102" i="146"/>
  <c r="L140" i="146"/>
  <c r="L138" i="146" s="1"/>
  <c r="J115" i="146"/>
  <c r="K37" i="146"/>
  <c r="I62" i="146"/>
  <c r="I61" i="146" s="1"/>
  <c r="G88" i="146"/>
  <c r="G86" i="146" s="1"/>
  <c r="K115" i="146"/>
  <c r="Y105" i="146"/>
  <c r="O140" i="146"/>
  <c r="O138" i="146" s="1"/>
  <c r="I141" i="146"/>
  <c r="H88" i="146"/>
  <c r="H86" i="146" s="1"/>
  <c r="G101" i="146"/>
  <c r="G99" i="146" s="1"/>
  <c r="M102" i="146"/>
  <c r="F114" i="146"/>
  <c r="F113" i="146" s="1"/>
  <c r="L115" i="146"/>
  <c r="J140" i="146"/>
  <c r="J138" i="146" s="1"/>
  <c r="N114" i="146"/>
  <c r="N112" i="146" s="1"/>
  <c r="H115" i="146"/>
  <c r="G114" i="146"/>
  <c r="G112" i="146" s="1"/>
  <c r="N89" i="146"/>
  <c r="Y124" i="146"/>
  <c r="N75" i="147"/>
  <c r="N73" i="147" s="1"/>
  <c r="M88" i="147"/>
  <c r="M87" i="147" s="1"/>
  <c r="K114" i="147"/>
  <c r="K113" i="147" s="1"/>
  <c r="F75" i="147"/>
  <c r="F74" i="147" s="1"/>
  <c r="H37" i="147"/>
  <c r="G75" i="147"/>
  <c r="G73" i="147" s="1"/>
  <c r="M76" i="147"/>
  <c r="I62" i="147"/>
  <c r="I60" i="147" s="1"/>
  <c r="H75" i="147"/>
  <c r="H74" i="147" s="1"/>
  <c r="E114" i="147"/>
  <c r="E112" i="147" s="1"/>
  <c r="M75" i="147"/>
  <c r="M73" i="147" s="1"/>
  <c r="J50" i="147"/>
  <c r="H49" i="147"/>
  <c r="H47" i="147" s="1"/>
  <c r="N50" i="147"/>
  <c r="G62" i="147"/>
  <c r="G61" i="147" s="1"/>
  <c r="M63" i="147"/>
  <c r="I49" i="147"/>
  <c r="I48" i="147" s="1"/>
  <c r="H62" i="147"/>
  <c r="H61" i="147" s="1"/>
  <c r="N63" i="147"/>
  <c r="I140" i="147"/>
  <c r="I139" i="147" s="1"/>
  <c r="L75" i="147"/>
  <c r="L74" i="147" s="1"/>
  <c r="G76" i="147"/>
  <c r="I101" i="146"/>
  <c r="I99" i="146" s="1"/>
  <c r="H114" i="146"/>
  <c r="H113" i="146" s="1"/>
  <c r="J101" i="146"/>
  <c r="J99" i="146" s="1"/>
  <c r="I114" i="146"/>
  <c r="F115" i="146"/>
  <c r="M114" i="146"/>
  <c r="M113" i="146" s="1"/>
  <c r="G115" i="146"/>
  <c r="L49" i="146"/>
  <c r="L47" i="146" s="1"/>
  <c r="J114" i="146"/>
  <c r="J112" i="146" s="1"/>
  <c r="O115" i="146"/>
  <c r="K23" i="146"/>
  <c r="K21" i="146" s="1"/>
  <c r="L153" i="146"/>
  <c r="L151" i="146" s="1"/>
  <c r="H24" i="146"/>
  <c r="L114" i="146"/>
  <c r="L112" i="146" s="1"/>
  <c r="Y106" i="146"/>
  <c r="N23" i="146"/>
  <c r="N21" i="146" s="1"/>
  <c r="O24" i="146"/>
  <c r="L127" i="146"/>
  <c r="L125" i="146" s="1"/>
  <c r="F128" i="146"/>
  <c r="G24" i="146"/>
  <c r="J23" i="146"/>
  <c r="J21" i="146" s="1"/>
  <c r="I36" i="146"/>
  <c r="I35" i="146" s="1"/>
  <c r="H49" i="146"/>
  <c r="H48" i="146" s="1"/>
  <c r="Y134" i="146"/>
  <c r="Y136" i="146"/>
  <c r="H101" i="147"/>
  <c r="H99" i="147" s="1"/>
  <c r="K101" i="147"/>
  <c r="K100" i="147" s="1"/>
  <c r="N115" i="147"/>
  <c r="F76" i="147"/>
  <c r="G128" i="147"/>
  <c r="L140" i="147"/>
  <c r="L138" i="147" s="1"/>
  <c r="K23" i="147"/>
  <c r="K21" i="147" s="1"/>
  <c r="N127" i="147"/>
  <c r="N125" i="147" s="1"/>
  <c r="F154" i="147"/>
  <c r="X26" i="147"/>
  <c r="N23" i="147"/>
  <c r="N22" i="147" s="1"/>
  <c r="K49" i="147"/>
  <c r="K47" i="147" s="1"/>
  <c r="E127" i="147"/>
  <c r="E125" i="147" s="1"/>
  <c r="J141" i="147"/>
  <c r="I154" i="147"/>
  <c r="I24" i="147"/>
  <c r="F50" i="147"/>
  <c r="K62" i="147"/>
  <c r="K61" i="147" s="1"/>
  <c r="G114" i="147"/>
  <c r="G112" i="147" s="1"/>
  <c r="K141" i="147"/>
  <c r="X157" i="147"/>
  <c r="L23" i="147"/>
  <c r="L21" i="147" s="1"/>
  <c r="M23" i="147"/>
  <c r="M21" i="147" s="1"/>
  <c r="F49" i="147"/>
  <c r="F47" i="147" s="1"/>
  <c r="M49" i="147"/>
  <c r="M48" i="147" s="1"/>
  <c r="X85" i="147"/>
  <c r="I37" i="147"/>
  <c r="N49" i="147"/>
  <c r="K88" i="147"/>
  <c r="K86" i="147" s="1"/>
  <c r="G140" i="147"/>
  <c r="G139" i="147" s="1"/>
  <c r="L127" i="147"/>
  <c r="L125" i="147" s="1"/>
  <c r="M127" i="147"/>
  <c r="M125" i="147" s="1"/>
  <c r="F141" i="147"/>
  <c r="E24" i="147"/>
  <c r="F24" i="147"/>
  <c r="K36" i="147"/>
  <c r="K35" i="147" s="1"/>
  <c r="X28" i="147"/>
  <c r="J49" i="147"/>
  <c r="J48" i="147" s="1"/>
  <c r="L24" i="147"/>
  <c r="E36" i="147"/>
  <c r="E35" i="147" s="1"/>
  <c r="J37" i="147"/>
  <c r="X27" i="147"/>
  <c r="I50" i="147"/>
  <c r="N141" i="147"/>
  <c r="G153" i="147"/>
  <c r="G151" i="147" s="1"/>
  <c r="X41" i="148"/>
  <c r="X69" i="148"/>
  <c r="X28" i="148"/>
  <c r="X30" i="148"/>
  <c r="X34" i="148"/>
  <c r="X57" i="148"/>
  <c r="X70" i="148"/>
  <c r="X72" i="148"/>
  <c r="X85" i="148"/>
  <c r="X89" i="148"/>
  <c r="X29" i="148"/>
  <c r="X33" i="148"/>
  <c r="X40" i="148"/>
  <c r="X42" i="148"/>
  <c r="X44" i="148"/>
  <c r="X48" i="148"/>
  <c r="M49" i="146"/>
  <c r="M47" i="146" s="1"/>
  <c r="J24" i="146"/>
  <c r="O36" i="146"/>
  <c r="O35" i="146" s="1"/>
  <c r="F23" i="146"/>
  <c r="F21" i="146" s="1"/>
  <c r="Y33" i="146"/>
  <c r="M88" i="146"/>
  <c r="M87" i="146" s="1"/>
  <c r="Y109" i="146"/>
  <c r="F140" i="146"/>
  <c r="F139" i="146" s="1"/>
  <c r="L141" i="146"/>
  <c r="K36" i="146"/>
  <c r="K35" i="146" s="1"/>
  <c r="O23" i="146"/>
  <c r="O21" i="146" s="1"/>
  <c r="Y81" i="146"/>
  <c r="M24" i="146"/>
  <c r="F36" i="146"/>
  <c r="F34" i="146" s="1"/>
  <c r="N88" i="146"/>
  <c r="H89" i="146"/>
  <c r="M101" i="146"/>
  <c r="G102" i="146"/>
  <c r="G140" i="146"/>
  <c r="M141" i="146"/>
  <c r="Y157" i="146"/>
  <c r="F37" i="146"/>
  <c r="O76" i="146"/>
  <c r="N49" i="146"/>
  <c r="N47" i="146" s="1"/>
  <c r="H23" i="146"/>
  <c r="H22" i="146" s="1"/>
  <c r="F49" i="146"/>
  <c r="F47" i="146" s="1"/>
  <c r="K63" i="146"/>
  <c r="Y59" i="146"/>
  <c r="O88" i="146"/>
  <c r="O87" i="146" s="1"/>
  <c r="N101" i="146"/>
  <c r="N100" i="146" s="1"/>
  <c r="H140" i="146"/>
  <c r="H138" i="146" s="1"/>
  <c r="N141" i="146"/>
  <c r="L154" i="146"/>
  <c r="M50" i="146"/>
  <c r="I140" i="146"/>
  <c r="O141" i="146"/>
  <c r="I49" i="146"/>
  <c r="I47" i="146" s="1"/>
  <c r="N63" i="146"/>
  <c r="I153" i="146"/>
  <c r="I151" i="146" s="1"/>
  <c r="O154" i="146"/>
  <c r="J141" i="146"/>
  <c r="K24" i="146"/>
  <c r="O49" i="146"/>
  <c r="O47" i="146" s="1"/>
  <c r="H63" i="146"/>
  <c r="F89" i="146"/>
  <c r="K141" i="146"/>
  <c r="J50" i="146"/>
  <c r="Y123" i="146"/>
  <c r="K154" i="146"/>
  <c r="Y144" i="146"/>
  <c r="Y146" i="146"/>
  <c r="Y148" i="146"/>
  <c r="Y150" i="146"/>
  <c r="K50" i="146"/>
  <c r="Y40" i="146"/>
  <c r="Y42" i="146"/>
  <c r="L50" i="146"/>
  <c r="M127" i="146"/>
  <c r="M125" i="146" s="1"/>
  <c r="G128" i="146"/>
  <c r="M154" i="146"/>
  <c r="I24" i="146"/>
  <c r="G49" i="146"/>
  <c r="Y95" i="146"/>
  <c r="N115" i="146"/>
  <c r="Y132" i="146"/>
  <c r="H153" i="146"/>
  <c r="H151" i="146" s="1"/>
  <c r="N154" i="146"/>
  <c r="O50" i="146"/>
  <c r="J153" i="146"/>
  <c r="J152" i="146" s="1"/>
  <c r="Y108" i="146"/>
  <c r="Y110" i="146"/>
  <c r="Y41" i="146"/>
  <c r="Y43" i="146"/>
  <c r="L89" i="146"/>
  <c r="K167" i="146"/>
  <c r="F50" i="146"/>
  <c r="G127" i="146"/>
  <c r="G125" i="146" s="1"/>
  <c r="M128" i="146"/>
  <c r="M153" i="146"/>
  <c r="M151" i="146" s="1"/>
  <c r="Y14" i="146"/>
  <c r="G50" i="146"/>
  <c r="Y98" i="146"/>
  <c r="Y131" i="146"/>
  <c r="Y133" i="146"/>
  <c r="N153" i="146"/>
  <c r="N151" i="146" s="1"/>
  <c r="H154" i="146"/>
  <c r="H50" i="146"/>
  <c r="O89" i="146"/>
  <c r="Y135" i="146"/>
  <c r="O153" i="146"/>
  <c r="I50" i="146"/>
  <c r="J127" i="146"/>
  <c r="J125" i="146" s="1"/>
  <c r="J154" i="146"/>
  <c r="Y28" i="146"/>
  <c r="Y30" i="146"/>
  <c r="I23" i="146"/>
  <c r="I22" i="146" s="1"/>
  <c r="Y55" i="146"/>
  <c r="Y72" i="146"/>
  <c r="I89" i="146"/>
  <c r="J102" i="146"/>
  <c r="J128" i="146"/>
  <c r="J167" i="146"/>
  <c r="M23" i="146"/>
  <c r="M21" i="146" s="1"/>
  <c r="F24" i="146"/>
  <c r="Y15" i="146"/>
  <c r="Y19" i="146"/>
  <c r="N36" i="146"/>
  <c r="N34" i="146" s="1"/>
  <c r="H37" i="146"/>
  <c r="N50" i="146"/>
  <c r="Y44" i="146"/>
  <c r="Y46" i="146"/>
  <c r="G62" i="146"/>
  <c r="G60" i="146" s="1"/>
  <c r="F88" i="146"/>
  <c r="F87" i="146" s="1"/>
  <c r="K89" i="146"/>
  <c r="Y79" i="146"/>
  <c r="Y83" i="146"/>
  <c r="Y85" i="146"/>
  <c r="F101" i="146"/>
  <c r="F100" i="146" s="1"/>
  <c r="L102" i="146"/>
  <c r="M115" i="146"/>
  <c r="Y107" i="146"/>
  <c r="Y111" i="146"/>
  <c r="F127" i="146"/>
  <c r="F125" i="146" s="1"/>
  <c r="L128" i="146"/>
  <c r="G166" i="146"/>
  <c r="G164" i="146" s="1"/>
  <c r="L167" i="146"/>
  <c r="Y159" i="146"/>
  <c r="Y163" i="146"/>
  <c r="H62" i="146"/>
  <c r="H61" i="146" s="1"/>
  <c r="F62" i="146"/>
  <c r="F60" i="146" s="1"/>
  <c r="H75" i="146"/>
  <c r="H73" i="146" s="1"/>
  <c r="M167" i="146"/>
  <c r="O166" i="146"/>
  <c r="O164" i="146" s="1"/>
  <c r="O63" i="146"/>
  <c r="I75" i="146"/>
  <c r="I73" i="146" s="1"/>
  <c r="H101" i="146"/>
  <c r="H99" i="146" s="1"/>
  <c r="H127" i="146"/>
  <c r="H125" i="146" s="1"/>
  <c r="N128" i="146"/>
  <c r="Y147" i="146"/>
  <c r="Y149" i="146"/>
  <c r="N167" i="146"/>
  <c r="Y27" i="146"/>
  <c r="Y29" i="146"/>
  <c r="Y39" i="146"/>
  <c r="J62" i="146"/>
  <c r="J60" i="146" s="1"/>
  <c r="I88" i="146"/>
  <c r="I86" i="146" s="1"/>
  <c r="I127" i="146"/>
  <c r="O128" i="146"/>
  <c r="J166" i="146"/>
  <c r="J164" i="146" s="1"/>
  <c r="O167" i="146"/>
  <c r="Y58" i="146"/>
  <c r="Y54" i="146"/>
  <c r="M37" i="146"/>
  <c r="N127" i="146"/>
  <c r="N125" i="146" s="1"/>
  <c r="Y156" i="146"/>
  <c r="F63" i="146"/>
  <c r="F76" i="146"/>
  <c r="O101" i="146"/>
  <c r="O100" i="146" s="1"/>
  <c r="Y93" i="146"/>
  <c r="L101" i="146"/>
  <c r="Y119" i="146"/>
  <c r="Y121" i="146"/>
  <c r="L166" i="146"/>
  <c r="L165" i="146" s="1"/>
  <c r="G23" i="146"/>
  <c r="G21" i="146" s="1"/>
  <c r="L24" i="146"/>
  <c r="Y16" i="146"/>
  <c r="Y18" i="146"/>
  <c r="Y20" i="146"/>
  <c r="H36" i="146"/>
  <c r="H34" i="146" s="1"/>
  <c r="N37" i="146"/>
  <c r="M62" i="146"/>
  <c r="M60" i="146" s="1"/>
  <c r="G63" i="146"/>
  <c r="G76" i="146"/>
  <c r="L88" i="146"/>
  <c r="L86" i="146" s="1"/>
  <c r="Y78" i="146"/>
  <c r="Y80" i="146"/>
  <c r="Y82" i="146"/>
  <c r="Y84" i="146"/>
  <c r="F102" i="146"/>
  <c r="M166" i="146"/>
  <c r="M164" i="146" s="1"/>
  <c r="F167" i="146"/>
  <c r="Y158" i="146"/>
  <c r="Y162" i="146"/>
  <c r="O37" i="146"/>
  <c r="H76" i="146"/>
  <c r="G167" i="146"/>
  <c r="Y56" i="146"/>
  <c r="L62" i="146"/>
  <c r="L61" i="146" s="1"/>
  <c r="Y71" i="146"/>
  <c r="N62" i="146"/>
  <c r="N61" i="146" s="1"/>
  <c r="L63" i="146"/>
  <c r="N75" i="146"/>
  <c r="N73" i="146" s="1"/>
  <c r="J89" i="146"/>
  <c r="Y97" i="146"/>
  <c r="K102" i="146"/>
  <c r="N166" i="146"/>
  <c r="N165" i="146" s="1"/>
  <c r="N24" i="146"/>
  <c r="O62" i="146"/>
  <c r="O61" i="146" s="1"/>
  <c r="I63" i="146"/>
  <c r="M63" i="146"/>
  <c r="O75" i="146"/>
  <c r="O73" i="146" s="1"/>
  <c r="G89" i="146"/>
  <c r="M89" i="146"/>
  <c r="H102" i="146"/>
  <c r="N102" i="146"/>
  <c r="H128" i="146"/>
  <c r="J63" i="146"/>
  <c r="J76" i="146"/>
  <c r="Y53" i="146"/>
  <c r="K76" i="146"/>
  <c r="L37" i="146"/>
  <c r="L36" i="146"/>
  <c r="L34" i="146" s="1"/>
  <c r="Y57" i="146"/>
  <c r="Y66" i="146"/>
  <c r="L23" i="146"/>
  <c r="L21" i="146" s="1"/>
  <c r="Y13" i="146"/>
  <c r="M36" i="146"/>
  <c r="G37" i="146"/>
  <c r="F75" i="146"/>
  <c r="F73" i="146" s="1"/>
  <c r="Y92" i="146"/>
  <c r="Y94" i="146"/>
  <c r="K128" i="146"/>
  <c r="Y118" i="146"/>
  <c r="Y120" i="146"/>
  <c r="Y122" i="146"/>
  <c r="X56" i="147"/>
  <c r="E76" i="147"/>
  <c r="X95" i="147"/>
  <c r="E102" i="147"/>
  <c r="X108" i="147"/>
  <c r="H76" i="147"/>
  <c r="F102" i="147"/>
  <c r="I76" i="147"/>
  <c r="J76" i="147"/>
  <c r="E141" i="147"/>
  <c r="L76" i="147"/>
  <c r="J102" i="147"/>
  <c r="N24" i="147"/>
  <c r="L62" i="147"/>
  <c r="L60" i="147" s="1"/>
  <c r="F63" i="147"/>
  <c r="X58" i="147"/>
  <c r="G102" i="147"/>
  <c r="X46" i="147"/>
  <c r="M62" i="147"/>
  <c r="N76" i="147"/>
  <c r="N101" i="147"/>
  <c r="N100" i="147" s="1"/>
  <c r="E115" i="147"/>
  <c r="L128" i="147"/>
  <c r="L50" i="147"/>
  <c r="N62" i="147"/>
  <c r="N61" i="147" s="1"/>
  <c r="L114" i="147"/>
  <c r="L113" i="147" s="1"/>
  <c r="F115" i="147"/>
  <c r="X110" i="147"/>
  <c r="X133" i="147"/>
  <c r="H167" i="147"/>
  <c r="M50" i="147"/>
  <c r="X92" i="147"/>
  <c r="J63" i="147"/>
  <c r="X67" i="147"/>
  <c r="X69" i="147"/>
  <c r="X71" i="147"/>
  <c r="X96" i="147"/>
  <c r="X98" i="147"/>
  <c r="L141" i="147"/>
  <c r="X161" i="147"/>
  <c r="K63" i="147"/>
  <c r="X55" i="147"/>
  <c r="M89" i="147"/>
  <c r="L102" i="147"/>
  <c r="I115" i="147"/>
  <c r="X123" i="147"/>
  <c r="X43" i="147"/>
  <c r="L63" i="147"/>
  <c r="X59" i="147"/>
  <c r="M102" i="147"/>
  <c r="F166" i="147"/>
  <c r="F164" i="147" s="1"/>
  <c r="L167" i="147"/>
  <c r="N102" i="147"/>
  <c r="K115" i="147"/>
  <c r="X107" i="147"/>
  <c r="X80" i="147"/>
  <c r="X82" i="147"/>
  <c r="X84" i="147"/>
  <c r="L115" i="147"/>
  <c r="X111" i="147"/>
  <c r="G50" i="147"/>
  <c r="X93" i="147"/>
  <c r="M115" i="147"/>
  <c r="X29" i="147"/>
  <c r="X33" i="147"/>
  <c r="X97" i="147"/>
  <c r="I128" i="147"/>
  <c r="M24" i="147"/>
  <c r="E63" i="147"/>
  <c r="X72" i="147"/>
  <c r="J128" i="147"/>
  <c r="X118" i="147"/>
  <c r="X120" i="147"/>
  <c r="E167" i="147"/>
  <c r="E89" i="147"/>
  <c r="K89" i="147"/>
  <c r="X14" i="147"/>
  <c r="X16" i="147"/>
  <c r="K50" i="147"/>
  <c r="X53" i="147"/>
  <c r="K102" i="147"/>
  <c r="X94" i="147"/>
  <c r="J115" i="147"/>
  <c r="X105" i="147"/>
  <c r="H128" i="147"/>
  <c r="X132" i="147"/>
  <c r="X134" i="147"/>
  <c r="H153" i="147"/>
  <c r="M154" i="147"/>
  <c r="I167" i="147"/>
  <c r="I88" i="147"/>
  <c r="K153" i="147"/>
  <c r="K151" i="147" s="1"/>
  <c r="X66" i="147"/>
  <c r="G89" i="147"/>
  <c r="H114" i="147"/>
  <c r="H113" i="147" s="1"/>
  <c r="F127" i="147"/>
  <c r="X149" i="147"/>
  <c r="G166" i="147"/>
  <c r="G164" i="147" s="1"/>
  <c r="M167" i="147"/>
  <c r="L88" i="147"/>
  <c r="L87" i="147" s="1"/>
  <c r="K128" i="147"/>
  <c r="F128" i="147"/>
  <c r="X143" i="147"/>
  <c r="H36" i="147"/>
  <c r="H35" i="147" s="1"/>
  <c r="M37" i="147"/>
  <c r="X39" i="147"/>
  <c r="X41" i="147"/>
  <c r="X57" i="147"/>
  <c r="X70" i="147"/>
  <c r="H89" i="147"/>
  <c r="I114" i="147"/>
  <c r="G127" i="147"/>
  <c r="M128" i="147"/>
  <c r="X122" i="147"/>
  <c r="I141" i="147"/>
  <c r="M153" i="147"/>
  <c r="M151" i="147" s="1"/>
  <c r="N167" i="147"/>
  <c r="F89" i="147"/>
  <c r="K24" i="147"/>
  <c r="N37" i="147"/>
  <c r="L49" i="147"/>
  <c r="L47" i="147" s="1"/>
  <c r="E50" i="147"/>
  <c r="X45" i="147"/>
  <c r="X52" i="147"/>
  <c r="I89" i="147"/>
  <c r="X106" i="147"/>
  <c r="H127" i="147"/>
  <c r="H125" i="147" s="1"/>
  <c r="N128" i="147"/>
  <c r="X124" i="147"/>
  <c r="G154" i="147"/>
  <c r="J89" i="147"/>
  <c r="N88" i="147"/>
  <c r="N86" i="147" s="1"/>
  <c r="I127" i="147"/>
  <c r="K167" i="147"/>
  <c r="X79" i="147"/>
  <c r="L36" i="147"/>
  <c r="L34" i="147" s="1"/>
  <c r="E37" i="147"/>
  <c r="X30" i="147"/>
  <c r="H50" i="147"/>
  <c r="G63" i="147"/>
  <c r="F88" i="147"/>
  <c r="F86" i="147" s="1"/>
  <c r="H102" i="147"/>
  <c r="G115" i="147"/>
  <c r="K127" i="147"/>
  <c r="K125" i="147" s="1"/>
  <c r="E128" i="147"/>
  <c r="E153" i="147"/>
  <c r="E152" i="147" s="1"/>
  <c r="J154" i="147"/>
  <c r="L166" i="147"/>
  <c r="F167" i="147"/>
  <c r="E88" i="147"/>
  <c r="E86" i="147" s="1"/>
  <c r="M36" i="147"/>
  <c r="M34" i="147" s="1"/>
  <c r="F37" i="147"/>
  <c r="H63" i="147"/>
  <c r="G88" i="147"/>
  <c r="I102" i="147"/>
  <c r="N114" i="147"/>
  <c r="H115" i="147"/>
  <c r="X119" i="147"/>
  <c r="K154" i="147"/>
  <c r="X146" i="147"/>
  <c r="X150" i="147"/>
  <c r="M166" i="147"/>
  <c r="M165" i="147" s="1"/>
  <c r="L89" i="147"/>
  <c r="N36" i="147"/>
  <c r="N34" i="147" s="1"/>
  <c r="G37" i="147"/>
  <c r="E49" i="147"/>
  <c r="E47" i="147" s="1"/>
  <c r="I63" i="147"/>
  <c r="H88" i="147"/>
  <c r="H86" i="147" s="1"/>
  <c r="N89" i="147"/>
  <c r="X121" i="147"/>
  <c r="L154" i="147"/>
  <c r="X58" i="148"/>
  <c r="X60" i="148"/>
  <c r="X62" i="148"/>
  <c r="X43" i="148"/>
  <c r="X13" i="148"/>
  <c r="X45" i="148"/>
  <c r="X47" i="148"/>
  <c r="X27" i="148"/>
  <c r="X76" i="148"/>
  <c r="X14" i="148"/>
  <c r="X16" i="148"/>
  <c r="X18" i="148"/>
  <c r="X31" i="148"/>
  <c r="X46" i="148"/>
  <c r="X56" i="148"/>
  <c r="X61" i="148"/>
  <c r="X32" i="148"/>
  <c r="X75" i="148"/>
  <c r="X86" i="148"/>
  <c r="X88" i="148"/>
  <c r="X90" i="148"/>
  <c r="X87" i="148"/>
  <c r="X82" i="148"/>
  <c r="X20" i="148"/>
  <c r="X74" i="148"/>
  <c r="X84" i="148"/>
  <c r="X15" i="148"/>
  <c r="X59" i="148"/>
  <c r="X54" i="148"/>
  <c r="X17" i="148"/>
  <c r="X71" i="148"/>
  <c r="X12" i="148"/>
  <c r="X73" i="148"/>
  <c r="X83" i="148"/>
  <c r="X17" i="147"/>
  <c r="X81" i="147"/>
  <c r="X109" i="147"/>
  <c r="X137" i="147"/>
  <c r="H140" i="147"/>
  <c r="X145" i="147"/>
  <c r="I153" i="147"/>
  <c r="X160" i="147"/>
  <c r="K166" i="147"/>
  <c r="X32" i="147"/>
  <c r="X40" i="147"/>
  <c r="X68" i="147"/>
  <c r="X19" i="147"/>
  <c r="X83" i="147"/>
  <c r="X147" i="147"/>
  <c r="X162" i="147"/>
  <c r="X42" i="147"/>
  <c r="X78" i="147"/>
  <c r="K140" i="147"/>
  <c r="M141" i="147"/>
  <c r="L153" i="147"/>
  <c r="N154" i="147"/>
  <c r="N166" i="147"/>
  <c r="X44" i="147"/>
  <c r="X136" i="147"/>
  <c r="M140" i="147"/>
  <c r="X144" i="147"/>
  <c r="N153" i="147"/>
  <c r="X159" i="147"/>
  <c r="E23" i="147"/>
  <c r="G24" i="147"/>
  <c r="X31" i="147"/>
  <c r="F36" i="147"/>
  <c r="X131" i="147"/>
  <c r="N140" i="147"/>
  <c r="E154" i="147"/>
  <c r="E166" i="147"/>
  <c r="G167" i="147"/>
  <c r="H24" i="147"/>
  <c r="X13" i="147"/>
  <c r="X156" i="147"/>
  <c r="F23" i="147"/>
  <c r="X20" i="147"/>
  <c r="H23" i="147"/>
  <c r="J24" i="147"/>
  <c r="E140" i="147"/>
  <c r="G141" i="147"/>
  <c r="X148" i="147"/>
  <c r="F153" i="147"/>
  <c r="X163" i="147"/>
  <c r="H166" i="147"/>
  <c r="J167" i="147"/>
  <c r="X18" i="147"/>
  <c r="X15" i="147"/>
  <c r="I23" i="147"/>
  <c r="X135" i="147"/>
  <c r="F140" i="147"/>
  <c r="H141" i="147"/>
  <c r="X158" i="147"/>
  <c r="I166" i="147"/>
  <c r="Y17" i="146"/>
  <c r="Y137" i="146"/>
  <c r="Y145" i="146"/>
  <c r="Y160" i="146"/>
  <c r="I76" i="146"/>
  <c r="Y32" i="146"/>
  <c r="Y68" i="146"/>
  <c r="Y96" i="146"/>
  <c r="Y91" i="146"/>
  <c r="Y65" i="146"/>
  <c r="Y70" i="146"/>
  <c r="G75" i="146"/>
  <c r="Y31" i="146"/>
  <c r="G36" i="146"/>
  <c r="I37" i="146"/>
  <c r="Y67" i="146"/>
  <c r="J75" i="146"/>
  <c r="L76" i="146"/>
  <c r="F154" i="146"/>
  <c r="F166" i="146"/>
  <c r="H167" i="146"/>
  <c r="Y26" i="146"/>
  <c r="J37" i="146"/>
  <c r="M76" i="146"/>
  <c r="O102" i="146"/>
  <c r="F141" i="146"/>
  <c r="G154" i="146"/>
  <c r="Y161" i="146"/>
  <c r="I167" i="146"/>
  <c r="Y69" i="146"/>
  <c r="L75" i="146"/>
  <c r="N76" i="146"/>
  <c r="F153" i="146"/>
  <c r="H166" i="146"/>
  <c r="J36" i="146"/>
  <c r="M75" i="146"/>
  <c r="G153" i="146"/>
  <c r="I154" i="146"/>
  <c r="I166" i="146"/>
  <c r="F27" i="8"/>
  <c r="H14" i="5" s="1"/>
  <c r="I14" i="5" s="1"/>
  <c r="F26" i="8"/>
  <c r="H13" i="5" s="1"/>
  <c r="I13" i="5" s="1"/>
  <c r="F25" i="8"/>
  <c r="H12" i="5" s="1"/>
  <c r="I12" i="5" s="1"/>
  <c r="F24" i="8"/>
  <c r="H11" i="5" s="1"/>
  <c r="I11" i="5" s="1"/>
  <c r="F23" i="8"/>
  <c r="H10" i="5" s="1"/>
  <c r="I10" i="5" s="1"/>
  <c r="F22" i="8"/>
  <c r="H9" i="5" s="1"/>
  <c r="I9" i="5" s="1"/>
  <c r="F21" i="8"/>
  <c r="H8" i="5" s="1"/>
  <c r="I8" i="5" s="1"/>
  <c r="F20" i="8"/>
  <c r="H7" i="5" s="1"/>
  <c r="I7" i="5" s="1"/>
  <c r="F19" i="8"/>
  <c r="H6" i="5" s="1"/>
  <c r="I6" i="5" s="1"/>
  <c r="F18" i="8"/>
  <c r="H5" i="5" s="1"/>
  <c r="I5" i="5" s="1"/>
  <c r="F17" i="8"/>
  <c r="H4" i="5" s="1"/>
  <c r="I4" i="5" s="1"/>
  <c r="F16" i="8"/>
  <c r="H3" i="5" s="1"/>
  <c r="E12" i="142"/>
  <c r="E13" i="142"/>
  <c r="E13" i="144"/>
  <c r="F13" i="144"/>
  <c r="E13" i="143"/>
  <c r="F13" i="143"/>
  <c r="G13" i="143"/>
  <c r="H13" i="143"/>
  <c r="I13" i="143"/>
  <c r="J13" i="143"/>
  <c r="K13" i="143"/>
  <c r="L13" i="143"/>
  <c r="M13" i="143"/>
  <c r="N13" i="143"/>
  <c r="O13" i="143"/>
  <c r="P13" i="143"/>
  <c r="Q13" i="143"/>
  <c r="R13" i="143"/>
  <c r="S13" i="143"/>
  <c r="T13" i="143"/>
  <c r="U13" i="143"/>
  <c r="W13" i="143"/>
  <c r="E14" i="143"/>
  <c r="F14" i="143"/>
  <c r="G14" i="143"/>
  <c r="H14" i="143"/>
  <c r="I14" i="143"/>
  <c r="J14" i="143"/>
  <c r="K14" i="143"/>
  <c r="L14" i="143"/>
  <c r="M14" i="143"/>
  <c r="N14" i="143"/>
  <c r="O14" i="143"/>
  <c r="P14" i="143"/>
  <c r="Q14" i="143"/>
  <c r="R14" i="143"/>
  <c r="S14" i="143"/>
  <c r="T14" i="143"/>
  <c r="U14" i="143"/>
  <c r="W14" i="143"/>
  <c r="E15" i="143"/>
  <c r="F15" i="143"/>
  <c r="G15" i="143"/>
  <c r="H15" i="143"/>
  <c r="I15" i="143"/>
  <c r="J15" i="143"/>
  <c r="K15" i="143"/>
  <c r="L15" i="143"/>
  <c r="M15" i="143"/>
  <c r="N15" i="143"/>
  <c r="O15" i="143"/>
  <c r="P15" i="143"/>
  <c r="Q15" i="143"/>
  <c r="R15" i="143"/>
  <c r="S15" i="143"/>
  <c r="T15" i="143"/>
  <c r="U15" i="143"/>
  <c r="W15" i="143"/>
  <c r="E16" i="143"/>
  <c r="F16" i="143"/>
  <c r="G16" i="143"/>
  <c r="H16" i="143"/>
  <c r="I16" i="143"/>
  <c r="J16" i="143"/>
  <c r="K16" i="143"/>
  <c r="L16" i="143"/>
  <c r="M16" i="143"/>
  <c r="N16" i="143"/>
  <c r="O16" i="143"/>
  <c r="P16" i="143"/>
  <c r="Q16" i="143"/>
  <c r="R16" i="143"/>
  <c r="S16" i="143"/>
  <c r="T16" i="143"/>
  <c r="U16" i="143"/>
  <c r="W16" i="143"/>
  <c r="E17" i="143"/>
  <c r="F17" i="143"/>
  <c r="G17" i="143"/>
  <c r="H17" i="143"/>
  <c r="I17" i="143"/>
  <c r="J17" i="143"/>
  <c r="K17" i="143"/>
  <c r="L17" i="143"/>
  <c r="M17" i="143"/>
  <c r="N17" i="143"/>
  <c r="O17" i="143"/>
  <c r="P17" i="143"/>
  <c r="Q17" i="143"/>
  <c r="R17" i="143"/>
  <c r="S17" i="143"/>
  <c r="T17" i="143"/>
  <c r="U17" i="143"/>
  <c r="W17" i="143"/>
  <c r="E18" i="143"/>
  <c r="F18" i="143"/>
  <c r="G18" i="143"/>
  <c r="H18" i="143"/>
  <c r="I18" i="143"/>
  <c r="J18" i="143"/>
  <c r="K18" i="143"/>
  <c r="L18" i="143"/>
  <c r="M18" i="143"/>
  <c r="N18" i="143"/>
  <c r="O18" i="143"/>
  <c r="P18" i="143"/>
  <c r="Q18" i="143"/>
  <c r="R18" i="143"/>
  <c r="S18" i="143"/>
  <c r="T18" i="143"/>
  <c r="U18" i="143"/>
  <c r="W18" i="143"/>
  <c r="E19" i="143"/>
  <c r="F19" i="143"/>
  <c r="G19" i="143"/>
  <c r="H19" i="143"/>
  <c r="I19" i="143"/>
  <c r="J19" i="143"/>
  <c r="K19" i="143"/>
  <c r="L19" i="143"/>
  <c r="M19" i="143"/>
  <c r="N19" i="143"/>
  <c r="O19" i="143"/>
  <c r="P19" i="143"/>
  <c r="Q19" i="143"/>
  <c r="R19" i="143"/>
  <c r="S19" i="143"/>
  <c r="T19" i="143"/>
  <c r="U19" i="143"/>
  <c r="W19" i="143"/>
  <c r="E20" i="143"/>
  <c r="F20" i="143"/>
  <c r="G20" i="143"/>
  <c r="H20" i="143"/>
  <c r="I20" i="143"/>
  <c r="J20" i="143"/>
  <c r="K20" i="143"/>
  <c r="L20" i="143"/>
  <c r="M20" i="143"/>
  <c r="N20" i="143"/>
  <c r="O20" i="143"/>
  <c r="P20" i="143"/>
  <c r="Q20" i="143"/>
  <c r="R20" i="143"/>
  <c r="S20" i="143"/>
  <c r="T20" i="143"/>
  <c r="U20" i="143"/>
  <c r="W20" i="143"/>
  <c r="E21" i="143"/>
  <c r="F21" i="143"/>
  <c r="G21" i="143"/>
  <c r="H21" i="143"/>
  <c r="I21" i="143"/>
  <c r="J21" i="143"/>
  <c r="K21" i="143"/>
  <c r="L21" i="143"/>
  <c r="M21" i="143"/>
  <c r="N21" i="143"/>
  <c r="O21" i="143"/>
  <c r="P21" i="143"/>
  <c r="Q21" i="143"/>
  <c r="R21" i="143"/>
  <c r="S21" i="143"/>
  <c r="T21" i="143"/>
  <c r="U21" i="143"/>
  <c r="W21" i="143"/>
  <c r="E22" i="143"/>
  <c r="F22" i="143"/>
  <c r="G22" i="143"/>
  <c r="H22" i="143"/>
  <c r="I22" i="143"/>
  <c r="J22" i="143"/>
  <c r="K22" i="143"/>
  <c r="L22" i="143"/>
  <c r="M22" i="143"/>
  <c r="N22" i="143"/>
  <c r="O22" i="143"/>
  <c r="P22" i="143"/>
  <c r="Q22" i="143"/>
  <c r="R22" i="143"/>
  <c r="S22" i="143"/>
  <c r="T22" i="143"/>
  <c r="U22" i="143"/>
  <c r="W22" i="143"/>
  <c r="E23" i="143"/>
  <c r="F23" i="143"/>
  <c r="G23" i="143"/>
  <c r="H23" i="143"/>
  <c r="I23" i="143"/>
  <c r="J23" i="143"/>
  <c r="K23" i="143"/>
  <c r="L23" i="143"/>
  <c r="M23" i="143"/>
  <c r="N23" i="143"/>
  <c r="O23" i="143"/>
  <c r="P23" i="143"/>
  <c r="Q23" i="143"/>
  <c r="R23" i="143"/>
  <c r="S23" i="143"/>
  <c r="T23" i="143"/>
  <c r="U23" i="143"/>
  <c r="W23" i="143"/>
  <c r="E24" i="143"/>
  <c r="F24" i="143"/>
  <c r="G24" i="143"/>
  <c r="H24" i="143"/>
  <c r="I24" i="143"/>
  <c r="J24" i="143"/>
  <c r="K24" i="143"/>
  <c r="L24" i="143"/>
  <c r="M24" i="143"/>
  <c r="N24" i="143"/>
  <c r="O24" i="143"/>
  <c r="P24" i="143"/>
  <c r="Q24" i="143"/>
  <c r="R24" i="143"/>
  <c r="S24" i="143"/>
  <c r="T24" i="143"/>
  <c r="U24" i="143"/>
  <c r="W24" i="143"/>
  <c r="E25" i="143"/>
  <c r="F25" i="143"/>
  <c r="G25" i="143"/>
  <c r="H25" i="143"/>
  <c r="I25" i="143"/>
  <c r="J25" i="143"/>
  <c r="K25" i="143"/>
  <c r="L25" i="143"/>
  <c r="M25" i="143"/>
  <c r="N25" i="143"/>
  <c r="O25" i="143"/>
  <c r="P25" i="143"/>
  <c r="Q25" i="143"/>
  <c r="R25" i="143"/>
  <c r="S25" i="143"/>
  <c r="T25" i="143"/>
  <c r="U25" i="143"/>
  <c r="W25" i="143"/>
  <c r="E26" i="143"/>
  <c r="F26" i="143"/>
  <c r="G26" i="143"/>
  <c r="H26" i="143"/>
  <c r="I26" i="143"/>
  <c r="J26" i="143"/>
  <c r="K26" i="143"/>
  <c r="L26" i="143"/>
  <c r="M26" i="143"/>
  <c r="N26" i="143"/>
  <c r="O26" i="143"/>
  <c r="P26" i="143"/>
  <c r="Q26" i="143"/>
  <c r="R26" i="143"/>
  <c r="S26" i="143"/>
  <c r="T26" i="143"/>
  <c r="U26" i="143"/>
  <c r="W26" i="143"/>
  <c r="E27" i="143"/>
  <c r="F27" i="143"/>
  <c r="G27" i="143"/>
  <c r="H27" i="143"/>
  <c r="I27" i="143"/>
  <c r="J27" i="143"/>
  <c r="K27" i="143"/>
  <c r="L27" i="143"/>
  <c r="M27" i="143"/>
  <c r="N27" i="143"/>
  <c r="O27" i="143"/>
  <c r="P27" i="143"/>
  <c r="Q27" i="143"/>
  <c r="R27" i="143"/>
  <c r="S27" i="143"/>
  <c r="T27" i="143"/>
  <c r="U27" i="143"/>
  <c r="W27" i="143"/>
  <c r="E28" i="143"/>
  <c r="F28" i="143"/>
  <c r="G28" i="143"/>
  <c r="H28" i="143"/>
  <c r="I28" i="143"/>
  <c r="J28" i="143"/>
  <c r="K28" i="143"/>
  <c r="L28" i="143"/>
  <c r="M28" i="143"/>
  <c r="N28" i="143"/>
  <c r="O28" i="143"/>
  <c r="P28" i="143"/>
  <c r="Q28" i="143"/>
  <c r="R28" i="143"/>
  <c r="S28" i="143"/>
  <c r="T28" i="143"/>
  <c r="U28" i="143"/>
  <c r="W28" i="143"/>
  <c r="E29" i="143"/>
  <c r="F29" i="143"/>
  <c r="G29" i="143"/>
  <c r="H29" i="143"/>
  <c r="I29" i="143"/>
  <c r="J29" i="143"/>
  <c r="K29" i="143"/>
  <c r="L29" i="143"/>
  <c r="M29" i="143"/>
  <c r="N29" i="143"/>
  <c r="O29" i="143"/>
  <c r="P29" i="143"/>
  <c r="Q29" i="143"/>
  <c r="R29" i="143"/>
  <c r="S29" i="143"/>
  <c r="T29" i="143"/>
  <c r="U29" i="143"/>
  <c r="W29" i="143"/>
  <c r="W12" i="143"/>
  <c r="F12" i="143"/>
  <c r="G12" i="143"/>
  <c r="H12" i="143"/>
  <c r="I12" i="143"/>
  <c r="J12" i="143"/>
  <c r="K12" i="143"/>
  <c r="L12" i="143"/>
  <c r="M12" i="143"/>
  <c r="N12" i="143"/>
  <c r="O12" i="143"/>
  <c r="P12" i="143"/>
  <c r="Q12" i="143"/>
  <c r="R12" i="143"/>
  <c r="S12" i="143"/>
  <c r="T12" i="143"/>
  <c r="E12" i="143"/>
  <c r="C12" i="143"/>
  <c r="B8" i="143"/>
  <c r="F13" i="142"/>
  <c r="G13" i="142"/>
  <c r="H13" i="142"/>
  <c r="I13" i="142"/>
  <c r="J13" i="142"/>
  <c r="K13" i="142"/>
  <c r="L13" i="142"/>
  <c r="M13" i="142"/>
  <c r="N13" i="142"/>
  <c r="O13" i="142"/>
  <c r="P13" i="142"/>
  <c r="Q13" i="142"/>
  <c r="R13" i="142"/>
  <c r="S13" i="142"/>
  <c r="T13" i="142"/>
  <c r="U13" i="142"/>
  <c r="E14" i="142"/>
  <c r="F14" i="142"/>
  <c r="G14" i="142"/>
  <c r="H14" i="142"/>
  <c r="I14" i="142"/>
  <c r="J14" i="142"/>
  <c r="K14" i="142"/>
  <c r="L14" i="142"/>
  <c r="M14" i="142"/>
  <c r="N14" i="142"/>
  <c r="O14" i="142"/>
  <c r="P14" i="142"/>
  <c r="Q14" i="142"/>
  <c r="R14" i="142"/>
  <c r="S14" i="142"/>
  <c r="T14" i="142"/>
  <c r="U14" i="142"/>
  <c r="E15" i="142"/>
  <c r="F15" i="142"/>
  <c r="G15" i="142"/>
  <c r="H15" i="142"/>
  <c r="I15" i="142"/>
  <c r="J15" i="142"/>
  <c r="K15" i="142"/>
  <c r="L15" i="142"/>
  <c r="M15" i="142"/>
  <c r="N15" i="142"/>
  <c r="O15" i="142"/>
  <c r="P15" i="142"/>
  <c r="Q15" i="142"/>
  <c r="R15" i="142"/>
  <c r="S15" i="142"/>
  <c r="T15" i="142"/>
  <c r="U15" i="142"/>
  <c r="E16" i="142"/>
  <c r="F16" i="142"/>
  <c r="G16" i="142"/>
  <c r="H16" i="142"/>
  <c r="I16" i="142"/>
  <c r="J16" i="142"/>
  <c r="K16" i="142"/>
  <c r="L16" i="142"/>
  <c r="M16" i="142"/>
  <c r="N16" i="142"/>
  <c r="O16" i="142"/>
  <c r="P16" i="142"/>
  <c r="Q16" i="142"/>
  <c r="R16" i="142"/>
  <c r="S16" i="142"/>
  <c r="T16" i="142"/>
  <c r="U16" i="142"/>
  <c r="E17" i="142"/>
  <c r="F17" i="142"/>
  <c r="G17" i="142"/>
  <c r="H17" i="142"/>
  <c r="I17" i="142"/>
  <c r="J17" i="142"/>
  <c r="K17" i="142"/>
  <c r="L17" i="142"/>
  <c r="M17" i="142"/>
  <c r="N17" i="142"/>
  <c r="O17" i="142"/>
  <c r="P17" i="142"/>
  <c r="Q17" i="142"/>
  <c r="R17" i="142"/>
  <c r="S17" i="142"/>
  <c r="T17" i="142"/>
  <c r="U17" i="142"/>
  <c r="E18" i="142"/>
  <c r="F18" i="142"/>
  <c r="G18" i="142"/>
  <c r="H18" i="142"/>
  <c r="I18" i="142"/>
  <c r="J18" i="142"/>
  <c r="K18" i="142"/>
  <c r="L18" i="142"/>
  <c r="M18" i="142"/>
  <c r="N18" i="142"/>
  <c r="O18" i="142"/>
  <c r="P18" i="142"/>
  <c r="Q18" i="142"/>
  <c r="R18" i="142"/>
  <c r="S18" i="142"/>
  <c r="T18" i="142"/>
  <c r="U18" i="142"/>
  <c r="E19" i="142"/>
  <c r="F19" i="142"/>
  <c r="G19" i="142"/>
  <c r="H19" i="142"/>
  <c r="I19" i="142"/>
  <c r="J19" i="142"/>
  <c r="K19" i="142"/>
  <c r="L19" i="142"/>
  <c r="M19" i="142"/>
  <c r="N19" i="142"/>
  <c r="O19" i="142"/>
  <c r="P19" i="142"/>
  <c r="Q19" i="142"/>
  <c r="R19" i="142"/>
  <c r="S19" i="142"/>
  <c r="T19" i="142"/>
  <c r="U19" i="142"/>
  <c r="E20" i="142"/>
  <c r="F20" i="142"/>
  <c r="G20" i="142"/>
  <c r="H20" i="142"/>
  <c r="I20" i="142"/>
  <c r="J20" i="142"/>
  <c r="K20" i="142"/>
  <c r="L20" i="142"/>
  <c r="M20" i="142"/>
  <c r="N20" i="142"/>
  <c r="O20" i="142"/>
  <c r="P20" i="142"/>
  <c r="Q20" i="142"/>
  <c r="R20" i="142"/>
  <c r="S20" i="142"/>
  <c r="T20" i="142"/>
  <c r="U20" i="142"/>
  <c r="E21" i="142"/>
  <c r="F21" i="142"/>
  <c r="G21" i="142"/>
  <c r="H21" i="142"/>
  <c r="I21" i="142"/>
  <c r="J21" i="142"/>
  <c r="K21" i="142"/>
  <c r="L21" i="142"/>
  <c r="M21" i="142"/>
  <c r="N21" i="142"/>
  <c r="O21" i="142"/>
  <c r="P21" i="142"/>
  <c r="Q21" i="142"/>
  <c r="R21" i="142"/>
  <c r="S21" i="142"/>
  <c r="T21" i="142"/>
  <c r="U21" i="142"/>
  <c r="X21" i="142"/>
  <c r="E22" i="142"/>
  <c r="F22" i="142"/>
  <c r="G22" i="142"/>
  <c r="H22" i="142"/>
  <c r="I22" i="142"/>
  <c r="J22" i="142"/>
  <c r="K22" i="142"/>
  <c r="L22" i="142"/>
  <c r="M22" i="142"/>
  <c r="N22" i="142"/>
  <c r="O22" i="142"/>
  <c r="P22" i="142"/>
  <c r="Q22" i="142"/>
  <c r="R22" i="142"/>
  <c r="S22" i="142"/>
  <c r="T22" i="142"/>
  <c r="U22" i="142"/>
  <c r="E23" i="142"/>
  <c r="F23" i="142"/>
  <c r="G23" i="142"/>
  <c r="H23" i="142"/>
  <c r="I23" i="142"/>
  <c r="J23" i="142"/>
  <c r="K23" i="142"/>
  <c r="L23" i="142"/>
  <c r="M23" i="142"/>
  <c r="N23" i="142"/>
  <c r="O23" i="142"/>
  <c r="P23" i="142"/>
  <c r="Q23" i="142"/>
  <c r="R23" i="142"/>
  <c r="S23" i="142"/>
  <c r="T23" i="142"/>
  <c r="U23" i="142"/>
  <c r="E24" i="142"/>
  <c r="F24" i="142"/>
  <c r="G24" i="142"/>
  <c r="H24" i="142"/>
  <c r="I24" i="142"/>
  <c r="J24" i="142"/>
  <c r="K24" i="142"/>
  <c r="L24" i="142"/>
  <c r="M24" i="142"/>
  <c r="N24" i="142"/>
  <c r="O24" i="142"/>
  <c r="P24" i="142"/>
  <c r="Q24" i="142"/>
  <c r="R24" i="142"/>
  <c r="S24" i="142"/>
  <c r="T24" i="142"/>
  <c r="U24" i="142"/>
  <c r="E25" i="142"/>
  <c r="F25" i="142"/>
  <c r="G25" i="142"/>
  <c r="H25" i="142"/>
  <c r="I25" i="142"/>
  <c r="J25" i="142"/>
  <c r="K25" i="142"/>
  <c r="L25" i="142"/>
  <c r="M25" i="142"/>
  <c r="N25" i="142"/>
  <c r="O25" i="142"/>
  <c r="P25" i="142"/>
  <c r="Q25" i="142"/>
  <c r="R25" i="142"/>
  <c r="S25" i="142"/>
  <c r="T25" i="142"/>
  <c r="U25" i="142"/>
  <c r="E26" i="142"/>
  <c r="F26" i="142"/>
  <c r="G26" i="142"/>
  <c r="H26" i="142"/>
  <c r="I26" i="142"/>
  <c r="J26" i="142"/>
  <c r="K26" i="142"/>
  <c r="L26" i="142"/>
  <c r="M26" i="142"/>
  <c r="N26" i="142"/>
  <c r="O26" i="142"/>
  <c r="P26" i="142"/>
  <c r="Q26" i="142"/>
  <c r="R26" i="142"/>
  <c r="S26" i="142"/>
  <c r="T26" i="142"/>
  <c r="U26" i="142"/>
  <c r="E27" i="142"/>
  <c r="F27" i="142"/>
  <c r="G27" i="142"/>
  <c r="H27" i="142"/>
  <c r="I27" i="142"/>
  <c r="J27" i="142"/>
  <c r="K27" i="142"/>
  <c r="L27" i="142"/>
  <c r="M27" i="142"/>
  <c r="N27" i="142"/>
  <c r="O27" i="142"/>
  <c r="P27" i="142"/>
  <c r="Q27" i="142"/>
  <c r="R27" i="142"/>
  <c r="S27" i="142"/>
  <c r="T27" i="142"/>
  <c r="U27" i="142"/>
  <c r="E28" i="142"/>
  <c r="F28" i="142"/>
  <c r="G28" i="142"/>
  <c r="H28" i="142"/>
  <c r="I28" i="142"/>
  <c r="J28" i="142"/>
  <c r="K28" i="142"/>
  <c r="L28" i="142"/>
  <c r="M28" i="142"/>
  <c r="N28" i="142"/>
  <c r="O28" i="142"/>
  <c r="P28" i="142"/>
  <c r="Q28" i="142"/>
  <c r="R28" i="142"/>
  <c r="S28" i="142"/>
  <c r="T28" i="142"/>
  <c r="U28" i="142"/>
  <c r="E29" i="142"/>
  <c r="F29" i="142"/>
  <c r="G29" i="142"/>
  <c r="H29" i="142"/>
  <c r="I29" i="142"/>
  <c r="J29" i="142"/>
  <c r="K29" i="142"/>
  <c r="L29" i="142"/>
  <c r="M29" i="142"/>
  <c r="N29" i="142"/>
  <c r="O29" i="142"/>
  <c r="P29" i="142"/>
  <c r="Q29" i="142"/>
  <c r="R29" i="142"/>
  <c r="S29" i="142"/>
  <c r="T29" i="142"/>
  <c r="U29" i="142"/>
  <c r="E30" i="142"/>
  <c r="E41" i="142" s="1"/>
  <c r="F30" i="142"/>
  <c r="F41" i="142" s="1"/>
  <c r="G30" i="142"/>
  <c r="G41" i="142" s="1"/>
  <c r="H30" i="142"/>
  <c r="H41" i="142" s="1"/>
  <c r="I30" i="142"/>
  <c r="I41" i="142" s="1"/>
  <c r="J30" i="142"/>
  <c r="K30" i="142"/>
  <c r="L30" i="142"/>
  <c r="M30" i="142"/>
  <c r="N30" i="142"/>
  <c r="O30" i="142"/>
  <c r="P30" i="142"/>
  <c r="Q30" i="142"/>
  <c r="R30" i="142"/>
  <c r="S30" i="142"/>
  <c r="T30" i="142"/>
  <c r="U30" i="142"/>
  <c r="E31" i="142"/>
  <c r="E42" i="142" s="1"/>
  <c r="F31" i="142"/>
  <c r="F42" i="142" s="1"/>
  <c r="G31" i="142"/>
  <c r="G42" i="142" s="1"/>
  <c r="H31" i="142"/>
  <c r="H42" i="142" s="1"/>
  <c r="I31" i="142"/>
  <c r="I42" i="142" s="1"/>
  <c r="J31" i="142"/>
  <c r="K31" i="142"/>
  <c r="L31" i="142"/>
  <c r="M31" i="142"/>
  <c r="N31" i="142"/>
  <c r="O31" i="142"/>
  <c r="P31" i="142"/>
  <c r="Q31" i="142"/>
  <c r="R31" i="142"/>
  <c r="S31" i="142"/>
  <c r="T31" i="142"/>
  <c r="U31" i="142"/>
  <c r="E32" i="142"/>
  <c r="F32" i="142"/>
  <c r="G32" i="142"/>
  <c r="H32" i="142"/>
  <c r="I32" i="142"/>
  <c r="J32" i="142"/>
  <c r="K32" i="142"/>
  <c r="L32" i="142"/>
  <c r="M32" i="142"/>
  <c r="N32" i="142"/>
  <c r="O32" i="142"/>
  <c r="P32" i="142"/>
  <c r="Q32" i="142"/>
  <c r="R32" i="142"/>
  <c r="S32" i="142"/>
  <c r="T32" i="142"/>
  <c r="U32" i="142"/>
  <c r="E33" i="142"/>
  <c r="F33" i="142"/>
  <c r="G33" i="142"/>
  <c r="H33" i="142"/>
  <c r="I33" i="142"/>
  <c r="J33" i="142"/>
  <c r="K33" i="142"/>
  <c r="L33" i="142"/>
  <c r="M33" i="142"/>
  <c r="N33" i="142"/>
  <c r="O33" i="142"/>
  <c r="P33" i="142"/>
  <c r="Q33" i="142"/>
  <c r="R33" i="142"/>
  <c r="S33" i="142"/>
  <c r="T33" i="142"/>
  <c r="U33" i="142"/>
  <c r="E34" i="142"/>
  <c r="F34" i="142"/>
  <c r="G34" i="142"/>
  <c r="H34" i="142"/>
  <c r="I34" i="142"/>
  <c r="J34" i="142"/>
  <c r="K34" i="142"/>
  <c r="L34" i="142"/>
  <c r="M34" i="142"/>
  <c r="N34" i="142"/>
  <c r="O34" i="142"/>
  <c r="P34" i="142"/>
  <c r="Q34" i="142"/>
  <c r="R34" i="142"/>
  <c r="S34" i="142"/>
  <c r="T34" i="142"/>
  <c r="U34" i="142"/>
  <c r="E35" i="142"/>
  <c r="F35" i="142"/>
  <c r="G35" i="142"/>
  <c r="H35" i="142"/>
  <c r="I35" i="142"/>
  <c r="J35" i="142"/>
  <c r="K35" i="142"/>
  <c r="L35" i="142"/>
  <c r="M35" i="142"/>
  <c r="N35" i="142"/>
  <c r="O35" i="142"/>
  <c r="P35" i="142"/>
  <c r="Q35" i="142"/>
  <c r="R35" i="142"/>
  <c r="S35" i="142"/>
  <c r="T35" i="142"/>
  <c r="U35" i="142"/>
  <c r="E36" i="142"/>
  <c r="F36" i="142"/>
  <c r="G36" i="142"/>
  <c r="H36" i="142"/>
  <c r="I36" i="142"/>
  <c r="J36" i="142"/>
  <c r="K36" i="142"/>
  <c r="L36" i="142"/>
  <c r="M36" i="142"/>
  <c r="N36" i="142"/>
  <c r="O36" i="142"/>
  <c r="P36" i="142"/>
  <c r="Q36" i="142"/>
  <c r="R36" i="142"/>
  <c r="S36" i="142"/>
  <c r="T36" i="142"/>
  <c r="U36" i="142"/>
  <c r="E37" i="142"/>
  <c r="F37" i="142"/>
  <c r="G37" i="142"/>
  <c r="H37" i="142"/>
  <c r="I37" i="142"/>
  <c r="J37" i="142"/>
  <c r="K37" i="142"/>
  <c r="L37" i="142"/>
  <c r="M37" i="142"/>
  <c r="N37" i="142"/>
  <c r="O37" i="142"/>
  <c r="P37" i="142"/>
  <c r="Q37" i="142"/>
  <c r="R37" i="142"/>
  <c r="S37" i="142"/>
  <c r="T37" i="142"/>
  <c r="U37" i="142"/>
  <c r="E38" i="142"/>
  <c r="F38" i="142"/>
  <c r="G38" i="142"/>
  <c r="H38" i="142"/>
  <c r="I38" i="142"/>
  <c r="J38" i="142"/>
  <c r="K38" i="142"/>
  <c r="L38" i="142"/>
  <c r="M38" i="142"/>
  <c r="N38" i="142"/>
  <c r="O38" i="142"/>
  <c r="P38" i="142"/>
  <c r="Q38" i="142"/>
  <c r="R38" i="142"/>
  <c r="S38" i="142"/>
  <c r="T38" i="142"/>
  <c r="U38" i="142"/>
  <c r="F12" i="142"/>
  <c r="G12" i="142"/>
  <c r="H12" i="142"/>
  <c r="I12" i="142"/>
  <c r="J12" i="142"/>
  <c r="K12" i="142"/>
  <c r="L12" i="142"/>
  <c r="M12" i="142"/>
  <c r="N12" i="142"/>
  <c r="O12" i="142"/>
  <c r="P12" i="142"/>
  <c r="Q12" i="142"/>
  <c r="R12" i="142"/>
  <c r="S12" i="142"/>
  <c r="T12" i="142"/>
  <c r="C21" i="142"/>
  <c r="C12" i="142"/>
  <c r="B8" i="142"/>
  <c r="E13" i="141"/>
  <c r="F13" i="141"/>
  <c r="G13" i="141"/>
  <c r="H13" i="141"/>
  <c r="I13" i="141"/>
  <c r="J13" i="141"/>
  <c r="K13" i="141"/>
  <c r="L13" i="141"/>
  <c r="M13" i="141"/>
  <c r="N13" i="141"/>
  <c r="O13" i="141"/>
  <c r="P13" i="141"/>
  <c r="Q13" i="141"/>
  <c r="R13" i="141"/>
  <c r="S13" i="141"/>
  <c r="T13" i="141"/>
  <c r="U13" i="141"/>
  <c r="W13" i="141"/>
  <c r="E14" i="141"/>
  <c r="F14" i="141"/>
  <c r="G14" i="141"/>
  <c r="H14" i="141"/>
  <c r="I14" i="141"/>
  <c r="J14" i="141"/>
  <c r="K14" i="141"/>
  <c r="L14" i="141"/>
  <c r="M14" i="141"/>
  <c r="N14" i="141"/>
  <c r="O14" i="141"/>
  <c r="P14" i="141"/>
  <c r="Q14" i="141"/>
  <c r="R14" i="141"/>
  <c r="S14" i="141"/>
  <c r="T14" i="141"/>
  <c r="U14" i="141"/>
  <c r="W14" i="141"/>
  <c r="E15" i="141"/>
  <c r="F15" i="141"/>
  <c r="G15" i="141"/>
  <c r="H15" i="141"/>
  <c r="I15" i="141"/>
  <c r="J15" i="141"/>
  <c r="K15" i="141"/>
  <c r="L15" i="141"/>
  <c r="M15" i="141"/>
  <c r="N15" i="141"/>
  <c r="O15" i="141"/>
  <c r="P15" i="141"/>
  <c r="Q15" i="141"/>
  <c r="R15" i="141"/>
  <c r="S15" i="141"/>
  <c r="T15" i="141"/>
  <c r="U15" i="141"/>
  <c r="W15" i="141"/>
  <c r="E16" i="141"/>
  <c r="F16" i="141"/>
  <c r="G16" i="141"/>
  <c r="H16" i="141"/>
  <c r="I16" i="141"/>
  <c r="J16" i="141"/>
  <c r="K16" i="141"/>
  <c r="L16" i="141"/>
  <c r="M16" i="141"/>
  <c r="N16" i="141"/>
  <c r="O16" i="141"/>
  <c r="P16" i="141"/>
  <c r="Q16" i="141"/>
  <c r="R16" i="141"/>
  <c r="S16" i="141"/>
  <c r="T16" i="141"/>
  <c r="U16" i="141"/>
  <c r="W16" i="141"/>
  <c r="E17" i="141"/>
  <c r="F17" i="141"/>
  <c r="G17" i="141"/>
  <c r="H17" i="141"/>
  <c r="I17" i="141"/>
  <c r="J17" i="141"/>
  <c r="K17" i="141"/>
  <c r="L17" i="141"/>
  <c r="M17" i="141"/>
  <c r="N17" i="141"/>
  <c r="O17" i="141"/>
  <c r="P17" i="141"/>
  <c r="Q17" i="141"/>
  <c r="R17" i="141"/>
  <c r="S17" i="141"/>
  <c r="T17" i="141"/>
  <c r="U17" i="141"/>
  <c r="W17" i="141"/>
  <c r="E18" i="141"/>
  <c r="F18" i="141"/>
  <c r="G18" i="141"/>
  <c r="H18" i="141"/>
  <c r="I18" i="141"/>
  <c r="J18" i="141"/>
  <c r="K18" i="141"/>
  <c r="L18" i="141"/>
  <c r="M18" i="141"/>
  <c r="N18" i="141"/>
  <c r="O18" i="141"/>
  <c r="P18" i="141"/>
  <c r="Q18" i="141"/>
  <c r="R18" i="141"/>
  <c r="S18" i="141"/>
  <c r="T18" i="141"/>
  <c r="U18" i="141"/>
  <c r="W18" i="141"/>
  <c r="E19" i="141"/>
  <c r="F19" i="141"/>
  <c r="G19" i="141"/>
  <c r="H19" i="141"/>
  <c r="I19" i="141"/>
  <c r="J19" i="141"/>
  <c r="K19" i="141"/>
  <c r="L19" i="141"/>
  <c r="M19" i="141"/>
  <c r="N19" i="141"/>
  <c r="O19" i="141"/>
  <c r="P19" i="141"/>
  <c r="Q19" i="141"/>
  <c r="R19" i="141"/>
  <c r="S19" i="141"/>
  <c r="T19" i="141"/>
  <c r="U19" i="141"/>
  <c r="W19" i="141"/>
  <c r="E20" i="141"/>
  <c r="F20" i="141"/>
  <c r="G20" i="141"/>
  <c r="H20" i="141"/>
  <c r="I20" i="141"/>
  <c r="J20" i="141"/>
  <c r="K20" i="141"/>
  <c r="L20" i="141"/>
  <c r="M20" i="141"/>
  <c r="N20" i="141"/>
  <c r="O20" i="141"/>
  <c r="P20" i="141"/>
  <c r="Q20" i="141"/>
  <c r="R20" i="141"/>
  <c r="S20" i="141"/>
  <c r="T20" i="141"/>
  <c r="U20" i="141"/>
  <c r="W20" i="141"/>
  <c r="E21" i="141"/>
  <c r="F21" i="141"/>
  <c r="G21" i="141"/>
  <c r="H21" i="141"/>
  <c r="I21" i="141"/>
  <c r="J21" i="141"/>
  <c r="K21" i="141"/>
  <c r="L21" i="141"/>
  <c r="M21" i="141"/>
  <c r="N21" i="141"/>
  <c r="O21" i="141"/>
  <c r="P21" i="141"/>
  <c r="Q21" i="141"/>
  <c r="R21" i="141"/>
  <c r="S21" i="141"/>
  <c r="T21" i="141"/>
  <c r="U21" i="141"/>
  <c r="W21" i="141"/>
  <c r="E22" i="141"/>
  <c r="F22" i="141"/>
  <c r="G22" i="141"/>
  <c r="H22" i="141"/>
  <c r="I22" i="141"/>
  <c r="J22" i="141"/>
  <c r="K22" i="141"/>
  <c r="L22" i="141"/>
  <c r="M22" i="141"/>
  <c r="N22" i="141"/>
  <c r="O22" i="141"/>
  <c r="P22" i="141"/>
  <c r="Q22" i="141"/>
  <c r="R22" i="141"/>
  <c r="S22" i="141"/>
  <c r="T22" i="141"/>
  <c r="U22" i="141"/>
  <c r="W22" i="141"/>
  <c r="E23" i="141"/>
  <c r="F23" i="141"/>
  <c r="G23" i="141"/>
  <c r="H23" i="141"/>
  <c r="I23" i="141"/>
  <c r="J23" i="141"/>
  <c r="K23" i="141"/>
  <c r="L23" i="141"/>
  <c r="M23" i="141"/>
  <c r="N23" i="141"/>
  <c r="O23" i="141"/>
  <c r="P23" i="141"/>
  <c r="Q23" i="141"/>
  <c r="R23" i="141"/>
  <c r="S23" i="141"/>
  <c r="T23" i="141"/>
  <c r="U23" i="141"/>
  <c r="W23" i="141"/>
  <c r="E24" i="141"/>
  <c r="F24" i="141"/>
  <c r="G24" i="141"/>
  <c r="H24" i="141"/>
  <c r="I24" i="141"/>
  <c r="J24" i="141"/>
  <c r="K24" i="141"/>
  <c r="L24" i="141"/>
  <c r="M24" i="141"/>
  <c r="N24" i="141"/>
  <c r="O24" i="141"/>
  <c r="P24" i="141"/>
  <c r="Q24" i="141"/>
  <c r="R24" i="141"/>
  <c r="S24" i="141"/>
  <c r="T24" i="141"/>
  <c r="U24" i="141"/>
  <c r="W24" i="141"/>
  <c r="E25" i="141"/>
  <c r="F25" i="141"/>
  <c r="G25" i="141"/>
  <c r="H25" i="141"/>
  <c r="I25" i="141"/>
  <c r="J25" i="141"/>
  <c r="K25" i="141"/>
  <c r="L25" i="141"/>
  <c r="M25" i="141"/>
  <c r="N25" i="141"/>
  <c r="O25" i="141"/>
  <c r="P25" i="141"/>
  <c r="Q25" i="141"/>
  <c r="R25" i="141"/>
  <c r="S25" i="141"/>
  <c r="T25" i="141"/>
  <c r="U25" i="141"/>
  <c r="W25" i="141"/>
  <c r="E26" i="141"/>
  <c r="F26" i="141"/>
  <c r="G26" i="141"/>
  <c r="H26" i="141"/>
  <c r="I26" i="141"/>
  <c r="J26" i="141"/>
  <c r="K26" i="141"/>
  <c r="L26" i="141"/>
  <c r="M26" i="141"/>
  <c r="N26" i="141"/>
  <c r="O26" i="141"/>
  <c r="P26" i="141"/>
  <c r="Q26" i="141"/>
  <c r="R26" i="141"/>
  <c r="S26" i="141"/>
  <c r="T26" i="141"/>
  <c r="U26" i="141"/>
  <c r="W26" i="141"/>
  <c r="E27" i="141"/>
  <c r="F27" i="141"/>
  <c r="G27" i="141"/>
  <c r="H27" i="141"/>
  <c r="I27" i="141"/>
  <c r="J27" i="141"/>
  <c r="K27" i="141"/>
  <c r="L27" i="141"/>
  <c r="M27" i="141"/>
  <c r="N27" i="141"/>
  <c r="O27" i="141"/>
  <c r="P27" i="141"/>
  <c r="Q27" i="141"/>
  <c r="R27" i="141"/>
  <c r="S27" i="141"/>
  <c r="T27" i="141"/>
  <c r="U27" i="141"/>
  <c r="W27" i="141"/>
  <c r="E28" i="141"/>
  <c r="F28" i="141"/>
  <c r="G28" i="141"/>
  <c r="H28" i="141"/>
  <c r="I28" i="141"/>
  <c r="J28" i="141"/>
  <c r="K28" i="141"/>
  <c r="L28" i="141"/>
  <c r="M28" i="141"/>
  <c r="N28" i="141"/>
  <c r="O28" i="141"/>
  <c r="P28" i="141"/>
  <c r="Q28" i="141"/>
  <c r="R28" i="141"/>
  <c r="S28" i="141"/>
  <c r="T28" i="141"/>
  <c r="U28" i="141"/>
  <c r="W28" i="141"/>
  <c r="E29" i="141"/>
  <c r="F29" i="141"/>
  <c r="G29" i="141"/>
  <c r="H29" i="141"/>
  <c r="I29" i="141"/>
  <c r="J29" i="141"/>
  <c r="K29" i="141"/>
  <c r="L29" i="141"/>
  <c r="M29" i="141"/>
  <c r="N29" i="141"/>
  <c r="O29" i="141"/>
  <c r="P29" i="141"/>
  <c r="Q29" i="141"/>
  <c r="R29" i="141"/>
  <c r="S29" i="141"/>
  <c r="T29" i="141"/>
  <c r="U29" i="141"/>
  <c r="W29" i="141"/>
  <c r="E30" i="141"/>
  <c r="F30" i="141"/>
  <c r="G30" i="141"/>
  <c r="H30" i="141"/>
  <c r="I30" i="141"/>
  <c r="J30" i="141"/>
  <c r="K30" i="141"/>
  <c r="L30" i="141"/>
  <c r="M30" i="141"/>
  <c r="N30" i="141"/>
  <c r="O30" i="141"/>
  <c r="P30" i="141"/>
  <c r="Q30" i="141"/>
  <c r="R30" i="141"/>
  <c r="S30" i="141"/>
  <c r="T30" i="141"/>
  <c r="U30" i="141"/>
  <c r="W30" i="141"/>
  <c r="X30" i="141" s="1"/>
  <c r="E31" i="141"/>
  <c r="F31" i="141"/>
  <c r="G31" i="141"/>
  <c r="H31" i="141"/>
  <c r="I31" i="141"/>
  <c r="J31" i="141"/>
  <c r="K31" i="141"/>
  <c r="L31" i="141"/>
  <c r="M31" i="141"/>
  <c r="N31" i="141"/>
  <c r="O31" i="141"/>
  <c r="P31" i="141"/>
  <c r="Q31" i="141"/>
  <c r="R31" i="141"/>
  <c r="S31" i="141"/>
  <c r="T31" i="141"/>
  <c r="U31" i="141"/>
  <c r="W31" i="141"/>
  <c r="E32" i="141"/>
  <c r="F32" i="141"/>
  <c r="G32" i="141"/>
  <c r="H32" i="141"/>
  <c r="I32" i="141"/>
  <c r="J32" i="141"/>
  <c r="K32" i="141"/>
  <c r="L32" i="141"/>
  <c r="M32" i="141"/>
  <c r="N32" i="141"/>
  <c r="O32" i="141"/>
  <c r="P32" i="141"/>
  <c r="Q32" i="141"/>
  <c r="R32" i="141"/>
  <c r="S32" i="141"/>
  <c r="T32" i="141"/>
  <c r="U32" i="141"/>
  <c r="W32" i="141"/>
  <c r="E33" i="141"/>
  <c r="F33" i="141"/>
  <c r="G33" i="141"/>
  <c r="H33" i="141"/>
  <c r="I33" i="141"/>
  <c r="J33" i="141"/>
  <c r="K33" i="141"/>
  <c r="L33" i="141"/>
  <c r="M33" i="141"/>
  <c r="N33" i="141"/>
  <c r="O33" i="141"/>
  <c r="P33" i="141"/>
  <c r="Q33" i="141"/>
  <c r="R33" i="141"/>
  <c r="S33" i="141"/>
  <c r="T33" i="141"/>
  <c r="U33" i="141"/>
  <c r="W33" i="141"/>
  <c r="E34" i="141"/>
  <c r="F34" i="141"/>
  <c r="G34" i="141"/>
  <c r="H34" i="141"/>
  <c r="I34" i="141"/>
  <c r="J34" i="141"/>
  <c r="K34" i="141"/>
  <c r="L34" i="141"/>
  <c r="M34" i="141"/>
  <c r="N34" i="141"/>
  <c r="O34" i="141"/>
  <c r="P34" i="141"/>
  <c r="Q34" i="141"/>
  <c r="R34" i="141"/>
  <c r="S34" i="141"/>
  <c r="T34" i="141"/>
  <c r="U34" i="141"/>
  <c r="W34" i="141"/>
  <c r="E35" i="141"/>
  <c r="F35" i="141"/>
  <c r="G35" i="141"/>
  <c r="H35" i="141"/>
  <c r="I35" i="141"/>
  <c r="J35" i="141"/>
  <c r="K35" i="141"/>
  <c r="L35" i="141"/>
  <c r="M35" i="141"/>
  <c r="N35" i="141"/>
  <c r="O35" i="141"/>
  <c r="P35" i="141"/>
  <c r="Q35" i="141"/>
  <c r="R35" i="141"/>
  <c r="S35" i="141"/>
  <c r="T35" i="141"/>
  <c r="U35" i="141"/>
  <c r="W35" i="141"/>
  <c r="E36" i="141"/>
  <c r="F36" i="141"/>
  <c r="G36" i="141"/>
  <c r="H36" i="141"/>
  <c r="I36" i="141"/>
  <c r="J36" i="141"/>
  <c r="K36" i="141"/>
  <c r="L36" i="141"/>
  <c r="M36" i="141"/>
  <c r="N36" i="141"/>
  <c r="O36" i="141"/>
  <c r="P36" i="141"/>
  <c r="Q36" i="141"/>
  <c r="R36" i="141"/>
  <c r="S36" i="141"/>
  <c r="T36" i="141"/>
  <c r="U36" i="141"/>
  <c r="W36" i="141"/>
  <c r="E37" i="141"/>
  <c r="F37" i="141"/>
  <c r="G37" i="141"/>
  <c r="H37" i="141"/>
  <c r="I37" i="141"/>
  <c r="J37" i="141"/>
  <c r="K37" i="141"/>
  <c r="L37" i="141"/>
  <c r="M37" i="141"/>
  <c r="N37" i="141"/>
  <c r="O37" i="141"/>
  <c r="P37" i="141"/>
  <c r="Q37" i="141"/>
  <c r="R37" i="141"/>
  <c r="S37" i="141"/>
  <c r="T37" i="141"/>
  <c r="U37" i="141"/>
  <c r="W37" i="141"/>
  <c r="E38" i="141"/>
  <c r="F38" i="141"/>
  <c r="G38" i="141"/>
  <c r="H38" i="141"/>
  <c r="I38" i="141"/>
  <c r="J38" i="141"/>
  <c r="K38" i="141"/>
  <c r="L38" i="141"/>
  <c r="M38" i="141"/>
  <c r="N38" i="141"/>
  <c r="O38" i="141"/>
  <c r="P38" i="141"/>
  <c r="Q38" i="141"/>
  <c r="R38" i="141"/>
  <c r="S38" i="141"/>
  <c r="T38" i="141"/>
  <c r="U38" i="141"/>
  <c r="W38" i="141"/>
  <c r="E39" i="141"/>
  <c r="F39" i="141"/>
  <c r="G39" i="141"/>
  <c r="H39" i="141"/>
  <c r="I39" i="141"/>
  <c r="J39" i="141"/>
  <c r="K39" i="141"/>
  <c r="L39" i="141"/>
  <c r="M39" i="141"/>
  <c r="N39" i="141"/>
  <c r="O39" i="141"/>
  <c r="P39" i="141"/>
  <c r="Q39" i="141"/>
  <c r="R39" i="141"/>
  <c r="S39" i="141"/>
  <c r="T39" i="141"/>
  <c r="U39" i="141"/>
  <c r="W39" i="141"/>
  <c r="X39" i="141" s="1"/>
  <c r="E40" i="141"/>
  <c r="F40" i="141"/>
  <c r="G40" i="141"/>
  <c r="H40" i="141"/>
  <c r="I40" i="141"/>
  <c r="J40" i="141"/>
  <c r="K40" i="141"/>
  <c r="L40" i="141"/>
  <c r="M40" i="141"/>
  <c r="N40" i="141"/>
  <c r="O40" i="141"/>
  <c r="P40" i="141"/>
  <c r="Q40" i="141"/>
  <c r="R40" i="141"/>
  <c r="S40" i="141"/>
  <c r="T40" i="141"/>
  <c r="U40" i="141"/>
  <c r="W40" i="141"/>
  <c r="E41" i="141"/>
  <c r="F41" i="141"/>
  <c r="G41" i="141"/>
  <c r="H41" i="141"/>
  <c r="I41" i="141"/>
  <c r="J41" i="141"/>
  <c r="K41" i="141"/>
  <c r="L41" i="141"/>
  <c r="M41" i="141"/>
  <c r="N41" i="141"/>
  <c r="O41" i="141"/>
  <c r="P41" i="141"/>
  <c r="Q41" i="141"/>
  <c r="R41" i="141"/>
  <c r="S41" i="141"/>
  <c r="T41" i="141"/>
  <c r="U41" i="141"/>
  <c r="W41" i="141"/>
  <c r="E42" i="141"/>
  <c r="F42" i="141"/>
  <c r="G42" i="141"/>
  <c r="H42" i="141"/>
  <c r="I42" i="141"/>
  <c r="J42" i="141"/>
  <c r="K42" i="141"/>
  <c r="L42" i="141"/>
  <c r="M42" i="141"/>
  <c r="N42" i="141"/>
  <c r="O42" i="141"/>
  <c r="P42" i="141"/>
  <c r="Q42" i="141"/>
  <c r="R42" i="141"/>
  <c r="S42" i="141"/>
  <c r="T42" i="141"/>
  <c r="U42" i="141"/>
  <c r="W42" i="141"/>
  <c r="E43" i="141"/>
  <c r="F43" i="141"/>
  <c r="G43" i="141"/>
  <c r="H43" i="141"/>
  <c r="I43" i="141"/>
  <c r="J43" i="141"/>
  <c r="K43" i="141"/>
  <c r="L43" i="141"/>
  <c r="M43" i="141"/>
  <c r="N43" i="141"/>
  <c r="O43" i="141"/>
  <c r="P43" i="141"/>
  <c r="Q43" i="141"/>
  <c r="R43" i="141"/>
  <c r="S43" i="141"/>
  <c r="T43" i="141"/>
  <c r="U43" i="141"/>
  <c r="W43" i="141"/>
  <c r="E44" i="141"/>
  <c r="F44" i="141"/>
  <c r="G44" i="141"/>
  <c r="H44" i="141"/>
  <c r="I44" i="141"/>
  <c r="J44" i="141"/>
  <c r="K44" i="141"/>
  <c r="L44" i="141"/>
  <c r="M44" i="141"/>
  <c r="N44" i="141"/>
  <c r="O44" i="141"/>
  <c r="P44" i="141"/>
  <c r="Q44" i="141"/>
  <c r="R44" i="141"/>
  <c r="S44" i="141"/>
  <c r="T44" i="141"/>
  <c r="U44" i="141"/>
  <c r="W44" i="141"/>
  <c r="E45" i="141"/>
  <c r="F45" i="141"/>
  <c r="G45" i="141"/>
  <c r="H45" i="141"/>
  <c r="I45" i="141"/>
  <c r="J45" i="141"/>
  <c r="K45" i="141"/>
  <c r="L45" i="141"/>
  <c r="M45" i="141"/>
  <c r="N45" i="141"/>
  <c r="O45" i="141"/>
  <c r="P45" i="141"/>
  <c r="Q45" i="141"/>
  <c r="R45" i="141"/>
  <c r="S45" i="141"/>
  <c r="T45" i="141"/>
  <c r="U45" i="141"/>
  <c r="W45" i="141"/>
  <c r="E46" i="141"/>
  <c r="F46" i="141"/>
  <c r="G46" i="141"/>
  <c r="H46" i="141"/>
  <c r="I46" i="141"/>
  <c r="J46" i="141"/>
  <c r="K46" i="141"/>
  <c r="L46" i="141"/>
  <c r="M46" i="141"/>
  <c r="N46" i="141"/>
  <c r="O46" i="141"/>
  <c r="P46" i="141"/>
  <c r="Q46" i="141"/>
  <c r="R46" i="141"/>
  <c r="S46" i="141"/>
  <c r="T46" i="141"/>
  <c r="U46" i="141"/>
  <c r="W46" i="141"/>
  <c r="E47" i="141"/>
  <c r="F47" i="141"/>
  <c r="G47" i="141"/>
  <c r="H47" i="141"/>
  <c r="I47" i="141"/>
  <c r="J47" i="141"/>
  <c r="K47" i="141"/>
  <c r="L47" i="141"/>
  <c r="M47" i="141"/>
  <c r="N47" i="141"/>
  <c r="O47" i="141"/>
  <c r="P47" i="141"/>
  <c r="Q47" i="141"/>
  <c r="R47" i="141"/>
  <c r="S47" i="141"/>
  <c r="T47" i="141"/>
  <c r="U47" i="141"/>
  <c r="W47" i="141"/>
  <c r="E48" i="141"/>
  <c r="F48" i="141"/>
  <c r="G48" i="141"/>
  <c r="H48" i="141"/>
  <c r="I48" i="141"/>
  <c r="J48" i="141"/>
  <c r="K48" i="141"/>
  <c r="L48" i="141"/>
  <c r="M48" i="141"/>
  <c r="N48" i="141"/>
  <c r="O48" i="141"/>
  <c r="P48" i="141"/>
  <c r="Q48" i="141"/>
  <c r="R48" i="141"/>
  <c r="S48" i="141"/>
  <c r="T48" i="141"/>
  <c r="U48" i="141"/>
  <c r="W48" i="141"/>
  <c r="E49" i="141"/>
  <c r="F49" i="141"/>
  <c r="G49" i="141"/>
  <c r="H49" i="141"/>
  <c r="I49" i="141"/>
  <c r="J49" i="141"/>
  <c r="K49" i="141"/>
  <c r="L49" i="141"/>
  <c r="M49" i="141"/>
  <c r="N49" i="141"/>
  <c r="O49" i="141"/>
  <c r="P49" i="141"/>
  <c r="Q49" i="141"/>
  <c r="R49" i="141"/>
  <c r="S49" i="141"/>
  <c r="T49" i="141"/>
  <c r="U49" i="141"/>
  <c r="W49" i="141"/>
  <c r="E50" i="141"/>
  <c r="F50" i="141"/>
  <c r="G50" i="141"/>
  <c r="H50" i="141"/>
  <c r="I50" i="141"/>
  <c r="J50" i="141"/>
  <c r="K50" i="141"/>
  <c r="L50" i="141"/>
  <c r="M50" i="141"/>
  <c r="N50" i="141"/>
  <c r="O50" i="141"/>
  <c r="P50" i="141"/>
  <c r="Q50" i="141"/>
  <c r="R50" i="141"/>
  <c r="S50" i="141"/>
  <c r="T50" i="141"/>
  <c r="U50" i="141"/>
  <c r="W50" i="141"/>
  <c r="E51" i="141"/>
  <c r="F51" i="141"/>
  <c r="G51" i="141"/>
  <c r="H51" i="141"/>
  <c r="I51" i="141"/>
  <c r="J51" i="141"/>
  <c r="K51" i="141"/>
  <c r="L51" i="141"/>
  <c r="M51" i="141"/>
  <c r="N51" i="141"/>
  <c r="O51" i="141"/>
  <c r="P51" i="141"/>
  <c r="Q51" i="141"/>
  <c r="R51" i="141"/>
  <c r="S51" i="141"/>
  <c r="T51" i="141"/>
  <c r="U51" i="141"/>
  <c r="W51" i="141"/>
  <c r="E52" i="141"/>
  <c r="F52" i="141"/>
  <c r="G52" i="141"/>
  <c r="H52" i="141"/>
  <c r="I52" i="141"/>
  <c r="J52" i="141"/>
  <c r="K52" i="141"/>
  <c r="L52" i="141"/>
  <c r="M52" i="141"/>
  <c r="N52" i="141"/>
  <c r="O52" i="141"/>
  <c r="P52" i="141"/>
  <c r="Q52" i="141"/>
  <c r="R52" i="141"/>
  <c r="S52" i="141"/>
  <c r="T52" i="141"/>
  <c r="U52" i="141"/>
  <c r="W52" i="141"/>
  <c r="E53" i="141"/>
  <c r="F53" i="141"/>
  <c r="G53" i="141"/>
  <c r="H53" i="141"/>
  <c r="I53" i="141"/>
  <c r="J53" i="141"/>
  <c r="K53" i="141"/>
  <c r="L53" i="141"/>
  <c r="M53" i="141"/>
  <c r="N53" i="141"/>
  <c r="O53" i="141"/>
  <c r="P53" i="141"/>
  <c r="Q53" i="141"/>
  <c r="R53" i="141"/>
  <c r="S53" i="141"/>
  <c r="T53" i="141"/>
  <c r="U53" i="141"/>
  <c r="W53" i="141"/>
  <c r="E54" i="141"/>
  <c r="F54" i="141"/>
  <c r="G54" i="141"/>
  <c r="H54" i="141"/>
  <c r="I54" i="141"/>
  <c r="J54" i="141"/>
  <c r="K54" i="141"/>
  <c r="L54" i="141"/>
  <c r="M54" i="141"/>
  <c r="N54" i="141"/>
  <c r="O54" i="141"/>
  <c r="P54" i="141"/>
  <c r="Q54" i="141"/>
  <c r="R54" i="141"/>
  <c r="S54" i="141"/>
  <c r="T54" i="141"/>
  <c r="U54" i="141"/>
  <c r="W54" i="141"/>
  <c r="E55" i="141"/>
  <c r="F55" i="141"/>
  <c r="G55" i="141"/>
  <c r="H55" i="141"/>
  <c r="I55" i="141"/>
  <c r="J55" i="141"/>
  <c r="K55" i="141"/>
  <c r="L55" i="141"/>
  <c r="M55" i="141"/>
  <c r="N55" i="141"/>
  <c r="O55" i="141"/>
  <c r="P55" i="141"/>
  <c r="Q55" i="141"/>
  <c r="R55" i="141"/>
  <c r="S55" i="141"/>
  <c r="T55" i="141"/>
  <c r="U55" i="141"/>
  <c r="W55" i="141"/>
  <c r="E56" i="141"/>
  <c r="F56" i="141"/>
  <c r="G56" i="141"/>
  <c r="H56" i="141"/>
  <c r="I56" i="141"/>
  <c r="J56" i="141"/>
  <c r="K56" i="141"/>
  <c r="L56" i="141"/>
  <c r="M56" i="141"/>
  <c r="N56" i="141"/>
  <c r="O56" i="141"/>
  <c r="P56" i="141"/>
  <c r="Q56" i="141"/>
  <c r="R56" i="141"/>
  <c r="S56" i="141"/>
  <c r="T56" i="141"/>
  <c r="U56" i="141"/>
  <c r="W56" i="141"/>
  <c r="E57" i="141"/>
  <c r="F57" i="141"/>
  <c r="G57" i="141"/>
  <c r="H57" i="141"/>
  <c r="I57" i="141"/>
  <c r="J57" i="141"/>
  <c r="K57" i="141"/>
  <c r="L57" i="141"/>
  <c r="M57" i="141"/>
  <c r="N57" i="141"/>
  <c r="O57" i="141"/>
  <c r="P57" i="141"/>
  <c r="Q57" i="141"/>
  <c r="R57" i="141"/>
  <c r="S57" i="141"/>
  <c r="T57" i="141"/>
  <c r="U57" i="141"/>
  <c r="W57" i="141"/>
  <c r="X57" i="141" s="1"/>
  <c r="E58" i="141"/>
  <c r="F58" i="141"/>
  <c r="G58" i="141"/>
  <c r="H58" i="141"/>
  <c r="I58" i="141"/>
  <c r="J58" i="141"/>
  <c r="K58" i="141"/>
  <c r="L58" i="141"/>
  <c r="M58" i="141"/>
  <c r="N58" i="141"/>
  <c r="O58" i="141"/>
  <c r="P58" i="141"/>
  <c r="Q58" i="141"/>
  <c r="R58" i="141"/>
  <c r="S58" i="141"/>
  <c r="T58" i="141"/>
  <c r="U58" i="141"/>
  <c r="W58" i="141"/>
  <c r="E59" i="141"/>
  <c r="F59" i="141"/>
  <c r="G59" i="141"/>
  <c r="H59" i="141"/>
  <c r="I59" i="141"/>
  <c r="J59" i="141"/>
  <c r="K59" i="141"/>
  <c r="L59" i="141"/>
  <c r="M59" i="141"/>
  <c r="N59" i="141"/>
  <c r="O59" i="141"/>
  <c r="P59" i="141"/>
  <c r="Q59" i="141"/>
  <c r="R59" i="141"/>
  <c r="S59" i="141"/>
  <c r="T59" i="141"/>
  <c r="U59" i="141"/>
  <c r="W59" i="141"/>
  <c r="E60" i="141"/>
  <c r="F60" i="141"/>
  <c r="G60" i="141"/>
  <c r="H60" i="141"/>
  <c r="I60" i="141"/>
  <c r="J60" i="141"/>
  <c r="K60" i="141"/>
  <c r="L60" i="141"/>
  <c r="M60" i="141"/>
  <c r="N60" i="141"/>
  <c r="O60" i="141"/>
  <c r="P60" i="141"/>
  <c r="Q60" i="141"/>
  <c r="R60" i="141"/>
  <c r="S60" i="141"/>
  <c r="T60" i="141"/>
  <c r="U60" i="141"/>
  <c r="W60" i="141"/>
  <c r="E61" i="141"/>
  <c r="F61" i="141"/>
  <c r="G61" i="141"/>
  <c r="H61" i="141"/>
  <c r="I61" i="141"/>
  <c r="J61" i="141"/>
  <c r="K61" i="141"/>
  <c r="L61" i="141"/>
  <c r="M61" i="141"/>
  <c r="N61" i="141"/>
  <c r="O61" i="141"/>
  <c r="P61" i="141"/>
  <c r="Q61" i="141"/>
  <c r="R61" i="141"/>
  <c r="S61" i="141"/>
  <c r="T61" i="141"/>
  <c r="U61" i="141"/>
  <c r="W61" i="141"/>
  <c r="E62" i="141"/>
  <c r="F62" i="141"/>
  <c r="G62" i="141"/>
  <c r="H62" i="141"/>
  <c r="I62" i="141"/>
  <c r="J62" i="141"/>
  <c r="K62" i="141"/>
  <c r="L62" i="141"/>
  <c r="M62" i="141"/>
  <c r="N62" i="141"/>
  <c r="O62" i="141"/>
  <c r="P62" i="141"/>
  <c r="Q62" i="141"/>
  <c r="R62" i="141"/>
  <c r="S62" i="141"/>
  <c r="T62" i="141"/>
  <c r="U62" i="141"/>
  <c r="W62" i="141"/>
  <c r="E63" i="141"/>
  <c r="F63" i="141"/>
  <c r="G63" i="141"/>
  <c r="H63" i="141"/>
  <c r="I63" i="141"/>
  <c r="J63" i="141"/>
  <c r="K63" i="141"/>
  <c r="L63" i="141"/>
  <c r="M63" i="141"/>
  <c r="N63" i="141"/>
  <c r="O63" i="141"/>
  <c r="P63" i="141"/>
  <c r="Q63" i="141"/>
  <c r="R63" i="141"/>
  <c r="S63" i="141"/>
  <c r="T63" i="141"/>
  <c r="U63" i="141"/>
  <c r="W63" i="141"/>
  <c r="E64" i="141"/>
  <c r="F64" i="141"/>
  <c r="G64" i="141"/>
  <c r="H64" i="141"/>
  <c r="I64" i="141"/>
  <c r="J64" i="141"/>
  <c r="K64" i="141"/>
  <c r="L64" i="141"/>
  <c r="M64" i="141"/>
  <c r="N64" i="141"/>
  <c r="O64" i="141"/>
  <c r="P64" i="141"/>
  <c r="Q64" i="141"/>
  <c r="R64" i="141"/>
  <c r="S64" i="141"/>
  <c r="T64" i="141"/>
  <c r="U64" i="141"/>
  <c r="W64" i="141"/>
  <c r="E65" i="141"/>
  <c r="F65" i="141"/>
  <c r="G65" i="141"/>
  <c r="H65" i="141"/>
  <c r="I65" i="141"/>
  <c r="J65" i="141"/>
  <c r="K65" i="141"/>
  <c r="L65" i="141"/>
  <c r="M65" i="141"/>
  <c r="N65" i="141"/>
  <c r="O65" i="141"/>
  <c r="P65" i="141"/>
  <c r="Q65" i="141"/>
  <c r="R65" i="141"/>
  <c r="S65" i="141"/>
  <c r="T65" i="141"/>
  <c r="U65" i="141"/>
  <c r="W65" i="141"/>
  <c r="E66" i="141"/>
  <c r="F66" i="141"/>
  <c r="G66" i="141"/>
  <c r="H66" i="141"/>
  <c r="I66" i="141"/>
  <c r="J66" i="141"/>
  <c r="K66" i="141"/>
  <c r="L66" i="141"/>
  <c r="M66" i="141"/>
  <c r="N66" i="141"/>
  <c r="O66" i="141"/>
  <c r="P66" i="141"/>
  <c r="Q66" i="141"/>
  <c r="R66" i="141"/>
  <c r="S66" i="141"/>
  <c r="T66" i="141"/>
  <c r="U66" i="141"/>
  <c r="W66" i="141"/>
  <c r="X66" i="141" s="1"/>
  <c r="E67" i="141"/>
  <c r="F67" i="141"/>
  <c r="G67" i="141"/>
  <c r="H67" i="141"/>
  <c r="I67" i="141"/>
  <c r="J67" i="141"/>
  <c r="K67" i="141"/>
  <c r="L67" i="141"/>
  <c r="M67" i="141"/>
  <c r="N67" i="141"/>
  <c r="O67" i="141"/>
  <c r="P67" i="141"/>
  <c r="Q67" i="141"/>
  <c r="R67" i="141"/>
  <c r="S67" i="141"/>
  <c r="T67" i="141"/>
  <c r="U67" i="141"/>
  <c r="W67" i="141"/>
  <c r="E68" i="141"/>
  <c r="F68" i="141"/>
  <c r="G68" i="141"/>
  <c r="H68" i="141"/>
  <c r="I68" i="141"/>
  <c r="J68" i="141"/>
  <c r="K68" i="141"/>
  <c r="L68" i="141"/>
  <c r="M68" i="141"/>
  <c r="N68" i="141"/>
  <c r="O68" i="141"/>
  <c r="P68" i="141"/>
  <c r="Q68" i="141"/>
  <c r="R68" i="141"/>
  <c r="S68" i="141"/>
  <c r="T68" i="141"/>
  <c r="U68" i="141"/>
  <c r="W68" i="141"/>
  <c r="E69" i="141"/>
  <c r="F69" i="141"/>
  <c r="G69" i="141"/>
  <c r="H69" i="141"/>
  <c r="I69" i="141"/>
  <c r="J69" i="141"/>
  <c r="K69" i="141"/>
  <c r="L69" i="141"/>
  <c r="M69" i="141"/>
  <c r="N69" i="141"/>
  <c r="O69" i="141"/>
  <c r="P69" i="141"/>
  <c r="Q69" i="141"/>
  <c r="R69" i="141"/>
  <c r="S69" i="141"/>
  <c r="T69" i="141"/>
  <c r="U69" i="141"/>
  <c r="W69" i="141"/>
  <c r="E70" i="141"/>
  <c r="F70" i="141"/>
  <c r="G70" i="141"/>
  <c r="H70" i="141"/>
  <c r="I70" i="141"/>
  <c r="J70" i="141"/>
  <c r="K70" i="141"/>
  <c r="L70" i="141"/>
  <c r="M70" i="141"/>
  <c r="N70" i="141"/>
  <c r="O70" i="141"/>
  <c r="P70" i="141"/>
  <c r="Q70" i="141"/>
  <c r="R70" i="141"/>
  <c r="S70" i="141"/>
  <c r="T70" i="141"/>
  <c r="U70" i="141"/>
  <c r="W70" i="141"/>
  <c r="E71" i="141"/>
  <c r="F71" i="141"/>
  <c r="G71" i="141"/>
  <c r="H71" i="141"/>
  <c r="I71" i="141"/>
  <c r="J71" i="141"/>
  <c r="K71" i="141"/>
  <c r="L71" i="141"/>
  <c r="M71" i="141"/>
  <c r="N71" i="141"/>
  <c r="O71" i="141"/>
  <c r="P71" i="141"/>
  <c r="Q71" i="141"/>
  <c r="R71" i="141"/>
  <c r="S71" i="141"/>
  <c r="T71" i="141"/>
  <c r="U71" i="141"/>
  <c r="W71" i="141"/>
  <c r="E72" i="141"/>
  <c r="F72" i="141"/>
  <c r="G72" i="141"/>
  <c r="H72" i="141"/>
  <c r="I72" i="141"/>
  <c r="J72" i="141"/>
  <c r="K72" i="141"/>
  <c r="L72" i="141"/>
  <c r="M72" i="141"/>
  <c r="N72" i="141"/>
  <c r="O72" i="141"/>
  <c r="P72" i="141"/>
  <c r="Q72" i="141"/>
  <c r="R72" i="141"/>
  <c r="S72" i="141"/>
  <c r="T72" i="141"/>
  <c r="U72" i="141"/>
  <c r="W72" i="141"/>
  <c r="E73" i="141"/>
  <c r="F73" i="141"/>
  <c r="G73" i="141"/>
  <c r="H73" i="141"/>
  <c r="I73" i="141"/>
  <c r="J73" i="141"/>
  <c r="K73" i="141"/>
  <c r="L73" i="141"/>
  <c r="M73" i="141"/>
  <c r="N73" i="141"/>
  <c r="O73" i="141"/>
  <c r="P73" i="141"/>
  <c r="Q73" i="141"/>
  <c r="R73" i="141"/>
  <c r="S73" i="141"/>
  <c r="T73" i="141"/>
  <c r="U73" i="141"/>
  <c r="W73" i="141"/>
  <c r="E74" i="141"/>
  <c r="F74" i="141"/>
  <c r="G74" i="141"/>
  <c r="H74" i="141"/>
  <c r="I74" i="141"/>
  <c r="J74" i="141"/>
  <c r="K74" i="141"/>
  <c r="L74" i="141"/>
  <c r="M74" i="141"/>
  <c r="N74" i="141"/>
  <c r="O74" i="141"/>
  <c r="P74" i="141"/>
  <c r="Q74" i="141"/>
  <c r="R74" i="141"/>
  <c r="S74" i="141"/>
  <c r="T74" i="141"/>
  <c r="U74" i="141"/>
  <c r="W74" i="141"/>
  <c r="E75" i="141"/>
  <c r="F75" i="141"/>
  <c r="G75" i="141"/>
  <c r="H75" i="141"/>
  <c r="I75" i="141"/>
  <c r="J75" i="141"/>
  <c r="K75" i="141"/>
  <c r="L75" i="141"/>
  <c r="M75" i="141"/>
  <c r="N75" i="141"/>
  <c r="O75" i="141"/>
  <c r="P75" i="141"/>
  <c r="Q75" i="141"/>
  <c r="R75" i="141"/>
  <c r="S75" i="141"/>
  <c r="T75" i="141"/>
  <c r="U75" i="141"/>
  <c r="W75" i="141"/>
  <c r="X75" i="141" s="1"/>
  <c r="E76" i="141"/>
  <c r="F76" i="141"/>
  <c r="G76" i="141"/>
  <c r="H76" i="141"/>
  <c r="I76" i="141"/>
  <c r="J76" i="141"/>
  <c r="K76" i="141"/>
  <c r="L76" i="141"/>
  <c r="M76" i="141"/>
  <c r="N76" i="141"/>
  <c r="O76" i="141"/>
  <c r="P76" i="141"/>
  <c r="Q76" i="141"/>
  <c r="R76" i="141"/>
  <c r="S76" i="141"/>
  <c r="T76" i="141"/>
  <c r="U76" i="141"/>
  <c r="W76" i="141"/>
  <c r="E77" i="141"/>
  <c r="F77" i="141"/>
  <c r="G77" i="141"/>
  <c r="H77" i="141"/>
  <c r="I77" i="141"/>
  <c r="J77" i="141"/>
  <c r="K77" i="141"/>
  <c r="L77" i="141"/>
  <c r="M77" i="141"/>
  <c r="N77" i="141"/>
  <c r="O77" i="141"/>
  <c r="P77" i="141"/>
  <c r="Q77" i="141"/>
  <c r="R77" i="141"/>
  <c r="S77" i="141"/>
  <c r="T77" i="141"/>
  <c r="U77" i="141"/>
  <c r="W77" i="141"/>
  <c r="E78" i="141"/>
  <c r="F78" i="141"/>
  <c r="G78" i="141"/>
  <c r="H78" i="141"/>
  <c r="I78" i="141"/>
  <c r="J78" i="141"/>
  <c r="K78" i="141"/>
  <c r="L78" i="141"/>
  <c r="M78" i="141"/>
  <c r="N78" i="141"/>
  <c r="O78" i="141"/>
  <c r="P78" i="141"/>
  <c r="Q78" i="141"/>
  <c r="R78" i="141"/>
  <c r="S78" i="141"/>
  <c r="T78" i="141"/>
  <c r="U78" i="141"/>
  <c r="W78" i="141"/>
  <c r="E79" i="141"/>
  <c r="F79" i="141"/>
  <c r="G79" i="141"/>
  <c r="H79" i="141"/>
  <c r="I79" i="141"/>
  <c r="J79" i="141"/>
  <c r="K79" i="141"/>
  <c r="L79" i="141"/>
  <c r="M79" i="141"/>
  <c r="N79" i="141"/>
  <c r="O79" i="141"/>
  <c r="P79" i="141"/>
  <c r="Q79" i="141"/>
  <c r="R79" i="141"/>
  <c r="S79" i="141"/>
  <c r="T79" i="141"/>
  <c r="U79" i="141"/>
  <c r="W79" i="141"/>
  <c r="E80" i="141"/>
  <c r="F80" i="141"/>
  <c r="G80" i="141"/>
  <c r="H80" i="141"/>
  <c r="I80" i="141"/>
  <c r="J80" i="141"/>
  <c r="K80" i="141"/>
  <c r="L80" i="141"/>
  <c r="M80" i="141"/>
  <c r="N80" i="141"/>
  <c r="O80" i="141"/>
  <c r="P80" i="141"/>
  <c r="Q80" i="141"/>
  <c r="R80" i="141"/>
  <c r="S80" i="141"/>
  <c r="T80" i="141"/>
  <c r="U80" i="141"/>
  <c r="W80" i="141"/>
  <c r="E81" i="141"/>
  <c r="F81" i="141"/>
  <c r="G81" i="141"/>
  <c r="H81" i="141"/>
  <c r="I81" i="141"/>
  <c r="J81" i="141"/>
  <c r="K81" i="141"/>
  <c r="L81" i="141"/>
  <c r="M81" i="141"/>
  <c r="N81" i="141"/>
  <c r="O81" i="141"/>
  <c r="P81" i="141"/>
  <c r="Q81" i="141"/>
  <c r="R81" i="141"/>
  <c r="S81" i="141"/>
  <c r="T81" i="141"/>
  <c r="U81" i="141"/>
  <c r="W81" i="141"/>
  <c r="E82" i="141"/>
  <c r="F82" i="141"/>
  <c r="G82" i="141"/>
  <c r="H82" i="141"/>
  <c r="I82" i="141"/>
  <c r="J82" i="141"/>
  <c r="K82" i="141"/>
  <c r="L82" i="141"/>
  <c r="M82" i="141"/>
  <c r="N82" i="141"/>
  <c r="O82" i="141"/>
  <c r="P82" i="141"/>
  <c r="Q82" i="141"/>
  <c r="R82" i="141"/>
  <c r="S82" i="141"/>
  <c r="T82" i="141"/>
  <c r="U82" i="141"/>
  <c r="W82" i="141"/>
  <c r="E83" i="141"/>
  <c r="F83" i="141"/>
  <c r="G83" i="141"/>
  <c r="H83" i="141"/>
  <c r="I83" i="141"/>
  <c r="J83" i="141"/>
  <c r="K83" i="141"/>
  <c r="L83" i="141"/>
  <c r="M83" i="141"/>
  <c r="N83" i="141"/>
  <c r="O83" i="141"/>
  <c r="P83" i="141"/>
  <c r="Q83" i="141"/>
  <c r="R83" i="141"/>
  <c r="S83" i="141"/>
  <c r="T83" i="141"/>
  <c r="U83" i="141"/>
  <c r="W83" i="141"/>
  <c r="E84" i="141"/>
  <c r="F84" i="141"/>
  <c r="G84" i="141"/>
  <c r="H84" i="141"/>
  <c r="I84" i="141"/>
  <c r="J84" i="141"/>
  <c r="K84" i="141"/>
  <c r="L84" i="141"/>
  <c r="M84" i="141"/>
  <c r="N84" i="141"/>
  <c r="O84" i="141"/>
  <c r="P84" i="141"/>
  <c r="Q84" i="141"/>
  <c r="R84" i="141"/>
  <c r="S84" i="141"/>
  <c r="T84" i="141"/>
  <c r="U84" i="141"/>
  <c r="W84" i="141"/>
  <c r="E85" i="141"/>
  <c r="F85" i="141"/>
  <c r="G85" i="141"/>
  <c r="H85" i="141"/>
  <c r="I85" i="141"/>
  <c r="J85" i="141"/>
  <c r="K85" i="141"/>
  <c r="L85" i="141"/>
  <c r="M85" i="141"/>
  <c r="N85" i="141"/>
  <c r="O85" i="141"/>
  <c r="P85" i="141"/>
  <c r="Q85" i="141"/>
  <c r="R85" i="141"/>
  <c r="S85" i="141"/>
  <c r="T85" i="141"/>
  <c r="U85" i="141"/>
  <c r="W85" i="141"/>
  <c r="E86" i="141"/>
  <c r="F86" i="141"/>
  <c r="G86" i="141"/>
  <c r="H86" i="141"/>
  <c r="I86" i="141"/>
  <c r="J86" i="141"/>
  <c r="K86" i="141"/>
  <c r="L86" i="141"/>
  <c r="M86" i="141"/>
  <c r="N86" i="141"/>
  <c r="O86" i="141"/>
  <c r="P86" i="141"/>
  <c r="Q86" i="141"/>
  <c r="R86" i="141"/>
  <c r="S86" i="141"/>
  <c r="T86" i="141"/>
  <c r="U86" i="141"/>
  <c r="W86" i="141"/>
  <c r="E87" i="141"/>
  <c r="F87" i="141"/>
  <c r="G87" i="141"/>
  <c r="H87" i="141"/>
  <c r="I87" i="141"/>
  <c r="J87" i="141"/>
  <c r="K87" i="141"/>
  <c r="L87" i="141"/>
  <c r="N87" i="141"/>
  <c r="O87" i="141"/>
  <c r="P87" i="141"/>
  <c r="Q87" i="141"/>
  <c r="R87" i="141"/>
  <c r="S87" i="141"/>
  <c r="T87" i="141"/>
  <c r="U87" i="141"/>
  <c r="W87" i="141"/>
  <c r="E88" i="141"/>
  <c r="F88" i="141"/>
  <c r="G88" i="141"/>
  <c r="H88" i="141"/>
  <c r="I88" i="141"/>
  <c r="J88" i="141"/>
  <c r="K88" i="141"/>
  <c r="L88" i="141"/>
  <c r="M88" i="141"/>
  <c r="N88" i="141"/>
  <c r="O88" i="141"/>
  <c r="P88" i="141"/>
  <c r="Q88" i="141"/>
  <c r="R88" i="141"/>
  <c r="S88" i="141"/>
  <c r="T88" i="141"/>
  <c r="U88" i="141"/>
  <c r="W88" i="141"/>
  <c r="E89" i="141"/>
  <c r="F89" i="141"/>
  <c r="G89" i="141"/>
  <c r="H89" i="141"/>
  <c r="I89" i="141"/>
  <c r="J89" i="141"/>
  <c r="K89" i="141"/>
  <c r="L89" i="141"/>
  <c r="M89" i="141"/>
  <c r="N89" i="141"/>
  <c r="O89" i="141"/>
  <c r="P89" i="141"/>
  <c r="Q89" i="141"/>
  <c r="R89" i="141"/>
  <c r="S89" i="141"/>
  <c r="T89" i="141"/>
  <c r="U89" i="141"/>
  <c r="W89" i="141"/>
  <c r="E90" i="141"/>
  <c r="F90" i="141"/>
  <c r="G90" i="141"/>
  <c r="H90" i="141"/>
  <c r="I90" i="141"/>
  <c r="J90" i="141"/>
  <c r="K90" i="141"/>
  <c r="L90" i="141"/>
  <c r="M90" i="141"/>
  <c r="N90" i="141"/>
  <c r="O90" i="141"/>
  <c r="P90" i="141"/>
  <c r="Q90" i="141"/>
  <c r="R90" i="141"/>
  <c r="S90" i="141"/>
  <c r="T90" i="141"/>
  <c r="U90" i="141"/>
  <c r="W90" i="141"/>
  <c r="E91" i="141"/>
  <c r="F91" i="141"/>
  <c r="G91" i="141"/>
  <c r="H91" i="141"/>
  <c r="I91" i="141"/>
  <c r="J91" i="141"/>
  <c r="K91" i="141"/>
  <c r="L91" i="141"/>
  <c r="M91" i="141"/>
  <c r="N91" i="141"/>
  <c r="O91" i="141"/>
  <c r="P91" i="141"/>
  <c r="Q91" i="141"/>
  <c r="R91" i="141"/>
  <c r="S91" i="141"/>
  <c r="T91" i="141"/>
  <c r="U91" i="141"/>
  <c r="W91" i="141"/>
  <c r="E92" i="141"/>
  <c r="F92" i="141"/>
  <c r="G92" i="141"/>
  <c r="H92" i="141"/>
  <c r="I92" i="141"/>
  <c r="J92" i="141"/>
  <c r="K92" i="141"/>
  <c r="L92" i="141"/>
  <c r="M92" i="141"/>
  <c r="N92" i="141"/>
  <c r="O92" i="141"/>
  <c r="P92" i="141"/>
  <c r="Q92" i="141"/>
  <c r="R92" i="141"/>
  <c r="S92" i="141"/>
  <c r="T92" i="141"/>
  <c r="U92" i="141"/>
  <c r="W92" i="141"/>
  <c r="E93" i="141"/>
  <c r="F93" i="141"/>
  <c r="G93" i="141"/>
  <c r="H93" i="141"/>
  <c r="I93" i="141"/>
  <c r="J93" i="141"/>
  <c r="K93" i="141"/>
  <c r="L93" i="141"/>
  <c r="M93" i="141"/>
  <c r="N93" i="141"/>
  <c r="O93" i="141"/>
  <c r="P93" i="141"/>
  <c r="Q93" i="141"/>
  <c r="R93" i="141"/>
  <c r="S93" i="141"/>
  <c r="T93" i="141"/>
  <c r="U93" i="141"/>
  <c r="W93" i="141"/>
  <c r="X93" i="141" s="1"/>
  <c r="E94" i="141"/>
  <c r="F94" i="141"/>
  <c r="G94" i="141"/>
  <c r="H94" i="141"/>
  <c r="I94" i="141"/>
  <c r="J94" i="141"/>
  <c r="K94" i="141"/>
  <c r="L94" i="141"/>
  <c r="M94" i="141"/>
  <c r="N94" i="141"/>
  <c r="O94" i="141"/>
  <c r="P94" i="141"/>
  <c r="Q94" i="141"/>
  <c r="R94" i="141"/>
  <c r="S94" i="141"/>
  <c r="T94" i="141"/>
  <c r="U94" i="141"/>
  <c r="W94" i="141"/>
  <c r="E95" i="141"/>
  <c r="F95" i="141"/>
  <c r="G95" i="141"/>
  <c r="H95" i="141"/>
  <c r="I95" i="141"/>
  <c r="J95" i="141"/>
  <c r="K95" i="141"/>
  <c r="L95" i="141"/>
  <c r="M95" i="141"/>
  <c r="N95" i="141"/>
  <c r="O95" i="141"/>
  <c r="P95" i="141"/>
  <c r="Q95" i="141"/>
  <c r="R95" i="141"/>
  <c r="S95" i="141"/>
  <c r="T95" i="141"/>
  <c r="U95" i="141"/>
  <c r="W95" i="141"/>
  <c r="E96" i="141"/>
  <c r="F96" i="141"/>
  <c r="G96" i="141"/>
  <c r="H96" i="141"/>
  <c r="I96" i="141"/>
  <c r="J96" i="141"/>
  <c r="K96" i="141"/>
  <c r="L96" i="141"/>
  <c r="M96" i="141"/>
  <c r="N96" i="141"/>
  <c r="O96" i="141"/>
  <c r="P96" i="141"/>
  <c r="Q96" i="141"/>
  <c r="R96" i="141"/>
  <c r="S96" i="141"/>
  <c r="T96" i="141"/>
  <c r="U96" i="141"/>
  <c r="W96" i="141"/>
  <c r="E97" i="141"/>
  <c r="F97" i="141"/>
  <c r="G97" i="141"/>
  <c r="H97" i="141"/>
  <c r="I97" i="141"/>
  <c r="J97" i="141"/>
  <c r="K97" i="141"/>
  <c r="L97" i="141"/>
  <c r="M97" i="141"/>
  <c r="N97" i="141"/>
  <c r="O97" i="141"/>
  <c r="P97" i="141"/>
  <c r="Q97" i="141"/>
  <c r="R97" i="141"/>
  <c r="S97" i="141"/>
  <c r="T97" i="141"/>
  <c r="U97" i="141"/>
  <c r="W97" i="141"/>
  <c r="E98" i="141"/>
  <c r="F98" i="141"/>
  <c r="G98" i="141"/>
  <c r="H98" i="141"/>
  <c r="I98" i="141"/>
  <c r="J98" i="141"/>
  <c r="K98" i="141"/>
  <c r="L98" i="141"/>
  <c r="M98" i="141"/>
  <c r="N98" i="141"/>
  <c r="O98" i="141"/>
  <c r="P98" i="141"/>
  <c r="Q98" i="141"/>
  <c r="R98" i="141"/>
  <c r="S98" i="141"/>
  <c r="T98" i="141"/>
  <c r="U98" i="141"/>
  <c r="W98" i="141"/>
  <c r="E99" i="141"/>
  <c r="F99" i="141"/>
  <c r="G99" i="141"/>
  <c r="H99" i="141"/>
  <c r="I99" i="141"/>
  <c r="J99" i="141"/>
  <c r="K99" i="141"/>
  <c r="L99" i="141"/>
  <c r="M99" i="141"/>
  <c r="N99" i="141"/>
  <c r="O99" i="141"/>
  <c r="P99" i="141"/>
  <c r="Q99" i="141"/>
  <c r="R99" i="141"/>
  <c r="S99" i="141"/>
  <c r="T99" i="141"/>
  <c r="U99" i="141"/>
  <c r="W99" i="141"/>
  <c r="E100" i="141"/>
  <c r="F100" i="141"/>
  <c r="G100" i="141"/>
  <c r="H100" i="141"/>
  <c r="I100" i="141"/>
  <c r="J100" i="141"/>
  <c r="K100" i="141"/>
  <c r="L100" i="141"/>
  <c r="M100" i="141"/>
  <c r="N100" i="141"/>
  <c r="O100" i="141"/>
  <c r="P100" i="141"/>
  <c r="Q100" i="141"/>
  <c r="R100" i="141"/>
  <c r="S100" i="141"/>
  <c r="T100" i="141"/>
  <c r="U100" i="141"/>
  <c r="W100" i="141"/>
  <c r="E101" i="141"/>
  <c r="F101" i="141"/>
  <c r="G101" i="141"/>
  <c r="H101" i="141"/>
  <c r="I101" i="141"/>
  <c r="J101" i="141"/>
  <c r="K101" i="141"/>
  <c r="L101" i="141"/>
  <c r="M101" i="141"/>
  <c r="N101" i="141"/>
  <c r="O101" i="141"/>
  <c r="P101" i="141"/>
  <c r="Q101" i="141"/>
  <c r="R101" i="141"/>
  <c r="S101" i="141"/>
  <c r="T101" i="141"/>
  <c r="U101" i="141"/>
  <c r="W101" i="141"/>
  <c r="E102" i="141"/>
  <c r="F102" i="141"/>
  <c r="G102" i="141"/>
  <c r="H102" i="141"/>
  <c r="I102" i="141"/>
  <c r="J102" i="141"/>
  <c r="K102" i="141"/>
  <c r="L102" i="141"/>
  <c r="M102" i="141"/>
  <c r="N102" i="141"/>
  <c r="O102" i="141"/>
  <c r="P102" i="141"/>
  <c r="Q102" i="141"/>
  <c r="R102" i="141"/>
  <c r="S102" i="141"/>
  <c r="T102" i="141"/>
  <c r="U102" i="141"/>
  <c r="W102" i="141"/>
  <c r="E103" i="141"/>
  <c r="F103" i="141"/>
  <c r="G103" i="141"/>
  <c r="H103" i="141"/>
  <c r="I103" i="141"/>
  <c r="J103" i="141"/>
  <c r="K103" i="141"/>
  <c r="L103" i="141"/>
  <c r="M103" i="141"/>
  <c r="N103" i="141"/>
  <c r="O103" i="141"/>
  <c r="P103" i="141"/>
  <c r="Q103" i="141"/>
  <c r="R103" i="141"/>
  <c r="S103" i="141"/>
  <c r="T103" i="141"/>
  <c r="U103" i="141"/>
  <c r="W103" i="141"/>
  <c r="E104" i="141"/>
  <c r="F104" i="141"/>
  <c r="G104" i="141"/>
  <c r="H104" i="141"/>
  <c r="I104" i="141"/>
  <c r="J104" i="141"/>
  <c r="K104" i="141"/>
  <c r="L104" i="141"/>
  <c r="M104" i="141"/>
  <c r="N104" i="141"/>
  <c r="O104" i="141"/>
  <c r="P104" i="141"/>
  <c r="Q104" i="141"/>
  <c r="R104" i="141"/>
  <c r="S104" i="141"/>
  <c r="T104" i="141"/>
  <c r="U104" i="141"/>
  <c r="W104" i="141"/>
  <c r="E105" i="141"/>
  <c r="F105" i="141"/>
  <c r="G105" i="141"/>
  <c r="H105" i="141"/>
  <c r="I105" i="141"/>
  <c r="J105" i="141"/>
  <c r="K105" i="141"/>
  <c r="L105" i="141"/>
  <c r="M105" i="141"/>
  <c r="N105" i="141"/>
  <c r="O105" i="141"/>
  <c r="P105" i="141"/>
  <c r="Q105" i="141"/>
  <c r="R105" i="141"/>
  <c r="S105" i="141"/>
  <c r="T105" i="141"/>
  <c r="U105" i="141"/>
  <c r="W105" i="141"/>
  <c r="E106" i="141"/>
  <c r="F106" i="141"/>
  <c r="G106" i="141"/>
  <c r="H106" i="141"/>
  <c r="I106" i="141"/>
  <c r="J106" i="141"/>
  <c r="K106" i="141"/>
  <c r="L106" i="141"/>
  <c r="M106" i="141"/>
  <c r="N106" i="141"/>
  <c r="O106" i="141"/>
  <c r="P106" i="141"/>
  <c r="Q106" i="141"/>
  <c r="R106" i="141"/>
  <c r="S106" i="141"/>
  <c r="T106" i="141"/>
  <c r="U106" i="141"/>
  <c r="W106" i="141"/>
  <c r="E107" i="141"/>
  <c r="F107" i="141"/>
  <c r="G107" i="141"/>
  <c r="H107" i="141"/>
  <c r="I107" i="141"/>
  <c r="J107" i="141"/>
  <c r="K107" i="141"/>
  <c r="L107" i="141"/>
  <c r="M107" i="141"/>
  <c r="N107" i="141"/>
  <c r="O107" i="141"/>
  <c r="P107" i="141"/>
  <c r="Q107" i="141"/>
  <c r="R107" i="141"/>
  <c r="S107" i="141"/>
  <c r="T107" i="141"/>
  <c r="U107" i="141"/>
  <c r="W107" i="141"/>
  <c r="E108" i="141"/>
  <c r="F108" i="141"/>
  <c r="G108" i="141"/>
  <c r="H108" i="141"/>
  <c r="I108" i="141"/>
  <c r="J108" i="141"/>
  <c r="K108" i="141"/>
  <c r="L108" i="141"/>
  <c r="M108" i="141"/>
  <c r="N108" i="141"/>
  <c r="O108" i="141"/>
  <c r="P108" i="141"/>
  <c r="Q108" i="141"/>
  <c r="R108" i="141"/>
  <c r="S108" i="141"/>
  <c r="T108" i="141"/>
  <c r="U108" i="141"/>
  <c r="W108" i="141"/>
  <c r="E109" i="141"/>
  <c r="F109" i="141"/>
  <c r="G109" i="141"/>
  <c r="H109" i="141"/>
  <c r="I109" i="141"/>
  <c r="J109" i="141"/>
  <c r="K109" i="141"/>
  <c r="L109" i="141"/>
  <c r="M109" i="141"/>
  <c r="N109" i="141"/>
  <c r="O109" i="141"/>
  <c r="P109" i="141"/>
  <c r="Q109" i="141"/>
  <c r="R109" i="141"/>
  <c r="S109" i="141"/>
  <c r="T109" i="141"/>
  <c r="U109" i="141"/>
  <c r="W109" i="141"/>
  <c r="E110" i="141"/>
  <c r="F110" i="141"/>
  <c r="G110" i="141"/>
  <c r="H110" i="141"/>
  <c r="I110" i="141"/>
  <c r="J110" i="141"/>
  <c r="K110" i="141"/>
  <c r="L110" i="141"/>
  <c r="M110" i="141"/>
  <c r="N110" i="141"/>
  <c r="O110" i="141"/>
  <c r="P110" i="141"/>
  <c r="Q110" i="141"/>
  <c r="R110" i="141"/>
  <c r="S110" i="141"/>
  <c r="T110" i="141"/>
  <c r="U110" i="141"/>
  <c r="W110" i="141"/>
  <c r="E111" i="141"/>
  <c r="F111" i="141"/>
  <c r="G111" i="141"/>
  <c r="H111" i="141"/>
  <c r="I111" i="141"/>
  <c r="J111" i="141"/>
  <c r="K111" i="141"/>
  <c r="L111" i="141"/>
  <c r="M111" i="141"/>
  <c r="N111" i="141"/>
  <c r="O111" i="141"/>
  <c r="P111" i="141"/>
  <c r="Q111" i="141"/>
  <c r="R111" i="141"/>
  <c r="S111" i="141"/>
  <c r="T111" i="141"/>
  <c r="U111" i="141"/>
  <c r="W111" i="141"/>
  <c r="X111" i="141" s="1"/>
  <c r="E112" i="141"/>
  <c r="F112" i="141"/>
  <c r="G112" i="141"/>
  <c r="H112" i="141"/>
  <c r="I112" i="141"/>
  <c r="J112" i="141"/>
  <c r="K112" i="141"/>
  <c r="L112" i="141"/>
  <c r="M112" i="141"/>
  <c r="N112" i="141"/>
  <c r="O112" i="141"/>
  <c r="P112" i="141"/>
  <c r="Q112" i="141"/>
  <c r="R112" i="141"/>
  <c r="S112" i="141"/>
  <c r="T112" i="141"/>
  <c r="U112" i="141"/>
  <c r="W112" i="141"/>
  <c r="E113" i="141"/>
  <c r="F113" i="141"/>
  <c r="G113" i="141"/>
  <c r="H113" i="141"/>
  <c r="I113" i="141"/>
  <c r="J113" i="141"/>
  <c r="K113" i="141"/>
  <c r="L113" i="141"/>
  <c r="M113" i="141"/>
  <c r="N113" i="141"/>
  <c r="O113" i="141"/>
  <c r="P113" i="141"/>
  <c r="Q113" i="141"/>
  <c r="R113" i="141"/>
  <c r="S113" i="141"/>
  <c r="T113" i="141"/>
  <c r="U113" i="141"/>
  <c r="W113" i="141"/>
  <c r="E114" i="141"/>
  <c r="F114" i="141"/>
  <c r="G114" i="141"/>
  <c r="H114" i="141"/>
  <c r="I114" i="141"/>
  <c r="J114" i="141"/>
  <c r="K114" i="141"/>
  <c r="L114" i="141"/>
  <c r="M114" i="141"/>
  <c r="N114" i="141"/>
  <c r="O114" i="141"/>
  <c r="P114" i="141"/>
  <c r="Q114" i="141"/>
  <c r="R114" i="141"/>
  <c r="S114" i="141"/>
  <c r="T114" i="141"/>
  <c r="U114" i="141"/>
  <c r="W114" i="141"/>
  <c r="E115" i="141"/>
  <c r="F115" i="141"/>
  <c r="G115" i="141"/>
  <c r="H115" i="141"/>
  <c r="I115" i="141"/>
  <c r="J115" i="141"/>
  <c r="K115" i="141"/>
  <c r="L115" i="141"/>
  <c r="M115" i="141"/>
  <c r="N115" i="141"/>
  <c r="O115" i="141"/>
  <c r="P115" i="141"/>
  <c r="Q115" i="141"/>
  <c r="R115" i="141"/>
  <c r="S115" i="141"/>
  <c r="T115" i="141"/>
  <c r="U115" i="141"/>
  <c r="W115" i="141"/>
  <c r="E116" i="141"/>
  <c r="F116" i="141"/>
  <c r="G116" i="141"/>
  <c r="H116" i="141"/>
  <c r="I116" i="141"/>
  <c r="J116" i="141"/>
  <c r="K116" i="141"/>
  <c r="L116" i="141"/>
  <c r="M116" i="141"/>
  <c r="N116" i="141"/>
  <c r="O116" i="141"/>
  <c r="P116" i="141"/>
  <c r="Q116" i="141"/>
  <c r="R116" i="141"/>
  <c r="S116" i="141"/>
  <c r="T116" i="141"/>
  <c r="U116" i="141"/>
  <c r="W116" i="141"/>
  <c r="E117" i="141"/>
  <c r="F117" i="141"/>
  <c r="G117" i="141"/>
  <c r="H117" i="141"/>
  <c r="I117" i="141"/>
  <c r="J117" i="141"/>
  <c r="K117" i="141"/>
  <c r="L117" i="141"/>
  <c r="M117" i="141"/>
  <c r="N117" i="141"/>
  <c r="O117" i="141"/>
  <c r="P117" i="141"/>
  <c r="Q117" i="141"/>
  <c r="R117" i="141"/>
  <c r="S117" i="141"/>
  <c r="T117" i="141"/>
  <c r="U117" i="141"/>
  <c r="W117" i="141"/>
  <c r="E118" i="141"/>
  <c r="F118" i="141"/>
  <c r="G118" i="141"/>
  <c r="H118" i="141"/>
  <c r="I118" i="141"/>
  <c r="J118" i="141"/>
  <c r="K118" i="141"/>
  <c r="L118" i="141"/>
  <c r="M118" i="141"/>
  <c r="N118" i="141"/>
  <c r="O118" i="141"/>
  <c r="P118" i="141"/>
  <c r="Q118" i="141"/>
  <c r="R118" i="141"/>
  <c r="S118" i="141"/>
  <c r="T118" i="141"/>
  <c r="U118" i="141"/>
  <c r="W118" i="141"/>
  <c r="E119" i="141"/>
  <c r="F119" i="141"/>
  <c r="G119" i="141"/>
  <c r="H119" i="141"/>
  <c r="I119" i="141"/>
  <c r="J119" i="141"/>
  <c r="K119" i="141"/>
  <c r="L119" i="141"/>
  <c r="M119" i="141"/>
  <c r="N119" i="141"/>
  <c r="O119" i="141"/>
  <c r="P119" i="141"/>
  <c r="Q119" i="141"/>
  <c r="R119" i="141"/>
  <c r="S119" i="141"/>
  <c r="T119" i="141"/>
  <c r="U119" i="141"/>
  <c r="W119" i="141"/>
  <c r="W12" i="141"/>
  <c r="F12" i="141"/>
  <c r="G12" i="141"/>
  <c r="H12" i="141"/>
  <c r="I12" i="141"/>
  <c r="J12" i="141"/>
  <c r="K12" i="141"/>
  <c r="L12" i="141"/>
  <c r="M12" i="141"/>
  <c r="N12" i="141"/>
  <c r="O12" i="141"/>
  <c r="P12" i="141"/>
  <c r="Q12" i="141"/>
  <c r="R12" i="141"/>
  <c r="S12" i="141"/>
  <c r="T12" i="141"/>
  <c r="C102" i="141"/>
  <c r="C93" i="141"/>
  <c r="C84" i="141"/>
  <c r="C75" i="141"/>
  <c r="C66" i="141"/>
  <c r="C57" i="141"/>
  <c r="C48" i="141"/>
  <c r="C39" i="141"/>
  <c r="C30" i="141"/>
  <c r="C21" i="141"/>
  <c r="E12" i="141"/>
  <c r="C12" i="141"/>
  <c r="B8" i="141"/>
  <c r="E167" i="140"/>
  <c r="F167" i="140"/>
  <c r="G167" i="140"/>
  <c r="H167" i="140"/>
  <c r="I167" i="140"/>
  <c r="J167" i="140"/>
  <c r="K167" i="140"/>
  <c r="L167" i="140"/>
  <c r="M167" i="140"/>
  <c r="N167" i="140"/>
  <c r="O167" i="140"/>
  <c r="P167" i="140"/>
  <c r="Q167" i="140"/>
  <c r="R167" i="140"/>
  <c r="S167" i="140"/>
  <c r="T167" i="140"/>
  <c r="U167" i="140"/>
  <c r="W167" i="140"/>
  <c r="E168" i="140"/>
  <c r="F168" i="140"/>
  <c r="G168" i="140"/>
  <c r="H168" i="140"/>
  <c r="I168" i="140"/>
  <c r="J168" i="140"/>
  <c r="K168" i="140"/>
  <c r="L168" i="140"/>
  <c r="M168" i="140"/>
  <c r="N168" i="140"/>
  <c r="O168" i="140"/>
  <c r="P168" i="140"/>
  <c r="Q168" i="140"/>
  <c r="R168" i="140"/>
  <c r="S168" i="140"/>
  <c r="T168" i="140"/>
  <c r="U168" i="140"/>
  <c r="W168" i="140"/>
  <c r="E169" i="140"/>
  <c r="F169" i="140"/>
  <c r="G169" i="140"/>
  <c r="H169" i="140"/>
  <c r="I169" i="140"/>
  <c r="J169" i="140"/>
  <c r="K169" i="140"/>
  <c r="L169" i="140"/>
  <c r="M169" i="140"/>
  <c r="N169" i="140"/>
  <c r="O169" i="140"/>
  <c r="P169" i="140"/>
  <c r="Q169" i="140"/>
  <c r="R169" i="140"/>
  <c r="S169" i="140"/>
  <c r="T169" i="140"/>
  <c r="U169" i="140"/>
  <c r="W169" i="140"/>
  <c r="E170" i="140"/>
  <c r="F170" i="140"/>
  <c r="G170" i="140"/>
  <c r="H170" i="140"/>
  <c r="I170" i="140"/>
  <c r="J170" i="140"/>
  <c r="K170" i="140"/>
  <c r="L170" i="140"/>
  <c r="M170" i="140"/>
  <c r="N170" i="140"/>
  <c r="O170" i="140"/>
  <c r="P170" i="140"/>
  <c r="Q170" i="140"/>
  <c r="R170" i="140"/>
  <c r="S170" i="140"/>
  <c r="T170" i="140"/>
  <c r="U170" i="140"/>
  <c r="W170" i="140"/>
  <c r="E171" i="140"/>
  <c r="F171" i="140"/>
  <c r="G171" i="140"/>
  <c r="H171" i="140"/>
  <c r="I171" i="140"/>
  <c r="J171" i="140"/>
  <c r="K171" i="140"/>
  <c r="L171" i="140"/>
  <c r="M171" i="140"/>
  <c r="N171" i="140"/>
  <c r="O171" i="140"/>
  <c r="P171" i="140"/>
  <c r="Q171" i="140"/>
  <c r="R171" i="140"/>
  <c r="S171" i="140"/>
  <c r="T171" i="140"/>
  <c r="U171" i="140"/>
  <c r="W171" i="140"/>
  <c r="E172" i="140"/>
  <c r="F172" i="140"/>
  <c r="G172" i="140"/>
  <c r="H172" i="140"/>
  <c r="I172" i="140"/>
  <c r="J172" i="140"/>
  <c r="K172" i="140"/>
  <c r="L172" i="140"/>
  <c r="M172" i="140"/>
  <c r="N172" i="140"/>
  <c r="O172" i="140"/>
  <c r="P172" i="140"/>
  <c r="Q172" i="140"/>
  <c r="R172" i="140"/>
  <c r="S172" i="140"/>
  <c r="T172" i="140"/>
  <c r="U172" i="140"/>
  <c r="W172" i="140"/>
  <c r="E173" i="140"/>
  <c r="F173" i="140"/>
  <c r="G173" i="140"/>
  <c r="H173" i="140"/>
  <c r="I173" i="140"/>
  <c r="J173" i="140"/>
  <c r="K173" i="140"/>
  <c r="L173" i="140"/>
  <c r="M173" i="140"/>
  <c r="N173" i="140"/>
  <c r="O173" i="140"/>
  <c r="P173" i="140"/>
  <c r="Q173" i="140"/>
  <c r="R173" i="140"/>
  <c r="S173" i="140"/>
  <c r="T173" i="140"/>
  <c r="U173" i="140"/>
  <c r="W173" i="140"/>
  <c r="E174" i="140"/>
  <c r="F174" i="140"/>
  <c r="G174" i="140"/>
  <c r="H174" i="140"/>
  <c r="I174" i="140"/>
  <c r="J174" i="140"/>
  <c r="K174" i="140"/>
  <c r="L174" i="140"/>
  <c r="M174" i="140"/>
  <c r="N174" i="140"/>
  <c r="O174" i="140"/>
  <c r="P174" i="140"/>
  <c r="Q174" i="140"/>
  <c r="R174" i="140"/>
  <c r="S174" i="140"/>
  <c r="T174" i="140"/>
  <c r="U174" i="140"/>
  <c r="W174" i="140"/>
  <c r="W166" i="140"/>
  <c r="F166" i="140"/>
  <c r="G166" i="140"/>
  <c r="H166" i="140"/>
  <c r="I166" i="140"/>
  <c r="J166" i="140"/>
  <c r="K166" i="140"/>
  <c r="L166" i="140"/>
  <c r="M166" i="140"/>
  <c r="N166" i="140"/>
  <c r="O166" i="140"/>
  <c r="P166" i="140"/>
  <c r="Q166" i="140"/>
  <c r="R166" i="140"/>
  <c r="S166" i="140"/>
  <c r="T166" i="140"/>
  <c r="E166" i="140"/>
  <c r="E153" i="140"/>
  <c r="F153" i="140"/>
  <c r="G153" i="140"/>
  <c r="H153" i="140"/>
  <c r="I153" i="140"/>
  <c r="J153" i="140"/>
  <c r="K153" i="140"/>
  <c r="L153" i="140"/>
  <c r="M153" i="140"/>
  <c r="N153" i="140"/>
  <c r="O153" i="140"/>
  <c r="P153" i="140"/>
  <c r="Q153" i="140"/>
  <c r="R153" i="140"/>
  <c r="S153" i="140"/>
  <c r="T153" i="140"/>
  <c r="U153" i="140"/>
  <c r="W153" i="140"/>
  <c r="E154" i="140"/>
  <c r="F154" i="140"/>
  <c r="G154" i="140"/>
  <c r="H154" i="140"/>
  <c r="I154" i="140"/>
  <c r="J154" i="140"/>
  <c r="K154" i="140"/>
  <c r="L154" i="140"/>
  <c r="M154" i="140"/>
  <c r="N154" i="140"/>
  <c r="O154" i="140"/>
  <c r="P154" i="140"/>
  <c r="Q154" i="140"/>
  <c r="R154" i="140"/>
  <c r="S154" i="140"/>
  <c r="T154" i="140"/>
  <c r="U154" i="140"/>
  <c r="W154" i="140"/>
  <c r="E155" i="140"/>
  <c r="F155" i="140"/>
  <c r="G155" i="140"/>
  <c r="H155" i="140"/>
  <c r="I155" i="140"/>
  <c r="J155" i="140"/>
  <c r="K155" i="140"/>
  <c r="L155" i="140"/>
  <c r="M155" i="140"/>
  <c r="N155" i="140"/>
  <c r="O155" i="140"/>
  <c r="P155" i="140"/>
  <c r="Q155" i="140"/>
  <c r="R155" i="140"/>
  <c r="S155" i="140"/>
  <c r="T155" i="140"/>
  <c r="U155" i="140"/>
  <c r="W155" i="140"/>
  <c r="E156" i="140"/>
  <c r="F156" i="140"/>
  <c r="G156" i="140"/>
  <c r="H156" i="140"/>
  <c r="I156" i="140"/>
  <c r="J156" i="140"/>
  <c r="K156" i="140"/>
  <c r="L156" i="140"/>
  <c r="M156" i="140"/>
  <c r="N156" i="140"/>
  <c r="O156" i="140"/>
  <c r="P156" i="140"/>
  <c r="Q156" i="140"/>
  <c r="R156" i="140"/>
  <c r="S156" i="140"/>
  <c r="T156" i="140"/>
  <c r="U156" i="140"/>
  <c r="W156" i="140"/>
  <c r="E157" i="140"/>
  <c r="F157" i="140"/>
  <c r="G157" i="140"/>
  <c r="H157" i="140"/>
  <c r="I157" i="140"/>
  <c r="J157" i="140"/>
  <c r="K157" i="140"/>
  <c r="L157" i="140"/>
  <c r="M157" i="140"/>
  <c r="N157" i="140"/>
  <c r="O157" i="140"/>
  <c r="P157" i="140"/>
  <c r="Q157" i="140"/>
  <c r="R157" i="140"/>
  <c r="S157" i="140"/>
  <c r="T157" i="140"/>
  <c r="U157" i="140"/>
  <c r="W157" i="140"/>
  <c r="E158" i="140"/>
  <c r="F158" i="140"/>
  <c r="G158" i="140"/>
  <c r="H158" i="140"/>
  <c r="I158" i="140"/>
  <c r="J158" i="140"/>
  <c r="K158" i="140"/>
  <c r="L158" i="140"/>
  <c r="M158" i="140"/>
  <c r="N158" i="140"/>
  <c r="O158" i="140"/>
  <c r="P158" i="140"/>
  <c r="Q158" i="140"/>
  <c r="R158" i="140"/>
  <c r="S158" i="140"/>
  <c r="T158" i="140"/>
  <c r="U158" i="140"/>
  <c r="W158" i="140"/>
  <c r="E159" i="140"/>
  <c r="F159" i="140"/>
  <c r="G159" i="140"/>
  <c r="H159" i="140"/>
  <c r="I159" i="140"/>
  <c r="J159" i="140"/>
  <c r="K159" i="140"/>
  <c r="L159" i="140"/>
  <c r="M159" i="140"/>
  <c r="N159" i="140"/>
  <c r="O159" i="140"/>
  <c r="P159" i="140"/>
  <c r="Q159" i="140"/>
  <c r="R159" i="140"/>
  <c r="S159" i="140"/>
  <c r="T159" i="140"/>
  <c r="U159" i="140"/>
  <c r="W159" i="140"/>
  <c r="E160" i="140"/>
  <c r="F160" i="140"/>
  <c r="G160" i="140"/>
  <c r="H160" i="140"/>
  <c r="I160" i="140"/>
  <c r="J160" i="140"/>
  <c r="K160" i="140"/>
  <c r="L160" i="140"/>
  <c r="M160" i="140"/>
  <c r="N160" i="140"/>
  <c r="O160" i="140"/>
  <c r="P160" i="140"/>
  <c r="Q160" i="140"/>
  <c r="R160" i="140"/>
  <c r="S160" i="140"/>
  <c r="T160" i="140"/>
  <c r="U160" i="140"/>
  <c r="W160" i="140"/>
  <c r="W152" i="140"/>
  <c r="F152" i="140"/>
  <c r="G152" i="140"/>
  <c r="H152" i="140"/>
  <c r="I152" i="140"/>
  <c r="J152" i="140"/>
  <c r="K152" i="140"/>
  <c r="L152" i="140"/>
  <c r="M152" i="140"/>
  <c r="N152" i="140"/>
  <c r="O152" i="140"/>
  <c r="P152" i="140"/>
  <c r="Q152" i="140"/>
  <c r="R152" i="140"/>
  <c r="S152" i="140"/>
  <c r="T152" i="140"/>
  <c r="E152" i="140"/>
  <c r="E139" i="140"/>
  <c r="F139" i="140"/>
  <c r="G139" i="140"/>
  <c r="H139" i="140"/>
  <c r="I139" i="140"/>
  <c r="J139" i="140"/>
  <c r="K139" i="140"/>
  <c r="L139" i="140"/>
  <c r="M139" i="140"/>
  <c r="N139" i="140"/>
  <c r="O139" i="140"/>
  <c r="P139" i="140"/>
  <c r="Q139" i="140"/>
  <c r="R139" i="140"/>
  <c r="S139" i="140"/>
  <c r="T139" i="140"/>
  <c r="U139" i="140"/>
  <c r="W139" i="140"/>
  <c r="E140" i="140"/>
  <c r="F140" i="140"/>
  <c r="G140" i="140"/>
  <c r="H140" i="140"/>
  <c r="I140" i="140"/>
  <c r="J140" i="140"/>
  <c r="K140" i="140"/>
  <c r="L140" i="140"/>
  <c r="M140" i="140"/>
  <c r="N140" i="140"/>
  <c r="O140" i="140"/>
  <c r="P140" i="140"/>
  <c r="Q140" i="140"/>
  <c r="R140" i="140"/>
  <c r="S140" i="140"/>
  <c r="T140" i="140"/>
  <c r="U140" i="140"/>
  <c r="W140" i="140"/>
  <c r="E141" i="140"/>
  <c r="F141" i="140"/>
  <c r="G141" i="140"/>
  <c r="H141" i="140"/>
  <c r="I141" i="140"/>
  <c r="J141" i="140"/>
  <c r="K141" i="140"/>
  <c r="L141" i="140"/>
  <c r="M141" i="140"/>
  <c r="N141" i="140"/>
  <c r="O141" i="140"/>
  <c r="P141" i="140"/>
  <c r="Q141" i="140"/>
  <c r="R141" i="140"/>
  <c r="S141" i="140"/>
  <c r="T141" i="140"/>
  <c r="U141" i="140"/>
  <c r="W141" i="140"/>
  <c r="E142" i="140"/>
  <c r="F142" i="140"/>
  <c r="G142" i="140"/>
  <c r="H142" i="140"/>
  <c r="I142" i="140"/>
  <c r="J142" i="140"/>
  <c r="K142" i="140"/>
  <c r="L142" i="140"/>
  <c r="M142" i="140"/>
  <c r="N142" i="140"/>
  <c r="O142" i="140"/>
  <c r="P142" i="140"/>
  <c r="Q142" i="140"/>
  <c r="R142" i="140"/>
  <c r="S142" i="140"/>
  <c r="T142" i="140"/>
  <c r="U142" i="140"/>
  <c r="W142" i="140"/>
  <c r="E143" i="140"/>
  <c r="F143" i="140"/>
  <c r="G143" i="140"/>
  <c r="H143" i="140"/>
  <c r="I143" i="140"/>
  <c r="J143" i="140"/>
  <c r="K143" i="140"/>
  <c r="L143" i="140"/>
  <c r="M143" i="140"/>
  <c r="N143" i="140"/>
  <c r="O143" i="140"/>
  <c r="P143" i="140"/>
  <c r="Q143" i="140"/>
  <c r="R143" i="140"/>
  <c r="S143" i="140"/>
  <c r="T143" i="140"/>
  <c r="U143" i="140"/>
  <c r="W143" i="140"/>
  <c r="E144" i="140"/>
  <c r="F144" i="140"/>
  <c r="G144" i="140"/>
  <c r="H144" i="140"/>
  <c r="I144" i="140"/>
  <c r="J144" i="140"/>
  <c r="K144" i="140"/>
  <c r="L144" i="140"/>
  <c r="M144" i="140"/>
  <c r="N144" i="140"/>
  <c r="O144" i="140"/>
  <c r="P144" i="140"/>
  <c r="Q144" i="140"/>
  <c r="R144" i="140"/>
  <c r="S144" i="140"/>
  <c r="T144" i="140"/>
  <c r="U144" i="140"/>
  <c r="W144" i="140"/>
  <c r="E145" i="140"/>
  <c r="F145" i="140"/>
  <c r="G145" i="140"/>
  <c r="H145" i="140"/>
  <c r="I145" i="140"/>
  <c r="J145" i="140"/>
  <c r="K145" i="140"/>
  <c r="L145" i="140"/>
  <c r="M145" i="140"/>
  <c r="N145" i="140"/>
  <c r="O145" i="140"/>
  <c r="P145" i="140"/>
  <c r="Q145" i="140"/>
  <c r="R145" i="140"/>
  <c r="S145" i="140"/>
  <c r="T145" i="140"/>
  <c r="U145" i="140"/>
  <c r="W145" i="140"/>
  <c r="E146" i="140"/>
  <c r="F146" i="140"/>
  <c r="G146" i="140"/>
  <c r="H146" i="140"/>
  <c r="I146" i="140"/>
  <c r="J146" i="140"/>
  <c r="K146" i="140"/>
  <c r="L146" i="140"/>
  <c r="M146" i="140"/>
  <c r="N146" i="140"/>
  <c r="O146" i="140"/>
  <c r="P146" i="140"/>
  <c r="Q146" i="140"/>
  <c r="R146" i="140"/>
  <c r="S146" i="140"/>
  <c r="T146" i="140"/>
  <c r="U146" i="140"/>
  <c r="W146" i="140"/>
  <c r="W138" i="140"/>
  <c r="F138" i="140"/>
  <c r="G138" i="140"/>
  <c r="H138" i="140"/>
  <c r="I138" i="140"/>
  <c r="J138" i="140"/>
  <c r="K138" i="140"/>
  <c r="L138" i="140"/>
  <c r="M138" i="140"/>
  <c r="N138" i="140"/>
  <c r="O138" i="140"/>
  <c r="P138" i="140"/>
  <c r="Q138" i="140"/>
  <c r="R138" i="140"/>
  <c r="S138" i="140"/>
  <c r="T138" i="140"/>
  <c r="E138" i="140"/>
  <c r="E125" i="140"/>
  <c r="F125" i="140"/>
  <c r="G125" i="140"/>
  <c r="H125" i="140"/>
  <c r="I125" i="140"/>
  <c r="J125" i="140"/>
  <c r="K125" i="140"/>
  <c r="L125" i="140"/>
  <c r="M125" i="140"/>
  <c r="N125" i="140"/>
  <c r="O125" i="140"/>
  <c r="P125" i="140"/>
  <c r="Q125" i="140"/>
  <c r="R125" i="140"/>
  <c r="S125" i="140"/>
  <c r="T125" i="140"/>
  <c r="U125" i="140"/>
  <c r="W125" i="140"/>
  <c r="E126" i="140"/>
  <c r="F126" i="140"/>
  <c r="G126" i="140"/>
  <c r="H126" i="140"/>
  <c r="I126" i="140"/>
  <c r="J126" i="140"/>
  <c r="K126" i="140"/>
  <c r="L126" i="140"/>
  <c r="M126" i="140"/>
  <c r="N126" i="140"/>
  <c r="O126" i="140"/>
  <c r="P126" i="140"/>
  <c r="Q126" i="140"/>
  <c r="R126" i="140"/>
  <c r="S126" i="140"/>
  <c r="T126" i="140"/>
  <c r="U126" i="140"/>
  <c r="W126" i="140"/>
  <c r="E127" i="140"/>
  <c r="F127" i="140"/>
  <c r="G127" i="140"/>
  <c r="H127" i="140"/>
  <c r="I127" i="140"/>
  <c r="J127" i="140"/>
  <c r="K127" i="140"/>
  <c r="L127" i="140"/>
  <c r="M127" i="140"/>
  <c r="N127" i="140"/>
  <c r="O127" i="140"/>
  <c r="P127" i="140"/>
  <c r="Q127" i="140"/>
  <c r="R127" i="140"/>
  <c r="S127" i="140"/>
  <c r="T127" i="140"/>
  <c r="U127" i="140"/>
  <c r="W127" i="140"/>
  <c r="E128" i="140"/>
  <c r="F128" i="140"/>
  <c r="G128" i="140"/>
  <c r="H128" i="140"/>
  <c r="I128" i="140"/>
  <c r="J128" i="140"/>
  <c r="K128" i="140"/>
  <c r="L128" i="140"/>
  <c r="M128" i="140"/>
  <c r="N128" i="140"/>
  <c r="O128" i="140"/>
  <c r="P128" i="140"/>
  <c r="Q128" i="140"/>
  <c r="R128" i="140"/>
  <c r="S128" i="140"/>
  <c r="T128" i="140"/>
  <c r="U128" i="140"/>
  <c r="W128" i="140"/>
  <c r="E129" i="140"/>
  <c r="F129" i="140"/>
  <c r="G129" i="140"/>
  <c r="H129" i="140"/>
  <c r="I129" i="140"/>
  <c r="J129" i="140"/>
  <c r="K129" i="140"/>
  <c r="L129" i="140"/>
  <c r="M129" i="140"/>
  <c r="N129" i="140"/>
  <c r="O129" i="140"/>
  <c r="P129" i="140"/>
  <c r="Q129" i="140"/>
  <c r="R129" i="140"/>
  <c r="S129" i="140"/>
  <c r="T129" i="140"/>
  <c r="U129" i="140"/>
  <c r="W129" i="140"/>
  <c r="E130" i="140"/>
  <c r="F130" i="140"/>
  <c r="G130" i="140"/>
  <c r="H130" i="140"/>
  <c r="I130" i="140"/>
  <c r="J130" i="140"/>
  <c r="K130" i="140"/>
  <c r="L130" i="140"/>
  <c r="M130" i="140"/>
  <c r="N130" i="140"/>
  <c r="O130" i="140"/>
  <c r="P130" i="140"/>
  <c r="Q130" i="140"/>
  <c r="R130" i="140"/>
  <c r="S130" i="140"/>
  <c r="T130" i="140"/>
  <c r="U130" i="140"/>
  <c r="W130" i="140"/>
  <c r="E131" i="140"/>
  <c r="F131" i="140"/>
  <c r="G131" i="140"/>
  <c r="H131" i="140"/>
  <c r="I131" i="140"/>
  <c r="J131" i="140"/>
  <c r="K131" i="140"/>
  <c r="L131" i="140"/>
  <c r="M131" i="140"/>
  <c r="N131" i="140"/>
  <c r="O131" i="140"/>
  <c r="P131" i="140"/>
  <c r="Q131" i="140"/>
  <c r="R131" i="140"/>
  <c r="S131" i="140"/>
  <c r="T131" i="140"/>
  <c r="U131" i="140"/>
  <c r="W131" i="140"/>
  <c r="E132" i="140"/>
  <c r="F132" i="140"/>
  <c r="G132" i="140"/>
  <c r="H132" i="140"/>
  <c r="I132" i="140"/>
  <c r="J132" i="140"/>
  <c r="K132" i="140"/>
  <c r="L132" i="140"/>
  <c r="M132" i="140"/>
  <c r="N132" i="140"/>
  <c r="O132" i="140"/>
  <c r="P132" i="140"/>
  <c r="Q132" i="140"/>
  <c r="R132" i="140"/>
  <c r="S132" i="140"/>
  <c r="T132" i="140"/>
  <c r="U132" i="140"/>
  <c r="W132" i="140"/>
  <c r="W124" i="140"/>
  <c r="F124" i="140"/>
  <c r="G124" i="140"/>
  <c r="H124" i="140"/>
  <c r="I124" i="140"/>
  <c r="J124" i="140"/>
  <c r="K124" i="140"/>
  <c r="L124" i="140"/>
  <c r="M124" i="140"/>
  <c r="N124" i="140"/>
  <c r="O124" i="140"/>
  <c r="P124" i="140"/>
  <c r="Q124" i="140"/>
  <c r="R124" i="140"/>
  <c r="S124" i="140"/>
  <c r="T124" i="140"/>
  <c r="E124" i="140"/>
  <c r="E111" i="140"/>
  <c r="F111" i="140"/>
  <c r="G111" i="140"/>
  <c r="H111" i="140"/>
  <c r="I111" i="140"/>
  <c r="J111" i="140"/>
  <c r="K111" i="140"/>
  <c r="L111" i="140"/>
  <c r="M111" i="140"/>
  <c r="N111" i="140"/>
  <c r="O111" i="140"/>
  <c r="P111" i="140"/>
  <c r="Q111" i="140"/>
  <c r="R111" i="140"/>
  <c r="S111" i="140"/>
  <c r="T111" i="140"/>
  <c r="U111" i="140"/>
  <c r="W111" i="140"/>
  <c r="E112" i="140"/>
  <c r="F112" i="140"/>
  <c r="G112" i="140"/>
  <c r="H112" i="140"/>
  <c r="I112" i="140"/>
  <c r="J112" i="140"/>
  <c r="K112" i="140"/>
  <c r="L112" i="140"/>
  <c r="M112" i="140"/>
  <c r="N112" i="140"/>
  <c r="O112" i="140"/>
  <c r="P112" i="140"/>
  <c r="Q112" i="140"/>
  <c r="R112" i="140"/>
  <c r="S112" i="140"/>
  <c r="T112" i="140"/>
  <c r="U112" i="140"/>
  <c r="W112" i="140"/>
  <c r="E113" i="140"/>
  <c r="F113" i="140"/>
  <c r="G113" i="140"/>
  <c r="H113" i="140"/>
  <c r="I113" i="140"/>
  <c r="J113" i="140"/>
  <c r="K113" i="140"/>
  <c r="L113" i="140"/>
  <c r="M113" i="140"/>
  <c r="N113" i="140"/>
  <c r="O113" i="140"/>
  <c r="P113" i="140"/>
  <c r="Q113" i="140"/>
  <c r="R113" i="140"/>
  <c r="S113" i="140"/>
  <c r="T113" i="140"/>
  <c r="U113" i="140"/>
  <c r="W113" i="140"/>
  <c r="E114" i="140"/>
  <c r="F114" i="140"/>
  <c r="G114" i="140"/>
  <c r="H114" i="140"/>
  <c r="I114" i="140"/>
  <c r="J114" i="140"/>
  <c r="K114" i="140"/>
  <c r="L114" i="140"/>
  <c r="M114" i="140"/>
  <c r="N114" i="140"/>
  <c r="O114" i="140"/>
  <c r="P114" i="140"/>
  <c r="Q114" i="140"/>
  <c r="R114" i="140"/>
  <c r="S114" i="140"/>
  <c r="T114" i="140"/>
  <c r="U114" i="140"/>
  <c r="W114" i="140"/>
  <c r="E115" i="140"/>
  <c r="F115" i="140"/>
  <c r="G115" i="140"/>
  <c r="H115" i="140"/>
  <c r="I115" i="140"/>
  <c r="J115" i="140"/>
  <c r="K115" i="140"/>
  <c r="L115" i="140"/>
  <c r="M115" i="140"/>
  <c r="N115" i="140"/>
  <c r="O115" i="140"/>
  <c r="P115" i="140"/>
  <c r="Q115" i="140"/>
  <c r="R115" i="140"/>
  <c r="S115" i="140"/>
  <c r="T115" i="140"/>
  <c r="U115" i="140"/>
  <c r="W115" i="140"/>
  <c r="E116" i="140"/>
  <c r="F116" i="140"/>
  <c r="G116" i="140"/>
  <c r="H116" i="140"/>
  <c r="I116" i="140"/>
  <c r="J116" i="140"/>
  <c r="K116" i="140"/>
  <c r="L116" i="140"/>
  <c r="M116" i="140"/>
  <c r="N116" i="140"/>
  <c r="O116" i="140"/>
  <c r="P116" i="140"/>
  <c r="Q116" i="140"/>
  <c r="R116" i="140"/>
  <c r="S116" i="140"/>
  <c r="T116" i="140"/>
  <c r="U116" i="140"/>
  <c r="W116" i="140"/>
  <c r="E117" i="140"/>
  <c r="F117" i="140"/>
  <c r="G117" i="140"/>
  <c r="H117" i="140"/>
  <c r="I117" i="140"/>
  <c r="J117" i="140"/>
  <c r="K117" i="140"/>
  <c r="L117" i="140"/>
  <c r="M117" i="140"/>
  <c r="N117" i="140"/>
  <c r="O117" i="140"/>
  <c r="P117" i="140"/>
  <c r="Q117" i="140"/>
  <c r="R117" i="140"/>
  <c r="S117" i="140"/>
  <c r="T117" i="140"/>
  <c r="U117" i="140"/>
  <c r="W117" i="140"/>
  <c r="E118" i="140"/>
  <c r="F118" i="140"/>
  <c r="G118" i="140"/>
  <c r="H118" i="140"/>
  <c r="I118" i="140"/>
  <c r="J118" i="140"/>
  <c r="K118" i="140"/>
  <c r="L118" i="140"/>
  <c r="M118" i="140"/>
  <c r="N118" i="140"/>
  <c r="O118" i="140"/>
  <c r="P118" i="140"/>
  <c r="Q118" i="140"/>
  <c r="R118" i="140"/>
  <c r="S118" i="140"/>
  <c r="T118" i="140"/>
  <c r="U118" i="140"/>
  <c r="W118" i="140"/>
  <c r="W110" i="140"/>
  <c r="F110" i="140"/>
  <c r="G110" i="140"/>
  <c r="H110" i="140"/>
  <c r="I110" i="140"/>
  <c r="J110" i="140"/>
  <c r="K110" i="140"/>
  <c r="L110" i="140"/>
  <c r="M110" i="140"/>
  <c r="N110" i="140"/>
  <c r="O110" i="140"/>
  <c r="P110" i="140"/>
  <c r="Q110" i="140"/>
  <c r="R110" i="140"/>
  <c r="S110" i="140"/>
  <c r="T110" i="140"/>
  <c r="E110" i="140"/>
  <c r="E97" i="140"/>
  <c r="F97" i="140"/>
  <c r="G97" i="140"/>
  <c r="H97" i="140"/>
  <c r="I97" i="140"/>
  <c r="J97" i="140"/>
  <c r="K97" i="140"/>
  <c r="L97" i="140"/>
  <c r="M97" i="140"/>
  <c r="N97" i="140"/>
  <c r="O97" i="140"/>
  <c r="P97" i="140"/>
  <c r="Q97" i="140"/>
  <c r="R97" i="140"/>
  <c r="S97" i="140"/>
  <c r="T97" i="140"/>
  <c r="U97" i="140"/>
  <c r="W97" i="140"/>
  <c r="E98" i="140"/>
  <c r="F98" i="140"/>
  <c r="G98" i="140"/>
  <c r="H98" i="140"/>
  <c r="I98" i="140"/>
  <c r="J98" i="140"/>
  <c r="K98" i="140"/>
  <c r="L98" i="140"/>
  <c r="M98" i="140"/>
  <c r="N98" i="140"/>
  <c r="O98" i="140"/>
  <c r="P98" i="140"/>
  <c r="Q98" i="140"/>
  <c r="R98" i="140"/>
  <c r="S98" i="140"/>
  <c r="T98" i="140"/>
  <c r="U98" i="140"/>
  <c r="W98" i="140"/>
  <c r="E99" i="140"/>
  <c r="F99" i="140"/>
  <c r="G99" i="140"/>
  <c r="H99" i="140"/>
  <c r="I99" i="140"/>
  <c r="J99" i="140"/>
  <c r="K99" i="140"/>
  <c r="L99" i="140"/>
  <c r="M99" i="140"/>
  <c r="N99" i="140"/>
  <c r="O99" i="140"/>
  <c r="P99" i="140"/>
  <c r="Q99" i="140"/>
  <c r="R99" i="140"/>
  <c r="S99" i="140"/>
  <c r="T99" i="140"/>
  <c r="U99" i="140"/>
  <c r="W99" i="140"/>
  <c r="E100" i="140"/>
  <c r="F100" i="140"/>
  <c r="G100" i="140"/>
  <c r="H100" i="140"/>
  <c r="I100" i="140"/>
  <c r="J100" i="140"/>
  <c r="K100" i="140"/>
  <c r="L100" i="140"/>
  <c r="M100" i="140"/>
  <c r="N100" i="140"/>
  <c r="O100" i="140"/>
  <c r="P100" i="140"/>
  <c r="Q100" i="140"/>
  <c r="R100" i="140"/>
  <c r="S100" i="140"/>
  <c r="T100" i="140"/>
  <c r="U100" i="140"/>
  <c r="W100" i="140"/>
  <c r="E101" i="140"/>
  <c r="F101" i="140"/>
  <c r="G101" i="140"/>
  <c r="H101" i="140"/>
  <c r="I101" i="140"/>
  <c r="J101" i="140"/>
  <c r="K101" i="140"/>
  <c r="L101" i="140"/>
  <c r="M101" i="140"/>
  <c r="N101" i="140"/>
  <c r="O101" i="140"/>
  <c r="P101" i="140"/>
  <c r="Q101" i="140"/>
  <c r="R101" i="140"/>
  <c r="S101" i="140"/>
  <c r="T101" i="140"/>
  <c r="U101" i="140"/>
  <c r="W101" i="140"/>
  <c r="E102" i="140"/>
  <c r="F102" i="140"/>
  <c r="G102" i="140"/>
  <c r="H102" i="140"/>
  <c r="I102" i="140"/>
  <c r="J102" i="140"/>
  <c r="K102" i="140"/>
  <c r="L102" i="140"/>
  <c r="M102" i="140"/>
  <c r="N102" i="140"/>
  <c r="O102" i="140"/>
  <c r="P102" i="140"/>
  <c r="Q102" i="140"/>
  <c r="R102" i="140"/>
  <c r="S102" i="140"/>
  <c r="T102" i="140"/>
  <c r="U102" i="140"/>
  <c r="W102" i="140"/>
  <c r="E103" i="140"/>
  <c r="F103" i="140"/>
  <c r="G103" i="140"/>
  <c r="H103" i="140"/>
  <c r="I103" i="140"/>
  <c r="J103" i="140"/>
  <c r="K103" i="140"/>
  <c r="L103" i="140"/>
  <c r="M103" i="140"/>
  <c r="N103" i="140"/>
  <c r="O103" i="140"/>
  <c r="P103" i="140"/>
  <c r="Q103" i="140"/>
  <c r="R103" i="140"/>
  <c r="S103" i="140"/>
  <c r="T103" i="140"/>
  <c r="U103" i="140"/>
  <c r="W103" i="140"/>
  <c r="E104" i="140"/>
  <c r="F104" i="140"/>
  <c r="G104" i="140"/>
  <c r="H104" i="140"/>
  <c r="I104" i="140"/>
  <c r="J104" i="140"/>
  <c r="K104" i="140"/>
  <c r="L104" i="140"/>
  <c r="M104" i="140"/>
  <c r="N104" i="140"/>
  <c r="O104" i="140"/>
  <c r="P104" i="140"/>
  <c r="Q104" i="140"/>
  <c r="R104" i="140"/>
  <c r="S104" i="140"/>
  <c r="T104" i="140"/>
  <c r="U104" i="140"/>
  <c r="W104" i="140"/>
  <c r="W96" i="140"/>
  <c r="F96" i="140"/>
  <c r="G96" i="140"/>
  <c r="H96" i="140"/>
  <c r="I96" i="140"/>
  <c r="J96" i="140"/>
  <c r="K96" i="140"/>
  <c r="L96" i="140"/>
  <c r="M96" i="140"/>
  <c r="N96" i="140"/>
  <c r="O96" i="140"/>
  <c r="P96" i="140"/>
  <c r="Q96" i="140"/>
  <c r="R96" i="140"/>
  <c r="S96" i="140"/>
  <c r="T96" i="140"/>
  <c r="E96" i="140"/>
  <c r="E83" i="140"/>
  <c r="F83" i="140"/>
  <c r="G83" i="140"/>
  <c r="H83" i="140"/>
  <c r="I83" i="140"/>
  <c r="J83" i="140"/>
  <c r="K83" i="140"/>
  <c r="L83" i="140"/>
  <c r="M83" i="140"/>
  <c r="N83" i="140"/>
  <c r="O83" i="140"/>
  <c r="P83" i="140"/>
  <c r="Q83" i="140"/>
  <c r="R83" i="140"/>
  <c r="S83" i="140"/>
  <c r="T83" i="140"/>
  <c r="U83" i="140"/>
  <c r="W83" i="140"/>
  <c r="E84" i="140"/>
  <c r="F84" i="140"/>
  <c r="G84" i="140"/>
  <c r="H84" i="140"/>
  <c r="I84" i="140"/>
  <c r="J84" i="140"/>
  <c r="K84" i="140"/>
  <c r="L84" i="140"/>
  <c r="M84" i="140"/>
  <c r="N84" i="140"/>
  <c r="O84" i="140"/>
  <c r="P84" i="140"/>
  <c r="Q84" i="140"/>
  <c r="R84" i="140"/>
  <c r="S84" i="140"/>
  <c r="T84" i="140"/>
  <c r="U84" i="140"/>
  <c r="W84" i="140"/>
  <c r="E85" i="140"/>
  <c r="F85" i="140"/>
  <c r="G85" i="140"/>
  <c r="H85" i="140"/>
  <c r="I85" i="140"/>
  <c r="J85" i="140"/>
  <c r="K85" i="140"/>
  <c r="L85" i="140"/>
  <c r="M85" i="140"/>
  <c r="N85" i="140"/>
  <c r="O85" i="140"/>
  <c r="P85" i="140"/>
  <c r="Q85" i="140"/>
  <c r="R85" i="140"/>
  <c r="S85" i="140"/>
  <c r="T85" i="140"/>
  <c r="U85" i="140"/>
  <c r="W85" i="140"/>
  <c r="E86" i="140"/>
  <c r="F86" i="140"/>
  <c r="G86" i="140"/>
  <c r="H86" i="140"/>
  <c r="I86" i="140"/>
  <c r="J86" i="140"/>
  <c r="K86" i="140"/>
  <c r="L86" i="140"/>
  <c r="M86" i="140"/>
  <c r="N86" i="140"/>
  <c r="O86" i="140"/>
  <c r="P86" i="140"/>
  <c r="Q86" i="140"/>
  <c r="R86" i="140"/>
  <c r="S86" i="140"/>
  <c r="T86" i="140"/>
  <c r="U86" i="140"/>
  <c r="W86" i="140"/>
  <c r="E87" i="140"/>
  <c r="F87" i="140"/>
  <c r="G87" i="140"/>
  <c r="H87" i="140"/>
  <c r="I87" i="140"/>
  <c r="J87" i="140"/>
  <c r="K87" i="140"/>
  <c r="L87" i="140"/>
  <c r="M87" i="140"/>
  <c r="N87" i="140"/>
  <c r="O87" i="140"/>
  <c r="P87" i="140"/>
  <c r="Q87" i="140"/>
  <c r="R87" i="140"/>
  <c r="S87" i="140"/>
  <c r="T87" i="140"/>
  <c r="U87" i="140"/>
  <c r="W87" i="140"/>
  <c r="E88" i="140"/>
  <c r="F88" i="140"/>
  <c r="G88" i="140"/>
  <c r="H88" i="140"/>
  <c r="I88" i="140"/>
  <c r="J88" i="140"/>
  <c r="K88" i="140"/>
  <c r="L88" i="140"/>
  <c r="M88" i="140"/>
  <c r="N88" i="140"/>
  <c r="O88" i="140"/>
  <c r="P88" i="140"/>
  <c r="Q88" i="140"/>
  <c r="R88" i="140"/>
  <c r="S88" i="140"/>
  <c r="T88" i="140"/>
  <c r="U88" i="140"/>
  <c r="W88" i="140"/>
  <c r="E89" i="140"/>
  <c r="F89" i="140"/>
  <c r="G89" i="140"/>
  <c r="H89" i="140"/>
  <c r="I89" i="140"/>
  <c r="J89" i="140"/>
  <c r="K89" i="140"/>
  <c r="L89" i="140"/>
  <c r="M89" i="140"/>
  <c r="N89" i="140"/>
  <c r="O89" i="140"/>
  <c r="P89" i="140"/>
  <c r="Q89" i="140"/>
  <c r="R89" i="140"/>
  <c r="S89" i="140"/>
  <c r="T89" i="140"/>
  <c r="U89" i="140"/>
  <c r="W89" i="140"/>
  <c r="E90" i="140"/>
  <c r="F90" i="140"/>
  <c r="G90" i="140"/>
  <c r="H90" i="140"/>
  <c r="I90" i="140"/>
  <c r="J90" i="140"/>
  <c r="K90" i="140"/>
  <c r="L90" i="140"/>
  <c r="M90" i="140"/>
  <c r="N90" i="140"/>
  <c r="O90" i="140"/>
  <c r="P90" i="140"/>
  <c r="Q90" i="140"/>
  <c r="R90" i="140"/>
  <c r="S90" i="140"/>
  <c r="T90" i="140"/>
  <c r="U90" i="140"/>
  <c r="W90" i="140"/>
  <c r="W82" i="140"/>
  <c r="F82" i="140"/>
  <c r="G82" i="140"/>
  <c r="H82" i="140"/>
  <c r="I82" i="140"/>
  <c r="J82" i="140"/>
  <c r="K82" i="140"/>
  <c r="L82" i="140"/>
  <c r="M82" i="140"/>
  <c r="N82" i="140"/>
  <c r="O82" i="140"/>
  <c r="P82" i="140"/>
  <c r="Q82" i="140"/>
  <c r="R82" i="140"/>
  <c r="S82" i="140"/>
  <c r="T82" i="140"/>
  <c r="E82" i="140"/>
  <c r="E69" i="140"/>
  <c r="F69" i="140"/>
  <c r="G69" i="140"/>
  <c r="H69" i="140"/>
  <c r="I69" i="140"/>
  <c r="J69" i="140"/>
  <c r="K69" i="140"/>
  <c r="L69" i="140"/>
  <c r="M69" i="140"/>
  <c r="N69" i="140"/>
  <c r="O69" i="140"/>
  <c r="P69" i="140"/>
  <c r="Q69" i="140"/>
  <c r="R69" i="140"/>
  <c r="S69" i="140"/>
  <c r="T69" i="140"/>
  <c r="U69" i="140"/>
  <c r="W69" i="140"/>
  <c r="E70" i="140"/>
  <c r="F70" i="140"/>
  <c r="G70" i="140"/>
  <c r="H70" i="140"/>
  <c r="I70" i="140"/>
  <c r="J70" i="140"/>
  <c r="K70" i="140"/>
  <c r="L70" i="140"/>
  <c r="M70" i="140"/>
  <c r="N70" i="140"/>
  <c r="O70" i="140"/>
  <c r="P70" i="140"/>
  <c r="Q70" i="140"/>
  <c r="R70" i="140"/>
  <c r="S70" i="140"/>
  <c r="T70" i="140"/>
  <c r="U70" i="140"/>
  <c r="W70" i="140"/>
  <c r="E71" i="140"/>
  <c r="F71" i="140"/>
  <c r="G71" i="140"/>
  <c r="H71" i="140"/>
  <c r="I71" i="140"/>
  <c r="J71" i="140"/>
  <c r="K71" i="140"/>
  <c r="L71" i="140"/>
  <c r="M71" i="140"/>
  <c r="N71" i="140"/>
  <c r="O71" i="140"/>
  <c r="P71" i="140"/>
  <c r="Q71" i="140"/>
  <c r="R71" i="140"/>
  <c r="S71" i="140"/>
  <c r="T71" i="140"/>
  <c r="U71" i="140"/>
  <c r="W71" i="140"/>
  <c r="E72" i="140"/>
  <c r="F72" i="140"/>
  <c r="G72" i="140"/>
  <c r="H72" i="140"/>
  <c r="I72" i="140"/>
  <c r="J72" i="140"/>
  <c r="K72" i="140"/>
  <c r="L72" i="140"/>
  <c r="M72" i="140"/>
  <c r="N72" i="140"/>
  <c r="O72" i="140"/>
  <c r="P72" i="140"/>
  <c r="Q72" i="140"/>
  <c r="R72" i="140"/>
  <c r="S72" i="140"/>
  <c r="T72" i="140"/>
  <c r="U72" i="140"/>
  <c r="W72" i="140"/>
  <c r="E73" i="140"/>
  <c r="F73" i="140"/>
  <c r="G73" i="140"/>
  <c r="H73" i="140"/>
  <c r="I73" i="140"/>
  <c r="J73" i="140"/>
  <c r="K73" i="140"/>
  <c r="L73" i="140"/>
  <c r="M73" i="140"/>
  <c r="N73" i="140"/>
  <c r="O73" i="140"/>
  <c r="P73" i="140"/>
  <c r="Q73" i="140"/>
  <c r="R73" i="140"/>
  <c r="S73" i="140"/>
  <c r="T73" i="140"/>
  <c r="U73" i="140"/>
  <c r="W73" i="140"/>
  <c r="E74" i="140"/>
  <c r="F74" i="140"/>
  <c r="G74" i="140"/>
  <c r="H74" i="140"/>
  <c r="I74" i="140"/>
  <c r="J74" i="140"/>
  <c r="K74" i="140"/>
  <c r="L74" i="140"/>
  <c r="M74" i="140"/>
  <c r="N74" i="140"/>
  <c r="O74" i="140"/>
  <c r="P74" i="140"/>
  <c r="Q74" i="140"/>
  <c r="R74" i="140"/>
  <c r="S74" i="140"/>
  <c r="T74" i="140"/>
  <c r="U74" i="140"/>
  <c r="W74" i="140"/>
  <c r="E75" i="140"/>
  <c r="F75" i="140"/>
  <c r="G75" i="140"/>
  <c r="H75" i="140"/>
  <c r="I75" i="140"/>
  <c r="J75" i="140"/>
  <c r="K75" i="140"/>
  <c r="L75" i="140"/>
  <c r="M75" i="140"/>
  <c r="N75" i="140"/>
  <c r="O75" i="140"/>
  <c r="P75" i="140"/>
  <c r="Q75" i="140"/>
  <c r="R75" i="140"/>
  <c r="S75" i="140"/>
  <c r="T75" i="140"/>
  <c r="U75" i="140"/>
  <c r="W75" i="140"/>
  <c r="E76" i="140"/>
  <c r="F76" i="140"/>
  <c r="G76" i="140"/>
  <c r="H76" i="140"/>
  <c r="I76" i="140"/>
  <c r="J76" i="140"/>
  <c r="K76" i="140"/>
  <c r="L76" i="140"/>
  <c r="M76" i="140"/>
  <c r="N76" i="140"/>
  <c r="O76" i="140"/>
  <c r="P76" i="140"/>
  <c r="Q76" i="140"/>
  <c r="R76" i="140"/>
  <c r="S76" i="140"/>
  <c r="T76" i="140"/>
  <c r="U76" i="140"/>
  <c r="W76" i="140"/>
  <c r="J77" i="140"/>
  <c r="K77" i="140"/>
  <c r="L77" i="140"/>
  <c r="M77" i="140"/>
  <c r="N77" i="140"/>
  <c r="O77" i="140"/>
  <c r="P77" i="140"/>
  <c r="Q77" i="140"/>
  <c r="R77" i="140"/>
  <c r="S77" i="140"/>
  <c r="T77" i="140"/>
  <c r="U77" i="140"/>
  <c r="W77" i="140"/>
  <c r="J78" i="140"/>
  <c r="K78" i="140"/>
  <c r="L78" i="140"/>
  <c r="M78" i="140"/>
  <c r="N78" i="140"/>
  <c r="O78" i="140"/>
  <c r="P78" i="140"/>
  <c r="Q78" i="140"/>
  <c r="R78" i="140"/>
  <c r="S78" i="140"/>
  <c r="T78" i="140"/>
  <c r="U78" i="140"/>
  <c r="W78" i="140"/>
  <c r="J79" i="140"/>
  <c r="K79" i="140"/>
  <c r="L79" i="140"/>
  <c r="M79" i="140"/>
  <c r="N79" i="140"/>
  <c r="O79" i="140"/>
  <c r="P79" i="140"/>
  <c r="Q79" i="140"/>
  <c r="R79" i="140"/>
  <c r="S79" i="140"/>
  <c r="T79" i="140"/>
  <c r="U79" i="140"/>
  <c r="W79" i="140"/>
  <c r="J80" i="140"/>
  <c r="K80" i="140"/>
  <c r="L80" i="140"/>
  <c r="M80" i="140"/>
  <c r="N80" i="140"/>
  <c r="O80" i="140"/>
  <c r="P80" i="140"/>
  <c r="Q80" i="140"/>
  <c r="R80" i="140"/>
  <c r="S80" i="140"/>
  <c r="T80" i="140"/>
  <c r="U80" i="140"/>
  <c r="W80" i="140"/>
  <c r="J81" i="140"/>
  <c r="K81" i="140"/>
  <c r="L81" i="140"/>
  <c r="M81" i="140"/>
  <c r="N81" i="140"/>
  <c r="O81" i="140"/>
  <c r="P81" i="140"/>
  <c r="Q81" i="140"/>
  <c r="R81" i="140"/>
  <c r="S81" i="140"/>
  <c r="T81" i="140"/>
  <c r="U81" i="140"/>
  <c r="W81" i="140"/>
  <c r="W68" i="140"/>
  <c r="F68" i="140"/>
  <c r="G68" i="140"/>
  <c r="H68" i="140"/>
  <c r="I68" i="140"/>
  <c r="J68" i="140"/>
  <c r="K68" i="140"/>
  <c r="L68" i="140"/>
  <c r="M68" i="140"/>
  <c r="N68" i="140"/>
  <c r="O68" i="140"/>
  <c r="P68" i="140"/>
  <c r="Q68" i="140"/>
  <c r="R68" i="140"/>
  <c r="S68" i="140"/>
  <c r="T68" i="140"/>
  <c r="E68" i="140"/>
  <c r="E55" i="140"/>
  <c r="F55" i="140"/>
  <c r="G55" i="140"/>
  <c r="H55" i="140"/>
  <c r="I55" i="140"/>
  <c r="J55" i="140"/>
  <c r="K55" i="140"/>
  <c r="L55" i="140"/>
  <c r="M55" i="140"/>
  <c r="N55" i="140"/>
  <c r="O55" i="140"/>
  <c r="P55" i="140"/>
  <c r="Q55" i="140"/>
  <c r="R55" i="140"/>
  <c r="S55" i="140"/>
  <c r="T55" i="140"/>
  <c r="U55" i="140"/>
  <c r="W55" i="140"/>
  <c r="E56" i="140"/>
  <c r="F56" i="140"/>
  <c r="G56" i="140"/>
  <c r="H56" i="140"/>
  <c r="I56" i="140"/>
  <c r="J56" i="140"/>
  <c r="K56" i="140"/>
  <c r="L56" i="140"/>
  <c r="M56" i="140"/>
  <c r="N56" i="140"/>
  <c r="O56" i="140"/>
  <c r="P56" i="140"/>
  <c r="Q56" i="140"/>
  <c r="R56" i="140"/>
  <c r="S56" i="140"/>
  <c r="T56" i="140"/>
  <c r="U56" i="140"/>
  <c r="W56" i="140"/>
  <c r="E57" i="140"/>
  <c r="F57" i="140"/>
  <c r="G57" i="140"/>
  <c r="H57" i="140"/>
  <c r="I57" i="140"/>
  <c r="J57" i="140"/>
  <c r="K57" i="140"/>
  <c r="L57" i="140"/>
  <c r="M57" i="140"/>
  <c r="N57" i="140"/>
  <c r="O57" i="140"/>
  <c r="P57" i="140"/>
  <c r="Q57" i="140"/>
  <c r="R57" i="140"/>
  <c r="S57" i="140"/>
  <c r="T57" i="140"/>
  <c r="U57" i="140"/>
  <c r="W57" i="140"/>
  <c r="E58" i="140"/>
  <c r="F58" i="140"/>
  <c r="G58" i="140"/>
  <c r="H58" i="140"/>
  <c r="I58" i="140"/>
  <c r="J58" i="140"/>
  <c r="K58" i="140"/>
  <c r="L58" i="140"/>
  <c r="M58" i="140"/>
  <c r="N58" i="140"/>
  <c r="O58" i="140"/>
  <c r="P58" i="140"/>
  <c r="Q58" i="140"/>
  <c r="R58" i="140"/>
  <c r="S58" i="140"/>
  <c r="T58" i="140"/>
  <c r="U58" i="140"/>
  <c r="W58" i="140"/>
  <c r="E59" i="140"/>
  <c r="F59" i="140"/>
  <c r="G59" i="140"/>
  <c r="H59" i="140"/>
  <c r="I59" i="140"/>
  <c r="J59" i="140"/>
  <c r="K59" i="140"/>
  <c r="L59" i="140"/>
  <c r="M59" i="140"/>
  <c r="N59" i="140"/>
  <c r="O59" i="140"/>
  <c r="P59" i="140"/>
  <c r="Q59" i="140"/>
  <c r="R59" i="140"/>
  <c r="S59" i="140"/>
  <c r="T59" i="140"/>
  <c r="U59" i="140"/>
  <c r="W59" i="140"/>
  <c r="E60" i="140"/>
  <c r="F60" i="140"/>
  <c r="G60" i="140"/>
  <c r="H60" i="140"/>
  <c r="I60" i="140"/>
  <c r="J60" i="140"/>
  <c r="K60" i="140"/>
  <c r="L60" i="140"/>
  <c r="M60" i="140"/>
  <c r="N60" i="140"/>
  <c r="O60" i="140"/>
  <c r="P60" i="140"/>
  <c r="Q60" i="140"/>
  <c r="R60" i="140"/>
  <c r="S60" i="140"/>
  <c r="T60" i="140"/>
  <c r="U60" i="140"/>
  <c r="W60" i="140"/>
  <c r="E61" i="140"/>
  <c r="F61" i="140"/>
  <c r="G61" i="140"/>
  <c r="H61" i="140"/>
  <c r="I61" i="140"/>
  <c r="J61" i="140"/>
  <c r="K61" i="140"/>
  <c r="L61" i="140"/>
  <c r="M61" i="140"/>
  <c r="N61" i="140"/>
  <c r="O61" i="140"/>
  <c r="P61" i="140"/>
  <c r="Q61" i="140"/>
  <c r="R61" i="140"/>
  <c r="S61" i="140"/>
  <c r="T61" i="140"/>
  <c r="U61" i="140"/>
  <c r="W61" i="140"/>
  <c r="E62" i="140"/>
  <c r="F62" i="140"/>
  <c r="G62" i="140"/>
  <c r="H62" i="140"/>
  <c r="I62" i="140"/>
  <c r="J62" i="140"/>
  <c r="K62" i="140"/>
  <c r="L62" i="140"/>
  <c r="M62" i="140"/>
  <c r="N62" i="140"/>
  <c r="O62" i="140"/>
  <c r="P62" i="140"/>
  <c r="Q62" i="140"/>
  <c r="R62" i="140"/>
  <c r="S62" i="140"/>
  <c r="T62" i="140"/>
  <c r="U62" i="140"/>
  <c r="W62" i="140"/>
  <c r="W54" i="140"/>
  <c r="F54" i="140"/>
  <c r="G54" i="140"/>
  <c r="H54" i="140"/>
  <c r="I54" i="140"/>
  <c r="J54" i="140"/>
  <c r="K54" i="140"/>
  <c r="L54" i="140"/>
  <c r="M54" i="140"/>
  <c r="N54" i="140"/>
  <c r="O54" i="140"/>
  <c r="P54" i="140"/>
  <c r="Q54" i="140"/>
  <c r="R54" i="140"/>
  <c r="S54" i="140"/>
  <c r="T54" i="140"/>
  <c r="E54" i="140"/>
  <c r="E41" i="140"/>
  <c r="F41" i="140"/>
  <c r="G41" i="140"/>
  <c r="H41" i="140"/>
  <c r="I41" i="140"/>
  <c r="J41" i="140"/>
  <c r="K41" i="140"/>
  <c r="L41" i="140"/>
  <c r="M41" i="140"/>
  <c r="N41" i="140"/>
  <c r="O41" i="140"/>
  <c r="P41" i="140"/>
  <c r="Q41" i="140"/>
  <c r="R41" i="140"/>
  <c r="S41" i="140"/>
  <c r="T41" i="140"/>
  <c r="U41" i="140"/>
  <c r="W41" i="140"/>
  <c r="E42" i="140"/>
  <c r="F42" i="140"/>
  <c r="G42" i="140"/>
  <c r="H42" i="140"/>
  <c r="I42" i="140"/>
  <c r="J42" i="140"/>
  <c r="K42" i="140"/>
  <c r="L42" i="140"/>
  <c r="M42" i="140"/>
  <c r="N42" i="140"/>
  <c r="O42" i="140"/>
  <c r="P42" i="140"/>
  <c r="Q42" i="140"/>
  <c r="R42" i="140"/>
  <c r="S42" i="140"/>
  <c r="T42" i="140"/>
  <c r="U42" i="140"/>
  <c r="W42" i="140"/>
  <c r="E43" i="140"/>
  <c r="F43" i="140"/>
  <c r="G43" i="140"/>
  <c r="H43" i="140"/>
  <c r="I43" i="140"/>
  <c r="J43" i="140"/>
  <c r="K43" i="140"/>
  <c r="L43" i="140"/>
  <c r="M43" i="140"/>
  <c r="N43" i="140"/>
  <c r="O43" i="140"/>
  <c r="P43" i="140"/>
  <c r="Q43" i="140"/>
  <c r="R43" i="140"/>
  <c r="S43" i="140"/>
  <c r="T43" i="140"/>
  <c r="U43" i="140"/>
  <c r="W43" i="140"/>
  <c r="E44" i="140"/>
  <c r="F44" i="140"/>
  <c r="G44" i="140"/>
  <c r="H44" i="140"/>
  <c r="I44" i="140"/>
  <c r="J44" i="140"/>
  <c r="K44" i="140"/>
  <c r="L44" i="140"/>
  <c r="M44" i="140"/>
  <c r="N44" i="140"/>
  <c r="O44" i="140"/>
  <c r="P44" i="140"/>
  <c r="Q44" i="140"/>
  <c r="R44" i="140"/>
  <c r="S44" i="140"/>
  <c r="T44" i="140"/>
  <c r="U44" i="140"/>
  <c r="W44" i="140"/>
  <c r="E45" i="140"/>
  <c r="F45" i="140"/>
  <c r="G45" i="140"/>
  <c r="H45" i="140"/>
  <c r="I45" i="140"/>
  <c r="J45" i="140"/>
  <c r="K45" i="140"/>
  <c r="L45" i="140"/>
  <c r="M45" i="140"/>
  <c r="N45" i="140"/>
  <c r="O45" i="140"/>
  <c r="P45" i="140"/>
  <c r="Q45" i="140"/>
  <c r="R45" i="140"/>
  <c r="S45" i="140"/>
  <c r="T45" i="140"/>
  <c r="U45" i="140"/>
  <c r="W45" i="140"/>
  <c r="E46" i="140"/>
  <c r="F46" i="140"/>
  <c r="G46" i="140"/>
  <c r="H46" i="140"/>
  <c r="I46" i="140"/>
  <c r="J46" i="140"/>
  <c r="K46" i="140"/>
  <c r="L46" i="140"/>
  <c r="M46" i="140"/>
  <c r="N46" i="140"/>
  <c r="O46" i="140"/>
  <c r="P46" i="140"/>
  <c r="Q46" i="140"/>
  <c r="R46" i="140"/>
  <c r="S46" i="140"/>
  <c r="T46" i="140"/>
  <c r="U46" i="140"/>
  <c r="W46" i="140"/>
  <c r="E47" i="140"/>
  <c r="F47" i="140"/>
  <c r="G47" i="140"/>
  <c r="H47" i="140"/>
  <c r="I47" i="140"/>
  <c r="J47" i="140"/>
  <c r="K47" i="140"/>
  <c r="L47" i="140"/>
  <c r="M47" i="140"/>
  <c r="N47" i="140"/>
  <c r="O47" i="140"/>
  <c r="P47" i="140"/>
  <c r="Q47" i="140"/>
  <c r="R47" i="140"/>
  <c r="S47" i="140"/>
  <c r="T47" i="140"/>
  <c r="U47" i="140"/>
  <c r="W47" i="140"/>
  <c r="E48" i="140"/>
  <c r="F48" i="140"/>
  <c r="G48" i="140"/>
  <c r="H48" i="140"/>
  <c r="I48" i="140"/>
  <c r="J48" i="140"/>
  <c r="K48" i="140"/>
  <c r="L48" i="140"/>
  <c r="M48" i="140"/>
  <c r="N48" i="140"/>
  <c r="O48" i="140"/>
  <c r="P48" i="140"/>
  <c r="Q48" i="140"/>
  <c r="R48" i="140"/>
  <c r="S48" i="140"/>
  <c r="T48" i="140"/>
  <c r="U48" i="140"/>
  <c r="W48" i="140"/>
  <c r="W40" i="140"/>
  <c r="F40" i="140"/>
  <c r="G40" i="140"/>
  <c r="H40" i="140"/>
  <c r="I40" i="140"/>
  <c r="J40" i="140"/>
  <c r="K40" i="140"/>
  <c r="L40" i="140"/>
  <c r="M40" i="140"/>
  <c r="N40" i="140"/>
  <c r="O40" i="140"/>
  <c r="P40" i="140"/>
  <c r="Q40" i="140"/>
  <c r="R40" i="140"/>
  <c r="S40" i="140"/>
  <c r="T40" i="140"/>
  <c r="E40" i="140"/>
  <c r="E27" i="140"/>
  <c r="F27" i="140"/>
  <c r="G27" i="140"/>
  <c r="H27" i="140"/>
  <c r="I27" i="140"/>
  <c r="J27" i="140"/>
  <c r="K27" i="140"/>
  <c r="L27" i="140"/>
  <c r="M27" i="140"/>
  <c r="N27" i="140"/>
  <c r="O27" i="140"/>
  <c r="P27" i="140"/>
  <c r="Q27" i="140"/>
  <c r="R27" i="140"/>
  <c r="S27" i="140"/>
  <c r="T27" i="140"/>
  <c r="U27" i="140"/>
  <c r="W27" i="140"/>
  <c r="E28" i="140"/>
  <c r="F28" i="140"/>
  <c r="G28" i="140"/>
  <c r="H28" i="140"/>
  <c r="I28" i="140"/>
  <c r="J28" i="140"/>
  <c r="K28" i="140"/>
  <c r="L28" i="140"/>
  <c r="M28" i="140"/>
  <c r="N28" i="140"/>
  <c r="O28" i="140"/>
  <c r="P28" i="140"/>
  <c r="Q28" i="140"/>
  <c r="R28" i="140"/>
  <c r="S28" i="140"/>
  <c r="T28" i="140"/>
  <c r="U28" i="140"/>
  <c r="W28" i="140"/>
  <c r="E29" i="140"/>
  <c r="F29" i="140"/>
  <c r="G29" i="140"/>
  <c r="H29" i="140"/>
  <c r="I29" i="140"/>
  <c r="J29" i="140"/>
  <c r="K29" i="140"/>
  <c r="L29" i="140"/>
  <c r="M29" i="140"/>
  <c r="N29" i="140"/>
  <c r="O29" i="140"/>
  <c r="P29" i="140"/>
  <c r="Q29" i="140"/>
  <c r="R29" i="140"/>
  <c r="S29" i="140"/>
  <c r="T29" i="140"/>
  <c r="U29" i="140"/>
  <c r="W29" i="140"/>
  <c r="E30" i="140"/>
  <c r="F30" i="140"/>
  <c r="G30" i="140"/>
  <c r="H30" i="140"/>
  <c r="I30" i="140"/>
  <c r="J30" i="140"/>
  <c r="K30" i="140"/>
  <c r="L30" i="140"/>
  <c r="M30" i="140"/>
  <c r="N30" i="140"/>
  <c r="O30" i="140"/>
  <c r="P30" i="140"/>
  <c r="Q30" i="140"/>
  <c r="R30" i="140"/>
  <c r="S30" i="140"/>
  <c r="T30" i="140"/>
  <c r="U30" i="140"/>
  <c r="W30" i="140"/>
  <c r="E31" i="140"/>
  <c r="F31" i="140"/>
  <c r="G31" i="140"/>
  <c r="H31" i="140"/>
  <c r="I31" i="140"/>
  <c r="J31" i="140"/>
  <c r="K31" i="140"/>
  <c r="L31" i="140"/>
  <c r="M31" i="140"/>
  <c r="N31" i="140"/>
  <c r="O31" i="140"/>
  <c r="P31" i="140"/>
  <c r="Q31" i="140"/>
  <c r="R31" i="140"/>
  <c r="S31" i="140"/>
  <c r="T31" i="140"/>
  <c r="U31" i="140"/>
  <c r="W31" i="140"/>
  <c r="E32" i="140"/>
  <c r="F32" i="140"/>
  <c r="G32" i="140"/>
  <c r="H32" i="140"/>
  <c r="I32" i="140"/>
  <c r="J32" i="140"/>
  <c r="K32" i="140"/>
  <c r="L32" i="140"/>
  <c r="M32" i="140"/>
  <c r="N32" i="140"/>
  <c r="O32" i="140"/>
  <c r="P32" i="140"/>
  <c r="Q32" i="140"/>
  <c r="R32" i="140"/>
  <c r="S32" i="140"/>
  <c r="T32" i="140"/>
  <c r="U32" i="140"/>
  <c r="W32" i="140"/>
  <c r="E33" i="140"/>
  <c r="F33" i="140"/>
  <c r="G33" i="140"/>
  <c r="H33" i="140"/>
  <c r="I33" i="140"/>
  <c r="J33" i="140"/>
  <c r="K33" i="140"/>
  <c r="L33" i="140"/>
  <c r="M33" i="140"/>
  <c r="N33" i="140"/>
  <c r="O33" i="140"/>
  <c r="P33" i="140"/>
  <c r="Q33" i="140"/>
  <c r="R33" i="140"/>
  <c r="S33" i="140"/>
  <c r="T33" i="140"/>
  <c r="U33" i="140"/>
  <c r="W33" i="140"/>
  <c r="E34" i="140"/>
  <c r="F34" i="140"/>
  <c r="G34" i="140"/>
  <c r="H34" i="140"/>
  <c r="I34" i="140"/>
  <c r="J34" i="140"/>
  <c r="K34" i="140"/>
  <c r="L34" i="140"/>
  <c r="M34" i="140"/>
  <c r="N34" i="140"/>
  <c r="O34" i="140"/>
  <c r="P34" i="140"/>
  <c r="Q34" i="140"/>
  <c r="R34" i="140"/>
  <c r="S34" i="140"/>
  <c r="T34" i="140"/>
  <c r="U34" i="140"/>
  <c r="W34" i="140"/>
  <c r="W26" i="140"/>
  <c r="F26" i="140"/>
  <c r="G26" i="140"/>
  <c r="H26" i="140"/>
  <c r="I26" i="140"/>
  <c r="J26" i="140"/>
  <c r="K26" i="140"/>
  <c r="L26" i="140"/>
  <c r="M26" i="140"/>
  <c r="N26" i="140"/>
  <c r="O26" i="140"/>
  <c r="P26" i="140"/>
  <c r="Q26" i="140"/>
  <c r="R26" i="140"/>
  <c r="S26" i="140"/>
  <c r="T26" i="140"/>
  <c r="E26" i="140"/>
  <c r="E13" i="140"/>
  <c r="F13" i="140"/>
  <c r="G13" i="140"/>
  <c r="H13" i="140"/>
  <c r="I13" i="140"/>
  <c r="J13" i="140"/>
  <c r="K13" i="140"/>
  <c r="L13" i="140"/>
  <c r="M13" i="140"/>
  <c r="N13" i="140"/>
  <c r="O13" i="140"/>
  <c r="P13" i="140"/>
  <c r="Q13" i="140"/>
  <c r="R13" i="140"/>
  <c r="S13" i="140"/>
  <c r="T13" i="140"/>
  <c r="U13" i="140"/>
  <c r="W13" i="140"/>
  <c r="E14" i="140"/>
  <c r="F14" i="140"/>
  <c r="G14" i="140"/>
  <c r="H14" i="140"/>
  <c r="I14" i="140"/>
  <c r="J14" i="140"/>
  <c r="K14" i="140"/>
  <c r="L14" i="140"/>
  <c r="M14" i="140"/>
  <c r="N14" i="140"/>
  <c r="O14" i="140"/>
  <c r="P14" i="140"/>
  <c r="Q14" i="140"/>
  <c r="R14" i="140"/>
  <c r="S14" i="140"/>
  <c r="T14" i="140"/>
  <c r="U14" i="140"/>
  <c r="W14" i="140"/>
  <c r="E15" i="140"/>
  <c r="F15" i="140"/>
  <c r="G15" i="140"/>
  <c r="H15" i="140"/>
  <c r="I15" i="140"/>
  <c r="J15" i="140"/>
  <c r="K15" i="140"/>
  <c r="L15" i="140"/>
  <c r="M15" i="140"/>
  <c r="N15" i="140"/>
  <c r="O15" i="140"/>
  <c r="P15" i="140"/>
  <c r="Q15" i="140"/>
  <c r="R15" i="140"/>
  <c r="S15" i="140"/>
  <c r="T15" i="140"/>
  <c r="U15" i="140"/>
  <c r="W15" i="140"/>
  <c r="E16" i="140"/>
  <c r="F16" i="140"/>
  <c r="G16" i="140"/>
  <c r="H16" i="140"/>
  <c r="I16" i="140"/>
  <c r="J16" i="140"/>
  <c r="K16" i="140"/>
  <c r="L16" i="140"/>
  <c r="M16" i="140"/>
  <c r="N16" i="140"/>
  <c r="O16" i="140"/>
  <c r="P16" i="140"/>
  <c r="Q16" i="140"/>
  <c r="R16" i="140"/>
  <c r="S16" i="140"/>
  <c r="T16" i="140"/>
  <c r="U16" i="140"/>
  <c r="W16" i="140"/>
  <c r="E17" i="140"/>
  <c r="F17" i="140"/>
  <c r="G17" i="140"/>
  <c r="H17" i="140"/>
  <c r="I17" i="140"/>
  <c r="J17" i="140"/>
  <c r="K17" i="140"/>
  <c r="L17" i="140"/>
  <c r="M17" i="140"/>
  <c r="N17" i="140"/>
  <c r="O17" i="140"/>
  <c r="P17" i="140"/>
  <c r="Q17" i="140"/>
  <c r="R17" i="140"/>
  <c r="S17" i="140"/>
  <c r="T17" i="140"/>
  <c r="U17" i="140"/>
  <c r="W17" i="140"/>
  <c r="E18" i="140"/>
  <c r="F18" i="140"/>
  <c r="G18" i="140"/>
  <c r="H18" i="140"/>
  <c r="I18" i="140"/>
  <c r="J18" i="140"/>
  <c r="K18" i="140"/>
  <c r="L18" i="140"/>
  <c r="M18" i="140"/>
  <c r="N18" i="140"/>
  <c r="O18" i="140"/>
  <c r="P18" i="140"/>
  <c r="Q18" i="140"/>
  <c r="R18" i="140"/>
  <c r="S18" i="140"/>
  <c r="T18" i="140"/>
  <c r="U18" i="140"/>
  <c r="W18" i="140"/>
  <c r="E19" i="140"/>
  <c r="F19" i="140"/>
  <c r="G19" i="140"/>
  <c r="H19" i="140"/>
  <c r="I19" i="140"/>
  <c r="J19" i="140"/>
  <c r="K19" i="140"/>
  <c r="L19" i="140"/>
  <c r="M19" i="140"/>
  <c r="N19" i="140"/>
  <c r="O19" i="140"/>
  <c r="P19" i="140"/>
  <c r="Q19" i="140"/>
  <c r="R19" i="140"/>
  <c r="S19" i="140"/>
  <c r="T19" i="140"/>
  <c r="U19" i="140"/>
  <c r="W19" i="140"/>
  <c r="E20" i="140"/>
  <c r="F20" i="140"/>
  <c r="G20" i="140"/>
  <c r="H20" i="140"/>
  <c r="I20" i="140"/>
  <c r="J20" i="140"/>
  <c r="K20" i="140"/>
  <c r="L20" i="140"/>
  <c r="M20" i="140"/>
  <c r="N20" i="140"/>
  <c r="O20" i="140"/>
  <c r="P20" i="140"/>
  <c r="Q20" i="140"/>
  <c r="R20" i="140"/>
  <c r="S20" i="140"/>
  <c r="T20" i="140"/>
  <c r="U20" i="140"/>
  <c r="W20" i="140"/>
  <c r="W12" i="140"/>
  <c r="F12" i="140"/>
  <c r="G12" i="140"/>
  <c r="H12" i="140"/>
  <c r="I12" i="140"/>
  <c r="J12" i="140"/>
  <c r="K12" i="140"/>
  <c r="L12" i="140"/>
  <c r="M12" i="140"/>
  <c r="N12" i="140"/>
  <c r="O12" i="140"/>
  <c r="P12" i="140"/>
  <c r="Q12" i="140"/>
  <c r="R12" i="140"/>
  <c r="S12" i="140"/>
  <c r="T12" i="140"/>
  <c r="E12" i="140"/>
  <c r="C152" i="140"/>
  <c r="C138" i="140"/>
  <c r="C124" i="140"/>
  <c r="C110" i="140"/>
  <c r="C96" i="140"/>
  <c r="C82" i="140"/>
  <c r="C68" i="140"/>
  <c r="C54" i="140"/>
  <c r="C40" i="140"/>
  <c r="C26" i="140"/>
  <c r="C12" i="140"/>
  <c r="B8" i="140"/>
  <c r="E167" i="122"/>
  <c r="F167" i="122"/>
  <c r="G167" i="122"/>
  <c r="H167" i="122"/>
  <c r="I167" i="122"/>
  <c r="J167" i="122"/>
  <c r="K167" i="122"/>
  <c r="L167" i="122"/>
  <c r="M167" i="122"/>
  <c r="N167" i="122"/>
  <c r="O167" i="122"/>
  <c r="P167" i="122"/>
  <c r="Q167" i="122"/>
  <c r="R167" i="122"/>
  <c r="S167" i="122"/>
  <c r="T167" i="122"/>
  <c r="U167" i="122"/>
  <c r="W167" i="122"/>
  <c r="E168" i="122"/>
  <c r="F168" i="122"/>
  <c r="G168" i="122"/>
  <c r="H168" i="122"/>
  <c r="I168" i="122"/>
  <c r="J168" i="122"/>
  <c r="K168" i="122"/>
  <c r="L168" i="122"/>
  <c r="M168" i="122"/>
  <c r="N168" i="122"/>
  <c r="O168" i="122"/>
  <c r="P168" i="122"/>
  <c r="Q168" i="122"/>
  <c r="R168" i="122"/>
  <c r="S168" i="122"/>
  <c r="T168" i="122"/>
  <c r="U168" i="122"/>
  <c r="W168" i="122"/>
  <c r="E169" i="122"/>
  <c r="F169" i="122"/>
  <c r="G169" i="122"/>
  <c r="H169" i="122"/>
  <c r="I169" i="122"/>
  <c r="J169" i="122"/>
  <c r="K169" i="122"/>
  <c r="L169" i="122"/>
  <c r="M169" i="122"/>
  <c r="N169" i="122"/>
  <c r="O169" i="122"/>
  <c r="P169" i="122"/>
  <c r="Q169" i="122"/>
  <c r="R169" i="122"/>
  <c r="S169" i="122"/>
  <c r="T169" i="122"/>
  <c r="U169" i="122"/>
  <c r="W169" i="122"/>
  <c r="E170" i="122"/>
  <c r="F170" i="122"/>
  <c r="G170" i="122"/>
  <c r="H170" i="122"/>
  <c r="I170" i="122"/>
  <c r="J170" i="122"/>
  <c r="K170" i="122"/>
  <c r="L170" i="122"/>
  <c r="M170" i="122"/>
  <c r="N170" i="122"/>
  <c r="O170" i="122"/>
  <c r="P170" i="122"/>
  <c r="Q170" i="122"/>
  <c r="R170" i="122"/>
  <c r="S170" i="122"/>
  <c r="T170" i="122"/>
  <c r="U170" i="122"/>
  <c r="W170" i="122"/>
  <c r="E171" i="122"/>
  <c r="F171" i="122"/>
  <c r="G171" i="122"/>
  <c r="H171" i="122"/>
  <c r="I171" i="122"/>
  <c r="J171" i="122"/>
  <c r="K171" i="122"/>
  <c r="L171" i="122"/>
  <c r="M171" i="122"/>
  <c r="N171" i="122"/>
  <c r="O171" i="122"/>
  <c r="P171" i="122"/>
  <c r="Q171" i="122"/>
  <c r="R171" i="122"/>
  <c r="S171" i="122"/>
  <c r="T171" i="122"/>
  <c r="U171" i="122"/>
  <c r="W171" i="122"/>
  <c r="E172" i="122"/>
  <c r="F172" i="122"/>
  <c r="G172" i="122"/>
  <c r="H172" i="122"/>
  <c r="I172" i="122"/>
  <c r="J172" i="122"/>
  <c r="K172" i="122"/>
  <c r="L172" i="122"/>
  <c r="M172" i="122"/>
  <c r="N172" i="122"/>
  <c r="O172" i="122"/>
  <c r="P172" i="122"/>
  <c r="Q172" i="122"/>
  <c r="R172" i="122"/>
  <c r="S172" i="122"/>
  <c r="T172" i="122"/>
  <c r="U172" i="122"/>
  <c r="W172" i="122"/>
  <c r="E173" i="122"/>
  <c r="F173" i="122"/>
  <c r="G173" i="122"/>
  <c r="H173" i="122"/>
  <c r="I173" i="122"/>
  <c r="J173" i="122"/>
  <c r="K173" i="122"/>
  <c r="L173" i="122"/>
  <c r="M173" i="122"/>
  <c r="N173" i="122"/>
  <c r="O173" i="122"/>
  <c r="P173" i="122"/>
  <c r="Q173" i="122"/>
  <c r="R173" i="122"/>
  <c r="S173" i="122"/>
  <c r="T173" i="122"/>
  <c r="U173" i="122"/>
  <c r="W173" i="122"/>
  <c r="E174" i="122"/>
  <c r="F174" i="122"/>
  <c r="G174" i="122"/>
  <c r="H174" i="122"/>
  <c r="I174" i="122"/>
  <c r="J174" i="122"/>
  <c r="K174" i="122"/>
  <c r="L174" i="122"/>
  <c r="M174" i="122"/>
  <c r="N174" i="122"/>
  <c r="O174" i="122"/>
  <c r="P174" i="122"/>
  <c r="Q174" i="122"/>
  <c r="R174" i="122"/>
  <c r="S174" i="122"/>
  <c r="T174" i="122"/>
  <c r="U174" i="122"/>
  <c r="W174" i="122"/>
  <c r="J175" i="122"/>
  <c r="K175" i="122"/>
  <c r="L175" i="122"/>
  <c r="M175" i="122"/>
  <c r="N175" i="122"/>
  <c r="O175" i="122"/>
  <c r="P175" i="122"/>
  <c r="Q175" i="122"/>
  <c r="R175" i="122"/>
  <c r="S175" i="122"/>
  <c r="T175" i="122"/>
  <c r="U175" i="122"/>
  <c r="W175" i="122"/>
  <c r="J176" i="122"/>
  <c r="K176" i="122"/>
  <c r="L176" i="122"/>
  <c r="M176" i="122"/>
  <c r="N176" i="122"/>
  <c r="O176" i="122"/>
  <c r="P176" i="122"/>
  <c r="Q176" i="122"/>
  <c r="R176" i="122"/>
  <c r="S176" i="122"/>
  <c r="T176" i="122"/>
  <c r="U176" i="122"/>
  <c r="W176" i="122"/>
  <c r="J177" i="122"/>
  <c r="K177" i="122"/>
  <c r="L177" i="122"/>
  <c r="M177" i="122"/>
  <c r="N177" i="122"/>
  <c r="O177" i="122"/>
  <c r="P177" i="122"/>
  <c r="Q177" i="122"/>
  <c r="R177" i="122"/>
  <c r="S177" i="122"/>
  <c r="T177" i="122"/>
  <c r="U177" i="122"/>
  <c r="W177" i="122"/>
  <c r="J178" i="122"/>
  <c r="K178" i="122"/>
  <c r="L178" i="122"/>
  <c r="M178" i="122"/>
  <c r="N178" i="122"/>
  <c r="O178" i="122"/>
  <c r="P178" i="122"/>
  <c r="Q178" i="122"/>
  <c r="R178" i="122"/>
  <c r="S178" i="122"/>
  <c r="T178" i="122"/>
  <c r="U178" i="122"/>
  <c r="W178" i="122"/>
  <c r="J179" i="122"/>
  <c r="K179" i="122"/>
  <c r="L179" i="122"/>
  <c r="M179" i="122"/>
  <c r="N179" i="122"/>
  <c r="O179" i="122"/>
  <c r="P179" i="122"/>
  <c r="Q179" i="122"/>
  <c r="R179" i="122"/>
  <c r="S179" i="122"/>
  <c r="T179" i="122"/>
  <c r="U179" i="122"/>
  <c r="W179" i="122"/>
  <c r="W166" i="122"/>
  <c r="F166" i="122"/>
  <c r="G166" i="122"/>
  <c r="H166" i="122"/>
  <c r="I166" i="122"/>
  <c r="J166" i="122"/>
  <c r="K166" i="122"/>
  <c r="L166" i="122"/>
  <c r="M166" i="122"/>
  <c r="N166" i="122"/>
  <c r="O166" i="122"/>
  <c r="P166" i="122"/>
  <c r="Q166" i="122"/>
  <c r="R166" i="122"/>
  <c r="S166" i="122"/>
  <c r="T166" i="122"/>
  <c r="E166" i="122"/>
  <c r="E153" i="122"/>
  <c r="F153" i="122"/>
  <c r="G153" i="122"/>
  <c r="H153" i="122"/>
  <c r="I153" i="122"/>
  <c r="J153" i="122"/>
  <c r="K153" i="122"/>
  <c r="L153" i="122"/>
  <c r="M153" i="122"/>
  <c r="N153" i="122"/>
  <c r="O153" i="122"/>
  <c r="P153" i="122"/>
  <c r="Q153" i="122"/>
  <c r="R153" i="122"/>
  <c r="S153" i="122"/>
  <c r="T153" i="122"/>
  <c r="U153" i="122"/>
  <c r="W153" i="122"/>
  <c r="E154" i="122"/>
  <c r="F154" i="122"/>
  <c r="G154" i="122"/>
  <c r="H154" i="122"/>
  <c r="I154" i="122"/>
  <c r="J154" i="122"/>
  <c r="K154" i="122"/>
  <c r="L154" i="122"/>
  <c r="M154" i="122"/>
  <c r="N154" i="122"/>
  <c r="O154" i="122"/>
  <c r="P154" i="122"/>
  <c r="Q154" i="122"/>
  <c r="R154" i="122"/>
  <c r="S154" i="122"/>
  <c r="T154" i="122"/>
  <c r="U154" i="122"/>
  <c r="W154" i="122"/>
  <c r="E155" i="122"/>
  <c r="F155" i="122"/>
  <c r="G155" i="122"/>
  <c r="H155" i="122"/>
  <c r="I155" i="122"/>
  <c r="J155" i="122"/>
  <c r="K155" i="122"/>
  <c r="L155" i="122"/>
  <c r="M155" i="122"/>
  <c r="N155" i="122"/>
  <c r="O155" i="122"/>
  <c r="P155" i="122"/>
  <c r="Q155" i="122"/>
  <c r="R155" i="122"/>
  <c r="S155" i="122"/>
  <c r="T155" i="122"/>
  <c r="U155" i="122"/>
  <c r="W155" i="122"/>
  <c r="E156" i="122"/>
  <c r="F156" i="122"/>
  <c r="G156" i="122"/>
  <c r="H156" i="122"/>
  <c r="I156" i="122"/>
  <c r="J156" i="122"/>
  <c r="K156" i="122"/>
  <c r="L156" i="122"/>
  <c r="M156" i="122"/>
  <c r="N156" i="122"/>
  <c r="O156" i="122"/>
  <c r="P156" i="122"/>
  <c r="Q156" i="122"/>
  <c r="R156" i="122"/>
  <c r="S156" i="122"/>
  <c r="T156" i="122"/>
  <c r="U156" i="122"/>
  <c r="W156" i="122"/>
  <c r="E157" i="122"/>
  <c r="F157" i="122"/>
  <c r="G157" i="122"/>
  <c r="H157" i="122"/>
  <c r="I157" i="122"/>
  <c r="J157" i="122"/>
  <c r="K157" i="122"/>
  <c r="L157" i="122"/>
  <c r="M157" i="122"/>
  <c r="N157" i="122"/>
  <c r="O157" i="122"/>
  <c r="P157" i="122"/>
  <c r="Q157" i="122"/>
  <c r="R157" i="122"/>
  <c r="S157" i="122"/>
  <c r="T157" i="122"/>
  <c r="U157" i="122"/>
  <c r="W157" i="122"/>
  <c r="E158" i="122"/>
  <c r="F158" i="122"/>
  <c r="G158" i="122"/>
  <c r="H158" i="122"/>
  <c r="I158" i="122"/>
  <c r="J158" i="122"/>
  <c r="K158" i="122"/>
  <c r="L158" i="122"/>
  <c r="M158" i="122"/>
  <c r="N158" i="122"/>
  <c r="O158" i="122"/>
  <c r="P158" i="122"/>
  <c r="Q158" i="122"/>
  <c r="R158" i="122"/>
  <c r="S158" i="122"/>
  <c r="T158" i="122"/>
  <c r="U158" i="122"/>
  <c r="W158" i="122"/>
  <c r="E159" i="122"/>
  <c r="F159" i="122"/>
  <c r="G159" i="122"/>
  <c r="H159" i="122"/>
  <c r="I159" i="122"/>
  <c r="J159" i="122"/>
  <c r="K159" i="122"/>
  <c r="L159" i="122"/>
  <c r="M159" i="122"/>
  <c r="N159" i="122"/>
  <c r="O159" i="122"/>
  <c r="P159" i="122"/>
  <c r="Q159" i="122"/>
  <c r="R159" i="122"/>
  <c r="S159" i="122"/>
  <c r="T159" i="122"/>
  <c r="U159" i="122"/>
  <c r="W159" i="122"/>
  <c r="E160" i="122"/>
  <c r="F160" i="122"/>
  <c r="G160" i="122"/>
  <c r="H160" i="122"/>
  <c r="I160" i="122"/>
  <c r="J160" i="122"/>
  <c r="K160" i="122"/>
  <c r="L160" i="122"/>
  <c r="M160" i="122"/>
  <c r="N160" i="122"/>
  <c r="O160" i="122"/>
  <c r="P160" i="122"/>
  <c r="Q160" i="122"/>
  <c r="R160" i="122"/>
  <c r="S160" i="122"/>
  <c r="T160" i="122"/>
  <c r="U160" i="122"/>
  <c r="W160" i="122"/>
  <c r="W152" i="122"/>
  <c r="F152" i="122"/>
  <c r="G152" i="122"/>
  <c r="H152" i="122"/>
  <c r="I152" i="122"/>
  <c r="J152" i="122"/>
  <c r="K152" i="122"/>
  <c r="L152" i="122"/>
  <c r="M152" i="122"/>
  <c r="N152" i="122"/>
  <c r="O152" i="122"/>
  <c r="P152" i="122"/>
  <c r="Q152" i="122"/>
  <c r="R152" i="122"/>
  <c r="S152" i="122"/>
  <c r="T152" i="122"/>
  <c r="E152" i="122"/>
  <c r="E139" i="122"/>
  <c r="F139" i="122"/>
  <c r="G139" i="122"/>
  <c r="H139" i="122"/>
  <c r="I139" i="122"/>
  <c r="J139" i="122"/>
  <c r="K139" i="122"/>
  <c r="L139" i="122"/>
  <c r="M139" i="122"/>
  <c r="N139" i="122"/>
  <c r="O139" i="122"/>
  <c r="P139" i="122"/>
  <c r="Q139" i="122"/>
  <c r="R139" i="122"/>
  <c r="S139" i="122"/>
  <c r="T139" i="122"/>
  <c r="U139" i="122"/>
  <c r="W139" i="122"/>
  <c r="E140" i="122"/>
  <c r="F140" i="122"/>
  <c r="G140" i="122"/>
  <c r="H140" i="122"/>
  <c r="I140" i="122"/>
  <c r="J140" i="122"/>
  <c r="K140" i="122"/>
  <c r="L140" i="122"/>
  <c r="M140" i="122"/>
  <c r="N140" i="122"/>
  <c r="O140" i="122"/>
  <c r="P140" i="122"/>
  <c r="Q140" i="122"/>
  <c r="R140" i="122"/>
  <c r="S140" i="122"/>
  <c r="T140" i="122"/>
  <c r="U140" i="122"/>
  <c r="W140" i="122"/>
  <c r="E141" i="122"/>
  <c r="F141" i="122"/>
  <c r="G141" i="122"/>
  <c r="H141" i="122"/>
  <c r="I141" i="122"/>
  <c r="J141" i="122"/>
  <c r="K141" i="122"/>
  <c r="L141" i="122"/>
  <c r="M141" i="122"/>
  <c r="N141" i="122"/>
  <c r="O141" i="122"/>
  <c r="P141" i="122"/>
  <c r="Q141" i="122"/>
  <c r="R141" i="122"/>
  <c r="S141" i="122"/>
  <c r="T141" i="122"/>
  <c r="U141" i="122"/>
  <c r="W141" i="122"/>
  <c r="E142" i="122"/>
  <c r="F142" i="122"/>
  <c r="G142" i="122"/>
  <c r="H142" i="122"/>
  <c r="I142" i="122"/>
  <c r="J142" i="122"/>
  <c r="K142" i="122"/>
  <c r="L142" i="122"/>
  <c r="M142" i="122"/>
  <c r="N142" i="122"/>
  <c r="O142" i="122"/>
  <c r="P142" i="122"/>
  <c r="Q142" i="122"/>
  <c r="R142" i="122"/>
  <c r="S142" i="122"/>
  <c r="T142" i="122"/>
  <c r="U142" i="122"/>
  <c r="W142" i="122"/>
  <c r="E143" i="122"/>
  <c r="F143" i="122"/>
  <c r="G143" i="122"/>
  <c r="H143" i="122"/>
  <c r="I143" i="122"/>
  <c r="J143" i="122"/>
  <c r="K143" i="122"/>
  <c r="L143" i="122"/>
  <c r="M143" i="122"/>
  <c r="N143" i="122"/>
  <c r="O143" i="122"/>
  <c r="P143" i="122"/>
  <c r="Q143" i="122"/>
  <c r="R143" i="122"/>
  <c r="S143" i="122"/>
  <c r="T143" i="122"/>
  <c r="U143" i="122"/>
  <c r="W143" i="122"/>
  <c r="E144" i="122"/>
  <c r="F144" i="122"/>
  <c r="G144" i="122"/>
  <c r="H144" i="122"/>
  <c r="I144" i="122"/>
  <c r="J144" i="122"/>
  <c r="K144" i="122"/>
  <c r="L144" i="122"/>
  <c r="M144" i="122"/>
  <c r="N144" i="122"/>
  <c r="O144" i="122"/>
  <c r="P144" i="122"/>
  <c r="Q144" i="122"/>
  <c r="R144" i="122"/>
  <c r="S144" i="122"/>
  <c r="T144" i="122"/>
  <c r="U144" i="122"/>
  <c r="W144" i="122"/>
  <c r="E145" i="122"/>
  <c r="F145" i="122"/>
  <c r="G145" i="122"/>
  <c r="H145" i="122"/>
  <c r="I145" i="122"/>
  <c r="J145" i="122"/>
  <c r="K145" i="122"/>
  <c r="L145" i="122"/>
  <c r="M145" i="122"/>
  <c r="N145" i="122"/>
  <c r="O145" i="122"/>
  <c r="P145" i="122"/>
  <c r="Q145" i="122"/>
  <c r="R145" i="122"/>
  <c r="S145" i="122"/>
  <c r="T145" i="122"/>
  <c r="U145" i="122"/>
  <c r="W145" i="122"/>
  <c r="E146" i="122"/>
  <c r="F146" i="122"/>
  <c r="G146" i="122"/>
  <c r="H146" i="122"/>
  <c r="I146" i="122"/>
  <c r="J146" i="122"/>
  <c r="K146" i="122"/>
  <c r="L146" i="122"/>
  <c r="M146" i="122"/>
  <c r="N146" i="122"/>
  <c r="O146" i="122"/>
  <c r="P146" i="122"/>
  <c r="Q146" i="122"/>
  <c r="R146" i="122"/>
  <c r="S146" i="122"/>
  <c r="T146" i="122"/>
  <c r="U146" i="122"/>
  <c r="W146" i="122"/>
  <c r="J147" i="122"/>
  <c r="K147" i="122"/>
  <c r="L147" i="122"/>
  <c r="M147" i="122"/>
  <c r="N147" i="122"/>
  <c r="O147" i="122"/>
  <c r="P147" i="122"/>
  <c r="Q147" i="122"/>
  <c r="R147" i="122"/>
  <c r="S147" i="122"/>
  <c r="T147" i="122"/>
  <c r="U147" i="122"/>
  <c r="W147" i="122"/>
  <c r="J148" i="122"/>
  <c r="K148" i="122"/>
  <c r="L148" i="122"/>
  <c r="M148" i="122"/>
  <c r="N148" i="122"/>
  <c r="O148" i="122"/>
  <c r="P148" i="122"/>
  <c r="Q148" i="122"/>
  <c r="R148" i="122"/>
  <c r="S148" i="122"/>
  <c r="T148" i="122"/>
  <c r="U148" i="122"/>
  <c r="W148" i="122"/>
  <c r="J149" i="122"/>
  <c r="K149" i="122"/>
  <c r="L149" i="122"/>
  <c r="M149" i="122"/>
  <c r="N149" i="122"/>
  <c r="O149" i="122"/>
  <c r="P149" i="122"/>
  <c r="Q149" i="122"/>
  <c r="R149" i="122"/>
  <c r="S149" i="122"/>
  <c r="T149" i="122"/>
  <c r="U149" i="122"/>
  <c r="W149" i="122"/>
  <c r="J150" i="122"/>
  <c r="K150" i="122"/>
  <c r="L150" i="122"/>
  <c r="M150" i="122"/>
  <c r="N150" i="122"/>
  <c r="O150" i="122"/>
  <c r="P150" i="122"/>
  <c r="Q150" i="122"/>
  <c r="R150" i="122"/>
  <c r="S150" i="122"/>
  <c r="T150" i="122"/>
  <c r="U150" i="122"/>
  <c r="W150" i="122"/>
  <c r="J151" i="122"/>
  <c r="K151" i="122"/>
  <c r="L151" i="122"/>
  <c r="M151" i="122"/>
  <c r="N151" i="122"/>
  <c r="O151" i="122"/>
  <c r="P151" i="122"/>
  <c r="Q151" i="122"/>
  <c r="R151" i="122"/>
  <c r="S151" i="122"/>
  <c r="T151" i="122"/>
  <c r="U151" i="122"/>
  <c r="W151" i="122"/>
  <c r="W138" i="122"/>
  <c r="X138" i="122" s="1"/>
  <c r="F138" i="122"/>
  <c r="G138" i="122"/>
  <c r="H138" i="122"/>
  <c r="I138" i="122"/>
  <c r="J138" i="122"/>
  <c r="K138" i="122"/>
  <c r="L138" i="122"/>
  <c r="M138" i="122"/>
  <c r="N138" i="122"/>
  <c r="O138" i="122"/>
  <c r="P138" i="122"/>
  <c r="Q138" i="122"/>
  <c r="R138" i="122"/>
  <c r="S138" i="122"/>
  <c r="T138" i="122"/>
  <c r="E138" i="122"/>
  <c r="E125" i="122"/>
  <c r="F125" i="122"/>
  <c r="G125" i="122"/>
  <c r="H125" i="122"/>
  <c r="I125" i="122"/>
  <c r="J125" i="122"/>
  <c r="K125" i="122"/>
  <c r="L125" i="122"/>
  <c r="M125" i="122"/>
  <c r="N125" i="122"/>
  <c r="O125" i="122"/>
  <c r="P125" i="122"/>
  <c r="Q125" i="122"/>
  <c r="R125" i="122"/>
  <c r="S125" i="122"/>
  <c r="T125" i="122"/>
  <c r="U125" i="122"/>
  <c r="W125" i="122"/>
  <c r="E126" i="122"/>
  <c r="F126" i="122"/>
  <c r="G126" i="122"/>
  <c r="H126" i="122"/>
  <c r="I126" i="122"/>
  <c r="J126" i="122"/>
  <c r="K126" i="122"/>
  <c r="L126" i="122"/>
  <c r="M126" i="122"/>
  <c r="N126" i="122"/>
  <c r="O126" i="122"/>
  <c r="P126" i="122"/>
  <c r="Q126" i="122"/>
  <c r="R126" i="122"/>
  <c r="S126" i="122"/>
  <c r="T126" i="122"/>
  <c r="U126" i="122"/>
  <c r="W126" i="122"/>
  <c r="E127" i="122"/>
  <c r="F127" i="122"/>
  <c r="G127" i="122"/>
  <c r="H127" i="122"/>
  <c r="I127" i="122"/>
  <c r="J127" i="122"/>
  <c r="K127" i="122"/>
  <c r="L127" i="122"/>
  <c r="M127" i="122"/>
  <c r="N127" i="122"/>
  <c r="O127" i="122"/>
  <c r="P127" i="122"/>
  <c r="Q127" i="122"/>
  <c r="R127" i="122"/>
  <c r="S127" i="122"/>
  <c r="T127" i="122"/>
  <c r="U127" i="122"/>
  <c r="W127" i="122"/>
  <c r="E128" i="122"/>
  <c r="F128" i="122"/>
  <c r="G128" i="122"/>
  <c r="H128" i="122"/>
  <c r="I128" i="122"/>
  <c r="J128" i="122"/>
  <c r="K128" i="122"/>
  <c r="L128" i="122"/>
  <c r="M128" i="122"/>
  <c r="N128" i="122"/>
  <c r="O128" i="122"/>
  <c r="P128" i="122"/>
  <c r="Q128" i="122"/>
  <c r="R128" i="122"/>
  <c r="S128" i="122"/>
  <c r="T128" i="122"/>
  <c r="U128" i="122"/>
  <c r="W128" i="122"/>
  <c r="E129" i="122"/>
  <c r="F129" i="122"/>
  <c r="G129" i="122"/>
  <c r="H129" i="122"/>
  <c r="I129" i="122"/>
  <c r="J129" i="122"/>
  <c r="K129" i="122"/>
  <c r="L129" i="122"/>
  <c r="M129" i="122"/>
  <c r="N129" i="122"/>
  <c r="O129" i="122"/>
  <c r="P129" i="122"/>
  <c r="Q129" i="122"/>
  <c r="R129" i="122"/>
  <c r="S129" i="122"/>
  <c r="T129" i="122"/>
  <c r="U129" i="122"/>
  <c r="W129" i="122"/>
  <c r="E130" i="122"/>
  <c r="F130" i="122"/>
  <c r="G130" i="122"/>
  <c r="H130" i="122"/>
  <c r="I130" i="122"/>
  <c r="J130" i="122"/>
  <c r="K130" i="122"/>
  <c r="L130" i="122"/>
  <c r="M130" i="122"/>
  <c r="N130" i="122"/>
  <c r="O130" i="122"/>
  <c r="P130" i="122"/>
  <c r="Q130" i="122"/>
  <c r="R130" i="122"/>
  <c r="S130" i="122"/>
  <c r="T130" i="122"/>
  <c r="U130" i="122"/>
  <c r="W130" i="122"/>
  <c r="E131" i="122"/>
  <c r="F131" i="122"/>
  <c r="G131" i="122"/>
  <c r="H131" i="122"/>
  <c r="I131" i="122"/>
  <c r="J131" i="122"/>
  <c r="K131" i="122"/>
  <c r="L131" i="122"/>
  <c r="M131" i="122"/>
  <c r="N131" i="122"/>
  <c r="O131" i="122"/>
  <c r="P131" i="122"/>
  <c r="Q131" i="122"/>
  <c r="R131" i="122"/>
  <c r="S131" i="122"/>
  <c r="T131" i="122"/>
  <c r="U131" i="122"/>
  <c r="W131" i="122"/>
  <c r="E132" i="122"/>
  <c r="F132" i="122"/>
  <c r="G132" i="122"/>
  <c r="H132" i="122"/>
  <c r="I132" i="122"/>
  <c r="J132" i="122"/>
  <c r="K132" i="122"/>
  <c r="L132" i="122"/>
  <c r="M132" i="122"/>
  <c r="N132" i="122"/>
  <c r="O132" i="122"/>
  <c r="P132" i="122"/>
  <c r="Q132" i="122"/>
  <c r="R132" i="122"/>
  <c r="S132" i="122"/>
  <c r="T132" i="122"/>
  <c r="U132" i="122"/>
  <c r="W132" i="122"/>
  <c r="W124" i="122"/>
  <c r="F124" i="122"/>
  <c r="G124" i="122"/>
  <c r="H124" i="122"/>
  <c r="I124" i="122"/>
  <c r="J124" i="122"/>
  <c r="K124" i="122"/>
  <c r="L124" i="122"/>
  <c r="M124" i="122"/>
  <c r="N124" i="122"/>
  <c r="O124" i="122"/>
  <c r="P124" i="122"/>
  <c r="Q124" i="122"/>
  <c r="R124" i="122"/>
  <c r="S124" i="122"/>
  <c r="T124" i="122"/>
  <c r="E124" i="122"/>
  <c r="E111" i="122"/>
  <c r="F111" i="122"/>
  <c r="G111" i="122"/>
  <c r="H111" i="122"/>
  <c r="I111" i="122"/>
  <c r="J111" i="122"/>
  <c r="K111" i="122"/>
  <c r="L111" i="122"/>
  <c r="M111" i="122"/>
  <c r="N111" i="122"/>
  <c r="O111" i="122"/>
  <c r="P111" i="122"/>
  <c r="Q111" i="122"/>
  <c r="R111" i="122"/>
  <c r="S111" i="122"/>
  <c r="T111" i="122"/>
  <c r="U111" i="122"/>
  <c r="W111" i="122"/>
  <c r="E112" i="122"/>
  <c r="F112" i="122"/>
  <c r="G112" i="122"/>
  <c r="H112" i="122"/>
  <c r="I112" i="122"/>
  <c r="J112" i="122"/>
  <c r="K112" i="122"/>
  <c r="L112" i="122"/>
  <c r="M112" i="122"/>
  <c r="N112" i="122"/>
  <c r="O112" i="122"/>
  <c r="P112" i="122"/>
  <c r="Q112" i="122"/>
  <c r="R112" i="122"/>
  <c r="S112" i="122"/>
  <c r="T112" i="122"/>
  <c r="U112" i="122"/>
  <c r="W112" i="122"/>
  <c r="E113" i="122"/>
  <c r="F113" i="122"/>
  <c r="G113" i="122"/>
  <c r="H113" i="122"/>
  <c r="I113" i="122"/>
  <c r="J113" i="122"/>
  <c r="K113" i="122"/>
  <c r="L113" i="122"/>
  <c r="M113" i="122"/>
  <c r="N113" i="122"/>
  <c r="O113" i="122"/>
  <c r="P113" i="122"/>
  <c r="Q113" i="122"/>
  <c r="R113" i="122"/>
  <c r="S113" i="122"/>
  <c r="T113" i="122"/>
  <c r="U113" i="122"/>
  <c r="W113" i="122"/>
  <c r="E114" i="122"/>
  <c r="F114" i="122"/>
  <c r="G114" i="122"/>
  <c r="H114" i="122"/>
  <c r="I114" i="122"/>
  <c r="J114" i="122"/>
  <c r="K114" i="122"/>
  <c r="L114" i="122"/>
  <c r="M114" i="122"/>
  <c r="N114" i="122"/>
  <c r="O114" i="122"/>
  <c r="P114" i="122"/>
  <c r="Q114" i="122"/>
  <c r="R114" i="122"/>
  <c r="S114" i="122"/>
  <c r="T114" i="122"/>
  <c r="U114" i="122"/>
  <c r="W114" i="122"/>
  <c r="E115" i="122"/>
  <c r="F115" i="122"/>
  <c r="G115" i="122"/>
  <c r="H115" i="122"/>
  <c r="I115" i="122"/>
  <c r="J115" i="122"/>
  <c r="K115" i="122"/>
  <c r="L115" i="122"/>
  <c r="M115" i="122"/>
  <c r="N115" i="122"/>
  <c r="O115" i="122"/>
  <c r="P115" i="122"/>
  <c r="Q115" i="122"/>
  <c r="R115" i="122"/>
  <c r="S115" i="122"/>
  <c r="T115" i="122"/>
  <c r="U115" i="122"/>
  <c r="W115" i="122"/>
  <c r="E116" i="122"/>
  <c r="F116" i="122"/>
  <c r="G116" i="122"/>
  <c r="H116" i="122"/>
  <c r="I116" i="122"/>
  <c r="J116" i="122"/>
  <c r="K116" i="122"/>
  <c r="L116" i="122"/>
  <c r="M116" i="122"/>
  <c r="N116" i="122"/>
  <c r="O116" i="122"/>
  <c r="P116" i="122"/>
  <c r="Q116" i="122"/>
  <c r="R116" i="122"/>
  <c r="S116" i="122"/>
  <c r="T116" i="122"/>
  <c r="U116" i="122"/>
  <c r="W116" i="122"/>
  <c r="E117" i="122"/>
  <c r="F117" i="122"/>
  <c r="G117" i="122"/>
  <c r="H117" i="122"/>
  <c r="I117" i="122"/>
  <c r="J117" i="122"/>
  <c r="K117" i="122"/>
  <c r="L117" i="122"/>
  <c r="M117" i="122"/>
  <c r="N117" i="122"/>
  <c r="O117" i="122"/>
  <c r="P117" i="122"/>
  <c r="Q117" i="122"/>
  <c r="R117" i="122"/>
  <c r="S117" i="122"/>
  <c r="T117" i="122"/>
  <c r="U117" i="122"/>
  <c r="W117" i="122"/>
  <c r="E118" i="122"/>
  <c r="F118" i="122"/>
  <c r="G118" i="122"/>
  <c r="H118" i="122"/>
  <c r="I118" i="122"/>
  <c r="J118" i="122"/>
  <c r="K118" i="122"/>
  <c r="L118" i="122"/>
  <c r="M118" i="122"/>
  <c r="N118" i="122"/>
  <c r="O118" i="122"/>
  <c r="P118" i="122"/>
  <c r="Q118" i="122"/>
  <c r="R118" i="122"/>
  <c r="S118" i="122"/>
  <c r="T118" i="122"/>
  <c r="U118" i="122"/>
  <c r="W118" i="122"/>
  <c r="W110" i="122"/>
  <c r="X110" i="122" s="1"/>
  <c r="F110" i="122"/>
  <c r="G110" i="122"/>
  <c r="H110" i="122"/>
  <c r="I110" i="122"/>
  <c r="J110" i="122"/>
  <c r="K110" i="122"/>
  <c r="L110" i="122"/>
  <c r="M110" i="122"/>
  <c r="N110" i="122"/>
  <c r="O110" i="122"/>
  <c r="P110" i="122"/>
  <c r="Q110" i="122"/>
  <c r="R110" i="122"/>
  <c r="S110" i="122"/>
  <c r="T110" i="122"/>
  <c r="E110" i="122"/>
  <c r="E97" i="122"/>
  <c r="F97" i="122"/>
  <c r="G97" i="122"/>
  <c r="H97" i="122"/>
  <c r="I97" i="122"/>
  <c r="J97" i="122"/>
  <c r="K97" i="122"/>
  <c r="L97" i="122"/>
  <c r="M97" i="122"/>
  <c r="N97" i="122"/>
  <c r="O97" i="122"/>
  <c r="P97" i="122"/>
  <c r="Q97" i="122"/>
  <c r="R97" i="122"/>
  <c r="S97" i="122"/>
  <c r="T97" i="122"/>
  <c r="U97" i="122"/>
  <c r="W97" i="122"/>
  <c r="E98" i="122"/>
  <c r="F98" i="122"/>
  <c r="G98" i="122"/>
  <c r="H98" i="122"/>
  <c r="I98" i="122"/>
  <c r="J98" i="122"/>
  <c r="K98" i="122"/>
  <c r="L98" i="122"/>
  <c r="M98" i="122"/>
  <c r="N98" i="122"/>
  <c r="O98" i="122"/>
  <c r="P98" i="122"/>
  <c r="Q98" i="122"/>
  <c r="R98" i="122"/>
  <c r="S98" i="122"/>
  <c r="T98" i="122"/>
  <c r="U98" i="122"/>
  <c r="W98" i="122"/>
  <c r="E99" i="122"/>
  <c r="F99" i="122"/>
  <c r="G99" i="122"/>
  <c r="H99" i="122"/>
  <c r="I99" i="122"/>
  <c r="J99" i="122"/>
  <c r="K99" i="122"/>
  <c r="L99" i="122"/>
  <c r="M99" i="122"/>
  <c r="N99" i="122"/>
  <c r="O99" i="122"/>
  <c r="P99" i="122"/>
  <c r="Q99" i="122"/>
  <c r="R99" i="122"/>
  <c r="S99" i="122"/>
  <c r="T99" i="122"/>
  <c r="U99" i="122"/>
  <c r="W99" i="122"/>
  <c r="E100" i="122"/>
  <c r="F100" i="122"/>
  <c r="G100" i="122"/>
  <c r="H100" i="122"/>
  <c r="I100" i="122"/>
  <c r="J100" i="122"/>
  <c r="K100" i="122"/>
  <c r="L100" i="122"/>
  <c r="M100" i="122"/>
  <c r="N100" i="122"/>
  <c r="O100" i="122"/>
  <c r="P100" i="122"/>
  <c r="Q100" i="122"/>
  <c r="R100" i="122"/>
  <c r="S100" i="122"/>
  <c r="T100" i="122"/>
  <c r="U100" i="122"/>
  <c r="W100" i="122"/>
  <c r="E101" i="122"/>
  <c r="F101" i="122"/>
  <c r="G101" i="122"/>
  <c r="H101" i="122"/>
  <c r="I101" i="122"/>
  <c r="J101" i="122"/>
  <c r="K101" i="122"/>
  <c r="L101" i="122"/>
  <c r="M101" i="122"/>
  <c r="N101" i="122"/>
  <c r="O101" i="122"/>
  <c r="P101" i="122"/>
  <c r="Q101" i="122"/>
  <c r="R101" i="122"/>
  <c r="S101" i="122"/>
  <c r="T101" i="122"/>
  <c r="U101" i="122"/>
  <c r="W101" i="122"/>
  <c r="E102" i="122"/>
  <c r="F102" i="122"/>
  <c r="G102" i="122"/>
  <c r="H102" i="122"/>
  <c r="I102" i="122"/>
  <c r="J102" i="122"/>
  <c r="K102" i="122"/>
  <c r="L102" i="122"/>
  <c r="M102" i="122"/>
  <c r="N102" i="122"/>
  <c r="O102" i="122"/>
  <c r="P102" i="122"/>
  <c r="Q102" i="122"/>
  <c r="R102" i="122"/>
  <c r="S102" i="122"/>
  <c r="T102" i="122"/>
  <c r="U102" i="122"/>
  <c r="W102" i="122"/>
  <c r="E103" i="122"/>
  <c r="F103" i="122"/>
  <c r="G103" i="122"/>
  <c r="H103" i="122"/>
  <c r="I103" i="122"/>
  <c r="J103" i="122"/>
  <c r="K103" i="122"/>
  <c r="L103" i="122"/>
  <c r="M103" i="122"/>
  <c r="N103" i="122"/>
  <c r="O103" i="122"/>
  <c r="P103" i="122"/>
  <c r="Q103" i="122"/>
  <c r="R103" i="122"/>
  <c r="S103" i="122"/>
  <c r="T103" i="122"/>
  <c r="U103" i="122"/>
  <c r="W103" i="122"/>
  <c r="E104" i="122"/>
  <c r="F104" i="122"/>
  <c r="G104" i="122"/>
  <c r="H104" i="122"/>
  <c r="I104" i="122"/>
  <c r="J104" i="122"/>
  <c r="K104" i="122"/>
  <c r="L104" i="122"/>
  <c r="M104" i="122"/>
  <c r="N104" i="122"/>
  <c r="O104" i="122"/>
  <c r="P104" i="122"/>
  <c r="Q104" i="122"/>
  <c r="R104" i="122"/>
  <c r="S104" i="122"/>
  <c r="T104" i="122"/>
  <c r="U104" i="122"/>
  <c r="W104" i="122"/>
  <c r="W96" i="122"/>
  <c r="F96" i="122"/>
  <c r="G96" i="122"/>
  <c r="H96" i="122"/>
  <c r="I96" i="122"/>
  <c r="J96" i="122"/>
  <c r="K96" i="122"/>
  <c r="L96" i="122"/>
  <c r="M96" i="122"/>
  <c r="N96" i="122"/>
  <c r="O96" i="122"/>
  <c r="P96" i="122"/>
  <c r="Q96" i="122"/>
  <c r="R96" i="122"/>
  <c r="S96" i="122"/>
  <c r="T96" i="122"/>
  <c r="E96" i="122"/>
  <c r="E83" i="122"/>
  <c r="F83" i="122"/>
  <c r="G83" i="122"/>
  <c r="H83" i="122"/>
  <c r="I83" i="122"/>
  <c r="J83" i="122"/>
  <c r="K83" i="122"/>
  <c r="L83" i="122"/>
  <c r="M83" i="122"/>
  <c r="N83" i="122"/>
  <c r="O83" i="122"/>
  <c r="P83" i="122"/>
  <c r="Q83" i="122"/>
  <c r="R83" i="122"/>
  <c r="S83" i="122"/>
  <c r="T83" i="122"/>
  <c r="U83" i="122"/>
  <c r="W83" i="122"/>
  <c r="E84" i="122"/>
  <c r="F84" i="122"/>
  <c r="G84" i="122"/>
  <c r="H84" i="122"/>
  <c r="I84" i="122"/>
  <c r="J84" i="122"/>
  <c r="K84" i="122"/>
  <c r="L84" i="122"/>
  <c r="M84" i="122"/>
  <c r="N84" i="122"/>
  <c r="O84" i="122"/>
  <c r="P84" i="122"/>
  <c r="Q84" i="122"/>
  <c r="R84" i="122"/>
  <c r="S84" i="122"/>
  <c r="T84" i="122"/>
  <c r="U84" i="122"/>
  <c r="W84" i="122"/>
  <c r="E85" i="122"/>
  <c r="F85" i="122"/>
  <c r="G85" i="122"/>
  <c r="H85" i="122"/>
  <c r="I85" i="122"/>
  <c r="J85" i="122"/>
  <c r="K85" i="122"/>
  <c r="L85" i="122"/>
  <c r="M85" i="122"/>
  <c r="N85" i="122"/>
  <c r="O85" i="122"/>
  <c r="P85" i="122"/>
  <c r="Q85" i="122"/>
  <c r="R85" i="122"/>
  <c r="S85" i="122"/>
  <c r="T85" i="122"/>
  <c r="U85" i="122"/>
  <c r="W85" i="122"/>
  <c r="E86" i="122"/>
  <c r="F86" i="122"/>
  <c r="G86" i="122"/>
  <c r="H86" i="122"/>
  <c r="I86" i="122"/>
  <c r="J86" i="122"/>
  <c r="K86" i="122"/>
  <c r="L86" i="122"/>
  <c r="M86" i="122"/>
  <c r="N86" i="122"/>
  <c r="O86" i="122"/>
  <c r="P86" i="122"/>
  <c r="Q86" i="122"/>
  <c r="R86" i="122"/>
  <c r="S86" i="122"/>
  <c r="T86" i="122"/>
  <c r="U86" i="122"/>
  <c r="W86" i="122"/>
  <c r="E87" i="122"/>
  <c r="F87" i="122"/>
  <c r="G87" i="122"/>
  <c r="H87" i="122"/>
  <c r="I87" i="122"/>
  <c r="J87" i="122"/>
  <c r="K87" i="122"/>
  <c r="L87" i="122"/>
  <c r="M87" i="122"/>
  <c r="N87" i="122"/>
  <c r="O87" i="122"/>
  <c r="P87" i="122"/>
  <c r="Q87" i="122"/>
  <c r="R87" i="122"/>
  <c r="S87" i="122"/>
  <c r="T87" i="122"/>
  <c r="U87" i="122"/>
  <c r="W87" i="122"/>
  <c r="E88" i="122"/>
  <c r="F88" i="122"/>
  <c r="G88" i="122"/>
  <c r="H88" i="122"/>
  <c r="I88" i="122"/>
  <c r="J88" i="122"/>
  <c r="K88" i="122"/>
  <c r="L88" i="122"/>
  <c r="M88" i="122"/>
  <c r="N88" i="122"/>
  <c r="O88" i="122"/>
  <c r="P88" i="122"/>
  <c r="Q88" i="122"/>
  <c r="R88" i="122"/>
  <c r="S88" i="122"/>
  <c r="T88" i="122"/>
  <c r="U88" i="122"/>
  <c r="W88" i="122"/>
  <c r="E89" i="122"/>
  <c r="F89" i="122"/>
  <c r="G89" i="122"/>
  <c r="H89" i="122"/>
  <c r="I89" i="122"/>
  <c r="J89" i="122"/>
  <c r="K89" i="122"/>
  <c r="L89" i="122"/>
  <c r="M89" i="122"/>
  <c r="N89" i="122"/>
  <c r="O89" i="122"/>
  <c r="P89" i="122"/>
  <c r="Q89" i="122"/>
  <c r="R89" i="122"/>
  <c r="S89" i="122"/>
  <c r="T89" i="122"/>
  <c r="U89" i="122"/>
  <c r="W89" i="122"/>
  <c r="E90" i="122"/>
  <c r="F90" i="122"/>
  <c r="G90" i="122"/>
  <c r="H90" i="122"/>
  <c r="I90" i="122"/>
  <c r="J90" i="122"/>
  <c r="K90" i="122"/>
  <c r="L90" i="122"/>
  <c r="M90" i="122"/>
  <c r="N90" i="122"/>
  <c r="O90" i="122"/>
  <c r="P90" i="122"/>
  <c r="Q90" i="122"/>
  <c r="R90" i="122"/>
  <c r="S90" i="122"/>
  <c r="T90" i="122"/>
  <c r="U90" i="122"/>
  <c r="W90" i="122"/>
  <c r="W82" i="122"/>
  <c r="X82" i="122" s="1"/>
  <c r="F82" i="122"/>
  <c r="G82" i="122"/>
  <c r="H82" i="122"/>
  <c r="I82" i="122"/>
  <c r="J82" i="122"/>
  <c r="K82" i="122"/>
  <c r="L82" i="122"/>
  <c r="M82" i="122"/>
  <c r="N82" i="122"/>
  <c r="O82" i="122"/>
  <c r="P82" i="122"/>
  <c r="Q82" i="122"/>
  <c r="R82" i="122"/>
  <c r="S82" i="122"/>
  <c r="T82" i="122"/>
  <c r="E82" i="122"/>
  <c r="E69" i="122"/>
  <c r="F69" i="122"/>
  <c r="G69" i="122"/>
  <c r="H69" i="122"/>
  <c r="I69" i="122"/>
  <c r="J69" i="122"/>
  <c r="K69" i="122"/>
  <c r="L69" i="122"/>
  <c r="M69" i="122"/>
  <c r="N69" i="122"/>
  <c r="O69" i="122"/>
  <c r="P69" i="122"/>
  <c r="Q69" i="122"/>
  <c r="R69" i="122"/>
  <c r="S69" i="122"/>
  <c r="T69" i="122"/>
  <c r="U69" i="122"/>
  <c r="W69" i="122"/>
  <c r="E70" i="122"/>
  <c r="F70" i="122"/>
  <c r="G70" i="122"/>
  <c r="H70" i="122"/>
  <c r="I70" i="122"/>
  <c r="J70" i="122"/>
  <c r="K70" i="122"/>
  <c r="L70" i="122"/>
  <c r="M70" i="122"/>
  <c r="N70" i="122"/>
  <c r="O70" i="122"/>
  <c r="P70" i="122"/>
  <c r="Q70" i="122"/>
  <c r="R70" i="122"/>
  <c r="S70" i="122"/>
  <c r="T70" i="122"/>
  <c r="U70" i="122"/>
  <c r="W70" i="122"/>
  <c r="E71" i="122"/>
  <c r="F71" i="122"/>
  <c r="G71" i="122"/>
  <c r="H71" i="122"/>
  <c r="I71" i="122"/>
  <c r="J71" i="122"/>
  <c r="K71" i="122"/>
  <c r="L71" i="122"/>
  <c r="M71" i="122"/>
  <c r="N71" i="122"/>
  <c r="O71" i="122"/>
  <c r="P71" i="122"/>
  <c r="Q71" i="122"/>
  <c r="R71" i="122"/>
  <c r="S71" i="122"/>
  <c r="T71" i="122"/>
  <c r="U71" i="122"/>
  <c r="W71" i="122"/>
  <c r="E72" i="122"/>
  <c r="F72" i="122"/>
  <c r="G72" i="122"/>
  <c r="H72" i="122"/>
  <c r="I72" i="122"/>
  <c r="J72" i="122"/>
  <c r="K72" i="122"/>
  <c r="L72" i="122"/>
  <c r="M72" i="122"/>
  <c r="N72" i="122"/>
  <c r="O72" i="122"/>
  <c r="P72" i="122"/>
  <c r="Q72" i="122"/>
  <c r="R72" i="122"/>
  <c r="S72" i="122"/>
  <c r="T72" i="122"/>
  <c r="U72" i="122"/>
  <c r="W72" i="122"/>
  <c r="E73" i="122"/>
  <c r="F73" i="122"/>
  <c r="G73" i="122"/>
  <c r="H73" i="122"/>
  <c r="I73" i="122"/>
  <c r="J73" i="122"/>
  <c r="K73" i="122"/>
  <c r="L73" i="122"/>
  <c r="M73" i="122"/>
  <c r="N73" i="122"/>
  <c r="O73" i="122"/>
  <c r="P73" i="122"/>
  <c r="Q73" i="122"/>
  <c r="R73" i="122"/>
  <c r="S73" i="122"/>
  <c r="T73" i="122"/>
  <c r="U73" i="122"/>
  <c r="W73" i="122"/>
  <c r="E74" i="122"/>
  <c r="F74" i="122"/>
  <c r="G74" i="122"/>
  <c r="H74" i="122"/>
  <c r="I74" i="122"/>
  <c r="J74" i="122"/>
  <c r="K74" i="122"/>
  <c r="L74" i="122"/>
  <c r="M74" i="122"/>
  <c r="N74" i="122"/>
  <c r="O74" i="122"/>
  <c r="P74" i="122"/>
  <c r="Q74" i="122"/>
  <c r="R74" i="122"/>
  <c r="S74" i="122"/>
  <c r="T74" i="122"/>
  <c r="U74" i="122"/>
  <c r="W74" i="122"/>
  <c r="E75" i="122"/>
  <c r="F75" i="122"/>
  <c r="G75" i="122"/>
  <c r="H75" i="122"/>
  <c r="I75" i="122"/>
  <c r="J75" i="122"/>
  <c r="K75" i="122"/>
  <c r="L75" i="122"/>
  <c r="M75" i="122"/>
  <c r="N75" i="122"/>
  <c r="O75" i="122"/>
  <c r="P75" i="122"/>
  <c r="Q75" i="122"/>
  <c r="R75" i="122"/>
  <c r="S75" i="122"/>
  <c r="T75" i="122"/>
  <c r="U75" i="122"/>
  <c r="W75" i="122"/>
  <c r="E76" i="122"/>
  <c r="F76" i="122"/>
  <c r="G76" i="122"/>
  <c r="H76" i="122"/>
  <c r="I76" i="122"/>
  <c r="J76" i="122"/>
  <c r="K76" i="122"/>
  <c r="L76" i="122"/>
  <c r="M76" i="122"/>
  <c r="N76" i="122"/>
  <c r="O76" i="122"/>
  <c r="P76" i="122"/>
  <c r="Q76" i="122"/>
  <c r="R76" i="122"/>
  <c r="S76" i="122"/>
  <c r="T76" i="122"/>
  <c r="U76" i="122"/>
  <c r="W76" i="122"/>
  <c r="W68" i="122"/>
  <c r="X68" i="122" s="1"/>
  <c r="F68" i="122"/>
  <c r="G68" i="122"/>
  <c r="H68" i="122"/>
  <c r="I68" i="122"/>
  <c r="J68" i="122"/>
  <c r="K68" i="122"/>
  <c r="L68" i="122"/>
  <c r="M68" i="122"/>
  <c r="N68" i="122"/>
  <c r="O68" i="122"/>
  <c r="P68" i="122"/>
  <c r="Q68" i="122"/>
  <c r="R68" i="122"/>
  <c r="S68" i="122"/>
  <c r="T68" i="122"/>
  <c r="E68" i="122"/>
  <c r="E55" i="122"/>
  <c r="F55" i="122"/>
  <c r="G55" i="122"/>
  <c r="H55" i="122"/>
  <c r="I55" i="122"/>
  <c r="J55" i="122"/>
  <c r="K55" i="122"/>
  <c r="L55" i="122"/>
  <c r="M55" i="122"/>
  <c r="N55" i="122"/>
  <c r="O55" i="122"/>
  <c r="P55" i="122"/>
  <c r="Q55" i="122"/>
  <c r="R55" i="122"/>
  <c r="S55" i="122"/>
  <c r="T55" i="122"/>
  <c r="U55" i="122"/>
  <c r="W55" i="122"/>
  <c r="E56" i="122"/>
  <c r="F56" i="122"/>
  <c r="G56" i="122"/>
  <c r="H56" i="122"/>
  <c r="I56" i="122"/>
  <c r="J56" i="122"/>
  <c r="K56" i="122"/>
  <c r="L56" i="122"/>
  <c r="M56" i="122"/>
  <c r="N56" i="122"/>
  <c r="O56" i="122"/>
  <c r="P56" i="122"/>
  <c r="Q56" i="122"/>
  <c r="R56" i="122"/>
  <c r="S56" i="122"/>
  <c r="T56" i="122"/>
  <c r="U56" i="122"/>
  <c r="W56" i="122"/>
  <c r="E57" i="122"/>
  <c r="F57" i="122"/>
  <c r="G57" i="122"/>
  <c r="H57" i="122"/>
  <c r="I57" i="122"/>
  <c r="J57" i="122"/>
  <c r="K57" i="122"/>
  <c r="L57" i="122"/>
  <c r="M57" i="122"/>
  <c r="N57" i="122"/>
  <c r="O57" i="122"/>
  <c r="P57" i="122"/>
  <c r="Q57" i="122"/>
  <c r="R57" i="122"/>
  <c r="S57" i="122"/>
  <c r="T57" i="122"/>
  <c r="U57" i="122"/>
  <c r="W57" i="122"/>
  <c r="E58" i="122"/>
  <c r="F58" i="122"/>
  <c r="G58" i="122"/>
  <c r="H58" i="122"/>
  <c r="I58" i="122"/>
  <c r="J58" i="122"/>
  <c r="K58" i="122"/>
  <c r="L58" i="122"/>
  <c r="M58" i="122"/>
  <c r="N58" i="122"/>
  <c r="O58" i="122"/>
  <c r="P58" i="122"/>
  <c r="Q58" i="122"/>
  <c r="R58" i="122"/>
  <c r="S58" i="122"/>
  <c r="T58" i="122"/>
  <c r="U58" i="122"/>
  <c r="W58" i="122"/>
  <c r="E59" i="122"/>
  <c r="F59" i="122"/>
  <c r="G59" i="122"/>
  <c r="H59" i="122"/>
  <c r="I59" i="122"/>
  <c r="J59" i="122"/>
  <c r="K59" i="122"/>
  <c r="L59" i="122"/>
  <c r="M59" i="122"/>
  <c r="N59" i="122"/>
  <c r="O59" i="122"/>
  <c r="P59" i="122"/>
  <c r="Q59" i="122"/>
  <c r="R59" i="122"/>
  <c r="S59" i="122"/>
  <c r="T59" i="122"/>
  <c r="U59" i="122"/>
  <c r="W59" i="122"/>
  <c r="E60" i="122"/>
  <c r="F60" i="122"/>
  <c r="G60" i="122"/>
  <c r="H60" i="122"/>
  <c r="I60" i="122"/>
  <c r="J60" i="122"/>
  <c r="K60" i="122"/>
  <c r="L60" i="122"/>
  <c r="M60" i="122"/>
  <c r="N60" i="122"/>
  <c r="O60" i="122"/>
  <c r="P60" i="122"/>
  <c r="Q60" i="122"/>
  <c r="R60" i="122"/>
  <c r="S60" i="122"/>
  <c r="T60" i="122"/>
  <c r="U60" i="122"/>
  <c r="W60" i="122"/>
  <c r="E61" i="122"/>
  <c r="F61" i="122"/>
  <c r="G61" i="122"/>
  <c r="H61" i="122"/>
  <c r="I61" i="122"/>
  <c r="J61" i="122"/>
  <c r="K61" i="122"/>
  <c r="L61" i="122"/>
  <c r="M61" i="122"/>
  <c r="N61" i="122"/>
  <c r="O61" i="122"/>
  <c r="P61" i="122"/>
  <c r="Q61" i="122"/>
  <c r="R61" i="122"/>
  <c r="S61" i="122"/>
  <c r="T61" i="122"/>
  <c r="U61" i="122"/>
  <c r="W61" i="122"/>
  <c r="E62" i="122"/>
  <c r="F62" i="122"/>
  <c r="G62" i="122"/>
  <c r="H62" i="122"/>
  <c r="I62" i="122"/>
  <c r="J62" i="122"/>
  <c r="K62" i="122"/>
  <c r="L62" i="122"/>
  <c r="M62" i="122"/>
  <c r="N62" i="122"/>
  <c r="O62" i="122"/>
  <c r="P62" i="122"/>
  <c r="Q62" i="122"/>
  <c r="R62" i="122"/>
  <c r="S62" i="122"/>
  <c r="T62" i="122"/>
  <c r="U62" i="122"/>
  <c r="W62" i="122"/>
  <c r="W54" i="122"/>
  <c r="X54" i="122" s="1"/>
  <c r="F54" i="122"/>
  <c r="G54" i="122"/>
  <c r="H54" i="122"/>
  <c r="I54" i="122"/>
  <c r="J54" i="122"/>
  <c r="K54" i="122"/>
  <c r="L54" i="122"/>
  <c r="M54" i="122"/>
  <c r="N54" i="122"/>
  <c r="O54" i="122"/>
  <c r="P54" i="122"/>
  <c r="Q54" i="122"/>
  <c r="R54" i="122"/>
  <c r="S54" i="122"/>
  <c r="T54" i="122"/>
  <c r="E54" i="122"/>
  <c r="E41" i="122"/>
  <c r="F41" i="122"/>
  <c r="G41" i="122"/>
  <c r="H41" i="122"/>
  <c r="I41" i="122"/>
  <c r="J41" i="122"/>
  <c r="K41" i="122"/>
  <c r="L41" i="122"/>
  <c r="M41" i="122"/>
  <c r="N41" i="122"/>
  <c r="O41" i="122"/>
  <c r="P41" i="122"/>
  <c r="Q41" i="122"/>
  <c r="R41" i="122"/>
  <c r="S41" i="122"/>
  <c r="T41" i="122"/>
  <c r="U41" i="122"/>
  <c r="W41" i="122"/>
  <c r="E42" i="122"/>
  <c r="F42" i="122"/>
  <c r="G42" i="122"/>
  <c r="H42" i="122"/>
  <c r="I42" i="122"/>
  <c r="J42" i="122"/>
  <c r="K42" i="122"/>
  <c r="L42" i="122"/>
  <c r="M42" i="122"/>
  <c r="N42" i="122"/>
  <c r="O42" i="122"/>
  <c r="P42" i="122"/>
  <c r="Q42" i="122"/>
  <c r="R42" i="122"/>
  <c r="S42" i="122"/>
  <c r="T42" i="122"/>
  <c r="U42" i="122"/>
  <c r="W42" i="122"/>
  <c r="E43" i="122"/>
  <c r="F43" i="122"/>
  <c r="G43" i="122"/>
  <c r="H43" i="122"/>
  <c r="I43" i="122"/>
  <c r="J43" i="122"/>
  <c r="K43" i="122"/>
  <c r="L43" i="122"/>
  <c r="M43" i="122"/>
  <c r="N43" i="122"/>
  <c r="O43" i="122"/>
  <c r="P43" i="122"/>
  <c r="Q43" i="122"/>
  <c r="R43" i="122"/>
  <c r="S43" i="122"/>
  <c r="T43" i="122"/>
  <c r="U43" i="122"/>
  <c r="W43" i="122"/>
  <c r="E44" i="122"/>
  <c r="F44" i="122"/>
  <c r="G44" i="122"/>
  <c r="H44" i="122"/>
  <c r="I44" i="122"/>
  <c r="J44" i="122"/>
  <c r="K44" i="122"/>
  <c r="L44" i="122"/>
  <c r="M44" i="122"/>
  <c r="N44" i="122"/>
  <c r="O44" i="122"/>
  <c r="P44" i="122"/>
  <c r="Q44" i="122"/>
  <c r="R44" i="122"/>
  <c r="S44" i="122"/>
  <c r="T44" i="122"/>
  <c r="U44" i="122"/>
  <c r="W44" i="122"/>
  <c r="E45" i="122"/>
  <c r="F45" i="122"/>
  <c r="G45" i="122"/>
  <c r="H45" i="122"/>
  <c r="I45" i="122"/>
  <c r="J45" i="122"/>
  <c r="K45" i="122"/>
  <c r="L45" i="122"/>
  <c r="M45" i="122"/>
  <c r="N45" i="122"/>
  <c r="O45" i="122"/>
  <c r="P45" i="122"/>
  <c r="Q45" i="122"/>
  <c r="R45" i="122"/>
  <c r="S45" i="122"/>
  <c r="T45" i="122"/>
  <c r="U45" i="122"/>
  <c r="W45" i="122"/>
  <c r="E46" i="122"/>
  <c r="F46" i="122"/>
  <c r="G46" i="122"/>
  <c r="H46" i="122"/>
  <c r="I46" i="122"/>
  <c r="J46" i="122"/>
  <c r="K46" i="122"/>
  <c r="L46" i="122"/>
  <c r="M46" i="122"/>
  <c r="N46" i="122"/>
  <c r="O46" i="122"/>
  <c r="P46" i="122"/>
  <c r="Q46" i="122"/>
  <c r="R46" i="122"/>
  <c r="S46" i="122"/>
  <c r="T46" i="122"/>
  <c r="U46" i="122"/>
  <c r="W46" i="122"/>
  <c r="E47" i="122"/>
  <c r="F47" i="122"/>
  <c r="G47" i="122"/>
  <c r="H47" i="122"/>
  <c r="I47" i="122"/>
  <c r="J47" i="122"/>
  <c r="K47" i="122"/>
  <c r="L47" i="122"/>
  <c r="M47" i="122"/>
  <c r="N47" i="122"/>
  <c r="O47" i="122"/>
  <c r="P47" i="122"/>
  <c r="Q47" i="122"/>
  <c r="R47" i="122"/>
  <c r="S47" i="122"/>
  <c r="T47" i="122"/>
  <c r="U47" i="122"/>
  <c r="W47" i="122"/>
  <c r="E48" i="122"/>
  <c r="F48" i="122"/>
  <c r="G48" i="122"/>
  <c r="H48" i="122"/>
  <c r="I48" i="122"/>
  <c r="J48" i="122"/>
  <c r="K48" i="122"/>
  <c r="L48" i="122"/>
  <c r="M48" i="122"/>
  <c r="N48" i="122"/>
  <c r="O48" i="122"/>
  <c r="P48" i="122"/>
  <c r="Q48" i="122"/>
  <c r="R48" i="122"/>
  <c r="S48" i="122"/>
  <c r="T48" i="122"/>
  <c r="U48" i="122"/>
  <c r="W48" i="122"/>
  <c r="W40" i="122"/>
  <c r="F40" i="122"/>
  <c r="G40" i="122"/>
  <c r="H40" i="122"/>
  <c r="I40" i="122"/>
  <c r="J40" i="122"/>
  <c r="K40" i="122"/>
  <c r="L40" i="122"/>
  <c r="M40" i="122"/>
  <c r="N40" i="122"/>
  <c r="O40" i="122"/>
  <c r="P40" i="122"/>
  <c r="Q40" i="122"/>
  <c r="R40" i="122"/>
  <c r="S40" i="122"/>
  <c r="T40" i="122"/>
  <c r="E40" i="122"/>
  <c r="E27" i="122"/>
  <c r="F27" i="122"/>
  <c r="G27" i="122"/>
  <c r="H27" i="122"/>
  <c r="I27" i="122"/>
  <c r="J27" i="122"/>
  <c r="K27" i="122"/>
  <c r="L27" i="122"/>
  <c r="M27" i="122"/>
  <c r="N27" i="122"/>
  <c r="O27" i="122"/>
  <c r="P27" i="122"/>
  <c r="Q27" i="122"/>
  <c r="R27" i="122"/>
  <c r="S27" i="122"/>
  <c r="T27" i="122"/>
  <c r="U27" i="122"/>
  <c r="W27" i="122"/>
  <c r="E28" i="122"/>
  <c r="F28" i="122"/>
  <c r="G28" i="122"/>
  <c r="H28" i="122"/>
  <c r="I28" i="122"/>
  <c r="J28" i="122"/>
  <c r="K28" i="122"/>
  <c r="L28" i="122"/>
  <c r="M28" i="122"/>
  <c r="N28" i="122"/>
  <c r="O28" i="122"/>
  <c r="P28" i="122"/>
  <c r="Q28" i="122"/>
  <c r="R28" i="122"/>
  <c r="S28" i="122"/>
  <c r="T28" i="122"/>
  <c r="U28" i="122"/>
  <c r="W28" i="122"/>
  <c r="E29" i="122"/>
  <c r="F29" i="122"/>
  <c r="G29" i="122"/>
  <c r="H29" i="122"/>
  <c r="I29" i="122"/>
  <c r="J29" i="122"/>
  <c r="K29" i="122"/>
  <c r="L29" i="122"/>
  <c r="M29" i="122"/>
  <c r="N29" i="122"/>
  <c r="O29" i="122"/>
  <c r="P29" i="122"/>
  <c r="Q29" i="122"/>
  <c r="R29" i="122"/>
  <c r="S29" i="122"/>
  <c r="T29" i="122"/>
  <c r="U29" i="122"/>
  <c r="W29" i="122"/>
  <c r="E30" i="122"/>
  <c r="F30" i="122"/>
  <c r="G30" i="122"/>
  <c r="H30" i="122"/>
  <c r="I30" i="122"/>
  <c r="J30" i="122"/>
  <c r="K30" i="122"/>
  <c r="L30" i="122"/>
  <c r="M30" i="122"/>
  <c r="N30" i="122"/>
  <c r="O30" i="122"/>
  <c r="P30" i="122"/>
  <c r="Q30" i="122"/>
  <c r="R30" i="122"/>
  <c r="S30" i="122"/>
  <c r="T30" i="122"/>
  <c r="U30" i="122"/>
  <c r="W30" i="122"/>
  <c r="E31" i="122"/>
  <c r="F31" i="122"/>
  <c r="G31" i="122"/>
  <c r="H31" i="122"/>
  <c r="I31" i="122"/>
  <c r="J31" i="122"/>
  <c r="K31" i="122"/>
  <c r="L31" i="122"/>
  <c r="M31" i="122"/>
  <c r="N31" i="122"/>
  <c r="O31" i="122"/>
  <c r="P31" i="122"/>
  <c r="Q31" i="122"/>
  <c r="R31" i="122"/>
  <c r="S31" i="122"/>
  <c r="T31" i="122"/>
  <c r="U31" i="122"/>
  <c r="W31" i="122"/>
  <c r="E32" i="122"/>
  <c r="F32" i="122"/>
  <c r="G32" i="122"/>
  <c r="H32" i="122"/>
  <c r="I32" i="122"/>
  <c r="J32" i="122"/>
  <c r="K32" i="122"/>
  <c r="L32" i="122"/>
  <c r="M32" i="122"/>
  <c r="N32" i="122"/>
  <c r="O32" i="122"/>
  <c r="P32" i="122"/>
  <c r="Q32" i="122"/>
  <c r="R32" i="122"/>
  <c r="S32" i="122"/>
  <c r="T32" i="122"/>
  <c r="U32" i="122"/>
  <c r="W32" i="122"/>
  <c r="E33" i="122"/>
  <c r="F33" i="122"/>
  <c r="G33" i="122"/>
  <c r="H33" i="122"/>
  <c r="I33" i="122"/>
  <c r="J33" i="122"/>
  <c r="K33" i="122"/>
  <c r="L33" i="122"/>
  <c r="M33" i="122"/>
  <c r="N33" i="122"/>
  <c r="O33" i="122"/>
  <c r="P33" i="122"/>
  <c r="Q33" i="122"/>
  <c r="R33" i="122"/>
  <c r="S33" i="122"/>
  <c r="T33" i="122"/>
  <c r="U33" i="122"/>
  <c r="W33" i="122"/>
  <c r="E34" i="122"/>
  <c r="F34" i="122"/>
  <c r="G34" i="122"/>
  <c r="H34" i="122"/>
  <c r="I34" i="122"/>
  <c r="J34" i="122"/>
  <c r="K34" i="122"/>
  <c r="L34" i="122"/>
  <c r="M34" i="122"/>
  <c r="N34" i="122"/>
  <c r="O34" i="122"/>
  <c r="P34" i="122"/>
  <c r="Q34" i="122"/>
  <c r="R34" i="122"/>
  <c r="S34" i="122"/>
  <c r="T34" i="122"/>
  <c r="U34" i="122"/>
  <c r="W34" i="122"/>
  <c r="W26" i="122"/>
  <c r="F26" i="122"/>
  <c r="G26" i="122"/>
  <c r="H26" i="122"/>
  <c r="I26" i="122"/>
  <c r="J26" i="122"/>
  <c r="K26" i="122"/>
  <c r="L26" i="122"/>
  <c r="M26" i="122"/>
  <c r="N26" i="122"/>
  <c r="O26" i="122"/>
  <c r="P26" i="122"/>
  <c r="Q26" i="122"/>
  <c r="R26" i="122"/>
  <c r="S26" i="122"/>
  <c r="T26" i="122"/>
  <c r="E26" i="122"/>
  <c r="E13" i="122"/>
  <c r="F13" i="122"/>
  <c r="G13" i="122"/>
  <c r="H13" i="122"/>
  <c r="I13" i="122"/>
  <c r="J13" i="122"/>
  <c r="K13" i="122"/>
  <c r="L13" i="122"/>
  <c r="M13" i="122"/>
  <c r="N13" i="122"/>
  <c r="O13" i="122"/>
  <c r="P13" i="122"/>
  <c r="Q13" i="122"/>
  <c r="R13" i="122"/>
  <c r="S13" i="122"/>
  <c r="T13" i="122"/>
  <c r="U13" i="122"/>
  <c r="W13" i="122"/>
  <c r="E14" i="122"/>
  <c r="F14" i="122"/>
  <c r="G14" i="122"/>
  <c r="H14" i="122"/>
  <c r="I14" i="122"/>
  <c r="J14" i="122"/>
  <c r="K14" i="122"/>
  <c r="L14" i="122"/>
  <c r="M14" i="122"/>
  <c r="N14" i="122"/>
  <c r="O14" i="122"/>
  <c r="P14" i="122"/>
  <c r="Q14" i="122"/>
  <c r="R14" i="122"/>
  <c r="S14" i="122"/>
  <c r="T14" i="122"/>
  <c r="U14" i="122"/>
  <c r="W14" i="122"/>
  <c r="E15" i="122"/>
  <c r="F15" i="122"/>
  <c r="G15" i="122"/>
  <c r="H15" i="122"/>
  <c r="I15" i="122"/>
  <c r="J15" i="122"/>
  <c r="K15" i="122"/>
  <c r="L15" i="122"/>
  <c r="M15" i="122"/>
  <c r="N15" i="122"/>
  <c r="O15" i="122"/>
  <c r="P15" i="122"/>
  <c r="Q15" i="122"/>
  <c r="R15" i="122"/>
  <c r="S15" i="122"/>
  <c r="T15" i="122"/>
  <c r="U15" i="122"/>
  <c r="W15" i="122"/>
  <c r="E16" i="122"/>
  <c r="F16" i="122"/>
  <c r="G16" i="122"/>
  <c r="H16" i="122"/>
  <c r="I16" i="122"/>
  <c r="J16" i="122"/>
  <c r="K16" i="122"/>
  <c r="L16" i="122"/>
  <c r="M16" i="122"/>
  <c r="N16" i="122"/>
  <c r="O16" i="122"/>
  <c r="P16" i="122"/>
  <c r="Q16" i="122"/>
  <c r="R16" i="122"/>
  <c r="S16" i="122"/>
  <c r="T16" i="122"/>
  <c r="U16" i="122"/>
  <c r="W16" i="122"/>
  <c r="E17" i="122"/>
  <c r="F17" i="122"/>
  <c r="G17" i="122"/>
  <c r="H17" i="122"/>
  <c r="I17" i="122"/>
  <c r="J17" i="122"/>
  <c r="K17" i="122"/>
  <c r="L17" i="122"/>
  <c r="M17" i="122"/>
  <c r="N17" i="122"/>
  <c r="O17" i="122"/>
  <c r="P17" i="122"/>
  <c r="Q17" i="122"/>
  <c r="R17" i="122"/>
  <c r="S17" i="122"/>
  <c r="T17" i="122"/>
  <c r="U17" i="122"/>
  <c r="W17" i="122"/>
  <c r="E18" i="122"/>
  <c r="F18" i="122"/>
  <c r="G18" i="122"/>
  <c r="H18" i="122"/>
  <c r="I18" i="122"/>
  <c r="J18" i="122"/>
  <c r="K18" i="122"/>
  <c r="L18" i="122"/>
  <c r="M18" i="122"/>
  <c r="N18" i="122"/>
  <c r="O18" i="122"/>
  <c r="P18" i="122"/>
  <c r="Q18" i="122"/>
  <c r="R18" i="122"/>
  <c r="S18" i="122"/>
  <c r="T18" i="122"/>
  <c r="U18" i="122"/>
  <c r="W18" i="122"/>
  <c r="E19" i="122"/>
  <c r="F19" i="122"/>
  <c r="G19" i="122"/>
  <c r="H19" i="122"/>
  <c r="I19" i="122"/>
  <c r="J19" i="122"/>
  <c r="K19" i="122"/>
  <c r="L19" i="122"/>
  <c r="M19" i="122"/>
  <c r="N19" i="122"/>
  <c r="O19" i="122"/>
  <c r="P19" i="122"/>
  <c r="Q19" i="122"/>
  <c r="R19" i="122"/>
  <c r="S19" i="122"/>
  <c r="T19" i="122"/>
  <c r="U19" i="122"/>
  <c r="W19" i="122"/>
  <c r="E20" i="122"/>
  <c r="F20" i="122"/>
  <c r="G20" i="122"/>
  <c r="H20" i="122"/>
  <c r="I20" i="122"/>
  <c r="J20" i="122"/>
  <c r="K20" i="122"/>
  <c r="L20" i="122"/>
  <c r="M20" i="122"/>
  <c r="N20" i="122"/>
  <c r="O20" i="122"/>
  <c r="P20" i="122"/>
  <c r="Q20" i="122"/>
  <c r="R20" i="122"/>
  <c r="S20" i="122"/>
  <c r="T20" i="122"/>
  <c r="U20" i="122"/>
  <c r="W20" i="122"/>
  <c r="J21" i="122"/>
  <c r="K21" i="122"/>
  <c r="L21" i="122"/>
  <c r="M21" i="122"/>
  <c r="N21" i="122"/>
  <c r="O21" i="122"/>
  <c r="P21" i="122"/>
  <c r="Q21" i="122"/>
  <c r="R21" i="122"/>
  <c r="S21" i="122"/>
  <c r="T21" i="122"/>
  <c r="U21" i="122"/>
  <c r="W21" i="122"/>
  <c r="J22" i="122"/>
  <c r="K22" i="122"/>
  <c r="L22" i="122"/>
  <c r="M22" i="122"/>
  <c r="N22" i="122"/>
  <c r="O22" i="122"/>
  <c r="P22" i="122"/>
  <c r="Q22" i="122"/>
  <c r="R22" i="122"/>
  <c r="S22" i="122"/>
  <c r="T22" i="122"/>
  <c r="U22" i="122"/>
  <c r="W22" i="122"/>
  <c r="J23" i="122"/>
  <c r="K23" i="122"/>
  <c r="L23" i="122"/>
  <c r="M23" i="122"/>
  <c r="N23" i="122"/>
  <c r="O23" i="122"/>
  <c r="P23" i="122"/>
  <c r="Q23" i="122"/>
  <c r="R23" i="122"/>
  <c r="S23" i="122"/>
  <c r="T23" i="122"/>
  <c r="U23" i="122"/>
  <c r="W23" i="122"/>
  <c r="J24" i="122"/>
  <c r="K24" i="122"/>
  <c r="L24" i="122"/>
  <c r="M24" i="122"/>
  <c r="N24" i="122"/>
  <c r="O24" i="122"/>
  <c r="P24" i="122"/>
  <c r="Q24" i="122"/>
  <c r="R24" i="122"/>
  <c r="S24" i="122"/>
  <c r="T24" i="122"/>
  <c r="U24" i="122"/>
  <c r="W24" i="122"/>
  <c r="J25" i="122"/>
  <c r="K25" i="122"/>
  <c r="L25" i="122"/>
  <c r="M25" i="122"/>
  <c r="N25" i="122"/>
  <c r="O25" i="122"/>
  <c r="P25" i="122"/>
  <c r="Q25" i="122"/>
  <c r="R25" i="122"/>
  <c r="S25" i="122"/>
  <c r="T25" i="122"/>
  <c r="U25" i="122"/>
  <c r="W25" i="122"/>
  <c r="W12" i="122"/>
  <c r="F12" i="122"/>
  <c r="G12" i="122"/>
  <c r="H12" i="122"/>
  <c r="I12" i="122"/>
  <c r="J12" i="122"/>
  <c r="K12" i="122"/>
  <c r="L12" i="122"/>
  <c r="M12" i="122"/>
  <c r="N12" i="122"/>
  <c r="O12" i="122"/>
  <c r="P12" i="122"/>
  <c r="Q12" i="122"/>
  <c r="R12" i="122"/>
  <c r="S12" i="122"/>
  <c r="T12" i="122"/>
  <c r="E12" i="122"/>
  <c r="B8" i="122"/>
  <c r="C152" i="122"/>
  <c r="C138" i="122"/>
  <c r="C124" i="122"/>
  <c r="C110" i="122"/>
  <c r="C96" i="122"/>
  <c r="C82" i="122"/>
  <c r="C54" i="122"/>
  <c r="C68" i="122"/>
  <c r="C40" i="122"/>
  <c r="C26" i="122"/>
  <c r="C12" i="122"/>
  <c r="E27" i="126"/>
  <c r="F27" i="126"/>
  <c r="G27" i="126"/>
  <c r="H27" i="126"/>
  <c r="I27" i="126"/>
  <c r="J27" i="126"/>
  <c r="K27" i="126"/>
  <c r="L27" i="126"/>
  <c r="M27" i="126"/>
  <c r="N27" i="126"/>
  <c r="O27" i="126"/>
  <c r="P27" i="126"/>
  <c r="Q27" i="126"/>
  <c r="R27" i="126"/>
  <c r="S27" i="126"/>
  <c r="T27" i="126"/>
  <c r="U27" i="126"/>
  <c r="W27" i="126"/>
  <c r="E28" i="126"/>
  <c r="F28" i="126"/>
  <c r="G28" i="126"/>
  <c r="H28" i="126"/>
  <c r="I28" i="126"/>
  <c r="J28" i="126"/>
  <c r="K28" i="126"/>
  <c r="L28" i="126"/>
  <c r="M28" i="126"/>
  <c r="N28" i="126"/>
  <c r="O28" i="126"/>
  <c r="P28" i="126"/>
  <c r="Q28" i="126"/>
  <c r="R28" i="126"/>
  <c r="S28" i="126"/>
  <c r="T28" i="126"/>
  <c r="U28" i="126"/>
  <c r="W28" i="126"/>
  <c r="E29" i="126"/>
  <c r="F29" i="126"/>
  <c r="G29" i="126"/>
  <c r="H29" i="126"/>
  <c r="I29" i="126"/>
  <c r="J29" i="126"/>
  <c r="K29" i="126"/>
  <c r="L29" i="126"/>
  <c r="M29" i="126"/>
  <c r="N29" i="126"/>
  <c r="O29" i="126"/>
  <c r="P29" i="126"/>
  <c r="Q29" i="126"/>
  <c r="R29" i="126"/>
  <c r="S29" i="126"/>
  <c r="T29" i="126"/>
  <c r="U29" i="126"/>
  <c r="W29" i="126"/>
  <c r="E30" i="126"/>
  <c r="F30" i="126"/>
  <c r="G30" i="126"/>
  <c r="H30" i="126"/>
  <c r="I30" i="126"/>
  <c r="J30" i="126"/>
  <c r="K30" i="126"/>
  <c r="L30" i="126"/>
  <c r="M30" i="126"/>
  <c r="N30" i="126"/>
  <c r="O30" i="126"/>
  <c r="P30" i="126"/>
  <c r="Q30" i="126"/>
  <c r="R30" i="126"/>
  <c r="S30" i="126"/>
  <c r="T30" i="126"/>
  <c r="U30" i="126"/>
  <c r="W30" i="126"/>
  <c r="E31" i="126"/>
  <c r="F31" i="126"/>
  <c r="G31" i="126"/>
  <c r="H31" i="126"/>
  <c r="I31" i="126"/>
  <c r="J31" i="126"/>
  <c r="K31" i="126"/>
  <c r="L31" i="126"/>
  <c r="M31" i="126"/>
  <c r="N31" i="126"/>
  <c r="O31" i="126"/>
  <c r="P31" i="126"/>
  <c r="Q31" i="126"/>
  <c r="R31" i="126"/>
  <c r="S31" i="126"/>
  <c r="T31" i="126"/>
  <c r="U31" i="126"/>
  <c r="W31" i="126"/>
  <c r="E32" i="126"/>
  <c r="F32" i="126"/>
  <c r="G32" i="126"/>
  <c r="H32" i="126"/>
  <c r="I32" i="126"/>
  <c r="J32" i="126"/>
  <c r="K32" i="126"/>
  <c r="L32" i="126"/>
  <c r="M32" i="126"/>
  <c r="N32" i="126"/>
  <c r="O32" i="126"/>
  <c r="P32" i="126"/>
  <c r="Q32" i="126"/>
  <c r="R32" i="126"/>
  <c r="S32" i="126"/>
  <c r="T32" i="126"/>
  <c r="U32" i="126"/>
  <c r="W32" i="126"/>
  <c r="E33" i="126"/>
  <c r="F33" i="126"/>
  <c r="G33" i="126"/>
  <c r="H33" i="126"/>
  <c r="I33" i="126"/>
  <c r="J33" i="126"/>
  <c r="K33" i="126"/>
  <c r="L33" i="126"/>
  <c r="M33" i="126"/>
  <c r="N33" i="126"/>
  <c r="O33" i="126"/>
  <c r="P33" i="126"/>
  <c r="Q33" i="126"/>
  <c r="R33" i="126"/>
  <c r="S33" i="126"/>
  <c r="T33" i="126"/>
  <c r="U33" i="126"/>
  <c r="W33" i="126"/>
  <c r="E34" i="126"/>
  <c r="F34" i="126"/>
  <c r="G34" i="126"/>
  <c r="H34" i="126"/>
  <c r="I34" i="126"/>
  <c r="J34" i="126"/>
  <c r="K34" i="126"/>
  <c r="L34" i="126"/>
  <c r="M34" i="126"/>
  <c r="N34" i="126"/>
  <c r="O34" i="126"/>
  <c r="P34" i="126"/>
  <c r="Q34" i="126"/>
  <c r="R34" i="126"/>
  <c r="S34" i="126"/>
  <c r="T34" i="126"/>
  <c r="U34" i="126"/>
  <c r="W34" i="126"/>
  <c r="W26" i="126"/>
  <c r="F26" i="126"/>
  <c r="G26" i="126"/>
  <c r="H26" i="126"/>
  <c r="I26" i="126"/>
  <c r="J26" i="126"/>
  <c r="K26" i="126"/>
  <c r="L26" i="126"/>
  <c r="M26" i="126"/>
  <c r="N26" i="126"/>
  <c r="O26" i="126"/>
  <c r="P26" i="126"/>
  <c r="Q26" i="126"/>
  <c r="R26" i="126"/>
  <c r="S26" i="126"/>
  <c r="T26" i="126"/>
  <c r="E26" i="126"/>
  <c r="F13" i="126"/>
  <c r="G13" i="126"/>
  <c r="H13" i="126"/>
  <c r="I13" i="126"/>
  <c r="J13" i="126"/>
  <c r="K13" i="126"/>
  <c r="L13" i="126"/>
  <c r="M13" i="126"/>
  <c r="N13" i="126"/>
  <c r="O13" i="126"/>
  <c r="P13" i="126"/>
  <c r="Q13" i="126"/>
  <c r="R13" i="126"/>
  <c r="S13" i="126"/>
  <c r="T13" i="126"/>
  <c r="U13" i="126"/>
  <c r="W13" i="126"/>
  <c r="E14" i="126"/>
  <c r="F14" i="126"/>
  <c r="G14" i="126"/>
  <c r="H14" i="126"/>
  <c r="I14" i="126"/>
  <c r="J14" i="126"/>
  <c r="K14" i="126"/>
  <c r="L14" i="126"/>
  <c r="M14" i="126"/>
  <c r="N14" i="126"/>
  <c r="O14" i="126"/>
  <c r="P14" i="126"/>
  <c r="Q14" i="126"/>
  <c r="R14" i="126"/>
  <c r="S14" i="126"/>
  <c r="T14" i="126"/>
  <c r="U14" i="126"/>
  <c r="W14" i="126"/>
  <c r="E15" i="126"/>
  <c r="F15" i="126"/>
  <c r="G15" i="126"/>
  <c r="H15" i="126"/>
  <c r="I15" i="126"/>
  <c r="J15" i="126"/>
  <c r="K15" i="126"/>
  <c r="L15" i="126"/>
  <c r="M15" i="126"/>
  <c r="N15" i="126"/>
  <c r="O15" i="126"/>
  <c r="P15" i="126"/>
  <c r="Q15" i="126"/>
  <c r="R15" i="126"/>
  <c r="S15" i="126"/>
  <c r="T15" i="126"/>
  <c r="U15" i="126"/>
  <c r="W15" i="126"/>
  <c r="E16" i="126"/>
  <c r="F16" i="126"/>
  <c r="G16" i="126"/>
  <c r="H16" i="126"/>
  <c r="I16" i="126"/>
  <c r="J16" i="126"/>
  <c r="K16" i="126"/>
  <c r="L16" i="126"/>
  <c r="M16" i="126"/>
  <c r="N16" i="126"/>
  <c r="O16" i="126"/>
  <c r="P16" i="126"/>
  <c r="Q16" i="126"/>
  <c r="R16" i="126"/>
  <c r="S16" i="126"/>
  <c r="T16" i="126"/>
  <c r="U16" i="126"/>
  <c r="W16" i="126"/>
  <c r="E17" i="126"/>
  <c r="F17" i="126"/>
  <c r="G17" i="126"/>
  <c r="H17" i="126"/>
  <c r="I17" i="126"/>
  <c r="J17" i="126"/>
  <c r="K17" i="126"/>
  <c r="L17" i="126"/>
  <c r="M17" i="126"/>
  <c r="N17" i="126"/>
  <c r="O17" i="126"/>
  <c r="P17" i="126"/>
  <c r="Q17" i="126"/>
  <c r="R17" i="126"/>
  <c r="S17" i="126"/>
  <c r="T17" i="126"/>
  <c r="U17" i="126"/>
  <c r="W17" i="126"/>
  <c r="E18" i="126"/>
  <c r="F18" i="126"/>
  <c r="G18" i="126"/>
  <c r="H18" i="126"/>
  <c r="I18" i="126"/>
  <c r="J18" i="126"/>
  <c r="K18" i="126"/>
  <c r="L18" i="126"/>
  <c r="M18" i="126"/>
  <c r="N18" i="126"/>
  <c r="O18" i="126"/>
  <c r="P18" i="126"/>
  <c r="Q18" i="126"/>
  <c r="R18" i="126"/>
  <c r="S18" i="126"/>
  <c r="T18" i="126"/>
  <c r="U18" i="126"/>
  <c r="W18" i="126"/>
  <c r="E19" i="126"/>
  <c r="F19" i="126"/>
  <c r="G19" i="126"/>
  <c r="H19" i="126"/>
  <c r="I19" i="126"/>
  <c r="J19" i="126"/>
  <c r="K19" i="126"/>
  <c r="L19" i="126"/>
  <c r="M19" i="126"/>
  <c r="N19" i="126"/>
  <c r="O19" i="126"/>
  <c r="P19" i="126"/>
  <c r="Q19" i="126"/>
  <c r="R19" i="126"/>
  <c r="S19" i="126"/>
  <c r="T19" i="126"/>
  <c r="U19" i="126"/>
  <c r="W19" i="126"/>
  <c r="E20" i="126"/>
  <c r="F20" i="126"/>
  <c r="G20" i="126"/>
  <c r="H20" i="126"/>
  <c r="I20" i="126"/>
  <c r="J20" i="126"/>
  <c r="K20" i="126"/>
  <c r="L20" i="126"/>
  <c r="M20" i="126"/>
  <c r="N20" i="126"/>
  <c r="O20" i="126"/>
  <c r="P20" i="126"/>
  <c r="Q20" i="126"/>
  <c r="R20" i="126"/>
  <c r="S20" i="126"/>
  <c r="T20" i="126"/>
  <c r="U20" i="126"/>
  <c r="W20" i="126"/>
  <c r="W12" i="126"/>
  <c r="F12" i="126"/>
  <c r="G12" i="126"/>
  <c r="H12" i="126"/>
  <c r="I12" i="126"/>
  <c r="J12" i="126"/>
  <c r="K12" i="126"/>
  <c r="L12" i="126"/>
  <c r="M12" i="126"/>
  <c r="N12" i="126"/>
  <c r="O12" i="126"/>
  <c r="P12" i="126"/>
  <c r="Q12" i="126"/>
  <c r="R12" i="126"/>
  <c r="S12" i="126"/>
  <c r="T12" i="126"/>
  <c r="E12" i="126"/>
  <c r="C12" i="126"/>
  <c r="B8" i="126"/>
  <c r="E41" i="127"/>
  <c r="F41" i="127"/>
  <c r="G41" i="127"/>
  <c r="H41" i="127"/>
  <c r="I41" i="127"/>
  <c r="J41" i="127"/>
  <c r="K41" i="127"/>
  <c r="L41" i="127"/>
  <c r="M41" i="127"/>
  <c r="N41" i="127"/>
  <c r="O41" i="127"/>
  <c r="P41" i="127"/>
  <c r="Q41" i="127"/>
  <c r="R41" i="127"/>
  <c r="S41" i="127"/>
  <c r="T41" i="127"/>
  <c r="U41" i="127"/>
  <c r="W41" i="127"/>
  <c r="E42" i="127"/>
  <c r="F42" i="127"/>
  <c r="G42" i="127"/>
  <c r="H42" i="127"/>
  <c r="I42" i="127"/>
  <c r="J42" i="127"/>
  <c r="K42" i="127"/>
  <c r="L42" i="127"/>
  <c r="M42" i="127"/>
  <c r="N42" i="127"/>
  <c r="O42" i="127"/>
  <c r="P42" i="127"/>
  <c r="Q42" i="127"/>
  <c r="R42" i="127"/>
  <c r="S42" i="127"/>
  <c r="T42" i="127"/>
  <c r="U42" i="127"/>
  <c r="W42" i="127"/>
  <c r="E43" i="127"/>
  <c r="F43" i="127"/>
  <c r="G43" i="127"/>
  <c r="H43" i="127"/>
  <c r="I43" i="127"/>
  <c r="J43" i="127"/>
  <c r="K43" i="127"/>
  <c r="L43" i="127"/>
  <c r="M43" i="127"/>
  <c r="N43" i="127"/>
  <c r="O43" i="127"/>
  <c r="P43" i="127"/>
  <c r="Q43" i="127"/>
  <c r="R43" i="127"/>
  <c r="S43" i="127"/>
  <c r="T43" i="127"/>
  <c r="U43" i="127"/>
  <c r="W43" i="127"/>
  <c r="E44" i="127"/>
  <c r="F44" i="127"/>
  <c r="G44" i="127"/>
  <c r="H44" i="127"/>
  <c r="I44" i="127"/>
  <c r="J44" i="127"/>
  <c r="K44" i="127"/>
  <c r="L44" i="127"/>
  <c r="M44" i="127"/>
  <c r="N44" i="127"/>
  <c r="O44" i="127"/>
  <c r="P44" i="127"/>
  <c r="Q44" i="127"/>
  <c r="R44" i="127"/>
  <c r="S44" i="127"/>
  <c r="T44" i="127"/>
  <c r="U44" i="127"/>
  <c r="W44" i="127"/>
  <c r="E45" i="127"/>
  <c r="F45" i="127"/>
  <c r="G45" i="127"/>
  <c r="H45" i="127"/>
  <c r="I45" i="127"/>
  <c r="J45" i="127"/>
  <c r="K45" i="127"/>
  <c r="L45" i="127"/>
  <c r="M45" i="127"/>
  <c r="N45" i="127"/>
  <c r="O45" i="127"/>
  <c r="P45" i="127"/>
  <c r="Q45" i="127"/>
  <c r="R45" i="127"/>
  <c r="S45" i="127"/>
  <c r="T45" i="127"/>
  <c r="U45" i="127"/>
  <c r="W45" i="127"/>
  <c r="E46" i="127"/>
  <c r="F46" i="127"/>
  <c r="G46" i="127"/>
  <c r="H46" i="127"/>
  <c r="I46" i="127"/>
  <c r="J46" i="127"/>
  <c r="K46" i="127"/>
  <c r="L46" i="127"/>
  <c r="M46" i="127"/>
  <c r="N46" i="127"/>
  <c r="O46" i="127"/>
  <c r="P46" i="127"/>
  <c r="Q46" i="127"/>
  <c r="R46" i="127"/>
  <c r="S46" i="127"/>
  <c r="T46" i="127"/>
  <c r="U46" i="127"/>
  <c r="W46" i="127"/>
  <c r="E47" i="127"/>
  <c r="F47" i="127"/>
  <c r="G47" i="127"/>
  <c r="H47" i="127"/>
  <c r="I47" i="127"/>
  <c r="J47" i="127"/>
  <c r="K47" i="127"/>
  <c r="L47" i="127"/>
  <c r="M47" i="127"/>
  <c r="N47" i="127"/>
  <c r="O47" i="127"/>
  <c r="P47" i="127"/>
  <c r="Q47" i="127"/>
  <c r="R47" i="127"/>
  <c r="S47" i="127"/>
  <c r="T47" i="127"/>
  <c r="U47" i="127"/>
  <c r="W47" i="127"/>
  <c r="E48" i="127"/>
  <c r="F48" i="127"/>
  <c r="G48" i="127"/>
  <c r="H48" i="127"/>
  <c r="I48" i="127"/>
  <c r="J48" i="127"/>
  <c r="K48" i="127"/>
  <c r="L48" i="127"/>
  <c r="M48" i="127"/>
  <c r="N48" i="127"/>
  <c r="O48" i="127"/>
  <c r="P48" i="127"/>
  <c r="Q48" i="127"/>
  <c r="R48" i="127"/>
  <c r="S48" i="127"/>
  <c r="T48" i="127"/>
  <c r="U48" i="127"/>
  <c r="W48" i="127"/>
  <c r="W40" i="127"/>
  <c r="F40" i="127"/>
  <c r="G40" i="127"/>
  <c r="H40" i="127"/>
  <c r="I40" i="127"/>
  <c r="J40" i="127"/>
  <c r="K40" i="127"/>
  <c r="L40" i="127"/>
  <c r="M40" i="127"/>
  <c r="N40" i="127"/>
  <c r="O40" i="127"/>
  <c r="P40" i="127"/>
  <c r="Q40" i="127"/>
  <c r="R40" i="127"/>
  <c r="S40" i="127"/>
  <c r="T40" i="127"/>
  <c r="E40" i="127"/>
  <c r="E27" i="127"/>
  <c r="F27" i="127"/>
  <c r="H27" i="127"/>
  <c r="I27" i="127"/>
  <c r="J27" i="127"/>
  <c r="K27" i="127"/>
  <c r="L27" i="127"/>
  <c r="M27" i="127"/>
  <c r="N27" i="127"/>
  <c r="O27" i="127"/>
  <c r="P27" i="127"/>
  <c r="Q27" i="127"/>
  <c r="R27" i="127"/>
  <c r="S27" i="127"/>
  <c r="T27" i="127"/>
  <c r="U27" i="127"/>
  <c r="W27" i="127"/>
  <c r="E28" i="127"/>
  <c r="F28" i="127"/>
  <c r="G28" i="127"/>
  <c r="H28" i="127"/>
  <c r="I28" i="127"/>
  <c r="J28" i="127"/>
  <c r="K28" i="127"/>
  <c r="L28" i="127"/>
  <c r="M28" i="127"/>
  <c r="N28" i="127"/>
  <c r="O28" i="127"/>
  <c r="P28" i="127"/>
  <c r="Q28" i="127"/>
  <c r="R28" i="127"/>
  <c r="S28" i="127"/>
  <c r="T28" i="127"/>
  <c r="U28" i="127"/>
  <c r="W28" i="127"/>
  <c r="E29" i="127"/>
  <c r="F29" i="127"/>
  <c r="G29" i="127"/>
  <c r="H29" i="127"/>
  <c r="I29" i="127"/>
  <c r="J29" i="127"/>
  <c r="K29" i="127"/>
  <c r="L29" i="127"/>
  <c r="M29" i="127"/>
  <c r="N29" i="127"/>
  <c r="O29" i="127"/>
  <c r="P29" i="127"/>
  <c r="Q29" i="127"/>
  <c r="R29" i="127"/>
  <c r="S29" i="127"/>
  <c r="T29" i="127"/>
  <c r="U29" i="127"/>
  <c r="W29" i="127"/>
  <c r="E30" i="127"/>
  <c r="F30" i="127"/>
  <c r="G30" i="127"/>
  <c r="H30" i="127"/>
  <c r="I30" i="127"/>
  <c r="J30" i="127"/>
  <c r="K30" i="127"/>
  <c r="L30" i="127"/>
  <c r="M30" i="127"/>
  <c r="N30" i="127"/>
  <c r="O30" i="127"/>
  <c r="P30" i="127"/>
  <c r="Q30" i="127"/>
  <c r="R30" i="127"/>
  <c r="S30" i="127"/>
  <c r="T30" i="127"/>
  <c r="U30" i="127"/>
  <c r="W30" i="127"/>
  <c r="E31" i="127"/>
  <c r="F31" i="127"/>
  <c r="G31" i="127"/>
  <c r="H31" i="127"/>
  <c r="I31" i="127"/>
  <c r="J31" i="127"/>
  <c r="K31" i="127"/>
  <c r="L31" i="127"/>
  <c r="M31" i="127"/>
  <c r="N31" i="127"/>
  <c r="O31" i="127"/>
  <c r="P31" i="127"/>
  <c r="Q31" i="127"/>
  <c r="R31" i="127"/>
  <c r="S31" i="127"/>
  <c r="T31" i="127"/>
  <c r="U31" i="127"/>
  <c r="W31" i="127"/>
  <c r="E32" i="127"/>
  <c r="F32" i="127"/>
  <c r="G32" i="127"/>
  <c r="H32" i="127"/>
  <c r="I32" i="127"/>
  <c r="J32" i="127"/>
  <c r="K32" i="127"/>
  <c r="L32" i="127"/>
  <c r="M32" i="127"/>
  <c r="N32" i="127"/>
  <c r="O32" i="127"/>
  <c r="P32" i="127"/>
  <c r="Q32" i="127"/>
  <c r="R32" i="127"/>
  <c r="S32" i="127"/>
  <c r="T32" i="127"/>
  <c r="U32" i="127"/>
  <c r="W32" i="127"/>
  <c r="E33" i="127"/>
  <c r="F33" i="127"/>
  <c r="G33" i="127"/>
  <c r="H33" i="127"/>
  <c r="I33" i="127"/>
  <c r="J33" i="127"/>
  <c r="K33" i="127"/>
  <c r="L33" i="127"/>
  <c r="M33" i="127"/>
  <c r="N33" i="127"/>
  <c r="O33" i="127"/>
  <c r="P33" i="127"/>
  <c r="Q33" i="127"/>
  <c r="R33" i="127"/>
  <c r="S33" i="127"/>
  <c r="T33" i="127"/>
  <c r="U33" i="127"/>
  <c r="W33" i="127"/>
  <c r="E34" i="127"/>
  <c r="F34" i="127"/>
  <c r="G34" i="127"/>
  <c r="H34" i="127"/>
  <c r="I34" i="127"/>
  <c r="J34" i="127"/>
  <c r="K34" i="127"/>
  <c r="L34" i="127"/>
  <c r="M34" i="127"/>
  <c r="N34" i="127"/>
  <c r="O34" i="127"/>
  <c r="P34" i="127"/>
  <c r="Q34" i="127"/>
  <c r="R34" i="127"/>
  <c r="S34" i="127"/>
  <c r="T34" i="127"/>
  <c r="U34" i="127"/>
  <c r="W34" i="127"/>
  <c r="W26" i="127"/>
  <c r="F26" i="127"/>
  <c r="G26" i="127"/>
  <c r="H26" i="127"/>
  <c r="I26" i="127"/>
  <c r="J26" i="127"/>
  <c r="K26" i="127"/>
  <c r="L26" i="127"/>
  <c r="M26" i="127"/>
  <c r="N26" i="127"/>
  <c r="O26" i="127"/>
  <c r="P26" i="127"/>
  <c r="Q26" i="127"/>
  <c r="R26" i="127"/>
  <c r="S26" i="127"/>
  <c r="T26" i="127"/>
  <c r="E26" i="127"/>
  <c r="E13" i="127"/>
  <c r="F13" i="127"/>
  <c r="G13" i="127"/>
  <c r="H13" i="127"/>
  <c r="I13" i="127"/>
  <c r="J13" i="127"/>
  <c r="K13" i="127"/>
  <c r="L13" i="127"/>
  <c r="M13" i="127"/>
  <c r="N13" i="127"/>
  <c r="O13" i="127"/>
  <c r="P13" i="127"/>
  <c r="Q13" i="127"/>
  <c r="R13" i="127"/>
  <c r="S13" i="127"/>
  <c r="T13" i="127"/>
  <c r="U13" i="127"/>
  <c r="W13" i="127"/>
  <c r="E14" i="127"/>
  <c r="F14" i="127"/>
  <c r="G14" i="127"/>
  <c r="H14" i="127"/>
  <c r="I14" i="127"/>
  <c r="J14" i="127"/>
  <c r="K14" i="127"/>
  <c r="L14" i="127"/>
  <c r="M14" i="127"/>
  <c r="N14" i="127"/>
  <c r="O14" i="127"/>
  <c r="P14" i="127"/>
  <c r="Q14" i="127"/>
  <c r="R14" i="127"/>
  <c r="S14" i="127"/>
  <c r="T14" i="127"/>
  <c r="U14" i="127"/>
  <c r="W14" i="127"/>
  <c r="E15" i="127"/>
  <c r="F15" i="127"/>
  <c r="G15" i="127"/>
  <c r="H15" i="127"/>
  <c r="I15" i="127"/>
  <c r="J15" i="127"/>
  <c r="K15" i="127"/>
  <c r="L15" i="127"/>
  <c r="M15" i="127"/>
  <c r="N15" i="127"/>
  <c r="O15" i="127"/>
  <c r="P15" i="127"/>
  <c r="Q15" i="127"/>
  <c r="R15" i="127"/>
  <c r="S15" i="127"/>
  <c r="T15" i="127"/>
  <c r="U15" i="127"/>
  <c r="W15" i="127"/>
  <c r="E16" i="127"/>
  <c r="F16" i="127"/>
  <c r="G16" i="127"/>
  <c r="H16" i="127"/>
  <c r="I16" i="127"/>
  <c r="J16" i="127"/>
  <c r="K16" i="127"/>
  <c r="L16" i="127"/>
  <c r="M16" i="127"/>
  <c r="N16" i="127"/>
  <c r="O16" i="127"/>
  <c r="P16" i="127"/>
  <c r="Q16" i="127"/>
  <c r="R16" i="127"/>
  <c r="S16" i="127"/>
  <c r="T16" i="127"/>
  <c r="U16" i="127"/>
  <c r="W16" i="127"/>
  <c r="E17" i="127"/>
  <c r="F17" i="127"/>
  <c r="G17" i="127"/>
  <c r="H17" i="127"/>
  <c r="I17" i="127"/>
  <c r="J17" i="127"/>
  <c r="K17" i="127"/>
  <c r="L17" i="127"/>
  <c r="M17" i="127"/>
  <c r="N17" i="127"/>
  <c r="O17" i="127"/>
  <c r="P17" i="127"/>
  <c r="Q17" i="127"/>
  <c r="R17" i="127"/>
  <c r="S17" i="127"/>
  <c r="T17" i="127"/>
  <c r="U17" i="127"/>
  <c r="W17" i="127"/>
  <c r="E18" i="127"/>
  <c r="F18" i="127"/>
  <c r="G18" i="127"/>
  <c r="H18" i="127"/>
  <c r="I18" i="127"/>
  <c r="J18" i="127"/>
  <c r="K18" i="127"/>
  <c r="L18" i="127"/>
  <c r="M18" i="127"/>
  <c r="N18" i="127"/>
  <c r="O18" i="127"/>
  <c r="P18" i="127"/>
  <c r="Q18" i="127"/>
  <c r="R18" i="127"/>
  <c r="S18" i="127"/>
  <c r="T18" i="127"/>
  <c r="U18" i="127"/>
  <c r="W18" i="127"/>
  <c r="E19" i="127"/>
  <c r="F19" i="127"/>
  <c r="G19" i="127"/>
  <c r="H19" i="127"/>
  <c r="I19" i="127"/>
  <c r="J19" i="127"/>
  <c r="K19" i="127"/>
  <c r="L19" i="127"/>
  <c r="M19" i="127"/>
  <c r="N19" i="127"/>
  <c r="O19" i="127"/>
  <c r="P19" i="127"/>
  <c r="Q19" i="127"/>
  <c r="R19" i="127"/>
  <c r="S19" i="127"/>
  <c r="T19" i="127"/>
  <c r="U19" i="127"/>
  <c r="W19" i="127"/>
  <c r="E20" i="127"/>
  <c r="F20" i="127"/>
  <c r="G20" i="127"/>
  <c r="H20" i="127"/>
  <c r="I20" i="127"/>
  <c r="J20" i="127"/>
  <c r="K20" i="127"/>
  <c r="L20" i="127"/>
  <c r="M20" i="127"/>
  <c r="N20" i="127"/>
  <c r="O20" i="127"/>
  <c r="P20" i="127"/>
  <c r="Q20" i="127"/>
  <c r="R20" i="127"/>
  <c r="S20" i="127"/>
  <c r="T20" i="127"/>
  <c r="U20" i="127"/>
  <c r="W20" i="127"/>
  <c r="W12" i="127"/>
  <c r="F12" i="127"/>
  <c r="G12" i="127"/>
  <c r="H12" i="127"/>
  <c r="I12" i="127"/>
  <c r="J12" i="127"/>
  <c r="K12" i="127"/>
  <c r="L12" i="127"/>
  <c r="M12" i="127"/>
  <c r="N12" i="127"/>
  <c r="O12" i="127"/>
  <c r="P12" i="127"/>
  <c r="Q12" i="127"/>
  <c r="R12" i="127"/>
  <c r="S12" i="127"/>
  <c r="T12" i="127"/>
  <c r="E12" i="127"/>
  <c r="C26" i="127"/>
  <c r="C12" i="127"/>
  <c r="E167" i="121"/>
  <c r="F167" i="121"/>
  <c r="G167" i="121"/>
  <c r="H167" i="121"/>
  <c r="I167" i="121"/>
  <c r="J167" i="121"/>
  <c r="K167" i="121"/>
  <c r="L167" i="121"/>
  <c r="M167" i="121"/>
  <c r="N167" i="121"/>
  <c r="O167" i="121"/>
  <c r="P167" i="121"/>
  <c r="Q167" i="121"/>
  <c r="R167" i="121"/>
  <c r="S167" i="121"/>
  <c r="T167" i="121"/>
  <c r="U167" i="121"/>
  <c r="W167" i="121"/>
  <c r="E168" i="121"/>
  <c r="F168" i="121"/>
  <c r="G168" i="121"/>
  <c r="H168" i="121"/>
  <c r="I168" i="121"/>
  <c r="J168" i="121"/>
  <c r="K168" i="121"/>
  <c r="L168" i="121"/>
  <c r="M168" i="121"/>
  <c r="N168" i="121"/>
  <c r="O168" i="121"/>
  <c r="P168" i="121"/>
  <c r="Q168" i="121"/>
  <c r="R168" i="121"/>
  <c r="S168" i="121"/>
  <c r="T168" i="121"/>
  <c r="U168" i="121"/>
  <c r="W168" i="121"/>
  <c r="E169" i="121"/>
  <c r="F169" i="121"/>
  <c r="G169" i="121"/>
  <c r="H169" i="121"/>
  <c r="I169" i="121"/>
  <c r="J169" i="121"/>
  <c r="K169" i="121"/>
  <c r="L169" i="121"/>
  <c r="M169" i="121"/>
  <c r="N169" i="121"/>
  <c r="O169" i="121"/>
  <c r="P169" i="121"/>
  <c r="Q169" i="121"/>
  <c r="R169" i="121"/>
  <c r="S169" i="121"/>
  <c r="T169" i="121"/>
  <c r="U169" i="121"/>
  <c r="W169" i="121"/>
  <c r="E170" i="121"/>
  <c r="F170" i="121"/>
  <c r="G170" i="121"/>
  <c r="H170" i="121"/>
  <c r="I170" i="121"/>
  <c r="J170" i="121"/>
  <c r="K170" i="121"/>
  <c r="L170" i="121"/>
  <c r="M170" i="121"/>
  <c r="N170" i="121"/>
  <c r="O170" i="121"/>
  <c r="P170" i="121"/>
  <c r="Q170" i="121"/>
  <c r="R170" i="121"/>
  <c r="S170" i="121"/>
  <c r="T170" i="121"/>
  <c r="U170" i="121"/>
  <c r="W170" i="121"/>
  <c r="E171" i="121"/>
  <c r="F171" i="121"/>
  <c r="G171" i="121"/>
  <c r="H171" i="121"/>
  <c r="I171" i="121"/>
  <c r="J171" i="121"/>
  <c r="K171" i="121"/>
  <c r="L171" i="121"/>
  <c r="M171" i="121"/>
  <c r="N171" i="121"/>
  <c r="O171" i="121"/>
  <c r="P171" i="121"/>
  <c r="Q171" i="121"/>
  <c r="R171" i="121"/>
  <c r="S171" i="121"/>
  <c r="T171" i="121"/>
  <c r="U171" i="121"/>
  <c r="W171" i="121"/>
  <c r="E172" i="121"/>
  <c r="F172" i="121"/>
  <c r="G172" i="121"/>
  <c r="H172" i="121"/>
  <c r="I172" i="121"/>
  <c r="J172" i="121"/>
  <c r="K172" i="121"/>
  <c r="L172" i="121"/>
  <c r="M172" i="121"/>
  <c r="N172" i="121"/>
  <c r="O172" i="121"/>
  <c r="P172" i="121"/>
  <c r="Q172" i="121"/>
  <c r="R172" i="121"/>
  <c r="S172" i="121"/>
  <c r="T172" i="121"/>
  <c r="U172" i="121"/>
  <c r="W172" i="121"/>
  <c r="E173" i="121"/>
  <c r="F173" i="121"/>
  <c r="G173" i="121"/>
  <c r="H173" i="121"/>
  <c r="I173" i="121"/>
  <c r="J173" i="121"/>
  <c r="K173" i="121"/>
  <c r="L173" i="121"/>
  <c r="M173" i="121"/>
  <c r="N173" i="121"/>
  <c r="O173" i="121"/>
  <c r="P173" i="121"/>
  <c r="Q173" i="121"/>
  <c r="R173" i="121"/>
  <c r="S173" i="121"/>
  <c r="T173" i="121"/>
  <c r="U173" i="121"/>
  <c r="W173" i="121"/>
  <c r="E174" i="121"/>
  <c r="F174" i="121"/>
  <c r="G174" i="121"/>
  <c r="H174" i="121"/>
  <c r="I174" i="121"/>
  <c r="J174" i="121"/>
  <c r="K174" i="121"/>
  <c r="L174" i="121"/>
  <c r="M174" i="121"/>
  <c r="N174" i="121"/>
  <c r="O174" i="121"/>
  <c r="P174" i="121"/>
  <c r="Q174" i="121"/>
  <c r="R174" i="121"/>
  <c r="S174" i="121"/>
  <c r="T174" i="121"/>
  <c r="U174" i="121"/>
  <c r="W174" i="121"/>
  <c r="W166" i="121"/>
  <c r="F166" i="121"/>
  <c r="G166" i="121"/>
  <c r="H166" i="121"/>
  <c r="I166" i="121"/>
  <c r="J166" i="121"/>
  <c r="K166" i="121"/>
  <c r="L166" i="121"/>
  <c r="M166" i="121"/>
  <c r="N166" i="121"/>
  <c r="O166" i="121"/>
  <c r="P166" i="121"/>
  <c r="Q166" i="121"/>
  <c r="R166" i="121"/>
  <c r="S166" i="121"/>
  <c r="T166" i="121"/>
  <c r="E166" i="121"/>
  <c r="E153" i="121"/>
  <c r="F153" i="121"/>
  <c r="G153" i="121"/>
  <c r="H153" i="121"/>
  <c r="I153" i="121"/>
  <c r="J153" i="121"/>
  <c r="K153" i="121"/>
  <c r="L153" i="121"/>
  <c r="M153" i="121"/>
  <c r="N153" i="121"/>
  <c r="O153" i="121"/>
  <c r="P153" i="121"/>
  <c r="Q153" i="121"/>
  <c r="R153" i="121"/>
  <c r="S153" i="121"/>
  <c r="T153" i="121"/>
  <c r="U153" i="121"/>
  <c r="W153" i="121"/>
  <c r="E154" i="121"/>
  <c r="F154" i="121"/>
  <c r="G154" i="121"/>
  <c r="H154" i="121"/>
  <c r="I154" i="121"/>
  <c r="J154" i="121"/>
  <c r="K154" i="121"/>
  <c r="L154" i="121"/>
  <c r="M154" i="121"/>
  <c r="N154" i="121"/>
  <c r="O154" i="121"/>
  <c r="P154" i="121"/>
  <c r="Q154" i="121"/>
  <c r="R154" i="121"/>
  <c r="S154" i="121"/>
  <c r="T154" i="121"/>
  <c r="U154" i="121"/>
  <c r="W154" i="121"/>
  <c r="E155" i="121"/>
  <c r="F155" i="121"/>
  <c r="G155" i="121"/>
  <c r="H155" i="121"/>
  <c r="I155" i="121"/>
  <c r="J155" i="121"/>
  <c r="K155" i="121"/>
  <c r="L155" i="121"/>
  <c r="M155" i="121"/>
  <c r="N155" i="121"/>
  <c r="O155" i="121"/>
  <c r="P155" i="121"/>
  <c r="Q155" i="121"/>
  <c r="R155" i="121"/>
  <c r="S155" i="121"/>
  <c r="T155" i="121"/>
  <c r="U155" i="121"/>
  <c r="W155" i="121"/>
  <c r="E156" i="121"/>
  <c r="F156" i="121"/>
  <c r="G156" i="121"/>
  <c r="H156" i="121"/>
  <c r="I156" i="121"/>
  <c r="J156" i="121"/>
  <c r="K156" i="121"/>
  <c r="L156" i="121"/>
  <c r="M156" i="121"/>
  <c r="N156" i="121"/>
  <c r="O156" i="121"/>
  <c r="P156" i="121"/>
  <c r="Q156" i="121"/>
  <c r="R156" i="121"/>
  <c r="S156" i="121"/>
  <c r="T156" i="121"/>
  <c r="U156" i="121"/>
  <c r="W156" i="121"/>
  <c r="E157" i="121"/>
  <c r="F157" i="121"/>
  <c r="G157" i="121"/>
  <c r="H157" i="121"/>
  <c r="I157" i="121"/>
  <c r="J157" i="121"/>
  <c r="K157" i="121"/>
  <c r="L157" i="121"/>
  <c r="M157" i="121"/>
  <c r="N157" i="121"/>
  <c r="O157" i="121"/>
  <c r="P157" i="121"/>
  <c r="Q157" i="121"/>
  <c r="R157" i="121"/>
  <c r="S157" i="121"/>
  <c r="T157" i="121"/>
  <c r="U157" i="121"/>
  <c r="W157" i="121"/>
  <c r="E158" i="121"/>
  <c r="F158" i="121"/>
  <c r="G158" i="121"/>
  <c r="H158" i="121"/>
  <c r="I158" i="121"/>
  <c r="J158" i="121"/>
  <c r="K158" i="121"/>
  <c r="L158" i="121"/>
  <c r="M158" i="121"/>
  <c r="N158" i="121"/>
  <c r="O158" i="121"/>
  <c r="P158" i="121"/>
  <c r="Q158" i="121"/>
  <c r="R158" i="121"/>
  <c r="S158" i="121"/>
  <c r="T158" i="121"/>
  <c r="U158" i="121"/>
  <c r="W158" i="121"/>
  <c r="E159" i="121"/>
  <c r="F159" i="121"/>
  <c r="G159" i="121"/>
  <c r="H159" i="121"/>
  <c r="I159" i="121"/>
  <c r="J159" i="121"/>
  <c r="K159" i="121"/>
  <c r="L159" i="121"/>
  <c r="M159" i="121"/>
  <c r="N159" i="121"/>
  <c r="O159" i="121"/>
  <c r="P159" i="121"/>
  <c r="Q159" i="121"/>
  <c r="R159" i="121"/>
  <c r="S159" i="121"/>
  <c r="T159" i="121"/>
  <c r="U159" i="121"/>
  <c r="W159" i="121"/>
  <c r="E160" i="121"/>
  <c r="F160" i="121"/>
  <c r="G160" i="121"/>
  <c r="H160" i="121"/>
  <c r="I160" i="121"/>
  <c r="J160" i="121"/>
  <c r="K160" i="121"/>
  <c r="L160" i="121"/>
  <c r="M160" i="121"/>
  <c r="N160" i="121"/>
  <c r="O160" i="121"/>
  <c r="P160" i="121"/>
  <c r="Q160" i="121"/>
  <c r="R160" i="121"/>
  <c r="S160" i="121"/>
  <c r="T160" i="121"/>
  <c r="U160" i="121"/>
  <c r="W160" i="121"/>
  <c r="W152" i="121"/>
  <c r="F152" i="121"/>
  <c r="G152" i="121"/>
  <c r="H152" i="121"/>
  <c r="I152" i="121"/>
  <c r="J152" i="121"/>
  <c r="K152" i="121"/>
  <c r="L152" i="121"/>
  <c r="M152" i="121"/>
  <c r="N152" i="121"/>
  <c r="O152" i="121"/>
  <c r="P152" i="121"/>
  <c r="Q152" i="121"/>
  <c r="R152" i="121"/>
  <c r="S152" i="121"/>
  <c r="T152" i="121"/>
  <c r="E152" i="121"/>
  <c r="E139" i="121"/>
  <c r="F139" i="121"/>
  <c r="G139" i="121"/>
  <c r="H139" i="121"/>
  <c r="I139" i="121"/>
  <c r="J139" i="121"/>
  <c r="K139" i="121"/>
  <c r="L139" i="121"/>
  <c r="M139" i="121"/>
  <c r="N139" i="121"/>
  <c r="O139" i="121"/>
  <c r="P139" i="121"/>
  <c r="Q139" i="121"/>
  <c r="R139" i="121"/>
  <c r="S139" i="121"/>
  <c r="T139" i="121"/>
  <c r="U139" i="121"/>
  <c r="W139" i="121"/>
  <c r="E140" i="121"/>
  <c r="F140" i="121"/>
  <c r="G140" i="121"/>
  <c r="H140" i="121"/>
  <c r="I140" i="121"/>
  <c r="J140" i="121"/>
  <c r="K140" i="121"/>
  <c r="L140" i="121"/>
  <c r="M140" i="121"/>
  <c r="N140" i="121"/>
  <c r="O140" i="121"/>
  <c r="P140" i="121"/>
  <c r="Q140" i="121"/>
  <c r="R140" i="121"/>
  <c r="S140" i="121"/>
  <c r="T140" i="121"/>
  <c r="U140" i="121"/>
  <c r="W140" i="121"/>
  <c r="E141" i="121"/>
  <c r="F141" i="121"/>
  <c r="G141" i="121"/>
  <c r="H141" i="121"/>
  <c r="I141" i="121"/>
  <c r="J141" i="121"/>
  <c r="K141" i="121"/>
  <c r="L141" i="121"/>
  <c r="M141" i="121"/>
  <c r="N141" i="121"/>
  <c r="O141" i="121"/>
  <c r="P141" i="121"/>
  <c r="Q141" i="121"/>
  <c r="R141" i="121"/>
  <c r="S141" i="121"/>
  <c r="T141" i="121"/>
  <c r="U141" i="121"/>
  <c r="W141" i="121"/>
  <c r="E142" i="121"/>
  <c r="F142" i="121"/>
  <c r="G142" i="121"/>
  <c r="H142" i="121"/>
  <c r="I142" i="121"/>
  <c r="J142" i="121"/>
  <c r="K142" i="121"/>
  <c r="L142" i="121"/>
  <c r="M142" i="121"/>
  <c r="N142" i="121"/>
  <c r="O142" i="121"/>
  <c r="P142" i="121"/>
  <c r="Q142" i="121"/>
  <c r="R142" i="121"/>
  <c r="S142" i="121"/>
  <c r="T142" i="121"/>
  <c r="U142" i="121"/>
  <c r="W142" i="121"/>
  <c r="E143" i="121"/>
  <c r="F143" i="121"/>
  <c r="G143" i="121"/>
  <c r="H143" i="121"/>
  <c r="I143" i="121"/>
  <c r="J143" i="121"/>
  <c r="K143" i="121"/>
  <c r="L143" i="121"/>
  <c r="M143" i="121"/>
  <c r="N143" i="121"/>
  <c r="O143" i="121"/>
  <c r="P143" i="121"/>
  <c r="Q143" i="121"/>
  <c r="R143" i="121"/>
  <c r="S143" i="121"/>
  <c r="T143" i="121"/>
  <c r="U143" i="121"/>
  <c r="W143" i="121"/>
  <c r="E144" i="121"/>
  <c r="F144" i="121"/>
  <c r="G144" i="121"/>
  <c r="H144" i="121"/>
  <c r="I144" i="121"/>
  <c r="J144" i="121"/>
  <c r="K144" i="121"/>
  <c r="L144" i="121"/>
  <c r="M144" i="121"/>
  <c r="N144" i="121"/>
  <c r="O144" i="121"/>
  <c r="P144" i="121"/>
  <c r="Q144" i="121"/>
  <c r="R144" i="121"/>
  <c r="S144" i="121"/>
  <c r="T144" i="121"/>
  <c r="U144" i="121"/>
  <c r="W144" i="121"/>
  <c r="E145" i="121"/>
  <c r="F145" i="121"/>
  <c r="G145" i="121"/>
  <c r="H145" i="121"/>
  <c r="I145" i="121"/>
  <c r="J145" i="121"/>
  <c r="K145" i="121"/>
  <c r="L145" i="121"/>
  <c r="M145" i="121"/>
  <c r="N145" i="121"/>
  <c r="O145" i="121"/>
  <c r="P145" i="121"/>
  <c r="Q145" i="121"/>
  <c r="R145" i="121"/>
  <c r="S145" i="121"/>
  <c r="T145" i="121"/>
  <c r="U145" i="121"/>
  <c r="W145" i="121"/>
  <c r="E146" i="121"/>
  <c r="F146" i="121"/>
  <c r="G146" i="121"/>
  <c r="H146" i="121"/>
  <c r="I146" i="121"/>
  <c r="J146" i="121"/>
  <c r="K146" i="121"/>
  <c r="L146" i="121"/>
  <c r="M146" i="121"/>
  <c r="N146" i="121"/>
  <c r="O146" i="121"/>
  <c r="P146" i="121"/>
  <c r="Q146" i="121"/>
  <c r="R146" i="121"/>
  <c r="S146" i="121"/>
  <c r="T146" i="121"/>
  <c r="U146" i="121"/>
  <c r="W146" i="121"/>
  <c r="W138" i="121"/>
  <c r="F138" i="121"/>
  <c r="G138" i="121"/>
  <c r="H138" i="121"/>
  <c r="I138" i="121"/>
  <c r="J138" i="121"/>
  <c r="K138" i="121"/>
  <c r="L138" i="121"/>
  <c r="M138" i="121"/>
  <c r="N138" i="121"/>
  <c r="O138" i="121"/>
  <c r="P138" i="121"/>
  <c r="Q138" i="121"/>
  <c r="R138" i="121"/>
  <c r="S138" i="121"/>
  <c r="T138" i="121"/>
  <c r="E138" i="121"/>
  <c r="E125" i="121"/>
  <c r="F125" i="121"/>
  <c r="G125" i="121"/>
  <c r="H125" i="121"/>
  <c r="I125" i="121"/>
  <c r="J125" i="121"/>
  <c r="K125" i="121"/>
  <c r="L125" i="121"/>
  <c r="M125" i="121"/>
  <c r="N125" i="121"/>
  <c r="O125" i="121"/>
  <c r="P125" i="121"/>
  <c r="Q125" i="121"/>
  <c r="R125" i="121"/>
  <c r="S125" i="121"/>
  <c r="T125" i="121"/>
  <c r="U125" i="121"/>
  <c r="W125" i="121"/>
  <c r="E126" i="121"/>
  <c r="F126" i="121"/>
  <c r="G126" i="121"/>
  <c r="H126" i="121"/>
  <c r="I126" i="121"/>
  <c r="J126" i="121"/>
  <c r="K126" i="121"/>
  <c r="L126" i="121"/>
  <c r="M126" i="121"/>
  <c r="N126" i="121"/>
  <c r="O126" i="121"/>
  <c r="P126" i="121"/>
  <c r="Q126" i="121"/>
  <c r="R126" i="121"/>
  <c r="S126" i="121"/>
  <c r="T126" i="121"/>
  <c r="U126" i="121"/>
  <c r="W126" i="121"/>
  <c r="E127" i="121"/>
  <c r="G127" i="121"/>
  <c r="H127" i="121"/>
  <c r="I127" i="121"/>
  <c r="J127" i="121"/>
  <c r="K127" i="121"/>
  <c r="L127" i="121"/>
  <c r="M127" i="121"/>
  <c r="N127" i="121"/>
  <c r="O127" i="121"/>
  <c r="P127" i="121"/>
  <c r="Q127" i="121"/>
  <c r="R127" i="121"/>
  <c r="S127" i="121"/>
  <c r="T127" i="121"/>
  <c r="U127" i="121"/>
  <c r="W127" i="121"/>
  <c r="E128" i="121"/>
  <c r="F128" i="121"/>
  <c r="G128" i="121"/>
  <c r="H128" i="121"/>
  <c r="I128" i="121"/>
  <c r="J128" i="121"/>
  <c r="K128" i="121"/>
  <c r="L128" i="121"/>
  <c r="M128" i="121"/>
  <c r="N128" i="121"/>
  <c r="O128" i="121"/>
  <c r="P128" i="121"/>
  <c r="Q128" i="121"/>
  <c r="R128" i="121"/>
  <c r="S128" i="121"/>
  <c r="T128" i="121"/>
  <c r="U128" i="121"/>
  <c r="W128" i="121"/>
  <c r="E129" i="121"/>
  <c r="F129" i="121"/>
  <c r="G129" i="121"/>
  <c r="H129" i="121"/>
  <c r="I129" i="121"/>
  <c r="J129" i="121"/>
  <c r="K129" i="121"/>
  <c r="L129" i="121"/>
  <c r="M129" i="121"/>
  <c r="N129" i="121"/>
  <c r="O129" i="121"/>
  <c r="P129" i="121"/>
  <c r="Q129" i="121"/>
  <c r="R129" i="121"/>
  <c r="S129" i="121"/>
  <c r="T129" i="121"/>
  <c r="U129" i="121"/>
  <c r="W129" i="121"/>
  <c r="E130" i="121"/>
  <c r="F130" i="121"/>
  <c r="G130" i="121"/>
  <c r="H130" i="121"/>
  <c r="I130" i="121"/>
  <c r="J130" i="121"/>
  <c r="K130" i="121"/>
  <c r="L130" i="121"/>
  <c r="M130" i="121"/>
  <c r="N130" i="121"/>
  <c r="O130" i="121"/>
  <c r="P130" i="121"/>
  <c r="Q130" i="121"/>
  <c r="R130" i="121"/>
  <c r="S130" i="121"/>
  <c r="T130" i="121"/>
  <c r="U130" i="121"/>
  <c r="W130" i="121"/>
  <c r="E131" i="121"/>
  <c r="F131" i="121"/>
  <c r="G131" i="121"/>
  <c r="H131" i="121"/>
  <c r="I131" i="121"/>
  <c r="J131" i="121"/>
  <c r="K131" i="121"/>
  <c r="L131" i="121"/>
  <c r="M131" i="121"/>
  <c r="N131" i="121"/>
  <c r="O131" i="121"/>
  <c r="P131" i="121"/>
  <c r="Q131" i="121"/>
  <c r="R131" i="121"/>
  <c r="S131" i="121"/>
  <c r="T131" i="121"/>
  <c r="U131" i="121"/>
  <c r="W131" i="121"/>
  <c r="E132" i="121"/>
  <c r="F132" i="121"/>
  <c r="G132" i="121"/>
  <c r="H132" i="121"/>
  <c r="I132" i="121"/>
  <c r="J132" i="121"/>
  <c r="K132" i="121"/>
  <c r="L132" i="121"/>
  <c r="M132" i="121"/>
  <c r="N132" i="121"/>
  <c r="O132" i="121"/>
  <c r="P132" i="121"/>
  <c r="Q132" i="121"/>
  <c r="R132" i="121"/>
  <c r="S132" i="121"/>
  <c r="T132" i="121"/>
  <c r="U132" i="121"/>
  <c r="W132" i="121"/>
  <c r="W124" i="121"/>
  <c r="F124" i="121"/>
  <c r="G124" i="121"/>
  <c r="H124" i="121"/>
  <c r="I124" i="121"/>
  <c r="J124" i="121"/>
  <c r="K124" i="121"/>
  <c r="L124" i="121"/>
  <c r="M124" i="121"/>
  <c r="N124" i="121"/>
  <c r="O124" i="121"/>
  <c r="P124" i="121"/>
  <c r="Q124" i="121"/>
  <c r="R124" i="121"/>
  <c r="S124" i="121"/>
  <c r="T124" i="121"/>
  <c r="E124" i="121"/>
  <c r="E111" i="121"/>
  <c r="F111" i="121"/>
  <c r="G111" i="121"/>
  <c r="H111" i="121"/>
  <c r="I111" i="121"/>
  <c r="J111" i="121"/>
  <c r="K111" i="121"/>
  <c r="L111" i="121"/>
  <c r="M111" i="121"/>
  <c r="N111" i="121"/>
  <c r="O111" i="121"/>
  <c r="P111" i="121"/>
  <c r="Q111" i="121"/>
  <c r="R111" i="121"/>
  <c r="S111" i="121"/>
  <c r="T111" i="121"/>
  <c r="U111" i="121"/>
  <c r="W111" i="121"/>
  <c r="E112" i="121"/>
  <c r="F112" i="121"/>
  <c r="G112" i="121"/>
  <c r="H112" i="121"/>
  <c r="I112" i="121"/>
  <c r="J112" i="121"/>
  <c r="K112" i="121"/>
  <c r="L112" i="121"/>
  <c r="M112" i="121"/>
  <c r="N112" i="121"/>
  <c r="O112" i="121"/>
  <c r="P112" i="121"/>
  <c r="Q112" i="121"/>
  <c r="R112" i="121"/>
  <c r="S112" i="121"/>
  <c r="T112" i="121"/>
  <c r="U112" i="121"/>
  <c r="W112" i="121"/>
  <c r="E113" i="121"/>
  <c r="F113" i="121"/>
  <c r="G113" i="121"/>
  <c r="H113" i="121"/>
  <c r="I113" i="121"/>
  <c r="J113" i="121"/>
  <c r="K113" i="121"/>
  <c r="L113" i="121"/>
  <c r="M113" i="121"/>
  <c r="N113" i="121"/>
  <c r="O113" i="121"/>
  <c r="P113" i="121"/>
  <c r="Q113" i="121"/>
  <c r="R113" i="121"/>
  <c r="S113" i="121"/>
  <c r="T113" i="121"/>
  <c r="U113" i="121"/>
  <c r="W113" i="121"/>
  <c r="E114" i="121"/>
  <c r="F114" i="121"/>
  <c r="G114" i="121"/>
  <c r="H114" i="121"/>
  <c r="I114" i="121"/>
  <c r="J114" i="121"/>
  <c r="K114" i="121"/>
  <c r="L114" i="121"/>
  <c r="M114" i="121"/>
  <c r="N114" i="121"/>
  <c r="O114" i="121"/>
  <c r="P114" i="121"/>
  <c r="Q114" i="121"/>
  <c r="R114" i="121"/>
  <c r="S114" i="121"/>
  <c r="T114" i="121"/>
  <c r="U114" i="121"/>
  <c r="W114" i="121"/>
  <c r="E115" i="121"/>
  <c r="F115" i="121"/>
  <c r="G115" i="121"/>
  <c r="H115" i="121"/>
  <c r="I115" i="121"/>
  <c r="J115" i="121"/>
  <c r="K115" i="121"/>
  <c r="L115" i="121"/>
  <c r="M115" i="121"/>
  <c r="N115" i="121"/>
  <c r="O115" i="121"/>
  <c r="P115" i="121"/>
  <c r="Q115" i="121"/>
  <c r="R115" i="121"/>
  <c r="S115" i="121"/>
  <c r="T115" i="121"/>
  <c r="U115" i="121"/>
  <c r="W115" i="121"/>
  <c r="E116" i="121"/>
  <c r="F116" i="121"/>
  <c r="G116" i="121"/>
  <c r="H116" i="121"/>
  <c r="I116" i="121"/>
  <c r="J116" i="121"/>
  <c r="K116" i="121"/>
  <c r="L116" i="121"/>
  <c r="M116" i="121"/>
  <c r="N116" i="121"/>
  <c r="O116" i="121"/>
  <c r="P116" i="121"/>
  <c r="Q116" i="121"/>
  <c r="R116" i="121"/>
  <c r="S116" i="121"/>
  <c r="T116" i="121"/>
  <c r="U116" i="121"/>
  <c r="W116" i="121"/>
  <c r="E117" i="121"/>
  <c r="F117" i="121"/>
  <c r="G117" i="121"/>
  <c r="H117" i="121"/>
  <c r="I117" i="121"/>
  <c r="J117" i="121"/>
  <c r="K117" i="121"/>
  <c r="L117" i="121"/>
  <c r="M117" i="121"/>
  <c r="N117" i="121"/>
  <c r="O117" i="121"/>
  <c r="P117" i="121"/>
  <c r="Q117" i="121"/>
  <c r="R117" i="121"/>
  <c r="S117" i="121"/>
  <c r="T117" i="121"/>
  <c r="U117" i="121"/>
  <c r="W117" i="121"/>
  <c r="E118" i="121"/>
  <c r="F118" i="121"/>
  <c r="G118" i="121"/>
  <c r="H118" i="121"/>
  <c r="I118" i="121"/>
  <c r="J118" i="121"/>
  <c r="K118" i="121"/>
  <c r="L118" i="121"/>
  <c r="M118" i="121"/>
  <c r="N118" i="121"/>
  <c r="O118" i="121"/>
  <c r="P118" i="121"/>
  <c r="Q118" i="121"/>
  <c r="R118" i="121"/>
  <c r="S118" i="121"/>
  <c r="T118" i="121"/>
  <c r="U118" i="121"/>
  <c r="W118" i="121"/>
  <c r="W110" i="121"/>
  <c r="F110" i="121"/>
  <c r="G110" i="121"/>
  <c r="H110" i="121"/>
  <c r="I110" i="121"/>
  <c r="J110" i="121"/>
  <c r="K110" i="121"/>
  <c r="L110" i="121"/>
  <c r="M110" i="121"/>
  <c r="N110" i="121"/>
  <c r="O110" i="121"/>
  <c r="P110" i="121"/>
  <c r="Q110" i="121"/>
  <c r="R110" i="121"/>
  <c r="S110" i="121"/>
  <c r="T110" i="121"/>
  <c r="E110" i="121"/>
  <c r="E97" i="121"/>
  <c r="F97" i="121"/>
  <c r="G97" i="121"/>
  <c r="H97" i="121"/>
  <c r="I97" i="121"/>
  <c r="J97" i="121"/>
  <c r="K97" i="121"/>
  <c r="L97" i="121"/>
  <c r="M97" i="121"/>
  <c r="N97" i="121"/>
  <c r="O97" i="121"/>
  <c r="P97" i="121"/>
  <c r="Q97" i="121"/>
  <c r="R97" i="121"/>
  <c r="S97" i="121"/>
  <c r="T97" i="121"/>
  <c r="U97" i="121"/>
  <c r="W97" i="121"/>
  <c r="E98" i="121"/>
  <c r="F98" i="121"/>
  <c r="G98" i="121"/>
  <c r="H98" i="121"/>
  <c r="I98" i="121"/>
  <c r="J98" i="121"/>
  <c r="K98" i="121"/>
  <c r="L98" i="121"/>
  <c r="M98" i="121"/>
  <c r="N98" i="121"/>
  <c r="O98" i="121"/>
  <c r="P98" i="121"/>
  <c r="Q98" i="121"/>
  <c r="R98" i="121"/>
  <c r="S98" i="121"/>
  <c r="T98" i="121"/>
  <c r="U98" i="121"/>
  <c r="W98" i="121"/>
  <c r="E99" i="121"/>
  <c r="F99" i="121"/>
  <c r="G99" i="121"/>
  <c r="H99" i="121"/>
  <c r="I99" i="121"/>
  <c r="J99" i="121"/>
  <c r="K99" i="121"/>
  <c r="L99" i="121"/>
  <c r="M99" i="121"/>
  <c r="N99" i="121"/>
  <c r="O99" i="121"/>
  <c r="P99" i="121"/>
  <c r="Q99" i="121"/>
  <c r="R99" i="121"/>
  <c r="S99" i="121"/>
  <c r="T99" i="121"/>
  <c r="U99" i="121"/>
  <c r="W99" i="121"/>
  <c r="E100" i="121"/>
  <c r="F100" i="121"/>
  <c r="G100" i="121"/>
  <c r="H100" i="121"/>
  <c r="I100" i="121"/>
  <c r="J100" i="121"/>
  <c r="K100" i="121"/>
  <c r="L100" i="121"/>
  <c r="M100" i="121"/>
  <c r="N100" i="121"/>
  <c r="O100" i="121"/>
  <c r="P100" i="121"/>
  <c r="Q100" i="121"/>
  <c r="R100" i="121"/>
  <c r="S100" i="121"/>
  <c r="T100" i="121"/>
  <c r="U100" i="121"/>
  <c r="W100" i="121"/>
  <c r="E101" i="121"/>
  <c r="F101" i="121"/>
  <c r="G101" i="121"/>
  <c r="H101" i="121"/>
  <c r="I101" i="121"/>
  <c r="J101" i="121"/>
  <c r="K101" i="121"/>
  <c r="L101" i="121"/>
  <c r="M101" i="121"/>
  <c r="N101" i="121"/>
  <c r="O101" i="121"/>
  <c r="P101" i="121"/>
  <c r="Q101" i="121"/>
  <c r="R101" i="121"/>
  <c r="S101" i="121"/>
  <c r="T101" i="121"/>
  <c r="U101" i="121"/>
  <c r="W101" i="121"/>
  <c r="E102" i="121"/>
  <c r="F102" i="121"/>
  <c r="G102" i="121"/>
  <c r="H102" i="121"/>
  <c r="I102" i="121"/>
  <c r="J102" i="121"/>
  <c r="K102" i="121"/>
  <c r="L102" i="121"/>
  <c r="M102" i="121"/>
  <c r="N102" i="121"/>
  <c r="O102" i="121"/>
  <c r="P102" i="121"/>
  <c r="Q102" i="121"/>
  <c r="R102" i="121"/>
  <c r="S102" i="121"/>
  <c r="T102" i="121"/>
  <c r="U102" i="121"/>
  <c r="W102" i="121"/>
  <c r="E103" i="121"/>
  <c r="F103" i="121"/>
  <c r="G103" i="121"/>
  <c r="H103" i="121"/>
  <c r="I103" i="121"/>
  <c r="J103" i="121"/>
  <c r="K103" i="121"/>
  <c r="L103" i="121"/>
  <c r="M103" i="121"/>
  <c r="N103" i="121"/>
  <c r="O103" i="121"/>
  <c r="P103" i="121"/>
  <c r="Q103" i="121"/>
  <c r="R103" i="121"/>
  <c r="S103" i="121"/>
  <c r="T103" i="121"/>
  <c r="U103" i="121"/>
  <c r="W103" i="121"/>
  <c r="E104" i="121"/>
  <c r="F104" i="121"/>
  <c r="G104" i="121"/>
  <c r="H104" i="121"/>
  <c r="I104" i="121"/>
  <c r="J104" i="121"/>
  <c r="K104" i="121"/>
  <c r="L104" i="121"/>
  <c r="M104" i="121"/>
  <c r="N104" i="121"/>
  <c r="O104" i="121"/>
  <c r="P104" i="121"/>
  <c r="Q104" i="121"/>
  <c r="R104" i="121"/>
  <c r="S104" i="121"/>
  <c r="T104" i="121"/>
  <c r="U104" i="121"/>
  <c r="W104" i="121"/>
  <c r="W96" i="121"/>
  <c r="F96" i="121"/>
  <c r="G96" i="121"/>
  <c r="H96" i="121"/>
  <c r="I96" i="121"/>
  <c r="J96" i="121"/>
  <c r="K96" i="121"/>
  <c r="L96" i="121"/>
  <c r="M96" i="121"/>
  <c r="N96" i="121"/>
  <c r="O96" i="121"/>
  <c r="P96" i="121"/>
  <c r="Q96" i="121"/>
  <c r="R96" i="121"/>
  <c r="S96" i="121"/>
  <c r="T96" i="121"/>
  <c r="E96" i="121"/>
  <c r="E83" i="121"/>
  <c r="F83" i="121"/>
  <c r="G83" i="121"/>
  <c r="H83" i="121"/>
  <c r="I83" i="121"/>
  <c r="J83" i="121"/>
  <c r="K83" i="121"/>
  <c r="L83" i="121"/>
  <c r="M83" i="121"/>
  <c r="N83" i="121"/>
  <c r="O83" i="121"/>
  <c r="P83" i="121"/>
  <c r="Q83" i="121"/>
  <c r="R83" i="121"/>
  <c r="S83" i="121"/>
  <c r="T83" i="121"/>
  <c r="U83" i="121"/>
  <c r="W83" i="121"/>
  <c r="E84" i="121"/>
  <c r="F84" i="121"/>
  <c r="G84" i="121"/>
  <c r="H84" i="121"/>
  <c r="I84" i="121"/>
  <c r="J84" i="121"/>
  <c r="K84" i="121"/>
  <c r="L84" i="121"/>
  <c r="M84" i="121"/>
  <c r="N84" i="121"/>
  <c r="O84" i="121"/>
  <c r="P84" i="121"/>
  <c r="Q84" i="121"/>
  <c r="R84" i="121"/>
  <c r="S84" i="121"/>
  <c r="T84" i="121"/>
  <c r="U84" i="121"/>
  <c r="W84" i="121"/>
  <c r="E85" i="121"/>
  <c r="F85" i="121"/>
  <c r="G85" i="121"/>
  <c r="H85" i="121"/>
  <c r="I85" i="121"/>
  <c r="J85" i="121"/>
  <c r="K85" i="121"/>
  <c r="L85" i="121"/>
  <c r="M85" i="121"/>
  <c r="N85" i="121"/>
  <c r="O85" i="121"/>
  <c r="P85" i="121"/>
  <c r="Q85" i="121"/>
  <c r="R85" i="121"/>
  <c r="S85" i="121"/>
  <c r="T85" i="121"/>
  <c r="U85" i="121"/>
  <c r="W85" i="121"/>
  <c r="E86" i="121"/>
  <c r="F86" i="121"/>
  <c r="G86" i="121"/>
  <c r="H86" i="121"/>
  <c r="I86" i="121"/>
  <c r="J86" i="121"/>
  <c r="K86" i="121"/>
  <c r="L86" i="121"/>
  <c r="M86" i="121"/>
  <c r="N86" i="121"/>
  <c r="O86" i="121"/>
  <c r="P86" i="121"/>
  <c r="Q86" i="121"/>
  <c r="R86" i="121"/>
  <c r="S86" i="121"/>
  <c r="T86" i="121"/>
  <c r="U86" i="121"/>
  <c r="W86" i="121"/>
  <c r="E87" i="121"/>
  <c r="F87" i="121"/>
  <c r="G87" i="121"/>
  <c r="H87" i="121"/>
  <c r="I87" i="121"/>
  <c r="J87" i="121"/>
  <c r="K87" i="121"/>
  <c r="L87" i="121"/>
  <c r="M87" i="121"/>
  <c r="N87" i="121"/>
  <c r="O87" i="121"/>
  <c r="P87" i="121"/>
  <c r="Q87" i="121"/>
  <c r="R87" i="121"/>
  <c r="S87" i="121"/>
  <c r="T87" i="121"/>
  <c r="U87" i="121"/>
  <c r="W87" i="121"/>
  <c r="E88" i="121"/>
  <c r="F88" i="121"/>
  <c r="G88" i="121"/>
  <c r="H88" i="121"/>
  <c r="I88" i="121"/>
  <c r="J88" i="121"/>
  <c r="K88" i="121"/>
  <c r="L88" i="121"/>
  <c r="M88" i="121"/>
  <c r="N88" i="121"/>
  <c r="O88" i="121"/>
  <c r="P88" i="121"/>
  <c r="Q88" i="121"/>
  <c r="R88" i="121"/>
  <c r="S88" i="121"/>
  <c r="T88" i="121"/>
  <c r="U88" i="121"/>
  <c r="W88" i="121"/>
  <c r="E89" i="121"/>
  <c r="F89" i="121"/>
  <c r="G89" i="121"/>
  <c r="H89" i="121"/>
  <c r="I89" i="121"/>
  <c r="J89" i="121"/>
  <c r="K89" i="121"/>
  <c r="L89" i="121"/>
  <c r="M89" i="121"/>
  <c r="N89" i="121"/>
  <c r="O89" i="121"/>
  <c r="P89" i="121"/>
  <c r="Q89" i="121"/>
  <c r="R89" i="121"/>
  <c r="S89" i="121"/>
  <c r="T89" i="121"/>
  <c r="U89" i="121"/>
  <c r="W89" i="121"/>
  <c r="E90" i="121"/>
  <c r="F90" i="121"/>
  <c r="G90" i="121"/>
  <c r="H90" i="121"/>
  <c r="I90" i="121"/>
  <c r="J90" i="121"/>
  <c r="K90" i="121"/>
  <c r="L90" i="121"/>
  <c r="M90" i="121"/>
  <c r="N90" i="121"/>
  <c r="O90" i="121"/>
  <c r="P90" i="121"/>
  <c r="Q90" i="121"/>
  <c r="R90" i="121"/>
  <c r="S90" i="121"/>
  <c r="T90" i="121"/>
  <c r="U90" i="121"/>
  <c r="W90" i="121"/>
  <c r="W82" i="121"/>
  <c r="F82" i="121"/>
  <c r="G82" i="121"/>
  <c r="H82" i="121"/>
  <c r="I82" i="121"/>
  <c r="J82" i="121"/>
  <c r="K82" i="121"/>
  <c r="L82" i="121"/>
  <c r="M82" i="121"/>
  <c r="N82" i="121"/>
  <c r="O82" i="121"/>
  <c r="P82" i="121"/>
  <c r="Q82" i="121"/>
  <c r="R82" i="121"/>
  <c r="S82" i="121"/>
  <c r="T82" i="121"/>
  <c r="E82" i="121"/>
  <c r="E69" i="121"/>
  <c r="F69" i="121"/>
  <c r="G69" i="121"/>
  <c r="H69" i="121"/>
  <c r="I69" i="121"/>
  <c r="J69" i="121"/>
  <c r="K69" i="121"/>
  <c r="L69" i="121"/>
  <c r="M69" i="121"/>
  <c r="N69" i="121"/>
  <c r="O69" i="121"/>
  <c r="P69" i="121"/>
  <c r="Q69" i="121"/>
  <c r="R69" i="121"/>
  <c r="S69" i="121"/>
  <c r="T69" i="121"/>
  <c r="U69" i="121"/>
  <c r="W69" i="121"/>
  <c r="E70" i="121"/>
  <c r="F70" i="121"/>
  <c r="G70" i="121"/>
  <c r="H70" i="121"/>
  <c r="I70" i="121"/>
  <c r="J70" i="121"/>
  <c r="K70" i="121"/>
  <c r="L70" i="121"/>
  <c r="M70" i="121"/>
  <c r="N70" i="121"/>
  <c r="O70" i="121"/>
  <c r="P70" i="121"/>
  <c r="Q70" i="121"/>
  <c r="R70" i="121"/>
  <c r="S70" i="121"/>
  <c r="T70" i="121"/>
  <c r="U70" i="121"/>
  <c r="W70" i="121"/>
  <c r="E71" i="121"/>
  <c r="F71" i="121"/>
  <c r="G71" i="121"/>
  <c r="H71" i="121"/>
  <c r="I71" i="121"/>
  <c r="J71" i="121"/>
  <c r="K71" i="121"/>
  <c r="L71" i="121"/>
  <c r="M71" i="121"/>
  <c r="N71" i="121"/>
  <c r="O71" i="121"/>
  <c r="P71" i="121"/>
  <c r="Q71" i="121"/>
  <c r="R71" i="121"/>
  <c r="S71" i="121"/>
  <c r="T71" i="121"/>
  <c r="U71" i="121"/>
  <c r="W71" i="121"/>
  <c r="E72" i="121"/>
  <c r="F72" i="121"/>
  <c r="G72" i="121"/>
  <c r="H72" i="121"/>
  <c r="I72" i="121"/>
  <c r="J72" i="121"/>
  <c r="K72" i="121"/>
  <c r="L72" i="121"/>
  <c r="M72" i="121"/>
  <c r="N72" i="121"/>
  <c r="O72" i="121"/>
  <c r="P72" i="121"/>
  <c r="Q72" i="121"/>
  <c r="R72" i="121"/>
  <c r="S72" i="121"/>
  <c r="T72" i="121"/>
  <c r="U72" i="121"/>
  <c r="W72" i="121"/>
  <c r="E73" i="121"/>
  <c r="F73" i="121"/>
  <c r="G73" i="121"/>
  <c r="H73" i="121"/>
  <c r="I73" i="121"/>
  <c r="J73" i="121"/>
  <c r="K73" i="121"/>
  <c r="L73" i="121"/>
  <c r="M73" i="121"/>
  <c r="N73" i="121"/>
  <c r="O73" i="121"/>
  <c r="P73" i="121"/>
  <c r="Q73" i="121"/>
  <c r="R73" i="121"/>
  <c r="S73" i="121"/>
  <c r="T73" i="121"/>
  <c r="U73" i="121"/>
  <c r="W73" i="121"/>
  <c r="E74" i="121"/>
  <c r="F74" i="121"/>
  <c r="G74" i="121"/>
  <c r="H74" i="121"/>
  <c r="I74" i="121"/>
  <c r="J74" i="121"/>
  <c r="K74" i="121"/>
  <c r="L74" i="121"/>
  <c r="M74" i="121"/>
  <c r="N74" i="121"/>
  <c r="O74" i="121"/>
  <c r="P74" i="121"/>
  <c r="Q74" i="121"/>
  <c r="R74" i="121"/>
  <c r="S74" i="121"/>
  <c r="T74" i="121"/>
  <c r="U74" i="121"/>
  <c r="W74" i="121"/>
  <c r="E75" i="121"/>
  <c r="F75" i="121"/>
  <c r="G75" i="121"/>
  <c r="H75" i="121"/>
  <c r="I75" i="121"/>
  <c r="J75" i="121"/>
  <c r="K75" i="121"/>
  <c r="L75" i="121"/>
  <c r="M75" i="121"/>
  <c r="N75" i="121"/>
  <c r="O75" i="121"/>
  <c r="P75" i="121"/>
  <c r="Q75" i="121"/>
  <c r="R75" i="121"/>
  <c r="S75" i="121"/>
  <c r="T75" i="121"/>
  <c r="U75" i="121"/>
  <c r="W75" i="121"/>
  <c r="E76" i="121"/>
  <c r="F76" i="121"/>
  <c r="G76" i="121"/>
  <c r="H76" i="121"/>
  <c r="I76" i="121"/>
  <c r="J76" i="121"/>
  <c r="K76" i="121"/>
  <c r="L76" i="121"/>
  <c r="M76" i="121"/>
  <c r="N76" i="121"/>
  <c r="O76" i="121"/>
  <c r="P76" i="121"/>
  <c r="Q76" i="121"/>
  <c r="R76" i="121"/>
  <c r="S76" i="121"/>
  <c r="T76" i="121"/>
  <c r="U76" i="121"/>
  <c r="W76" i="121"/>
  <c r="W68" i="121"/>
  <c r="F68" i="121"/>
  <c r="G68" i="121"/>
  <c r="H68" i="121"/>
  <c r="I68" i="121"/>
  <c r="J68" i="121"/>
  <c r="K68" i="121"/>
  <c r="L68" i="121"/>
  <c r="M68" i="121"/>
  <c r="N68" i="121"/>
  <c r="O68" i="121"/>
  <c r="P68" i="121"/>
  <c r="Q68" i="121"/>
  <c r="R68" i="121"/>
  <c r="S68" i="121"/>
  <c r="T68" i="121"/>
  <c r="E68" i="121"/>
  <c r="E55" i="121"/>
  <c r="F55" i="121"/>
  <c r="G55" i="121"/>
  <c r="H55" i="121"/>
  <c r="I55" i="121"/>
  <c r="J55" i="121"/>
  <c r="K55" i="121"/>
  <c r="L55" i="121"/>
  <c r="M55" i="121"/>
  <c r="N55" i="121"/>
  <c r="O55" i="121"/>
  <c r="P55" i="121"/>
  <c r="Q55" i="121"/>
  <c r="R55" i="121"/>
  <c r="S55" i="121"/>
  <c r="T55" i="121"/>
  <c r="U55" i="121"/>
  <c r="W55" i="121"/>
  <c r="E56" i="121"/>
  <c r="F56" i="121"/>
  <c r="G56" i="121"/>
  <c r="H56" i="121"/>
  <c r="I56" i="121"/>
  <c r="J56" i="121"/>
  <c r="K56" i="121"/>
  <c r="L56" i="121"/>
  <c r="M56" i="121"/>
  <c r="N56" i="121"/>
  <c r="O56" i="121"/>
  <c r="P56" i="121"/>
  <c r="Q56" i="121"/>
  <c r="R56" i="121"/>
  <c r="S56" i="121"/>
  <c r="T56" i="121"/>
  <c r="U56" i="121"/>
  <c r="W56" i="121"/>
  <c r="E57" i="121"/>
  <c r="F57" i="121"/>
  <c r="G57" i="121"/>
  <c r="H57" i="121"/>
  <c r="I57" i="121"/>
  <c r="J57" i="121"/>
  <c r="K57" i="121"/>
  <c r="L57" i="121"/>
  <c r="M57" i="121"/>
  <c r="N57" i="121"/>
  <c r="O57" i="121"/>
  <c r="P57" i="121"/>
  <c r="Q57" i="121"/>
  <c r="R57" i="121"/>
  <c r="S57" i="121"/>
  <c r="T57" i="121"/>
  <c r="U57" i="121"/>
  <c r="W57" i="121"/>
  <c r="E58" i="121"/>
  <c r="F58" i="121"/>
  <c r="G58" i="121"/>
  <c r="H58" i="121"/>
  <c r="I58" i="121"/>
  <c r="J58" i="121"/>
  <c r="K58" i="121"/>
  <c r="L58" i="121"/>
  <c r="M58" i="121"/>
  <c r="N58" i="121"/>
  <c r="O58" i="121"/>
  <c r="P58" i="121"/>
  <c r="Q58" i="121"/>
  <c r="R58" i="121"/>
  <c r="S58" i="121"/>
  <c r="T58" i="121"/>
  <c r="U58" i="121"/>
  <c r="W58" i="121"/>
  <c r="E59" i="121"/>
  <c r="F59" i="121"/>
  <c r="G59" i="121"/>
  <c r="H59" i="121"/>
  <c r="I59" i="121"/>
  <c r="J59" i="121"/>
  <c r="K59" i="121"/>
  <c r="L59" i="121"/>
  <c r="M59" i="121"/>
  <c r="N59" i="121"/>
  <c r="O59" i="121"/>
  <c r="P59" i="121"/>
  <c r="Q59" i="121"/>
  <c r="R59" i="121"/>
  <c r="S59" i="121"/>
  <c r="T59" i="121"/>
  <c r="U59" i="121"/>
  <c r="W59" i="121"/>
  <c r="E60" i="121"/>
  <c r="F60" i="121"/>
  <c r="G60" i="121"/>
  <c r="H60" i="121"/>
  <c r="I60" i="121"/>
  <c r="J60" i="121"/>
  <c r="K60" i="121"/>
  <c r="L60" i="121"/>
  <c r="M60" i="121"/>
  <c r="N60" i="121"/>
  <c r="O60" i="121"/>
  <c r="P60" i="121"/>
  <c r="Q60" i="121"/>
  <c r="R60" i="121"/>
  <c r="S60" i="121"/>
  <c r="T60" i="121"/>
  <c r="U60" i="121"/>
  <c r="W60" i="121"/>
  <c r="E61" i="121"/>
  <c r="F61" i="121"/>
  <c r="G61" i="121"/>
  <c r="H61" i="121"/>
  <c r="I61" i="121"/>
  <c r="J61" i="121"/>
  <c r="K61" i="121"/>
  <c r="L61" i="121"/>
  <c r="M61" i="121"/>
  <c r="N61" i="121"/>
  <c r="O61" i="121"/>
  <c r="P61" i="121"/>
  <c r="Q61" i="121"/>
  <c r="R61" i="121"/>
  <c r="S61" i="121"/>
  <c r="T61" i="121"/>
  <c r="U61" i="121"/>
  <c r="W61" i="121"/>
  <c r="E62" i="121"/>
  <c r="F62" i="121"/>
  <c r="G62" i="121"/>
  <c r="H62" i="121"/>
  <c r="I62" i="121"/>
  <c r="J62" i="121"/>
  <c r="K62" i="121"/>
  <c r="L62" i="121"/>
  <c r="M62" i="121"/>
  <c r="N62" i="121"/>
  <c r="O62" i="121"/>
  <c r="P62" i="121"/>
  <c r="Q62" i="121"/>
  <c r="R62" i="121"/>
  <c r="S62" i="121"/>
  <c r="T62" i="121"/>
  <c r="U62" i="121"/>
  <c r="W62" i="121"/>
  <c r="W54" i="121"/>
  <c r="F54" i="121"/>
  <c r="G54" i="121"/>
  <c r="H54" i="121"/>
  <c r="I54" i="121"/>
  <c r="J54" i="121"/>
  <c r="K54" i="121"/>
  <c r="L54" i="121"/>
  <c r="M54" i="121"/>
  <c r="N54" i="121"/>
  <c r="O54" i="121"/>
  <c r="P54" i="121"/>
  <c r="Q54" i="121"/>
  <c r="R54" i="121"/>
  <c r="S54" i="121"/>
  <c r="T54" i="121"/>
  <c r="E54" i="121"/>
  <c r="E41" i="121"/>
  <c r="F41" i="121"/>
  <c r="G41" i="121"/>
  <c r="H41" i="121"/>
  <c r="I41" i="121"/>
  <c r="J41" i="121"/>
  <c r="K41" i="121"/>
  <c r="L41" i="121"/>
  <c r="M41" i="121"/>
  <c r="N41" i="121"/>
  <c r="O41" i="121"/>
  <c r="P41" i="121"/>
  <c r="Q41" i="121"/>
  <c r="R41" i="121"/>
  <c r="S41" i="121"/>
  <c r="T41" i="121"/>
  <c r="U41" i="121"/>
  <c r="W41" i="121"/>
  <c r="E42" i="121"/>
  <c r="F42" i="121"/>
  <c r="G42" i="121"/>
  <c r="H42" i="121"/>
  <c r="I42" i="121"/>
  <c r="J42" i="121"/>
  <c r="K42" i="121"/>
  <c r="L42" i="121"/>
  <c r="M42" i="121"/>
  <c r="N42" i="121"/>
  <c r="O42" i="121"/>
  <c r="P42" i="121"/>
  <c r="Q42" i="121"/>
  <c r="R42" i="121"/>
  <c r="S42" i="121"/>
  <c r="T42" i="121"/>
  <c r="U42" i="121"/>
  <c r="W42" i="121"/>
  <c r="E43" i="121"/>
  <c r="F43" i="121"/>
  <c r="G43" i="121"/>
  <c r="H43" i="121"/>
  <c r="I43" i="121"/>
  <c r="J43" i="121"/>
  <c r="K43" i="121"/>
  <c r="L43" i="121"/>
  <c r="M43" i="121"/>
  <c r="N43" i="121"/>
  <c r="O43" i="121"/>
  <c r="P43" i="121"/>
  <c r="Q43" i="121"/>
  <c r="R43" i="121"/>
  <c r="S43" i="121"/>
  <c r="T43" i="121"/>
  <c r="U43" i="121"/>
  <c r="W43" i="121"/>
  <c r="E44" i="121"/>
  <c r="F44" i="121"/>
  <c r="G44" i="121"/>
  <c r="H44" i="121"/>
  <c r="I44" i="121"/>
  <c r="J44" i="121"/>
  <c r="K44" i="121"/>
  <c r="L44" i="121"/>
  <c r="M44" i="121"/>
  <c r="N44" i="121"/>
  <c r="O44" i="121"/>
  <c r="P44" i="121"/>
  <c r="Q44" i="121"/>
  <c r="R44" i="121"/>
  <c r="S44" i="121"/>
  <c r="T44" i="121"/>
  <c r="U44" i="121"/>
  <c r="W44" i="121"/>
  <c r="E45" i="121"/>
  <c r="F45" i="121"/>
  <c r="G45" i="121"/>
  <c r="H45" i="121"/>
  <c r="I45" i="121"/>
  <c r="J45" i="121"/>
  <c r="K45" i="121"/>
  <c r="L45" i="121"/>
  <c r="M45" i="121"/>
  <c r="N45" i="121"/>
  <c r="O45" i="121"/>
  <c r="P45" i="121"/>
  <c r="Q45" i="121"/>
  <c r="R45" i="121"/>
  <c r="S45" i="121"/>
  <c r="T45" i="121"/>
  <c r="U45" i="121"/>
  <c r="W45" i="121"/>
  <c r="E46" i="121"/>
  <c r="F46" i="121"/>
  <c r="G46" i="121"/>
  <c r="H46" i="121"/>
  <c r="I46" i="121"/>
  <c r="J46" i="121"/>
  <c r="K46" i="121"/>
  <c r="L46" i="121"/>
  <c r="M46" i="121"/>
  <c r="N46" i="121"/>
  <c r="O46" i="121"/>
  <c r="P46" i="121"/>
  <c r="Q46" i="121"/>
  <c r="R46" i="121"/>
  <c r="S46" i="121"/>
  <c r="T46" i="121"/>
  <c r="U46" i="121"/>
  <c r="W46" i="121"/>
  <c r="E47" i="121"/>
  <c r="F47" i="121"/>
  <c r="G47" i="121"/>
  <c r="H47" i="121"/>
  <c r="I47" i="121"/>
  <c r="J47" i="121"/>
  <c r="K47" i="121"/>
  <c r="L47" i="121"/>
  <c r="M47" i="121"/>
  <c r="N47" i="121"/>
  <c r="O47" i="121"/>
  <c r="P47" i="121"/>
  <c r="Q47" i="121"/>
  <c r="R47" i="121"/>
  <c r="S47" i="121"/>
  <c r="T47" i="121"/>
  <c r="U47" i="121"/>
  <c r="W47" i="121"/>
  <c r="E48" i="121"/>
  <c r="F48" i="121"/>
  <c r="G48" i="121"/>
  <c r="H48" i="121"/>
  <c r="I48" i="121"/>
  <c r="J48" i="121"/>
  <c r="K48" i="121"/>
  <c r="L48" i="121"/>
  <c r="M48" i="121"/>
  <c r="N48" i="121"/>
  <c r="O48" i="121"/>
  <c r="P48" i="121"/>
  <c r="Q48" i="121"/>
  <c r="R48" i="121"/>
  <c r="S48" i="121"/>
  <c r="T48" i="121"/>
  <c r="U48" i="121"/>
  <c r="W48" i="121"/>
  <c r="W40" i="121"/>
  <c r="F40" i="121"/>
  <c r="G40" i="121"/>
  <c r="H40" i="121"/>
  <c r="I40" i="121"/>
  <c r="J40" i="121"/>
  <c r="K40" i="121"/>
  <c r="L40" i="121"/>
  <c r="M40" i="121"/>
  <c r="N40" i="121"/>
  <c r="O40" i="121"/>
  <c r="P40" i="121"/>
  <c r="Q40" i="121"/>
  <c r="R40" i="121"/>
  <c r="S40" i="121"/>
  <c r="T40" i="121"/>
  <c r="E40" i="121"/>
  <c r="E27" i="121"/>
  <c r="F27" i="121"/>
  <c r="G27" i="121"/>
  <c r="H27" i="121"/>
  <c r="I27" i="121"/>
  <c r="J27" i="121"/>
  <c r="K27" i="121"/>
  <c r="L27" i="121"/>
  <c r="M27" i="121"/>
  <c r="N27" i="121"/>
  <c r="O27" i="121"/>
  <c r="P27" i="121"/>
  <c r="Q27" i="121"/>
  <c r="R27" i="121"/>
  <c r="S27" i="121"/>
  <c r="T27" i="121"/>
  <c r="U27" i="121"/>
  <c r="W27" i="121"/>
  <c r="E28" i="121"/>
  <c r="F28" i="121"/>
  <c r="G28" i="121"/>
  <c r="H28" i="121"/>
  <c r="I28" i="121"/>
  <c r="J28" i="121"/>
  <c r="K28" i="121"/>
  <c r="L28" i="121"/>
  <c r="M28" i="121"/>
  <c r="N28" i="121"/>
  <c r="O28" i="121"/>
  <c r="P28" i="121"/>
  <c r="Q28" i="121"/>
  <c r="R28" i="121"/>
  <c r="S28" i="121"/>
  <c r="T28" i="121"/>
  <c r="U28" i="121"/>
  <c r="W28" i="121"/>
  <c r="E29" i="121"/>
  <c r="F29" i="121"/>
  <c r="G29" i="121"/>
  <c r="H29" i="121"/>
  <c r="I29" i="121"/>
  <c r="J29" i="121"/>
  <c r="K29" i="121"/>
  <c r="L29" i="121"/>
  <c r="M29" i="121"/>
  <c r="N29" i="121"/>
  <c r="O29" i="121"/>
  <c r="P29" i="121"/>
  <c r="Q29" i="121"/>
  <c r="R29" i="121"/>
  <c r="S29" i="121"/>
  <c r="T29" i="121"/>
  <c r="U29" i="121"/>
  <c r="W29" i="121"/>
  <c r="E30" i="121"/>
  <c r="F30" i="121"/>
  <c r="G30" i="121"/>
  <c r="H30" i="121"/>
  <c r="I30" i="121"/>
  <c r="J30" i="121"/>
  <c r="K30" i="121"/>
  <c r="L30" i="121"/>
  <c r="M30" i="121"/>
  <c r="N30" i="121"/>
  <c r="O30" i="121"/>
  <c r="P30" i="121"/>
  <c r="Q30" i="121"/>
  <c r="R30" i="121"/>
  <c r="S30" i="121"/>
  <c r="T30" i="121"/>
  <c r="U30" i="121"/>
  <c r="W30" i="121"/>
  <c r="E31" i="121"/>
  <c r="F31" i="121"/>
  <c r="G31" i="121"/>
  <c r="H31" i="121"/>
  <c r="I31" i="121"/>
  <c r="J31" i="121"/>
  <c r="K31" i="121"/>
  <c r="L31" i="121"/>
  <c r="M31" i="121"/>
  <c r="N31" i="121"/>
  <c r="O31" i="121"/>
  <c r="P31" i="121"/>
  <c r="Q31" i="121"/>
  <c r="R31" i="121"/>
  <c r="S31" i="121"/>
  <c r="T31" i="121"/>
  <c r="U31" i="121"/>
  <c r="W31" i="121"/>
  <c r="E32" i="121"/>
  <c r="F32" i="121"/>
  <c r="G32" i="121"/>
  <c r="H32" i="121"/>
  <c r="I32" i="121"/>
  <c r="J32" i="121"/>
  <c r="K32" i="121"/>
  <c r="L32" i="121"/>
  <c r="M32" i="121"/>
  <c r="N32" i="121"/>
  <c r="O32" i="121"/>
  <c r="P32" i="121"/>
  <c r="Q32" i="121"/>
  <c r="R32" i="121"/>
  <c r="S32" i="121"/>
  <c r="T32" i="121"/>
  <c r="U32" i="121"/>
  <c r="W32" i="121"/>
  <c r="E33" i="121"/>
  <c r="F33" i="121"/>
  <c r="G33" i="121"/>
  <c r="H33" i="121"/>
  <c r="I33" i="121"/>
  <c r="J33" i="121"/>
  <c r="K33" i="121"/>
  <c r="L33" i="121"/>
  <c r="M33" i="121"/>
  <c r="N33" i="121"/>
  <c r="O33" i="121"/>
  <c r="P33" i="121"/>
  <c r="Q33" i="121"/>
  <c r="R33" i="121"/>
  <c r="S33" i="121"/>
  <c r="T33" i="121"/>
  <c r="U33" i="121"/>
  <c r="W33" i="121"/>
  <c r="E34" i="121"/>
  <c r="F34" i="121"/>
  <c r="G34" i="121"/>
  <c r="H34" i="121"/>
  <c r="I34" i="121"/>
  <c r="J34" i="121"/>
  <c r="K34" i="121"/>
  <c r="L34" i="121"/>
  <c r="M34" i="121"/>
  <c r="N34" i="121"/>
  <c r="O34" i="121"/>
  <c r="P34" i="121"/>
  <c r="Q34" i="121"/>
  <c r="R34" i="121"/>
  <c r="S34" i="121"/>
  <c r="T34" i="121"/>
  <c r="U34" i="121"/>
  <c r="W34" i="121"/>
  <c r="W26" i="121"/>
  <c r="F26" i="121"/>
  <c r="G26" i="121"/>
  <c r="H26" i="121"/>
  <c r="I26" i="121"/>
  <c r="J26" i="121"/>
  <c r="K26" i="121"/>
  <c r="L26" i="121"/>
  <c r="M26" i="121"/>
  <c r="N26" i="121"/>
  <c r="O26" i="121"/>
  <c r="P26" i="121"/>
  <c r="Q26" i="121"/>
  <c r="R26" i="121"/>
  <c r="S26" i="121"/>
  <c r="T26" i="121"/>
  <c r="E26" i="121"/>
  <c r="E13" i="121"/>
  <c r="F13" i="121"/>
  <c r="G13" i="121"/>
  <c r="H13" i="121"/>
  <c r="I13" i="121"/>
  <c r="J13" i="121"/>
  <c r="K13" i="121"/>
  <c r="L13" i="121"/>
  <c r="M13" i="121"/>
  <c r="N13" i="121"/>
  <c r="O13" i="121"/>
  <c r="P13" i="121"/>
  <c r="Q13" i="121"/>
  <c r="R13" i="121"/>
  <c r="S13" i="121"/>
  <c r="T13" i="121"/>
  <c r="U13" i="121"/>
  <c r="W13" i="121"/>
  <c r="E14" i="121"/>
  <c r="F14" i="121"/>
  <c r="G14" i="121"/>
  <c r="H14" i="121"/>
  <c r="I14" i="121"/>
  <c r="J14" i="121"/>
  <c r="K14" i="121"/>
  <c r="L14" i="121"/>
  <c r="M14" i="121"/>
  <c r="N14" i="121"/>
  <c r="O14" i="121"/>
  <c r="P14" i="121"/>
  <c r="Q14" i="121"/>
  <c r="R14" i="121"/>
  <c r="S14" i="121"/>
  <c r="T14" i="121"/>
  <c r="U14" i="121"/>
  <c r="W14" i="121"/>
  <c r="E15" i="121"/>
  <c r="F15" i="121"/>
  <c r="G15" i="121"/>
  <c r="H15" i="121"/>
  <c r="I15" i="121"/>
  <c r="J15" i="121"/>
  <c r="K15" i="121"/>
  <c r="L15" i="121"/>
  <c r="M15" i="121"/>
  <c r="N15" i="121"/>
  <c r="O15" i="121"/>
  <c r="P15" i="121"/>
  <c r="Q15" i="121"/>
  <c r="R15" i="121"/>
  <c r="S15" i="121"/>
  <c r="T15" i="121"/>
  <c r="U15" i="121"/>
  <c r="W15" i="121"/>
  <c r="E16" i="121"/>
  <c r="F16" i="121"/>
  <c r="G16" i="121"/>
  <c r="H16" i="121"/>
  <c r="I16" i="121"/>
  <c r="J16" i="121"/>
  <c r="K16" i="121"/>
  <c r="L16" i="121"/>
  <c r="M16" i="121"/>
  <c r="N16" i="121"/>
  <c r="O16" i="121"/>
  <c r="P16" i="121"/>
  <c r="Q16" i="121"/>
  <c r="R16" i="121"/>
  <c r="S16" i="121"/>
  <c r="T16" i="121"/>
  <c r="U16" i="121"/>
  <c r="W16" i="121"/>
  <c r="E17" i="121"/>
  <c r="F17" i="121"/>
  <c r="G17" i="121"/>
  <c r="H17" i="121"/>
  <c r="I17" i="121"/>
  <c r="J17" i="121"/>
  <c r="K17" i="121"/>
  <c r="L17" i="121"/>
  <c r="M17" i="121"/>
  <c r="N17" i="121"/>
  <c r="O17" i="121"/>
  <c r="P17" i="121"/>
  <c r="Q17" i="121"/>
  <c r="R17" i="121"/>
  <c r="S17" i="121"/>
  <c r="T17" i="121"/>
  <c r="U17" i="121"/>
  <c r="W17" i="121"/>
  <c r="E18" i="121"/>
  <c r="F18" i="121"/>
  <c r="G18" i="121"/>
  <c r="H18" i="121"/>
  <c r="I18" i="121"/>
  <c r="J18" i="121"/>
  <c r="K18" i="121"/>
  <c r="L18" i="121"/>
  <c r="M18" i="121"/>
  <c r="N18" i="121"/>
  <c r="O18" i="121"/>
  <c r="P18" i="121"/>
  <c r="Q18" i="121"/>
  <c r="R18" i="121"/>
  <c r="S18" i="121"/>
  <c r="T18" i="121"/>
  <c r="U18" i="121"/>
  <c r="W18" i="121"/>
  <c r="E19" i="121"/>
  <c r="F19" i="121"/>
  <c r="G19" i="121"/>
  <c r="H19" i="121"/>
  <c r="I19" i="121"/>
  <c r="J19" i="121"/>
  <c r="K19" i="121"/>
  <c r="L19" i="121"/>
  <c r="M19" i="121"/>
  <c r="N19" i="121"/>
  <c r="O19" i="121"/>
  <c r="P19" i="121"/>
  <c r="Q19" i="121"/>
  <c r="R19" i="121"/>
  <c r="S19" i="121"/>
  <c r="T19" i="121"/>
  <c r="U19" i="121"/>
  <c r="W19" i="121"/>
  <c r="E20" i="121"/>
  <c r="F20" i="121"/>
  <c r="G20" i="121"/>
  <c r="H20" i="121"/>
  <c r="I20" i="121"/>
  <c r="J20" i="121"/>
  <c r="K20" i="121"/>
  <c r="L20" i="121"/>
  <c r="M20" i="121"/>
  <c r="N20" i="121"/>
  <c r="O20" i="121"/>
  <c r="P20" i="121"/>
  <c r="Q20" i="121"/>
  <c r="R20" i="121"/>
  <c r="S20" i="121"/>
  <c r="T20" i="121"/>
  <c r="U20" i="121"/>
  <c r="W20" i="121"/>
  <c r="W12" i="121"/>
  <c r="F12" i="121"/>
  <c r="G12" i="121"/>
  <c r="H12" i="121"/>
  <c r="I12" i="121"/>
  <c r="J12" i="121"/>
  <c r="K12" i="121"/>
  <c r="L12" i="121"/>
  <c r="M12" i="121"/>
  <c r="N12" i="121"/>
  <c r="O12" i="121"/>
  <c r="P12" i="121"/>
  <c r="Q12" i="121"/>
  <c r="R12" i="121"/>
  <c r="S12" i="121"/>
  <c r="T12" i="121"/>
  <c r="E12" i="121"/>
  <c r="C152" i="121"/>
  <c r="C138" i="121"/>
  <c r="C124" i="121"/>
  <c r="C110" i="121"/>
  <c r="C96" i="121"/>
  <c r="C82" i="121"/>
  <c r="C68" i="121"/>
  <c r="C54" i="121"/>
  <c r="C40" i="121"/>
  <c r="C26" i="121"/>
  <c r="C12" i="121"/>
  <c r="B8" i="121"/>
  <c r="E13" i="145"/>
  <c r="F13" i="145"/>
  <c r="G13" i="145"/>
  <c r="H13" i="145"/>
  <c r="I13" i="145"/>
  <c r="J13" i="145"/>
  <c r="K13" i="145"/>
  <c r="L13" i="145"/>
  <c r="M13" i="145"/>
  <c r="N13" i="145"/>
  <c r="O13" i="145"/>
  <c r="P13" i="145"/>
  <c r="Q13" i="145"/>
  <c r="R13" i="145"/>
  <c r="S13" i="145"/>
  <c r="T13" i="145"/>
  <c r="U13" i="145"/>
  <c r="W13" i="145"/>
  <c r="E14" i="145"/>
  <c r="F14" i="145"/>
  <c r="G14" i="145"/>
  <c r="H14" i="145"/>
  <c r="I14" i="145"/>
  <c r="J14" i="145"/>
  <c r="K14" i="145"/>
  <c r="L14" i="145"/>
  <c r="M14" i="145"/>
  <c r="N14" i="145"/>
  <c r="O14" i="145"/>
  <c r="P14" i="145"/>
  <c r="Q14" i="145"/>
  <c r="R14" i="145"/>
  <c r="S14" i="145"/>
  <c r="T14" i="145"/>
  <c r="U14" i="145"/>
  <c r="W14" i="145"/>
  <c r="E15" i="145"/>
  <c r="F15" i="145"/>
  <c r="G15" i="145"/>
  <c r="H15" i="145"/>
  <c r="I15" i="145"/>
  <c r="J15" i="145"/>
  <c r="K15" i="145"/>
  <c r="L15" i="145"/>
  <c r="M15" i="145"/>
  <c r="N15" i="145"/>
  <c r="O15" i="145"/>
  <c r="P15" i="145"/>
  <c r="Q15" i="145"/>
  <c r="R15" i="145"/>
  <c r="S15" i="145"/>
  <c r="T15" i="145"/>
  <c r="U15" i="145"/>
  <c r="W15" i="145"/>
  <c r="E16" i="145"/>
  <c r="F16" i="145"/>
  <c r="G16" i="145"/>
  <c r="H16" i="145"/>
  <c r="I16" i="145"/>
  <c r="J16" i="145"/>
  <c r="K16" i="145"/>
  <c r="L16" i="145"/>
  <c r="M16" i="145"/>
  <c r="N16" i="145"/>
  <c r="O16" i="145"/>
  <c r="P16" i="145"/>
  <c r="Q16" i="145"/>
  <c r="R16" i="145"/>
  <c r="S16" i="145"/>
  <c r="T16" i="145"/>
  <c r="U16" i="145"/>
  <c r="W16" i="145"/>
  <c r="E17" i="145"/>
  <c r="F17" i="145"/>
  <c r="G17" i="145"/>
  <c r="H17" i="145"/>
  <c r="I17" i="145"/>
  <c r="J17" i="145"/>
  <c r="K17" i="145"/>
  <c r="L17" i="145"/>
  <c r="M17" i="145"/>
  <c r="N17" i="145"/>
  <c r="O17" i="145"/>
  <c r="P17" i="145"/>
  <c r="Q17" i="145"/>
  <c r="R17" i="145"/>
  <c r="S17" i="145"/>
  <c r="T17" i="145"/>
  <c r="U17" i="145"/>
  <c r="W17" i="145"/>
  <c r="E18" i="145"/>
  <c r="F18" i="145"/>
  <c r="G18" i="145"/>
  <c r="H18" i="145"/>
  <c r="I18" i="145"/>
  <c r="J18" i="145"/>
  <c r="K18" i="145"/>
  <c r="L18" i="145"/>
  <c r="M18" i="145"/>
  <c r="N18" i="145"/>
  <c r="O18" i="145"/>
  <c r="P18" i="145"/>
  <c r="Q18" i="145"/>
  <c r="R18" i="145"/>
  <c r="S18" i="145"/>
  <c r="T18" i="145"/>
  <c r="U18" i="145"/>
  <c r="W18" i="145"/>
  <c r="E19" i="145"/>
  <c r="F19" i="145"/>
  <c r="G19" i="145"/>
  <c r="H19" i="145"/>
  <c r="I19" i="145"/>
  <c r="J19" i="145"/>
  <c r="K19" i="145"/>
  <c r="L19" i="145"/>
  <c r="M19" i="145"/>
  <c r="N19" i="145"/>
  <c r="O19" i="145"/>
  <c r="P19" i="145"/>
  <c r="Q19" i="145"/>
  <c r="R19" i="145"/>
  <c r="S19" i="145"/>
  <c r="T19" i="145"/>
  <c r="U19" i="145"/>
  <c r="W19" i="145"/>
  <c r="E20" i="145"/>
  <c r="F20" i="145"/>
  <c r="G20" i="145"/>
  <c r="H20" i="145"/>
  <c r="I20" i="145"/>
  <c r="J20" i="145"/>
  <c r="K20" i="145"/>
  <c r="L20" i="145"/>
  <c r="M20" i="145"/>
  <c r="N20" i="145"/>
  <c r="O20" i="145"/>
  <c r="P20" i="145"/>
  <c r="Q20" i="145"/>
  <c r="R20" i="145"/>
  <c r="S20" i="145"/>
  <c r="T20" i="145"/>
  <c r="U20" i="145"/>
  <c r="W20" i="145"/>
  <c r="E21" i="145"/>
  <c r="F21" i="145"/>
  <c r="G21" i="145"/>
  <c r="H21" i="145"/>
  <c r="I21" i="145"/>
  <c r="J21" i="145"/>
  <c r="K21" i="145"/>
  <c r="L21" i="145"/>
  <c r="M21" i="145"/>
  <c r="N21" i="145"/>
  <c r="O21" i="145"/>
  <c r="P21" i="145"/>
  <c r="Q21" i="145"/>
  <c r="R21" i="145"/>
  <c r="S21" i="145"/>
  <c r="T21" i="145"/>
  <c r="U21" i="145"/>
  <c r="W21" i="145"/>
  <c r="E22" i="145"/>
  <c r="F22" i="145"/>
  <c r="G22" i="145"/>
  <c r="H22" i="145"/>
  <c r="I22" i="145"/>
  <c r="J22" i="145"/>
  <c r="K22" i="145"/>
  <c r="L22" i="145"/>
  <c r="M22" i="145"/>
  <c r="N22" i="145"/>
  <c r="O22" i="145"/>
  <c r="P22" i="145"/>
  <c r="Q22" i="145"/>
  <c r="R22" i="145"/>
  <c r="S22" i="145"/>
  <c r="T22" i="145"/>
  <c r="U22" i="145"/>
  <c r="W22" i="145"/>
  <c r="E23" i="145"/>
  <c r="F23" i="145"/>
  <c r="G23" i="145"/>
  <c r="H23" i="145"/>
  <c r="I23" i="145"/>
  <c r="J23" i="145"/>
  <c r="K23" i="145"/>
  <c r="L23" i="145"/>
  <c r="M23" i="145"/>
  <c r="N23" i="145"/>
  <c r="O23" i="145"/>
  <c r="P23" i="145"/>
  <c r="Q23" i="145"/>
  <c r="R23" i="145"/>
  <c r="S23" i="145"/>
  <c r="T23" i="145"/>
  <c r="U23" i="145"/>
  <c r="W23" i="145"/>
  <c r="E24" i="145"/>
  <c r="F24" i="145"/>
  <c r="G24" i="145"/>
  <c r="H24" i="145"/>
  <c r="I24" i="145"/>
  <c r="J24" i="145"/>
  <c r="K24" i="145"/>
  <c r="L24" i="145"/>
  <c r="M24" i="145"/>
  <c r="N24" i="145"/>
  <c r="O24" i="145"/>
  <c r="P24" i="145"/>
  <c r="Q24" i="145"/>
  <c r="R24" i="145"/>
  <c r="S24" i="145"/>
  <c r="T24" i="145"/>
  <c r="U24" i="145"/>
  <c r="W24" i="145"/>
  <c r="E25" i="145"/>
  <c r="F25" i="145"/>
  <c r="G25" i="145"/>
  <c r="H25" i="145"/>
  <c r="I25" i="145"/>
  <c r="J25" i="145"/>
  <c r="K25" i="145"/>
  <c r="L25" i="145"/>
  <c r="M25" i="145"/>
  <c r="N25" i="145"/>
  <c r="O25" i="145"/>
  <c r="P25" i="145"/>
  <c r="Q25" i="145"/>
  <c r="R25" i="145"/>
  <c r="S25" i="145"/>
  <c r="T25" i="145"/>
  <c r="U25" i="145"/>
  <c r="W25" i="145"/>
  <c r="E26" i="145"/>
  <c r="F26" i="145"/>
  <c r="G26" i="145"/>
  <c r="H26" i="145"/>
  <c r="I26" i="145"/>
  <c r="J26" i="145"/>
  <c r="K26" i="145"/>
  <c r="L26" i="145"/>
  <c r="M26" i="145"/>
  <c r="N26" i="145"/>
  <c r="O26" i="145"/>
  <c r="P26" i="145"/>
  <c r="Q26" i="145"/>
  <c r="R26" i="145"/>
  <c r="S26" i="145"/>
  <c r="T26" i="145"/>
  <c r="U26" i="145"/>
  <c r="W26" i="145"/>
  <c r="E27" i="145"/>
  <c r="F27" i="145"/>
  <c r="G27" i="145"/>
  <c r="H27" i="145"/>
  <c r="I27" i="145"/>
  <c r="J27" i="145"/>
  <c r="K27" i="145"/>
  <c r="L27" i="145"/>
  <c r="M27" i="145"/>
  <c r="N27" i="145"/>
  <c r="O27" i="145"/>
  <c r="P27" i="145"/>
  <c r="Q27" i="145"/>
  <c r="R27" i="145"/>
  <c r="S27" i="145"/>
  <c r="T27" i="145"/>
  <c r="U27" i="145"/>
  <c r="W27" i="145"/>
  <c r="E28" i="145"/>
  <c r="F28" i="145"/>
  <c r="G28" i="145"/>
  <c r="H28" i="145"/>
  <c r="I28" i="145"/>
  <c r="J28" i="145"/>
  <c r="K28" i="145"/>
  <c r="L28" i="145"/>
  <c r="M28" i="145"/>
  <c r="N28" i="145"/>
  <c r="O28" i="145"/>
  <c r="P28" i="145"/>
  <c r="Q28" i="145"/>
  <c r="R28" i="145"/>
  <c r="S28" i="145"/>
  <c r="T28" i="145"/>
  <c r="U28" i="145"/>
  <c r="W28" i="145"/>
  <c r="E29" i="145"/>
  <c r="F29" i="145"/>
  <c r="G29" i="145"/>
  <c r="H29" i="145"/>
  <c r="I29" i="145"/>
  <c r="J29" i="145"/>
  <c r="K29" i="145"/>
  <c r="L29" i="145"/>
  <c r="M29" i="145"/>
  <c r="N29" i="145"/>
  <c r="O29" i="145"/>
  <c r="P29" i="145"/>
  <c r="Q29" i="145"/>
  <c r="R29" i="145"/>
  <c r="S29" i="145"/>
  <c r="T29" i="145"/>
  <c r="U29" i="145"/>
  <c r="W29" i="145"/>
  <c r="E30" i="145"/>
  <c r="F30" i="145"/>
  <c r="G30" i="145"/>
  <c r="H30" i="145"/>
  <c r="I30" i="145"/>
  <c r="J30" i="145"/>
  <c r="K30" i="145"/>
  <c r="L30" i="145"/>
  <c r="M30" i="145"/>
  <c r="N30" i="145"/>
  <c r="O30" i="145"/>
  <c r="P30" i="145"/>
  <c r="Q30" i="145"/>
  <c r="R30" i="145"/>
  <c r="S30" i="145"/>
  <c r="T30" i="145"/>
  <c r="U30" i="145"/>
  <c r="W30" i="145"/>
  <c r="E31" i="145"/>
  <c r="F31" i="145"/>
  <c r="G31" i="145"/>
  <c r="H31" i="145"/>
  <c r="I31" i="145"/>
  <c r="J31" i="145"/>
  <c r="K31" i="145"/>
  <c r="L31" i="145"/>
  <c r="M31" i="145"/>
  <c r="N31" i="145"/>
  <c r="O31" i="145"/>
  <c r="P31" i="145"/>
  <c r="Q31" i="145"/>
  <c r="R31" i="145"/>
  <c r="S31" i="145"/>
  <c r="T31" i="145"/>
  <c r="U31" i="145"/>
  <c r="W31" i="145"/>
  <c r="E32" i="145"/>
  <c r="F32" i="145"/>
  <c r="G32" i="145"/>
  <c r="H32" i="145"/>
  <c r="I32" i="145"/>
  <c r="J32" i="145"/>
  <c r="K32" i="145"/>
  <c r="L32" i="145"/>
  <c r="M32" i="145"/>
  <c r="N32" i="145"/>
  <c r="O32" i="145"/>
  <c r="P32" i="145"/>
  <c r="Q32" i="145"/>
  <c r="R32" i="145"/>
  <c r="S32" i="145"/>
  <c r="T32" i="145"/>
  <c r="U32" i="145"/>
  <c r="W32" i="145"/>
  <c r="E33" i="145"/>
  <c r="F33" i="145"/>
  <c r="G33" i="145"/>
  <c r="H33" i="145"/>
  <c r="I33" i="145"/>
  <c r="J33" i="145"/>
  <c r="K33" i="145"/>
  <c r="L33" i="145"/>
  <c r="M33" i="145"/>
  <c r="N33" i="145"/>
  <c r="O33" i="145"/>
  <c r="P33" i="145"/>
  <c r="Q33" i="145"/>
  <c r="R33" i="145"/>
  <c r="S33" i="145"/>
  <c r="T33" i="145"/>
  <c r="U33" i="145"/>
  <c r="W33" i="145"/>
  <c r="E34" i="145"/>
  <c r="F34" i="145"/>
  <c r="G34" i="145"/>
  <c r="H34" i="145"/>
  <c r="I34" i="145"/>
  <c r="J34" i="145"/>
  <c r="K34" i="145"/>
  <c r="L34" i="145"/>
  <c r="M34" i="145"/>
  <c r="N34" i="145"/>
  <c r="O34" i="145"/>
  <c r="P34" i="145"/>
  <c r="Q34" i="145"/>
  <c r="R34" i="145"/>
  <c r="S34" i="145"/>
  <c r="T34" i="145"/>
  <c r="U34" i="145"/>
  <c r="W34" i="145"/>
  <c r="E35" i="145"/>
  <c r="F35" i="145"/>
  <c r="G35" i="145"/>
  <c r="H35" i="145"/>
  <c r="I35" i="145"/>
  <c r="J35" i="145"/>
  <c r="K35" i="145"/>
  <c r="L35" i="145"/>
  <c r="M35" i="145"/>
  <c r="N35" i="145"/>
  <c r="O35" i="145"/>
  <c r="P35" i="145"/>
  <c r="Q35" i="145"/>
  <c r="R35" i="145"/>
  <c r="S35" i="145"/>
  <c r="T35" i="145"/>
  <c r="U35" i="145"/>
  <c r="W35" i="145"/>
  <c r="E36" i="145"/>
  <c r="F36" i="145"/>
  <c r="G36" i="145"/>
  <c r="H36" i="145"/>
  <c r="I36" i="145"/>
  <c r="J36" i="145"/>
  <c r="K36" i="145"/>
  <c r="L36" i="145"/>
  <c r="M36" i="145"/>
  <c r="N36" i="145"/>
  <c r="O36" i="145"/>
  <c r="P36" i="145"/>
  <c r="Q36" i="145"/>
  <c r="R36" i="145"/>
  <c r="S36" i="145"/>
  <c r="T36" i="145"/>
  <c r="U36" i="145"/>
  <c r="W36" i="145"/>
  <c r="E37" i="145"/>
  <c r="F37" i="145"/>
  <c r="G37" i="145"/>
  <c r="H37" i="145"/>
  <c r="I37" i="145"/>
  <c r="J37" i="145"/>
  <c r="K37" i="145"/>
  <c r="L37" i="145"/>
  <c r="M37" i="145"/>
  <c r="N37" i="145"/>
  <c r="O37" i="145"/>
  <c r="P37" i="145"/>
  <c r="Q37" i="145"/>
  <c r="R37" i="145"/>
  <c r="S37" i="145"/>
  <c r="T37" i="145"/>
  <c r="U37" i="145"/>
  <c r="W37" i="145"/>
  <c r="E38" i="145"/>
  <c r="F38" i="145"/>
  <c r="G38" i="145"/>
  <c r="H38" i="145"/>
  <c r="I38" i="145"/>
  <c r="J38" i="145"/>
  <c r="K38" i="145"/>
  <c r="L38" i="145"/>
  <c r="M38" i="145"/>
  <c r="N38" i="145"/>
  <c r="O38" i="145"/>
  <c r="P38" i="145"/>
  <c r="Q38" i="145"/>
  <c r="R38" i="145"/>
  <c r="S38" i="145"/>
  <c r="T38" i="145"/>
  <c r="U38" i="145"/>
  <c r="W38" i="145"/>
  <c r="F39" i="145"/>
  <c r="G39" i="145"/>
  <c r="H39" i="145"/>
  <c r="I39" i="145"/>
  <c r="J39" i="145"/>
  <c r="K39" i="145"/>
  <c r="L39" i="145"/>
  <c r="M39" i="145"/>
  <c r="N39" i="145"/>
  <c r="O39" i="145"/>
  <c r="P39" i="145"/>
  <c r="Q39" i="145"/>
  <c r="R39" i="145"/>
  <c r="S39" i="145"/>
  <c r="T39" i="145"/>
  <c r="U39" i="145"/>
  <c r="W39" i="145"/>
  <c r="E40" i="145"/>
  <c r="F40" i="145"/>
  <c r="G40" i="145"/>
  <c r="H40" i="145"/>
  <c r="I40" i="145"/>
  <c r="J40" i="145"/>
  <c r="K40" i="145"/>
  <c r="L40" i="145"/>
  <c r="M40" i="145"/>
  <c r="N40" i="145"/>
  <c r="O40" i="145"/>
  <c r="P40" i="145"/>
  <c r="Q40" i="145"/>
  <c r="R40" i="145"/>
  <c r="S40" i="145"/>
  <c r="T40" i="145"/>
  <c r="U40" i="145"/>
  <c r="W40" i="145"/>
  <c r="E41" i="145"/>
  <c r="F41" i="145"/>
  <c r="G41" i="145"/>
  <c r="H41" i="145"/>
  <c r="I41" i="145"/>
  <c r="J41" i="145"/>
  <c r="K41" i="145"/>
  <c r="L41" i="145"/>
  <c r="M41" i="145"/>
  <c r="N41" i="145"/>
  <c r="O41" i="145"/>
  <c r="P41" i="145"/>
  <c r="Q41" i="145"/>
  <c r="R41" i="145"/>
  <c r="S41" i="145"/>
  <c r="T41" i="145"/>
  <c r="U41" i="145"/>
  <c r="W41" i="145"/>
  <c r="E42" i="145"/>
  <c r="F42" i="145"/>
  <c r="G42" i="145"/>
  <c r="H42" i="145"/>
  <c r="I42" i="145"/>
  <c r="J42" i="145"/>
  <c r="K42" i="145"/>
  <c r="L42" i="145"/>
  <c r="M42" i="145"/>
  <c r="N42" i="145"/>
  <c r="O42" i="145"/>
  <c r="P42" i="145"/>
  <c r="Q42" i="145"/>
  <c r="R42" i="145"/>
  <c r="S42" i="145"/>
  <c r="T42" i="145"/>
  <c r="U42" i="145"/>
  <c r="W42" i="145"/>
  <c r="E43" i="145"/>
  <c r="F43" i="145"/>
  <c r="G43" i="145"/>
  <c r="H43" i="145"/>
  <c r="I43" i="145"/>
  <c r="J43" i="145"/>
  <c r="K43" i="145"/>
  <c r="L43" i="145"/>
  <c r="M43" i="145"/>
  <c r="N43" i="145"/>
  <c r="O43" i="145"/>
  <c r="P43" i="145"/>
  <c r="Q43" i="145"/>
  <c r="R43" i="145"/>
  <c r="S43" i="145"/>
  <c r="T43" i="145"/>
  <c r="U43" i="145"/>
  <c r="W43" i="145"/>
  <c r="E44" i="145"/>
  <c r="F44" i="145"/>
  <c r="G44" i="145"/>
  <c r="H44" i="145"/>
  <c r="I44" i="145"/>
  <c r="J44" i="145"/>
  <c r="K44" i="145"/>
  <c r="L44" i="145"/>
  <c r="M44" i="145"/>
  <c r="N44" i="145"/>
  <c r="O44" i="145"/>
  <c r="P44" i="145"/>
  <c r="Q44" i="145"/>
  <c r="R44" i="145"/>
  <c r="S44" i="145"/>
  <c r="T44" i="145"/>
  <c r="U44" i="145"/>
  <c r="W44" i="145"/>
  <c r="E45" i="145"/>
  <c r="F45" i="145"/>
  <c r="G45" i="145"/>
  <c r="H45" i="145"/>
  <c r="I45" i="145"/>
  <c r="J45" i="145"/>
  <c r="K45" i="145"/>
  <c r="L45" i="145"/>
  <c r="M45" i="145"/>
  <c r="N45" i="145"/>
  <c r="O45" i="145"/>
  <c r="P45" i="145"/>
  <c r="Q45" i="145"/>
  <c r="R45" i="145"/>
  <c r="S45" i="145"/>
  <c r="T45" i="145"/>
  <c r="U45" i="145"/>
  <c r="W45" i="145"/>
  <c r="E46" i="145"/>
  <c r="F46" i="145"/>
  <c r="G46" i="145"/>
  <c r="H46" i="145"/>
  <c r="I46" i="145"/>
  <c r="J46" i="145"/>
  <c r="K46" i="145"/>
  <c r="L46" i="145"/>
  <c r="M46" i="145"/>
  <c r="N46" i="145"/>
  <c r="O46" i="145"/>
  <c r="P46" i="145"/>
  <c r="Q46" i="145"/>
  <c r="R46" i="145"/>
  <c r="S46" i="145"/>
  <c r="T46" i="145"/>
  <c r="U46" i="145"/>
  <c r="W46" i="145"/>
  <c r="E47" i="145"/>
  <c r="F47" i="145"/>
  <c r="G47" i="145"/>
  <c r="H47" i="145"/>
  <c r="I47" i="145"/>
  <c r="J47" i="145"/>
  <c r="K47" i="145"/>
  <c r="L47" i="145"/>
  <c r="M47" i="145"/>
  <c r="N47" i="145"/>
  <c r="O47" i="145"/>
  <c r="P47" i="145"/>
  <c r="Q47" i="145"/>
  <c r="R47" i="145"/>
  <c r="S47" i="145"/>
  <c r="T47" i="145"/>
  <c r="U47" i="145"/>
  <c r="W47" i="145"/>
  <c r="W12" i="145"/>
  <c r="F12" i="145"/>
  <c r="G12" i="145"/>
  <c r="H12" i="145"/>
  <c r="I12" i="145"/>
  <c r="J12" i="145"/>
  <c r="K12" i="145"/>
  <c r="L12" i="145"/>
  <c r="M12" i="145"/>
  <c r="N12" i="145"/>
  <c r="O12" i="145"/>
  <c r="P12" i="145"/>
  <c r="Q12" i="145"/>
  <c r="R12" i="145"/>
  <c r="S12" i="145"/>
  <c r="T12" i="145"/>
  <c r="U12" i="145"/>
  <c r="E12" i="145"/>
  <c r="C30" i="145"/>
  <c r="C21" i="145"/>
  <c r="C12" i="145"/>
  <c r="B8" i="145"/>
  <c r="D3" i="145"/>
  <c r="D2" i="145"/>
  <c r="E167" i="120"/>
  <c r="F167" i="120"/>
  <c r="G167" i="120"/>
  <c r="H167" i="120"/>
  <c r="I167" i="120"/>
  <c r="J167" i="120"/>
  <c r="K167" i="120"/>
  <c r="L167" i="120"/>
  <c r="M167" i="120"/>
  <c r="N167" i="120"/>
  <c r="O167" i="120"/>
  <c r="P167" i="120"/>
  <c r="Q167" i="120"/>
  <c r="R167" i="120"/>
  <c r="S167" i="120"/>
  <c r="T167" i="120"/>
  <c r="U167" i="120"/>
  <c r="W167" i="120"/>
  <c r="E168" i="120"/>
  <c r="F168" i="120"/>
  <c r="G168" i="120"/>
  <c r="H168" i="120"/>
  <c r="I168" i="120"/>
  <c r="J168" i="120"/>
  <c r="K168" i="120"/>
  <c r="L168" i="120"/>
  <c r="M168" i="120"/>
  <c r="N168" i="120"/>
  <c r="O168" i="120"/>
  <c r="P168" i="120"/>
  <c r="Q168" i="120"/>
  <c r="R168" i="120"/>
  <c r="S168" i="120"/>
  <c r="T168" i="120"/>
  <c r="U168" i="120"/>
  <c r="W168" i="120"/>
  <c r="E169" i="120"/>
  <c r="F169" i="120"/>
  <c r="G169" i="120"/>
  <c r="H169" i="120"/>
  <c r="I169" i="120"/>
  <c r="J169" i="120"/>
  <c r="K169" i="120"/>
  <c r="L169" i="120"/>
  <c r="M169" i="120"/>
  <c r="N169" i="120"/>
  <c r="O169" i="120"/>
  <c r="P169" i="120"/>
  <c r="Q169" i="120"/>
  <c r="R169" i="120"/>
  <c r="S169" i="120"/>
  <c r="T169" i="120"/>
  <c r="U169" i="120"/>
  <c r="W169" i="120"/>
  <c r="E170" i="120"/>
  <c r="F170" i="120"/>
  <c r="G170" i="120"/>
  <c r="H170" i="120"/>
  <c r="I170" i="120"/>
  <c r="J170" i="120"/>
  <c r="K170" i="120"/>
  <c r="L170" i="120"/>
  <c r="M170" i="120"/>
  <c r="N170" i="120"/>
  <c r="O170" i="120"/>
  <c r="P170" i="120"/>
  <c r="Q170" i="120"/>
  <c r="R170" i="120"/>
  <c r="S170" i="120"/>
  <c r="T170" i="120"/>
  <c r="U170" i="120"/>
  <c r="W170" i="120"/>
  <c r="E171" i="120"/>
  <c r="F171" i="120"/>
  <c r="G171" i="120"/>
  <c r="H171" i="120"/>
  <c r="I171" i="120"/>
  <c r="J171" i="120"/>
  <c r="K171" i="120"/>
  <c r="L171" i="120"/>
  <c r="M171" i="120"/>
  <c r="N171" i="120"/>
  <c r="O171" i="120"/>
  <c r="P171" i="120"/>
  <c r="Q171" i="120"/>
  <c r="R171" i="120"/>
  <c r="S171" i="120"/>
  <c r="T171" i="120"/>
  <c r="U171" i="120"/>
  <c r="W171" i="120"/>
  <c r="E172" i="120"/>
  <c r="F172" i="120"/>
  <c r="G172" i="120"/>
  <c r="H172" i="120"/>
  <c r="I172" i="120"/>
  <c r="J172" i="120"/>
  <c r="K172" i="120"/>
  <c r="L172" i="120"/>
  <c r="M172" i="120"/>
  <c r="N172" i="120"/>
  <c r="O172" i="120"/>
  <c r="P172" i="120"/>
  <c r="Q172" i="120"/>
  <c r="R172" i="120"/>
  <c r="S172" i="120"/>
  <c r="T172" i="120"/>
  <c r="U172" i="120"/>
  <c r="W172" i="120"/>
  <c r="E173" i="120"/>
  <c r="F173" i="120"/>
  <c r="G173" i="120"/>
  <c r="H173" i="120"/>
  <c r="I173" i="120"/>
  <c r="J173" i="120"/>
  <c r="K173" i="120"/>
  <c r="L173" i="120"/>
  <c r="M173" i="120"/>
  <c r="N173" i="120"/>
  <c r="O173" i="120"/>
  <c r="P173" i="120"/>
  <c r="Q173" i="120"/>
  <c r="R173" i="120"/>
  <c r="S173" i="120"/>
  <c r="T173" i="120"/>
  <c r="U173" i="120"/>
  <c r="W173" i="120"/>
  <c r="E174" i="120"/>
  <c r="F174" i="120"/>
  <c r="G174" i="120"/>
  <c r="H174" i="120"/>
  <c r="I174" i="120"/>
  <c r="J174" i="120"/>
  <c r="K174" i="120"/>
  <c r="L174" i="120"/>
  <c r="M174" i="120"/>
  <c r="N174" i="120"/>
  <c r="O174" i="120"/>
  <c r="P174" i="120"/>
  <c r="Q174" i="120"/>
  <c r="R174" i="120"/>
  <c r="S174" i="120"/>
  <c r="T174" i="120"/>
  <c r="U174" i="120"/>
  <c r="W174" i="120"/>
  <c r="W166" i="120"/>
  <c r="F166" i="120"/>
  <c r="G166" i="120"/>
  <c r="H166" i="120"/>
  <c r="I166" i="120"/>
  <c r="J166" i="120"/>
  <c r="K166" i="120"/>
  <c r="L166" i="120"/>
  <c r="M166" i="120"/>
  <c r="N166" i="120"/>
  <c r="O166" i="120"/>
  <c r="P166" i="120"/>
  <c r="Q166" i="120"/>
  <c r="R166" i="120"/>
  <c r="S166" i="120"/>
  <c r="T166" i="120"/>
  <c r="U166" i="120"/>
  <c r="E166" i="120"/>
  <c r="E153" i="120"/>
  <c r="F153" i="120"/>
  <c r="G153" i="120"/>
  <c r="H153" i="120"/>
  <c r="I153" i="120"/>
  <c r="J153" i="120"/>
  <c r="K153" i="120"/>
  <c r="L153" i="120"/>
  <c r="M153" i="120"/>
  <c r="N153" i="120"/>
  <c r="O153" i="120"/>
  <c r="P153" i="120"/>
  <c r="Q153" i="120"/>
  <c r="R153" i="120"/>
  <c r="S153" i="120"/>
  <c r="T153" i="120"/>
  <c r="U153" i="120"/>
  <c r="W153" i="120"/>
  <c r="E154" i="120"/>
  <c r="F154" i="120"/>
  <c r="G154" i="120"/>
  <c r="H154" i="120"/>
  <c r="I154" i="120"/>
  <c r="J154" i="120"/>
  <c r="K154" i="120"/>
  <c r="L154" i="120"/>
  <c r="M154" i="120"/>
  <c r="N154" i="120"/>
  <c r="O154" i="120"/>
  <c r="P154" i="120"/>
  <c r="Q154" i="120"/>
  <c r="R154" i="120"/>
  <c r="S154" i="120"/>
  <c r="T154" i="120"/>
  <c r="U154" i="120"/>
  <c r="W154" i="120"/>
  <c r="E155" i="120"/>
  <c r="F155" i="120"/>
  <c r="G155" i="120"/>
  <c r="H155" i="120"/>
  <c r="I155" i="120"/>
  <c r="J155" i="120"/>
  <c r="K155" i="120"/>
  <c r="L155" i="120"/>
  <c r="M155" i="120"/>
  <c r="N155" i="120"/>
  <c r="O155" i="120"/>
  <c r="P155" i="120"/>
  <c r="Q155" i="120"/>
  <c r="R155" i="120"/>
  <c r="S155" i="120"/>
  <c r="T155" i="120"/>
  <c r="U155" i="120"/>
  <c r="W155" i="120"/>
  <c r="E156" i="120"/>
  <c r="F156" i="120"/>
  <c r="G156" i="120"/>
  <c r="H156" i="120"/>
  <c r="I156" i="120"/>
  <c r="J156" i="120"/>
  <c r="K156" i="120"/>
  <c r="L156" i="120"/>
  <c r="M156" i="120"/>
  <c r="N156" i="120"/>
  <c r="O156" i="120"/>
  <c r="P156" i="120"/>
  <c r="Q156" i="120"/>
  <c r="R156" i="120"/>
  <c r="S156" i="120"/>
  <c r="T156" i="120"/>
  <c r="U156" i="120"/>
  <c r="W156" i="120"/>
  <c r="E157" i="120"/>
  <c r="F157" i="120"/>
  <c r="G157" i="120"/>
  <c r="H157" i="120"/>
  <c r="I157" i="120"/>
  <c r="J157" i="120"/>
  <c r="K157" i="120"/>
  <c r="L157" i="120"/>
  <c r="M157" i="120"/>
  <c r="N157" i="120"/>
  <c r="O157" i="120"/>
  <c r="P157" i="120"/>
  <c r="Q157" i="120"/>
  <c r="R157" i="120"/>
  <c r="S157" i="120"/>
  <c r="T157" i="120"/>
  <c r="U157" i="120"/>
  <c r="W157" i="120"/>
  <c r="E158" i="120"/>
  <c r="F158" i="120"/>
  <c r="G158" i="120"/>
  <c r="H158" i="120"/>
  <c r="I158" i="120"/>
  <c r="J158" i="120"/>
  <c r="K158" i="120"/>
  <c r="L158" i="120"/>
  <c r="M158" i="120"/>
  <c r="N158" i="120"/>
  <c r="O158" i="120"/>
  <c r="P158" i="120"/>
  <c r="Q158" i="120"/>
  <c r="R158" i="120"/>
  <c r="S158" i="120"/>
  <c r="T158" i="120"/>
  <c r="U158" i="120"/>
  <c r="W158" i="120"/>
  <c r="E159" i="120"/>
  <c r="F159" i="120"/>
  <c r="G159" i="120"/>
  <c r="H159" i="120"/>
  <c r="I159" i="120"/>
  <c r="J159" i="120"/>
  <c r="K159" i="120"/>
  <c r="L159" i="120"/>
  <c r="M159" i="120"/>
  <c r="N159" i="120"/>
  <c r="O159" i="120"/>
  <c r="P159" i="120"/>
  <c r="Q159" i="120"/>
  <c r="R159" i="120"/>
  <c r="S159" i="120"/>
  <c r="T159" i="120"/>
  <c r="U159" i="120"/>
  <c r="W159" i="120"/>
  <c r="E160" i="120"/>
  <c r="F160" i="120"/>
  <c r="G160" i="120"/>
  <c r="H160" i="120"/>
  <c r="I160" i="120"/>
  <c r="J160" i="120"/>
  <c r="K160" i="120"/>
  <c r="L160" i="120"/>
  <c r="M160" i="120"/>
  <c r="N160" i="120"/>
  <c r="O160" i="120"/>
  <c r="P160" i="120"/>
  <c r="Q160" i="120"/>
  <c r="R160" i="120"/>
  <c r="S160" i="120"/>
  <c r="T160" i="120"/>
  <c r="U160" i="120"/>
  <c r="W160" i="120"/>
  <c r="W152" i="120"/>
  <c r="X152" i="120" s="1"/>
  <c r="F152" i="120"/>
  <c r="G152" i="120"/>
  <c r="H152" i="120"/>
  <c r="I152" i="120"/>
  <c r="J152" i="120"/>
  <c r="K152" i="120"/>
  <c r="L152" i="120"/>
  <c r="M152" i="120"/>
  <c r="N152" i="120"/>
  <c r="O152" i="120"/>
  <c r="P152" i="120"/>
  <c r="Q152" i="120"/>
  <c r="R152" i="120"/>
  <c r="S152" i="120"/>
  <c r="T152" i="120"/>
  <c r="U152" i="120"/>
  <c r="E152" i="120"/>
  <c r="E139" i="120"/>
  <c r="F139" i="120"/>
  <c r="G139" i="120"/>
  <c r="H139" i="120"/>
  <c r="I139" i="120"/>
  <c r="J139" i="120"/>
  <c r="K139" i="120"/>
  <c r="L139" i="120"/>
  <c r="M139" i="120"/>
  <c r="N139" i="120"/>
  <c r="O139" i="120"/>
  <c r="P139" i="120"/>
  <c r="Q139" i="120"/>
  <c r="R139" i="120"/>
  <c r="S139" i="120"/>
  <c r="T139" i="120"/>
  <c r="U139" i="120"/>
  <c r="W139" i="120"/>
  <c r="E140" i="120"/>
  <c r="F140" i="120"/>
  <c r="G140" i="120"/>
  <c r="H140" i="120"/>
  <c r="I140" i="120"/>
  <c r="J140" i="120"/>
  <c r="K140" i="120"/>
  <c r="L140" i="120"/>
  <c r="M140" i="120"/>
  <c r="N140" i="120"/>
  <c r="O140" i="120"/>
  <c r="P140" i="120"/>
  <c r="Q140" i="120"/>
  <c r="R140" i="120"/>
  <c r="S140" i="120"/>
  <c r="T140" i="120"/>
  <c r="U140" i="120"/>
  <c r="W140" i="120"/>
  <c r="E141" i="120"/>
  <c r="F141" i="120"/>
  <c r="G141" i="120"/>
  <c r="H141" i="120"/>
  <c r="I141" i="120"/>
  <c r="J141" i="120"/>
  <c r="K141" i="120"/>
  <c r="L141" i="120"/>
  <c r="M141" i="120"/>
  <c r="N141" i="120"/>
  <c r="O141" i="120"/>
  <c r="P141" i="120"/>
  <c r="Q141" i="120"/>
  <c r="R141" i="120"/>
  <c r="S141" i="120"/>
  <c r="T141" i="120"/>
  <c r="U141" i="120"/>
  <c r="W141" i="120"/>
  <c r="E142" i="120"/>
  <c r="F142" i="120"/>
  <c r="G142" i="120"/>
  <c r="H142" i="120"/>
  <c r="I142" i="120"/>
  <c r="J142" i="120"/>
  <c r="K142" i="120"/>
  <c r="L142" i="120"/>
  <c r="M142" i="120"/>
  <c r="N142" i="120"/>
  <c r="O142" i="120"/>
  <c r="P142" i="120"/>
  <c r="Q142" i="120"/>
  <c r="R142" i="120"/>
  <c r="S142" i="120"/>
  <c r="T142" i="120"/>
  <c r="U142" i="120"/>
  <c r="W142" i="120"/>
  <c r="E143" i="120"/>
  <c r="F143" i="120"/>
  <c r="G143" i="120"/>
  <c r="H143" i="120"/>
  <c r="I143" i="120"/>
  <c r="J143" i="120"/>
  <c r="K143" i="120"/>
  <c r="L143" i="120"/>
  <c r="M143" i="120"/>
  <c r="N143" i="120"/>
  <c r="O143" i="120"/>
  <c r="P143" i="120"/>
  <c r="Q143" i="120"/>
  <c r="R143" i="120"/>
  <c r="S143" i="120"/>
  <c r="T143" i="120"/>
  <c r="U143" i="120"/>
  <c r="W143" i="120"/>
  <c r="E144" i="120"/>
  <c r="F144" i="120"/>
  <c r="G144" i="120"/>
  <c r="H144" i="120"/>
  <c r="I144" i="120"/>
  <c r="J144" i="120"/>
  <c r="K144" i="120"/>
  <c r="L144" i="120"/>
  <c r="M144" i="120"/>
  <c r="N144" i="120"/>
  <c r="O144" i="120"/>
  <c r="P144" i="120"/>
  <c r="Q144" i="120"/>
  <c r="R144" i="120"/>
  <c r="S144" i="120"/>
  <c r="T144" i="120"/>
  <c r="U144" i="120"/>
  <c r="W144" i="120"/>
  <c r="E145" i="120"/>
  <c r="F145" i="120"/>
  <c r="G145" i="120"/>
  <c r="H145" i="120"/>
  <c r="I145" i="120"/>
  <c r="J145" i="120"/>
  <c r="K145" i="120"/>
  <c r="L145" i="120"/>
  <c r="M145" i="120"/>
  <c r="N145" i="120"/>
  <c r="O145" i="120"/>
  <c r="P145" i="120"/>
  <c r="Q145" i="120"/>
  <c r="R145" i="120"/>
  <c r="S145" i="120"/>
  <c r="T145" i="120"/>
  <c r="U145" i="120"/>
  <c r="W145" i="120"/>
  <c r="E146" i="120"/>
  <c r="F146" i="120"/>
  <c r="G146" i="120"/>
  <c r="H146" i="120"/>
  <c r="I146" i="120"/>
  <c r="J146" i="120"/>
  <c r="K146" i="120"/>
  <c r="L146" i="120"/>
  <c r="M146" i="120"/>
  <c r="N146" i="120"/>
  <c r="O146" i="120"/>
  <c r="P146" i="120"/>
  <c r="Q146" i="120"/>
  <c r="R146" i="120"/>
  <c r="S146" i="120"/>
  <c r="T146" i="120"/>
  <c r="U146" i="120"/>
  <c r="W146" i="120"/>
  <c r="W138" i="120"/>
  <c r="X138" i="120" s="1"/>
  <c r="F138" i="120"/>
  <c r="G138" i="120"/>
  <c r="H138" i="120"/>
  <c r="I138" i="120"/>
  <c r="J138" i="120"/>
  <c r="K138" i="120"/>
  <c r="L138" i="120"/>
  <c r="M138" i="120"/>
  <c r="N138" i="120"/>
  <c r="O138" i="120"/>
  <c r="P138" i="120"/>
  <c r="Q138" i="120"/>
  <c r="R138" i="120"/>
  <c r="S138" i="120"/>
  <c r="T138" i="120"/>
  <c r="U138" i="120"/>
  <c r="E138" i="120"/>
  <c r="E125" i="120"/>
  <c r="F125" i="120"/>
  <c r="G125" i="120"/>
  <c r="H125" i="120"/>
  <c r="I125" i="120"/>
  <c r="J125" i="120"/>
  <c r="K125" i="120"/>
  <c r="L125" i="120"/>
  <c r="M125" i="120"/>
  <c r="N125" i="120"/>
  <c r="O125" i="120"/>
  <c r="P125" i="120"/>
  <c r="Q125" i="120"/>
  <c r="R125" i="120"/>
  <c r="S125" i="120"/>
  <c r="T125" i="120"/>
  <c r="U125" i="120"/>
  <c r="W125" i="120"/>
  <c r="E126" i="120"/>
  <c r="F126" i="120"/>
  <c r="G126" i="120"/>
  <c r="H126" i="120"/>
  <c r="I126" i="120"/>
  <c r="J126" i="120"/>
  <c r="K126" i="120"/>
  <c r="L126" i="120"/>
  <c r="M126" i="120"/>
  <c r="N126" i="120"/>
  <c r="O126" i="120"/>
  <c r="P126" i="120"/>
  <c r="Q126" i="120"/>
  <c r="R126" i="120"/>
  <c r="S126" i="120"/>
  <c r="T126" i="120"/>
  <c r="U126" i="120"/>
  <c r="W126" i="120"/>
  <c r="E127" i="120"/>
  <c r="F127" i="120"/>
  <c r="G127" i="120"/>
  <c r="H127" i="120"/>
  <c r="I127" i="120"/>
  <c r="J127" i="120"/>
  <c r="K127" i="120"/>
  <c r="L127" i="120"/>
  <c r="M127" i="120"/>
  <c r="N127" i="120"/>
  <c r="O127" i="120"/>
  <c r="P127" i="120"/>
  <c r="Q127" i="120"/>
  <c r="R127" i="120"/>
  <c r="S127" i="120"/>
  <c r="T127" i="120"/>
  <c r="U127" i="120"/>
  <c r="W127" i="120"/>
  <c r="E128" i="120"/>
  <c r="F128" i="120"/>
  <c r="G128" i="120"/>
  <c r="H128" i="120"/>
  <c r="I128" i="120"/>
  <c r="J128" i="120"/>
  <c r="K128" i="120"/>
  <c r="L128" i="120"/>
  <c r="M128" i="120"/>
  <c r="N128" i="120"/>
  <c r="O128" i="120"/>
  <c r="P128" i="120"/>
  <c r="Q128" i="120"/>
  <c r="R128" i="120"/>
  <c r="S128" i="120"/>
  <c r="T128" i="120"/>
  <c r="U128" i="120"/>
  <c r="W128" i="120"/>
  <c r="E129" i="120"/>
  <c r="F129" i="120"/>
  <c r="G129" i="120"/>
  <c r="H129" i="120"/>
  <c r="I129" i="120"/>
  <c r="J129" i="120"/>
  <c r="K129" i="120"/>
  <c r="L129" i="120"/>
  <c r="M129" i="120"/>
  <c r="N129" i="120"/>
  <c r="O129" i="120"/>
  <c r="P129" i="120"/>
  <c r="Q129" i="120"/>
  <c r="R129" i="120"/>
  <c r="S129" i="120"/>
  <c r="T129" i="120"/>
  <c r="U129" i="120"/>
  <c r="W129" i="120"/>
  <c r="E130" i="120"/>
  <c r="F130" i="120"/>
  <c r="G130" i="120"/>
  <c r="H130" i="120"/>
  <c r="I130" i="120"/>
  <c r="J130" i="120"/>
  <c r="K130" i="120"/>
  <c r="L130" i="120"/>
  <c r="M130" i="120"/>
  <c r="N130" i="120"/>
  <c r="O130" i="120"/>
  <c r="P130" i="120"/>
  <c r="Q130" i="120"/>
  <c r="R130" i="120"/>
  <c r="S130" i="120"/>
  <c r="T130" i="120"/>
  <c r="U130" i="120"/>
  <c r="W130" i="120"/>
  <c r="E131" i="120"/>
  <c r="F131" i="120"/>
  <c r="G131" i="120"/>
  <c r="H131" i="120"/>
  <c r="I131" i="120"/>
  <c r="J131" i="120"/>
  <c r="K131" i="120"/>
  <c r="L131" i="120"/>
  <c r="M131" i="120"/>
  <c r="N131" i="120"/>
  <c r="O131" i="120"/>
  <c r="P131" i="120"/>
  <c r="Q131" i="120"/>
  <c r="R131" i="120"/>
  <c r="S131" i="120"/>
  <c r="T131" i="120"/>
  <c r="U131" i="120"/>
  <c r="W131" i="120"/>
  <c r="E132" i="120"/>
  <c r="F132" i="120"/>
  <c r="G132" i="120"/>
  <c r="H132" i="120"/>
  <c r="I132" i="120"/>
  <c r="J132" i="120"/>
  <c r="K132" i="120"/>
  <c r="L132" i="120"/>
  <c r="M132" i="120"/>
  <c r="N132" i="120"/>
  <c r="O132" i="120"/>
  <c r="P132" i="120"/>
  <c r="Q132" i="120"/>
  <c r="R132" i="120"/>
  <c r="S132" i="120"/>
  <c r="T132" i="120"/>
  <c r="U132" i="120"/>
  <c r="W132" i="120"/>
  <c r="W124" i="120"/>
  <c r="X124" i="120" s="1"/>
  <c r="F124" i="120"/>
  <c r="G124" i="120"/>
  <c r="H124" i="120"/>
  <c r="I124" i="120"/>
  <c r="J124" i="120"/>
  <c r="K124" i="120"/>
  <c r="L124" i="120"/>
  <c r="M124" i="120"/>
  <c r="N124" i="120"/>
  <c r="O124" i="120"/>
  <c r="P124" i="120"/>
  <c r="Q124" i="120"/>
  <c r="R124" i="120"/>
  <c r="S124" i="120"/>
  <c r="T124" i="120"/>
  <c r="U124" i="120"/>
  <c r="E124" i="120"/>
  <c r="E111" i="120"/>
  <c r="F111" i="120"/>
  <c r="G111" i="120"/>
  <c r="H111" i="120"/>
  <c r="I111" i="120"/>
  <c r="J111" i="120"/>
  <c r="K111" i="120"/>
  <c r="L111" i="120"/>
  <c r="M111" i="120"/>
  <c r="N111" i="120"/>
  <c r="O111" i="120"/>
  <c r="P111" i="120"/>
  <c r="Q111" i="120"/>
  <c r="R111" i="120"/>
  <c r="S111" i="120"/>
  <c r="T111" i="120"/>
  <c r="U111" i="120"/>
  <c r="W111" i="120"/>
  <c r="E112" i="120"/>
  <c r="F112" i="120"/>
  <c r="G112" i="120"/>
  <c r="H112" i="120"/>
  <c r="I112" i="120"/>
  <c r="J112" i="120"/>
  <c r="K112" i="120"/>
  <c r="L112" i="120"/>
  <c r="M112" i="120"/>
  <c r="N112" i="120"/>
  <c r="O112" i="120"/>
  <c r="P112" i="120"/>
  <c r="Q112" i="120"/>
  <c r="R112" i="120"/>
  <c r="S112" i="120"/>
  <c r="T112" i="120"/>
  <c r="U112" i="120"/>
  <c r="W112" i="120"/>
  <c r="E113" i="120"/>
  <c r="F113" i="120"/>
  <c r="G113" i="120"/>
  <c r="H113" i="120"/>
  <c r="I113" i="120"/>
  <c r="J113" i="120"/>
  <c r="K113" i="120"/>
  <c r="L113" i="120"/>
  <c r="M113" i="120"/>
  <c r="N113" i="120"/>
  <c r="O113" i="120"/>
  <c r="P113" i="120"/>
  <c r="Q113" i="120"/>
  <c r="R113" i="120"/>
  <c r="S113" i="120"/>
  <c r="T113" i="120"/>
  <c r="U113" i="120"/>
  <c r="W113" i="120"/>
  <c r="E114" i="120"/>
  <c r="F114" i="120"/>
  <c r="G114" i="120"/>
  <c r="H114" i="120"/>
  <c r="I114" i="120"/>
  <c r="J114" i="120"/>
  <c r="K114" i="120"/>
  <c r="L114" i="120"/>
  <c r="M114" i="120"/>
  <c r="N114" i="120"/>
  <c r="O114" i="120"/>
  <c r="P114" i="120"/>
  <c r="Q114" i="120"/>
  <c r="R114" i="120"/>
  <c r="S114" i="120"/>
  <c r="T114" i="120"/>
  <c r="U114" i="120"/>
  <c r="W114" i="120"/>
  <c r="E115" i="120"/>
  <c r="F115" i="120"/>
  <c r="G115" i="120"/>
  <c r="H115" i="120"/>
  <c r="I115" i="120"/>
  <c r="J115" i="120"/>
  <c r="K115" i="120"/>
  <c r="L115" i="120"/>
  <c r="M115" i="120"/>
  <c r="N115" i="120"/>
  <c r="O115" i="120"/>
  <c r="P115" i="120"/>
  <c r="Q115" i="120"/>
  <c r="R115" i="120"/>
  <c r="S115" i="120"/>
  <c r="T115" i="120"/>
  <c r="U115" i="120"/>
  <c r="W115" i="120"/>
  <c r="E116" i="120"/>
  <c r="F116" i="120"/>
  <c r="G116" i="120"/>
  <c r="H116" i="120"/>
  <c r="I116" i="120"/>
  <c r="J116" i="120"/>
  <c r="K116" i="120"/>
  <c r="L116" i="120"/>
  <c r="M116" i="120"/>
  <c r="N116" i="120"/>
  <c r="O116" i="120"/>
  <c r="P116" i="120"/>
  <c r="Q116" i="120"/>
  <c r="R116" i="120"/>
  <c r="S116" i="120"/>
  <c r="T116" i="120"/>
  <c r="U116" i="120"/>
  <c r="W116" i="120"/>
  <c r="E117" i="120"/>
  <c r="F117" i="120"/>
  <c r="G117" i="120"/>
  <c r="H117" i="120"/>
  <c r="I117" i="120"/>
  <c r="J117" i="120"/>
  <c r="K117" i="120"/>
  <c r="L117" i="120"/>
  <c r="M117" i="120"/>
  <c r="N117" i="120"/>
  <c r="O117" i="120"/>
  <c r="P117" i="120"/>
  <c r="Q117" i="120"/>
  <c r="R117" i="120"/>
  <c r="S117" i="120"/>
  <c r="T117" i="120"/>
  <c r="U117" i="120"/>
  <c r="W117" i="120"/>
  <c r="E118" i="120"/>
  <c r="F118" i="120"/>
  <c r="G118" i="120"/>
  <c r="H118" i="120"/>
  <c r="I118" i="120"/>
  <c r="J118" i="120"/>
  <c r="K118" i="120"/>
  <c r="L118" i="120"/>
  <c r="M118" i="120"/>
  <c r="N118" i="120"/>
  <c r="O118" i="120"/>
  <c r="P118" i="120"/>
  <c r="Q118" i="120"/>
  <c r="R118" i="120"/>
  <c r="S118" i="120"/>
  <c r="T118" i="120"/>
  <c r="U118" i="120"/>
  <c r="W118" i="120"/>
  <c r="W110" i="120"/>
  <c r="X110" i="120" s="1"/>
  <c r="F110" i="120"/>
  <c r="G110" i="120"/>
  <c r="H110" i="120"/>
  <c r="I110" i="120"/>
  <c r="J110" i="120"/>
  <c r="K110" i="120"/>
  <c r="L110" i="120"/>
  <c r="M110" i="120"/>
  <c r="N110" i="120"/>
  <c r="O110" i="120"/>
  <c r="P110" i="120"/>
  <c r="Q110" i="120"/>
  <c r="R110" i="120"/>
  <c r="S110" i="120"/>
  <c r="T110" i="120"/>
  <c r="U110" i="120"/>
  <c r="E110" i="120"/>
  <c r="E97" i="120"/>
  <c r="F97" i="120"/>
  <c r="G97" i="120"/>
  <c r="H97" i="120"/>
  <c r="I97" i="120"/>
  <c r="J97" i="120"/>
  <c r="K97" i="120"/>
  <c r="L97" i="120"/>
  <c r="M97" i="120"/>
  <c r="N97" i="120"/>
  <c r="O97" i="120"/>
  <c r="P97" i="120"/>
  <c r="Q97" i="120"/>
  <c r="R97" i="120"/>
  <c r="S97" i="120"/>
  <c r="T97" i="120"/>
  <c r="U97" i="120"/>
  <c r="W97" i="120"/>
  <c r="E98" i="120"/>
  <c r="F98" i="120"/>
  <c r="G98" i="120"/>
  <c r="H98" i="120"/>
  <c r="I98" i="120"/>
  <c r="J98" i="120"/>
  <c r="K98" i="120"/>
  <c r="L98" i="120"/>
  <c r="M98" i="120"/>
  <c r="N98" i="120"/>
  <c r="O98" i="120"/>
  <c r="P98" i="120"/>
  <c r="Q98" i="120"/>
  <c r="R98" i="120"/>
  <c r="S98" i="120"/>
  <c r="T98" i="120"/>
  <c r="U98" i="120"/>
  <c r="W98" i="120"/>
  <c r="E99" i="120"/>
  <c r="F99" i="120"/>
  <c r="G99" i="120"/>
  <c r="H99" i="120"/>
  <c r="I99" i="120"/>
  <c r="J99" i="120"/>
  <c r="K99" i="120"/>
  <c r="L99" i="120"/>
  <c r="M99" i="120"/>
  <c r="N99" i="120"/>
  <c r="O99" i="120"/>
  <c r="P99" i="120"/>
  <c r="Q99" i="120"/>
  <c r="R99" i="120"/>
  <c r="S99" i="120"/>
  <c r="T99" i="120"/>
  <c r="U99" i="120"/>
  <c r="W99" i="120"/>
  <c r="E100" i="120"/>
  <c r="F100" i="120"/>
  <c r="G100" i="120"/>
  <c r="H100" i="120"/>
  <c r="I100" i="120"/>
  <c r="J100" i="120"/>
  <c r="K100" i="120"/>
  <c r="L100" i="120"/>
  <c r="M100" i="120"/>
  <c r="N100" i="120"/>
  <c r="O100" i="120"/>
  <c r="P100" i="120"/>
  <c r="Q100" i="120"/>
  <c r="R100" i="120"/>
  <c r="S100" i="120"/>
  <c r="T100" i="120"/>
  <c r="U100" i="120"/>
  <c r="W100" i="120"/>
  <c r="E101" i="120"/>
  <c r="F101" i="120"/>
  <c r="G101" i="120"/>
  <c r="H101" i="120"/>
  <c r="I101" i="120"/>
  <c r="J101" i="120"/>
  <c r="K101" i="120"/>
  <c r="L101" i="120"/>
  <c r="M101" i="120"/>
  <c r="N101" i="120"/>
  <c r="O101" i="120"/>
  <c r="P101" i="120"/>
  <c r="Q101" i="120"/>
  <c r="R101" i="120"/>
  <c r="S101" i="120"/>
  <c r="T101" i="120"/>
  <c r="U101" i="120"/>
  <c r="W101" i="120"/>
  <c r="E102" i="120"/>
  <c r="F102" i="120"/>
  <c r="G102" i="120"/>
  <c r="H102" i="120"/>
  <c r="I102" i="120"/>
  <c r="J102" i="120"/>
  <c r="K102" i="120"/>
  <c r="L102" i="120"/>
  <c r="M102" i="120"/>
  <c r="N102" i="120"/>
  <c r="O102" i="120"/>
  <c r="P102" i="120"/>
  <c r="Q102" i="120"/>
  <c r="R102" i="120"/>
  <c r="S102" i="120"/>
  <c r="T102" i="120"/>
  <c r="U102" i="120"/>
  <c r="W102" i="120"/>
  <c r="E103" i="120"/>
  <c r="F103" i="120"/>
  <c r="G103" i="120"/>
  <c r="H103" i="120"/>
  <c r="I103" i="120"/>
  <c r="J103" i="120"/>
  <c r="K103" i="120"/>
  <c r="L103" i="120"/>
  <c r="M103" i="120"/>
  <c r="N103" i="120"/>
  <c r="O103" i="120"/>
  <c r="P103" i="120"/>
  <c r="Q103" i="120"/>
  <c r="R103" i="120"/>
  <c r="S103" i="120"/>
  <c r="T103" i="120"/>
  <c r="U103" i="120"/>
  <c r="W103" i="120"/>
  <c r="E104" i="120"/>
  <c r="F104" i="120"/>
  <c r="G104" i="120"/>
  <c r="H104" i="120"/>
  <c r="I104" i="120"/>
  <c r="J104" i="120"/>
  <c r="K104" i="120"/>
  <c r="L104" i="120"/>
  <c r="M104" i="120"/>
  <c r="N104" i="120"/>
  <c r="O104" i="120"/>
  <c r="P104" i="120"/>
  <c r="Q104" i="120"/>
  <c r="R104" i="120"/>
  <c r="S104" i="120"/>
  <c r="T104" i="120"/>
  <c r="U104" i="120"/>
  <c r="W104" i="120"/>
  <c r="W96" i="120"/>
  <c r="X96" i="120" s="1"/>
  <c r="F96" i="120"/>
  <c r="G96" i="120"/>
  <c r="H96" i="120"/>
  <c r="I96" i="120"/>
  <c r="J96" i="120"/>
  <c r="K96" i="120"/>
  <c r="L96" i="120"/>
  <c r="M96" i="120"/>
  <c r="N96" i="120"/>
  <c r="O96" i="120"/>
  <c r="P96" i="120"/>
  <c r="Q96" i="120"/>
  <c r="R96" i="120"/>
  <c r="S96" i="120"/>
  <c r="T96" i="120"/>
  <c r="U96" i="120"/>
  <c r="E96" i="120"/>
  <c r="E83" i="120"/>
  <c r="F83" i="120"/>
  <c r="G83" i="120"/>
  <c r="H83" i="120"/>
  <c r="I83" i="120"/>
  <c r="J83" i="120"/>
  <c r="K83" i="120"/>
  <c r="L83" i="120"/>
  <c r="M83" i="120"/>
  <c r="N83" i="120"/>
  <c r="O83" i="120"/>
  <c r="P83" i="120"/>
  <c r="Q83" i="120"/>
  <c r="R83" i="120"/>
  <c r="S83" i="120"/>
  <c r="T83" i="120"/>
  <c r="U83" i="120"/>
  <c r="W83" i="120"/>
  <c r="E84" i="120"/>
  <c r="F84" i="120"/>
  <c r="G84" i="120"/>
  <c r="H84" i="120"/>
  <c r="I84" i="120"/>
  <c r="J84" i="120"/>
  <c r="K84" i="120"/>
  <c r="L84" i="120"/>
  <c r="M84" i="120"/>
  <c r="N84" i="120"/>
  <c r="O84" i="120"/>
  <c r="P84" i="120"/>
  <c r="Q84" i="120"/>
  <c r="R84" i="120"/>
  <c r="S84" i="120"/>
  <c r="T84" i="120"/>
  <c r="U84" i="120"/>
  <c r="W84" i="120"/>
  <c r="E85" i="120"/>
  <c r="F85" i="120"/>
  <c r="G85" i="120"/>
  <c r="H85" i="120"/>
  <c r="I85" i="120"/>
  <c r="J85" i="120"/>
  <c r="K85" i="120"/>
  <c r="L85" i="120"/>
  <c r="M85" i="120"/>
  <c r="N85" i="120"/>
  <c r="O85" i="120"/>
  <c r="P85" i="120"/>
  <c r="Q85" i="120"/>
  <c r="R85" i="120"/>
  <c r="S85" i="120"/>
  <c r="T85" i="120"/>
  <c r="U85" i="120"/>
  <c r="W85" i="120"/>
  <c r="E86" i="120"/>
  <c r="F86" i="120"/>
  <c r="G86" i="120"/>
  <c r="H86" i="120"/>
  <c r="I86" i="120"/>
  <c r="J86" i="120"/>
  <c r="K86" i="120"/>
  <c r="L86" i="120"/>
  <c r="M86" i="120"/>
  <c r="N86" i="120"/>
  <c r="O86" i="120"/>
  <c r="P86" i="120"/>
  <c r="Q86" i="120"/>
  <c r="R86" i="120"/>
  <c r="S86" i="120"/>
  <c r="T86" i="120"/>
  <c r="U86" i="120"/>
  <c r="W86" i="120"/>
  <c r="E87" i="120"/>
  <c r="F87" i="120"/>
  <c r="G87" i="120"/>
  <c r="H87" i="120"/>
  <c r="I87" i="120"/>
  <c r="J87" i="120"/>
  <c r="K87" i="120"/>
  <c r="L87" i="120"/>
  <c r="M87" i="120"/>
  <c r="N87" i="120"/>
  <c r="O87" i="120"/>
  <c r="P87" i="120"/>
  <c r="Q87" i="120"/>
  <c r="R87" i="120"/>
  <c r="S87" i="120"/>
  <c r="T87" i="120"/>
  <c r="U87" i="120"/>
  <c r="W87" i="120"/>
  <c r="E88" i="120"/>
  <c r="F88" i="120"/>
  <c r="G88" i="120"/>
  <c r="H88" i="120"/>
  <c r="I88" i="120"/>
  <c r="J88" i="120"/>
  <c r="K88" i="120"/>
  <c r="L88" i="120"/>
  <c r="M88" i="120"/>
  <c r="N88" i="120"/>
  <c r="O88" i="120"/>
  <c r="P88" i="120"/>
  <c r="Q88" i="120"/>
  <c r="R88" i="120"/>
  <c r="S88" i="120"/>
  <c r="T88" i="120"/>
  <c r="U88" i="120"/>
  <c r="W88" i="120"/>
  <c r="E89" i="120"/>
  <c r="F89" i="120"/>
  <c r="G89" i="120"/>
  <c r="H89" i="120"/>
  <c r="I89" i="120"/>
  <c r="J89" i="120"/>
  <c r="K89" i="120"/>
  <c r="L89" i="120"/>
  <c r="M89" i="120"/>
  <c r="N89" i="120"/>
  <c r="O89" i="120"/>
  <c r="P89" i="120"/>
  <c r="Q89" i="120"/>
  <c r="R89" i="120"/>
  <c r="S89" i="120"/>
  <c r="T89" i="120"/>
  <c r="U89" i="120"/>
  <c r="W89" i="120"/>
  <c r="E90" i="120"/>
  <c r="F90" i="120"/>
  <c r="G90" i="120"/>
  <c r="H90" i="120"/>
  <c r="I90" i="120"/>
  <c r="J90" i="120"/>
  <c r="K90" i="120"/>
  <c r="L90" i="120"/>
  <c r="M90" i="120"/>
  <c r="N90" i="120"/>
  <c r="O90" i="120"/>
  <c r="P90" i="120"/>
  <c r="Q90" i="120"/>
  <c r="R90" i="120"/>
  <c r="S90" i="120"/>
  <c r="T90" i="120"/>
  <c r="U90" i="120"/>
  <c r="W90" i="120"/>
  <c r="E91" i="120"/>
  <c r="F91" i="120"/>
  <c r="G91" i="120"/>
  <c r="H91" i="120"/>
  <c r="I91" i="120"/>
  <c r="W91" i="120"/>
  <c r="E92" i="120"/>
  <c r="F92" i="120"/>
  <c r="G92" i="120"/>
  <c r="H92" i="120"/>
  <c r="I92" i="120"/>
  <c r="W92" i="120"/>
  <c r="W93" i="120"/>
  <c r="W94" i="120"/>
  <c r="W95" i="120"/>
  <c r="W82" i="120"/>
  <c r="X82" i="120" s="1"/>
  <c r="F82" i="120"/>
  <c r="G82" i="120"/>
  <c r="H82" i="120"/>
  <c r="I82" i="120"/>
  <c r="J82" i="120"/>
  <c r="K82" i="120"/>
  <c r="L82" i="120"/>
  <c r="M82" i="120"/>
  <c r="N82" i="120"/>
  <c r="O82" i="120"/>
  <c r="P82" i="120"/>
  <c r="Q82" i="120"/>
  <c r="R82" i="120"/>
  <c r="S82" i="120"/>
  <c r="T82" i="120"/>
  <c r="U82" i="120"/>
  <c r="E82" i="120"/>
  <c r="E69" i="120"/>
  <c r="F69" i="120"/>
  <c r="G69" i="120"/>
  <c r="H69" i="120"/>
  <c r="I69" i="120"/>
  <c r="J69" i="120"/>
  <c r="K69" i="120"/>
  <c r="L69" i="120"/>
  <c r="M69" i="120"/>
  <c r="N69" i="120"/>
  <c r="O69" i="120"/>
  <c r="P69" i="120"/>
  <c r="Q69" i="120"/>
  <c r="R69" i="120"/>
  <c r="S69" i="120"/>
  <c r="T69" i="120"/>
  <c r="U69" i="120"/>
  <c r="W69" i="120"/>
  <c r="E70" i="120"/>
  <c r="F70" i="120"/>
  <c r="G70" i="120"/>
  <c r="H70" i="120"/>
  <c r="I70" i="120"/>
  <c r="J70" i="120"/>
  <c r="K70" i="120"/>
  <c r="L70" i="120"/>
  <c r="M70" i="120"/>
  <c r="N70" i="120"/>
  <c r="O70" i="120"/>
  <c r="P70" i="120"/>
  <c r="Q70" i="120"/>
  <c r="R70" i="120"/>
  <c r="S70" i="120"/>
  <c r="T70" i="120"/>
  <c r="U70" i="120"/>
  <c r="W70" i="120"/>
  <c r="E71" i="120"/>
  <c r="F71" i="120"/>
  <c r="G71" i="120"/>
  <c r="H71" i="120"/>
  <c r="I71" i="120"/>
  <c r="J71" i="120"/>
  <c r="K71" i="120"/>
  <c r="L71" i="120"/>
  <c r="M71" i="120"/>
  <c r="N71" i="120"/>
  <c r="O71" i="120"/>
  <c r="P71" i="120"/>
  <c r="Q71" i="120"/>
  <c r="R71" i="120"/>
  <c r="S71" i="120"/>
  <c r="T71" i="120"/>
  <c r="U71" i="120"/>
  <c r="W71" i="120"/>
  <c r="E72" i="120"/>
  <c r="F72" i="120"/>
  <c r="G72" i="120"/>
  <c r="H72" i="120"/>
  <c r="I72" i="120"/>
  <c r="J72" i="120"/>
  <c r="K72" i="120"/>
  <c r="L72" i="120"/>
  <c r="M72" i="120"/>
  <c r="N72" i="120"/>
  <c r="O72" i="120"/>
  <c r="P72" i="120"/>
  <c r="Q72" i="120"/>
  <c r="R72" i="120"/>
  <c r="S72" i="120"/>
  <c r="T72" i="120"/>
  <c r="U72" i="120"/>
  <c r="W72" i="120"/>
  <c r="E73" i="120"/>
  <c r="F73" i="120"/>
  <c r="G73" i="120"/>
  <c r="H73" i="120"/>
  <c r="I73" i="120"/>
  <c r="J73" i="120"/>
  <c r="K73" i="120"/>
  <c r="L73" i="120"/>
  <c r="M73" i="120"/>
  <c r="N73" i="120"/>
  <c r="O73" i="120"/>
  <c r="P73" i="120"/>
  <c r="Q73" i="120"/>
  <c r="R73" i="120"/>
  <c r="S73" i="120"/>
  <c r="T73" i="120"/>
  <c r="U73" i="120"/>
  <c r="W73" i="120"/>
  <c r="E74" i="120"/>
  <c r="F74" i="120"/>
  <c r="G74" i="120"/>
  <c r="H74" i="120"/>
  <c r="I74" i="120"/>
  <c r="J74" i="120"/>
  <c r="K74" i="120"/>
  <c r="L74" i="120"/>
  <c r="M74" i="120"/>
  <c r="N74" i="120"/>
  <c r="O74" i="120"/>
  <c r="P74" i="120"/>
  <c r="Q74" i="120"/>
  <c r="R74" i="120"/>
  <c r="S74" i="120"/>
  <c r="T74" i="120"/>
  <c r="U74" i="120"/>
  <c r="W74" i="120"/>
  <c r="E75" i="120"/>
  <c r="F75" i="120"/>
  <c r="G75" i="120"/>
  <c r="H75" i="120"/>
  <c r="I75" i="120"/>
  <c r="J75" i="120"/>
  <c r="K75" i="120"/>
  <c r="L75" i="120"/>
  <c r="M75" i="120"/>
  <c r="N75" i="120"/>
  <c r="O75" i="120"/>
  <c r="P75" i="120"/>
  <c r="Q75" i="120"/>
  <c r="R75" i="120"/>
  <c r="S75" i="120"/>
  <c r="T75" i="120"/>
  <c r="U75" i="120"/>
  <c r="W75" i="120"/>
  <c r="E76" i="120"/>
  <c r="F76" i="120"/>
  <c r="G76" i="120"/>
  <c r="H76" i="120"/>
  <c r="I76" i="120"/>
  <c r="J76" i="120"/>
  <c r="K76" i="120"/>
  <c r="L76" i="120"/>
  <c r="M76" i="120"/>
  <c r="N76" i="120"/>
  <c r="O76" i="120"/>
  <c r="P76" i="120"/>
  <c r="Q76" i="120"/>
  <c r="R76" i="120"/>
  <c r="S76" i="120"/>
  <c r="T76" i="120"/>
  <c r="U76" i="120"/>
  <c r="W76" i="120"/>
  <c r="W68" i="120"/>
  <c r="F68" i="120"/>
  <c r="G68" i="120"/>
  <c r="H68" i="120"/>
  <c r="I68" i="120"/>
  <c r="J68" i="120"/>
  <c r="K68" i="120"/>
  <c r="L68" i="120"/>
  <c r="M68" i="120"/>
  <c r="N68" i="120"/>
  <c r="O68" i="120"/>
  <c r="P68" i="120"/>
  <c r="Q68" i="120"/>
  <c r="R68" i="120"/>
  <c r="S68" i="120"/>
  <c r="T68" i="120"/>
  <c r="U68" i="120"/>
  <c r="E68" i="120"/>
  <c r="E55" i="120"/>
  <c r="F55" i="120"/>
  <c r="G55" i="120"/>
  <c r="H55" i="120"/>
  <c r="I55" i="120"/>
  <c r="J55" i="120"/>
  <c r="K55" i="120"/>
  <c r="L55" i="120"/>
  <c r="M55" i="120"/>
  <c r="N55" i="120"/>
  <c r="O55" i="120"/>
  <c r="P55" i="120"/>
  <c r="Q55" i="120"/>
  <c r="R55" i="120"/>
  <c r="S55" i="120"/>
  <c r="T55" i="120"/>
  <c r="U55" i="120"/>
  <c r="W55" i="120"/>
  <c r="E56" i="120"/>
  <c r="F56" i="120"/>
  <c r="G56" i="120"/>
  <c r="H56" i="120"/>
  <c r="I56" i="120"/>
  <c r="J56" i="120"/>
  <c r="K56" i="120"/>
  <c r="L56" i="120"/>
  <c r="M56" i="120"/>
  <c r="N56" i="120"/>
  <c r="O56" i="120"/>
  <c r="P56" i="120"/>
  <c r="Q56" i="120"/>
  <c r="R56" i="120"/>
  <c r="S56" i="120"/>
  <c r="T56" i="120"/>
  <c r="U56" i="120"/>
  <c r="W56" i="120"/>
  <c r="E57" i="120"/>
  <c r="F57" i="120"/>
  <c r="G57" i="120"/>
  <c r="H57" i="120"/>
  <c r="I57" i="120"/>
  <c r="J57" i="120"/>
  <c r="K57" i="120"/>
  <c r="L57" i="120"/>
  <c r="M57" i="120"/>
  <c r="N57" i="120"/>
  <c r="O57" i="120"/>
  <c r="P57" i="120"/>
  <c r="Q57" i="120"/>
  <c r="R57" i="120"/>
  <c r="S57" i="120"/>
  <c r="T57" i="120"/>
  <c r="U57" i="120"/>
  <c r="W57" i="120"/>
  <c r="E58" i="120"/>
  <c r="F58" i="120"/>
  <c r="G58" i="120"/>
  <c r="H58" i="120"/>
  <c r="I58" i="120"/>
  <c r="J58" i="120"/>
  <c r="K58" i="120"/>
  <c r="L58" i="120"/>
  <c r="M58" i="120"/>
  <c r="N58" i="120"/>
  <c r="O58" i="120"/>
  <c r="P58" i="120"/>
  <c r="Q58" i="120"/>
  <c r="R58" i="120"/>
  <c r="S58" i="120"/>
  <c r="T58" i="120"/>
  <c r="U58" i="120"/>
  <c r="W58" i="120"/>
  <c r="E59" i="120"/>
  <c r="F59" i="120"/>
  <c r="G59" i="120"/>
  <c r="H59" i="120"/>
  <c r="I59" i="120"/>
  <c r="J59" i="120"/>
  <c r="K59" i="120"/>
  <c r="L59" i="120"/>
  <c r="M59" i="120"/>
  <c r="N59" i="120"/>
  <c r="O59" i="120"/>
  <c r="P59" i="120"/>
  <c r="Q59" i="120"/>
  <c r="R59" i="120"/>
  <c r="S59" i="120"/>
  <c r="T59" i="120"/>
  <c r="U59" i="120"/>
  <c r="W59" i="120"/>
  <c r="E60" i="120"/>
  <c r="F60" i="120"/>
  <c r="G60" i="120"/>
  <c r="H60" i="120"/>
  <c r="I60" i="120"/>
  <c r="J60" i="120"/>
  <c r="K60" i="120"/>
  <c r="L60" i="120"/>
  <c r="M60" i="120"/>
  <c r="N60" i="120"/>
  <c r="O60" i="120"/>
  <c r="P60" i="120"/>
  <c r="Q60" i="120"/>
  <c r="R60" i="120"/>
  <c r="S60" i="120"/>
  <c r="T60" i="120"/>
  <c r="U60" i="120"/>
  <c r="W60" i="120"/>
  <c r="E61" i="120"/>
  <c r="F61" i="120"/>
  <c r="G61" i="120"/>
  <c r="H61" i="120"/>
  <c r="I61" i="120"/>
  <c r="J61" i="120"/>
  <c r="K61" i="120"/>
  <c r="L61" i="120"/>
  <c r="M61" i="120"/>
  <c r="N61" i="120"/>
  <c r="O61" i="120"/>
  <c r="P61" i="120"/>
  <c r="Q61" i="120"/>
  <c r="R61" i="120"/>
  <c r="S61" i="120"/>
  <c r="T61" i="120"/>
  <c r="U61" i="120"/>
  <c r="W61" i="120"/>
  <c r="E62" i="120"/>
  <c r="F62" i="120"/>
  <c r="G62" i="120"/>
  <c r="H62" i="120"/>
  <c r="I62" i="120"/>
  <c r="J62" i="120"/>
  <c r="K62" i="120"/>
  <c r="L62" i="120"/>
  <c r="M62" i="120"/>
  <c r="N62" i="120"/>
  <c r="O62" i="120"/>
  <c r="P62" i="120"/>
  <c r="Q62" i="120"/>
  <c r="R62" i="120"/>
  <c r="S62" i="120"/>
  <c r="T62" i="120"/>
  <c r="U62" i="120"/>
  <c r="W62" i="120"/>
  <c r="W54" i="120"/>
  <c r="F54" i="120"/>
  <c r="G54" i="120"/>
  <c r="H54" i="120"/>
  <c r="I54" i="120"/>
  <c r="J54" i="120"/>
  <c r="K54" i="120"/>
  <c r="L54" i="120"/>
  <c r="M54" i="120"/>
  <c r="N54" i="120"/>
  <c r="O54" i="120"/>
  <c r="P54" i="120"/>
  <c r="Q54" i="120"/>
  <c r="R54" i="120"/>
  <c r="S54" i="120"/>
  <c r="T54" i="120"/>
  <c r="U54" i="120"/>
  <c r="E54" i="120"/>
  <c r="E41" i="120"/>
  <c r="F41" i="120"/>
  <c r="G41" i="120"/>
  <c r="H41" i="120"/>
  <c r="I41" i="120"/>
  <c r="J41" i="120"/>
  <c r="K41" i="120"/>
  <c r="L41" i="120"/>
  <c r="M41" i="120"/>
  <c r="N41" i="120"/>
  <c r="O41" i="120"/>
  <c r="P41" i="120"/>
  <c r="Q41" i="120"/>
  <c r="R41" i="120"/>
  <c r="S41" i="120"/>
  <c r="T41" i="120"/>
  <c r="U41" i="120"/>
  <c r="W41" i="120"/>
  <c r="E42" i="120"/>
  <c r="F42" i="120"/>
  <c r="G42" i="120"/>
  <c r="H42" i="120"/>
  <c r="I42" i="120"/>
  <c r="J42" i="120"/>
  <c r="K42" i="120"/>
  <c r="L42" i="120"/>
  <c r="M42" i="120"/>
  <c r="N42" i="120"/>
  <c r="O42" i="120"/>
  <c r="P42" i="120"/>
  <c r="Q42" i="120"/>
  <c r="R42" i="120"/>
  <c r="S42" i="120"/>
  <c r="T42" i="120"/>
  <c r="U42" i="120"/>
  <c r="W42" i="120"/>
  <c r="E43" i="120"/>
  <c r="F43" i="120"/>
  <c r="G43" i="120"/>
  <c r="H43" i="120"/>
  <c r="I43" i="120"/>
  <c r="J43" i="120"/>
  <c r="K43" i="120"/>
  <c r="L43" i="120"/>
  <c r="M43" i="120"/>
  <c r="N43" i="120"/>
  <c r="O43" i="120"/>
  <c r="P43" i="120"/>
  <c r="Q43" i="120"/>
  <c r="R43" i="120"/>
  <c r="S43" i="120"/>
  <c r="T43" i="120"/>
  <c r="U43" i="120"/>
  <c r="W43" i="120"/>
  <c r="E44" i="120"/>
  <c r="F44" i="120"/>
  <c r="G44" i="120"/>
  <c r="H44" i="120"/>
  <c r="I44" i="120"/>
  <c r="J44" i="120"/>
  <c r="K44" i="120"/>
  <c r="L44" i="120"/>
  <c r="M44" i="120"/>
  <c r="N44" i="120"/>
  <c r="O44" i="120"/>
  <c r="P44" i="120"/>
  <c r="Q44" i="120"/>
  <c r="R44" i="120"/>
  <c r="S44" i="120"/>
  <c r="T44" i="120"/>
  <c r="U44" i="120"/>
  <c r="W44" i="120"/>
  <c r="E45" i="120"/>
  <c r="F45" i="120"/>
  <c r="G45" i="120"/>
  <c r="H45" i="120"/>
  <c r="I45" i="120"/>
  <c r="J45" i="120"/>
  <c r="K45" i="120"/>
  <c r="L45" i="120"/>
  <c r="M45" i="120"/>
  <c r="N45" i="120"/>
  <c r="O45" i="120"/>
  <c r="P45" i="120"/>
  <c r="Q45" i="120"/>
  <c r="R45" i="120"/>
  <c r="S45" i="120"/>
  <c r="T45" i="120"/>
  <c r="U45" i="120"/>
  <c r="W45" i="120"/>
  <c r="E46" i="120"/>
  <c r="F46" i="120"/>
  <c r="G46" i="120"/>
  <c r="H46" i="120"/>
  <c r="I46" i="120"/>
  <c r="J46" i="120"/>
  <c r="K46" i="120"/>
  <c r="L46" i="120"/>
  <c r="M46" i="120"/>
  <c r="N46" i="120"/>
  <c r="O46" i="120"/>
  <c r="P46" i="120"/>
  <c r="Q46" i="120"/>
  <c r="R46" i="120"/>
  <c r="S46" i="120"/>
  <c r="T46" i="120"/>
  <c r="U46" i="120"/>
  <c r="W46" i="120"/>
  <c r="E47" i="120"/>
  <c r="F47" i="120"/>
  <c r="G47" i="120"/>
  <c r="H47" i="120"/>
  <c r="I47" i="120"/>
  <c r="J47" i="120"/>
  <c r="K47" i="120"/>
  <c r="L47" i="120"/>
  <c r="M47" i="120"/>
  <c r="N47" i="120"/>
  <c r="O47" i="120"/>
  <c r="P47" i="120"/>
  <c r="Q47" i="120"/>
  <c r="R47" i="120"/>
  <c r="S47" i="120"/>
  <c r="T47" i="120"/>
  <c r="U47" i="120"/>
  <c r="W47" i="120"/>
  <c r="E48" i="120"/>
  <c r="F48" i="120"/>
  <c r="G48" i="120"/>
  <c r="H48" i="120"/>
  <c r="I48" i="120"/>
  <c r="J48" i="120"/>
  <c r="K48" i="120"/>
  <c r="L48" i="120"/>
  <c r="M48" i="120"/>
  <c r="N48" i="120"/>
  <c r="O48" i="120"/>
  <c r="P48" i="120"/>
  <c r="Q48" i="120"/>
  <c r="R48" i="120"/>
  <c r="S48" i="120"/>
  <c r="T48" i="120"/>
  <c r="U48" i="120"/>
  <c r="W48" i="120"/>
  <c r="W40" i="120"/>
  <c r="F40" i="120"/>
  <c r="G40" i="120"/>
  <c r="H40" i="120"/>
  <c r="I40" i="120"/>
  <c r="J40" i="120"/>
  <c r="K40" i="120"/>
  <c r="L40" i="120"/>
  <c r="M40" i="120"/>
  <c r="N40" i="120"/>
  <c r="O40" i="120"/>
  <c r="P40" i="120"/>
  <c r="Q40" i="120"/>
  <c r="R40" i="120"/>
  <c r="S40" i="120"/>
  <c r="T40" i="120"/>
  <c r="U40" i="120"/>
  <c r="E40" i="120"/>
  <c r="E27" i="120"/>
  <c r="F27" i="120"/>
  <c r="G27" i="120"/>
  <c r="H27" i="120"/>
  <c r="I27" i="120"/>
  <c r="J27" i="120"/>
  <c r="K27" i="120"/>
  <c r="L27" i="120"/>
  <c r="M27" i="120"/>
  <c r="N27" i="120"/>
  <c r="O27" i="120"/>
  <c r="P27" i="120"/>
  <c r="Q27" i="120"/>
  <c r="R27" i="120"/>
  <c r="S27" i="120"/>
  <c r="T27" i="120"/>
  <c r="U27" i="120"/>
  <c r="W27" i="120"/>
  <c r="E28" i="120"/>
  <c r="F28" i="120"/>
  <c r="G28" i="120"/>
  <c r="H28" i="120"/>
  <c r="I28" i="120"/>
  <c r="J28" i="120"/>
  <c r="K28" i="120"/>
  <c r="L28" i="120"/>
  <c r="M28" i="120"/>
  <c r="N28" i="120"/>
  <c r="O28" i="120"/>
  <c r="P28" i="120"/>
  <c r="Q28" i="120"/>
  <c r="R28" i="120"/>
  <c r="S28" i="120"/>
  <c r="T28" i="120"/>
  <c r="U28" i="120"/>
  <c r="W28" i="120"/>
  <c r="E29" i="120"/>
  <c r="F29" i="120"/>
  <c r="G29" i="120"/>
  <c r="H29" i="120"/>
  <c r="I29" i="120"/>
  <c r="J29" i="120"/>
  <c r="K29" i="120"/>
  <c r="L29" i="120"/>
  <c r="M29" i="120"/>
  <c r="N29" i="120"/>
  <c r="O29" i="120"/>
  <c r="P29" i="120"/>
  <c r="Q29" i="120"/>
  <c r="R29" i="120"/>
  <c r="S29" i="120"/>
  <c r="T29" i="120"/>
  <c r="U29" i="120"/>
  <c r="W29" i="120"/>
  <c r="E30" i="120"/>
  <c r="F30" i="120"/>
  <c r="G30" i="120"/>
  <c r="H30" i="120"/>
  <c r="I30" i="120"/>
  <c r="J30" i="120"/>
  <c r="K30" i="120"/>
  <c r="L30" i="120"/>
  <c r="M30" i="120"/>
  <c r="N30" i="120"/>
  <c r="O30" i="120"/>
  <c r="P30" i="120"/>
  <c r="Q30" i="120"/>
  <c r="R30" i="120"/>
  <c r="S30" i="120"/>
  <c r="T30" i="120"/>
  <c r="U30" i="120"/>
  <c r="W30" i="120"/>
  <c r="E31" i="120"/>
  <c r="F31" i="120"/>
  <c r="G31" i="120"/>
  <c r="H31" i="120"/>
  <c r="I31" i="120"/>
  <c r="J31" i="120"/>
  <c r="K31" i="120"/>
  <c r="L31" i="120"/>
  <c r="M31" i="120"/>
  <c r="N31" i="120"/>
  <c r="O31" i="120"/>
  <c r="P31" i="120"/>
  <c r="Q31" i="120"/>
  <c r="R31" i="120"/>
  <c r="S31" i="120"/>
  <c r="T31" i="120"/>
  <c r="U31" i="120"/>
  <c r="W31" i="120"/>
  <c r="E32" i="120"/>
  <c r="F32" i="120"/>
  <c r="G32" i="120"/>
  <c r="H32" i="120"/>
  <c r="I32" i="120"/>
  <c r="J32" i="120"/>
  <c r="K32" i="120"/>
  <c r="L32" i="120"/>
  <c r="M32" i="120"/>
  <c r="N32" i="120"/>
  <c r="O32" i="120"/>
  <c r="P32" i="120"/>
  <c r="Q32" i="120"/>
  <c r="R32" i="120"/>
  <c r="S32" i="120"/>
  <c r="T32" i="120"/>
  <c r="U32" i="120"/>
  <c r="W32" i="120"/>
  <c r="E33" i="120"/>
  <c r="F33" i="120"/>
  <c r="G33" i="120"/>
  <c r="H33" i="120"/>
  <c r="I33" i="120"/>
  <c r="J33" i="120"/>
  <c r="K33" i="120"/>
  <c r="L33" i="120"/>
  <c r="M33" i="120"/>
  <c r="N33" i="120"/>
  <c r="O33" i="120"/>
  <c r="P33" i="120"/>
  <c r="Q33" i="120"/>
  <c r="R33" i="120"/>
  <c r="S33" i="120"/>
  <c r="T33" i="120"/>
  <c r="U33" i="120"/>
  <c r="W33" i="120"/>
  <c r="E34" i="120"/>
  <c r="F34" i="120"/>
  <c r="G34" i="120"/>
  <c r="H34" i="120"/>
  <c r="I34" i="120"/>
  <c r="J34" i="120"/>
  <c r="K34" i="120"/>
  <c r="L34" i="120"/>
  <c r="M34" i="120"/>
  <c r="N34" i="120"/>
  <c r="O34" i="120"/>
  <c r="P34" i="120"/>
  <c r="Q34" i="120"/>
  <c r="R34" i="120"/>
  <c r="S34" i="120"/>
  <c r="T34" i="120"/>
  <c r="U34" i="120"/>
  <c r="W34" i="120"/>
  <c r="W26" i="120"/>
  <c r="F26" i="120"/>
  <c r="G26" i="120"/>
  <c r="H26" i="120"/>
  <c r="I26" i="120"/>
  <c r="J26" i="120"/>
  <c r="K26" i="120"/>
  <c r="L26" i="120"/>
  <c r="M26" i="120"/>
  <c r="N26" i="120"/>
  <c r="O26" i="120"/>
  <c r="P26" i="120"/>
  <c r="Q26" i="120"/>
  <c r="R26" i="120"/>
  <c r="S26" i="120"/>
  <c r="T26" i="120"/>
  <c r="U26" i="120"/>
  <c r="E26" i="120"/>
  <c r="E13" i="120"/>
  <c r="F13" i="120"/>
  <c r="G13" i="120"/>
  <c r="H13" i="120"/>
  <c r="I13" i="120"/>
  <c r="J13" i="120"/>
  <c r="K13" i="120"/>
  <c r="L13" i="120"/>
  <c r="M13" i="120"/>
  <c r="N13" i="120"/>
  <c r="O13" i="120"/>
  <c r="P13" i="120"/>
  <c r="Q13" i="120"/>
  <c r="R13" i="120"/>
  <c r="S13" i="120"/>
  <c r="T13" i="120"/>
  <c r="U13" i="120"/>
  <c r="W13" i="120"/>
  <c r="E14" i="120"/>
  <c r="F14" i="120"/>
  <c r="G14" i="120"/>
  <c r="H14" i="120"/>
  <c r="I14" i="120"/>
  <c r="J14" i="120"/>
  <c r="K14" i="120"/>
  <c r="L14" i="120"/>
  <c r="M14" i="120"/>
  <c r="N14" i="120"/>
  <c r="O14" i="120"/>
  <c r="P14" i="120"/>
  <c r="Q14" i="120"/>
  <c r="R14" i="120"/>
  <c r="S14" i="120"/>
  <c r="T14" i="120"/>
  <c r="U14" i="120"/>
  <c r="W14" i="120"/>
  <c r="E15" i="120"/>
  <c r="F15" i="120"/>
  <c r="G15" i="120"/>
  <c r="H15" i="120"/>
  <c r="I15" i="120"/>
  <c r="J15" i="120"/>
  <c r="K15" i="120"/>
  <c r="L15" i="120"/>
  <c r="M15" i="120"/>
  <c r="N15" i="120"/>
  <c r="O15" i="120"/>
  <c r="P15" i="120"/>
  <c r="Q15" i="120"/>
  <c r="R15" i="120"/>
  <c r="S15" i="120"/>
  <c r="T15" i="120"/>
  <c r="U15" i="120"/>
  <c r="W15" i="120"/>
  <c r="E16" i="120"/>
  <c r="F16" i="120"/>
  <c r="G16" i="120"/>
  <c r="H16" i="120"/>
  <c r="I16" i="120"/>
  <c r="J16" i="120"/>
  <c r="K16" i="120"/>
  <c r="L16" i="120"/>
  <c r="M16" i="120"/>
  <c r="N16" i="120"/>
  <c r="O16" i="120"/>
  <c r="P16" i="120"/>
  <c r="Q16" i="120"/>
  <c r="R16" i="120"/>
  <c r="S16" i="120"/>
  <c r="T16" i="120"/>
  <c r="U16" i="120"/>
  <c r="W16" i="120"/>
  <c r="E17" i="120"/>
  <c r="F17" i="120"/>
  <c r="G17" i="120"/>
  <c r="H17" i="120"/>
  <c r="I17" i="120"/>
  <c r="J17" i="120"/>
  <c r="K17" i="120"/>
  <c r="L17" i="120"/>
  <c r="M17" i="120"/>
  <c r="N17" i="120"/>
  <c r="O17" i="120"/>
  <c r="P17" i="120"/>
  <c r="Q17" i="120"/>
  <c r="R17" i="120"/>
  <c r="S17" i="120"/>
  <c r="T17" i="120"/>
  <c r="U17" i="120"/>
  <c r="W17" i="120"/>
  <c r="E18" i="120"/>
  <c r="F18" i="120"/>
  <c r="G18" i="120"/>
  <c r="H18" i="120"/>
  <c r="I18" i="120"/>
  <c r="J18" i="120"/>
  <c r="K18" i="120"/>
  <c r="L18" i="120"/>
  <c r="M18" i="120"/>
  <c r="N18" i="120"/>
  <c r="O18" i="120"/>
  <c r="P18" i="120"/>
  <c r="Q18" i="120"/>
  <c r="R18" i="120"/>
  <c r="S18" i="120"/>
  <c r="T18" i="120"/>
  <c r="U18" i="120"/>
  <c r="W18" i="120"/>
  <c r="E19" i="120"/>
  <c r="F19" i="120"/>
  <c r="G19" i="120"/>
  <c r="H19" i="120"/>
  <c r="I19" i="120"/>
  <c r="J19" i="120"/>
  <c r="K19" i="120"/>
  <c r="L19" i="120"/>
  <c r="M19" i="120"/>
  <c r="N19" i="120"/>
  <c r="O19" i="120"/>
  <c r="P19" i="120"/>
  <c r="Q19" i="120"/>
  <c r="R19" i="120"/>
  <c r="S19" i="120"/>
  <c r="T19" i="120"/>
  <c r="U19" i="120"/>
  <c r="W19" i="120"/>
  <c r="E20" i="120"/>
  <c r="F20" i="120"/>
  <c r="G20" i="120"/>
  <c r="H20" i="120"/>
  <c r="I20" i="120"/>
  <c r="J20" i="120"/>
  <c r="K20" i="120"/>
  <c r="L20" i="120"/>
  <c r="M20" i="120"/>
  <c r="N20" i="120"/>
  <c r="O20" i="120"/>
  <c r="P20" i="120"/>
  <c r="Q20" i="120"/>
  <c r="R20" i="120"/>
  <c r="S20" i="120"/>
  <c r="T20" i="120"/>
  <c r="U20" i="120"/>
  <c r="W20" i="120"/>
  <c r="W12" i="120"/>
  <c r="F12" i="120"/>
  <c r="G12" i="120"/>
  <c r="H12" i="120"/>
  <c r="I12" i="120"/>
  <c r="J12" i="120"/>
  <c r="K12" i="120"/>
  <c r="L12" i="120"/>
  <c r="M12" i="120"/>
  <c r="N12" i="120"/>
  <c r="O12" i="120"/>
  <c r="P12" i="120"/>
  <c r="Q12" i="120"/>
  <c r="R12" i="120"/>
  <c r="S12" i="120"/>
  <c r="T12" i="120"/>
  <c r="U12" i="120"/>
  <c r="E12" i="120"/>
  <c r="C152" i="120"/>
  <c r="C138" i="120"/>
  <c r="C124" i="120"/>
  <c r="C110" i="120"/>
  <c r="C96" i="120"/>
  <c r="C82" i="120"/>
  <c r="C68" i="120"/>
  <c r="C54" i="120"/>
  <c r="C40" i="120"/>
  <c r="C26" i="120"/>
  <c r="C12" i="120"/>
  <c r="B8" i="120"/>
  <c r="E157" i="144"/>
  <c r="F157" i="144"/>
  <c r="G157" i="144"/>
  <c r="H157" i="144"/>
  <c r="I157" i="144"/>
  <c r="J157" i="144"/>
  <c r="K157" i="144"/>
  <c r="L157" i="144"/>
  <c r="M157" i="144"/>
  <c r="N157" i="144"/>
  <c r="O157" i="144"/>
  <c r="P157" i="144"/>
  <c r="Q157" i="144"/>
  <c r="R157" i="144"/>
  <c r="S157" i="144"/>
  <c r="T157" i="144"/>
  <c r="U157" i="144"/>
  <c r="V157" i="144"/>
  <c r="W157" i="144"/>
  <c r="X157" i="144"/>
  <c r="Y157" i="144"/>
  <c r="Z157" i="144"/>
  <c r="AA157" i="144"/>
  <c r="AB157" i="144"/>
  <c r="AC157" i="144"/>
  <c r="AD157" i="144"/>
  <c r="AE157" i="144"/>
  <c r="AF157" i="144"/>
  <c r="AG157" i="144"/>
  <c r="AH157" i="144"/>
  <c r="AI157" i="144"/>
  <c r="AJ157" i="144"/>
  <c r="AL157" i="144"/>
  <c r="E158" i="144"/>
  <c r="F158" i="144"/>
  <c r="G158" i="144"/>
  <c r="H158" i="144"/>
  <c r="I158" i="144"/>
  <c r="J158" i="144"/>
  <c r="K158" i="144"/>
  <c r="L158" i="144"/>
  <c r="M158" i="144"/>
  <c r="N158" i="144"/>
  <c r="O158" i="144"/>
  <c r="P158" i="144"/>
  <c r="Q158" i="144"/>
  <c r="R158" i="144"/>
  <c r="S158" i="144"/>
  <c r="T158" i="144"/>
  <c r="U158" i="144"/>
  <c r="V158" i="144"/>
  <c r="W158" i="144"/>
  <c r="X158" i="144"/>
  <c r="Y158" i="144"/>
  <c r="Z158" i="144"/>
  <c r="AA158" i="144"/>
  <c r="AB158" i="144"/>
  <c r="AC158" i="144"/>
  <c r="AD158" i="144"/>
  <c r="AE158" i="144"/>
  <c r="AF158" i="144"/>
  <c r="AG158" i="144"/>
  <c r="AH158" i="144"/>
  <c r="AI158" i="144"/>
  <c r="AJ158" i="144"/>
  <c r="AL158" i="144"/>
  <c r="E159" i="144"/>
  <c r="F159" i="144"/>
  <c r="G159" i="144"/>
  <c r="H159" i="144"/>
  <c r="I159" i="144"/>
  <c r="J159" i="144"/>
  <c r="K159" i="144"/>
  <c r="L159" i="144"/>
  <c r="M159" i="144"/>
  <c r="N159" i="144"/>
  <c r="O159" i="144"/>
  <c r="P159" i="144"/>
  <c r="Q159" i="144"/>
  <c r="R159" i="144"/>
  <c r="S159" i="144"/>
  <c r="T159" i="144"/>
  <c r="U159" i="144"/>
  <c r="V159" i="144"/>
  <c r="W159" i="144"/>
  <c r="X159" i="144"/>
  <c r="Y159" i="144"/>
  <c r="Z159" i="144"/>
  <c r="AA159" i="144"/>
  <c r="AB159" i="144"/>
  <c r="AC159" i="144"/>
  <c r="AD159" i="144"/>
  <c r="AE159" i="144"/>
  <c r="AF159" i="144"/>
  <c r="AG159" i="144"/>
  <c r="AH159" i="144"/>
  <c r="AI159" i="144"/>
  <c r="AJ159" i="144"/>
  <c r="AL159" i="144"/>
  <c r="E160" i="144"/>
  <c r="F160" i="144"/>
  <c r="G160" i="144"/>
  <c r="H160" i="144"/>
  <c r="I160" i="144"/>
  <c r="J160" i="144"/>
  <c r="K160" i="144"/>
  <c r="L160" i="144"/>
  <c r="M160" i="144"/>
  <c r="N160" i="144"/>
  <c r="O160" i="144"/>
  <c r="P160" i="144"/>
  <c r="Q160" i="144"/>
  <c r="R160" i="144"/>
  <c r="S160" i="144"/>
  <c r="T160" i="144"/>
  <c r="U160" i="144"/>
  <c r="V160" i="144"/>
  <c r="W160" i="144"/>
  <c r="X160" i="144"/>
  <c r="Y160" i="144"/>
  <c r="Z160" i="144"/>
  <c r="AA160" i="144"/>
  <c r="AB160" i="144"/>
  <c r="AC160" i="144"/>
  <c r="AD160" i="144"/>
  <c r="AE160" i="144"/>
  <c r="AF160" i="144"/>
  <c r="AG160" i="144"/>
  <c r="AH160" i="144"/>
  <c r="AI160" i="144"/>
  <c r="AJ160" i="144"/>
  <c r="AL160" i="144"/>
  <c r="E161" i="144"/>
  <c r="F161" i="144"/>
  <c r="G161" i="144"/>
  <c r="H161" i="144"/>
  <c r="I161" i="144"/>
  <c r="J161" i="144"/>
  <c r="K161" i="144"/>
  <c r="L161" i="144"/>
  <c r="M161" i="144"/>
  <c r="N161" i="144"/>
  <c r="O161" i="144"/>
  <c r="P161" i="144"/>
  <c r="Q161" i="144"/>
  <c r="R161" i="144"/>
  <c r="S161" i="144"/>
  <c r="T161" i="144"/>
  <c r="U161" i="144"/>
  <c r="V161" i="144"/>
  <c r="W161" i="144"/>
  <c r="X161" i="144"/>
  <c r="Y161" i="144"/>
  <c r="Z161" i="144"/>
  <c r="AA161" i="144"/>
  <c r="AB161" i="144"/>
  <c r="AC161" i="144"/>
  <c r="AD161" i="144"/>
  <c r="AE161" i="144"/>
  <c r="AF161" i="144"/>
  <c r="AG161" i="144"/>
  <c r="AH161" i="144"/>
  <c r="AI161" i="144"/>
  <c r="AJ161" i="144"/>
  <c r="AL161" i="144"/>
  <c r="E162" i="144"/>
  <c r="F162" i="144"/>
  <c r="G162" i="144"/>
  <c r="H162" i="144"/>
  <c r="I162" i="144"/>
  <c r="J162" i="144"/>
  <c r="K162" i="144"/>
  <c r="L162" i="144"/>
  <c r="M162" i="144"/>
  <c r="N162" i="144"/>
  <c r="O162" i="144"/>
  <c r="P162" i="144"/>
  <c r="Q162" i="144"/>
  <c r="R162" i="144"/>
  <c r="S162" i="144"/>
  <c r="T162" i="144"/>
  <c r="U162" i="144"/>
  <c r="V162" i="144"/>
  <c r="W162" i="144"/>
  <c r="X162" i="144"/>
  <c r="Y162" i="144"/>
  <c r="Z162" i="144"/>
  <c r="AA162" i="144"/>
  <c r="AB162" i="144"/>
  <c r="AC162" i="144"/>
  <c r="AD162" i="144"/>
  <c r="AE162" i="144"/>
  <c r="AF162" i="144"/>
  <c r="AG162" i="144"/>
  <c r="AH162" i="144"/>
  <c r="AI162" i="144"/>
  <c r="AJ162" i="144"/>
  <c r="AL162" i="144"/>
  <c r="E163" i="144"/>
  <c r="F163" i="144"/>
  <c r="G163" i="144"/>
  <c r="H163" i="144"/>
  <c r="I163" i="144"/>
  <c r="J163" i="144"/>
  <c r="K163" i="144"/>
  <c r="L163" i="144"/>
  <c r="M163" i="144"/>
  <c r="N163" i="144"/>
  <c r="O163" i="144"/>
  <c r="P163" i="144"/>
  <c r="Q163" i="144"/>
  <c r="R163" i="144"/>
  <c r="S163" i="144"/>
  <c r="T163" i="144"/>
  <c r="U163" i="144"/>
  <c r="V163" i="144"/>
  <c r="W163" i="144"/>
  <c r="X163" i="144"/>
  <c r="Y163" i="144"/>
  <c r="Z163" i="144"/>
  <c r="AA163" i="144"/>
  <c r="AB163" i="144"/>
  <c r="AC163" i="144"/>
  <c r="AD163" i="144"/>
  <c r="AE163" i="144"/>
  <c r="AF163" i="144"/>
  <c r="AG163" i="144"/>
  <c r="AH163" i="144"/>
  <c r="AI163" i="144"/>
  <c r="AJ163" i="144"/>
  <c r="AL163" i="144"/>
  <c r="AL156" i="144"/>
  <c r="F156" i="144"/>
  <c r="G156" i="144"/>
  <c r="H156" i="144"/>
  <c r="I156" i="144"/>
  <c r="J156" i="144"/>
  <c r="K156" i="144"/>
  <c r="L156" i="144"/>
  <c r="M156" i="144"/>
  <c r="N156" i="144"/>
  <c r="O156" i="144"/>
  <c r="P156" i="144"/>
  <c r="Q156" i="144"/>
  <c r="R156" i="144"/>
  <c r="S156" i="144"/>
  <c r="T156" i="144"/>
  <c r="U156" i="144"/>
  <c r="V156" i="144"/>
  <c r="W156" i="144"/>
  <c r="X156" i="144"/>
  <c r="Y156" i="144"/>
  <c r="Z156" i="144"/>
  <c r="AA156" i="144"/>
  <c r="AB156" i="144"/>
  <c r="AC156" i="144"/>
  <c r="AD156" i="144"/>
  <c r="AE156" i="144"/>
  <c r="AF156" i="144"/>
  <c r="AG156" i="144"/>
  <c r="AH156" i="144"/>
  <c r="AI156" i="144"/>
  <c r="E156" i="144"/>
  <c r="E144" i="144"/>
  <c r="F144" i="144"/>
  <c r="G144" i="144"/>
  <c r="H144" i="144"/>
  <c r="I144" i="144"/>
  <c r="J144" i="144"/>
  <c r="K144" i="144"/>
  <c r="L144" i="144"/>
  <c r="M144" i="144"/>
  <c r="N144" i="144"/>
  <c r="O144" i="144"/>
  <c r="P144" i="144"/>
  <c r="Q144" i="144"/>
  <c r="R144" i="144"/>
  <c r="S144" i="144"/>
  <c r="T144" i="144"/>
  <c r="U144" i="144"/>
  <c r="V144" i="144"/>
  <c r="W144" i="144"/>
  <c r="X144" i="144"/>
  <c r="Y144" i="144"/>
  <c r="Z144" i="144"/>
  <c r="AA144" i="144"/>
  <c r="AB144" i="144"/>
  <c r="AC144" i="144"/>
  <c r="AD144" i="144"/>
  <c r="AE144" i="144"/>
  <c r="AF144" i="144"/>
  <c r="AG144" i="144"/>
  <c r="AH144" i="144"/>
  <c r="AI144" i="144"/>
  <c r="AJ144" i="144"/>
  <c r="AL144" i="144"/>
  <c r="E145" i="144"/>
  <c r="F145" i="144"/>
  <c r="G145" i="144"/>
  <c r="H145" i="144"/>
  <c r="I145" i="144"/>
  <c r="J145" i="144"/>
  <c r="K145" i="144"/>
  <c r="L145" i="144"/>
  <c r="M145" i="144"/>
  <c r="N145" i="144"/>
  <c r="O145" i="144"/>
  <c r="P145" i="144"/>
  <c r="Q145" i="144"/>
  <c r="R145" i="144"/>
  <c r="S145" i="144"/>
  <c r="T145" i="144"/>
  <c r="U145" i="144"/>
  <c r="V145" i="144"/>
  <c r="W145" i="144"/>
  <c r="X145" i="144"/>
  <c r="Y145" i="144"/>
  <c r="Z145" i="144"/>
  <c r="AA145" i="144"/>
  <c r="AB145" i="144"/>
  <c r="AC145" i="144"/>
  <c r="AD145" i="144"/>
  <c r="AE145" i="144"/>
  <c r="AF145" i="144"/>
  <c r="AG145" i="144"/>
  <c r="AH145" i="144"/>
  <c r="AI145" i="144"/>
  <c r="AJ145" i="144"/>
  <c r="AL145" i="144"/>
  <c r="E146" i="144"/>
  <c r="F146" i="144"/>
  <c r="G146" i="144"/>
  <c r="H146" i="144"/>
  <c r="I146" i="144"/>
  <c r="J146" i="144"/>
  <c r="K146" i="144"/>
  <c r="L146" i="144"/>
  <c r="M146" i="144"/>
  <c r="N146" i="144"/>
  <c r="O146" i="144"/>
  <c r="P146" i="144"/>
  <c r="Q146" i="144"/>
  <c r="R146" i="144"/>
  <c r="S146" i="144"/>
  <c r="T146" i="144"/>
  <c r="U146" i="144"/>
  <c r="V146" i="144"/>
  <c r="W146" i="144"/>
  <c r="X146" i="144"/>
  <c r="Y146" i="144"/>
  <c r="Z146" i="144"/>
  <c r="AA146" i="144"/>
  <c r="AB146" i="144"/>
  <c r="AC146" i="144"/>
  <c r="AD146" i="144"/>
  <c r="AE146" i="144"/>
  <c r="AF146" i="144"/>
  <c r="AG146" i="144"/>
  <c r="AH146" i="144"/>
  <c r="AI146" i="144"/>
  <c r="AJ146" i="144"/>
  <c r="AL146" i="144"/>
  <c r="E147" i="144"/>
  <c r="F147" i="144"/>
  <c r="G147" i="144"/>
  <c r="H147" i="144"/>
  <c r="I147" i="144"/>
  <c r="J147" i="144"/>
  <c r="K147" i="144"/>
  <c r="L147" i="144"/>
  <c r="M147" i="144"/>
  <c r="N147" i="144"/>
  <c r="O147" i="144"/>
  <c r="P147" i="144"/>
  <c r="Q147" i="144"/>
  <c r="R147" i="144"/>
  <c r="S147" i="144"/>
  <c r="T147" i="144"/>
  <c r="U147" i="144"/>
  <c r="V147" i="144"/>
  <c r="W147" i="144"/>
  <c r="X147" i="144"/>
  <c r="Y147" i="144"/>
  <c r="Z147" i="144"/>
  <c r="AA147" i="144"/>
  <c r="AB147" i="144"/>
  <c r="AC147" i="144"/>
  <c r="AD147" i="144"/>
  <c r="AE147" i="144"/>
  <c r="AF147" i="144"/>
  <c r="AG147" i="144"/>
  <c r="AH147" i="144"/>
  <c r="AI147" i="144"/>
  <c r="AJ147" i="144"/>
  <c r="AL147" i="144"/>
  <c r="E148" i="144"/>
  <c r="F148" i="144"/>
  <c r="G148" i="144"/>
  <c r="H148" i="144"/>
  <c r="I148" i="144"/>
  <c r="J148" i="144"/>
  <c r="K148" i="144"/>
  <c r="L148" i="144"/>
  <c r="M148" i="144"/>
  <c r="N148" i="144"/>
  <c r="O148" i="144"/>
  <c r="P148" i="144"/>
  <c r="Q148" i="144"/>
  <c r="R148" i="144"/>
  <c r="S148" i="144"/>
  <c r="T148" i="144"/>
  <c r="U148" i="144"/>
  <c r="V148" i="144"/>
  <c r="W148" i="144"/>
  <c r="X148" i="144"/>
  <c r="Y148" i="144"/>
  <c r="Z148" i="144"/>
  <c r="AA148" i="144"/>
  <c r="AB148" i="144"/>
  <c r="AC148" i="144"/>
  <c r="AD148" i="144"/>
  <c r="AE148" i="144"/>
  <c r="AF148" i="144"/>
  <c r="AG148" i="144"/>
  <c r="AH148" i="144"/>
  <c r="AI148" i="144"/>
  <c r="AJ148" i="144"/>
  <c r="AL148" i="144"/>
  <c r="E149" i="144"/>
  <c r="F149" i="144"/>
  <c r="G149" i="144"/>
  <c r="H149" i="144"/>
  <c r="I149" i="144"/>
  <c r="J149" i="144"/>
  <c r="K149" i="144"/>
  <c r="L149" i="144"/>
  <c r="M149" i="144"/>
  <c r="N149" i="144"/>
  <c r="O149" i="144"/>
  <c r="P149" i="144"/>
  <c r="Q149" i="144"/>
  <c r="R149" i="144"/>
  <c r="S149" i="144"/>
  <c r="T149" i="144"/>
  <c r="U149" i="144"/>
  <c r="V149" i="144"/>
  <c r="W149" i="144"/>
  <c r="X149" i="144"/>
  <c r="Y149" i="144"/>
  <c r="Z149" i="144"/>
  <c r="AA149" i="144"/>
  <c r="AB149" i="144"/>
  <c r="AC149" i="144"/>
  <c r="AD149" i="144"/>
  <c r="AE149" i="144"/>
  <c r="AF149" i="144"/>
  <c r="AG149" i="144"/>
  <c r="AH149" i="144"/>
  <c r="AI149" i="144"/>
  <c r="AJ149" i="144"/>
  <c r="AL149" i="144"/>
  <c r="E150" i="144"/>
  <c r="F150" i="144"/>
  <c r="G150" i="144"/>
  <c r="H150" i="144"/>
  <c r="I150" i="144"/>
  <c r="J150" i="144"/>
  <c r="K150" i="144"/>
  <c r="L150" i="144"/>
  <c r="M150" i="144"/>
  <c r="N150" i="144"/>
  <c r="O150" i="144"/>
  <c r="P150" i="144"/>
  <c r="Q150" i="144"/>
  <c r="R150" i="144"/>
  <c r="S150" i="144"/>
  <c r="T150" i="144"/>
  <c r="U150" i="144"/>
  <c r="V150" i="144"/>
  <c r="W150" i="144"/>
  <c r="X150" i="144"/>
  <c r="Y150" i="144"/>
  <c r="Z150" i="144"/>
  <c r="AA150" i="144"/>
  <c r="AB150" i="144"/>
  <c r="AC150" i="144"/>
  <c r="AD150" i="144"/>
  <c r="AE150" i="144"/>
  <c r="AF150" i="144"/>
  <c r="AG150" i="144"/>
  <c r="AH150" i="144"/>
  <c r="AI150" i="144"/>
  <c r="AJ150" i="144"/>
  <c r="AL150" i="144"/>
  <c r="AL143" i="144"/>
  <c r="F143" i="144"/>
  <c r="G143" i="144"/>
  <c r="H143" i="144"/>
  <c r="I143" i="144"/>
  <c r="J143" i="144"/>
  <c r="K143" i="144"/>
  <c r="L143" i="144"/>
  <c r="M143" i="144"/>
  <c r="N143" i="144"/>
  <c r="O143" i="144"/>
  <c r="P143" i="144"/>
  <c r="Q143" i="144"/>
  <c r="R143" i="144"/>
  <c r="S143" i="144"/>
  <c r="T143" i="144"/>
  <c r="U143" i="144"/>
  <c r="V143" i="144"/>
  <c r="W143" i="144"/>
  <c r="X143" i="144"/>
  <c r="Y143" i="144"/>
  <c r="Z143" i="144"/>
  <c r="AA143" i="144"/>
  <c r="AB143" i="144"/>
  <c r="AC143" i="144"/>
  <c r="AD143" i="144"/>
  <c r="AE143" i="144"/>
  <c r="AF143" i="144"/>
  <c r="AG143" i="144"/>
  <c r="AH143" i="144"/>
  <c r="AI143" i="144"/>
  <c r="E143" i="144"/>
  <c r="E131" i="144"/>
  <c r="F131" i="144"/>
  <c r="G131" i="144"/>
  <c r="H131" i="144"/>
  <c r="I131" i="144"/>
  <c r="J131" i="144"/>
  <c r="K131" i="144"/>
  <c r="L131" i="144"/>
  <c r="M131" i="144"/>
  <c r="N131" i="144"/>
  <c r="O131" i="144"/>
  <c r="P131" i="144"/>
  <c r="Q131" i="144"/>
  <c r="R131" i="144"/>
  <c r="S131" i="144"/>
  <c r="T131" i="144"/>
  <c r="U131" i="144"/>
  <c r="V131" i="144"/>
  <c r="W131" i="144"/>
  <c r="X131" i="144"/>
  <c r="Y131" i="144"/>
  <c r="Z131" i="144"/>
  <c r="AA131" i="144"/>
  <c r="AB131" i="144"/>
  <c r="AC131" i="144"/>
  <c r="AD131" i="144"/>
  <c r="AE131" i="144"/>
  <c r="AF131" i="144"/>
  <c r="AG131" i="144"/>
  <c r="AH131" i="144"/>
  <c r="AI131" i="144"/>
  <c r="AJ131" i="144"/>
  <c r="AL131" i="144"/>
  <c r="E132" i="144"/>
  <c r="F132" i="144"/>
  <c r="G132" i="144"/>
  <c r="H132" i="144"/>
  <c r="I132" i="144"/>
  <c r="J132" i="144"/>
  <c r="K132" i="144"/>
  <c r="L132" i="144"/>
  <c r="M132" i="144"/>
  <c r="N132" i="144"/>
  <c r="O132" i="144"/>
  <c r="P132" i="144"/>
  <c r="Q132" i="144"/>
  <c r="R132" i="144"/>
  <c r="S132" i="144"/>
  <c r="T132" i="144"/>
  <c r="U132" i="144"/>
  <c r="V132" i="144"/>
  <c r="W132" i="144"/>
  <c r="X132" i="144"/>
  <c r="Y132" i="144"/>
  <c r="Z132" i="144"/>
  <c r="AA132" i="144"/>
  <c r="AB132" i="144"/>
  <c r="AC132" i="144"/>
  <c r="AD132" i="144"/>
  <c r="AE132" i="144"/>
  <c r="AF132" i="144"/>
  <c r="AG132" i="144"/>
  <c r="AH132" i="144"/>
  <c r="AI132" i="144"/>
  <c r="AJ132" i="144"/>
  <c r="AL132" i="144"/>
  <c r="E133" i="144"/>
  <c r="F133" i="144"/>
  <c r="G133" i="144"/>
  <c r="H133" i="144"/>
  <c r="I133" i="144"/>
  <c r="J133" i="144"/>
  <c r="K133" i="144"/>
  <c r="L133" i="144"/>
  <c r="M133" i="144"/>
  <c r="N133" i="144"/>
  <c r="O133" i="144"/>
  <c r="P133" i="144"/>
  <c r="Q133" i="144"/>
  <c r="R133" i="144"/>
  <c r="S133" i="144"/>
  <c r="T133" i="144"/>
  <c r="U133" i="144"/>
  <c r="V133" i="144"/>
  <c r="W133" i="144"/>
  <c r="X133" i="144"/>
  <c r="Y133" i="144"/>
  <c r="Z133" i="144"/>
  <c r="AA133" i="144"/>
  <c r="AB133" i="144"/>
  <c r="AC133" i="144"/>
  <c r="AD133" i="144"/>
  <c r="AE133" i="144"/>
  <c r="AF133" i="144"/>
  <c r="AG133" i="144"/>
  <c r="AH133" i="144"/>
  <c r="AI133" i="144"/>
  <c r="AJ133" i="144"/>
  <c r="AL133" i="144"/>
  <c r="E134" i="144"/>
  <c r="F134" i="144"/>
  <c r="G134" i="144"/>
  <c r="H134" i="144"/>
  <c r="I134" i="144"/>
  <c r="J134" i="144"/>
  <c r="K134" i="144"/>
  <c r="L134" i="144"/>
  <c r="M134" i="144"/>
  <c r="N134" i="144"/>
  <c r="O134" i="144"/>
  <c r="P134" i="144"/>
  <c r="Q134" i="144"/>
  <c r="R134" i="144"/>
  <c r="S134" i="144"/>
  <c r="T134" i="144"/>
  <c r="U134" i="144"/>
  <c r="V134" i="144"/>
  <c r="W134" i="144"/>
  <c r="X134" i="144"/>
  <c r="Y134" i="144"/>
  <c r="Z134" i="144"/>
  <c r="AA134" i="144"/>
  <c r="AB134" i="144"/>
  <c r="AC134" i="144"/>
  <c r="AD134" i="144"/>
  <c r="AE134" i="144"/>
  <c r="AF134" i="144"/>
  <c r="AG134" i="144"/>
  <c r="AH134" i="144"/>
  <c r="AI134" i="144"/>
  <c r="AJ134" i="144"/>
  <c r="AL134" i="144"/>
  <c r="E135" i="144"/>
  <c r="F135" i="144"/>
  <c r="G135" i="144"/>
  <c r="H135" i="144"/>
  <c r="I135" i="144"/>
  <c r="J135" i="144"/>
  <c r="K135" i="144"/>
  <c r="L135" i="144"/>
  <c r="M135" i="144"/>
  <c r="N135" i="144"/>
  <c r="O135" i="144"/>
  <c r="P135" i="144"/>
  <c r="Q135" i="144"/>
  <c r="R135" i="144"/>
  <c r="S135" i="144"/>
  <c r="T135" i="144"/>
  <c r="U135" i="144"/>
  <c r="V135" i="144"/>
  <c r="W135" i="144"/>
  <c r="X135" i="144"/>
  <c r="Y135" i="144"/>
  <c r="Z135" i="144"/>
  <c r="AA135" i="144"/>
  <c r="AB135" i="144"/>
  <c r="AC135" i="144"/>
  <c r="AD135" i="144"/>
  <c r="AE135" i="144"/>
  <c r="AF135" i="144"/>
  <c r="AG135" i="144"/>
  <c r="AH135" i="144"/>
  <c r="AI135" i="144"/>
  <c r="AJ135" i="144"/>
  <c r="AL135" i="144"/>
  <c r="E136" i="144"/>
  <c r="F136" i="144"/>
  <c r="G136" i="144"/>
  <c r="H136" i="144"/>
  <c r="I136" i="144"/>
  <c r="J136" i="144"/>
  <c r="K136" i="144"/>
  <c r="L136" i="144"/>
  <c r="M136" i="144"/>
  <c r="N136" i="144"/>
  <c r="O136" i="144"/>
  <c r="P136" i="144"/>
  <c r="Q136" i="144"/>
  <c r="R136" i="144"/>
  <c r="S136" i="144"/>
  <c r="T136" i="144"/>
  <c r="U136" i="144"/>
  <c r="V136" i="144"/>
  <c r="W136" i="144"/>
  <c r="X136" i="144"/>
  <c r="Y136" i="144"/>
  <c r="Z136" i="144"/>
  <c r="AA136" i="144"/>
  <c r="AB136" i="144"/>
  <c r="AC136" i="144"/>
  <c r="AD136" i="144"/>
  <c r="AE136" i="144"/>
  <c r="AF136" i="144"/>
  <c r="AG136" i="144"/>
  <c r="AH136" i="144"/>
  <c r="AI136" i="144"/>
  <c r="AJ136" i="144"/>
  <c r="AL136" i="144"/>
  <c r="E137" i="144"/>
  <c r="F137" i="144"/>
  <c r="G137" i="144"/>
  <c r="H137" i="144"/>
  <c r="I137" i="144"/>
  <c r="J137" i="144"/>
  <c r="K137" i="144"/>
  <c r="L137" i="144"/>
  <c r="M137" i="144"/>
  <c r="N137" i="144"/>
  <c r="O137" i="144"/>
  <c r="P137" i="144"/>
  <c r="Q137" i="144"/>
  <c r="R137" i="144"/>
  <c r="S137" i="144"/>
  <c r="T137" i="144"/>
  <c r="U137" i="144"/>
  <c r="V137" i="144"/>
  <c r="W137" i="144"/>
  <c r="X137" i="144"/>
  <c r="Y137" i="144"/>
  <c r="Z137" i="144"/>
  <c r="AA137" i="144"/>
  <c r="AB137" i="144"/>
  <c r="AC137" i="144"/>
  <c r="AD137" i="144"/>
  <c r="AE137" i="144"/>
  <c r="AF137" i="144"/>
  <c r="AG137" i="144"/>
  <c r="AH137" i="144"/>
  <c r="AI137" i="144"/>
  <c r="AJ137" i="144"/>
  <c r="AL137" i="144"/>
  <c r="AL130" i="144"/>
  <c r="F130" i="144"/>
  <c r="G130" i="144"/>
  <c r="H130" i="144"/>
  <c r="I130" i="144"/>
  <c r="J130" i="144"/>
  <c r="K130" i="144"/>
  <c r="L130" i="144"/>
  <c r="M130" i="144"/>
  <c r="N130" i="144"/>
  <c r="O130" i="144"/>
  <c r="P130" i="144"/>
  <c r="Q130" i="144"/>
  <c r="R130" i="144"/>
  <c r="S130" i="144"/>
  <c r="T130" i="144"/>
  <c r="U130" i="144"/>
  <c r="V130" i="144"/>
  <c r="W130" i="144"/>
  <c r="X130" i="144"/>
  <c r="Y130" i="144"/>
  <c r="Z130" i="144"/>
  <c r="AA130" i="144"/>
  <c r="AB130" i="144"/>
  <c r="AC130" i="144"/>
  <c r="AD130" i="144"/>
  <c r="AE130" i="144"/>
  <c r="AF130" i="144"/>
  <c r="AG130" i="144"/>
  <c r="AH130" i="144"/>
  <c r="AI130" i="144"/>
  <c r="E130" i="144"/>
  <c r="E118" i="144"/>
  <c r="F118" i="144"/>
  <c r="G118" i="144"/>
  <c r="H118" i="144"/>
  <c r="I118" i="144"/>
  <c r="J118" i="144"/>
  <c r="K118" i="144"/>
  <c r="L118" i="144"/>
  <c r="M118" i="144"/>
  <c r="N118" i="144"/>
  <c r="O118" i="144"/>
  <c r="P118" i="144"/>
  <c r="Q118" i="144"/>
  <c r="R118" i="144"/>
  <c r="S118" i="144"/>
  <c r="T118" i="144"/>
  <c r="U118" i="144"/>
  <c r="V118" i="144"/>
  <c r="W118" i="144"/>
  <c r="X118" i="144"/>
  <c r="Y118" i="144"/>
  <c r="Z118" i="144"/>
  <c r="AA118" i="144"/>
  <c r="AB118" i="144"/>
  <c r="AC118" i="144"/>
  <c r="AD118" i="144"/>
  <c r="AE118" i="144"/>
  <c r="AF118" i="144"/>
  <c r="AG118" i="144"/>
  <c r="AH118" i="144"/>
  <c r="AI118" i="144"/>
  <c r="AJ118" i="144"/>
  <c r="AL118" i="144"/>
  <c r="E119" i="144"/>
  <c r="F119" i="144"/>
  <c r="G119" i="144"/>
  <c r="H119" i="144"/>
  <c r="I119" i="144"/>
  <c r="J119" i="144"/>
  <c r="K119" i="144"/>
  <c r="L119" i="144"/>
  <c r="M119" i="144"/>
  <c r="N119" i="144"/>
  <c r="O119" i="144"/>
  <c r="P119" i="144"/>
  <c r="Q119" i="144"/>
  <c r="R119" i="144"/>
  <c r="S119" i="144"/>
  <c r="T119" i="144"/>
  <c r="U119" i="144"/>
  <c r="V119" i="144"/>
  <c r="W119" i="144"/>
  <c r="X119" i="144"/>
  <c r="Y119" i="144"/>
  <c r="Z119" i="144"/>
  <c r="AA119" i="144"/>
  <c r="AB119" i="144"/>
  <c r="AC119" i="144"/>
  <c r="AD119" i="144"/>
  <c r="AE119" i="144"/>
  <c r="AF119" i="144"/>
  <c r="AG119" i="144"/>
  <c r="AH119" i="144"/>
  <c r="AI119" i="144"/>
  <c r="AJ119" i="144"/>
  <c r="AL119" i="144"/>
  <c r="E120" i="144"/>
  <c r="F120" i="144"/>
  <c r="G120" i="144"/>
  <c r="H120" i="144"/>
  <c r="I120" i="144"/>
  <c r="J120" i="144"/>
  <c r="K120" i="144"/>
  <c r="L120" i="144"/>
  <c r="M120" i="144"/>
  <c r="N120" i="144"/>
  <c r="O120" i="144"/>
  <c r="P120" i="144"/>
  <c r="Q120" i="144"/>
  <c r="R120" i="144"/>
  <c r="S120" i="144"/>
  <c r="T120" i="144"/>
  <c r="U120" i="144"/>
  <c r="V120" i="144"/>
  <c r="W120" i="144"/>
  <c r="X120" i="144"/>
  <c r="Y120" i="144"/>
  <c r="Z120" i="144"/>
  <c r="AA120" i="144"/>
  <c r="AB120" i="144"/>
  <c r="AC120" i="144"/>
  <c r="AD120" i="144"/>
  <c r="AE120" i="144"/>
  <c r="AF120" i="144"/>
  <c r="AG120" i="144"/>
  <c r="AH120" i="144"/>
  <c r="AI120" i="144"/>
  <c r="AJ120" i="144"/>
  <c r="AL120" i="144"/>
  <c r="E121" i="144"/>
  <c r="F121" i="144"/>
  <c r="G121" i="144"/>
  <c r="H121" i="144"/>
  <c r="I121" i="144"/>
  <c r="J121" i="144"/>
  <c r="K121" i="144"/>
  <c r="L121" i="144"/>
  <c r="M121" i="144"/>
  <c r="N121" i="144"/>
  <c r="O121" i="144"/>
  <c r="P121" i="144"/>
  <c r="Q121" i="144"/>
  <c r="R121" i="144"/>
  <c r="S121" i="144"/>
  <c r="T121" i="144"/>
  <c r="U121" i="144"/>
  <c r="V121" i="144"/>
  <c r="W121" i="144"/>
  <c r="X121" i="144"/>
  <c r="Y121" i="144"/>
  <c r="Z121" i="144"/>
  <c r="AA121" i="144"/>
  <c r="AB121" i="144"/>
  <c r="AC121" i="144"/>
  <c r="AD121" i="144"/>
  <c r="AE121" i="144"/>
  <c r="AF121" i="144"/>
  <c r="AG121" i="144"/>
  <c r="AH121" i="144"/>
  <c r="AI121" i="144"/>
  <c r="AJ121" i="144"/>
  <c r="AL121" i="144"/>
  <c r="E122" i="144"/>
  <c r="F122" i="144"/>
  <c r="G122" i="144"/>
  <c r="H122" i="144"/>
  <c r="I122" i="144"/>
  <c r="J122" i="144"/>
  <c r="K122" i="144"/>
  <c r="L122" i="144"/>
  <c r="M122" i="144"/>
  <c r="N122" i="144"/>
  <c r="O122" i="144"/>
  <c r="P122" i="144"/>
  <c r="Q122" i="144"/>
  <c r="R122" i="144"/>
  <c r="S122" i="144"/>
  <c r="T122" i="144"/>
  <c r="U122" i="144"/>
  <c r="V122" i="144"/>
  <c r="W122" i="144"/>
  <c r="X122" i="144"/>
  <c r="Y122" i="144"/>
  <c r="Z122" i="144"/>
  <c r="AA122" i="144"/>
  <c r="AB122" i="144"/>
  <c r="AC122" i="144"/>
  <c r="AD122" i="144"/>
  <c r="AE122" i="144"/>
  <c r="AF122" i="144"/>
  <c r="AG122" i="144"/>
  <c r="AH122" i="144"/>
  <c r="AI122" i="144"/>
  <c r="AJ122" i="144"/>
  <c r="AL122" i="144"/>
  <c r="E123" i="144"/>
  <c r="F123" i="144"/>
  <c r="G123" i="144"/>
  <c r="H123" i="144"/>
  <c r="I123" i="144"/>
  <c r="J123" i="144"/>
  <c r="K123" i="144"/>
  <c r="L123" i="144"/>
  <c r="M123" i="144"/>
  <c r="N123" i="144"/>
  <c r="O123" i="144"/>
  <c r="P123" i="144"/>
  <c r="Q123" i="144"/>
  <c r="R123" i="144"/>
  <c r="S123" i="144"/>
  <c r="T123" i="144"/>
  <c r="U123" i="144"/>
  <c r="V123" i="144"/>
  <c r="W123" i="144"/>
  <c r="X123" i="144"/>
  <c r="Y123" i="144"/>
  <c r="Z123" i="144"/>
  <c r="AA123" i="144"/>
  <c r="AB123" i="144"/>
  <c r="AC123" i="144"/>
  <c r="AD123" i="144"/>
  <c r="AE123" i="144"/>
  <c r="AF123" i="144"/>
  <c r="AG123" i="144"/>
  <c r="AH123" i="144"/>
  <c r="AI123" i="144"/>
  <c r="AJ123" i="144"/>
  <c r="AL123" i="144"/>
  <c r="E124" i="144"/>
  <c r="F124" i="144"/>
  <c r="G124" i="144"/>
  <c r="H124" i="144"/>
  <c r="I124" i="144"/>
  <c r="J124" i="144"/>
  <c r="K124" i="144"/>
  <c r="L124" i="144"/>
  <c r="M124" i="144"/>
  <c r="N124" i="144"/>
  <c r="O124" i="144"/>
  <c r="P124" i="144"/>
  <c r="Q124" i="144"/>
  <c r="R124" i="144"/>
  <c r="S124" i="144"/>
  <c r="T124" i="144"/>
  <c r="U124" i="144"/>
  <c r="V124" i="144"/>
  <c r="W124" i="144"/>
  <c r="X124" i="144"/>
  <c r="Y124" i="144"/>
  <c r="Z124" i="144"/>
  <c r="AA124" i="144"/>
  <c r="AB124" i="144"/>
  <c r="AC124" i="144"/>
  <c r="AD124" i="144"/>
  <c r="AE124" i="144"/>
  <c r="AF124" i="144"/>
  <c r="AG124" i="144"/>
  <c r="AH124" i="144"/>
  <c r="AI124" i="144"/>
  <c r="AJ124" i="144"/>
  <c r="AL124" i="144"/>
  <c r="E125" i="144"/>
  <c r="F125" i="144"/>
  <c r="G125" i="144"/>
  <c r="H125" i="144"/>
  <c r="I125" i="144"/>
  <c r="J125" i="144"/>
  <c r="K125" i="144"/>
  <c r="L125" i="144"/>
  <c r="M125" i="144"/>
  <c r="N125" i="144"/>
  <c r="O125" i="144"/>
  <c r="P125" i="144"/>
  <c r="Q125" i="144"/>
  <c r="R125" i="144"/>
  <c r="S125" i="144"/>
  <c r="T125" i="144"/>
  <c r="U125" i="144"/>
  <c r="V125" i="144"/>
  <c r="W125" i="144"/>
  <c r="X125" i="144"/>
  <c r="Y125" i="144"/>
  <c r="Z125" i="144"/>
  <c r="AA125" i="144"/>
  <c r="AB125" i="144"/>
  <c r="AC125" i="144"/>
  <c r="AJ125" i="144"/>
  <c r="AL125" i="144"/>
  <c r="E126" i="144"/>
  <c r="F126" i="144"/>
  <c r="G126" i="144"/>
  <c r="H126" i="144"/>
  <c r="I126" i="144"/>
  <c r="J126" i="144"/>
  <c r="K126" i="144"/>
  <c r="L126" i="144"/>
  <c r="M126" i="144"/>
  <c r="N126" i="144"/>
  <c r="O126" i="144"/>
  <c r="P126" i="144"/>
  <c r="Q126" i="144"/>
  <c r="R126" i="144"/>
  <c r="S126" i="144"/>
  <c r="T126" i="144"/>
  <c r="U126" i="144"/>
  <c r="V126" i="144"/>
  <c r="W126" i="144"/>
  <c r="X126" i="144"/>
  <c r="Y126" i="144"/>
  <c r="Z126" i="144"/>
  <c r="AA126" i="144"/>
  <c r="AB126" i="144"/>
  <c r="AC126" i="144"/>
  <c r="AJ126" i="144"/>
  <c r="AL126" i="144"/>
  <c r="E127" i="144"/>
  <c r="F127" i="144"/>
  <c r="G127" i="144"/>
  <c r="H127" i="144"/>
  <c r="I127" i="144"/>
  <c r="J127" i="144"/>
  <c r="K127" i="144"/>
  <c r="L127" i="144"/>
  <c r="M127" i="144"/>
  <c r="N127" i="144"/>
  <c r="O127" i="144"/>
  <c r="P127" i="144"/>
  <c r="Q127" i="144"/>
  <c r="R127" i="144"/>
  <c r="S127" i="144"/>
  <c r="T127" i="144"/>
  <c r="U127" i="144"/>
  <c r="V127" i="144"/>
  <c r="W127" i="144"/>
  <c r="X127" i="144"/>
  <c r="Y127" i="144"/>
  <c r="Z127" i="144"/>
  <c r="AA127" i="144"/>
  <c r="AB127" i="144"/>
  <c r="AC127" i="144"/>
  <c r="AJ127" i="144"/>
  <c r="AL127" i="144"/>
  <c r="E128" i="144"/>
  <c r="F128" i="144"/>
  <c r="G128" i="144"/>
  <c r="H128" i="144"/>
  <c r="I128" i="144"/>
  <c r="J128" i="144"/>
  <c r="K128" i="144"/>
  <c r="L128" i="144"/>
  <c r="M128" i="144"/>
  <c r="N128" i="144"/>
  <c r="O128" i="144"/>
  <c r="P128" i="144"/>
  <c r="Q128" i="144"/>
  <c r="R128" i="144"/>
  <c r="S128" i="144"/>
  <c r="T128" i="144"/>
  <c r="U128" i="144"/>
  <c r="V128" i="144"/>
  <c r="W128" i="144"/>
  <c r="X128" i="144"/>
  <c r="Y128" i="144"/>
  <c r="Z128" i="144"/>
  <c r="AA128" i="144"/>
  <c r="AB128" i="144"/>
  <c r="AC128" i="144"/>
  <c r="AJ128" i="144"/>
  <c r="AL128" i="144"/>
  <c r="E129" i="144"/>
  <c r="F129" i="144"/>
  <c r="G129" i="144"/>
  <c r="H129" i="144"/>
  <c r="I129" i="144"/>
  <c r="J129" i="144"/>
  <c r="K129" i="144"/>
  <c r="L129" i="144"/>
  <c r="M129" i="144"/>
  <c r="N129" i="144"/>
  <c r="O129" i="144"/>
  <c r="P129" i="144"/>
  <c r="Q129" i="144"/>
  <c r="R129" i="144"/>
  <c r="S129" i="144"/>
  <c r="T129" i="144"/>
  <c r="U129" i="144"/>
  <c r="V129" i="144"/>
  <c r="W129" i="144"/>
  <c r="X129" i="144"/>
  <c r="Y129" i="144"/>
  <c r="Z129" i="144"/>
  <c r="AA129" i="144"/>
  <c r="AB129" i="144"/>
  <c r="AC129" i="144"/>
  <c r="AJ129" i="144"/>
  <c r="AL129" i="144"/>
  <c r="AL117" i="144"/>
  <c r="F117" i="144"/>
  <c r="G117" i="144"/>
  <c r="H117" i="144"/>
  <c r="I117" i="144"/>
  <c r="J117" i="144"/>
  <c r="K117" i="144"/>
  <c r="L117" i="144"/>
  <c r="M117" i="144"/>
  <c r="N117" i="144"/>
  <c r="O117" i="144"/>
  <c r="P117" i="144"/>
  <c r="Q117" i="144"/>
  <c r="R117" i="144"/>
  <c r="S117" i="144"/>
  <c r="T117" i="144"/>
  <c r="U117" i="144"/>
  <c r="V117" i="144"/>
  <c r="W117" i="144"/>
  <c r="X117" i="144"/>
  <c r="Y117" i="144"/>
  <c r="Z117" i="144"/>
  <c r="AA117" i="144"/>
  <c r="AB117" i="144"/>
  <c r="AC117" i="144"/>
  <c r="AD117" i="144"/>
  <c r="AE117" i="144"/>
  <c r="AF117" i="144"/>
  <c r="AG117" i="144"/>
  <c r="AH117" i="144"/>
  <c r="AI117" i="144"/>
  <c r="E117" i="144"/>
  <c r="E105" i="144"/>
  <c r="F105" i="144"/>
  <c r="G105" i="144"/>
  <c r="H105" i="144"/>
  <c r="I105" i="144"/>
  <c r="J105" i="144"/>
  <c r="K105" i="144"/>
  <c r="L105" i="144"/>
  <c r="M105" i="144"/>
  <c r="N105" i="144"/>
  <c r="O105" i="144"/>
  <c r="P105" i="144"/>
  <c r="Q105" i="144"/>
  <c r="R105" i="144"/>
  <c r="S105" i="144"/>
  <c r="T105" i="144"/>
  <c r="U105" i="144"/>
  <c r="V105" i="144"/>
  <c r="W105" i="144"/>
  <c r="X105" i="144"/>
  <c r="Y105" i="144"/>
  <c r="Z105" i="144"/>
  <c r="AA105" i="144"/>
  <c r="AB105" i="144"/>
  <c r="AC105" i="144"/>
  <c r="AD105" i="144"/>
  <c r="AE105" i="144"/>
  <c r="AF105" i="144"/>
  <c r="AG105" i="144"/>
  <c r="AH105" i="144"/>
  <c r="AI105" i="144"/>
  <c r="AJ105" i="144"/>
  <c r="AL105" i="144"/>
  <c r="E106" i="144"/>
  <c r="F106" i="144"/>
  <c r="G106" i="144"/>
  <c r="H106" i="144"/>
  <c r="I106" i="144"/>
  <c r="J106" i="144"/>
  <c r="K106" i="144"/>
  <c r="L106" i="144"/>
  <c r="M106" i="144"/>
  <c r="N106" i="144"/>
  <c r="O106" i="144"/>
  <c r="P106" i="144"/>
  <c r="Q106" i="144"/>
  <c r="R106" i="144"/>
  <c r="S106" i="144"/>
  <c r="T106" i="144"/>
  <c r="U106" i="144"/>
  <c r="V106" i="144"/>
  <c r="W106" i="144"/>
  <c r="X106" i="144"/>
  <c r="Y106" i="144"/>
  <c r="Z106" i="144"/>
  <c r="AA106" i="144"/>
  <c r="AB106" i="144"/>
  <c r="AC106" i="144"/>
  <c r="AD106" i="144"/>
  <c r="AE106" i="144"/>
  <c r="AF106" i="144"/>
  <c r="AG106" i="144"/>
  <c r="AH106" i="144"/>
  <c r="AI106" i="144"/>
  <c r="AJ106" i="144"/>
  <c r="AL106" i="144"/>
  <c r="E107" i="144"/>
  <c r="F107" i="144"/>
  <c r="G107" i="144"/>
  <c r="H107" i="144"/>
  <c r="I107" i="144"/>
  <c r="J107" i="144"/>
  <c r="K107" i="144"/>
  <c r="L107" i="144"/>
  <c r="M107" i="144"/>
  <c r="N107" i="144"/>
  <c r="O107" i="144"/>
  <c r="P107" i="144"/>
  <c r="Q107" i="144"/>
  <c r="R107" i="144"/>
  <c r="S107" i="144"/>
  <c r="T107" i="144"/>
  <c r="U107" i="144"/>
  <c r="V107" i="144"/>
  <c r="W107" i="144"/>
  <c r="X107" i="144"/>
  <c r="Y107" i="144"/>
  <c r="Z107" i="144"/>
  <c r="AA107" i="144"/>
  <c r="AB107" i="144"/>
  <c r="AC107" i="144"/>
  <c r="AD107" i="144"/>
  <c r="AE107" i="144"/>
  <c r="AF107" i="144"/>
  <c r="AG107" i="144"/>
  <c r="AH107" i="144"/>
  <c r="AI107" i="144"/>
  <c r="AJ107" i="144"/>
  <c r="AL107" i="144"/>
  <c r="E108" i="144"/>
  <c r="F108" i="144"/>
  <c r="G108" i="144"/>
  <c r="H108" i="144"/>
  <c r="I108" i="144"/>
  <c r="J108" i="144"/>
  <c r="K108" i="144"/>
  <c r="L108" i="144"/>
  <c r="M108" i="144"/>
  <c r="N108" i="144"/>
  <c r="O108" i="144"/>
  <c r="P108" i="144"/>
  <c r="Q108" i="144"/>
  <c r="R108" i="144"/>
  <c r="S108" i="144"/>
  <c r="T108" i="144"/>
  <c r="U108" i="144"/>
  <c r="V108" i="144"/>
  <c r="W108" i="144"/>
  <c r="X108" i="144"/>
  <c r="Y108" i="144"/>
  <c r="Z108" i="144"/>
  <c r="AA108" i="144"/>
  <c r="AB108" i="144"/>
  <c r="AC108" i="144"/>
  <c r="AD108" i="144"/>
  <c r="AE108" i="144"/>
  <c r="AF108" i="144"/>
  <c r="AG108" i="144"/>
  <c r="AH108" i="144"/>
  <c r="AI108" i="144"/>
  <c r="AJ108" i="144"/>
  <c r="AL108" i="144"/>
  <c r="E109" i="144"/>
  <c r="F109" i="144"/>
  <c r="G109" i="144"/>
  <c r="H109" i="144"/>
  <c r="I109" i="144"/>
  <c r="J109" i="144"/>
  <c r="K109" i="144"/>
  <c r="L109" i="144"/>
  <c r="M109" i="144"/>
  <c r="N109" i="144"/>
  <c r="O109" i="144"/>
  <c r="P109" i="144"/>
  <c r="Q109" i="144"/>
  <c r="R109" i="144"/>
  <c r="S109" i="144"/>
  <c r="T109" i="144"/>
  <c r="U109" i="144"/>
  <c r="V109" i="144"/>
  <c r="W109" i="144"/>
  <c r="X109" i="144"/>
  <c r="Y109" i="144"/>
  <c r="Z109" i="144"/>
  <c r="AA109" i="144"/>
  <c r="AB109" i="144"/>
  <c r="AC109" i="144"/>
  <c r="AD109" i="144"/>
  <c r="AE109" i="144"/>
  <c r="AF109" i="144"/>
  <c r="AG109" i="144"/>
  <c r="AH109" i="144"/>
  <c r="AI109" i="144"/>
  <c r="AJ109" i="144"/>
  <c r="AL109" i="144"/>
  <c r="E110" i="144"/>
  <c r="F110" i="144"/>
  <c r="G110" i="144"/>
  <c r="H110" i="144"/>
  <c r="I110" i="144"/>
  <c r="J110" i="144"/>
  <c r="K110" i="144"/>
  <c r="L110" i="144"/>
  <c r="M110" i="144"/>
  <c r="N110" i="144"/>
  <c r="O110" i="144"/>
  <c r="P110" i="144"/>
  <c r="Q110" i="144"/>
  <c r="R110" i="144"/>
  <c r="S110" i="144"/>
  <c r="T110" i="144"/>
  <c r="U110" i="144"/>
  <c r="V110" i="144"/>
  <c r="W110" i="144"/>
  <c r="X110" i="144"/>
  <c r="Y110" i="144"/>
  <c r="Z110" i="144"/>
  <c r="AA110" i="144"/>
  <c r="AB110" i="144"/>
  <c r="AC110" i="144"/>
  <c r="AD110" i="144"/>
  <c r="AE110" i="144"/>
  <c r="AF110" i="144"/>
  <c r="AG110" i="144"/>
  <c r="AH110" i="144"/>
  <c r="AI110" i="144"/>
  <c r="AJ110" i="144"/>
  <c r="AL110" i="144"/>
  <c r="E111" i="144"/>
  <c r="F111" i="144"/>
  <c r="G111" i="144"/>
  <c r="H111" i="144"/>
  <c r="I111" i="144"/>
  <c r="J111" i="144"/>
  <c r="K111" i="144"/>
  <c r="L111" i="144"/>
  <c r="M111" i="144"/>
  <c r="N111" i="144"/>
  <c r="O111" i="144"/>
  <c r="P111" i="144"/>
  <c r="Q111" i="144"/>
  <c r="R111" i="144"/>
  <c r="S111" i="144"/>
  <c r="T111" i="144"/>
  <c r="U111" i="144"/>
  <c r="V111" i="144"/>
  <c r="W111" i="144"/>
  <c r="X111" i="144"/>
  <c r="Y111" i="144"/>
  <c r="Z111" i="144"/>
  <c r="AA111" i="144"/>
  <c r="AB111" i="144"/>
  <c r="AC111" i="144"/>
  <c r="AD111" i="144"/>
  <c r="AE111" i="144"/>
  <c r="AF111" i="144"/>
  <c r="AG111" i="144"/>
  <c r="AH111" i="144"/>
  <c r="AI111" i="144"/>
  <c r="AJ111" i="144"/>
  <c r="AL111" i="144"/>
  <c r="AL104" i="144"/>
  <c r="F104" i="144"/>
  <c r="G104" i="144"/>
  <c r="H104" i="144"/>
  <c r="I104" i="144"/>
  <c r="J104" i="144"/>
  <c r="K104" i="144"/>
  <c r="L104" i="144"/>
  <c r="M104" i="144"/>
  <c r="N104" i="144"/>
  <c r="O104" i="144"/>
  <c r="P104" i="144"/>
  <c r="Q104" i="144"/>
  <c r="R104" i="144"/>
  <c r="S104" i="144"/>
  <c r="T104" i="144"/>
  <c r="U104" i="144"/>
  <c r="V104" i="144"/>
  <c r="W104" i="144"/>
  <c r="X104" i="144"/>
  <c r="Y104" i="144"/>
  <c r="Z104" i="144"/>
  <c r="AA104" i="144"/>
  <c r="AB104" i="144"/>
  <c r="AC104" i="144"/>
  <c r="AD104" i="144"/>
  <c r="AE104" i="144"/>
  <c r="AF104" i="144"/>
  <c r="AG104" i="144"/>
  <c r="AH104" i="144"/>
  <c r="AI104" i="144"/>
  <c r="E104" i="144"/>
  <c r="E92" i="144"/>
  <c r="F92" i="144"/>
  <c r="G92" i="144"/>
  <c r="H92" i="144"/>
  <c r="I92" i="144"/>
  <c r="J92" i="144"/>
  <c r="K92" i="144"/>
  <c r="L92" i="144"/>
  <c r="M92" i="144"/>
  <c r="N92" i="144"/>
  <c r="O92" i="144"/>
  <c r="P92" i="144"/>
  <c r="Q92" i="144"/>
  <c r="R92" i="144"/>
  <c r="S92" i="144"/>
  <c r="T92" i="144"/>
  <c r="U92" i="144"/>
  <c r="V92" i="144"/>
  <c r="W92" i="144"/>
  <c r="X92" i="144"/>
  <c r="Y92" i="144"/>
  <c r="Z92" i="144"/>
  <c r="AA92" i="144"/>
  <c r="AB92" i="144"/>
  <c r="AC92" i="144"/>
  <c r="AD92" i="144"/>
  <c r="AE92" i="144"/>
  <c r="AF92" i="144"/>
  <c r="AG92" i="144"/>
  <c r="AH92" i="144"/>
  <c r="AI92" i="144"/>
  <c r="AJ92" i="144"/>
  <c r="AL92" i="144"/>
  <c r="E93" i="144"/>
  <c r="F93" i="144"/>
  <c r="G93" i="144"/>
  <c r="H93" i="144"/>
  <c r="I93" i="144"/>
  <c r="J93" i="144"/>
  <c r="K93" i="144"/>
  <c r="L93" i="144"/>
  <c r="M93" i="144"/>
  <c r="N93" i="144"/>
  <c r="O93" i="144"/>
  <c r="P93" i="144"/>
  <c r="Q93" i="144"/>
  <c r="R93" i="144"/>
  <c r="S93" i="144"/>
  <c r="T93" i="144"/>
  <c r="U93" i="144"/>
  <c r="V93" i="144"/>
  <c r="W93" i="144"/>
  <c r="X93" i="144"/>
  <c r="Y93" i="144"/>
  <c r="Z93" i="144"/>
  <c r="AA93" i="144"/>
  <c r="AB93" i="144"/>
  <c r="AC93" i="144"/>
  <c r="AD93" i="144"/>
  <c r="AE93" i="144"/>
  <c r="AF93" i="144"/>
  <c r="AG93" i="144"/>
  <c r="AH93" i="144"/>
  <c r="AI93" i="144"/>
  <c r="AJ93" i="144"/>
  <c r="AL93" i="144"/>
  <c r="E94" i="144"/>
  <c r="F94" i="144"/>
  <c r="G94" i="144"/>
  <c r="H94" i="144"/>
  <c r="I94" i="144"/>
  <c r="J94" i="144"/>
  <c r="K94" i="144"/>
  <c r="L94" i="144"/>
  <c r="M94" i="144"/>
  <c r="N94" i="144"/>
  <c r="O94" i="144"/>
  <c r="P94" i="144"/>
  <c r="Q94" i="144"/>
  <c r="R94" i="144"/>
  <c r="S94" i="144"/>
  <c r="T94" i="144"/>
  <c r="U94" i="144"/>
  <c r="V94" i="144"/>
  <c r="W94" i="144"/>
  <c r="X94" i="144"/>
  <c r="Y94" i="144"/>
  <c r="Z94" i="144"/>
  <c r="AA94" i="144"/>
  <c r="AB94" i="144"/>
  <c r="AC94" i="144"/>
  <c r="AD94" i="144"/>
  <c r="AE94" i="144"/>
  <c r="AF94" i="144"/>
  <c r="AG94" i="144"/>
  <c r="AH94" i="144"/>
  <c r="AI94" i="144"/>
  <c r="AJ94" i="144"/>
  <c r="AL94" i="144"/>
  <c r="E95" i="144"/>
  <c r="F95" i="144"/>
  <c r="G95" i="144"/>
  <c r="H95" i="144"/>
  <c r="I95" i="144"/>
  <c r="J95" i="144"/>
  <c r="K95" i="144"/>
  <c r="L95" i="144"/>
  <c r="M95" i="144"/>
  <c r="N95" i="144"/>
  <c r="O95" i="144"/>
  <c r="P95" i="144"/>
  <c r="Q95" i="144"/>
  <c r="R95" i="144"/>
  <c r="S95" i="144"/>
  <c r="T95" i="144"/>
  <c r="U95" i="144"/>
  <c r="V95" i="144"/>
  <c r="W95" i="144"/>
  <c r="X95" i="144"/>
  <c r="Y95" i="144"/>
  <c r="Z95" i="144"/>
  <c r="AA95" i="144"/>
  <c r="AB95" i="144"/>
  <c r="AC95" i="144"/>
  <c r="AD95" i="144"/>
  <c r="AE95" i="144"/>
  <c r="AF95" i="144"/>
  <c r="AG95" i="144"/>
  <c r="AH95" i="144"/>
  <c r="AI95" i="144"/>
  <c r="AJ95" i="144"/>
  <c r="AL95" i="144"/>
  <c r="E96" i="144"/>
  <c r="F96" i="144"/>
  <c r="G96" i="144"/>
  <c r="H96" i="144"/>
  <c r="I96" i="144"/>
  <c r="J96" i="144"/>
  <c r="K96" i="144"/>
  <c r="L96" i="144"/>
  <c r="M96" i="144"/>
  <c r="N96" i="144"/>
  <c r="O96" i="144"/>
  <c r="P96" i="144"/>
  <c r="Q96" i="144"/>
  <c r="R96" i="144"/>
  <c r="S96" i="144"/>
  <c r="T96" i="144"/>
  <c r="U96" i="144"/>
  <c r="V96" i="144"/>
  <c r="W96" i="144"/>
  <c r="X96" i="144"/>
  <c r="Y96" i="144"/>
  <c r="Z96" i="144"/>
  <c r="AA96" i="144"/>
  <c r="AB96" i="144"/>
  <c r="AC96" i="144"/>
  <c r="AD96" i="144"/>
  <c r="AE96" i="144"/>
  <c r="AF96" i="144"/>
  <c r="AG96" i="144"/>
  <c r="AH96" i="144"/>
  <c r="AI96" i="144"/>
  <c r="AJ96" i="144"/>
  <c r="AL96" i="144"/>
  <c r="E97" i="144"/>
  <c r="F97" i="144"/>
  <c r="G97" i="144"/>
  <c r="H97" i="144"/>
  <c r="I97" i="144"/>
  <c r="J97" i="144"/>
  <c r="K97" i="144"/>
  <c r="L97" i="144"/>
  <c r="M97" i="144"/>
  <c r="N97" i="144"/>
  <c r="O97" i="144"/>
  <c r="P97" i="144"/>
  <c r="Q97" i="144"/>
  <c r="R97" i="144"/>
  <c r="S97" i="144"/>
  <c r="T97" i="144"/>
  <c r="U97" i="144"/>
  <c r="V97" i="144"/>
  <c r="W97" i="144"/>
  <c r="X97" i="144"/>
  <c r="Y97" i="144"/>
  <c r="Z97" i="144"/>
  <c r="AA97" i="144"/>
  <c r="AB97" i="144"/>
  <c r="AC97" i="144"/>
  <c r="AD97" i="144"/>
  <c r="AE97" i="144"/>
  <c r="AF97" i="144"/>
  <c r="AG97" i="144"/>
  <c r="AH97" i="144"/>
  <c r="AI97" i="144"/>
  <c r="AJ97" i="144"/>
  <c r="AL97" i="144"/>
  <c r="E98" i="144"/>
  <c r="F98" i="144"/>
  <c r="G98" i="144"/>
  <c r="H98" i="144"/>
  <c r="I98" i="144"/>
  <c r="J98" i="144"/>
  <c r="K98" i="144"/>
  <c r="L98" i="144"/>
  <c r="M98" i="144"/>
  <c r="N98" i="144"/>
  <c r="O98" i="144"/>
  <c r="P98" i="144"/>
  <c r="Q98" i="144"/>
  <c r="R98" i="144"/>
  <c r="S98" i="144"/>
  <c r="T98" i="144"/>
  <c r="U98" i="144"/>
  <c r="V98" i="144"/>
  <c r="W98" i="144"/>
  <c r="X98" i="144"/>
  <c r="Y98" i="144"/>
  <c r="Z98" i="144"/>
  <c r="AA98" i="144"/>
  <c r="AB98" i="144"/>
  <c r="AC98" i="144"/>
  <c r="AD98" i="144"/>
  <c r="AE98" i="144"/>
  <c r="AF98" i="144"/>
  <c r="AG98" i="144"/>
  <c r="AH98" i="144"/>
  <c r="AI98" i="144"/>
  <c r="AJ98" i="144"/>
  <c r="AL98" i="144"/>
  <c r="AL91" i="144"/>
  <c r="F91" i="144"/>
  <c r="G91" i="144"/>
  <c r="H91" i="144"/>
  <c r="I91" i="144"/>
  <c r="J91" i="144"/>
  <c r="K91" i="144"/>
  <c r="L91" i="144"/>
  <c r="M91" i="144"/>
  <c r="N91" i="144"/>
  <c r="O91" i="144"/>
  <c r="P91" i="144"/>
  <c r="Q91" i="144"/>
  <c r="R91" i="144"/>
  <c r="S91" i="144"/>
  <c r="T91" i="144"/>
  <c r="U91" i="144"/>
  <c r="V91" i="144"/>
  <c r="W91" i="144"/>
  <c r="X91" i="144"/>
  <c r="Y91" i="144"/>
  <c r="Z91" i="144"/>
  <c r="AA91" i="144"/>
  <c r="AB91" i="144"/>
  <c r="AC91" i="144"/>
  <c r="AD91" i="144"/>
  <c r="AE91" i="144"/>
  <c r="AF91" i="144"/>
  <c r="AG91" i="144"/>
  <c r="AH91" i="144"/>
  <c r="AI91" i="144"/>
  <c r="E91" i="144"/>
  <c r="E79" i="144"/>
  <c r="F79" i="144"/>
  <c r="G79" i="144"/>
  <c r="H79" i="144"/>
  <c r="I79" i="144"/>
  <c r="J79" i="144"/>
  <c r="K79" i="144"/>
  <c r="L79" i="144"/>
  <c r="M79" i="144"/>
  <c r="N79" i="144"/>
  <c r="O79" i="144"/>
  <c r="P79" i="144"/>
  <c r="Q79" i="144"/>
  <c r="R79" i="144"/>
  <c r="S79" i="144"/>
  <c r="T79" i="144"/>
  <c r="U79" i="144"/>
  <c r="V79" i="144"/>
  <c r="W79" i="144"/>
  <c r="X79" i="144"/>
  <c r="Y79" i="144"/>
  <c r="Z79" i="144"/>
  <c r="AA79" i="144"/>
  <c r="AB79" i="144"/>
  <c r="AC79" i="144"/>
  <c r="AD79" i="144"/>
  <c r="AE79" i="144"/>
  <c r="AF79" i="144"/>
  <c r="AG79" i="144"/>
  <c r="AH79" i="144"/>
  <c r="AI79" i="144"/>
  <c r="AJ79" i="144"/>
  <c r="AL79" i="144"/>
  <c r="E80" i="144"/>
  <c r="F80" i="144"/>
  <c r="G80" i="144"/>
  <c r="H80" i="144"/>
  <c r="I80" i="144"/>
  <c r="J80" i="144"/>
  <c r="K80" i="144"/>
  <c r="L80" i="144"/>
  <c r="M80" i="144"/>
  <c r="N80" i="144"/>
  <c r="O80" i="144"/>
  <c r="P80" i="144"/>
  <c r="Q80" i="144"/>
  <c r="R80" i="144"/>
  <c r="S80" i="144"/>
  <c r="T80" i="144"/>
  <c r="U80" i="144"/>
  <c r="V80" i="144"/>
  <c r="W80" i="144"/>
  <c r="X80" i="144"/>
  <c r="Y80" i="144"/>
  <c r="Z80" i="144"/>
  <c r="AA80" i="144"/>
  <c r="AB80" i="144"/>
  <c r="AC80" i="144"/>
  <c r="AD80" i="144"/>
  <c r="AE80" i="144"/>
  <c r="AF80" i="144"/>
  <c r="AG80" i="144"/>
  <c r="AH80" i="144"/>
  <c r="AI80" i="144"/>
  <c r="AJ80" i="144"/>
  <c r="AL80" i="144"/>
  <c r="E81" i="144"/>
  <c r="F81" i="144"/>
  <c r="G81" i="144"/>
  <c r="H81" i="144"/>
  <c r="I81" i="144"/>
  <c r="J81" i="144"/>
  <c r="K81" i="144"/>
  <c r="L81" i="144"/>
  <c r="M81" i="144"/>
  <c r="N81" i="144"/>
  <c r="O81" i="144"/>
  <c r="P81" i="144"/>
  <c r="Q81" i="144"/>
  <c r="R81" i="144"/>
  <c r="S81" i="144"/>
  <c r="T81" i="144"/>
  <c r="U81" i="144"/>
  <c r="V81" i="144"/>
  <c r="W81" i="144"/>
  <c r="X81" i="144"/>
  <c r="Y81" i="144"/>
  <c r="Z81" i="144"/>
  <c r="AA81" i="144"/>
  <c r="AB81" i="144"/>
  <c r="AC81" i="144"/>
  <c r="AD81" i="144"/>
  <c r="AE81" i="144"/>
  <c r="AF81" i="144"/>
  <c r="AG81" i="144"/>
  <c r="AH81" i="144"/>
  <c r="AI81" i="144"/>
  <c r="AJ81" i="144"/>
  <c r="AL81" i="144"/>
  <c r="E82" i="144"/>
  <c r="F82" i="144"/>
  <c r="G82" i="144"/>
  <c r="H82" i="144"/>
  <c r="I82" i="144"/>
  <c r="J82" i="144"/>
  <c r="K82" i="144"/>
  <c r="L82" i="144"/>
  <c r="M82" i="144"/>
  <c r="N82" i="144"/>
  <c r="O82" i="144"/>
  <c r="P82" i="144"/>
  <c r="Q82" i="144"/>
  <c r="R82" i="144"/>
  <c r="S82" i="144"/>
  <c r="T82" i="144"/>
  <c r="U82" i="144"/>
  <c r="V82" i="144"/>
  <c r="W82" i="144"/>
  <c r="X82" i="144"/>
  <c r="Y82" i="144"/>
  <c r="Z82" i="144"/>
  <c r="AA82" i="144"/>
  <c r="AB82" i="144"/>
  <c r="AC82" i="144"/>
  <c r="AD82" i="144"/>
  <c r="AE82" i="144"/>
  <c r="AF82" i="144"/>
  <c r="AG82" i="144"/>
  <c r="AH82" i="144"/>
  <c r="AI82" i="144"/>
  <c r="AJ82" i="144"/>
  <c r="AL82" i="144"/>
  <c r="E83" i="144"/>
  <c r="F83" i="144"/>
  <c r="G83" i="144"/>
  <c r="H83" i="144"/>
  <c r="I83" i="144"/>
  <c r="J83" i="144"/>
  <c r="K83" i="144"/>
  <c r="L83" i="144"/>
  <c r="M83" i="144"/>
  <c r="N83" i="144"/>
  <c r="O83" i="144"/>
  <c r="P83" i="144"/>
  <c r="Q83" i="144"/>
  <c r="R83" i="144"/>
  <c r="S83" i="144"/>
  <c r="T83" i="144"/>
  <c r="U83" i="144"/>
  <c r="V83" i="144"/>
  <c r="W83" i="144"/>
  <c r="X83" i="144"/>
  <c r="Y83" i="144"/>
  <c r="Z83" i="144"/>
  <c r="AA83" i="144"/>
  <c r="AB83" i="144"/>
  <c r="AC83" i="144"/>
  <c r="AD83" i="144"/>
  <c r="AE83" i="144"/>
  <c r="AF83" i="144"/>
  <c r="AG83" i="144"/>
  <c r="AH83" i="144"/>
  <c r="AI83" i="144"/>
  <c r="AJ83" i="144"/>
  <c r="AL83" i="144"/>
  <c r="E84" i="144"/>
  <c r="F84" i="144"/>
  <c r="G84" i="144"/>
  <c r="H84" i="144"/>
  <c r="I84" i="144"/>
  <c r="J84" i="144"/>
  <c r="K84" i="144"/>
  <c r="L84" i="144"/>
  <c r="M84" i="144"/>
  <c r="N84" i="144"/>
  <c r="O84" i="144"/>
  <c r="P84" i="144"/>
  <c r="Q84" i="144"/>
  <c r="R84" i="144"/>
  <c r="S84" i="144"/>
  <c r="T84" i="144"/>
  <c r="U84" i="144"/>
  <c r="V84" i="144"/>
  <c r="W84" i="144"/>
  <c r="X84" i="144"/>
  <c r="Y84" i="144"/>
  <c r="Z84" i="144"/>
  <c r="AA84" i="144"/>
  <c r="AB84" i="144"/>
  <c r="AC84" i="144"/>
  <c r="AD84" i="144"/>
  <c r="AE84" i="144"/>
  <c r="AF84" i="144"/>
  <c r="AG84" i="144"/>
  <c r="AH84" i="144"/>
  <c r="AI84" i="144"/>
  <c r="AJ84" i="144"/>
  <c r="AL84" i="144"/>
  <c r="E85" i="144"/>
  <c r="F85" i="144"/>
  <c r="G85" i="144"/>
  <c r="H85" i="144"/>
  <c r="I85" i="144"/>
  <c r="J85" i="144"/>
  <c r="K85" i="144"/>
  <c r="L85" i="144"/>
  <c r="M85" i="144"/>
  <c r="N85" i="144"/>
  <c r="O85" i="144"/>
  <c r="P85" i="144"/>
  <c r="Q85" i="144"/>
  <c r="R85" i="144"/>
  <c r="S85" i="144"/>
  <c r="T85" i="144"/>
  <c r="U85" i="144"/>
  <c r="V85" i="144"/>
  <c r="W85" i="144"/>
  <c r="X85" i="144"/>
  <c r="Y85" i="144"/>
  <c r="Z85" i="144"/>
  <c r="AA85" i="144"/>
  <c r="AB85" i="144"/>
  <c r="AC85" i="144"/>
  <c r="AD85" i="144"/>
  <c r="AE85" i="144"/>
  <c r="AF85" i="144"/>
  <c r="AG85" i="144"/>
  <c r="AH85" i="144"/>
  <c r="AI85" i="144"/>
  <c r="AJ85" i="144"/>
  <c r="AL85" i="144"/>
  <c r="AL78" i="144"/>
  <c r="F78" i="144"/>
  <c r="G78" i="144"/>
  <c r="H78" i="144"/>
  <c r="I78" i="144"/>
  <c r="J78" i="144"/>
  <c r="K78" i="144"/>
  <c r="L78" i="144"/>
  <c r="M78" i="144"/>
  <c r="N78" i="144"/>
  <c r="O78" i="144"/>
  <c r="P78" i="144"/>
  <c r="Q78" i="144"/>
  <c r="R78" i="144"/>
  <c r="S78" i="144"/>
  <c r="T78" i="144"/>
  <c r="U78" i="144"/>
  <c r="V78" i="144"/>
  <c r="W78" i="144"/>
  <c r="X78" i="144"/>
  <c r="Y78" i="144"/>
  <c r="Z78" i="144"/>
  <c r="AA78" i="144"/>
  <c r="AB78" i="144"/>
  <c r="AC78" i="144"/>
  <c r="AD78" i="144"/>
  <c r="AE78" i="144"/>
  <c r="AF78" i="144"/>
  <c r="AG78" i="144"/>
  <c r="AH78" i="144"/>
  <c r="AI78" i="144"/>
  <c r="E78" i="144"/>
  <c r="E66" i="144"/>
  <c r="F66" i="144"/>
  <c r="G66" i="144"/>
  <c r="H66" i="144"/>
  <c r="I66" i="144"/>
  <c r="J66" i="144"/>
  <c r="K66" i="144"/>
  <c r="L66" i="144"/>
  <c r="M66" i="144"/>
  <c r="N66" i="144"/>
  <c r="O66" i="144"/>
  <c r="P66" i="144"/>
  <c r="Q66" i="144"/>
  <c r="R66" i="144"/>
  <c r="S66" i="144"/>
  <c r="T66" i="144"/>
  <c r="U66" i="144"/>
  <c r="V66" i="144"/>
  <c r="W66" i="144"/>
  <c r="X66" i="144"/>
  <c r="Y66" i="144"/>
  <c r="Z66" i="144"/>
  <c r="AA66" i="144"/>
  <c r="AB66" i="144"/>
  <c r="AC66" i="144"/>
  <c r="AD66" i="144"/>
  <c r="AE66" i="144"/>
  <c r="AF66" i="144"/>
  <c r="AG66" i="144"/>
  <c r="AH66" i="144"/>
  <c r="AI66" i="144"/>
  <c r="AJ66" i="144"/>
  <c r="AL66" i="144"/>
  <c r="E67" i="144"/>
  <c r="F67" i="144"/>
  <c r="G67" i="144"/>
  <c r="H67" i="144"/>
  <c r="I67" i="144"/>
  <c r="J67" i="144"/>
  <c r="K67" i="144"/>
  <c r="L67" i="144"/>
  <c r="M67" i="144"/>
  <c r="N67" i="144"/>
  <c r="O67" i="144"/>
  <c r="P67" i="144"/>
  <c r="Q67" i="144"/>
  <c r="R67" i="144"/>
  <c r="S67" i="144"/>
  <c r="T67" i="144"/>
  <c r="U67" i="144"/>
  <c r="V67" i="144"/>
  <c r="W67" i="144"/>
  <c r="X67" i="144"/>
  <c r="Y67" i="144"/>
  <c r="Z67" i="144"/>
  <c r="AA67" i="144"/>
  <c r="AB67" i="144"/>
  <c r="AC67" i="144"/>
  <c r="AD67" i="144"/>
  <c r="AE67" i="144"/>
  <c r="AF67" i="144"/>
  <c r="AG67" i="144"/>
  <c r="AH67" i="144"/>
  <c r="AI67" i="144"/>
  <c r="AJ67" i="144"/>
  <c r="AL67" i="144"/>
  <c r="E68" i="144"/>
  <c r="F68" i="144"/>
  <c r="G68" i="144"/>
  <c r="H68" i="144"/>
  <c r="I68" i="144"/>
  <c r="J68" i="144"/>
  <c r="K68" i="144"/>
  <c r="L68" i="144"/>
  <c r="M68" i="144"/>
  <c r="N68" i="144"/>
  <c r="O68" i="144"/>
  <c r="P68" i="144"/>
  <c r="Q68" i="144"/>
  <c r="R68" i="144"/>
  <c r="S68" i="144"/>
  <c r="T68" i="144"/>
  <c r="U68" i="144"/>
  <c r="V68" i="144"/>
  <c r="W68" i="144"/>
  <c r="X68" i="144"/>
  <c r="Y68" i="144"/>
  <c r="Z68" i="144"/>
  <c r="AA68" i="144"/>
  <c r="AB68" i="144"/>
  <c r="AC68" i="144"/>
  <c r="AD68" i="144"/>
  <c r="AE68" i="144"/>
  <c r="AF68" i="144"/>
  <c r="AG68" i="144"/>
  <c r="AH68" i="144"/>
  <c r="AI68" i="144"/>
  <c r="AJ68" i="144"/>
  <c r="AL68" i="144"/>
  <c r="E69" i="144"/>
  <c r="F69" i="144"/>
  <c r="G69" i="144"/>
  <c r="H69" i="144"/>
  <c r="I69" i="144"/>
  <c r="J69" i="144"/>
  <c r="K69" i="144"/>
  <c r="L69" i="144"/>
  <c r="M69" i="144"/>
  <c r="N69" i="144"/>
  <c r="O69" i="144"/>
  <c r="P69" i="144"/>
  <c r="Q69" i="144"/>
  <c r="R69" i="144"/>
  <c r="S69" i="144"/>
  <c r="T69" i="144"/>
  <c r="U69" i="144"/>
  <c r="V69" i="144"/>
  <c r="W69" i="144"/>
  <c r="X69" i="144"/>
  <c r="Y69" i="144"/>
  <c r="Z69" i="144"/>
  <c r="AA69" i="144"/>
  <c r="AB69" i="144"/>
  <c r="AC69" i="144"/>
  <c r="AD69" i="144"/>
  <c r="AE69" i="144"/>
  <c r="AF69" i="144"/>
  <c r="AG69" i="144"/>
  <c r="AH69" i="144"/>
  <c r="AI69" i="144"/>
  <c r="AJ69" i="144"/>
  <c r="AL69" i="144"/>
  <c r="E70" i="144"/>
  <c r="F70" i="144"/>
  <c r="G70" i="144"/>
  <c r="H70" i="144"/>
  <c r="I70" i="144"/>
  <c r="J70" i="144"/>
  <c r="K70" i="144"/>
  <c r="L70" i="144"/>
  <c r="M70" i="144"/>
  <c r="N70" i="144"/>
  <c r="O70" i="144"/>
  <c r="P70" i="144"/>
  <c r="Q70" i="144"/>
  <c r="R70" i="144"/>
  <c r="S70" i="144"/>
  <c r="T70" i="144"/>
  <c r="U70" i="144"/>
  <c r="V70" i="144"/>
  <c r="W70" i="144"/>
  <c r="X70" i="144"/>
  <c r="Y70" i="144"/>
  <c r="Z70" i="144"/>
  <c r="AA70" i="144"/>
  <c r="AB70" i="144"/>
  <c r="AC70" i="144"/>
  <c r="AD70" i="144"/>
  <c r="AE70" i="144"/>
  <c r="AF70" i="144"/>
  <c r="AG70" i="144"/>
  <c r="AH70" i="144"/>
  <c r="AI70" i="144"/>
  <c r="AJ70" i="144"/>
  <c r="AL70" i="144"/>
  <c r="E71" i="144"/>
  <c r="F71" i="144"/>
  <c r="G71" i="144"/>
  <c r="H71" i="144"/>
  <c r="I71" i="144"/>
  <c r="J71" i="144"/>
  <c r="K71" i="144"/>
  <c r="L71" i="144"/>
  <c r="M71" i="144"/>
  <c r="N71" i="144"/>
  <c r="O71" i="144"/>
  <c r="P71" i="144"/>
  <c r="Q71" i="144"/>
  <c r="R71" i="144"/>
  <c r="S71" i="144"/>
  <c r="T71" i="144"/>
  <c r="U71" i="144"/>
  <c r="V71" i="144"/>
  <c r="W71" i="144"/>
  <c r="X71" i="144"/>
  <c r="Y71" i="144"/>
  <c r="Z71" i="144"/>
  <c r="AA71" i="144"/>
  <c r="AB71" i="144"/>
  <c r="AC71" i="144"/>
  <c r="AD71" i="144"/>
  <c r="AE71" i="144"/>
  <c r="AF71" i="144"/>
  <c r="AG71" i="144"/>
  <c r="AH71" i="144"/>
  <c r="AI71" i="144"/>
  <c r="AJ71" i="144"/>
  <c r="AL71" i="144"/>
  <c r="E72" i="144"/>
  <c r="F72" i="144"/>
  <c r="G72" i="144"/>
  <c r="H72" i="144"/>
  <c r="I72" i="144"/>
  <c r="J72" i="144"/>
  <c r="K72" i="144"/>
  <c r="L72" i="144"/>
  <c r="M72" i="144"/>
  <c r="N72" i="144"/>
  <c r="O72" i="144"/>
  <c r="P72" i="144"/>
  <c r="Q72" i="144"/>
  <c r="R72" i="144"/>
  <c r="S72" i="144"/>
  <c r="T72" i="144"/>
  <c r="U72" i="144"/>
  <c r="V72" i="144"/>
  <c r="W72" i="144"/>
  <c r="X72" i="144"/>
  <c r="Y72" i="144"/>
  <c r="Z72" i="144"/>
  <c r="AA72" i="144"/>
  <c r="AB72" i="144"/>
  <c r="AC72" i="144"/>
  <c r="AD72" i="144"/>
  <c r="AE72" i="144"/>
  <c r="AF72" i="144"/>
  <c r="AG72" i="144"/>
  <c r="AH72" i="144"/>
  <c r="AI72" i="144"/>
  <c r="AJ72" i="144"/>
  <c r="AL72" i="144"/>
  <c r="AL65" i="144"/>
  <c r="F65" i="144"/>
  <c r="G65" i="144"/>
  <c r="H65" i="144"/>
  <c r="I65" i="144"/>
  <c r="J65" i="144"/>
  <c r="K65" i="144"/>
  <c r="L65" i="144"/>
  <c r="M65" i="144"/>
  <c r="N65" i="144"/>
  <c r="O65" i="144"/>
  <c r="P65" i="144"/>
  <c r="Q65" i="144"/>
  <c r="R65" i="144"/>
  <c r="S65" i="144"/>
  <c r="T65" i="144"/>
  <c r="U65" i="144"/>
  <c r="V65" i="144"/>
  <c r="W65" i="144"/>
  <c r="X65" i="144"/>
  <c r="Y65" i="144"/>
  <c r="Z65" i="144"/>
  <c r="AA65" i="144"/>
  <c r="AB65" i="144"/>
  <c r="AC65" i="144"/>
  <c r="AD65" i="144"/>
  <c r="AE65" i="144"/>
  <c r="AF65" i="144"/>
  <c r="AG65" i="144"/>
  <c r="AH65" i="144"/>
  <c r="AI65" i="144"/>
  <c r="E65" i="144"/>
  <c r="E53" i="144"/>
  <c r="F53" i="144"/>
  <c r="G53" i="144"/>
  <c r="H53" i="144"/>
  <c r="I53" i="144"/>
  <c r="J53" i="144"/>
  <c r="K53" i="144"/>
  <c r="L53" i="144"/>
  <c r="M53" i="144"/>
  <c r="N53" i="144"/>
  <c r="O53" i="144"/>
  <c r="P53" i="144"/>
  <c r="Q53" i="144"/>
  <c r="R53" i="144"/>
  <c r="S53" i="144"/>
  <c r="T53" i="144"/>
  <c r="U53" i="144"/>
  <c r="V53" i="144"/>
  <c r="W53" i="144"/>
  <c r="X53" i="144"/>
  <c r="Y53" i="144"/>
  <c r="Z53" i="144"/>
  <c r="AA53" i="144"/>
  <c r="AB53" i="144"/>
  <c r="AC53" i="144"/>
  <c r="AD53" i="144"/>
  <c r="AE53" i="144"/>
  <c r="AF53" i="144"/>
  <c r="AG53" i="144"/>
  <c r="AH53" i="144"/>
  <c r="AI53" i="144"/>
  <c r="AJ53" i="144"/>
  <c r="AL53" i="144"/>
  <c r="E54" i="144"/>
  <c r="F54" i="144"/>
  <c r="G54" i="144"/>
  <c r="H54" i="144"/>
  <c r="I54" i="144"/>
  <c r="J54" i="144"/>
  <c r="K54" i="144"/>
  <c r="L54" i="144"/>
  <c r="M54" i="144"/>
  <c r="N54" i="144"/>
  <c r="O54" i="144"/>
  <c r="P54" i="144"/>
  <c r="Q54" i="144"/>
  <c r="R54" i="144"/>
  <c r="S54" i="144"/>
  <c r="T54" i="144"/>
  <c r="U54" i="144"/>
  <c r="V54" i="144"/>
  <c r="W54" i="144"/>
  <c r="X54" i="144"/>
  <c r="Y54" i="144"/>
  <c r="Z54" i="144"/>
  <c r="AA54" i="144"/>
  <c r="AB54" i="144"/>
  <c r="AC54" i="144"/>
  <c r="AD54" i="144"/>
  <c r="AE54" i="144"/>
  <c r="AF54" i="144"/>
  <c r="AG54" i="144"/>
  <c r="AH54" i="144"/>
  <c r="AI54" i="144"/>
  <c r="AJ54" i="144"/>
  <c r="AL54" i="144"/>
  <c r="E55" i="144"/>
  <c r="F55" i="144"/>
  <c r="G55" i="144"/>
  <c r="H55" i="144"/>
  <c r="I55" i="144"/>
  <c r="J55" i="144"/>
  <c r="K55" i="144"/>
  <c r="L55" i="144"/>
  <c r="M55" i="144"/>
  <c r="N55" i="144"/>
  <c r="O55" i="144"/>
  <c r="P55" i="144"/>
  <c r="Q55" i="144"/>
  <c r="R55" i="144"/>
  <c r="S55" i="144"/>
  <c r="T55" i="144"/>
  <c r="U55" i="144"/>
  <c r="V55" i="144"/>
  <c r="W55" i="144"/>
  <c r="X55" i="144"/>
  <c r="Y55" i="144"/>
  <c r="Z55" i="144"/>
  <c r="AA55" i="144"/>
  <c r="AB55" i="144"/>
  <c r="AC55" i="144"/>
  <c r="AD55" i="144"/>
  <c r="AE55" i="144"/>
  <c r="AF55" i="144"/>
  <c r="AG55" i="144"/>
  <c r="AH55" i="144"/>
  <c r="AI55" i="144"/>
  <c r="AJ55" i="144"/>
  <c r="AL55" i="144"/>
  <c r="E56" i="144"/>
  <c r="F56" i="144"/>
  <c r="G56" i="144"/>
  <c r="H56" i="144"/>
  <c r="I56" i="144"/>
  <c r="J56" i="144"/>
  <c r="K56" i="144"/>
  <c r="L56" i="144"/>
  <c r="M56" i="144"/>
  <c r="N56" i="144"/>
  <c r="O56" i="144"/>
  <c r="P56" i="144"/>
  <c r="Q56" i="144"/>
  <c r="R56" i="144"/>
  <c r="S56" i="144"/>
  <c r="T56" i="144"/>
  <c r="U56" i="144"/>
  <c r="V56" i="144"/>
  <c r="W56" i="144"/>
  <c r="X56" i="144"/>
  <c r="Y56" i="144"/>
  <c r="Z56" i="144"/>
  <c r="AA56" i="144"/>
  <c r="AB56" i="144"/>
  <c r="AC56" i="144"/>
  <c r="AD56" i="144"/>
  <c r="AE56" i="144"/>
  <c r="AF56" i="144"/>
  <c r="AG56" i="144"/>
  <c r="AH56" i="144"/>
  <c r="AI56" i="144"/>
  <c r="AJ56" i="144"/>
  <c r="AL56" i="144"/>
  <c r="E57" i="144"/>
  <c r="F57" i="144"/>
  <c r="G57" i="144"/>
  <c r="H57" i="144"/>
  <c r="I57" i="144"/>
  <c r="J57" i="144"/>
  <c r="K57" i="144"/>
  <c r="L57" i="144"/>
  <c r="M57" i="144"/>
  <c r="N57" i="144"/>
  <c r="O57" i="144"/>
  <c r="P57" i="144"/>
  <c r="Q57" i="144"/>
  <c r="R57" i="144"/>
  <c r="S57" i="144"/>
  <c r="T57" i="144"/>
  <c r="U57" i="144"/>
  <c r="V57" i="144"/>
  <c r="W57" i="144"/>
  <c r="X57" i="144"/>
  <c r="Y57" i="144"/>
  <c r="Z57" i="144"/>
  <c r="AA57" i="144"/>
  <c r="AB57" i="144"/>
  <c r="AC57" i="144"/>
  <c r="AD57" i="144"/>
  <c r="AE57" i="144"/>
  <c r="AF57" i="144"/>
  <c r="AG57" i="144"/>
  <c r="AH57" i="144"/>
  <c r="AI57" i="144"/>
  <c r="AJ57" i="144"/>
  <c r="AL57" i="144"/>
  <c r="E58" i="144"/>
  <c r="F58" i="144"/>
  <c r="G58" i="144"/>
  <c r="H58" i="144"/>
  <c r="I58" i="144"/>
  <c r="J58" i="144"/>
  <c r="K58" i="144"/>
  <c r="L58" i="144"/>
  <c r="M58" i="144"/>
  <c r="N58" i="144"/>
  <c r="O58" i="144"/>
  <c r="P58" i="144"/>
  <c r="Q58" i="144"/>
  <c r="R58" i="144"/>
  <c r="S58" i="144"/>
  <c r="T58" i="144"/>
  <c r="U58" i="144"/>
  <c r="V58" i="144"/>
  <c r="W58" i="144"/>
  <c r="X58" i="144"/>
  <c r="Y58" i="144"/>
  <c r="Z58" i="144"/>
  <c r="AA58" i="144"/>
  <c r="AB58" i="144"/>
  <c r="AC58" i="144"/>
  <c r="AD58" i="144"/>
  <c r="AE58" i="144"/>
  <c r="AF58" i="144"/>
  <c r="AG58" i="144"/>
  <c r="AH58" i="144"/>
  <c r="AI58" i="144"/>
  <c r="AJ58" i="144"/>
  <c r="AL58" i="144"/>
  <c r="E59" i="144"/>
  <c r="F59" i="144"/>
  <c r="G59" i="144"/>
  <c r="H59" i="144"/>
  <c r="I59" i="144"/>
  <c r="J59" i="144"/>
  <c r="K59" i="144"/>
  <c r="L59" i="144"/>
  <c r="M59" i="144"/>
  <c r="N59" i="144"/>
  <c r="O59" i="144"/>
  <c r="P59" i="144"/>
  <c r="Q59" i="144"/>
  <c r="R59" i="144"/>
  <c r="S59" i="144"/>
  <c r="T59" i="144"/>
  <c r="U59" i="144"/>
  <c r="V59" i="144"/>
  <c r="W59" i="144"/>
  <c r="X59" i="144"/>
  <c r="Y59" i="144"/>
  <c r="Z59" i="144"/>
  <c r="AA59" i="144"/>
  <c r="AB59" i="144"/>
  <c r="AC59" i="144"/>
  <c r="AD59" i="144"/>
  <c r="AE59" i="144"/>
  <c r="AF59" i="144"/>
  <c r="AG59" i="144"/>
  <c r="AH59" i="144"/>
  <c r="AI59" i="144"/>
  <c r="AJ59" i="144"/>
  <c r="AL59" i="144"/>
  <c r="AL52" i="144"/>
  <c r="F52" i="144"/>
  <c r="G52" i="144"/>
  <c r="H52" i="144"/>
  <c r="I52" i="144"/>
  <c r="J52" i="144"/>
  <c r="K52" i="144"/>
  <c r="L52" i="144"/>
  <c r="M52" i="144"/>
  <c r="N52" i="144"/>
  <c r="O52" i="144"/>
  <c r="P52" i="144"/>
  <c r="Q52" i="144"/>
  <c r="R52" i="144"/>
  <c r="S52" i="144"/>
  <c r="T52" i="144"/>
  <c r="U52" i="144"/>
  <c r="V52" i="144"/>
  <c r="W52" i="144"/>
  <c r="X52" i="144"/>
  <c r="Y52" i="144"/>
  <c r="Z52" i="144"/>
  <c r="AA52" i="144"/>
  <c r="AB52" i="144"/>
  <c r="AC52" i="144"/>
  <c r="AD52" i="144"/>
  <c r="AE52" i="144"/>
  <c r="AF52" i="144"/>
  <c r="AG52" i="144"/>
  <c r="AH52" i="144"/>
  <c r="AI52" i="144"/>
  <c r="E52" i="144"/>
  <c r="E40" i="144"/>
  <c r="F40" i="144"/>
  <c r="G40" i="144"/>
  <c r="H40" i="144"/>
  <c r="I40" i="144"/>
  <c r="J40" i="144"/>
  <c r="K40" i="144"/>
  <c r="L40" i="144"/>
  <c r="M40" i="144"/>
  <c r="N40" i="144"/>
  <c r="O40" i="144"/>
  <c r="P40" i="144"/>
  <c r="Q40" i="144"/>
  <c r="R40" i="144"/>
  <c r="S40" i="144"/>
  <c r="T40" i="144"/>
  <c r="U40" i="144"/>
  <c r="V40" i="144"/>
  <c r="W40" i="144"/>
  <c r="X40" i="144"/>
  <c r="Y40" i="144"/>
  <c r="Z40" i="144"/>
  <c r="AA40" i="144"/>
  <c r="AB40" i="144"/>
  <c r="AC40" i="144"/>
  <c r="AD40" i="144"/>
  <c r="AE40" i="144"/>
  <c r="AF40" i="144"/>
  <c r="AG40" i="144"/>
  <c r="AH40" i="144"/>
  <c r="AI40" i="144"/>
  <c r="AJ40" i="144"/>
  <c r="AL40" i="144"/>
  <c r="E41" i="144"/>
  <c r="F41" i="144"/>
  <c r="G41" i="144"/>
  <c r="H41" i="144"/>
  <c r="I41" i="144"/>
  <c r="J41" i="144"/>
  <c r="K41" i="144"/>
  <c r="L41" i="144"/>
  <c r="M41" i="144"/>
  <c r="N41" i="144"/>
  <c r="O41" i="144"/>
  <c r="P41" i="144"/>
  <c r="Q41" i="144"/>
  <c r="R41" i="144"/>
  <c r="S41" i="144"/>
  <c r="T41" i="144"/>
  <c r="U41" i="144"/>
  <c r="V41" i="144"/>
  <c r="W41" i="144"/>
  <c r="X41" i="144"/>
  <c r="Y41" i="144"/>
  <c r="Z41" i="144"/>
  <c r="AA41" i="144"/>
  <c r="AB41" i="144"/>
  <c r="AC41" i="144"/>
  <c r="AD41" i="144"/>
  <c r="AE41" i="144"/>
  <c r="AF41" i="144"/>
  <c r="AG41" i="144"/>
  <c r="AH41" i="144"/>
  <c r="AI41" i="144"/>
  <c r="AJ41" i="144"/>
  <c r="AL41" i="144"/>
  <c r="E42" i="144"/>
  <c r="F42" i="144"/>
  <c r="G42" i="144"/>
  <c r="H42" i="144"/>
  <c r="I42" i="144"/>
  <c r="J42" i="144"/>
  <c r="K42" i="144"/>
  <c r="L42" i="144"/>
  <c r="M42" i="144"/>
  <c r="N42" i="144"/>
  <c r="O42" i="144"/>
  <c r="P42" i="144"/>
  <c r="Q42" i="144"/>
  <c r="R42" i="144"/>
  <c r="S42" i="144"/>
  <c r="T42" i="144"/>
  <c r="U42" i="144"/>
  <c r="V42" i="144"/>
  <c r="W42" i="144"/>
  <c r="X42" i="144"/>
  <c r="Y42" i="144"/>
  <c r="Z42" i="144"/>
  <c r="AA42" i="144"/>
  <c r="AB42" i="144"/>
  <c r="AC42" i="144"/>
  <c r="AD42" i="144"/>
  <c r="AE42" i="144"/>
  <c r="AF42" i="144"/>
  <c r="AG42" i="144"/>
  <c r="AH42" i="144"/>
  <c r="AI42" i="144"/>
  <c r="AJ42" i="144"/>
  <c r="AL42" i="144"/>
  <c r="E43" i="144"/>
  <c r="F43" i="144"/>
  <c r="G43" i="144"/>
  <c r="H43" i="144"/>
  <c r="I43" i="144"/>
  <c r="J43" i="144"/>
  <c r="K43" i="144"/>
  <c r="L43" i="144"/>
  <c r="M43" i="144"/>
  <c r="N43" i="144"/>
  <c r="O43" i="144"/>
  <c r="P43" i="144"/>
  <c r="Q43" i="144"/>
  <c r="R43" i="144"/>
  <c r="S43" i="144"/>
  <c r="T43" i="144"/>
  <c r="U43" i="144"/>
  <c r="V43" i="144"/>
  <c r="W43" i="144"/>
  <c r="X43" i="144"/>
  <c r="Y43" i="144"/>
  <c r="Z43" i="144"/>
  <c r="AA43" i="144"/>
  <c r="AB43" i="144"/>
  <c r="AC43" i="144"/>
  <c r="AD43" i="144"/>
  <c r="AE43" i="144"/>
  <c r="AF43" i="144"/>
  <c r="AG43" i="144"/>
  <c r="AH43" i="144"/>
  <c r="AI43" i="144"/>
  <c r="AJ43" i="144"/>
  <c r="AL43" i="144"/>
  <c r="E44" i="144"/>
  <c r="F44" i="144"/>
  <c r="G44" i="144"/>
  <c r="H44" i="144"/>
  <c r="I44" i="144"/>
  <c r="J44" i="144"/>
  <c r="K44" i="144"/>
  <c r="L44" i="144"/>
  <c r="M44" i="144"/>
  <c r="N44" i="144"/>
  <c r="O44" i="144"/>
  <c r="P44" i="144"/>
  <c r="Q44" i="144"/>
  <c r="R44" i="144"/>
  <c r="S44" i="144"/>
  <c r="T44" i="144"/>
  <c r="U44" i="144"/>
  <c r="V44" i="144"/>
  <c r="W44" i="144"/>
  <c r="X44" i="144"/>
  <c r="Y44" i="144"/>
  <c r="Z44" i="144"/>
  <c r="AA44" i="144"/>
  <c r="AB44" i="144"/>
  <c r="AC44" i="144"/>
  <c r="AD44" i="144"/>
  <c r="AE44" i="144"/>
  <c r="AF44" i="144"/>
  <c r="AG44" i="144"/>
  <c r="AH44" i="144"/>
  <c r="AI44" i="144"/>
  <c r="AJ44" i="144"/>
  <c r="AL44" i="144"/>
  <c r="E45" i="144"/>
  <c r="F45" i="144"/>
  <c r="G45" i="144"/>
  <c r="H45" i="144"/>
  <c r="I45" i="144"/>
  <c r="J45" i="144"/>
  <c r="K45" i="144"/>
  <c r="L45" i="144"/>
  <c r="M45" i="144"/>
  <c r="N45" i="144"/>
  <c r="O45" i="144"/>
  <c r="P45" i="144"/>
  <c r="Q45" i="144"/>
  <c r="R45" i="144"/>
  <c r="S45" i="144"/>
  <c r="T45" i="144"/>
  <c r="U45" i="144"/>
  <c r="V45" i="144"/>
  <c r="W45" i="144"/>
  <c r="X45" i="144"/>
  <c r="Y45" i="144"/>
  <c r="Z45" i="144"/>
  <c r="AA45" i="144"/>
  <c r="AB45" i="144"/>
  <c r="AC45" i="144"/>
  <c r="AD45" i="144"/>
  <c r="AE45" i="144"/>
  <c r="AF45" i="144"/>
  <c r="AG45" i="144"/>
  <c r="AH45" i="144"/>
  <c r="AI45" i="144"/>
  <c r="AJ45" i="144"/>
  <c r="AL45" i="144"/>
  <c r="E46" i="144"/>
  <c r="F46" i="144"/>
  <c r="G46" i="144"/>
  <c r="H46" i="144"/>
  <c r="I46" i="144"/>
  <c r="J46" i="144"/>
  <c r="K46" i="144"/>
  <c r="L46" i="144"/>
  <c r="M46" i="144"/>
  <c r="N46" i="144"/>
  <c r="O46" i="144"/>
  <c r="P46" i="144"/>
  <c r="Q46" i="144"/>
  <c r="R46" i="144"/>
  <c r="S46" i="144"/>
  <c r="T46" i="144"/>
  <c r="U46" i="144"/>
  <c r="V46" i="144"/>
  <c r="W46" i="144"/>
  <c r="X46" i="144"/>
  <c r="Y46" i="144"/>
  <c r="Z46" i="144"/>
  <c r="AA46" i="144"/>
  <c r="AB46" i="144"/>
  <c r="AC46" i="144"/>
  <c r="AD46" i="144"/>
  <c r="AE46" i="144"/>
  <c r="AF46" i="144"/>
  <c r="AG46" i="144"/>
  <c r="AH46" i="144"/>
  <c r="AI46" i="144"/>
  <c r="AJ46" i="144"/>
  <c r="AL46" i="144"/>
  <c r="AL39" i="144"/>
  <c r="F39" i="144"/>
  <c r="G39" i="144"/>
  <c r="H39" i="144"/>
  <c r="I39" i="144"/>
  <c r="J39" i="144"/>
  <c r="K39" i="144"/>
  <c r="L39" i="144"/>
  <c r="M39" i="144"/>
  <c r="N39" i="144"/>
  <c r="O39" i="144"/>
  <c r="P39" i="144"/>
  <c r="Q39" i="144"/>
  <c r="R39" i="144"/>
  <c r="S39" i="144"/>
  <c r="T39" i="144"/>
  <c r="U39" i="144"/>
  <c r="V39" i="144"/>
  <c r="W39" i="144"/>
  <c r="X39" i="144"/>
  <c r="Y39" i="144"/>
  <c r="Z39" i="144"/>
  <c r="AA39" i="144"/>
  <c r="AB39" i="144"/>
  <c r="AC39" i="144"/>
  <c r="AD39" i="144"/>
  <c r="AE39" i="144"/>
  <c r="AF39" i="144"/>
  <c r="AG39" i="144"/>
  <c r="AH39" i="144"/>
  <c r="AI39" i="144"/>
  <c r="E39" i="144"/>
  <c r="E27" i="144"/>
  <c r="F27" i="144"/>
  <c r="G27" i="144"/>
  <c r="H27" i="144"/>
  <c r="I27" i="144"/>
  <c r="J27" i="144"/>
  <c r="K27" i="144"/>
  <c r="L27" i="144"/>
  <c r="M27" i="144"/>
  <c r="N27" i="144"/>
  <c r="O27" i="144"/>
  <c r="P27" i="144"/>
  <c r="Q27" i="144"/>
  <c r="R27" i="144"/>
  <c r="S27" i="144"/>
  <c r="T27" i="144"/>
  <c r="U27" i="144"/>
  <c r="V27" i="144"/>
  <c r="W27" i="144"/>
  <c r="X27" i="144"/>
  <c r="Y27" i="144"/>
  <c r="Z27" i="144"/>
  <c r="AA27" i="144"/>
  <c r="AB27" i="144"/>
  <c r="AC27" i="144"/>
  <c r="AD27" i="144"/>
  <c r="AE27" i="144"/>
  <c r="AF27" i="144"/>
  <c r="AG27" i="144"/>
  <c r="AH27" i="144"/>
  <c r="AI27" i="144"/>
  <c r="AJ27" i="144"/>
  <c r="AL27" i="144"/>
  <c r="E28" i="144"/>
  <c r="F28" i="144"/>
  <c r="G28" i="144"/>
  <c r="H28" i="144"/>
  <c r="I28" i="144"/>
  <c r="J28" i="144"/>
  <c r="K28" i="144"/>
  <c r="L28" i="144"/>
  <c r="M28" i="144"/>
  <c r="N28" i="144"/>
  <c r="O28" i="144"/>
  <c r="P28" i="144"/>
  <c r="Q28" i="144"/>
  <c r="R28" i="144"/>
  <c r="S28" i="144"/>
  <c r="T28" i="144"/>
  <c r="U28" i="144"/>
  <c r="V28" i="144"/>
  <c r="W28" i="144"/>
  <c r="X28" i="144"/>
  <c r="Y28" i="144"/>
  <c r="Z28" i="144"/>
  <c r="AA28" i="144"/>
  <c r="AB28" i="144"/>
  <c r="AC28" i="144"/>
  <c r="AD28" i="144"/>
  <c r="AE28" i="144"/>
  <c r="AF28" i="144"/>
  <c r="AG28" i="144"/>
  <c r="AH28" i="144"/>
  <c r="AI28" i="144"/>
  <c r="AJ28" i="144"/>
  <c r="AL28" i="144"/>
  <c r="E29" i="144"/>
  <c r="F29" i="144"/>
  <c r="G29" i="144"/>
  <c r="H29" i="144"/>
  <c r="I29" i="144"/>
  <c r="J29" i="144"/>
  <c r="K29" i="144"/>
  <c r="L29" i="144"/>
  <c r="M29" i="144"/>
  <c r="N29" i="144"/>
  <c r="O29" i="144"/>
  <c r="P29" i="144"/>
  <c r="Q29" i="144"/>
  <c r="R29" i="144"/>
  <c r="S29" i="144"/>
  <c r="T29" i="144"/>
  <c r="U29" i="144"/>
  <c r="V29" i="144"/>
  <c r="W29" i="144"/>
  <c r="X29" i="144"/>
  <c r="Y29" i="144"/>
  <c r="Z29" i="144"/>
  <c r="AA29" i="144"/>
  <c r="AB29" i="144"/>
  <c r="AC29" i="144"/>
  <c r="AD29" i="144"/>
  <c r="AE29" i="144"/>
  <c r="AF29" i="144"/>
  <c r="AG29" i="144"/>
  <c r="AH29" i="144"/>
  <c r="AI29" i="144"/>
  <c r="AJ29" i="144"/>
  <c r="AL29" i="144"/>
  <c r="E30" i="144"/>
  <c r="F30" i="144"/>
  <c r="G30" i="144"/>
  <c r="H30" i="144"/>
  <c r="I30" i="144"/>
  <c r="J30" i="144"/>
  <c r="K30" i="144"/>
  <c r="L30" i="144"/>
  <c r="M30" i="144"/>
  <c r="N30" i="144"/>
  <c r="O30" i="144"/>
  <c r="P30" i="144"/>
  <c r="Q30" i="144"/>
  <c r="R30" i="144"/>
  <c r="S30" i="144"/>
  <c r="T30" i="144"/>
  <c r="U30" i="144"/>
  <c r="V30" i="144"/>
  <c r="W30" i="144"/>
  <c r="X30" i="144"/>
  <c r="Y30" i="144"/>
  <c r="Z30" i="144"/>
  <c r="AA30" i="144"/>
  <c r="AB30" i="144"/>
  <c r="AC30" i="144"/>
  <c r="AD30" i="144"/>
  <c r="AE30" i="144"/>
  <c r="AF30" i="144"/>
  <c r="AG30" i="144"/>
  <c r="AH30" i="144"/>
  <c r="AI30" i="144"/>
  <c r="AJ30" i="144"/>
  <c r="AL30" i="144"/>
  <c r="E31" i="144"/>
  <c r="F31" i="144"/>
  <c r="G31" i="144"/>
  <c r="H31" i="144"/>
  <c r="I31" i="144"/>
  <c r="J31" i="144"/>
  <c r="K31" i="144"/>
  <c r="L31" i="144"/>
  <c r="M31" i="144"/>
  <c r="N31" i="144"/>
  <c r="O31" i="144"/>
  <c r="P31" i="144"/>
  <c r="Q31" i="144"/>
  <c r="R31" i="144"/>
  <c r="S31" i="144"/>
  <c r="T31" i="144"/>
  <c r="U31" i="144"/>
  <c r="V31" i="144"/>
  <c r="W31" i="144"/>
  <c r="X31" i="144"/>
  <c r="Y31" i="144"/>
  <c r="Z31" i="144"/>
  <c r="AA31" i="144"/>
  <c r="AB31" i="144"/>
  <c r="AC31" i="144"/>
  <c r="AD31" i="144"/>
  <c r="AE31" i="144"/>
  <c r="AF31" i="144"/>
  <c r="AG31" i="144"/>
  <c r="AH31" i="144"/>
  <c r="AI31" i="144"/>
  <c r="AJ31" i="144"/>
  <c r="AL31" i="144"/>
  <c r="E32" i="144"/>
  <c r="F32" i="144"/>
  <c r="G32" i="144"/>
  <c r="H32" i="144"/>
  <c r="I32" i="144"/>
  <c r="J32" i="144"/>
  <c r="K32" i="144"/>
  <c r="L32" i="144"/>
  <c r="M32" i="144"/>
  <c r="N32" i="144"/>
  <c r="O32" i="144"/>
  <c r="P32" i="144"/>
  <c r="Q32" i="144"/>
  <c r="R32" i="144"/>
  <c r="S32" i="144"/>
  <c r="T32" i="144"/>
  <c r="U32" i="144"/>
  <c r="V32" i="144"/>
  <c r="W32" i="144"/>
  <c r="X32" i="144"/>
  <c r="Y32" i="144"/>
  <c r="Z32" i="144"/>
  <c r="AA32" i="144"/>
  <c r="AB32" i="144"/>
  <c r="AC32" i="144"/>
  <c r="AD32" i="144"/>
  <c r="AE32" i="144"/>
  <c r="AF32" i="144"/>
  <c r="AG32" i="144"/>
  <c r="AH32" i="144"/>
  <c r="AI32" i="144"/>
  <c r="AJ32" i="144"/>
  <c r="AL32" i="144"/>
  <c r="E33" i="144"/>
  <c r="F33" i="144"/>
  <c r="G33" i="144"/>
  <c r="H33" i="144"/>
  <c r="I33" i="144"/>
  <c r="J33" i="144"/>
  <c r="K33" i="144"/>
  <c r="L33" i="144"/>
  <c r="M33" i="144"/>
  <c r="N33" i="144"/>
  <c r="O33" i="144"/>
  <c r="P33" i="144"/>
  <c r="Q33" i="144"/>
  <c r="R33" i="144"/>
  <c r="S33" i="144"/>
  <c r="T33" i="144"/>
  <c r="U33" i="144"/>
  <c r="V33" i="144"/>
  <c r="W33" i="144"/>
  <c r="X33" i="144"/>
  <c r="Y33" i="144"/>
  <c r="Z33" i="144"/>
  <c r="AA33" i="144"/>
  <c r="AB33" i="144"/>
  <c r="AC33" i="144"/>
  <c r="AD33" i="144"/>
  <c r="AE33" i="144"/>
  <c r="AF33" i="144"/>
  <c r="AG33" i="144"/>
  <c r="AH33" i="144"/>
  <c r="AI33" i="144"/>
  <c r="AJ33" i="144"/>
  <c r="AL33" i="144"/>
  <c r="AL26" i="144"/>
  <c r="F26" i="144"/>
  <c r="G26" i="144"/>
  <c r="H26" i="144"/>
  <c r="I26" i="144"/>
  <c r="J26" i="144"/>
  <c r="K26" i="144"/>
  <c r="L26" i="144"/>
  <c r="M26" i="144"/>
  <c r="N26" i="144"/>
  <c r="O26" i="144"/>
  <c r="P26" i="144"/>
  <c r="Q26" i="144"/>
  <c r="R26" i="144"/>
  <c r="S26" i="144"/>
  <c r="T26" i="144"/>
  <c r="U26" i="144"/>
  <c r="V26" i="144"/>
  <c r="W26" i="144"/>
  <c r="X26" i="144"/>
  <c r="Y26" i="144"/>
  <c r="Z26" i="144"/>
  <c r="AA26" i="144"/>
  <c r="AB26" i="144"/>
  <c r="AC26" i="144"/>
  <c r="AD26" i="144"/>
  <c r="AE26" i="144"/>
  <c r="AF26" i="144"/>
  <c r="AG26" i="144"/>
  <c r="AH26" i="144"/>
  <c r="AI26" i="144"/>
  <c r="E26" i="144"/>
  <c r="C143" i="144"/>
  <c r="C130" i="144"/>
  <c r="C117" i="144"/>
  <c r="C104" i="144"/>
  <c r="C91" i="144"/>
  <c r="C78" i="144"/>
  <c r="C65" i="144"/>
  <c r="C52" i="144"/>
  <c r="C39" i="144"/>
  <c r="C26" i="144"/>
  <c r="E14" i="144"/>
  <c r="F14" i="144"/>
  <c r="G14" i="144"/>
  <c r="H14" i="144"/>
  <c r="I14" i="144"/>
  <c r="J14" i="144"/>
  <c r="K14" i="144"/>
  <c r="L14" i="144"/>
  <c r="M14" i="144"/>
  <c r="N14" i="144"/>
  <c r="O14" i="144"/>
  <c r="P14" i="144"/>
  <c r="Q14" i="144"/>
  <c r="R14" i="144"/>
  <c r="S14" i="144"/>
  <c r="T14" i="144"/>
  <c r="U14" i="144"/>
  <c r="V14" i="144"/>
  <c r="W14" i="144"/>
  <c r="X14" i="144"/>
  <c r="Y14" i="144"/>
  <c r="Z14" i="144"/>
  <c r="AA14" i="144"/>
  <c r="AB14" i="144"/>
  <c r="AC14" i="144"/>
  <c r="AD14" i="144"/>
  <c r="AE14" i="144"/>
  <c r="AF14" i="144"/>
  <c r="AG14" i="144"/>
  <c r="AH14" i="144"/>
  <c r="AI14" i="144"/>
  <c r="AJ14" i="144"/>
  <c r="AL14" i="144"/>
  <c r="E15" i="144"/>
  <c r="F15" i="144"/>
  <c r="G15" i="144"/>
  <c r="H15" i="144"/>
  <c r="I15" i="144"/>
  <c r="J15" i="144"/>
  <c r="K15" i="144"/>
  <c r="L15" i="144"/>
  <c r="M15" i="144"/>
  <c r="N15" i="144"/>
  <c r="O15" i="144"/>
  <c r="P15" i="144"/>
  <c r="Q15" i="144"/>
  <c r="R15" i="144"/>
  <c r="S15" i="144"/>
  <c r="T15" i="144"/>
  <c r="U15" i="144"/>
  <c r="V15" i="144"/>
  <c r="W15" i="144"/>
  <c r="X15" i="144"/>
  <c r="Y15" i="144"/>
  <c r="Z15" i="144"/>
  <c r="AA15" i="144"/>
  <c r="AB15" i="144"/>
  <c r="AC15" i="144"/>
  <c r="AD15" i="144"/>
  <c r="AE15" i="144"/>
  <c r="AF15" i="144"/>
  <c r="AG15" i="144"/>
  <c r="AH15" i="144"/>
  <c r="AI15" i="144"/>
  <c r="AJ15" i="144"/>
  <c r="AL15" i="144"/>
  <c r="E16" i="144"/>
  <c r="F16" i="144"/>
  <c r="G16" i="144"/>
  <c r="H16" i="144"/>
  <c r="I16" i="144"/>
  <c r="J16" i="144"/>
  <c r="K16" i="144"/>
  <c r="L16" i="144"/>
  <c r="M16" i="144"/>
  <c r="N16" i="144"/>
  <c r="O16" i="144"/>
  <c r="P16" i="144"/>
  <c r="Q16" i="144"/>
  <c r="R16" i="144"/>
  <c r="S16" i="144"/>
  <c r="T16" i="144"/>
  <c r="U16" i="144"/>
  <c r="V16" i="144"/>
  <c r="W16" i="144"/>
  <c r="X16" i="144"/>
  <c r="Y16" i="144"/>
  <c r="Z16" i="144"/>
  <c r="AA16" i="144"/>
  <c r="AB16" i="144"/>
  <c r="AC16" i="144"/>
  <c r="AD16" i="144"/>
  <c r="AE16" i="144"/>
  <c r="AF16" i="144"/>
  <c r="AG16" i="144"/>
  <c r="AH16" i="144"/>
  <c r="AI16" i="144"/>
  <c r="AJ16" i="144"/>
  <c r="AL16" i="144"/>
  <c r="E17" i="144"/>
  <c r="F17" i="144"/>
  <c r="G17" i="144"/>
  <c r="H17" i="144"/>
  <c r="I17" i="144"/>
  <c r="J17" i="144"/>
  <c r="K17" i="144"/>
  <c r="L17" i="144"/>
  <c r="M17" i="144"/>
  <c r="N17" i="144"/>
  <c r="O17" i="144"/>
  <c r="P17" i="144"/>
  <c r="Q17" i="144"/>
  <c r="R17" i="144"/>
  <c r="S17" i="144"/>
  <c r="T17" i="144"/>
  <c r="U17" i="144"/>
  <c r="V17" i="144"/>
  <c r="W17" i="144"/>
  <c r="X17" i="144"/>
  <c r="Y17" i="144"/>
  <c r="Z17" i="144"/>
  <c r="AA17" i="144"/>
  <c r="AB17" i="144"/>
  <c r="AC17" i="144"/>
  <c r="AD17" i="144"/>
  <c r="AE17" i="144"/>
  <c r="AF17" i="144"/>
  <c r="AG17" i="144"/>
  <c r="AH17" i="144"/>
  <c r="AI17" i="144"/>
  <c r="AJ17" i="144"/>
  <c r="AL17" i="144"/>
  <c r="E18" i="144"/>
  <c r="F18" i="144"/>
  <c r="G18" i="144"/>
  <c r="H18" i="144"/>
  <c r="I18" i="144"/>
  <c r="J18" i="144"/>
  <c r="K18" i="144"/>
  <c r="L18" i="144"/>
  <c r="M18" i="144"/>
  <c r="N18" i="144"/>
  <c r="O18" i="144"/>
  <c r="P18" i="144"/>
  <c r="Q18" i="144"/>
  <c r="R18" i="144"/>
  <c r="S18" i="144"/>
  <c r="T18" i="144"/>
  <c r="U18" i="144"/>
  <c r="V18" i="144"/>
  <c r="W18" i="144"/>
  <c r="X18" i="144"/>
  <c r="Y18" i="144"/>
  <c r="Z18" i="144"/>
  <c r="AA18" i="144"/>
  <c r="AB18" i="144"/>
  <c r="AC18" i="144"/>
  <c r="AD18" i="144"/>
  <c r="AE18" i="144"/>
  <c r="AF18" i="144"/>
  <c r="AG18" i="144"/>
  <c r="AH18" i="144"/>
  <c r="AI18" i="144"/>
  <c r="AJ18" i="144"/>
  <c r="AL18" i="144"/>
  <c r="E19" i="144"/>
  <c r="F19" i="144"/>
  <c r="G19" i="144"/>
  <c r="H19" i="144"/>
  <c r="I19" i="144"/>
  <c r="J19" i="144"/>
  <c r="K19" i="144"/>
  <c r="L19" i="144"/>
  <c r="M19" i="144"/>
  <c r="N19" i="144"/>
  <c r="O19" i="144"/>
  <c r="P19" i="144"/>
  <c r="Q19" i="144"/>
  <c r="R19" i="144"/>
  <c r="S19" i="144"/>
  <c r="T19" i="144"/>
  <c r="U19" i="144"/>
  <c r="V19" i="144"/>
  <c r="W19" i="144"/>
  <c r="X19" i="144"/>
  <c r="Y19" i="144"/>
  <c r="Z19" i="144"/>
  <c r="AA19" i="144"/>
  <c r="AB19" i="144"/>
  <c r="AC19" i="144"/>
  <c r="AD19" i="144"/>
  <c r="AE19" i="144"/>
  <c r="AF19" i="144"/>
  <c r="AG19" i="144"/>
  <c r="AH19" i="144"/>
  <c r="AI19" i="144"/>
  <c r="AJ19" i="144"/>
  <c r="AL19" i="144"/>
  <c r="E20" i="144"/>
  <c r="F20" i="144"/>
  <c r="G20" i="144"/>
  <c r="H20" i="144"/>
  <c r="I20" i="144"/>
  <c r="J20" i="144"/>
  <c r="K20" i="144"/>
  <c r="L20" i="144"/>
  <c r="M20" i="144"/>
  <c r="N20" i="144"/>
  <c r="O20" i="144"/>
  <c r="P20" i="144"/>
  <c r="Q20" i="144"/>
  <c r="R20" i="144"/>
  <c r="S20" i="144"/>
  <c r="T20" i="144"/>
  <c r="U20" i="144"/>
  <c r="V20" i="144"/>
  <c r="W20" i="144"/>
  <c r="X20" i="144"/>
  <c r="Y20" i="144"/>
  <c r="Z20" i="144"/>
  <c r="AA20" i="144"/>
  <c r="AB20" i="144"/>
  <c r="AC20" i="144"/>
  <c r="AD20" i="144"/>
  <c r="AE20" i="144"/>
  <c r="AF20" i="144"/>
  <c r="AG20" i="144"/>
  <c r="AH20" i="144"/>
  <c r="AI20" i="144"/>
  <c r="AJ20" i="144"/>
  <c r="AL20" i="144"/>
  <c r="AL13" i="144"/>
  <c r="G13" i="144"/>
  <c r="H13" i="144"/>
  <c r="I13" i="144"/>
  <c r="J13" i="144"/>
  <c r="K13" i="144"/>
  <c r="L13" i="144"/>
  <c r="M13" i="144"/>
  <c r="N13" i="144"/>
  <c r="O13" i="144"/>
  <c r="P13" i="144"/>
  <c r="Q13" i="144"/>
  <c r="R13" i="144"/>
  <c r="S13" i="144"/>
  <c r="T13" i="144"/>
  <c r="U13" i="144"/>
  <c r="V13" i="144"/>
  <c r="W13" i="144"/>
  <c r="X13" i="144"/>
  <c r="Y13" i="144"/>
  <c r="Z13" i="144"/>
  <c r="AA13" i="144"/>
  <c r="AB13" i="144"/>
  <c r="AC13" i="144"/>
  <c r="AD13" i="144"/>
  <c r="AE13" i="144"/>
  <c r="AF13" i="144"/>
  <c r="AG13" i="144"/>
  <c r="AH13" i="144"/>
  <c r="AI13" i="144"/>
  <c r="C13" i="144"/>
  <c r="A130" i="2"/>
  <c r="BA130" i="2" s="1"/>
  <c r="A129" i="2"/>
  <c r="BA129" i="2" s="1"/>
  <c r="D3" i="144"/>
  <c r="D2" i="144"/>
  <c r="AJ156" i="144"/>
  <c r="AJ143" i="144"/>
  <c r="AJ130" i="144"/>
  <c r="AJ117" i="144"/>
  <c r="AJ104" i="144"/>
  <c r="AJ91" i="144"/>
  <c r="AJ78" i="144"/>
  <c r="AJ65" i="144"/>
  <c r="AJ52" i="144"/>
  <c r="AJ39" i="144"/>
  <c r="AJ26" i="144"/>
  <c r="AJ13" i="144"/>
  <c r="A2030" i="2"/>
  <c r="A2029" i="2"/>
  <c r="A1930" i="2"/>
  <c r="A1929" i="2"/>
  <c r="A26" i="8"/>
  <c r="A27" i="8"/>
  <c r="D2" i="142"/>
  <c r="E158" i="139"/>
  <c r="E161" i="151" s="1"/>
  <c r="F158" i="139"/>
  <c r="E162" i="151" s="1"/>
  <c r="G158" i="139"/>
  <c r="E163" i="151" s="1"/>
  <c r="H158" i="139"/>
  <c r="I158" i="139"/>
  <c r="J158" i="139"/>
  <c r="K158" i="139"/>
  <c r="L158" i="139"/>
  <c r="E164" i="151" s="1"/>
  <c r="M158" i="139"/>
  <c r="E165" i="151" s="1"/>
  <c r="N158" i="139"/>
  <c r="O158" i="139"/>
  <c r="E166" i="151" s="1"/>
  <c r="P158" i="139"/>
  <c r="E167" i="151" s="1"/>
  <c r="Q158" i="139"/>
  <c r="E168" i="151" s="1"/>
  <c r="R158" i="139"/>
  <c r="S158" i="139"/>
  <c r="T158" i="139"/>
  <c r="E169" i="151" s="1"/>
  <c r="U158" i="139"/>
  <c r="E170" i="151" s="1"/>
  <c r="V158" i="139"/>
  <c r="E171" i="151" s="1"/>
  <c r="W158" i="139"/>
  <c r="E172" i="151" s="1"/>
  <c r="X158" i="139"/>
  <c r="Y158" i="139"/>
  <c r="E173" i="151" s="1"/>
  <c r="Z158" i="139"/>
  <c r="E174" i="151" s="1"/>
  <c r="AA158" i="139"/>
  <c r="E175" i="151" s="1"/>
  <c r="AB158" i="139"/>
  <c r="E176" i="151" s="1"/>
  <c r="AC158" i="139"/>
  <c r="E177" i="151" s="1"/>
  <c r="AD158" i="139"/>
  <c r="AE158" i="139"/>
  <c r="AF158" i="139"/>
  <c r="AG158" i="139"/>
  <c r="AH158" i="139"/>
  <c r="AI158" i="139"/>
  <c r="AJ158" i="139"/>
  <c r="AL158" i="139"/>
  <c r="E159" i="139"/>
  <c r="F159" i="139"/>
  <c r="G159" i="139"/>
  <c r="H159" i="139"/>
  <c r="I159" i="139"/>
  <c r="J159" i="139"/>
  <c r="K159" i="139"/>
  <c r="L159" i="139"/>
  <c r="M159" i="139"/>
  <c r="N159" i="139"/>
  <c r="O159" i="139"/>
  <c r="P159" i="139"/>
  <c r="Q159" i="139"/>
  <c r="R159" i="139"/>
  <c r="S159" i="139"/>
  <c r="T159" i="139"/>
  <c r="U159" i="139"/>
  <c r="V159" i="139"/>
  <c r="W159" i="139"/>
  <c r="X159" i="139"/>
  <c r="Y159" i="139"/>
  <c r="Z159" i="139"/>
  <c r="AA159" i="139"/>
  <c r="AB159" i="139"/>
  <c r="AC159" i="139"/>
  <c r="AD159" i="139"/>
  <c r="AE159" i="139"/>
  <c r="AF159" i="139"/>
  <c r="AG159" i="139"/>
  <c r="AH159" i="139"/>
  <c r="AI159" i="139"/>
  <c r="AJ159" i="139"/>
  <c r="AL159" i="139"/>
  <c r="E160" i="139"/>
  <c r="F160" i="139"/>
  <c r="G160" i="139"/>
  <c r="H160" i="139"/>
  <c r="I160" i="139"/>
  <c r="J160" i="139"/>
  <c r="K160" i="139"/>
  <c r="L160" i="139"/>
  <c r="M160" i="139"/>
  <c r="N160" i="139"/>
  <c r="O160" i="139"/>
  <c r="P160" i="139"/>
  <c r="Q160" i="139"/>
  <c r="R160" i="139"/>
  <c r="S160" i="139"/>
  <c r="T160" i="139"/>
  <c r="U160" i="139"/>
  <c r="V160" i="139"/>
  <c r="W160" i="139"/>
  <c r="X160" i="139"/>
  <c r="Y160" i="139"/>
  <c r="Z160" i="139"/>
  <c r="AA160" i="139"/>
  <c r="AB160" i="139"/>
  <c r="AC160" i="139"/>
  <c r="AD160" i="139"/>
  <c r="AE160" i="139"/>
  <c r="AF160" i="139"/>
  <c r="AG160" i="139"/>
  <c r="AH160" i="139"/>
  <c r="AI160" i="139"/>
  <c r="AJ160" i="139"/>
  <c r="AL160" i="139"/>
  <c r="E161" i="139"/>
  <c r="F161" i="139"/>
  <c r="G161" i="139"/>
  <c r="H161" i="139"/>
  <c r="I161" i="139"/>
  <c r="J161" i="139"/>
  <c r="K161" i="139"/>
  <c r="L161" i="139"/>
  <c r="M161" i="139"/>
  <c r="N161" i="139"/>
  <c r="O161" i="139"/>
  <c r="P161" i="139"/>
  <c r="Q161" i="139"/>
  <c r="R161" i="139"/>
  <c r="S161" i="139"/>
  <c r="T161" i="139"/>
  <c r="U161" i="139"/>
  <c r="V161" i="139"/>
  <c r="W161" i="139"/>
  <c r="X161" i="139"/>
  <c r="Y161" i="139"/>
  <c r="Z161" i="139"/>
  <c r="AA161" i="139"/>
  <c r="AB161" i="139"/>
  <c r="AC161" i="139"/>
  <c r="AD161" i="139"/>
  <c r="AE161" i="139"/>
  <c r="AF161" i="139"/>
  <c r="AG161" i="139"/>
  <c r="AH161" i="139"/>
  <c r="AI161" i="139"/>
  <c r="AJ161" i="139"/>
  <c r="AL161" i="139"/>
  <c r="E162" i="139"/>
  <c r="F162" i="139"/>
  <c r="G162" i="139"/>
  <c r="H162" i="139"/>
  <c r="I162" i="139"/>
  <c r="J162" i="139"/>
  <c r="K162" i="139"/>
  <c r="L162" i="139"/>
  <c r="M162" i="139"/>
  <c r="N162" i="139"/>
  <c r="O162" i="139"/>
  <c r="P162" i="139"/>
  <c r="Q162" i="139"/>
  <c r="R162" i="139"/>
  <c r="S162" i="139"/>
  <c r="T162" i="139"/>
  <c r="U162" i="139"/>
  <c r="V162" i="139"/>
  <c r="W162" i="139"/>
  <c r="X162" i="139"/>
  <c r="Y162" i="139"/>
  <c r="Z162" i="139"/>
  <c r="AA162" i="139"/>
  <c r="AB162" i="139"/>
  <c r="AC162" i="139"/>
  <c r="AD162" i="139"/>
  <c r="AE162" i="139"/>
  <c r="AF162" i="139"/>
  <c r="AG162" i="139"/>
  <c r="AH162" i="139"/>
  <c r="AI162" i="139"/>
  <c r="AJ162" i="139"/>
  <c r="AL162" i="139"/>
  <c r="E163" i="139"/>
  <c r="F163" i="139"/>
  <c r="G163" i="139"/>
  <c r="H163" i="139"/>
  <c r="I163" i="139"/>
  <c r="J163" i="139"/>
  <c r="K163" i="139"/>
  <c r="L163" i="139"/>
  <c r="M163" i="139"/>
  <c r="N163" i="139"/>
  <c r="O163" i="139"/>
  <c r="P163" i="139"/>
  <c r="Q163" i="139"/>
  <c r="R163" i="139"/>
  <c r="S163" i="139"/>
  <c r="T163" i="139"/>
  <c r="U163" i="139"/>
  <c r="V163" i="139"/>
  <c r="W163" i="139"/>
  <c r="X163" i="139"/>
  <c r="Y163" i="139"/>
  <c r="Z163" i="139"/>
  <c r="AA163" i="139"/>
  <c r="AB163" i="139"/>
  <c r="AC163" i="139"/>
  <c r="AD163" i="139"/>
  <c r="AE163" i="139"/>
  <c r="AF163" i="139"/>
  <c r="AG163" i="139"/>
  <c r="AH163" i="139"/>
  <c r="AI163" i="139"/>
  <c r="AJ163" i="139"/>
  <c r="AL163" i="139"/>
  <c r="E164" i="139"/>
  <c r="F164" i="139"/>
  <c r="G164" i="139"/>
  <c r="H164" i="139"/>
  <c r="I164" i="139"/>
  <c r="J164" i="139"/>
  <c r="K164" i="139"/>
  <c r="L164" i="139"/>
  <c r="M164" i="139"/>
  <c r="N164" i="139"/>
  <c r="O164" i="139"/>
  <c r="P164" i="139"/>
  <c r="Q164" i="139"/>
  <c r="R164" i="139"/>
  <c r="S164" i="139"/>
  <c r="T164" i="139"/>
  <c r="U164" i="139"/>
  <c r="V164" i="139"/>
  <c r="W164" i="139"/>
  <c r="X164" i="139"/>
  <c r="Y164" i="139"/>
  <c r="Z164" i="139"/>
  <c r="AA164" i="139"/>
  <c r="AB164" i="139"/>
  <c r="AC164" i="139"/>
  <c r="AD164" i="139"/>
  <c r="AE164" i="139"/>
  <c r="AF164" i="139"/>
  <c r="AG164" i="139"/>
  <c r="AH164" i="139"/>
  <c r="AI164" i="139"/>
  <c r="AJ164" i="139"/>
  <c r="AL164" i="139"/>
  <c r="AL157" i="139"/>
  <c r="F157" i="139"/>
  <c r="D162" i="151" s="1"/>
  <c r="G157" i="139"/>
  <c r="D163" i="151" s="1"/>
  <c r="H157" i="139"/>
  <c r="I157" i="139"/>
  <c r="J157" i="139"/>
  <c r="K157" i="139"/>
  <c r="L157" i="139"/>
  <c r="D164" i="151" s="1"/>
  <c r="M157" i="139"/>
  <c r="D165" i="151" s="1"/>
  <c r="N157" i="139"/>
  <c r="O157" i="139"/>
  <c r="D166" i="151" s="1"/>
  <c r="P157" i="139"/>
  <c r="D167" i="151" s="1"/>
  <c r="Q157" i="139"/>
  <c r="D168" i="151" s="1"/>
  <c r="R157" i="139"/>
  <c r="S157" i="139"/>
  <c r="T157" i="139"/>
  <c r="D169" i="151" s="1"/>
  <c r="U157" i="139"/>
  <c r="D170" i="151" s="1"/>
  <c r="V157" i="139"/>
  <c r="D171" i="151" s="1"/>
  <c r="W157" i="139"/>
  <c r="D172" i="151" s="1"/>
  <c r="X157" i="139"/>
  <c r="Y157" i="139"/>
  <c r="D173" i="151" s="1"/>
  <c r="Z157" i="139"/>
  <c r="D174" i="151" s="1"/>
  <c r="AA157" i="139"/>
  <c r="D175" i="151" s="1"/>
  <c r="AB157" i="139"/>
  <c r="D176" i="151" s="1"/>
  <c r="AC157" i="139"/>
  <c r="D177" i="151" s="1"/>
  <c r="AD157" i="139"/>
  <c r="AE157" i="139"/>
  <c r="AF157" i="139"/>
  <c r="AG157" i="139"/>
  <c r="AH157" i="139"/>
  <c r="AI157" i="139"/>
  <c r="E157" i="139"/>
  <c r="D161" i="151" s="1"/>
  <c r="D2" i="140"/>
  <c r="E145" i="139"/>
  <c r="F145" i="139"/>
  <c r="G145" i="139"/>
  <c r="E148" i="151" s="1"/>
  <c r="H145" i="139"/>
  <c r="E149" i="151" s="1"/>
  <c r="I145" i="139"/>
  <c r="E150" i="151" s="1"/>
  <c r="J145" i="139"/>
  <c r="E151" i="151" s="1"/>
  <c r="K145" i="139"/>
  <c r="L145" i="139"/>
  <c r="E152" i="151" s="1"/>
  <c r="M145" i="139"/>
  <c r="E153" i="151" s="1"/>
  <c r="N145" i="139"/>
  <c r="O145" i="139"/>
  <c r="P145" i="139"/>
  <c r="E154" i="151" s="1"/>
  <c r="Q145" i="139"/>
  <c r="R145" i="139"/>
  <c r="E155" i="151" s="1"/>
  <c r="S145" i="139"/>
  <c r="T145" i="139"/>
  <c r="U145" i="139"/>
  <c r="E156" i="151" s="1"/>
  <c r="V145" i="139"/>
  <c r="E157" i="151" s="1"/>
  <c r="W145" i="139"/>
  <c r="X145" i="139"/>
  <c r="Y145" i="139"/>
  <c r="E158" i="151" s="1"/>
  <c r="Z145" i="139"/>
  <c r="E159" i="151" s="1"/>
  <c r="AA145" i="139"/>
  <c r="E160" i="151" s="1"/>
  <c r="AB145" i="139"/>
  <c r="AC145" i="139"/>
  <c r="AD145" i="139"/>
  <c r="AE145" i="139"/>
  <c r="AF145" i="139"/>
  <c r="AG145" i="139"/>
  <c r="AH145" i="139"/>
  <c r="AI145" i="139"/>
  <c r="AJ145" i="139"/>
  <c r="AL145" i="139"/>
  <c r="E146" i="139"/>
  <c r="F146" i="139"/>
  <c r="G146" i="139"/>
  <c r="H146" i="139"/>
  <c r="I146" i="139"/>
  <c r="J146" i="139"/>
  <c r="K146" i="139"/>
  <c r="L146" i="139"/>
  <c r="M146" i="139"/>
  <c r="N146" i="139"/>
  <c r="O146" i="139"/>
  <c r="P146" i="139"/>
  <c r="Q146" i="139"/>
  <c r="R146" i="139"/>
  <c r="S146" i="139"/>
  <c r="T146" i="139"/>
  <c r="U146" i="139"/>
  <c r="V146" i="139"/>
  <c r="W146" i="139"/>
  <c r="X146" i="139"/>
  <c r="Y146" i="139"/>
  <c r="Z146" i="139"/>
  <c r="AA146" i="139"/>
  <c r="AB146" i="139"/>
  <c r="AC146" i="139"/>
  <c r="AD146" i="139"/>
  <c r="AE146" i="139"/>
  <c r="AF146" i="139"/>
  <c r="AG146" i="139"/>
  <c r="AH146" i="139"/>
  <c r="AI146" i="139"/>
  <c r="AJ146" i="139"/>
  <c r="AL146" i="139"/>
  <c r="E147" i="139"/>
  <c r="F147" i="139"/>
  <c r="G147" i="139"/>
  <c r="H147" i="139"/>
  <c r="I147" i="139"/>
  <c r="J147" i="139"/>
  <c r="K147" i="139"/>
  <c r="L147" i="139"/>
  <c r="M147" i="139"/>
  <c r="N147" i="139"/>
  <c r="O147" i="139"/>
  <c r="P147" i="139"/>
  <c r="Q147" i="139"/>
  <c r="R147" i="139"/>
  <c r="S147" i="139"/>
  <c r="T147" i="139"/>
  <c r="U147" i="139"/>
  <c r="V147" i="139"/>
  <c r="W147" i="139"/>
  <c r="X147" i="139"/>
  <c r="Y147" i="139"/>
  <c r="Z147" i="139"/>
  <c r="AA147" i="139"/>
  <c r="AB147" i="139"/>
  <c r="AC147" i="139"/>
  <c r="AD147" i="139"/>
  <c r="AE147" i="139"/>
  <c r="AF147" i="139"/>
  <c r="AG147" i="139"/>
  <c r="AH147" i="139"/>
  <c r="AI147" i="139"/>
  <c r="AJ147" i="139"/>
  <c r="AL147" i="139"/>
  <c r="E148" i="139"/>
  <c r="F148" i="139"/>
  <c r="G148" i="139"/>
  <c r="H148" i="139"/>
  <c r="I148" i="139"/>
  <c r="J148" i="139"/>
  <c r="K148" i="139"/>
  <c r="L148" i="139"/>
  <c r="M148" i="139"/>
  <c r="N148" i="139"/>
  <c r="O148" i="139"/>
  <c r="P148" i="139"/>
  <c r="Q148" i="139"/>
  <c r="R148" i="139"/>
  <c r="S148" i="139"/>
  <c r="T148" i="139"/>
  <c r="U148" i="139"/>
  <c r="V148" i="139"/>
  <c r="W148" i="139"/>
  <c r="X148" i="139"/>
  <c r="Y148" i="139"/>
  <c r="Z148" i="139"/>
  <c r="AA148" i="139"/>
  <c r="AB148" i="139"/>
  <c r="AC148" i="139"/>
  <c r="AD148" i="139"/>
  <c r="AE148" i="139"/>
  <c r="AF148" i="139"/>
  <c r="AG148" i="139"/>
  <c r="AH148" i="139"/>
  <c r="AI148" i="139"/>
  <c r="AJ148" i="139"/>
  <c r="AL148" i="139"/>
  <c r="E149" i="139"/>
  <c r="F149" i="139"/>
  <c r="G149" i="139"/>
  <c r="H149" i="139"/>
  <c r="I149" i="139"/>
  <c r="J149" i="139"/>
  <c r="K149" i="139"/>
  <c r="L149" i="139"/>
  <c r="M149" i="139"/>
  <c r="N149" i="139"/>
  <c r="O149" i="139"/>
  <c r="P149" i="139"/>
  <c r="Q149" i="139"/>
  <c r="R149" i="139"/>
  <c r="S149" i="139"/>
  <c r="T149" i="139"/>
  <c r="U149" i="139"/>
  <c r="V149" i="139"/>
  <c r="W149" i="139"/>
  <c r="X149" i="139"/>
  <c r="Y149" i="139"/>
  <c r="Z149" i="139"/>
  <c r="AA149" i="139"/>
  <c r="AB149" i="139"/>
  <c r="AC149" i="139"/>
  <c r="AD149" i="139"/>
  <c r="AE149" i="139"/>
  <c r="AF149" i="139"/>
  <c r="AG149" i="139"/>
  <c r="AH149" i="139"/>
  <c r="AI149" i="139"/>
  <c r="AJ149" i="139"/>
  <c r="AL149" i="139"/>
  <c r="E150" i="139"/>
  <c r="F150" i="139"/>
  <c r="G150" i="139"/>
  <c r="H150" i="139"/>
  <c r="I150" i="139"/>
  <c r="J150" i="139"/>
  <c r="K150" i="139"/>
  <c r="L150" i="139"/>
  <c r="M150" i="139"/>
  <c r="N150" i="139"/>
  <c r="O150" i="139"/>
  <c r="P150" i="139"/>
  <c r="Q150" i="139"/>
  <c r="R150" i="139"/>
  <c r="S150" i="139"/>
  <c r="T150" i="139"/>
  <c r="U150" i="139"/>
  <c r="V150" i="139"/>
  <c r="W150" i="139"/>
  <c r="X150" i="139"/>
  <c r="Y150" i="139"/>
  <c r="Z150" i="139"/>
  <c r="AA150" i="139"/>
  <c r="AB150" i="139"/>
  <c r="AC150" i="139"/>
  <c r="AD150" i="139"/>
  <c r="AE150" i="139"/>
  <c r="AF150" i="139"/>
  <c r="AG150" i="139"/>
  <c r="AH150" i="139"/>
  <c r="AI150" i="139"/>
  <c r="AJ150" i="139"/>
  <c r="AL150" i="139"/>
  <c r="E151" i="139"/>
  <c r="F151" i="139"/>
  <c r="G151" i="139"/>
  <c r="H151" i="139"/>
  <c r="I151" i="139"/>
  <c r="J151" i="139"/>
  <c r="K151" i="139"/>
  <c r="L151" i="139"/>
  <c r="M151" i="139"/>
  <c r="N151" i="139"/>
  <c r="O151" i="139"/>
  <c r="P151" i="139"/>
  <c r="Q151" i="139"/>
  <c r="R151" i="139"/>
  <c r="S151" i="139"/>
  <c r="T151" i="139"/>
  <c r="U151" i="139"/>
  <c r="V151" i="139"/>
  <c r="W151" i="139"/>
  <c r="X151" i="139"/>
  <c r="Y151" i="139"/>
  <c r="Z151" i="139"/>
  <c r="AA151" i="139"/>
  <c r="AB151" i="139"/>
  <c r="AC151" i="139"/>
  <c r="AD151" i="139"/>
  <c r="AE151" i="139"/>
  <c r="AF151" i="139"/>
  <c r="AG151" i="139"/>
  <c r="AH151" i="139"/>
  <c r="AI151" i="139"/>
  <c r="AJ151" i="139"/>
  <c r="AL151" i="139"/>
  <c r="AL144" i="139"/>
  <c r="F144" i="139"/>
  <c r="G144" i="139"/>
  <c r="D148" i="151" s="1"/>
  <c r="H144" i="139"/>
  <c r="D149" i="151" s="1"/>
  <c r="I144" i="139"/>
  <c r="D150" i="151" s="1"/>
  <c r="J144" i="139"/>
  <c r="D151" i="151" s="1"/>
  <c r="K144" i="139"/>
  <c r="L144" i="139"/>
  <c r="D152" i="151" s="1"/>
  <c r="M144" i="139"/>
  <c r="D153" i="151" s="1"/>
  <c r="N144" i="139"/>
  <c r="O144" i="139"/>
  <c r="P144" i="139"/>
  <c r="D154" i="151" s="1"/>
  <c r="Q144" i="139"/>
  <c r="R144" i="139"/>
  <c r="D155" i="151" s="1"/>
  <c r="S144" i="139"/>
  <c r="T144" i="139"/>
  <c r="U144" i="139"/>
  <c r="D156" i="151" s="1"/>
  <c r="V144" i="139"/>
  <c r="D157" i="151" s="1"/>
  <c r="W144" i="139"/>
  <c r="X144" i="139"/>
  <c r="Y144" i="139"/>
  <c r="D158" i="151" s="1"/>
  <c r="Z144" i="139"/>
  <c r="D159" i="151" s="1"/>
  <c r="AA144" i="139"/>
  <c r="D160" i="151" s="1"/>
  <c r="AB144" i="139"/>
  <c r="AC144" i="139"/>
  <c r="AD144" i="139"/>
  <c r="AE144" i="139"/>
  <c r="AF144" i="139"/>
  <c r="AG144" i="139"/>
  <c r="AH144" i="139"/>
  <c r="AI144" i="139"/>
  <c r="E144" i="139"/>
  <c r="C144" i="139"/>
  <c r="AJ144" i="139"/>
  <c r="C131" i="139"/>
  <c r="D3" i="120"/>
  <c r="D2" i="120"/>
  <c r="U12" i="143"/>
  <c r="D2" i="143"/>
  <c r="D3" i="143"/>
  <c r="U12" i="142"/>
  <c r="U12" i="141"/>
  <c r="A1730" i="2"/>
  <c r="A1729" i="2"/>
  <c r="A1530" i="2"/>
  <c r="A1529" i="2"/>
  <c r="A1330" i="2"/>
  <c r="A1329" i="2"/>
  <c r="D3" i="141"/>
  <c r="D2" i="141"/>
  <c r="A23" i="8"/>
  <c r="A24" i="8"/>
  <c r="A25" i="8"/>
  <c r="U26" i="140"/>
  <c r="U40" i="140"/>
  <c r="U54" i="140"/>
  <c r="U68" i="140"/>
  <c r="U82" i="140"/>
  <c r="U96" i="140"/>
  <c r="U110" i="140"/>
  <c r="U124" i="140"/>
  <c r="U138" i="140"/>
  <c r="U152" i="140"/>
  <c r="U166" i="140"/>
  <c r="U12" i="140"/>
  <c r="D3" i="140"/>
  <c r="D3" i="126"/>
  <c r="D3" i="122"/>
  <c r="U26" i="122"/>
  <c r="U40" i="122"/>
  <c r="U54" i="122"/>
  <c r="U68" i="122"/>
  <c r="U82" i="122"/>
  <c r="U96" i="122"/>
  <c r="U110" i="122"/>
  <c r="U124" i="122"/>
  <c r="U138" i="122"/>
  <c r="U152" i="122"/>
  <c r="U166" i="122"/>
  <c r="U12" i="122"/>
  <c r="D2" i="122"/>
  <c r="U26" i="126"/>
  <c r="U12" i="126"/>
  <c r="D2" i="126"/>
  <c r="U26" i="127"/>
  <c r="U40" i="127"/>
  <c r="U12" i="127"/>
  <c r="B8" i="127"/>
  <c r="D3" i="127"/>
  <c r="D2" i="127"/>
  <c r="U26" i="121"/>
  <c r="U40" i="121"/>
  <c r="U54" i="121"/>
  <c r="U68" i="121"/>
  <c r="U82" i="121"/>
  <c r="U96" i="121"/>
  <c r="U110" i="121"/>
  <c r="U124" i="121"/>
  <c r="U138" i="121"/>
  <c r="U152" i="121"/>
  <c r="U166" i="121"/>
  <c r="U12" i="121"/>
  <c r="D3" i="121"/>
  <c r="D2" i="121"/>
  <c r="D3" i="139"/>
  <c r="C118" i="139"/>
  <c r="C105" i="139"/>
  <c r="C92" i="139"/>
  <c r="C79" i="139"/>
  <c r="C66" i="139"/>
  <c r="C53" i="139"/>
  <c r="C40" i="139"/>
  <c r="C26" i="139"/>
  <c r="C13" i="139"/>
  <c r="B8" i="139"/>
  <c r="AJ157" i="139"/>
  <c r="E132" i="139"/>
  <c r="E134" i="151" s="1"/>
  <c r="F132" i="139"/>
  <c r="E135" i="151" s="1"/>
  <c r="G132" i="139"/>
  <c r="E136" i="151" s="1"/>
  <c r="H132" i="139"/>
  <c r="E137" i="151" s="1"/>
  <c r="I132" i="139"/>
  <c r="J132" i="139"/>
  <c r="K132" i="139"/>
  <c r="L132" i="139"/>
  <c r="M132" i="139"/>
  <c r="N132" i="139"/>
  <c r="O132" i="139"/>
  <c r="E138" i="151" s="1"/>
  <c r="P132" i="139"/>
  <c r="Q132" i="139"/>
  <c r="E139" i="151" s="1"/>
  <c r="R132" i="139"/>
  <c r="E140" i="151" s="1"/>
  <c r="S132" i="139"/>
  <c r="T132" i="139"/>
  <c r="E141" i="151" s="1"/>
  <c r="U132" i="139"/>
  <c r="V132" i="139"/>
  <c r="E142" i="151" s="1"/>
  <c r="W132" i="139"/>
  <c r="E143" i="151" s="1"/>
  <c r="X132" i="139"/>
  <c r="Y132" i="139"/>
  <c r="E144" i="151" s="1"/>
  <c r="Z132" i="139"/>
  <c r="E145" i="151" s="1"/>
  <c r="AA132" i="139"/>
  <c r="E146" i="151" s="1"/>
  <c r="AB132" i="139"/>
  <c r="AC132" i="139"/>
  <c r="E147" i="151" s="1"/>
  <c r="AD132" i="139"/>
  <c r="AE132" i="139"/>
  <c r="AF132" i="139"/>
  <c r="AG132" i="139"/>
  <c r="AH132" i="139"/>
  <c r="AI132" i="139"/>
  <c r="AJ132" i="139"/>
  <c r="AL132" i="139"/>
  <c r="E133" i="139"/>
  <c r="F133" i="139"/>
  <c r="G133" i="139"/>
  <c r="H133" i="139"/>
  <c r="I133" i="139"/>
  <c r="J133" i="139"/>
  <c r="K133" i="139"/>
  <c r="L133" i="139"/>
  <c r="M133" i="139"/>
  <c r="N133" i="139"/>
  <c r="O133" i="139"/>
  <c r="P133" i="139"/>
  <c r="Q133" i="139"/>
  <c r="R133" i="139"/>
  <c r="S133" i="139"/>
  <c r="T133" i="139"/>
  <c r="U133" i="139"/>
  <c r="V133" i="139"/>
  <c r="W133" i="139"/>
  <c r="X133" i="139"/>
  <c r="Y133" i="139"/>
  <c r="Z133" i="139"/>
  <c r="AA133" i="139"/>
  <c r="AB133" i="139"/>
  <c r="AC133" i="139"/>
  <c r="AD133" i="139"/>
  <c r="AE133" i="139"/>
  <c r="AF133" i="139"/>
  <c r="AG133" i="139"/>
  <c r="AH133" i="139"/>
  <c r="AI133" i="139"/>
  <c r="AJ133" i="139"/>
  <c r="AL133" i="139"/>
  <c r="E134" i="139"/>
  <c r="F134" i="139"/>
  <c r="G134" i="139"/>
  <c r="H134" i="139"/>
  <c r="I134" i="139"/>
  <c r="J134" i="139"/>
  <c r="K134" i="139"/>
  <c r="L134" i="139"/>
  <c r="M134" i="139"/>
  <c r="N134" i="139"/>
  <c r="O134" i="139"/>
  <c r="P134" i="139"/>
  <c r="Q134" i="139"/>
  <c r="R134" i="139"/>
  <c r="S134" i="139"/>
  <c r="T134" i="139"/>
  <c r="U134" i="139"/>
  <c r="V134" i="139"/>
  <c r="W134" i="139"/>
  <c r="X134" i="139"/>
  <c r="Y134" i="139"/>
  <c r="Z134" i="139"/>
  <c r="AA134" i="139"/>
  <c r="AB134" i="139"/>
  <c r="AC134" i="139"/>
  <c r="AD134" i="139"/>
  <c r="AE134" i="139"/>
  <c r="AF134" i="139"/>
  <c r="AG134" i="139"/>
  <c r="AH134" i="139"/>
  <c r="AI134" i="139"/>
  <c r="AJ134" i="139"/>
  <c r="AL134" i="139"/>
  <c r="E135" i="139"/>
  <c r="F135" i="139"/>
  <c r="G135" i="139"/>
  <c r="H135" i="139"/>
  <c r="I135" i="139"/>
  <c r="J135" i="139"/>
  <c r="K135" i="139"/>
  <c r="L135" i="139"/>
  <c r="M135" i="139"/>
  <c r="N135" i="139"/>
  <c r="O135" i="139"/>
  <c r="P135" i="139"/>
  <c r="Q135" i="139"/>
  <c r="R135" i="139"/>
  <c r="S135" i="139"/>
  <c r="T135" i="139"/>
  <c r="U135" i="139"/>
  <c r="V135" i="139"/>
  <c r="W135" i="139"/>
  <c r="X135" i="139"/>
  <c r="Y135" i="139"/>
  <c r="Z135" i="139"/>
  <c r="AA135" i="139"/>
  <c r="AB135" i="139"/>
  <c r="AC135" i="139"/>
  <c r="AD135" i="139"/>
  <c r="AE135" i="139"/>
  <c r="AF135" i="139"/>
  <c r="AG135" i="139"/>
  <c r="AH135" i="139"/>
  <c r="AI135" i="139"/>
  <c r="AJ135" i="139"/>
  <c r="AL135" i="139"/>
  <c r="E136" i="139"/>
  <c r="F136" i="139"/>
  <c r="G136" i="139"/>
  <c r="H136" i="139"/>
  <c r="I136" i="139"/>
  <c r="J136" i="139"/>
  <c r="K136" i="139"/>
  <c r="L136" i="139"/>
  <c r="M136" i="139"/>
  <c r="N136" i="139"/>
  <c r="O136" i="139"/>
  <c r="P136" i="139"/>
  <c r="Q136" i="139"/>
  <c r="R136" i="139"/>
  <c r="S136" i="139"/>
  <c r="T136" i="139"/>
  <c r="U136" i="139"/>
  <c r="V136" i="139"/>
  <c r="W136" i="139"/>
  <c r="X136" i="139"/>
  <c r="Y136" i="139"/>
  <c r="Z136" i="139"/>
  <c r="AA136" i="139"/>
  <c r="AB136" i="139"/>
  <c r="AC136" i="139"/>
  <c r="AD136" i="139"/>
  <c r="AE136" i="139"/>
  <c r="AF136" i="139"/>
  <c r="AG136" i="139"/>
  <c r="AH136" i="139"/>
  <c r="AI136" i="139"/>
  <c r="AJ136" i="139"/>
  <c r="AL136" i="139"/>
  <c r="E137" i="139"/>
  <c r="F137" i="139"/>
  <c r="G137" i="139"/>
  <c r="H137" i="139"/>
  <c r="I137" i="139"/>
  <c r="J137" i="139"/>
  <c r="K137" i="139"/>
  <c r="L137" i="139"/>
  <c r="M137" i="139"/>
  <c r="N137" i="139"/>
  <c r="O137" i="139"/>
  <c r="P137" i="139"/>
  <c r="Q137" i="139"/>
  <c r="R137" i="139"/>
  <c r="S137" i="139"/>
  <c r="T137" i="139"/>
  <c r="U137" i="139"/>
  <c r="V137" i="139"/>
  <c r="W137" i="139"/>
  <c r="X137" i="139"/>
  <c r="Y137" i="139"/>
  <c r="Z137" i="139"/>
  <c r="AA137" i="139"/>
  <c r="AB137" i="139"/>
  <c r="AC137" i="139"/>
  <c r="AD137" i="139"/>
  <c r="AE137" i="139"/>
  <c r="AF137" i="139"/>
  <c r="AG137" i="139"/>
  <c r="AH137" i="139"/>
  <c r="AI137" i="139"/>
  <c r="AJ137" i="139"/>
  <c r="AL137" i="139"/>
  <c r="E138" i="139"/>
  <c r="F138" i="139"/>
  <c r="G138" i="139"/>
  <c r="H138" i="139"/>
  <c r="I138" i="139"/>
  <c r="J138" i="139"/>
  <c r="K138" i="139"/>
  <c r="L138" i="139"/>
  <c r="M138" i="139"/>
  <c r="N138" i="139"/>
  <c r="O138" i="139"/>
  <c r="P138" i="139"/>
  <c r="Q138" i="139"/>
  <c r="R138" i="139"/>
  <c r="S138" i="139"/>
  <c r="T138" i="139"/>
  <c r="U138" i="139"/>
  <c r="V138" i="139"/>
  <c r="W138" i="139"/>
  <c r="X138" i="139"/>
  <c r="Y138" i="139"/>
  <c r="Z138" i="139"/>
  <c r="AA138" i="139"/>
  <c r="AB138" i="139"/>
  <c r="AC138" i="139"/>
  <c r="AD138" i="139"/>
  <c r="AE138" i="139"/>
  <c r="AF138" i="139"/>
  <c r="AG138" i="139"/>
  <c r="AH138" i="139"/>
  <c r="AI138" i="139"/>
  <c r="AJ138" i="139"/>
  <c r="AL138" i="139"/>
  <c r="AL131" i="139"/>
  <c r="AM131" i="139" s="1"/>
  <c r="F131" i="139"/>
  <c r="D135" i="151" s="1"/>
  <c r="G131" i="139"/>
  <c r="D136" i="151" s="1"/>
  <c r="H131" i="139"/>
  <c r="D137" i="151" s="1"/>
  <c r="I131" i="139"/>
  <c r="J131" i="139"/>
  <c r="K131" i="139"/>
  <c r="L131" i="139"/>
  <c r="M131" i="139"/>
  <c r="N131" i="139"/>
  <c r="O131" i="139"/>
  <c r="D138" i="151" s="1"/>
  <c r="P131" i="139"/>
  <c r="Q131" i="139"/>
  <c r="D139" i="151" s="1"/>
  <c r="R131" i="139"/>
  <c r="D140" i="151" s="1"/>
  <c r="S131" i="139"/>
  <c r="T131" i="139"/>
  <c r="D141" i="151" s="1"/>
  <c r="U131" i="139"/>
  <c r="V131" i="139"/>
  <c r="D142" i="151" s="1"/>
  <c r="W131" i="139"/>
  <c r="D143" i="151" s="1"/>
  <c r="X131" i="139"/>
  <c r="Y131" i="139"/>
  <c r="D144" i="151" s="1"/>
  <c r="Z131" i="139"/>
  <c r="D145" i="151" s="1"/>
  <c r="AA131" i="139"/>
  <c r="D146" i="151" s="1"/>
  <c r="AB131" i="139"/>
  <c r="AC131" i="139"/>
  <c r="D147" i="151" s="1"/>
  <c r="AD131" i="139"/>
  <c r="AE131" i="139"/>
  <c r="AF131" i="139"/>
  <c r="AG131" i="139"/>
  <c r="AH131" i="139"/>
  <c r="AI131" i="139"/>
  <c r="AJ131" i="139"/>
  <c r="E131" i="139"/>
  <c r="D134" i="151" s="1"/>
  <c r="E119" i="139"/>
  <c r="F119" i="139"/>
  <c r="E119" i="151" s="1"/>
  <c r="G119" i="139"/>
  <c r="E120" i="151" s="1"/>
  <c r="H119" i="139"/>
  <c r="I119" i="139"/>
  <c r="E121" i="151" s="1"/>
  <c r="J119" i="139"/>
  <c r="E122" i="151" s="1"/>
  <c r="K119" i="139"/>
  <c r="L119" i="139"/>
  <c r="E123" i="151" s="1"/>
  <c r="M119" i="139"/>
  <c r="E124" i="151" s="1"/>
  <c r="N119" i="139"/>
  <c r="O119" i="139"/>
  <c r="P119" i="139"/>
  <c r="E125" i="151" s="1"/>
  <c r="Q119" i="139"/>
  <c r="E126" i="151" s="1"/>
  <c r="R119" i="139"/>
  <c r="E127" i="151" s="1"/>
  <c r="S119" i="139"/>
  <c r="T119" i="139"/>
  <c r="E128" i="151" s="1"/>
  <c r="U119" i="139"/>
  <c r="V119" i="139"/>
  <c r="E129" i="151" s="1"/>
  <c r="W119" i="139"/>
  <c r="X119" i="139"/>
  <c r="Y119" i="139"/>
  <c r="E130" i="151" s="1"/>
  <c r="Z119" i="139"/>
  <c r="E131" i="151" s="1"/>
  <c r="AA119" i="139"/>
  <c r="E132" i="151" s="1"/>
  <c r="AB119" i="139"/>
  <c r="E133" i="151" s="1"/>
  <c r="AC119" i="139"/>
  <c r="AD119" i="139"/>
  <c r="AE119" i="139"/>
  <c r="AF119" i="139"/>
  <c r="AG119" i="139"/>
  <c r="AH119" i="139"/>
  <c r="AI119" i="139"/>
  <c r="AJ119" i="139"/>
  <c r="AL119" i="139"/>
  <c r="E120" i="139"/>
  <c r="F120" i="139"/>
  <c r="G120" i="139"/>
  <c r="H120" i="139"/>
  <c r="I120" i="139"/>
  <c r="J120" i="139"/>
  <c r="K120" i="139"/>
  <c r="L120" i="139"/>
  <c r="M120" i="139"/>
  <c r="N120" i="139"/>
  <c r="O120" i="139"/>
  <c r="P120" i="139"/>
  <c r="Q120" i="139"/>
  <c r="R120" i="139"/>
  <c r="S120" i="139"/>
  <c r="T120" i="139"/>
  <c r="U120" i="139"/>
  <c r="V120" i="139"/>
  <c r="W120" i="139"/>
  <c r="X120" i="139"/>
  <c r="Y120" i="139"/>
  <c r="Z120" i="139"/>
  <c r="AA120" i="139"/>
  <c r="AB120" i="139"/>
  <c r="AC120" i="139"/>
  <c r="AD120" i="139"/>
  <c r="AE120" i="139"/>
  <c r="AF120" i="139"/>
  <c r="AG120" i="139"/>
  <c r="AH120" i="139"/>
  <c r="AI120" i="139"/>
  <c r="AJ120" i="139"/>
  <c r="AL120" i="139"/>
  <c r="E121" i="139"/>
  <c r="F121" i="139"/>
  <c r="G121" i="139"/>
  <c r="H121" i="139"/>
  <c r="I121" i="139"/>
  <c r="J121" i="139"/>
  <c r="K121" i="139"/>
  <c r="L121" i="139"/>
  <c r="M121" i="139"/>
  <c r="N121" i="139"/>
  <c r="O121" i="139"/>
  <c r="P121" i="139"/>
  <c r="Q121" i="139"/>
  <c r="R121" i="139"/>
  <c r="S121" i="139"/>
  <c r="T121" i="139"/>
  <c r="U121" i="139"/>
  <c r="V121" i="139"/>
  <c r="W121" i="139"/>
  <c r="X121" i="139"/>
  <c r="Y121" i="139"/>
  <c r="Z121" i="139"/>
  <c r="AA121" i="139"/>
  <c r="AB121" i="139"/>
  <c r="AC121" i="139"/>
  <c r="AD121" i="139"/>
  <c r="AE121" i="139"/>
  <c r="AF121" i="139"/>
  <c r="AG121" i="139"/>
  <c r="AH121" i="139"/>
  <c r="AI121" i="139"/>
  <c r="AJ121" i="139"/>
  <c r="AL121" i="139"/>
  <c r="E122" i="139"/>
  <c r="F122" i="139"/>
  <c r="G122" i="139"/>
  <c r="H122" i="139"/>
  <c r="I122" i="139"/>
  <c r="J122" i="139"/>
  <c r="K122" i="139"/>
  <c r="L122" i="139"/>
  <c r="M122" i="139"/>
  <c r="N122" i="139"/>
  <c r="O122" i="139"/>
  <c r="P122" i="139"/>
  <c r="Q122" i="139"/>
  <c r="R122" i="139"/>
  <c r="S122" i="139"/>
  <c r="T122" i="139"/>
  <c r="U122" i="139"/>
  <c r="V122" i="139"/>
  <c r="W122" i="139"/>
  <c r="X122" i="139"/>
  <c r="Y122" i="139"/>
  <c r="Z122" i="139"/>
  <c r="AA122" i="139"/>
  <c r="AB122" i="139"/>
  <c r="AC122" i="139"/>
  <c r="AD122" i="139"/>
  <c r="AE122" i="139"/>
  <c r="AF122" i="139"/>
  <c r="AG122" i="139"/>
  <c r="AH122" i="139"/>
  <c r="AI122" i="139"/>
  <c r="AJ122" i="139"/>
  <c r="AL122" i="139"/>
  <c r="E123" i="139"/>
  <c r="F123" i="139"/>
  <c r="G123" i="139"/>
  <c r="H123" i="139"/>
  <c r="I123" i="139"/>
  <c r="J123" i="139"/>
  <c r="K123" i="139"/>
  <c r="L123" i="139"/>
  <c r="M123" i="139"/>
  <c r="N123" i="139"/>
  <c r="O123" i="139"/>
  <c r="P123" i="139"/>
  <c r="Q123" i="139"/>
  <c r="R123" i="139"/>
  <c r="S123" i="139"/>
  <c r="T123" i="139"/>
  <c r="U123" i="139"/>
  <c r="V123" i="139"/>
  <c r="W123" i="139"/>
  <c r="X123" i="139"/>
  <c r="Y123" i="139"/>
  <c r="Z123" i="139"/>
  <c r="AA123" i="139"/>
  <c r="AB123" i="139"/>
  <c r="AC123" i="139"/>
  <c r="AD123" i="139"/>
  <c r="AE123" i="139"/>
  <c r="AF123" i="139"/>
  <c r="AG123" i="139"/>
  <c r="AH123" i="139"/>
  <c r="AI123" i="139"/>
  <c r="AJ123" i="139"/>
  <c r="AL123" i="139"/>
  <c r="E124" i="139"/>
  <c r="F124" i="139"/>
  <c r="G124" i="139"/>
  <c r="H124" i="139"/>
  <c r="I124" i="139"/>
  <c r="J124" i="139"/>
  <c r="K124" i="139"/>
  <c r="L124" i="139"/>
  <c r="M124" i="139"/>
  <c r="N124" i="139"/>
  <c r="O124" i="139"/>
  <c r="P124" i="139"/>
  <c r="Q124" i="139"/>
  <c r="R124" i="139"/>
  <c r="S124" i="139"/>
  <c r="T124" i="139"/>
  <c r="U124" i="139"/>
  <c r="V124" i="139"/>
  <c r="W124" i="139"/>
  <c r="X124" i="139"/>
  <c r="Y124" i="139"/>
  <c r="Z124" i="139"/>
  <c r="AA124" i="139"/>
  <c r="AB124" i="139"/>
  <c r="AC124" i="139"/>
  <c r="AD124" i="139"/>
  <c r="AE124" i="139"/>
  <c r="AF124" i="139"/>
  <c r="AG124" i="139"/>
  <c r="AH124" i="139"/>
  <c r="AI124" i="139"/>
  <c r="AJ124" i="139"/>
  <c r="AL124" i="139"/>
  <c r="E125" i="139"/>
  <c r="F125" i="139"/>
  <c r="G125" i="139"/>
  <c r="H125" i="139"/>
  <c r="I125" i="139"/>
  <c r="J125" i="139"/>
  <c r="K125" i="139"/>
  <c r="L125" i="139"/>
  <c r="M125" i="139"/>
  <c r="N125" i="139"/>
  <c r="O125" i="139"/>
  <c r="P125" i="139"/>
  <c r="Q125" i="139"/>
  <c r="R125" i="139"/>
  <c r="S125" i="139"/>
  <c r="T125" i="139"/>
  <c r="U125" i="139"/>
  <c r="V125" i="139"/>
  <c r="W125" i="139"/>
  <c r="X125" i="139"/>
  <c r="Y125" i="139"/>
  <c r="Z125" i="139"/>
  <c r="AA125" i="139"/>
  <c r="AB125" i="139"/>
  <c r="AC125" i="139"/>
  <c r="AD125" i="139"/>
  <c r="AE125" i="139"/>
  <c r="AF125" i="139"/>
  <c r="AG125" i="139"/>
  <c r="AH125" i="139"/>
  <c r="AI125" i="139"/>
  <c r="AJ125" i="139"/>
  <c r="AL125" i="139"/>
  <c r="AL118" i="139"/>
  <c r="F118" i="139"/>
  <c r="D119" i="151" s="1"/>
  <c r="G118" i="139"/>
  <c r="D120" i="151" s="1"/>
  <c r="H118" i="139"/>
  <c r="I118" i="139"/>
  <c r="D121" i="151" s="1"/>
  <c r="J118" i="139"/>
  <c r="D122" i="151" s="1"/>
  <c r="K118" i="139"/>
  <c r="L118" i="139"/>
  <c r="D123" i="151" s="1"/>
  <c r="M118" i="139"/>
  <c r="D124" i="151" s="1"/>
  <c r="N118" i="139"/>
  <c r="O118" i="139"/>
  <c r="P118" i="139"/>
  <c r="D125" i="151" s="1"/>
  <c r="Q118" i="139"/>
  <c r="D126" i="151" s="1"/>
  <c r="R118" i="139"/>
  <c r="D127" i="151" s="1"/>
  <c r="S118" i="139"/>
  <c r="T118" i="139"/>
  <c r="D128" i="151" s="1"/>
  <c r="U118" i="139"/>
  <c r="V118" i="139"/>
  <c r="D129" i="151" s="1"/>
  <c r="W118" i="139"/>
  <c r="X118" i="139"/>
  <c r="Y118" i="139"/>
  <c r="D130" i="151" s="1"/>
  <c r="Z118" i="139"/>
  <c r="D131" i="151" s="1"/>
  <c r="AA118" i="139"/>
  <c r="D132" i="151" s="1"/>
  <c r="AB118" i="139"/>
  <c r="D133" i="151" s="1"/>
  <c r="AC118" i="139"/>
  <c r="AD118" i="139"/>
  <c r="AE118" i="139"/>
  <c r="AF118" i="139"/>
  <c r="AG118" i="139"/>
  <c r="AH118" i="139"/>
  <c r="AI118" i="139"/>
  <c r="AJ118" i="139"/>
  <c r="E118" i="139"/>
  <c r="E106" i="139"/>
  <c r="E105" i="151" s="1"/>
  <c r="F106" i="139"/>
  <c r="G106" i="139"/>
  <c r="E106" i="151" s="1"/>
  <c r="H106" i="139"/>
  <c r="I106" i="139"/>
  <c r="J106" i="139"/>
  <c r="E107" i="151" s="1"/>
  <c r="K106" i="139"/>
  <c r="L106" i="139"/>
  <c r="E108" i="151" s="1"/>
  <c r="M106" i="139"/>
  <c r="N106" i="139"/>
  <c r="O106" i="139"/>
  <c r="E109" i="151" s="1"/>
  <c r="P106" i="139"/>
  <c r="E110" i="151" s="1"/>
  <c r="Q106" i="139"/>
  <c r="E111" i="151" s="1"/>
  <c r="R106" i="139"/>
  <c r="E112" i="151" s="1"/>
  <c r="S106" i="139"/>
  <c r="E113" i="151" s="1"/>
  <c r="T106" i="139"/>
  <c r="E114" i="151" s="1"/>
  <c r="U106" i="139"/>
  <c r="V106" i="139"/>
  <c r="W106" i="139"/>
  <c r="E115" i="151" s="1"/>
  <c r="X106" i="139"/>
  <c r="Y106" i="139"/>
  <c r="E116" i="151" s="1"/>
  <c r="Z106" i="139"/>
  <c r="E117" i="151" s="1"/>
  <c r="AA106" i="139"/>
  <c r="AB106" i="139"/>
  <c r="E118" i="151" s="1"/>
  <c r="AC106" i="139"/>
  <c r="AD106" i="139"/>
  <c r="AE106" i="139"/>
  <c r="AF106" i="139"/>
  <c r="AG106" i="139"/>
  <c r="AH106" i="139"/>
  <c r="AI106" i="139"/>
  <c r="AJ106" i="139"/>
  <c r="AL106" i="139"/>
  <c r="E107" i="139"/>
  <c r="F107" i="139"/>
  <c r="G107" i="139"/>
  <c r="H107" i="139"/>
  <c r="I107" i="139"/>
  <c r="J107" i="139"/>
  <c r="K107" i="139"/>
  <c r="L107" i="139"/>
  <c r="M107" i="139"/>
  <c r="N107" i="139"/>
  <c r="O107" i="139"/>
  <c r="P107" i="139"/>
  <c r="Q107" i="139"/>
  <c r="R107" i="139"/>
  <c r="S107" i="139"/>
  <c r="T107" i="139"/>
  <c r="U107" i="139"/>
  <c r="V107" i="139"/>
  <c r="W107" i="139"/>
  <c r="X107" i="139"/>
  <c r="Y107" i="139"/>
  <c r="Z107" i="139"/>
  <c r="AA107" i="139"/>
  <c r="AB107" i="139"/>
  <c r="AC107" i="139"/>
  <c r="AD107" i="139"/>
  <c r="AE107" i="139"/>
  <c r="AF107" i="139"/>
  <c r="AG107" i="139"/>
  <c r="AH107" i="139"/>
  <c r="AI107" i="139"/>
  <c r="AJ107" i="139"/>
  <c r="AL107" i="139"/>
  <c r="E108" i="139"/>
  <c r="F108" i="139"/>
  <c r="G108" i="139"/>
  <c r="H108" i="139"/>
  <c r="I108" i="139"/>
  <c r="J108" i="139"/>
  <c r="K108" i="139"/>
  <c r="L108" i="139"/>
  <c r="M108" i="139"/>
  <c r="N108" i="139"/>
  <c r="O108" i="139"/>
  <c r="P108" i="139"/>
  <c r="Q108" i="139"/>
  <c r="R108" i="139"/>
  <c r="S108" i="139"/>
  <c r="T108" i="139"/>
  <c r="U108" i="139"/>
  <c r="V108" i="139"/>
  <c r="W108" i="139"/>
  <c r="X108" i="139"/>
  <c r="Y108" i="139"/>
  <c r="Z108" i="139"/>
  <c r="AA108" i="139"/>
  <c r="AB108" i="139"/>
  <c r="AC108" i="139"/>
  <c r="AD108" i="139"/>
  <c r="AE108" i="139"/>
  <c r="AF108" i="139"/>
  <c r="AG108" i="139"/>
  <c r="AH108" i="139"/>
  <c r="AI108" i="139"/>
  <c r="AJ108" i="139"/>
  <c r="AL108" i="139"/>
  <c r="E109" i="139"/>
  <c r="F109" i="139"/>
  <c r="G109" i="139"/>
  <c r="H109" i="139"/>
  <c r="I109" i="139"/>
  <c r="J109" i="139"/>
  <c r="K109" i="139"/>
  <c r="L109" i="139"/>
  <c r="M109" i="139"/>
  <c r="N109" i="139"/>
  <c r="O109" i="139"/>
  <c r="P109" i="139"/>
  <c r="Q109" i="139"/>
  <c r="R109" i="139"/>
  <c r="S109" i="139"/>
  <c r="T109" i="139"/>
  <c r="U109" i="139"/>
  <c r="V109" i="139"/>
  <c r="W109" i="139"/>
  <c r="X109" i="139"/>
  <c r="Y109" i="139"/>
  <c r="Z109" i="139"/>
  <c r="AA109" i="139"/>
  <c r="AB109" i="139"/>
  <c r="AC109" i="139"/>
  <c r="AD109" i="139"/>
  <c r="AE109" i="139"/>
  <c r="AF109" i="139"/>
  <c r="AG109" i="139"/>
  <c r="AH109" i="139"/>
  <c r="AI109" i="139"/>
  <c r="AJ109" i="139"/>
  <c r="AL109" i="139"/>
  <c r="E110" i="139"/>
  <c r="F110" i="139"/>
  <c r="G110" i="139"/>
  <c r="H110" i="139"/>
  <c r="I110" i="139"/>
  <c r="J110" i="139"/>
  <c r="K110" i="139"/>
  <c r="L110" i="139"/>
  <c r="M110" i="139"/>
  <c r="N110" i="139"/>
  <c r="O110" i="139"/>
  <c r="P110" i="139"/>
  <c r="Q110" i="139"/>
  <c r="R110" i="139"/>
  <c r="S110" i="139"/>
  <c r="T110" i="139"/>
  <c r="U110" i="139"/>
  <c r="V110" i="139"/>
  <c r="W110" i="139"/>
  <c r="X110" i="139"/>
  <c r="Y110" i="139"/>
  <c r="Z110" i="139"/>
  <c r="AA110" i="139"/>
  <c r="AB110" i="139"/>
  <c r="AC110" i="139"/>
  <c r="AD110" i="139"/>
  <c r="AE110" i="139"/>
  <c r="AF110" i="139"/>
  <c r="AG110" i="139"/>
  <c r="AH110" i="139"/>
  <c r="AI110" i="139"/>
  <c r="AJ110" i="139"/>
  <c r="AL110" i="139"/>
  <c r="E111" i="139"/>
  <c r="F111" i="139"/>
  <c r="G111" i="139"/>
  <c r="H111" i="139"/>
  <c r="I111" i="139"/>
  <c r="J111" i="139"/>
  <c r="K111" i="139"/>
  <c r="L111" i="139"/>
  <c r="M111" i="139"/>
  <c r="N111" i="139"/>
  <c r="O111" i="139"/>
  <c r="P111" i="139"/>
  <c r="Q111" i="139"/>
  <c r="R111" i="139"/>
  <c r="S111" i="139"/>
  <c r="T111" i="139"/>
  <c r="U111" i="139"/>
  <c r="V111" i="139"/>
  <c r="W111" i="139"/>
  <c r="X111" i="139"/>
  <c r="Y111" i="139"/>
  <c r="Z111" i="139"/>
  <c r="AA111" i="139"/>
  <c r="AB111" i="139"/>
  <c r="AC111" i="139"/>
  <c r="AD111" i="139"/>
  <c r="AE111" i="139"/>
  <c r="AF111" i="139"/>
  <c r="AG111" i="139"/>
  <c r="AH111" i="139"/>
  <c r="AI111" i="139"/>
  <c r="AJ111" i="139"/>
  <c r="AL111" i="139"/>
  <c r="E112" i="139"/>
  <c r="F112" i="139"/>
  <c r="G112" i="139"/>
  <c r="H112" i="139"/>
  <c r="I112" i="139"/>
  <c r="J112" i="139"/>
  <c r="K112" i="139"/>
  <c r="L112" i="139"/>
  <c r="M112" i="139"/>
  <c r="N112" i="139"/>
  <c r="O112" i="139"/>
  <c r="P112" i="139"/>
  <c r="Q112" i="139"/>
  <c r="R112" i="139"/>
  <c r="S112" i="139"/>
  <c r="T112" i="139"/>
  <c r="U112" i="139"/>
  <c r="V112" i="139"/>
  <c r="W112" i="139"/>
  <c r="X112" i="139"/>
  <c r="Y112" i="139"/>
  <c r="Z112" i="139"/>
  <c r="AA112" i="139"/>
  <c r="AB112" i="139"/>
  <c r="AC112" i="139"/>
  <c r="AD112" i="139"/>
  <c r="AE112" i="139"/>
  <c r="AF112" i="139"/>
  <c r="AG112" i="139"/>
  <c r="AH112" i="139"/>
  <c r="AI112" i="139"/>
  <c r="AJ112" i="139"/>
  <c r="AL112" i="139"/>
  <c r="AL105" i="139"/>
  <c r="F105" i="139"/>
  <c r="G105" i="139"/>
  <c r="D106" i="151" s="1"/>
  <c r="H105" i="139"/>
  <c r="I105" i="139"/>
  <c r="J105" i="139"/>
  <c r="D107" i="151" s="1"/>
  <c r="K105" i="139"/>
  <c r="L105" i="139"/>
  <c r="D108" i="151" s="1"/>
  <c r="M105" i="139"/>
  <c r="N105" i="139"/>
  <c r="O105" i="139"/>
  <c r="D109" i="151" s="1"/>
  <c r="P105" i="139"/>
  <c r="D110" i="151" s="1"/>
  <c r="Q105" i="139"/>
  <c r="D111" i="151" s="1"/>
  <c r="R105" i="139"/>
  <c r="D112" i="151" s="1"/>
  <c r="S105" i="139"/>
  <c r="D113" i="151" s="1"/>
  <c r="T105" i="139"/>
  <c r="D114" i="151" s="1"/>
  <c r="U105" i="139"/>
  <c r="V105" i="139"/>
  <c r="W105" i="139"/>
  <c r="D115" i="151" s="1"/>
  <c r="X105" i="139"/>
  <c r="Y105" i="139"/>
  <c r="D116" i="151" s="1"/>
  <c r="Z105" i="139"/>
  <c r="D117" i="151" s="1"/>
  <c r="AA105" i="139"/>
  <c r="AB105" i="139"/>
  <c r="D118" i="151" s="1"/>
  <c r="AC105" i="139"/>
  <c r="AD105" i="139"/>
  <c r="AE105" i="139"/>
  <c r="AF105" i="139"/>
  <c r="AG105" i="139"/>
  <c r="AH105" i="139"/>
  <c r="AI105" i="139"/>
  <c r="AJ105" i="139"/>
  <c r="E105" i="139"/>
  <c r="D105" i="151" s="1"/>
  <c r="E93" i="139"/>
  <c r="E94" i="151" s="1"/>
  <c r="F93" i="139"/>
  <c r="G93" i="139"/>
  <c r="E95" i="151" s="1"/>
  <c r="H93" i="139"/>
  <c r="I93" i="139"/>
  <c r="J93" i="139"/>
  <c r="K93" i="139"/>
  <c r="L93" i="139"/>
  <c r="E96" i="151" s="1"/>
  <c r="M93" i="139"/>
  <c r="N93" i="139"/>
  <c r="O93" i="139"/>
  <c r="P93" i="139"/>
  <c r="E97" i="151" s="1"/>
  <c r="Q93" i="139"/>
  <c r="R93" i="139"/>
  <c r="S93" i="139"/>
  <c r="T93" i="139"/>
  <c r="E98" i="151" s="1"/>
  <c r="U93" i="139"/>
  <c r="E99" i="151" s="1"/>
  <c r="V93" i="139"/>
  <c r="E100" i="151" s="1"/>
  <c r="W93" i="139"/>
  <c r="X93" i="139"/>
  <c r="E101" i="151" s="1"/>
  <c r="Y93" i="139"/>
  <c r="E102" i="151" s="1"/>
  <c r="Z93" i="139"/>
  <c r="E103" i="151" s="1"/>
  <c r="AA93" i="139"/>
  <c r="AB93" i="139"/>
  <c r="AC93" i="139"/>
  <c r="E104" i="151" s="1"/>
  <c r="AD93" i="139"/>
  <c r="AE93" i="139"/>
  <c r="AF93" i="139"/>
  <c r="AG93" i="139"/>
  <c r="AH93" i="139"/>
  <c r="AI93" i="139"/>
  <c r="AJ93" i="139"/>
  <c r="AL93" i="139"/>
  <c r="E94" i="139"/>
  <c r="F94" i="139"/>
  <c r="G94" i="139"/>
  <c r="H94" i="139"/>
  <c r="I94" i="139"/>
  <c r="J94" i="139"/>
  <c r="K94" i="139"/>
  <c r="L94" i="139"/>
  <c r="M94" i="139"/>
  <c r="N94" i="139"/>
  <c r="O94" i="139"/>
  <c r="P94" i="139"/>
  <c r="Q94" i="139"/>
  <c r="R94" i="139"/>
  <c r="S94" i="139"/>
  <c r="T94" i="139"/>
  <c r="U94" i="139"/>
  <c r="V94" i="139"/>
  <c r="W94" i="139"/>
  <c r="X94" i="139"/>
  <c r="Y94" i="139"/>
  <c r="Z94" i="139"/>
  <c r="AA94" i="139"/>
  <c r="AB94" i="139"/>
  <c r="AC94" i="139"/>
  <c r="AD94" i="139"/>
  <c r="AE94" i="139"/>
  <c r="AF94" i="139"/>
  <c r="AG94" i="139"/>
  <c r="AH94" i="139"/>
  <c r="AI94" i="139"/>
  <c r="AJ94" i="139"/>
  <c r="AL94" i="139"/>
  <c r="E95" i="139"/>
  <c r="F95" i="139"/>
  <c r="G95" i="139"/>
  <c r="H95" i="139"/>
  <c r="I95" i="139"/>
  <c r="J95" i="139"/>
  <c r="K95" i="139"/>
  <c r="L95" i="139"/>
  <c r="M95" i="139"/>
  <c r="N95" i="139"/>
  <c r="O95" i="139"/>
  <c r="P95" i="139"/>
  <c r="Q95" i="139"/>
  <c r="R95" i="139"/>
  <c r="S95" i="139"/>
  <c r="T95" i="139"/>
  <c r="U95" i="139"/>
  <c r="V95" i="139"/>
  <c r="W95" i="139"/>
  <c r="X95" i="139"/>
  <c r="Y95" i="139"/>
  <c r="Z95" i="139"/>
  <c r="AA95" i="139"/>
  <c r="AB95" i="139"/>
  <c r="AC95" i="139"/>
  <c r="AD95" i="139"/>
  <c r="AE95" i="139"/>
  <c r="AF95" i="139"/>
  <c r="AG95" i="139"/>
  <c r="AH95" i="139"/>
  <c r="AI95" i="139"/>
  <c r="AJ95" i="139"/>
  <c r="AL95" i="139"/>
  <c r="E96" i="139"/>
  <c r="F96" i="139"/>
  <c r="G96" i="139"/>
  <c r="H96" i="139"/>
  <c r="I96" i="139"/>
  <c r="J96" i="139"/>
  <c r="K96" i="139"/>
  <c r="L96" i="139"/>
  <c r="M96" i="139"/>
  <c r="N96" i="139"/>
  <c r="O96" i="139"/>
  <c r="P96" i="139"/>
  <c r="Q96" i="139"/>
  <c r="R96" i="139"/>
  <c r="S96" i="139"/>
  <c r="T96" i="139"/>
  <c r="U96" i="139"/>
  <c r="V96" i="139"/>
  <c r="W96" i="139"/>
  <c r="X96" i="139"/>
  <c r="Y96" i="139"/>
  <c r="Z96" i="139"/>
  <c r="AA96" i="139"/>
  <c r="AB96" i="139"/>
  <c r="AC96" i="139"/>
  <c r="AD96" i="139"/>
  <c r="AE96" i="139"/>
  <c r="AF96" i="139"/>
  <c r="AG96" i="139"/>
  <c r="AH96" i="139"/>
  <c r="AI96" i="139"/>
  <c r="AJ96" i="139"/>
  <c r="AL96" i="139"/>
  <c r="E97" i="139"/>
  <c r="F97" i="139"/>
  <c r="G97" i="139"/>
  <c r="H97" i="139"/>
  <c r="I97" i="139"/>
  <c r="J97" i="139"/>
  <c r="K97" i="139"/>
  <c r="L97" i="139"/>
  <c r="M97" i="139"/>
  <c r="N97" i="139"/>
  <c r="O97" i="139"/>
  <c r="P97" i="139"/>
  <c r="Q97" i="139"/>
  <c r="R97" i="139"/>
  <c r="S97" i="139"/>
  <c r="T97" i="139"/>
  <c r="U97" i="139"/>
  <c r="V97" i="139"/>
  <c r="W97" i="139"/>
  <c r="X97" i="139"/>
  <c r="Y97" i="139"/>
  <c r="Z97" i="139"/>
  <c r="AA97" i="139"/>
  <c r="AB97" i="139"/>
  <c r="AC97" i="139"/>
  <c r="AD97" i="139"/>
  <c r="AE97" i="139"/>
  <c r="AF97" i="139"/>
  <c r="AG97" i="139"/>
  <c r="AH97" i="139"/>
  <c r="AI97" i="139"/>
  <c r="AJ97" i="139"/>
  <c r="AL97" i="139"/>
  <c r="E98" i="139"/>
  <c r="F98" i="139"/>
  <c r="G98" i="139"/>
  <c r="H98" i="139"/>
  <c r="I98" i="139"/>
  <c r="J98" i="139"/>
  <c r="K98" i="139"/>
  <c r="L98" i="139"/>
  <c r="M98" i="139"/>
  <c r="N98" i="139"/>
  <c r="O98" i="139"/>
  <c r="P98" i="139"/>
  <c r="Q98" i="139"/>
  <c r="R98" i="139"/>
  <c r="S98" i="139"/>
  <c r="T98" i="139"/>
  <c r="U98" i="139"/>
  <c r="V98" i="139"/>
  <c r="W98" i="139"/>
  <c r="X98" i="139"/>
  <c r="Y98" i="139"/>
  <c r="Z98" i="139"/>
  <c r="AA98" i="139"/>
  <c r="AB98" i="139"/>
  <c r="AC98" i="139"/>
  <c r="AD98" i="139"/>
  <c r="AE98" i="139"/>
  <c r="AF98" i="139"/>
  <c r="AG98" i="139"/>
  <c r="AH98" i="139"/>
  <c r="AI98" i="139"/>
  <c r="AJ98" i="139"/>
  <c r="AL98" i="139"/>
  <c r="E99" i="139"/>
  <c r="F99" i="139"/>
  <c r="G99" i="139"/>
  <c r="H99" i="139"/>
  <c r="I99" i="139"/>
  <c r="J99" i="139"/>
  <c r="K99" i="139"/>
  <c r="L99" i="139"/>
  <c r="M99" i="139"/>
  <c r="N99" i="139"/>
  <c r="O99" i="139"/>
  <c r="P99" i="139"/>
  <c r="Q99" i="139"/>
  <c r="R99" i="139"/>
  <c r="S99" i="139"/>
  <c r="T99" i="139"/>
  <c r="U99" i="139"/>
  <c r="V99" i="139"/>
  <c r="W99" i="139"/>
  <c r="X99" i="139"/>
  <c r="Y99" i="139"/>
  <c r="Z99" i="139"/>
  <c r="AA99" i="139"/>
  <c r="AB99" i="139"/>
  <c r="AC99" i="139"/>
  <c r="AD99" i="139"/>
  <c r="AE99" i="139"/>
  <c r="AF99" i="139"/>
  <c r="AG99" i="139"/>
  <c r="AH99" i="139"/>
  <c r="AI99" i="139"/>
  <c r="AJ99" i="139"/>
  <c r="AL99" i="139"/>
  <c r="AL92" i="139"/>
  <c r="F92" i="139"/>
  <c r="G92" i="139"/>
  <c r="D95" i="151" s="1"/>
  <c r="H92" i="139"/>
  <c r="I92" i="139"/>
  <c r="J92" i="139"/>
  <c r="K92" i="139"/>
  <c r="L92" i="139"/>
  <c r="D96" i="151" s="1"/>
  <c r="M92" i="139"/>
  <c r="N92" i="139"/>
  <c r="O92" i="139"/>
  <c r="P92" i="139"/>
  <c r="D97" i="151" s="1"/>
  <c r="Q92" i="139"/>
  <c r="R92" i="139"/>
  <c r="S92" i="139"/>
  <c r="T92" i="139"/>
  <c r="D98" i="151" s="1"/>
  <c r="U92" i="139"/>
  <c r="D99" i="151" s="1"/>
  <c r="V92" i="139"/>
  <c r="D100" i="151" s="1"/>
  <c r="W92" i="139"/>
  <c r="X92" i="139"/>
  <c r="D101" i="151" s="1"/>
  <c r="Y92" i="139"/>
  <c r="D102" i="151" s="1"/>
  <c r="Z92" i="139"/>
  <c r="D103" i="151" s="1"/>
  <c r="AA92" i="139"/>
  <c r="AB92" i="139"/>
  <c r="AC92" i="139"/>
  <c r="D104" i="151" s="1"/>
  <c r="AD92" i="139"/>
  <c r="AE92" i="139"/>
  <c r="AF92" i="139"/>
  <c r="AG92" i="139"/>
  <c r="AH92" i="139"/>
  <c r="AI92" i="139"/>
  <c r="AJ92" i="139"/>
  <c r="E92" i="139"/>
  <c r="D94" i="151" s="1"/>
  <c r="E80" i="139"/>
  <c r="F80" i="139"/>
  <c r="E79" i="151" s="1"/>
  <c r="G80" i="139"/>
  <c r="E80" i="151" s="1"/>
  <c r="H80" i="139"/>
  <c r="I80" i="139"/>
  <c r="E81" i="151" s="1"/>
  <c r="J80" i="139"/>
  <c r="K80" i="139"/>
  <c r="L80" i="139"/>
  <c r="M80" i="139"/>
  <c r="N80" i="139"/>
  <c r="E82" i="151" s="1"/>
  <c r="O80" i="139"/>
  <c r="E83" i="151" s="1"/>
  <c r="P80" i="139"/>
  <c r="E84" i="151" s="1"/>
  <c r="Q80" i="139"/>
  <c r="E85" i="151" s="1"/>
  <c r="R80" i="139"/>
  <c r="S80" i="139"/>
  <c r="E86" i="151" s="1"/>
  <c r="T80" i="139"/>
  <c r="E87" i="151" s="1"/>
  <c r="U80" i="139"/>
  <c r="E88" i="151" s="1"/>
  <c r="V80" i="139"/>
  <c r="E89" i="151" s="1"/>
  <c r="W80" i="139"/>
  <c r="X80" i="139"/>
  <c r="E90" i="151" s="1"/>
  <c r="Y80" i="139"/>
  <c r="E91" i="151" s="1"/>
  <c r="Z80" i="139"/>
  <c r="E92" i="151" s="1"/>
  <c r="AA80" i="139"/>
  <c r="AB80" i="139"/>
  <c r="E93" i="151" s="1"/>
  <c r="AC80" i="139"/>
  <c r="AD80" i="139"/>
  <c r="AE80" i="139"/>
  <c r="AF80" i="139"/>
  <c r="AG80" i="139"/>
  <c r="AH80" i="139"/>
  <c r="AI80" i="139"/>
  <c r="AJ80" i="139"/>
  <c r="AL80" i="139"/>
  <c r="E81" i="139"/>
  <c r="F81" i="139"/>
  <c r="G81" i="139"/>
  <c r="H81" i="139"/>
  <c r="I81" i="139"/>
  <c r="J81" i="139"/>
  <c r="K81" i="139"/>
  <c r="L81" i="139"/>
  <c r="M81" i="139"/>
  <c r="N81" i="139"/>
  <c r="O81" i="139"/>
  <c r="P81" i="139"/>
  <c r="Q81" i="139"/>
  <c r="R81" i="139"/>
  <c r="S81" i="139"/>
  <c r="T81" i="139"/>
  <c r="U81" i="139"/>
  <c r="V81" i="139"/>
  <c r="W81" i="139"/>
  <c r="X81" i="139"/>
  <c r="Y81" i="139"/>
  <c r="Z81" i="139"/>
  <c r="AA81" i="139"/>
  <c r="AB81" i="139"/>
  <c r="AC81" i="139"/>
  <c r="AD81" i="139"/>
  <c r="AE81" i="139"/>
  <c r="AF81" i="139"/>
  <c r="AG81" i="139"/>
  <c r="AH81" i="139"/>
  <c r="AI81" i="139"/>
  <c r="AJ81" i="139"/>
  <c r="AL81" i="139"/>
  <c r="E82" i="139"/>
  <c r="F82" i="139"/>
  <c r="G82" i="139"/>
  <c r="H82" i="139"/>
  <c r="I82" i="139"/>
  <c r="J82" i="139"/>
  <c r="K82" i="139"/>
  <c r="L82" i="139"/>
  <c r="M82" i="139"/>
  <c r="N82" i="139"/>
  <c r="O82" i="139"/>
  <c r="P82" i="139"/>
  <c r="Q82" i="139"/>
  <c r="R82" i="139"/>
  <c r="S82" i="139"/>
  <c r="T82" i="139"/>
  <c r="U82" i="139"/>
  <c r="V82" i="139"/>
  <c r="W82" i="139"/>
  <c r="X82" i="139"/>
  <c r="Y82" i="139"/>
  <c r="Z82" i="139"/>
  <c r="AA82" i="139"/>
  <c r="AB82" i="139"/>
  <c r="AC82" i="139"/>
  <c r="AD82" i="139"/>
  <c r="AE82" i="139"/>
  <c r="AF82" i="139"/>
  <c r="AG82" i="139"/>
  <c r="AH82" i="139"/>
  <c r="AI82" i="139"/>
  <c r="AJ82" i="139"/>
  <c r="AL82" i="139"/>
  <c r="E83" i="139"/>
  <c r="F83" i="139"/>
  <c r="G83" i="139"/>
  <c r="H83" i="139"/>
  <c r="I83" i="139"/>
  <c r="J83" i="139"/>
  <c r="K83" i="139"/>
  <c r="L83" i="139"/>
  <c r="M83" i="139"/>
  <c r="N83" i="139"/>
  <c r="O83" i="139"/>
  <c r="P83" i="139"/>
  <c r="Q83" i="139"/>
  <c r="R83" i="139"/>
  <c r="S83" i="139"/>
  <c r="T83" i="139"/>
  <c r="U83" i="139"/>
  <c r="V83" i="139"/>
  <c r="W83" i="139"/>
  <c r="X83" i="139"/>
  <c r="Y83" i="139"/>
  <c r="Z83" i="139"/>
  <c r="AA83" i="139"/>
  <c r="AB83" i="139"/>
  <c r="AC83" i="139"/>
  <c r="AD83" i="139"/>
  <c r="AE83" i="139"/>
  <c r="AF83" i="139"/>
  <c r="AG83" i="139"/>
  <c r="AH83" i="139"/>
  <c r="AI83" i="139"/>
  <c r="AJ83" i="139"/>
  <c r="AL83" i="139"/>
  <c r="E84" i="139"/>
  <c r="F84" i="139"/>
  <c r="G84" i="139"/>
  <c r="H84" i="139"/>
  <c r="I84" i="139"/>
  <c r="J84" i="139"/>
  <c r="K84" i="139"/>
  <c r="L84" i="139"/>
  <c r="M84" i="139"/>
  <c r="N84" i="139"/>
  <c r="O84" i="139"/>
  <c r="P84" i="139"/>
  <c r="Q84" i="139"/>
  <c r="R84" i="139"/>
  <c r="S84" i="139"/>
  <c r="T84" i="139"/>
  <c r="U84" i="139"/>
  <c r="V84" i="139"/>
  <c r="W84" i="139"/>
  <c r="X84" i="139"/>
  <c r="Y84" i="139"/>
  <c r="Z84" i="139"/>
  <c r="AA84" i="139"/>
  <c r="AB84" i="139"/>
  <c r="AC84" i="139"/>
  <c r="AD84" i="139"/>
  <c r="AE84" i="139"/>
  <c r="AF84" i="139"/>
  <c r="AG84" i="139"/>
  <c r="AH84" i="139"/>
  <c r="AI84" i="139"/>
  <c r="AJ84" i="139"/>
  <c r="AL84" i="139"/>
  <c r="E85" i="139"/>
  <c r="F85" i="139"/>
  <c r="G85" i="139"/>
  <c r="H85" i="139"/>
  <c r="I85" i="139"/>
  <c r="J85" i="139"/>
  <c r="K85" i="139"/>
  <c r="L85" i="139"/>
  <c r="M85" i="139"/>
  <c r="N85" i="139"/>
  <c r="O85" i="139"/>
  <c r="P85" i="139"/>
  <c r="Q85" i="139"/>
  <c r="R85" i="139"/>
  <c r="S85" i="139"/>
  <c r="T85" i="139"/>
  <c r="U85" i="139"/>
  <c r="V85" i="139"/>
  <c r="W85" i="139"/>
  <c r="X85" i="139"/>
  <c r="Y85" i="139"/>
  <c r="Z85" i="139"/>
  <c r="AA85" i="139"/>
  <c r="AB85" i="139"/>
  <c r="AC85" i="139"/>
  <c r="AD85" i="139"/>
  <c r="AE85" i="139"/>
  <c r="AF85" i="139"/>
  <c r="AG85" i="139"/>
  <c r="AH85" i="139"/>
  <c r="AI85" i="139"/>
  <c r="AJ85" i="139"/>
  <c r="AL85" i="139"/>
  <c r="E86" i="139"/>
  <c r="F86" i="139"/>
  <c r="G86" i="139"/>
  <c r="H86" i="139"/>
  <c r="I86" i="139"/>
  <c r="J86" i="139"/>
  <c r="K86" i="139"/>
  <c r="L86" i="139"/>
  <c r="M86" i="139"/>
  <c r="N86" i="139"/>
  <c r="O86" i="139"/>
  <c r="P86" i="139"/>
  <c r="Q86" i="139"/>
  <c r="R86" i="139"/>
  <c r="S86" i="139"/>
  <c r="T86" i="139"/>
  <c r="U86" i="139"/>
  <c r="V86" i="139"/>
  <c r="W86" i="139"/>
  <c r="X86" i="139"/>
  <c r="Y86" i="139"/>
  <c r="Z86" i="139"/>
  <c r="AA86" i="139"/>
  <c r="AB86" i="139"/>
  <c r="AC86" i="139"/>
  <c r="AD86" i="139"/>
  <c r="AE86" i="139"/>
  <c r="AF86" i="139"/>
  <c r="AG86" i="139"/>
  <c r="AH86" i="139"/>
  <c r="AI86" i="139"/>
  <c r="AJ86" i="139"/>
  <c r="AL86" i="139"/>
  <c r="AL79" i="139"/>
  <c r="F79" i="139"/>
  <c r="D79" i="151" s="1"/>
  <c r="G79" i="139"/>
  <c r="D80" i="151" s="1"/>
  <c r="H79" i="139"/>
  <c r="I79" i="139"/>
  <c r="D81" i="151" s="1"/>
  <c r="J79" i="139"/>
  <c r="K79" i="139"/>
  <c r="L79" i="139"/>
  <c r="M79" i="139"/>
  <c r="N79" i="139"/>
  <c r="D82" i="151" s="1"/>
  <c r="O79" i="139"/>
  <c r="D83" i="151" s="1"/>
  <c r="P79" i="139"/>
  <c r="D84" i="151" s="1"/>
  <c r="Q79" i="139"/>
  <c r="D85" i="151" s="1"/>
  <c r="R79" i="139"/>
  <c r="S79" i="139"/>
  <c r="D86" i="151" s="1"/>
  <c r="T79" i="139"/>
  <c r="D87" i="151" s="1"/>
  <c r="U79" i="139"/>
  <c r="D88" i="151" s="1"/>
  <c r="V79" i="139"/>
  <c r="D89" i="151" s="1"/>
  <c r="W79" i="139"/>
  <c r="X79" i="139"/>
  <c r="D90" i="151" s="1"/>
  <c r="Y79" i="139"/>
  <c r="D91" i="151" s="1"/>
  <c r="Z79" i="139"/>
  <c r="D92" i="151" s="1"/>
  <c r="AA79" i="139"/>
  <c r="AB79" i="139"/>
  <c r="D93" i="151" s="1"/>
  <c r="AC79" i="139"/>
  <c r="AD79" i="139"/>
  <c r="AE79" i="139"/>
  <c r="AF79" i="139"/>
  <c r="AG79" i="139"/>
  <c r="AH79" i="139"/>
  <c r="AI79" i="139"/>
  <c r="AJ79" i="139"/>
  <c r="E79" i="139"/>
  <c r="E67" i="139"/>
  <c r="E64" i="151" s="1"/>
  <c r="F67" i="139"/>
  <c r="E65" i="151" s="1"/>
  <c r="G67" i="139"/>
  <c r="E66" i="151" s="1"/>
  <c r="H67" i="139"/>
  <c r="I67" i="139"/>
  <c r="J67" i="139"/>
  <c r="K67" i="139"/>
  <c r="E67" i="151" s="1"/>
  <c r="L67" i="139"/>
  <c r="E68" i="151" s="1"/>
  <c r="M67" i="139"/>
  <c r="E69" i="151" s="1"/>
  <c r="N67" i="139"/>
  <c r="O67" i="139"/>
  <c r="E70" i="151" s="1"/>
  <c r="P67" i="139"/>
  <c r="E71" i="151" s="1"/>
  <c r="Q67" i="139"/>
  <c r="E72" i="151" s="1"/>
  <c r="R67" i="139"/>
  <c r="S67" i="139"/>
  <c r="T67" i="139"/>
  <c r="E73" i="151" s="1"/>
  <c r="U67" i="139"/>
  <c r="V67" i="139"/>
  <c r="E74" i="151" s="1"/>
  <c r="W67" i="139"/>
  <c r="X67" i="139"/>
  <c r="Y67" i="139"/>
  <c r="E75" i="151" s="1"/>
  <c r="Z67" i="139"/>
  <c r="E76" i="151" s="1"/>
  <c r="AA67" i="139"/>
  <c r="AB67" i="139"/>
  <c r="E77" i="151" s="1"/>
  <c r="AC67" i="139"/>
  <c r="E78" i="151" s="1"/>
  <c r="AD67" i="139"/>
  <c r="AE67" i="139"/>
  <c r="AF67" i="139"/>
  <c r="AG67" i="139"/>
  <c r="AH67" i="139"/>
  <c r="AI67" i="139"/>
  <c r="AJ67" i="139"/>
  <c r="AL67" i="139"/>
  <c r="E68" i="139"/>
  <c r="F68" i="139"/>
  <c r="G68" i="139"/>
  <c r="H68" i="139"/>
  <c r="I68" i="139"/>
  <c r="J68" i="139"/>
  <c r="K68" i="139"/>
  <c r="L68" i="139"/>
  <c r="M68" i="139"/>
  <c r="N68" i="139"/>
  <c r="O68" i="139"/>
  <c r="P68" i="139"/>
  <c r="Q68" i="139"/>
  <c r="R68" i="139"/>
  <c r="S68" i="139"/>
  <c r="T68" i="139"/>
  <c r="U68" i="139"/>
  <c r="V68" i="139"/>
  <c r="W68" i="139"/>
  <c r="X68" i="139"/>
  <c r="Y68" i="139"/>
  <c r="Z68" i="139"/>
  <c r="AA68" i="139"/>
  <c r="AB68" i="139"/>
  <c r="AC68" i="139"/>
  <c r="AD68" i="139"/>
  <c r="AE68" i="139"/>
  <c r="AF68" i="139"/>
  <c r="AG68" i="139"/>
  <c r="AH68" i="139"/>
  <c r="AI68" i="139"/>
  <c r="AJ68" i="139"/>
  <c r="AL68" i="139"/>
  <c r="E69" i="139"/>
  <c r="F69" i="139"/>
  <c r="G69" i="139"/>
  <c r="H69" i="139"/>
  <c r="I69" i="139"/>
  <c r="J69" i="139"/>
  <c r="K69" i="139"/>
  <c r="L69" i="139"/>
  <c r="M69" i="139"/>
  <c r="N69" i="139"/>
  <c r="O69" i="139"/>
  <c r="P69" i="139"/>
  <c r="Q69" i="139"/>
  <c r="R69" i="139"/>
  <c r="S69" i="139"/>
  <c r="T69" i="139"/>
  <c r="U69" i="139"/>
  <c r="V69" i="139"/>
  <c r="W69" i="139"/>
  <c r="X69" i="139"/>
  <c r="Y69" i="139"/>
  <c r="Z69" i="139"/>
  <c r="AA69" i="139"/>
  <c r="AB69" i="139"/>
  <c r="AC69" i="139"/>
  <c r="AD69" i="139"/>
  <c r="AE69" i="139"/>
  <c r="AF69" i="139"/>
  <c r="AG69" i="139"/>
  <c r="AH69" i="139"/>
  <c r="AI69" i="139"/>
  <c r="AJ69" i="139"/>
  <c r="AL69" i="139"/>
  <c r="E70" i="139"/>
  <c r="F70" i="139"/>
  <c r="G70" i="139"/>
  <c r="H70" i="139"/>
  <c r="I70" i="139"/>
  <c r="J70" i="139"/>
  <c r="K70" i="139"/>
  <c r="L70" i="139"/>
  <c r="M70" i="139"/>
  <c r="N70" i="139"/>
  <c r="O70" i="139"/>
  <c r="P70" i="139"/>
  <c r="Q70" i="139"/>
  <c r="R70" i="139"/>
  <c r="S70" i="139"/>
  <c r="T70" i="139"/>
  <c r="U70" i="139"/>
  <c r="V70" i="139"/>
  <c r="W70" i="139"/>
  <c r="X70" i="139"/>
  <c r="Y70" i="139"/>
  <c r="Z70" i="139"/>
  <c r="AA70" i="139"/>
  <c r="AB70" i="139"/>
  <c r="AC70" i="139"/>
  <c r="AD70" i="139"/>
  <c r="AE70" i="139"/>
  <c r="AF70" i="139"/>
  <c r="AG70" i="139"/>
  <c r="AH70" i="139"/>
  <c r="AI70" i="139"/>
  <c r="AJ70" i="139"/>
  <c r="AL70" i="139"/>
  <c r="E71" i="139"/>
  <c r="F71" i="139"/>
  <c r="G71" i="139"/>
  <c r="H71" i="139"/>
  <c r="I71" i="139"/>
  <c r="J71" i="139"/>
  <c r="K71" i="139"/>
  <c r="L71" i="139"/>
  <c r="M71" i="139"/>
  <c r="N71" i="139"/>
  <c r="O71" i="139"/>
  <c r="P71" i="139"/>
  <c r="Q71" i="139"/>
  <c r="R71" i="139"/>
  <c r="S71" i="139"/>
  <c r="T71" i="139"/>
  <c r="U71" i="139"/>
  <c r="V71" i="139"/>
  <c r="W71" i="139"/>
  <c r="X71" i="139"/>
  <c r="Y71" i="139"/>
  <c r="Z71" i="139"/>
  <c r="AA71" i="139"/>
  <c r="AB71" i="139"/>
  <c r="AC71" i="139"/>
  <c r="AD71" i="139"/>
  <c r="AE71" i="139"/>
  <c r="AF71" i="139"/>
  <c r="AG71" i="139"/>
  <c r="AH71" i="139"/>
  <c r="AI71" i="139"/>
  <c r="AJ71" i="139"/>
  <c r="AL71" i="139"/>
  <c r="E72" i="139"/>
  <c r="F72" i="139"/>
  <c r="G72" i="139"/>
  <c r="H72" i="139"/>
  <c r="I72" i="139"/>
  <c r="J72" i="139"/>
  <c r="K72" i="139"/>
  <c r="L72" i="139"/>
  <c r="M72" i="139"/>
  <c r="N72" i="139"/>
  <c r="O72" i="139"/>
  <c r="P72" i="139"/>
  <c r="Q72" i="139"/>
  <c r="R72" i="139"/>
  <c r="S72" i="139"/>
  <c r="T72" i="139"/>
  <c r="U72" i="139"/>
  <c r="V72" i="139"/>
  <c r="W72" i="139"/>
  <c r="X72" i="139"/>
  <c r="Y72" i="139"/>
  <c r="Z72" i="139"/>
  <c r="AA72" i="139"/>
  <c r="AB72" i="139"/>
  <c r="AC72" i="139"/>
  <c r="AD72" i="139"/>
  <c r="AE72" i="139"/>
  <c r="AF72" i="139"/>
  <c r="AG72" i="139"/>
  <c r="AH72" i="139"/>
  <c r="AI72" i="139"/>
  <c r="AJ72" i="139"/>
  <c r="AL72" i="139"/>
  <c r="E73" i="139"/>
  <c r="F73" i="139"/>
  <c r="G73" i="139"/>
  <c r="H73" i="139"/>
  <c r="I73" i="139"/>
  <c r="J73" i="139"/>
  <c r="K73" i="139"/>
  <c r="L73" i="139"/>
  <c r="M73" i="139"/>
  <c r="N73" i="139"/>
  <c r="O73" i="139"/>
  <c r="P73" i="139"/>
  <c r="Q73" i="139"/>
  <c r="R73" i="139"/>
  <c r="S73" i="139"/>
  <c r="T73" i="139"/>
  <c r="U73" i="139"/>
  <c r="V73" i="139"/>
  <c r="W73" i="139"/>
  <c r="X73" i="139"/>
  <c r="Y73" i="139"/>
  <c r="Z73" i="139"/>
  <c r="AA73" i="139"/>
  <c r="AB73" i="139"/>
  <c r="AC73" i="139"/>
  <c r="AD73" i="139"/>
  <c r="AE73" i="139"/>
  <c r="AF73" i="139"/>
  <c r="AG73" i="139"/>
  <c r="AH73" i="139"/>
  <c r="AI73" i="139"/>
  <c r="AJ73" i="139"/>
  <c r="AL73" i="139"/>
  <c r="AL66" i="139"/>
  <c r="F66" i="139"/>
  <c r="D65" i="151" s="1"/>
  <c r="G66" i="139"/>
  <c r="D66" i="151" s="1"/>
  <c r="H66" i="139"/>
  <c r="I66" i="139"/>
  <c r="J66" i="139"/>
  <c r="K66" i="139"/>
  <c r="D67" i="151" s="1"/>
  <c r="L66" i="139"/>
  <c r="D68" i="151" s="1"/>
  <c r="M66" i="139"/>
  <c r="D69" i="151" s="1"/>
  <c r="N66" i="139"/>
  <c r="O66" i="139"/>
  <c r="D70" i="151" s="1"/>
  <c r="P66" i="139"/>
  <c r="D71" i="151" s="1"/>
  <c r="Q66" i="139"/>
  <c r="D72" i="151" s="1"/>
  <c r="R66" i="139"/>
  <c r="S66" i="139"/>
  <c r="T66" i="139"/>
  <c r="D73" i="151" s="1"/>
  <c r="U66" i="139"/>
  <c r="V66" i="139"/>
  <c r="D74" i="151" s="1"/>
  <c r="W66" i="139"/>
  <c r="X66" i="139"/>
  <c r="Y66" i="139"/>
  <c r="D75" i="151" s="1"/>
  <c r="Z66" i="139"/>
  <c r="D76" i="151" s="1"/>
  <c r="AA66" i="139"/>
  <c r="AB66" i="139"/>
  <c r="D77" i="151" s="1"/>
  <c r="AC66" i="139"/>
  <c r="D78" i="151" s="1"/>
  <c r="AD66" i="139"/>
  <c r="AE66" i="139"/>
  <c r="AF66" i="139"/>
  <c r="AG66" i="139"/>
  <c r="AH66" i="139"/>
  <c r="AI66" i="139"/>
  <c r="AJ66" i="139"/>
  <c r="E66" i="139"/>
  <c r="D64" i="151" s="1"/>
  <c r="E54" i="139"/>
  <c r="F54" i="139"/>
  <c r="E50" i="151" s="1"/>
  <c r="G54" i="139"/>
  <c r="E51" i="151" s="1"/>
  <c r="H54" i="139"/>
  <c r="I54" i="139"/>
  <c r="J54" i="139"/>
  <c r="K54" i="139"/>
  <c r="L54" i="139"/>
  <c r="E52" i="151" s="1"/>
  <c r="M54" i="139"/>
  <c r="N54" i="139"/>
  <c r="E53" i="151" s="1"/>
  <c r="O54" i="139"/>
  <c r="E54" i="151" s="1"/>
  <c r="P54" i="139"/>
  <c r="E55" i="151" s="1"/>
  <c r="Q54" i="139"/>
  <c r="E56" i="151" s="1"/>
  <c r="R54" i="139"/>
  <c r="S54" i="139"/>
  <c r="E57" i="151" s="1"/>
  <c r="T54" i="139"/>
  <c r="E58" i="151" s="1"/>
  <c r="U54" i="139"/>
  <c r="V54" i="139"/>
  <c r="W54" i="139"/>
  <c r="E59" i="151" s="1"/>
  <c r="X54" i="139"/>
  <c r="E60" i="151" s="1"/>
  <c r="Y54" i="139"/>
  <c r="Z54" i="139"/>
  <c r="E61" i="151" s="1"/>
  <c r="AA54" i="139"/>
  <c r="E62" i="151" s="1"/>
  <c r="AB54" i="139"/>
  <c r="AC54" i="139"/>
  <c r="E63" i="151" s="1"/>
  <c r="AD54" i="139"/>
  <c r="AE54" i="139"/>
  <c r="AF54" i="139"/>
  <c r="AG54" i="139"/>
  <c r="AH54" i="139"/>
  <c r="AI54" i="139"/>
  <c r="AJ54" i="139"/>
  <c r="AL54" i="139"/>
  <c r="E55" i="139"/>
  <c r="F55" i="139"/>
  <c r="G55" i="139"/>
  <c r="H55" i="139"/>
  <c r="I55" i="139"/>
  <c r="J55" i="139"/>
  <c r="K55" i="139"/>
  <c r="L55" i="139"/>
  <c r="M55" i="139"/>
  <c r="N55" i="139"/>
  <c r="O55" i="139"/>
  <c r="P55" i="139"/>
  <c r="Q55" i="139"/>
  <c r="R55" i="139"/>
  <c r="S55" i="139"/>
  <c r="T55" i="139"/>
  <c r="U55" i="139"/>
  <c r="V55" i="139"/>
  <c r="W55" i="139"/>
  <c r="X55" i="139"/>
  <c r="Y55" i="139"/>
  <c r="Z55" i="139"/>
  <c r="AA55" i="139"/>
  <c r="AB55" i="139"/>
  <c r="AC55" i="139"/>
  <c r="AD55" i="139"/>
  <c r="AE55" i="139"/>
  <c r="AF55" i="139"/>
  <c r="AG55" i="139"/>
  <c r="AH55" i="139"/>
  <c r="AI55" i="139"/>
  <c r="AJ55" i="139"/>
  <c r="AL55" i="139"/>
  <c r="E56" i="139"/>
  <c r="F56" i="139"/>
  <c r="G56" i="139"/>
  <c r="H56" i="139"/>
  <c r="I56" i="139"/>
  <c r="J56" i="139"/>
  <c r="K56" i="139"/>
  <c r="L56" i="139"/>
  <c r="M56" i="139"/>
  <c r="N56" i="139"/>
  <c r="O56" i="139"/>
  <c r="P56" i="139"/>
  <c r="Q56" i="139"/>
  <c r="R56" i="139"/>
  <c r="S56" i="139"/>
  <c r="T56" i="139"/>
  <c r="U56" i="139"/>
  <c r="V56" i="139"/>
  <c r="W56" i="139"/>
  <c r="X56" i="139"/>
  <c r="Y56" i="139"/>
  <c r="Z56" i="139"/>
  <c r="AA56" i="139"/>
  <c r="AB56" i="139"/>
  <c r="AC56" i="139"/>
  <c r="AD56" i="139"/>
  <c r="AE56" i="139"/>
  <c r="AF56" i="139"/>
  <c r="AG56" i="139"/>
  <c r="AH56" i="139"/>
  <c r="AI56" i="139"/>
  <c r="AJ56" i="139"/>
  <c r="AL56" i="139"/>
  <c r="E57" i="139"/>
  <c r="F57" i="139"/>
  <c r="G57" i="139"/>
  <c r="H57" i="139"/>
  <c r="I57" i="139"/>
  <c r="J57" i="139"/>
  <c r="K57" i="139"/>
  <c r="L57" i="139"/>
  <c r="M57" i="139"/>
  <c r="N57" i="139"/>
  <c r="O57" i="139"/>
  <c r="P57" i="139"/>
  <c r="Q57" i="139"/>
  <c r="R57" i="139"/>
  <c r="S57" i="139"/>
  <c r="T57" i="139"/>
  <c r="U57" i="139"/>
  <c r="V57" i="139"/>
  <c r="W57" i="139"/>
  <c r="X57" i="139"/>
  <c r="Y57" i="139"/>
  <c r="Z57" i="139"/>
  <c r="AA57" i="139"/>
  <c r="AB57" i="139"/>
  <c r="AC57" i="139"/>
  <c r="AD57" i="139"/>
  <c r="AE57" i="139"/>
  <c r="AF57" i="139"/>
  <c r="AG57" i="139"/>
  <c r="AH57" i="139"/>
  <c r="AI57" i="139"/>
  <c r="AJ57" i="139"/>
  <c r="AL57" i="139"/>
  <c r="E58" i="139"/>
  <c r="F58" i="139"/>
  <c r="G58" i="139"/>
  <c r="H58" i="139"/>
  <c r="I58" i="139"/>
  <c r="J58" i="139"/>
  <c r="K58" i="139"/>
  <c r="L58" i="139"/>
  <c r="M58" i="139"/>
  <c r="N58" i="139"/>
  <c r="O58" i="139"/>
  <c r="P58" i="139"/>
  <c r="Q58" i="139"/>
  <c r="R58" i="139"/>
  <c r="S58" i="139"/>
  <c r="T58" i="139"/>
  <c r="U58" i="139"/>
  <c r="V58" i="139"/>
  <c r="W58" i="139"/>
  <c r="X58" i="139"/>
  <c r="Y58" i="139"/>
  <c r="Z58" i="139"/>
  <c r="AA58" i="139"/>
  <c r="AB58" i="139"/>
  <c r="AC58" i="139"/>
  <c r="AD58" i="139"/>
  <c r="AE58" i="139"/>
  <c r="AF58" i="139"/>
  <c r="AG58" i="139"/>
  <c r="AH58" i="139"/>
  <c r="AI58" i="139"/>
  <c r="AJ58" i="139"/>
  <c r="AL58" i="139"/>
  <c r="E59" i="139"/>
  <c r="F59" i="139"/>
  <c r="G59" i="139"/>
  <c r="H59" i="139"/>
  <c r="I59" i="139"/>
  <c r="J59" i="139"/>
  <c r="K59" i="139"/>
  <c r="L59" i="139"/>
  <c r="M59" i="139"/>
  <c r="N59" i="139"/>
  <c r="O59" i="139"/>
  <c r="P59" i="139"/>
  <c r="Q59" i="139"/>
  <c r="R59" i="139"/>
  <c r="S59" i="139"/>
  <c r="T59" i="139"/>
  <c r="U59" i="139"/>
  <c r="V59" i="139"/>
  <c r="W59" i="139"/>
  <c r="X59" i="139"/>
  <c r="Y59" i="139"/>
  <c r="Z59" i="139"/>
  <c r="AA59" i="139"/>
  <c r="AB59" i="139"/>
  <c r="AC59" i="139"/>
  <c r="AD59" i="139"/>
  <c r="AE59" i="139"/>
  <c r="AF59" i="139"/>
  <c r="AG59" i="139"/>
  <c r="AH59" i="139"/>
  <c r="AI59" i="139"/>
  <c r="AJ59" i="139"/>
  <c r="AL59" i="139"/>
  <c r="E60" i="139"/>
  <c r="F60" i="139"/>
  <c r="G60" i="139"/>
  <c r="H60" i="139"/>
  <c r="I60" i="139"/>
  <c r="J60" i="139"/>
  <c r="K60" i="139"/>
  <c r="L60" i="139"/>
  <c r="M60" i="139"/>
  <c r="N60" i="139"/>
  <c r="O60" i="139"/>
  <c r="P60" i="139"/>
  <c r="Q60" i="139"/>
  <c r="R60" i="139"/>
  <c r="S60" i="139"/>
  <c r="T60" i="139"/>
  <c r="U60" i="139"/>
  <c r="V60" i="139"/>
  <c r="W60" i="139"/>
  <c r="X60" i="139"/>
  <c r="Y60" i="139"/>
  <c r="Z60" i="139"/>
  <c r="AA60" i="139"/>
  <c r="AB60" i="139"/>
  <c r="AC60" i="139"/>
  <c r="AD60" i="139"/>
  <c r="AE60" i="139"/>
  <c r="AF60" i="139"/>
  <c r="AG60" i="139"/>
  <c r="AH60" i="139"/>
  <c r="AI60" i="139"/>
  <c r="AJ60" i="139"/>
  <c r="AL60" i="139"/>
  <c r="AL53" i="139"/>
  <c r="F53" i="139"/>
  <c r="D50" i="151" s="1"/>
  <c r="G53" i="139"/>
  <c r="D51" i="151" s="1"/>
  <c r="H53" i="139"/>
  <c r="I53" i="139"/>
  <c r="J53" i="139"/>
  <c r="K53" i="139"/>
  <c r="L53" i="139"/>
  <c r="D52" i="151" s="1"/>
  <c r="M53" i="139"/>
  <c r="N53" i="139"/>
  <c r="D53" i="151" s="1"/>
  <c r="O53" i="139"/>
  <c r="D54" i="151" s="1"/>
  <c r="P53" i="139"/>
  <c r="D55" i="151" s="1"/>
  <c r="Q53" i="139"/>
  <c r="D56" i="151" s="1"/>
  <c r="R53" i="139"/>
  <c r="S53" i="139"/>
  <c r="D57" i="151" s="1"/>
  <c r="T53" i="139"/>
  <c r="D58" i="151" s="1"/>
  <c r="U53" i="139"/>
  <c r="V53" i="139"/>
  <c r="W53" i="139"/>
  <c r="D59" i="151" s="1"/>
  <c r="X53" i="139"/>
  <c r="D60" i="151" s="1"/>
  <c r="Y53" i="139"/>
  <c r="Z53" i="139"/>
  <c r="D61" i="151" s="1"/>
  <c r="AA53" i="139"/>
  <c r="D62" i="151" s="1"/>
  <c r="AB53" i="139"/>
  <c r="AC53" i="139"/>
  <c r="D63" i="151" s="1"/>
  <c r="AD53" i="139"/>
  <c r="AE53" i="139"/>
  <c r="AF53" i="139"/>
  <c r="AG53" i="139"/>
  <c r="AH53" i="139"/>
  <c r="AI53" i="139"/>
  <c r="AJ53" i="139"/>
  <c r="E53" i="139"/>
  <c r="AJ46" i="139"/>
  <c r="E41" i="139"/>
  <c r="E36" i="151" s="1"/>
  <c r="F41" i="139"/>
  <c r="E37" i="151" s="1"/>
  <c r="G41" i="139"/>
  <c r="H41" i="139"/>
  <c r="E38" i="151" s="1"/>
  <c r="I41" i="139"/>
  <c r="E39" i="151" s="1"/>
  <c r="J41" i="139"/>
  <c r="K41" i="139"/>
  <c r="L41" i="139"/>
  <c r="E40" i="151" s="1"/>
  <c r="M41" i="139"/>
  <c r="E41" i="151" s="1"/>
  <c r="N41" i="139"/>
  <c r="O41" i="139"/>
  <c r="E42" i="151" s="1"/>
  <c r="P41" i="139"/>
  <c r="Q41" i="139"/>
  <c r="E43" i="151" s="1"/>
  <c r="R41" i="139"/>
  <c r="S41" i="139"/>
  <c r="T41" i="139"/>
  <c r="E44" i="151" s="1"/>
  <c r="U41" i="139"/>
  <c r="V41" i="139"/>
  <c r="E45" i="151" s="1"/>
  <c r="W41" i="139"/>
  <c r="X41" i="139"/>
  <c r="E46" i="151" s="1"/>
  <c r="Y41" i="139"/>
  <c r="Z41" i="139"/>
  <c r="E47" i="151" s="1"/>
  <c r="AA41" i="139"/>
  <c r="E48" i="151" s="1"/>
  <c r="AB41" i="139"/>
  <c r="E49" i="151" s="1"/>
  <c r="AC41" i="139"/>
  <c r="AD41" i="139"/>
  <c r="AE41" i="139"/>
  <c r="AF41" i="139"/>
  <c r="AG41" i="139"/>
  <c r="AH41" i="139"/>
  <c r="AI41" i="139"/>
  <c r="AJ41" i="139"/>
  <c r="AL41" i="139"/>
  <c r="E42" i="139"/>
  <c r="F42" i="139"/>
  <c r="G42" i="139"/>
  <c r="H42" i="139"/>
  <c r="I42" i="139"/>
  <c r="J42" i="139"/>
  <c r="K42" i="139"/>
  <c r="L42" i="139"/>
  <c r="M42" i="139"/>
  <c r="N42" i="139"/>
  <c r="O42" i="139"/>
  <c r="P42" i="139"/>
  <c r="Q42" i="139"/>
  <c r="R42" i="139"/>
  <c r="S42" i="139"/>
  <c r="T42" i="139"/>
  <c r="U42" i="139"/>
  <c r="V42" i="139"/>
  <c r="W42" i="139"/>
  <c r="X42" i="139"/>
  <c r="Y42" i="139"/>
  <c r="Z42" i="139"/>
  <c r="AA42" i="139"/>
  <c r="AB42" i="139"/>
  <c r="AC42" i="139"/>
  <c r="AD42" i="139"/>
  <c r="AE42" i="139"/>
  <c r="AF42" i="139"/>
  <c r="AG42" i="139"/>
  <c r="AH42" i="139"/>
  <c r="AI42" i="139"/>
  <c r="AJ42" i="139"/>
  <c r="AL42" i="139"/>
  <c r="E43" i="139"/>
  <c r="F43" i="139"/>
  <c r="G43" i="139"/>
  <c r="H43" i="139"/>
  <c r="I43" i="139"/>
  <c r="J43" i="139"/>
  <c r="K43" i="139"/>
  <c r="L43" i="139"/>
  <c r="M43" i="139"/>
  <c r="N43" i="139"/>
  <c r="O43" i="139"/>
  <c r="P43" i="139"/>
  <c r="Q43" i="139"/>
  <c r="R43" i="139"/>
  <c r="S43" i="139"/>
  <c r="T43" i="139"/>
  <c r="U43" i="139"/>
  <c r="V43" i="139"/>
  <c r="W43" i="139"/>
  <c r="X43" i="139"/>
  <c r="Y43" i="139"/>
  <c r="Z43" i="139"/>
  <c r="AA43" i="139"/>
  <c r="AB43" i="139"/>
  <c r="AC43" i="139"/>
  <c r="AD43" i="139"/>
  <c r="AE43" i="139"/>
  <c r="AF43" i="139"/>
  <c r="AG43" i="139"/>
  <c r="AH43" i="139"/>
  <c r="AI43" i="139"/>
  <c r="AJ43" i="139"/>
  <c r="AL43" i="139"/>
  <c r="E44" i="139"/>
  <c r="F44" i="139"/>
  <c r="G44" i="139"/>
  <c r="H44" i="139"/>
  <c r="I44" i="139"/>
  <c r="J44" i="139"/>
  <c r="K44" i="139"/>
  <c r="L44" i="139"/>
  <c r="M44" i="139"/>
  <c r="N44" i="139"/>
  <c r="O44" i="139"/>
  <c r="P44" i="139"/>
  <c r="Q44" i="139"/>
  <c r="R44" i="139"/>
  <c r="S44" i="139"/>
  <c r="T44" i="139"/>
  <c r="U44" i="139"/>
  <c r="V44" i="139"/>
  <c r="W44" i="139"/>
  <c r="X44" i="139"/>
  <c r="Y44" i="139"/>
  <c r="Z44" i="139"/>
  <c r="AA44" i="139"/>
  <c r="AB44" i="139"/>
  <c r="AC44" i="139"/>
  <c r="AD44" i="139"/>
  <c r="AE44" i="139"/>
  <c r="AF44" i="139"/>
  <c r="AG44" i="139"/>
  <c r="AH44" i="139"/>
  <c r="AI44" i="139"/>
  <c r="AJ44" i="139"/>
  <c r="AL44" i="139"/>
  <c r="E45" i="139"/>
  <c r="F45" i="139"/>
  <c r="G45" i="139"/>
  <c r="H45" i="139"/>
  <c r="I45" i="139"/>
  <c r="J45" i="139"/>
  <c r="K45" i="139"/>
  <c r="L45" i="139"/>
  <c r="M45" i="139"/>
  <c r="N45" i="139"/>
  <c r="O45" i="139"/>
  <c r="P45" i="139"/>
  <c r="Q45" i="139"/>
  <c r="R45" i="139"/>
  <c r="S45" i="139"/>
  <c r="T45" i="139"/>
  <c r="U45" i="139"/>
  <c r="V45" i="139"/>
  <c r="W45" i="139"/>
  <c r="X45" i="139"/>
  <c r="Y45" i="139"/>
  <c r="Z45" i="139"/>
  <c r="AA45" i="139"/>
  <c r="AB45" i="139"/>
  <c r="AC45" i="139"/>
  <c r="AD45" i="139"/>
  <c r="AE45" i="139"/>
  <c r="AF45" i="139"/>
  <c r="AG45" i="139"/>
  <c r="AH45" i="139"/>
  <c r="AI45" i="139"/>
  <c r="AJ45" i="139"/>
  <c r="AL45" i="139"/>
  <c r="E46" i="139"/>
  <c r="F46" i="139"/>
  <c r="G46" i="139"/>
  <c r="H46" i="139"/>
  <c r="I46" i="139"/>
  <c r="J46" i="139"/>
  <c r="K46" i="139"/>
  <c r="L46" i="139"/>
  <c r="M46" i="139"/>
  <c r="N46" i="139"/>
  <c r="O46" i="139"/>
  <c r="P46" i="139"/>
  <c r="Q46" i="139"/>
  <c r="R46" i="139"/>
  <c r="S46" i="139"/>
  <c r="T46" i="139"/>
  <c r="U46" i="139"/>
  <c r="V46" i="139"/>
  <c r="W46" i="139"/>
  <c r="X46" i="139"/>
  <c r="Y46" i="139"/>
  <c r="Z46" i="139"/>
  <c r="AA46" i="139"/>
  <c r="AB46" i="139"/>
  <c r="AC46" i="139"/>
  <c r="AD46" i="139"/>
  <c r="AE46" i="139"/>
  <c r="AF46" i="139"/>
  <c r="AG46" i="139"/>
  <c r="AH46" i="139"/>
  <c r="AI46" i="139"/>
  <c r="AL46" i="139"/>
  <c r="E47" i="139"/>
  <c r="F47" i="139"/>
  <c r="G47" i="139"/>
  <c r="H47" i="139"/>
  <c r="I47" i="139"/>
  <c r="J47" i="139"/>
  <c r="K47" i="139"/>
  <c r="L47" i="139"/>
  <c r="M47" i="139"/>
  <c r="N47" i="139"/>
  <c r="O47" i="139"/>
  <c r="P47" i="139"/>
  <c r="Q47" i="139"/>
  <c r="R47" i="139"/>
  <c r="S47" i="139"/>
  <c r="T47" i="139"/>
  <c r="U47" i="139"/>
  <c r="V47" i="139"/>
  <c r="W47" i="139"/>
  <c r="X47" i="139"/>
  <c r="Y47" i="139"/>
  <c r="Z47" i="139"/>
  <c r="AA47" i="139"/>
  <c r="AB47" i="139"/>
  <c r="AC47" i="139"/>
  <c r="AD47" i="139"/>
  <c r="AE47" i="139"/>
  <c r="AF47" i="139"/>
  <c r="AG47" i="139"/>
  <c r="AH47" i="139"/>
  <c r="AI47" i="139"/>
  <c r="AJ47" i="139"/>
  <c r="AL47" i="139"/>
  <c r="AL40" i="139"/>
  <c r="F40" i="139"/>
  <c r="D37" i="151" s="1"/>
  <c r="G40" i="139"/>
  <c r="H40" i="139"/>
  <c r="D38" i="151" s="1"/>
  <c r="I40" i="139"/>
  <c r="D39" i="151" s="1"/>
  <c r="J40" i="139"/>
  <c r="K40" i="139"/>
  <c r="L40" i="139"/>
  <c r="D40" i="151" s="1"/>
  <c r="M40" i="139"/>
  <c r="D41" i="151" s="1"/>
  <c r="N40" i="139"/>
  <c r="O40" i="139"/>
  <c r="D42" i="151" s="1"/>
  <c r="P40" i="139"/>
  <c r="Q40" i="139"/>
  <c r="D43" i="151" s="1"/>
  <c r="R40" i="139"/>
  <c r="S40" i="139"/>
  <c r="T40" i="139"/>
  <c r="D44" i="151" s="1"/>
  <c r="U40" i="139"/>
  <c r="V40" i="139"/>
  <c r="D45" i="151" s="1"/>
  <c r="W40" i="139"/>
  <c r="X40" i="139"/>
  <c r="D46" i="151" s="1"/>
  <c r="Y40" i="139"/>
  <c r="Z40" i="139"/>
  <c r="D47" i="151" s="1"/>
  <c r="AA40" i="139"/>
  <c r="D48" i="151" s="1"/>
  <c r="AB40" i="139"/>
  <c r="D49" i="151" s="1"/>
  <c r="AC40" i="139"/>
  <c r="AD40" i="139"/>
  <c r="AE40" i="139"/>
  <c r="AF40" i="139"/>
  <c r="AG40" i="139"/>
  <c r="AH40" i="139"/>
  <c r="AI40" i="139"/>
  <c r="AJ40" i="139"/>
  <c r="E40" i="139"/>
  <c r="D36" i="151" s="1"/>
  <c r="E27" i="139"/>
  <c r="E23" i="151" s="1"/>
  <c r="F27" i="139"/>
  <c r="E24" i="151" s="1"/>
  <c r="G27" i="139"/>
  <c r="H27" i="139"/>
  <c r="I27" i="139"/>
  <c r="E25" i="151" s="1"/>
  <c r="J27" i="139"/>
  <c r="E26" i="151" s="1"/>
  <c r="K27" i="139"/>
  <c r="L27" i="139"/>
  <c r="M27" i="139"/>
  <c r="N27" i="139"/>
  <c r="O27" i="139"/>
  <c r="E27" i="151" s="1"/>
  <c r="P27" i="139"/>
  <c r="Q27" i="139"/>
  <c r="E28" i="151" s="1"/>
  <c r="R27" i="139"/>
  <c r="S27" i="139"/>
  <c r="E29" i="151" s="1"/>
  <c r="T27" i="139"/>
  <c r="E30" i="151" s="1"/>
  <c r="U27" i="139"/>
  <c r="E31" i="151" s="1"/>
  <c r="V27" i="139"/>
  <c r="E32" i="151" s="1"/>
  <c r="W27" i="139"/>
  <c r="X27" i="139"/>
  <c r="E33" i="151" s="1"/>
  <c r="Y27" i="139"/>
  <c r="E34" i="151" s="1"/>
  <c r="Z27" i="139"/>
  <c r="E35" i="151" s="1"/>
  <c r="AA27" i="139"/>
  <c r="AB27" i="139"/>
  <c r="AC27" i="139"/>
  <c r="AD27" i="139"/>
  <c r="AE27" i="139"/>
  <c r="AF27" i="139"/>
  <c r="AG27" i="139"/>
  <c r="AH27" i="139"/>
  <c r="AI27" i="139"/>
  <c r="AJ27" i="139"/>
  <c r="AL27" i="139"/>
  <c r="E28" i="139"/>
  <c r="F28" i="139"/>
  <c r="G28" i="139"/>
  <c r="H28" i="139"/>
  <c r="I28" i="139"/>
  <c r="J28" i="139"/>
  <c r="K28" i="139"/>
  <c r="L28" i="139"/>
  <c r="M28" i="139"/>
  <c r="N28" i="139"/>
  <c r="O28" i="139"/>
  <c r="P28" i="139"/>
  <c r="Q28" i="139"/>
  <c r="R28" i="139"/>
  <c r="S28" i="139"/>
  <c r="T28" i="139"/>
  <c r="U28" i="139"/>
  <c r="V28" i="139"/>
  <c r="W28" i="139"/>
  <c r="X28" i="139"/>
  <c r="Y28" i="139"/>
  <c r="Z28" i="139"/>
  <c r="AA28" i="139"/>
  <c r="AB28" i="139"/>
  <c r="AC28" i="139"/>
  <c r="AD28" i="139"/>
  <c r="AE28" i="139"/>
  <c r="AF28" i="139"/>
  <c r="AG28" i="139"/>
  <c r="AH28" i="139"/>
  <c r="AI28" i="139"/>
  <c r="AJ28" i="139"/>
  <c r="AL28" i="139"/>
  <c r="E29" i="139"/>
  <c r="F29" i="139"/>
  <c r="G29" i="139"/>
  <c r="H29" i="139"/>
  <c r="I29" i="139"/>
  <c r="J29" i="139"/>
  <c r="K29" i="139"/>
  <c r="L29" i="139"/>
  <c r="M29" i="139"/>
  <c r="N29" i="139"/>
  <c r="O29" i="139"/>
  <c r="P29" i="139"/>
  <c r="Q29" i="139"/>
  <c r="R29" i="139"/>
  <c r="S29" i="139"/>
  <c r="T29" i="139"/>
  <c r="U29" i="139"/>
  <c r="V29" i="139"/>
  <c r="W29" i="139"/>
  <c r="X29" i="139"/>
  <c r="Y29" i="139"/>
  <c r="Z29" i="139"/>
  <c r="AA29" i="139"/>
  <c r="AB29" i="139"/>
  <c r="AC29" i="139"/>
  <c r="AD29" i="139"/>
  <c r="AE29" i="139"/>
  <c r="AF29" i="139"/>
  <c r="AG29" i="139"/>
  <c r="AH29" i="139"/>
  <c r="AI29" i="139"/>
  <c r="AJ29" i="139"/>
  <c r="AL29" i="139"/>
  <c r="E30" i="139"/>
  <c r="F30" i="139"/>
  <c r="G30" i="139"/>
  <c r="H30" i="139"/>
  <c r="I30" i="139"/>
  <c r="J30" i="139"/>
  <c r="K30" i="139"/>
  <c r="L30" i="139"/>
  <c r="M30" i="139"/>
  <c r="N30" i="139"/>
  <c r="O30" i="139"/>
  <c r="P30" i="139"/>
  <c r="Q30" i="139"/>
  <c r="R30" i="139"/>
  <c r="S30" i="139"/>
  <c r="T30" i="139"/>
  <c r="U30" i="139"/>
  <c r="V30" i="139"/>
  <c r="W30" i="139"/>
  <c r="X30" i="139"/>
  <c r="Y30" i="139"/>
  <c r="Z30" i="139"/>
  <c r="AA30" i="139"/>
  <c r="AB30" i="139"/>
  <c r="AC30" i="139"/>
  <c r="AD30" i="139"/>
  <c r="AE30" i="139"/>
  <c r="AF30" i="139"/>
  <c r="AG30" i="139"/>
  <c r="AH30" i="139"/>
  <c r="AI30" i="139"/>
  <c r="AJ30" i="139"/>
  <c r="AL30" i="139"/>
  <c r="E31" i="139"/>
  <c r="F31" i="139"/>
  <c r="G31" i="139"/>
  <c r="H31" i="139"/>
  <c r="I31" i="139"/>
  <c r="J31" i="139"/>
  <c r="K31" i="139"/>
  <c r="L31" i="139"/>
  <c r="M31" i="139"/>
  <c r="N31" i="139"/>
  <c r="O31" i="139"/>
  <c r="P31" i="139"/>
  <c r="Q31" i="139"/>
  <c r="R31" i="139"/>
  <c r="S31" i="139"/>
  <c r="T31" i="139"/>
  <c r="U31" i="139"/>
  <c r="V31" i="139"/>
  <c r="W31" i="139"/>
  <c r="X31" i="139"/>
  <c r="Y31" i="139"/>
  <c r="Z31" i="139"/>
  <c r="AA31" i="139"/>
  <c r="AB31" i="139"/>
  <c r="AC31" i="139"/>
  <c r="AD31" i="139"/>
  <c r="AE31" i="139"/>
  <c r="AF31" i="139"/>
  <c r="AG31" i="139"/>
  <c r="AH31" i="139"/>
  <c r="AI31" i="139"/>
  <c r="AJ31" i="139"/>
  <c r="AL31" i="139"/>
  <c r="E32" i="139"/>
  <c r="F32" i="139"/>
  <c r="G32" i="139"/>
  <c r="H32" i="139"/>
  <c r="I32" i="139"/>
  <c r="J32" i="139"/>
  <c r="K32" i="139"/>
  <c r="L32" i="139"/>
  <c r="M32" i="139"/>
  <c r="N32" i="139"/>
  <c r="O32" i="139"/>
  <c r="P32" i="139"/>
  <c r="Q32" i="139"/>
  <c r="R32" i="139"/>
  <c r="S32" i="139"/>
  <c r="T32" i="139"/>
  <c r="U32" i="139"/>
  <c r="V32" i="139"/>
  <c r="W32" i="139"/>
  <c r="X32" i="139"/>
  <c r="Y32" i="139"/>
  <c r="Z32" i="139"/>
  <c r="AA32" i="139"/>
  <c r="AB32" i="139"/>
  <c r="AC32" i="139"/>
  <c r="AD32" i="139"/>
  <c r="AE32" i="139"/>
  <c r="AF32" i="139"/>
  <c r="AG32" i="139"/>
  <c r="AH32" i="139"/>
  <c r="AI32" i="139"/>
  <c r="AJ32" i="139"/>
  <c r="AL32" i="139"/>
  <c r="E33" i="139"/>
  <c r="F33" i="139"/>
  <c r="G33" i="139"/>
  <c r="H33" i="139"/>
  <c r="I33" i="139"/>
  <c r="J33" i="139"/>
  <c r="K33" i="139"/>
  <c r="L33" i="139"/>
  <c r="M33" i="139"/>
  <c r="N33" i="139"/>
  <c r="O33" i="139"/>
  <c r="P33" i="139"/>
  <c r="Q33" i="139"/>
  <c r="R33" i="139"/>
  <c r="S33" i="139"/>
  <c r="T33" i="139"/>
  <c r="U33" i="139"/>
  <c r="V33" i="139"/>
  <c r="W33" i="139"/>
  <c r="X33" i="139"/>
  <c r="Y33" i="139"/>
  <c r="Z33" i="139"/>
  <c r="AA33" i="139"/>
  <c r="AB33" i="139"/>
  <c r="AC33" i="139"/>
  <c r="AD33" i="139"/>
  <c r="AE33" i="139"/>
  <c r="AF33" i="139"/>
  <c r="AG33" i="139"/>
  <c r="AH33" i="139"/>
  <c r="AI33" i="139"/>
  <c r="AJ33" i="139"/>
  <c r="AL33" i="139"/>
  <c r="AL26" i="139"/>
  <c r="F26" i="139"/>
  <c r="D24" i="151" s="1"/>
  <c r="G26" i="139"/>
  <c r="H26" i="139"/>
  <c r="I26" i="139"/>
  <c r="D25" i="151" s="1"/>
  <c r="J26" i="139"/>
  <c r="D26" i="151" s="1"/>
  <c r="K26" i="139"/>
  <c r="L26" i="139"/>
  <c r="M26" i="139"/>
  <c r="N26" i="139"/>
  <c r="O26" i="139"/>
  <c r="D27" i="151" s="1"/>
  <c r="P26" i="139"/>
  <c r="Q26" i="139"/>
  <c r="D28" i="151" s="1"/>
  <c r="R26" i="139"/>
  <c r="S26" i="139"/>
  <c r="D29" i="151" s="1"/>
  <c r="T26" i="139"/>
  <c r="D30" i="151" s="1"/>
  <c r="U26" i="139"/>
  <c r="D31" i="151" s="1"/>
  <c r="V26" i="139"/>
  <c r="D32" i="151" s="1"/>
  <c r="W26" i="139"/>
  <c r="X26" i="139"/>
  <c r="D33" i="151" s="1"/>
  <c r="Y26" i="139"/>
  <c r="D34" i="151" s="1"/>
  <c r="Z26" i="139"/>
  <c r="D35" i="151" s="1"/>
  <c r="AA26" i="139"/>
  <c r="AB26" i="139"/>
  <c r="AC26" i="139"/>
  <c r="AD26" i="139"/>
  <c r="AE26" i="139"/>
  <c r="AF26" i="139"/>
  <c r="AG26" i="139"/>
  <c r="AH26" i="139"/>
  <c r="AI26" i="139"/>
  <c r="AJ26" i="139"/>
  <c r="E26" i="139"/>
  <c r="D23" i="151" s="1"/>
  <c r="E14" i="139"/>
  <c r="E6" i="151" s="1"/>
  <c r="F14" i="139"/>
  <c r="E7" i="151" s="1"/>
  <c r="G14" i="139"/>
  <c r="E8" i="151" s="1"/>
  <c r="H14" i="139"/>
  <c r="I14" i="139"/>
  <c r="J14" i="139"/>
  <c r="E9" i="151" s="1"/>
  <c r="K14" i="139"/>
  <c r="E10" i="151" s="1"/>
  <c r="L14" i="139"/>
  <c r="E11" i="151" s="1"/>
  <c r="M14" i="139"/>
  <c r="E12" i="151" s="1"/>
  <c r="N14" i="139"/>
  <c r="O14" i="139"/>
  <c r="P14" i="139"/>
  <c r="E13" i="151" s="1"/>
  <c r="Q14" i="139"/>
  <c r="R14" i="139"/>
  <c r="S14" i="139"/>
  <c r="E14" i="151" s="1"/>
  <c r="T14" i="139"/>
  <c r="E15" i="151" s="1"/>
  <c r="U14" i="139"/>
  <c r="E16" i="151" s="1"/>
  <c r="V14" i="139"/>
  <c r="E17" i="151" s="1"/>
  <c r="W14" i="139"/>
  <c r="X14" i="139"/>
  <c r="E18" i="151" s="1"/>
  <c r="Y14" i="139"/>
  <c r="E19" i="151" s="1"/>
  <c r="Z14" i="139"/>
  <c r="E20" i="151" s="1"/>
  <c r="AA14" i="139"/>
  <c r="E21" i="151" s="1"/>
  <c r="AB14" i="139"/>
  <c r="E22" i="151" s="1"/>
  <c r="AC14" i="139"/>
  <c r="AD14" i="139"/>
  <c r="AE14" i="139"/>
  <c r="AF14" i="139"/>
  <c r="AG14" i="139"/>
  <c r="AH14" i="139"/>
  <c r="AI14" i="139"/>
  <c r="AJ14" i="139"/>
  <c r="AL14" i="139"/>
  <c r="E15" i="139"/>
  <c r="F15" i="139"/>
  <c r="G15" i="139"/>
  <c r="H15" i="139"/>
  <c r="I15" i="139"/>
  <c r="J15" i="139"/>
  <c r="K15" i="139"/>
  <c r="L15" i="139"/>
  <c r="M15" i="139"/>
  <c r="N15" i="139"/>
  <c r="O15" i="139"/>
  <c r="P15" i="139"/>
  <c r="Q15" i="139"/>
  <c r="R15" i="139"/>
  <c r="S15" i="139"/>
  <c r="T15" i="139"/>
  <c r="U15" i="139"/>
  <c r="V15" i="139"/>
  <c r="W15" i="139"/>
  <c r="X15" i="139"/>
  <c r="Y15" i="139"/>
  <c r="Z15" i="139"/>
  <c r="AA15" i="139"/>
  <c r="AB15" i="139"/>
  <c r="AC15" i="139"/>
  <c r="AD15" i="139"/>
  <c r="AE15" i="139"/>
  <c r="AF15" i="139"/>
  <c r="AG15" i="139"/>
  <c r="AH15" i="139"/>
  <c r="AI15" i="139"/>
  <c r="AJ15" i="139"/>
  <c r="AL15" i="139"/>
  <c r="E16" i="139"/>
  <c r="F16" i="139"/>
  <c r="G16" i="139"/>
  <c r="H16" i="139"/>
  <c r="I16" i="139"/>
  <c r="J16" i="139"/>
  <c r="K16" i="139"/>
  <c r="L16" i="139"/>
  <c r="M16" i="139"/>
  <c r="N16" i="139"/>
  <c r="O16" i="139"/>
  <c r="P16" i="139"/>
  <c r="Q16" i="139"/>
  <c r="R16" i="139"/>
  <c r="S16" i="139"/>
  <c r="T16" i="139"/>
  <c r="U16" i="139"/>
  <c r="V16" i="139"/>
  <c r="W16" i="139"/>
  <c r="X16" i="139"/>
  <c r="Y16" i="139"/>
  <c r="Z16" i="139"/>
  <c r="AA16" i="139"/>
  <c r="AB16" i="139"/>
  <c r="AC16" i="139"/>
  <c r="AD16" i="139"/>
  <c r="AE16" i="139"/>
  <c r="AF16" i="139"/>
  <c r="AG16" i="139"/>
  <c r="AH16" i="139"/>
  <c r="AI16" i="139"/>
  <c r="AJ16" i="139"/>
  <c r="AL16" i="139"/>
  <c r="E17" i="139"/>
  <c r="F17" i="139"/>
  <c r="G17" i="139"/>
  <c r="H17" i="139"/>
  <c r="I17" i="139"/>
  <c r="J17" i="139"/>
  <c r="K17" i="139"/>
  <c r="L17" i="139"/>
  <c r="M17" i="139"/>
  <c r="N17" i="139"/>
  <c r="O17" i="139"/>
  <c r="P17" i="139"/>
  <c r="Q17" i="139"/>
  <c r="R17" i="139"/>
  <c r="S17" i="139"/>
  <c r="T17" i="139"/>
  <c r="U17" i="139"/>
  <c r="V17" i="139"/>
  <c r="W17" i="139"/>
  <c r="X17" i="139"/>
  <c r="Y17" i="139"/>
  <c r="Z17" i="139"/>
  <c r="AA17" i="139"/>
  <c r="AB17" i="139"/>
  <c r="AC17" i="139"/>
  <c r="AD17" i="139"/>
  <c r="AE17" i="139"/>
  <c r="AF17" i="139"/>
  <c r="AG17" i="139"/>
  <c r="AH17" i="139"/>
  <c r="AI17" i="139"/>
  <c r="AJ17" i="139"/>
  <c r="AL17" i="139"/>
  <c r="E18" i="139"/>
  <c r="F18" i="139"/>
  <c r="G18" i="139"/>
  <c r="H18" i="139"/>
  <c r="I18" i="139"/>
  <c r="J18" i="139"/>
  <c r="K18" i="139"/>
  <c r="L18" i="139"/>
  <c r="M18" i="139"/>
  <c r="N18" i="139"/>
  <c r="O18" i="139"/>
  <c r="P18" i="139"/>
  <c r="Q18" i="139"/>
  <c r="R18" i="139"/>
  <c r="S18" i="139"/>
  <c r="T18" i="139"/>
  <c r="U18" i="139"/>
  <c r="V18" i="139"/>
  <c r="W18" i="139"/>
  <c r="X18" i="139"/>
  <c r="Y18" i="139"/>
  <c r="Z18" i="139"/>
  <c r="AA18" i="139"/>
  <c r="AB18" i="139"/>
  <c r="AC18" i="139"/>
  <c r="AD18" i="139"/>
  <c r="AE18" i="139"/>
  <c r="AF18" i="139"/>
  <c r="AG18" i="139"/>
  <c r="AH18" i="139"/>
  <c r="AI18" i="139"/>
  <c r="AJ18" i="139"/>
  <c r="AL18" i="139"/>
  <c r="E19" i="139"/>
  <c r="F19" i="139"/>
  <c r="G19" i="139"/>
  <c r="H19" i="139"/>
  <c r="I19" i="139"/>
  <c r="J19" i="139"/>
  <c r="K19" i="139"/>
  <c r="L19" i="139"/>
  <c r="M19" i="139"/>
  <c r="N19" i="139"/>
  <c r="O19" i="139"/>
  <c r="P19" i="139"/>
  <c r="Q19" i="139"/>
  <c r="R19" i="139"/>
  <c r="S19" i="139"/>
  <c r="T19" i="139"/>
  <c r="U19" i="139"/>
  <c r="V19" i="139"/>
  <c r="W19" i="139"/>
  <c r="X19" i="139"/>
  <c r="Y19" i="139"/>
  <c r="Z19" i="139"/>
  <c r="AA19" i="139"/>
  <c r="AB19" i="139"/>
  <c r="AC19" i="139"/>
  <c r="AD19" i="139"/>
  <c r="AE19" i="139"/>
  <c r="AF19" i="139"/>
  <c r="AG19" i="139"/>
  <c r="AH19" i="139"/>
  <c r="AI19" i="139"/>
  <c r="AJ19" i="139"/>
  <c r="AL19" i="139"/>
  <c r="E20" i="139"/>
  <c r="F20" i="139"/>
  <c r="G20" i="139"/>
  <c r="H20" i="139"/>
  <c r="I20" i="139"/>
  <c r="J20" i="139"/>
  <c r="K20" i="139"/>
  <c r="L20" i="139"/>
  <c r="M20" i="139"/>
  <c r="N20" i="139"/>
  <c r="O20" i="139"/>
  <c r="P20" i="139"/>
  <c r="Q20" i="139"/>
  <c r="R20" i="139"/>
  <c r="S20" i="139"/>
  <c r="T20" i="139"/>
  <c r="U20" i="139"/>
  <c r="V20" i="139"/>
  <c r="W20" i="139"/>
  <c r="X20" i="139"/>
  <c r="Y20" i="139"/>
  <c r="Z20" i="139"/>
  <c r="AA20" i="139"/>
  <c r="AB20" i="139"/>
  <c r="AC20" i="139"/>
  <c r="AD20" i="139"/>
  <c r="AE20" i="139"/>
  <c r="AF20" i="139"/>
  <c r="AG20" i="139"/>
  <c r="AH20" i="139"/>
  <c r="AI20" i="139"/>
  <c r="AJ20" i="139"/>
  <c r="AL20" i="139"/>
  <c r="AL13" i="139"/>
  <c r="F13" i="139"/>
  <c r="D7" i="151" s="1"/>
  <c r="G13" i="139"/>
  <c r="D8" i="151" s="1"/>
  <c r="H13" i="139"/>
  <c r="I13" i="139"/>
  <c r="J13" i="139"/>
  <c r="D9" i="151" s="1"/>
  <c r="K13" i="139"/>
  <c r="D10" i="151" s="1"/>
  <c r="L13" i="139"/>
  <c r="D11" i="151" s="1"/>
  <c r="M13" i="139"/>
  <c r="D12" i="151" s="1"/>
  <c r="N13" i="139"/>
  <c r="O13" i="139"/>
  <c r="P13" i="139"/>
  <c r="D13" i="151" s="1"/>
  <c r="Q13" i="139"/>
  <c r="R13" i="139"/>
  <c r="S13" i="139"/>
  <c r="D14" i="151" s="1"/>
  <c r="T13" i="139"/>
  <c r="D15" i="151" s="1"/>
  <c r="U13" i="139"/>
  <c r="D16" i="151" s="1"/>
  <c r="V13" i="139"/>
  <c r="D17" i="151" s="1"/>
  <c r="W13" i="139"/>
  <c r="X13" i="139"/>
  <c r="D18" i="151" s="1"/>
  <c r="Y13" i="139"/>
  <c r="D19" i="151" s="1"/>
  <c r="Z13" i="139"/>
  <c r="D20" i="151" s="1"/>
  <c r="AA13" i="139"/>
  <c r="D21" i="151" s="1"/>
  <c r="AB13" i="139"/>
  <c r="D22" i="151" s="1"/>
  <c r="AC13" i="139"/>
  <c r="AD13" i="139"/>
  <c r="AE13" i="139"/>
  <c r="AF13" i="139"/>
  <c r="AG13" i="139"/>
  <c r="AH13" i="139"/>
  <c r="AI13" i="139"/>
  <c r="AJ13" i="139"/>
  <c r="E13" i="139"/>
  <c r="D6" i="151" s="1"/>
  <c r="A2" i="2"/>
  <c r="BA2" i="2" s="1"/>
  <c r="A1" i="2"/>
  <c r="BA1" i="2" s="1"/>
  <c r="F13" i="151" l="1"/>
  <c r="F60" i="151"/>
  <c r="F74" i="151"/>
  <c r="F87" i="151"/>
  <c r="F79" i="151"/>
  <c r="F110" i="151"/>
  <c r="F133" i="151"/>
  <c r="F145" i="151"/>
  <c r="F150" i="151"/>
  <c r="F27" i="151"/>
  <c r="F88" i="151"/>
  <c r="F80" i="151"/>
  <c r="F111" i="151"/>
  <c r="F146" i="151"/>
  <c r="F151" i="151"/>
  <c r="F170" i="151"/>
  <c r="F47" i="151"/>
  <c r="F40" i="151"/>
  <c r="F161" i="151"/>
  <c r="F176" i="151"/>
  <c r="F26" i="151"/>
  <c r="F50" i="151"/>
  <c r="F84" i="151"/>
  <c r="F117" i="151"/>
  <c r="F108" i="151"/>
  <c r="F122" i="151"/>
  <c r="F142" i="151"/>
  <c r="F137" i="151"/>
  <c r="F39" i="151"/>
  <c r="F23" i="151"/>
  <c r="F33" i="151"/>
  <c r="F58" i="151"/>
  <c r="F21" i="151"/>
  <c r="F38" i="151"/>
  <c r="F64" i="151"/>
  <c r="F12" i="151"/>
  <c r="F45" i="151"/>
  <c r="F83" i="151"/>
  <c r="F34" i="151"/>
  <c r="F51" i="151"/>
  <c r="F85" i="151"/>
  <c r="F104" i="151"/>
  <c r="F130" i="151"/>
  <c r="F76" i="151"/>
  <c r="F160" i="151"/>
  <c r="F153" i="151"/>
  <c r="F15" i="151"/>
  <c r="F53" i="151"/>
  <c r="F113" i="151"/>
  <c r="F126" i="151"/>
  <c r="F147" i="151"/>
  <c r="F138" i="151"/>
  <c r="F7" i="151"/>
  <c r="F100" i="151"/>
  <c r="F114" i="151"/>
  <c r="F127" i="151"/>
  <c r="F14" i="151"/>
  <c r="F28" i="151"/>
  <c r="F49" i="151"/>
  <c r="F61" i="151"/>
  <c r="F52" i="151"/>
  <c r="F112" i="151"/>
  <c r="F125" i="151"/>
  <c r="F158" i="151"/>
  <c r="F172" i="151"/>
  <c r="F171" i="151"/>
  <c r="F163" i="151"/>
  <c r="F41" i="151"/>
  <c r="F162" i="151"/>
  <c r="F48" i="151"/>
  <c r="F59" i="151"/>
  <c r="F66" i="151"/>
  <c r="F86" i="151"/>
  <c r="F109" i="151"/>
  <c r="F132" i="151"/>
  <c r="F124" i="151"/>
  <c r="F144" i="151"/>
  <c r="F157" i="151"/>
  <c r="F149" i="151"/>
  <c r="F169" i="151"/>
  <c r="F22" i="151"/>
  <c r="F35" i="151"/>
  <c r="F46" i="151"/>
  <c r="F73" i="151"/>
  <c r="F65" i="151"/>
  <c r="F97" i="151"/>
  <c r="F118" i="151"/>
  <c r="F131" i="151"/>
  <c r="F123" i="151"/>
  <c r="F156" i="151"/>
  <c r="F148" i="151"/>
  <c r="F168" i="151"/>
  <c r="F6" i="151"/>
  <c r="F105" i="151"/>
  <c r="F19" i="151"/>
  <c r="F116" i="151"/>
  <c r="F136" i="151"/>
  <c r="F18" i="151"/>
  <c r="F32" i="151"/>
  <c r="F44" i="151"/>
  <c r="F93" i="151"/>
  <c r="F103" i="151"/>
  <c r="F107" i="151"/>
  <c r="F135" i="151"/>
  <c r="F17" i="151"/>
  <c r="F24" i="151"/>
  <c r="F55" i="151"/>
  <c r="F77" i="151"/>
  <c r="F92" i="151"/>
  <c r="F101" i="151"/>
  <c r="F128" i="151"/>
  <c r="F119" i="151"/>
  <c r="F140" i="151"/>
  <c r="F175" i="151"/>
  <c r="F165" i="151"/>
  <c r="F43" i="151"/>
  <c r="F63" i="151"/>
  <c r="F54" i="151"/>
  <c r="F69" i="151"/>
  <c r="F91" i="151"/>
  <c r="F94" i="151"/>
  <c r="F106" i="151"/>
  <c r="F139" i="151"/>
  <c r="F174" i="151"/>
  <c r="F164" i="151"/>
  <c r="F121" i="151"/>
  <c r="F155" i="151"/>
  <c r="F9" i="151"/>
  <c r="F37" i="151"/>
  <c r="F96" i="151"/>
  <c r="F129" i="151"/>
  <c r="F31" i="151"/>
  <c r="F30" i="151"/>
  <c r="F16" i="151"/>
  <c r="F8" i="151"/>
  <c r="F29" i="151"/>
  <c r="F68" i="151"/>
  <c r="F90" i="151"/>
  <c r="F173" i="151"/>
  <c r="F42" i="151"/>
  <c r="F62" i="151"/>
  <c r="F75" i="151"/>
  <c r="F67" i="151"/>
  <c r="F81" i="151"/>
  <c r="F99" i="151"/>
  <c r="F95" i="151"/>
  <c r="F159" i="151"/>
  <c r="F152" i="151"/>
  <c r="F89" i="151"/>
  <c r="F98" i="151"/>
  <c r="F36" i="151"/>
  <c r="F134" i="151"/>
  <c r="F143" i="151"/>
  <c r="F20" i="151"/>
  <c r="F11" i="151"/>
  <c r="F10" i="151"/>
  <c r="F25" i="151"/>
  <c r="F57" i="151"/>
  <c r="F72" i="151"/>
  <c r="F177" i="151"/>
  <c r="F166" i="151"/>
  <c r="F167" i="151"/>
  <c r="F71" i="151"/>
  <c r="F82" i="151"/>
  <c r="F141" i="151"/>
  <c r="F56" i="151"/>
  <c r="F78" i="151"/>
  <c r="F70" i="151"/>
  <c r="F102" i="151"/>
  <c r="F115" i="151"/>
  <c r="F120" i="151"/>
  <c r="F154" i="151"/>
  <c r="D12" i="150"/>
  <c r="B9" i="150"/>
  <c r="E9" i="150" s="1"/>
  <c r="D15" i="150"/>
  <c r="D14" i="150"/>
  <c r="B8" i="150"/>
  <c r="D13" i="150"/>
  <c r="E10" i="150"/>
  <c r="D10" i="150"/>
  <c r="D11" i="150"/>
  <c r="E11" i="150"/>
  <c r="AM13" i="139"/>
  <c r="B5" i="150"/>
  <c r="B22" i="150"/>
  <c r="B16" i="150"/>
  <c r="B6" i="150"/>
  <c r="E6" i="150" s="1"/>
  <c r="B23" i="150"/>
  <c r="B7" i="150"/>
  <c r="H91" i="148"/>
  <c r="H95" i="148"/>
  <c r="H35" i="148"/>
  <c r="H39" i="148"/>
  <c r="X102" i="141"/>
  <c r="X54" i="121"/>
  <c r="X82" i="121"/>
  <c r="X138" i="121"/>
  <c r="X40" i="121"/>
  <c r="X68" i="121"/>
  <c r="X96" i="121"/>
  <c r="X124" i="121"/>
  <c r="X152" i="121"/>
  <c r="X54" i="140"/>
  <c r="X12" i="140"/>
  <c r="X110" i="140"/>
  <c r="X166" i="140"/>
  <c r="X82" i="140"/>
  <c r="X138" i="140"/>
  <c r="G67" i="148"/>
  <c r="G63" i="148"/>
  <c r="H63" i="148"/>
  <c r="E92" i="148"/>
  <c r="E95" i="148"/>
  <c r="H67" i="148"/>
  <c r="E163" i="122"/>
  <c r="E161" i="122" s="1"/>
  <c r="G50" i="148"/>
  <c r="F63" i="148"/>
  <c r="I122" i="141"/>
  <c r="I121" i="141" s="1"/>
  <c r="E123" i="141"/>
  <c r="G21" i="148"/>
  <c r="M100" i="147"/>
  <c r="E36" i="148"/>
  <c r="H49" i="148"/>
  <c r="H53" i="148"/>
  <c r="I49" i="148"/>
  <c r="I53" i="148"/>
  <c r="E39" i="148"/>
  <c r="G53" i="148"/>
  <c r="E64" i="148"/>
  <c r="H21" i="148"/>
  <c r="G77" i="148"/>
  <c r="H25" i="148"/>
  <c r="AG127" i="144"/>
  <c r="AG125" i="144" s="1"/>
  <c r="F39" i="148"/>
  <c r="F36" i="148"/>
  <c r="F92" i="148"/>
  <c r="F95" i="148"/>
  <c r="F53" i="148"/>
  <c r="G25" i="148"/>
  <c r="I21" i="148"/>
  <c r="E67" i="148"/>
  <c r="F67" i="148"/>
  <c r="E25" i="148"/>
  <c r="I67" i="148"/>
  <c r="E177" i="120"/>
  <c r="I77" i="148"/>
  <c r="H77" i="148"/>
  <c r="H81" i="148"/>
  <c r="E53" i="148"/>
  <c r="I25" i="148"/>
  <c r="G36" i="148"/>
  <c r="E37" i="126"/>
  <c r="E35" i="126" s="1"/>
  <c r="E135" i="122"/>
  <c r="E133" i="122" s="1"/>
  <c r="AH127" i="144"/>
  <c r="AH126" i="144" s="1"/>
  <c r="F22" i="148"/>
  <c r="G95" i="148"/>
  <c r="E22" i="148"/>
  <c r="G39" i="148"/>
  <c r="F78" i="148"/>
  <c r="E77" i="148"/>
  <c r="E81" i="148"/>
  <c r="F25" i="148"/>
  <c r="G81" i="148"/>
  <c r="E177" i="121"/>
  <c r="E175" i="121" s="1"/>
  <c r="F121" i="121"/>
  <c r="F119" i="121" s="1"/>
  <c r="E23" i="127"/>
  <c r="E21" i="127" s="1"/>
  <c r="E51" i="127"/>
  <c r="E49" i="127" s="1"/>
  <c r="I177" i="122"/>
  <c r="I175" i="122" s="1"/>
  <c r="H178" i="122"/>
  <c r="H177" i="122"/>
  <c r="H175" i="122" s="1"/>
  <c r="G178" i="122"/>
  <c r="H79" i="140"/>
  <c r="E107" i="140"/>
  <c r="E106" i="140" s="1"/>
  <c r="F123" i="141"/>
  <c r="E122" i="141"/>
  <c r="E120" i="141" s="1"/>
  <c r="I123" i="141"/>
  <c r="H123" i="141"/>
  <c r="H33" i="143"/>
  <c r="G33" i="143"/>
  <c r="F33" i="143"/>
  <c r="E33" i="143"/>
  <c r="I32" i="143"/>
  <c r="I31" i="143" s="1"/>
  <c r="I39" i="148"/>
  <c r="F49" i="148"/>
  <c r="F50" i="148"/>
  <c r="I81" i="148"/>
  <c r="G92" i="148"/>
  <c r="I63" i="148"/>
  <c r="F81" i="148"/>
  <c r="I64" i="148"/>
  <c r="E79" i="120"/>
  <c r="E78" i="120" s="1"/>
  <c r="I95" i="148"/>
  <c r="I92" i="148"/>
  <c r="E49" i="148"/>
  <c r="F107" i="121"/>
  <c r="F105" i="121" s="1"/>
  <c r="E23" i="126"/>
  <c r="E21" i="126" s="1"/>
  <c r="I23" i="122"/>
  <c r="I21" i="122" s="1"/>
  <c r="H24" i="122"/>
  <c r="H23" i="122"/>
  <c r="G24" i="122"/>
  <c r="E23" i="122"/>
  <c r="E21" i="122" s="1"/>
  <c r="G23" i="122"/>
  <c r="I178" i="122"/>
  <c r="I24" i="122"/>
  <c r="E177" i="122"/>
  <c r="E175" i="122" s="1"/>
  <c r="G177" i="122"/>
  <c r="F178" i="122"/>
  <c r="F177" i="122"/>
  <c r="F175" i="122" s="1"/>
  <c r="E178" i="122"/>
  <c r="I150" i="122"/>
  <c r="F24" i="122"/>
  <c r="I149" i="122"/>
  <c r="I147" i="122" s="1"/>
  <c r="H150" i="122"/>
  <c r="F23" i="122"/>
  <c r="F21" i="122" s="1"/>
  <c r="E24" i="122"/>
  <c r="H149" i="122"/>
  <c r="H147" i="122" s="1"/>
  <c r="G150" i="122"/>
  <c r="E37" i="122"/>
  <c r="E121" i="122"/>
  <c r="E119" i="122" s="1"/>
  <c r="E149" i="122"/>
  <c r="E147" i="122" s="1"/>
  <c r="G149" i="122"/>
  <c r="G147" i="122" s="1"/>
  <c r="F150" i="122"/>
  <c r="F149" i="122"/>
  <c r="F147" i="122" s="1"/>
  <c r="E150" i="122"/>
  <c r="I79" i="140"/>
  <c r="E23" i="140"/>
  <c r="E21" i="140" s="1"/>
  <c r="E79" i="140"/>
  <c r="E78" i="140" s="1"/>
  <c r="G79" i="140"/>
  <c r="F79" i="140"/>
  <c r="I80" i="140"/>
  <c r="G80" i="140"/>
  <c r="H80" i="140"/>
  <c r="F80" i="140"/>
  <c r="E80" i="140"/>
  <c r="F122" i="141"/>
  <c r="G123" i="141"/>
  <c r="H122" i="141"/>
  <c r="G122" i="141"/>
  <c r="AE50" i="139"/>
  <c r="AE48" i="139" s="1"/>
  <c r="I43" i="142"/>
  <c r="H43" i="142"/>
  <c r="F40" i="142"/>
  <c r="F39" i="142"/>
  <c r="G43" i="142"/>
  <c r="F43" i="142"/>
  <c r="I40" i="142"/>
  <c r="I39" i="142"/>
  <c r="G39" i="142"/>
  <c r="G40" i="142"/>
  <c r="E40" i="142"/>
  <c r="E39" i="142"/>
  <c r="E43" i="142"/>
  <c r="H40" i="142"/>
  <c r="H39" i="142"/>
  <c r="G32" i="143"/>
  <c r="F32" i="143"/>
  <c r="H32" i="143"/>
  <c r="E32" i="143"/>
  <c r="I33" i="143"/>
  <c r="AD127" i="144"/>
  <c r="AD126" i="144" s="1"/>
  <c r="AD153" i="144"/>
  <c r="AD152" i="144" s="1"/>
  <c r="AI140" i="144"/>
  <c r="AI138" i="144" s="1"/>
  <c r="AF153" i="144"/>
  <c r="AF152" i="144" s="1"/>
  <c r="AH140" i="144"/>
  <c r="AH138" i="144" s="1"/>
  <c r="AE153" i="144"/>
  <c r="AE151" i="144" s="1"/>
  <c r="AF140" i="144"/>
  <c r="AF138" i="144" s="1"/>
  <c r="AE140" i="144"/>
  <c r="AE138" i="144" s="1"/>
  <c r="E93" i="120"/>
  <c r="G93" i="120"/>
  <c r="I93" i="120"/>
  <c r="H93" i="120"/>
  <c r="F93" i="120"/>
  <c r="F94" i="120"/>
  <c r="H94" i="120"/>
  <c r="G94" i="120"/>
  <c r="E94" i="120"/>
  <c r="I94" i="120"/>
  <c r="I35" i="148"/>
  <c r="I36" i="148"/>
  <c r="AD166" i="144"/>
  <c r="AD165" i="144" s="1"/>
  <c r="AF127" i="144"/>
  <c r="AF125" i="144" s="1"/>
  <c r="AD140" i="144"/>
  <c r="AD139" i="144" s="1"/>
  <c r="AE127" i="144"/>
  <c r="AE125" i="144" s="1"/>
  <c r="AI153" i="144"/>
  <c r="AI151" i="144" s="1"/>
  <c r="AH153" i="144"/>
  <c r="AH151" i="144" s="1"/>
  <c r="AG153" i="144"/>
  <c r="AG152" i="144" s="1"/>
  <c r="AI127" i="144"/>
  <c r="AG128" i="144"/>
  <c r="AG140" i="144"/>
  <c r="AF141" i="144"/>
  <c r="AE154" i="144"/>
  <c r="M103" i="147"/>
  <c r="AF128" i="144"/>
  <c r="AE141" i="144"/>
  <c r="AD154" i="144"/>
  <c r="AE128" i="144"/>
  <c r="AD141" i="144"/>
  <c r="AD128" i="144"/>
  <c r="AI154" i="144"/>
  <c r="AI141" i="144"/>
  <c r="AH154" i="144"/>
  <c r="AI128" i="144"/>
  <c r="AH141" i="144"/>
  <c r="AG154" i="144"/>
  <c r="AH128" i="144"/>
  <c r="AG141" i="144"/>
  <c r="AF154" i="144"/>
  <c r="O112" i="146"/>
  <c r="O116" i="146"/>
  <c r="G21" i="147"/>
  <c r="K155" i="146"/>
  <c r="J51" i="146"/>
  <c r="K100" i="146"/>
  <c r="K103" i="146"/>
  <c r="K112" i="146"/>
  <c r="K116" i="146"/>
  <c r="T76" i="144"/>
  <c r="G25" i="147"/>
  <c r="J86" i="147"/>
  <c r="K60" i="146"/>
  <c r="O129" i="146"/>
  <c r="K77" i="146"/>
  <c r="I116" i="146"/>
  <c r="AC166" i="144"/>
  <c r="AC164" i="144" s="1"/>
  <c r="AC88" i="144"/>
  <c r="AC86" i="144" s="1"/>
  <c r="G47" i="147"/>
  <c r="G51" i="147"/>
  <c r="E64" i="147"/>
  <c r="K64" i="146"/>
  <c r="K142" i="146"/>
  <c r="K139" i="146"/>
  <c r="J74" i="147"/>
  <c r="J25" i="147"/>
  <c r="E61" i="147"/>
  <c r="J77" i="147"/>
  <c r="I38" i="147"/>
  <c r="I34" i="147"/>
  <c r="G103" i="147"/>
  <c r="F64" i="147"/>
  <c r="F103" i="147"/>
  <c r="J90" i="147"/>
  <c r="J116" i="147"/>
  <c r="J155" i="146"/>
  <c r="K164" i="146"/>
  <c r="J90" i="146"/>
  <c r="I142" i="146"/>
  <c r="J87" i="146"/>
  <c r="J129" i="147"/>
  <c r="M116" i="147"/>
  <c r="K129" i="146"/>
  <c r="M138" i="146"/>
  <c r="J47" i="146"/>
  <c r="I129" i="146"/>
  <c r="J139" i="147"/>
  <c r="J100" i="147"/>
  <c r="J64" i="147"/>
  <c r="J60" i="147"/>
  <c r="H155" i="147"/>
  <c r="J113" i="147"/>
  <c r="J155" i="147"/>
  <c r="F60" i="147"/>
  <c r="I103" i="147"/>
  <c r="J152" i="147"/>
  <c r="M113" i="147"/>
  <c r="J168" i="147"/>
  <c r="L100" i="147"/>
  <c r="G100" i="147"/>
  <c r="J22" i="147"/>
  <c r="L103" i="147"/>
  <c r="J142" i="147"/>
  <c r="I100" i="147"/>
  <c r="J165" i="147"/>
  <c r="G38" i="147"/>
  <c r="G35" i="147"/>
  <c r="E74" i="147"/>
  <c r="K168" i="146"/>
  <c r="K90" i="146"/>
  <c r="K87" i="146"/>
  <c r="J142" i="146"/>
  <c r="N139" i="146"/>
  <c r="M142" i="146"/>
  <c r="K151" i="146"/>
  <c r="K47" i="146"/>
  <c r="K51" i="146"/>
  <c r="N142" i="146"/>
  <c r="K77" i="147"/>
  <c r="J103" i="147"/>
  <c r="E77" i="147"/>
  <c r="Q166" i="144"/>
  <c r="Q164" i="144" s="1"/>
  <c r="Q153" i="144"/>
  <c r="Q151" i="144" s="1"/>
  <c r="E100" i="147"/>
  <c r="E103" i="147"/>
  <c r="G142" i="146"/>
  <c r="L113" i="146"/>
  <c r="G100" i="146"/>
  <c r="I48" i="146"/>
  <c r="J100" i="146"/>
  <c r="H116" i="146"/>
  <c r="F35" i="146"/>
  <c r="M103" i="146"/>
  <c r="K38" i="146"/>
  <c r="L116" i="146"/>
  <c r="E38" i="147"/>
  <c r="F116" i="147"/>
  <c r="F100" i="147"/>
  <c r="F112" i="147"/>
  <c r="J35" i="147"/>
  <c r="K73" i="147"/>
  <c r="F73" i="147"/>
  <c r="I77" i="147"/>
  <c r="G77" i="147"/>
  <c r="K74" i="147"/>
  <c r="G60" i="147"/>
  <c r="M64" i="147"/>
  <c r="F77" i="147"/>
  <c r="I73" i="147"/>
  <c r="K116" i="147"/>
  <c r="G64" i="147"/>
  <c r="X100" i="121"/>
  <c r="K74" i="146"/>
  <c r="I103" i="146"/>
  <c r="F86" i="146"/>
  <c r="J139" i="146"/>
  <c r="N113" i="146"/>
  <c r="H21" i="146"/>
  <c r="M51" i="146"/>
  <c r="L139" i="146"/>
  <c r="I100" i="146"/>
  <c r="G113" i="146"/>
  <c r="N116" i="146"/>
  <c r="G90" i="146"/>
  <c r="N90" i="146"/>
  <c r="G87" i="146"/>
  <c r="O139" i="146"/>
  <c r="K34" i="146"/>
  <c r="I64" i="146"/>
  <c r="I60" i="146"/>
  <c r="G116" i="146"/>
  <c r="H112" i="146"/>
  <c r="M112" i="146"/>
  <c r="O142" i="146"/>
  <c r="F116" i="146"/>
  <c r="H64" i="147"/>
  <c r="H60" i="147"/>
  <c r="J38" i="147"/>
  <c r="I61" i="147"/>
  <c r="E34" i="147"/>
  <c r="G74" i="147"/>
  <c r="K112" i="147"/>
  <c r="M86" i="147"/>
  <c r="K99" i="147"/>
  <c r="H48" i="147"/>
  <c r="H103" i="147"/>
  <c r="H100" i="147"/>
  <c r="E116" i="147"/>
  <c r="N74" i="147"/>
  <c r="I47" i="147"/>
  <c r="E113" i="147"/>
  <c r="M90" i="147"/>
  <c r="I138" i="147"/>
  <c r="N51" i="147"/>
  <c r="H87" i="146"/>
  <c r="L142" i="146"/>
  <c r="F112" i="146"/>
  <c r="G103" i="146"/>
  <c r="H90" i="146"/>
  <c r="I152" i="146"/>
  <c r="O90" i="146"/>
  <c r="O86" i="146"/>
  <c r="I113" i="146"/>
  <c r="I112" i="146"/>
  <c r="L48" i="146"/>
  <c r="H51" i="147"/>
  <c r="L77" i="147"/>
  <c r="M74" i="147"/>
  <c r="N77" i="147"/>
  <c r="I51" i="147"/>
  <c r="H77" i="147"/>
  <c r="I64" i="147"/>
  <c r="M77" i="147"/>
  <c r="H73" i="147"/>
  <c r="L73" i="147"/>
  <c r="I142" i="147"/>
  <c r="M25" i="147"/>
  <c r="E87" i="147"/>
  <c r="K22" i="147"/>
  <c r="G142" i="147"/>
  <c r="G116" i="147"/>
  <c r="K25" i="147"/>
  <c r="K103" i="147"/>
  <c r="M38" i="146"/>
  <c r="H155" i="146"/>
  <c r="L90" i="146"/>
  <c r="L60" i="146"/>
  <c r="F142" i="146"/>
  <c r="G22" i="146"/>
  <c r="N35" i="146"/>
  <c r="L164" i="146"/>
  <c r="H60" i="146"/>
  <c r="O60" i="146"/>
  <c r="N22" i="146"/>
  <c r="N164" i="146"/>
  <c r="H74" i="146"/>
  <c r="I34" i="146"/>
  <c r="M116" i="146"/>
  <c r="G77" i="146"/>
  <c r="L87" i="146"/>
  <c r="K22" i="146"/>
  <c r="K25" i="146"/>
  <c r="J113" i="146"/>
  <c r="M100" i="146"/>
  <c r="L152" i="146"/>
  <c r="G165" i="146"/>
  <c r="G139" i="146"/>
  <c r="M99" i="146"/>
  <c r="N152" i="146"/>
  <c r="M90" i="146"/>
  <c r="J103" i="146"/>
  <c r="G138" i="146"/>
  <c r="J22" i="146"/>
  <c r="H47" i="146"/>
  <c r="H142" i="146"/>
  <c r="F51" i="146"/>
  <c r="J25" i="146"/>
  <c r="M61" i="146"/>
  <c r="N103" i="146"/>
  <c r="H139" i="146"/>
  <c r="J116" i="146"/>
  <c r="M64" i="146"/>
  <c r="N99" i="146"/>
  <c r="L51" i="146"/>
  <c r="F138" i="146"/>
  <c r="M86" i="146"/>
  <c r="O155" i="146"/>
  <c r="I38" i="146"/>
  <c r="N25" i="146"/>
  <c r="N155" i="146"/>
  <c r="F90" i="146"/>
  <c r="L155" i="146"/>
  <c r="H25" i="146"/>
  <c r="H100" i="146"/>
  <c r="I51" i="146"/>
  <c r="G155" i="146"/>
  <c r="F48" i="146"/>
  <c r="O38" i="146"/>
  <c r="O51" i="146"/>
  <c r="J129" i="146"/>
  <c r="H51" i="146"/>
  <c r="H103" i="146"/>
  <c r="N38" i="146"/>
  <c r="L129" i="146"/>
  <c r="I21" i="146"/>
  <c r="O34" i="146"/>
  <c r="M35" i="146"/>
  <c r="H64" i="146"/>
  <c r="L64" i="146"/>
  <c r="O64" i="146"/>
  <c r="F99" i="146"/>
  <c r="M34" i="146"/>
  <c r="N74" i="146"/>
  <c r="O48" i="146"/>
  <c r="N48" i="146"/>
  <c r="N87" i="146"/>
  <c r="L38" i="146"/>
  <c r="N77" i="146"/>
  <c r="F168" i="146"/>
  <c r="G25" i="146"/>
  <c r="N51" i="146"/>
  <c r="N21" i="147"/>
  <c r="M61" i="147"/>
  <c r="F48" i="147"/>
  <c r="G155" i="147"/>
  <c r="G152" i="147"/>
  <c r="N129" i="147"/>
  <c r="G113" i="147"/>
  <c r="L25" i="147"/>
  <c r="N142" i="147"/>
  <c r="M129" i="147"/>
  <c r="K87" i="147"/>
  <c r="L139" i="147"/>
  <c r="G129" i="147"/>
  <c r="G138" i="147"/>
  <c r="N116" i="147"/>
  <c r="K90" i="147"/>
  <c r="J51" i="147"/>
  <c r="V88" i="144"/>
  <c r="V86" i="144" s="1"/>
  <c r="M51" i="147"/>
  <c r="M47" i="147"/>
  <c r="F51" i="147"/>
  <c r="K60" i="147"/>
  <c r="K64" i="147"/>
  <c r="L142" i="147"/>
  <c r="K155" i="147"/>
  <c r="N48" i="147"/>
  <c r="J47" i="147"/>
  <c r="N47" i="147"/>
  <c r="K48" i="147"/>
  <c r="K34" i="147"/>
  <c r="E129" i="147"/>
  <c r="K51" i="147"/>
  <c r="K38" i="147"/>
  <c r="F142" i="147"/>
  <c r="L22" i="147"/>
  <c r="M155" i="147"/>
  <c r="N25" i="147"/>
  <c r="H112" i="147"/>
  <c r="M22" i="147"/>
  <c r="G90" i="147"/>
  <c r="I116" i="147"/>
  <c r="I25" i="147"/>
  <c r="I155" i="147"/>
  <c r="L129" i="147"/>
  <c r="X95" i="120"/>
  <c r="E142" i="147"/>
  <c r="G165" i="147"/>
  <c r="L90" i="147"/>
  <c r="L86" i="147"/>
  <c r="N99" i="147"/>
  <c r="K152" i="147"/>
  <c r="L64" i="147"/>
  <c r="H116" i="147"/>
  <c r="I129" i="147"/>
  <c r="N103" i="147"/>
  <c r="L61" i="147"/>
  <c r="E48" i="147"/>
  <c r="G87" i="147"/>
  <c r="F90" i="147"/>
  <c r="L116" i="147"/>
  <c r="G86" i="147"/>
  <c r="L48" i="147"/>
  <c r="L168" i="147"/>
  <c r="E168" i="147"/>
  <c r="F165" i="147"/>
  <c r="N60" i="147"/>
  <c r="X93" i="120"/>
  <c r="X91" i="120"/>
  <c r="X104" i="120"/>
  <c r="X102" i="120"/>
  <c r="X132" i="120"/>
  <c r="X160" i="120"/>
  <c r="X94" i="120"/>
  <c r="X92" i="120"/>
  <c r="X90" i="120"/>
  <c r="X103" i="120"/>
  <c r="X101" i="120"/>
  <c r="X131" i="120"/>
  <c r="X100" i="120"/>
  <c r="X130" i="120"/>
  <c r="N86" i="146"/>
  <c r="F38" i="146"/>
  <c r="O22" i="146"/>
  <c r="J151" i="146"/>
  <c r="H38" i="146"/>
  <c r="H35" i="146"/>
  <c r="I139" i="146"/>
  <c r="I125" i="146"/>
  <c r="J64" i="146"/>
  <c r="L25" i="146"/>
  <c r="L103" i="146"/>
  <c r="F129" i="146"/>
  <c r="I138" i="146"/>
  <c r="J61" i="146"/>
  <c r="O25" i="146"/>
  <c r="G168" i="146"/>
  <c r="I155" i="146"/>
  <c r="G38" i="146"/>
  <c r="H152" i="146"/>
  <c r="O152" i="146"/>
  <c r="M48" i="146"/>
  <c r="F22" i="146"/>
  <c r="H77" i="146"/>
  <c r="O151" i="146"/>
  <c r="O168" i="146"/>
  <c r="F25" i="146"/>
  <c r="G51" i="146"/>
  <c r="O165" i="146"/>
  <c r="L22" i="146"/>
  <c r="M152" i="146"/>
  <c r="N60" i="146"/>
  <c r="M155" i="146"/>
  <c r="N64" i="146"/>
  <c r="G48" i="146"/>
  <c r="N168" i="146"/>
  <c r="G47" i="146"/>
  <c r="H129" i="146"/>
  <c r="F74" i="146"/>
  <c r="M22" i="146"/>
  <c r="G129" i="146"/>
  <c r="F77" i="146"/>
  <c r="M129" i="146"/>
  <c r="J165" i="146"/>
  <c r="O103" i="146"/>
  <c r="L35" i="146"/>
  <c r="F103" i="146"/>
  <c r="F64" i="146"/>
  <c r="G61" i="146"/>
  <c r="M25" i="146"/>
  <c r="O77" i="146"/>
  <c r="I90" i="146"/>
  <c r="O74" i="146"/>
  <c r="O99" i="146"/>
  <c r="I25" i="146"/>
  <c r="F155" i="146"/>
  <c r="I87" i="146"/>
  <c r="N129" i="146"/>
  <c r="G64" i="146"/>
  <c r="I168" i="146"/>
  <c r="F61" i="146"/>
  <c r="I77" i="146"/>
  <c r="M168" i="146"/>
  <c r="M165" i="146"/>
  <c r="I74" i="146"/>
  <c r="L99" i="146"/>
  <c r="L100" i="146"/>
  <c r="L168" i="146"/>
  <c r="J168" i="146"/>
  <c r="E151" i="147"/>
  <c r="N87" i="147"/>
  <c r="L112" i="147"/>
  <c r="E51" i="147"/>
  <c r="L51" i="147"/>
  <c r="F168" i="147"/>
  <c r="M164" i="147"/>
  <c r="F129" i="147"/>
  <c r="N168" i="147"/>
  <c r="N90" i="147"/>
  <c r="H87" i="147"/>
  <c r="G125" i="147"/>
  <c r="L38" i="147"/>
  <c r="L164" i="147"/>
  <c r="L35" i="147"/>
  <c r="N64" i="147"/>
  <c r="H38" i="147"/>
  <c r="H129" i="147"/>
  <c r="H152" i="147"/>
  <c r="F87" i="147"/>
  <c r="M60" i="147"/>
  <c r="E90" i="147"/>
  <c r="N155" i="147"/>
  <c r="H151" i="147"/>
  <c r="I90" i="147"/>
  <c r="K129" i="147"/>
  <c r="E155" i="147"/>
  <c r="F125" i="147"/>
  <c r="H90" i="147"/>
  <c r="I87" i="147"/>
  <c r="I86" i="147"/>
  <c r="M142" i="147"/>
  <c r="M152" i="147"/>
  <c r="N112" i="147"/>
  <c r="I113" i="147"/>
  <c r="N38" i="147"/>
  <c r="N113" i="147"/>
  <c r="I112" i="147"/>
  <c r="L165" i="147"/>
  <c r="I125" i="147"/>
  <c r="M168" i="147"/>
  <c r="M38" i="147"/>
  <c r="N35" i="147"/>
  <c r="G168" i="147"/>
  <c r="H34" i="147"/>
  <c r="M35" i="147"/>
  <c r="X76" i="120"/>
  <c r="X74" i="120"/>
  <c r="X72" i="120"/>
  <c r="X70" i="120"/>
  <c r="X88" i="120"/>
  <c r="X86" i="120"/>
  <c r="X84" i="120"/>
  <c r="X99" i="120"/>
  <c r="X97" i="120"/>
  <c r="X118" i="120"/>
  <c r="X116" i="120"/>
  <c r="X114" i="120"/>
  <c r="X112" i="120"/>
  <c r="X129" i="120"/>
  <c r="X127" i="120"/>
  <c r="X125" i="120"/>
  <c r="X146" i="120"/>
  <c r="X144" i="120"/>
  <c r="X142" i="120"/>
  <c r="X140" i="120"/>
  <c r="X159" i="120"/>
  <c r="X157" i="120"/>
  <c r="X155" i="120"/>
  <c r="X153" i="120"/>
  <c r="X68" i="120"/>
  <c r="X75" i="120"/>
  <c r="X73" i="120"/>
  <c r="X71" i="120"/>
  <c r="X69" i="120"/>
  <c r="X89" i="120"/>
  <c r="X87" i="120"/>
  <c r="X85" i="120"/>
  <c r="X83" i="120"/>
  <c r="X98" i="120"/>
  <c r="X117" i="120"/>
  <c r="X115" i="120"/>
  <c r="X113" i="120"/>
  <c r="X111" i="120"/>
  <c r="X128" i="120"/>
  <c r="X126" i="120"/>
  <c r="X145" i="120"/>
  <c r="X143" i="120"/>
  <c r="X141" i="120"/>
  <c r="X139" i="120"/>
  <c r="X158" i="120"/>
  <c r="X156" i="120"/>
  <c r="X154" i="120"/>
  <c r="AM145" i="144"/>
  <c r="AM149" i="144"/>
  <c r="AM146" i="144"/>
  <c r="AM147" i="144"/>
  <c r="AM148" i="144"/>
  <c r="AM150" i="144"/>
  <c r="AM143" i="144"/>
  <c r="AM144" i="144"/>
  <c r="I164" i="147"/>
  <c r="I165" i="147"/>
  <c r="F152" i="147"/>
  <c r="F151" i="147"/>
  <c r="F34" i="147"/>
  <c r="F35" i="147"/>
  <c r="L151" i="147"/>
  <c r="L152" i="147"/>
  <c r="L155" i="147"/>
  <c r="H22" i="147"/>
  <c r="H21" i="147"/>
  <c r="H142" i="147"/>
  <c r="K138" i="147"/>
  <c r="K139" i="147"/>
  <c r="F138" i="147"/>
  <c r="F139" i="147"/>
  <c r="E139" i="147"/>
  <c r="E138" i="147"/>
  <c r="F21" i="147"/>
  <c r="F22" i="147"/>
  <c r="E21" i="147"/>
  <c r="E22" i="147"/>
  <c r="F25" i="147"/>
  <c r="AG88" i="144"/>
  <c r="F38" i="147"/>
  <c r="E25" i="147"/>
  <c r="H138" i="147"/>
  <c r="H139" i="147"/>
  <c r="I21" i="147"/>
  <c r="I22" i="147"/>
  <c r="N152" i="147"/>
  <c r="N151" i="147"/>
  <c r="H25" i="147"/>
  <c r="K164" i="147"/>
  <c r="K165" i="147"/>
  <c r="K168" i="147"/>
  <c r="M139" i="147"/>
  <c r="M138" i="147"/>
  <c r="E164" i="147"/>
  <c r="E165" i="147"/>
  <c r="I151" i="147"/>
  <c r="I152" i="147"/>
  <c r="I168" i="147"/>
  <c r="K142" i="147"/>
  <c r="H165" i="147"/>
  <c r="H164" i="147"/>
  <c r="F155" i="147"/>
  <c r="N138" i="147"/>
  <c r="N139" i="147"/>
  <c r="N165" i="147"/>
  <c r="N164" i="147"/>
  <c r="H168" i="147"/>
  <c r="M74" i="146"/>
  <c r="M73" i="146"/>
  <c r="M77" i="146"/>
  <c r="G73" i="146"/>
  <c r="G74" i="146"/>
  <c r="J35" i="146"/>
  <c r="J34" i="146"/>
  <c r="J38" i="146"/>
  <c r="H165" i="146"/>
  <c r="H164" i="146"/>
  <c r="F152" i="146"/>
  <c r="F151" i="146"/>
  <c r="H168" i="146"/>
  <c r="F164" i="146"/>
  <c r="F165" i="146"/>
  <c r="L74" i="146"/>
  <c r="L73" i="146"/>
  <c r="L77" i="146"/>
  <c r="AM144" i="139"/>
  <c r="AM146" i="139"/>
  <c r="AM145" i="139"/>
  <c r="AM147" i="139"/>
  <c r="AM148" i="139"/>
  <c r="AM150" i="139"/>
  <c r="AM151" i="139"/>
  <c r="AM149" i="139"/>
  <c r="J73" i="146"/>
  <c r="J74" i="146"/>
  <c r="I165" i="146"/>
  <c r="I164" i="146"/>
  <c r="G34" i="146"/>
  <c r="G35" i="146"/>
  <c r="J77" i="146"/>
  <c r="G152" i="146"/>
  <c r="G151" i="146"/>
  <c r="X44" i="145"/>
  <c r="I88" i="144"/>
  <c r="I87" i="144" s="1"/>
  <c r="S154" i="144"/>
  <c r="H15" i="5"/>
  <c r="I15" i="5" s="1"/>
  <c r="AJ24" i="144"/>
  <c r="M62" i="144"/>
  <c r="M60" i="144" s="1"/>
  <c r="AH63" i="144"/>
  <c r="W36" i="144"/>
  <c r="W35" i="144" s="1"/>
  <c r="H166" i="144"/>
  <c r="H165" i="144" s="1"/>
  <c r="AF167" i="144"/>
  <c r="F23" i="144"/>
  <c r="F22" i="144" s="1"/>
  <c r="Y36" i="144"/>
  <c r="Y35" i="144" s="1"/>
  <c r="AD62" i="144"/>
  <c r="R62" i="144"/>
  <c r="R61" i="144" s="1"/>
  <c r="F62" i="144"/>
  <c r="F60" i="144" s="1"/>
  <c r="Y62" i="144"/>
  <c r="Y61" i="144" s="1"/>
  <c r="K62" i="144"/>
  <c r="K61" i="144" s="1"/>
  <c r="AI49" i="144"/>
  <c r="K49" i="144"/>
  <c r="K48" i="144" s="1"/>
  <c r="J62" i="144"/>
  <c r="J61" i="144" s="1"/>
  <c r="F166" i="144"/>
  <c r="F164" i="144" s="1"/>
  <c r="H76" i="144"/>
  <c r="AM158" i="144"/>
  <c r="R166" i="144"/>
  <c r="R164" i="144" s="1"/>
  <c r="T23" i="144"/>
  <c r="T22" i="144" s="1"/>
  <c r="X45" i="145"/>
  <c r="X47" i="145"/>
  <c r="X17" i="145"/>
  <c r="X42" i="145"/>
  <c r="X43" i="145"/>
  <c r="X34" i="145"/>
  <c r="X38" i="145"/>
  <c r="X20" i="145"/>
  <c r="X35" i="145"/>
  <c r="X23" i="145"/>
  <c r="X26" i="145"/>
  <c r="X28" i="145"/>
  <c r="X32" i="145"/>
  <c r="X14" i="145"/>
  <c r="X15" i="145"/>
  <c r="X19" i="145"/>
  <c r="X27" i="145"/>
  <c r="X36" i="145"/>
  <c r="X37" i="145"/>
  <c r="X12" i="145"/>
  <c r="X22" i="145"/>
  <c r="X13" i="145"/>
  <c r="X24" i="145"/>
  <c r="X30" i="145"/>
  <c r="X16" i="145"/>
  <c r="X25" i="145"/>
  <c r="X31" i="145"/>
  <c r="X18" i="145"/>
  <c r="X21" i="145"/>
  <c r="X39" i="145"/>
  <c r="X33" i="145"/>
  <c r="X46" i="145"/>
  <c r="X29" i="145"/>
  <c r="X41" i="145"/>
  <c r="X40" i="145"/>
  <c r="AJ75" i="144"/>
  <c r="AJ74" i="144" s="1"/>
  <c r="AM82" i="144"/>
  <c r="M114" i="144"/>
  <c r="M113" i="144" s="1"/>
  <c r="AI166" i="144"/>
  <c r="M140" i="144"/>
  <c r="M139" i="144" s="1"/>
  <c r="E76" i="144"/>
  <c r="K75" i="144"/>
  <c r="K74" i="144" s="1"/>
  <c r="AI115" i="144"/>
  <c r="M75" i="144"/>
  <c r="M74" i="144" s="1"/>
  <c r="V75" i="144"/>
  <c r="V73" i="144" s="1"/>
  <c r="W75" i="144"/>
  <c r="W74" i="144" s="1"/>
  <c r="X75" i="144"/>
  <c r="X73" i="144" s="1"/>
  <c r="Y75" i="144"/>
  <c r="Y73" i="144" s="1"/>
  <c r="AM93" i="144"/>
  <c r="Y167" i="144"/>
  <c r="E88" i="144"/>
  <c r="E87" i="144" s="1"/>
  <c r="K167" i="144"/>
  <c r="N166" i="144"/>
  <c r="N164" i="144" s="1"/>
  <c r="AA153" i="144"/>
  <c r="AA151" i="144" s="1"/>
  <c r="AB166" i="144"/>
  <c r="AB167" i="144"/>
  <c r="H167" i="144"/>
  <c r="L153" i="144"/>
  <c r="L152" i="144" s="1"/>
  <c r="M153" i="144"/>
  <c r="M152" i="144" s="1"/>
  <c r="G154" i="144"/>
  <c r="F154" i="144"/>
  <c r="F167" i="144"/>
  <c r="M154" i="144"/>
  <c r="T166" i="144"/>
  <c r="T165" i="144" s="1"/>
  <c r="E167" i="144"/>
  <c r="Q167" i="144"/>
  <c r="S153" i="144"/>
  <c r="W166" i="144"/>
  <c r="W165" i="144" s="1"/>
  <c r="L167" i="144"/>
  <c r="W153" i="144"/>
  <c r="W152" i="144" s="1"/>
  <c r="K153" i="144"/>
  <c r="K152" i="144" s="1"/>
  <c r="P167" i="144"/>
  <c r="X153" i="144"/>
  <c r="X151" i="144" s="1"/>
  <c r="Z166" i="144"/>
  <c r="Z164" i="144" s="1"/>
  <c r="M167" i="144"/>
  <c r="O154" i="144"/>
  <c r="Y153" i="144"/>
  <c r="Y152" i="144" s="1"/>
  <c r="AA166" i="144"/>
  <c r="AA165" i="144" s="1"/>
  <c r="R167" i="144"/>
  <c r="AH166" i="144"/>
  <c r="V166" i="144"/>
  <c r="V164" i="144" s="1"/>
  <c r="J166" i="144"/>
  <c r="J164" i="144" s="1"/>
  <c r="AJ166" i="144"/>
  <c r="AJ165" i="144" s="1"/>
  <c r="W167" i="144"/>
  <c r="F76" i="144"/>
  <c r="AM156" i="144"/>
  <c r="X167" i="144"/>
  <c r="AF166" i="144"/>
  <c r="Y23" i="144"/>
  <c r="Y21" i="144" s="1"/>
  <c r="Z24" i="144"/>
  <c r="N24" i="144"/>
  <c r="AG23" i="144"/>
  <c r="AH49" i="144"/>
  <c r="AF23" i="144"/>
  <c r="M36" i="144"/>
  <c r="M34" i="144" s="1"/>
  <c r="AB50" i="144"/>
  <c r="AI75" i="144"/>
  <c r="N167" i="144"/>
  <c r="T167" i="144"/>
  <c r="L24" i="144"/>
  <c r="AE167" i="144"/>
  <c r="S167" i="144"/>
  <c r="G167" i="144"/>
  <c r="X24" i="144"/>
  <c r="U88" i="144"/>
  <c r="U87" i="144" s="1"/>
  <c r="E166" i="144"/>
  <c r="E164" i="144" s="1"/>
  <c r="AI167" i="144"/>
  <c r="AD167" i="144"/>
  <c r="AA167" i="144"/>
  <c r="O167" i="144"/>
  <c r="Y88" i="144"/>
  <c r="Y87" i="144" s="1"/>
  <c r="E89" i="144"/>
  <c r="H23" i="144"/>
  <c r="H21" i="144" s="1"/>
  <c r="M88" i="144"/>
  <c r="M86" i="144" s="1"/>
  <c r="M23" i="144"/>
  <c r="M21" i="144" s="1"/>
  <c r="AA24" i="144"/>
  <c r="Y140" i="144"/>
  <c r="Y138" i="144" s="1"/>
  <c r="J153" i="144"/>
  <c r="J152" i="144" s="1"/>
  <c r="X166" i="144"/>
  <c r="X165" i="144" s="1"/>
  <c r="Y166" i="144"/>
  <c r="Y165" i="144" s="1"/>
  <c r="P166" i="144"/>
  <c r="P165" i="144" s="1"/>
  <c r="M166" i="144"/>
  <c r="M165" i="144" s="1"/>
  <c r="L166" i="144"/>
  <c r="L165" i="144" s="1"/>
  <c r="K166" i="144"/>
  <c r="K165" i="144" s="1"/>
  <c r="O166" i="144"/>
  <c r="O165" i="144" s="1"/>
  <c r="N153" i="144"/>
  <c r="N151" i="144" s="1"/>
  <c r="R153" i="144"/>
  <c r="R152" i="144" s="1"/>
  <c r="V153" i="144"/>
  <c r="V152" i="144" s="1"/>
  <c r="E154" i="144"/>
  <c r="O153" i="144"/>
  <c r="O151" i="144" s="1"/>
  <c r="F153" i="144"/>
  <c r="F151" i="144" s="1"/>
  <c r="AC153" i="144"/>
  <c r="AC151" i="144" s="1"/>
  <c r="AJ153" i="144"/>
  <c r="AJ151" i="144" s="1"/>
  <c r="E153" i="144"/>
  <c r="E151" i="144" s="1"/>
  <c r="J154" i="144"/>
  <c r="V154" i="144"/>
  <c r="G153" i="144"/>
  <c r="G152" i="144" s="1"/>
  <c r="L154" i="144"/>
  <c r="V140" i="144"/>
  <c r="V139" i="144" s="1"/>
  <c r="Y114" i="144"/>
  <c r="Y113" i="144" s="1"/>
  <c r="J114" i="144"/>
  <c r="J113" i="144" s="1"/>
  <c r="K102" i="144"/>
  <c r="W102" i="144"/>
  <c r="AB101" i="144"/>
  <c r="AB99" i="144" s="1"/>
  <c r="P101" i="144"/>
  <c r="P99" i="144" s="1"/>
  <c r="L101" i="144"/>
  <c r="L100" i="144" s="1"/>
  <c r="K101" i="144"/>
  <c r="K99" i="144" s="1"/>
  <c r="AI101" i="144"/>
  <c r="M101" i="144"/>
  <c r="M100" i="144" s="1"/>
  <c r="N101" i="144"/>
  <c r="N99" i="144" s="1"/>
  <c r="Y101" i="144"/>
  <c r="Y100" i="144" s="1"/>
  <c r="AB88" i="144"/>
  <c r="AB86" i="144" s="1"/>
  <c r="P88" i="144"/>
  <c r="P86" i="144" s="1"/>
  <c r="Q88" i="144"/>
  <c r="Q87" i="144" s="1"/>
  <c r="AH88" i="144"/>
  <c r="J88" i="144"/>
  <c r="J87" i="144" s="1"/>
  <c r="L75" i="144"/>
  <c r="L74" i="144" s="1"/>
  <c r="L50" i="144"/>
  <c r="X50" i="144"/>
  <c r="AB49" i="144"/>
  <c r="AB47" i="144" s="1"/>
  <c r="P49" i="144"/>
  <c r="P48" i="144" s="1"/>
  <c r="M49" i="144"/>
  <c r="M48" i="144" s="1"/>
  <c r="W49" i="144"/>
  <c r="W47" i="144" s="1"/>
  <c r="Y49" i="144"/>
  <c r="Y48" i="144" s="1"/>
  <c r="J50" i="144"/>
  <c r="V50" i="144"/>
  <c r="R23" i="144"/>
  <c r="R22" i="144" s="1"/>
  <c r="AD23" i="144"/>
  <c r="AM19" i="144"/>
  <c r="K24" i="144"/>
  <c r="W24" i="144"/>
  <c r="AI24" i="144"/>
  <c r="AJ50" i="144"/>
  <c r="AF76" i="144"/>
  <c r="AB102" i="144"/>
  <c r="Y154" i="144"/>
  <c r="AA154" i="144"/>
  <c r="AJ167" i="144"/>
  <c r="AM57" i="144"/>
  <c r="AB154" i="144"/>
  <c r="AM161" i="144"/>
  <c r="Q154" i="144"/>
  <c r="AC154" i="144"/>
  <c r="Z167" i="144"/>
  <c r="AM17" i="144"/>
  <c r="AM70" i="144"/>
  <c r="R154" i="144"/>
  <c r="AD50" i="144"/>
  <c r="AM83" i="144"/>
  <c r="AI102" i="144"/>
  <c r="AC167" i="144"/>
  <c r="AB76" i="144"/>
  <c r="O89" i="144"/>
  <c r="AA89" i="144"/>
  <c r="AH50" i="144"/>
  <c r="P89" i="144"/>
  <c r="AM84" i="144"/>
  <c r="AJ115" i="144"/>
  <c r="Q89" i="144"/>
  <c r="AC89" i="144"/>
  <c r="O102" i="144"/>
  <c r="X154" i="144"/>
  <c r="AJ154" i="144"/>
  <c r="O49" i="144"/>
  <c r="O48" i="144" s="1"/>
  <c r="AA49" i="144"/>
  <c r="AA47" i="144" s="1"/>
  <c r="K50" i="144"/>
  <c r="W50" i="144"/>
  <c r="AI50" i="144"/>
  <c r="E62" i="144"/>
  <c r="E60" i="144" s="1"/>
  <c r="Q62" i="144"/>
  <c r="Q60" i="144" s="1"/>
  <c r="AC62" i="144"/>
  <c r="AC60" i="144" s="1"/>
  <c r="K88" i="144"/>
  <c r="K86" i="144" s="1"/>
  <c r="W88" i="144"/>
  <c r="W86" i="144" s="1"/>
  <c r="AI88" i="144"/>
  <c r="L114" i="144"/>
  <c r="L112" i="144" s="1"/>
  <c r="AM159" i="144"/>
  <c r="H115" i="144"/>
  <c r="T115" i="144"/>
  <c r="AF115" i="144"/>
  <c r="AM111" i="144"/>
  <c r="P115" i="144"/>
  <c r="E49" i="144"/>
  <c r="E48" i="144" s="1"/>
  <c r="Q49" i="144"/>
  <c r="Q47" i="144" s="1"/>
  <c r="AC49" i="144"/>
  <c r="M50" i="144"/>
  <c r="AM44" i="144"/>
  <c r="O63" i="144"/>
  <c r="AA63" i="144"/>
  <c r="P102" i="144"/>
  <c r="N114" i="144"/>
  <c r="N113" i="144" s="1"/>
  <c r="Z114" i="144"/>
  <c r="Z113" i="144" s="1"/>
  <c r="AM104" i="144"/>
  <c r="L141" i="144"/>
  <c r="F49" i="144"/>
  <c r="F48" i="144" s="1"/>
  <c r="R49" i="144"/>
  <c r="R48" i="144" s="1"/>
  <c r="AD49" i="144"/>
  <c r="P63" i="144"/>
  <c r="AB63" i="144"/>
  <c r="O76" i="144"/>
  <c r="AA76" i="144"/>
  <c r="J89" i="144"/>
  <c r="V89" i="144"/>
  <c r="AH89" i="144"/>
  <c r="I101" i="144"/>
  <c r="I100" i="144" s="1"/>
  <c r="AG101" i="144"/>
  <c r="O114" i="144"/>
  <c r="O112" i="144" s="1"/>
  <c r="AA114" i="144"/>
  <c r="AA112" i="144" s="1"/>
  <c r="S49" i="144"/>
  <c r="S48" i="144" s="1"/>
  <c r="AE49" i="144"/>
  <c r="I62" i="144"/>
  <c r="I60" i="144" s="1"/>
  <c r="U62" i="144"/>
  <c r="U60" i="144" s="1"/>
  <c r="AG62" i="144"/>
  <c r="E63" i="144"/>
  <c r="AM54" i="144"/>
  <c r="P76" i="144"/>
  <c r="AM71" i="144"/>
  <c r="O88" i="144"/>
  <c r="O86" i="144" s="1"/>
  <c r="AA88" i="144"/>
  <c r="AA86" i="144" s="1"/>
  <c r="K89" i="144"/>
  <c r="W89" i="144"/>
  <c r="AI89" i="144"/>
  <c r="AF49" i="144"/>
  <c r="V62" i="144"/>
  <c r="V60" i="144" s="1"/>
  <c r="F63" i="144"/>
  <c r="R63" i="144"/>
  <c r="E50" i="144"/>
  <c r="Q50" i="144"/>
  <c r="AC50" i="144"/>
  <c r="H49" i="144"/>
  <c r="H48" i="144" s="1"/>
  <c r="W62" i="144"/>
  <c r="W60" i="144" s="1"/>
  <c r="AI62" i="144"/>
  <c r="G63" i="144"/>
  <c r="S63" i="144"/>
  <c r="AE63" i="144"/>
  <c r="AM58" i="144"/>
  <c r="Y115" i="144"/>
  <c r="J49" i="144"/>
  <c r="V49" i="144"/>
  <c r="V48" i="144" s="1"/>
  <c r="F50" i="144"/>
  <c r="L62" i="144"/>
  <c r="L60" i="144" s="1"/>
  <c r="X62" i="144"/>
  <c r="X60" i="144" s="1"/>
  <c r="AJ62" i="144"/>
  <c r="AJ60" i="144" s="1"/>
  <c r="H63" i="144"/>
  <c r="T63" i="144"/>
  <c r="AF63" i="144"/>
  <c r="G76" i="144"/>
  <c r="S76" i="144"/>
  <c r="AE76" i="144"/>
  <c r="AE114" i="144"/>
  <c r="Q63" i="144"/>
  <c r="L49" i="144"/>
  <c r="AJ49" i="144"/>
  <c r="N62" i="144"/>
  <c r="N60" i="144" s="1"/>
  <c r="Z62" i="144"/>
  <c r="Z61" i="144" s="1"/>
  <c r="J63" i="144"/>
  <c r="V63" i="144"/>
  <c r="AC63" i="144"/>
  <c r="AD76" i="144"/>
  <c r="O62" i="144"/>
  <c r="O61" i="144" s="1"/>
  <c r="AA62" i="144"/>
  <c r="AA60" i="144" s="1"/>
  <c r="K63" i="144"/>
  <c r="W63" i="144"/>
  <c r="AI63" i="144"/>
  <c r="AM56" i="144"/>
  <c r="AD63" i="144"/>
  <c r="E115" i="144"/>
  <c r="Q115" i="144"/>
  <c r="AC115" i="144"/>
  <c r="P62" i="144"/>
  <c r="P60" i="144" s="1"/>
  <c r="AB62" i="144"/>
  <c r="AB60" i="144" s="1"/>
  <c r="L63" i="144"/>
  <c r="X63" i="144"/>
  <c r="AJ63" i="144"/>
  <c r="K114" i="144"/>
  <c r="K112" i="144" s="1"/>
  <c r="W114" i="144"/>
  <c r="W113" i="144" s="1"/>
  <c r="AI114" i="144"/>
  <c r="R115" i="144"/>
  <c r="G23" i="144"/>
  <c r="G22" i="144" s="1"/>
  <c r="S23" i="144"/>
  <c r="AE23" i="144"/>
  <c r="O24" i="144"/>
  <c r="T37" i="144"/>
  <c r="O101" i="144"/>
  <c r="AA101" i="144"/>
  <c r="AA99" i="144" s="1"/>
  <c r="J102" i="144"/>
  <c r="V102" i="144"/>
  <c r="AH102" i="144"/>
  <c r="AD114" i="144"/>
  <c r="X115" i="144"/>
  <c r="L140" i="144"/>
  <c r="AJ140" i="144"/>
  <c r="H141" i="144"/>
  <c r="T141" i="144"/>
  <c r="E24" i="144"/>
  <c r="Q24" i="144"/>
  <c r="AC24" i="144"/>
  <c r="P75" i="144"/>
  <c r="AB75" i="144"/>
  <c r="AB74" i="144" s="1"/>
  <c r="L76" i="144"/>
  <c r="AJ76" i="144"/>
  <c r="AM69" i="144"/>
  <c r="E101" i="144"/>
  <c r="Q101" i="144"/>
  <c r="Q99" i="144" s="1"/>
  <c r="AC101" i="144"/>
  <c r="AC99" i="144" s="1"/>
  <c r="L102" i="144"/>
  <c r="X102" i="144"/>
  <c r="AJ102" i="144"/>
  <c r="AC102" i="144"/>
  <c r="AF114" i="144"/>
  <c r="Z115" i="144"/>
  <c r="AM137" i="144"/>
  <c r="F24" i="144"/>
  <c r="R24" i="144"/>
  <c r="AD24" i="144"/>
  <c r="E75" i="144"/>
  <c r="E73" i="144" s="1"/>
  <c r="Q75" i="144"/>
  <c r="Q73" i="144" s="1"/>
  <c r="AC75" i="144"/>
  <c r="J101" i="144"/>
  <c r="J100" i="144" s="1"/>
  <c r="I114" i="144"/>
  <c r="I113" i="144" s="1"/>
  <c r="U114" i="144"/>
  <c r="U112" i="144" s="1"/>
  <c r="AG114" i="144"/>
  <c r="O115" i="144"/>
  <c r="AA115" i="144"/>
  <c r="AM109" i="144"/>
  <c r="Y141" i="144"/>
  <c r="R141" i="144"/>
  <c r="AM130" i="144"/>
  <c r="K23" i="144"/>
  <c r="W23" i="144"/>
  <c r="W21" i="144" s="1"/>
  <c r="AI23" i="144"/>
  <c r="G24" i="144"/>
  <c r="S24" i="144"/>
  <c r="AE24" i="144"/>
  <c r="F75" i="144"/>
  <c r="F73" i="144" s="1"/>
  <c r="R75" i="144"/>
  <c r="R74" i="144" s="1"/>
  <c r="G101" i="144"/>
  <c r="G99" i="144" s="1"/>
  <c r="S101" i="144"/>
  <c r="S100" i="144" s="1"/>
  <c r="AE101" i="144"/>
  <c r="N102" i="144"/>
  <c r="Z102" i="144"/>
  <c r="AM96" i="144"/>
  <c r="V101" i="144"/>
  <c r="V114" i="144"/>
  <c r="V113" i="144" s="1"/>
  <c r="AH114" i="144"/>
  <c r="AB115" i="144"/>
  <c r="X141" i="144"/>
  <c r="AJ141" i="144"/>
  <c r="AM134" i="144"/>
  <c r="M141" i="144"/>
  <c r="L23" i="144"/>
  <c r="X23" i="144"/>
  <c r="X22" i="144" s="1"/>
  <c r="AJ23" i="144"/>
  <c r="H24" i="144"/>
  <c r="T24" i="144"/>
  <c r="AF24" i="144"/>
  <c r="I23" i="144"/>
  <c r="I22" i="144" s="1"/>
  <c r="J75" i="144"/>
  <c r="H101" i="144"/>
  <c r="H99" i="144" s="1"/>
  <c r="T101" i="144"/>
  <c r="T99" i="144" s="1"/>
  <c r="AF101" i="144"/>
  <c r="AA102" i="144"/>
  <c r="W101" i="144"/>
  <c r="E140" i="144"/>
  <c r="E138" i="144" s="1"/>
  <c r="Q140" i="144"/>
  <c r="Q138" i="144" s="1"/>
  <c r="AC140" i="144"/>
  <c r="R76" i="144"/>
  <c r="U101" i="144"/>
  <c r="U100" i="144" s="1"/>
  <c r="N141" i="144"/>
  <c r="Z141" i="144"/>
  <c r="N23" i="144"/>
  <c r="Z23" i="144"/>
  <c r="U23" i="144"/>
  <c r="U22" i="144" s="1"/>
  <c r="I75" i="144"/>
  <c r="I73" i="144" s="1"/>
  <c r="U75" i="144"/>
  <c r="U74" i="144" s="1"/>
  <c r="AG75" i="144"/>
  <c r="Q76" i="144"/>
  <c r="X76" i="144"/>
  <c r="Q102" i="144"/>
  <c r="AH101" i="144"/>
  <c r="X114" i="144"/>
  <c r="X113" i="144" s="1"/>
  <c r="G140" i="144"/>
  <c r="S140" i="144"/>
  <c r="O141" i="144"/>
  <c r="AA141" i="144"/>
  <c r="F140" i="144"/>
  <c r="P141" i="144"/>
  <c r="AB141" i="144"/>
  <c r="K140" i="144"/>
  <c r="AC37" i="144"/>
  <c r="AC76" i="144"/>
  <c r="X101" i="144"/>
  <c r="X100" i="144" s="1"/>
  <c r="AJ101" i="144"/>
  <c r="AJ99" i="144" s="1"/>
  <c r="G102" i="144"/>
  <c r="S102" i="144"/>
  <c r="AE102" i="144"/>
  <c r="I140" i="144"/>
  <c r="U140" i="144"/>
  <c r="E141" i="144"/>
  <c r="Q141" i="144"/>
  <c r="AC141" i="144"/>
  <c r="R140" i="144"/>
  <c r="R138" i="144" s="1"/>
  <c r="E23" i="144"/>
  <c r="E22" i="144" s="1"/>
  <c r="Q23" i="144"/>
  <c r="Q21" i="144" s="1"/>
  <c r="AC23" i="144"/>
  <c r="AC21" i="144" s="1"/>
  <c r="AD75" i="144"/>
  <c r="H102" i="144"/>
  <c r="T102" i="144"/>
  <c r="AF102" i="144"/>
  <c r="E102" i="144"/>
  <c r="J140" i="144"/>
  <c r="J139" i="144" s="1"/>
  <c r="F141" i="144"/>
  <c r="G37" i="144"/>
  <c r="S37" i="144"/>
  <c r="AE37" i="144"/>
  <c r="AM72" i="144"/>
  <c r="I76" i="144"/>
  <c r="U76" i="144"/>
  <c r="AG76" i="144"/>
  <c r="AH75" i="144"/>
  <c r="Z101" i="144"/>
  <c r="Z99" i="144" s="1"/>
  <c r="AM91" i="144"/>
  <c r="I102" i="144"/>
  <c r="U102" i="144"/>
  <c r="AG102" i="144"/>
  <c r="AM98" i="144"/>
  <c r="W140" i="144"/>
  <c r="W139" i="144" s="1"/>
  <c r="G141" i="144"/>
  <c r="S141" i="144"/>
  <c r="X140" i="144"/>
  <c r="M24" i="144"/>
  <c r="Y24" i="144"/>
  <c r="P50" i="144"/>
  <c r="AB89" i="144"/>
  <c r="F101" i="144"/>
  <c r="F100" i="144" s="1"/>
  <c r="R101" i="144"/>
  <c r="R99" i="144" s="1"/>
  <c r="AD101" i="144"/>
  <c r="M102" i="144"/>
  <c r="Y102" i="144"/>
  <c r="AJ114" i="144"/>
  <c r="AJ113" i="144" s="1"/>
  <c r="F115" i="144"/>
  <c r="AD115" i="144"/>
  <c r="P153" i="144"/>
  <c r="AB153" i="144"/>
  <c r="K154" i="144"/>
  <c r="W154" i="144"/>
  <c r="I115" i="144"/>
  <c r="U115" i="144"/>
  <c r="AG115" i="144"/>
  <c r="AM122" i="144"/>
  <c r="N140" i="144"/>
  <c r="N139" i="144" s="1"/>
  <c r="Z140" i="144"/>
  <c r="Z139" i="144" s="1"/>
  <c r="I141" i="144"/>
  <c r="U141" i="144"/>
  <c r="N154" i="144"/>
  <c r="Z154" i="144"/>
  <c r="U153" i="144"/>
  <c r="Z50" i="144"/>
  <c r="AM42" i="144"/>
  <c r="N75" i="144"/>
  <c r="N74" i="144" s="1"/>
  <c r="Z75" i="144"/>
  <c r="Z73" i="144" s="1"/>
  <c r="J76" i="144"/>
  <c r="V76" i="144"/>
  <c r="AH76" i="144"/>
  <c r="P114" i="144"/>
  <c r="P112" i="144" s="1"/>
  <c r="AB114" i="144"/>
  <c r="AB112" i="144" s="1"/>
  <c r="J115" i="144"/>
  <c r="V115" i="144"/>
  <c r="AH115" i="144"/>
  <c r="O140" i="144"/>
  <c r="O138" i="144" s="1"/>
  <c r="AA140" i="144"/>
  <c r="J141" i="144"/>
  <c r="V141" i="144"/>
  <c r="H153" i="144"/>
  <c r="H151" i="144" s="1"/>
  <c r="T153" i="144"/>
  <c r="T152" i="144" s="1"/>
  <c r="I167" i="144"/>
  <c r="U167" i="144"/>
  <c r="AG167" i="144"/>
  <c r="I50" i="144"/>
  <c r="U50" i="144"/>
  <c r="AG50" i="144"/>
  <c r="O75" i="144"/>
  <c r="O74" i="144" s="1"/>
  <c r="AA75" i="144"/>
  <c r="AA73" i="144" s="1"/>
  <c r="K76" i="144"/>
  <c r="W76" i="144"/>
  <c r="AI76" i="144"/>
  <c r="AM85" i="144"/>
  <c r="I89" i="144"/>
  <c r="U89" i="144"/>
  <c r="AG89" i="144"/>
  <c r="F102" i="144"/>
  <c r="R102" i="144"/>
  <c r="AD102" i="144"/>
  <c r="Q114" i="144"/>
  <c r="Q112" i="144" s="1"/>
  <c r="AC114" i="144"/>
  <c r="AC112" i="144" s="1"/>
  <c r="W115" i="144"/>
  <c r="P140" i="144"/>
  <c r="AB140" i="144"/>
  <c r="K141" i="144"/>
  <c r="W141" i="144"/>
  <c r="J167" i="144"/>
  <c r="V167" i="144"/>
  <c r="AH167" i="144"/>
  <c r="P154" i="144"/>
  <c r="H140" i="144"/>
  <c r="H138" i="144" s="1"/>
  <c r="T140" i="144"/>
  <c r="T138" i="144" s="1"/>
  <c r="AM135" i="144"/>
  <c r="H154" i="144"/>
  <c r="T154" i="144"/>
  <c r="I153" i="144"/>
  <c r="I152" i="144" s="1"/>
  <c r="Z153" i="144"/>
  <c r="Z152" i="144" s="1"/>
  <c r="I154" i="144"/>
  <c r="U154" i="144"/>
  <c r="O36" i="144"/>
  <c r="AA36" i="144"/>
  <c r="J37" i="144"/>
  <c r="V37" i="144"/>
  <c r="AH37" i="144"/>
  <c r="V36" i="144"/>
  <c r="N36" i="144"/>
  <c r="AM26" i="144"/>
  <c r="I37" i="144"/>
  <c r="P36" i="144"/>
  <c r="AB36" i="144"/>
  <c r="AM33" i="144"/>
  <c r="AM30" i="144"/>
  <c r="AJ37" i="144"/>
  <c r="X37" i="144"/>
  <c r="L37" i="144"/>
  <c r="AD36" i="144"/>
  <c r="R36" i="144"/>
  <c r="F36" i="144"/>
  <c r="AM32" i="144"/>
  <c r="AI37" i="144"/>
  <c r="W37" i="144"/>
  <c r="K37" i="144"/>
  <c r="AC36" i="144"/>
  <c r="Q36" i="144"/>
  <c r="E36" i="144"/>
  <c r="AM27" i="144"/>
  <c r="AM29" i="144"/>
  <c r="AM31" i="144"/>
  <c r="AD37" i="144"/>
  <c r="R37" i="144"/>
  <c r="F37" i="144"/>
  <c r="AJ36" i="144"/>
  <c r="X36" i="144"/>
  <c r="L36" i="144"/>
  <c r="H37" i="144"/>
  <c r="AF37" i="144"/>
  <c r="J36" i="144"/>
  <c r="Z36" i="144"/>
  <c r="U37" i="144"/>
  <c r="AG37" i="144"/>
  <c r="K36" i="144"/>
  <c r="AH36" i="144"/>
  <c r="M37" i="144"/>
  <c r="Y37" i="144"/>
  <c r="AI36" i="144"/>
  <c r="G36" i="144"/>
  <c r="S36" i="144"/>
  <c r="AE36" i="144"/>
  <c r="N37" i="144"/>
  <c r="Z37" i="144"/>
  <c r="H36" i="144"/>
  <c r="T36" i="144"/>
  <c r="AF36" i="144"/>
  <c r="O37" i="144"/>
  <c r="AA37" i="144"/>
  <c r="E37" i="144"/>
  <c r="I36" i="144"/>
  <c r="U36" i="144"/>
  <c r="AG36" i="144"/>
  <c r="P37" i="144"/>
  <c r="AM28" i="144"/>
  <c r="Q37" i="144"/>
  <c r="AB37" i="144"/>
  <c r="AM15" i="144"/>
  <c r="J23" i="144"/>
  <c r="V23" i="144"/>
  <c r="AH23" i="144"/>
  <c r="P24" i="144"/>
  <c r="AB24" i="144"/>
  <c r="AM13" i="144"/>
  <c r="AM20" i="144"/>
  <c r="N50" i="144"/>
  <c r="AM18" i="144"/>
  <c r="AM40" i="144"/>
  <c r="I49" i="144"/>
  <c r="U49" i="144"/>
  <c r="AG49" i="144"/>
  <c r="O50" i="144"/>
  <c r="AA50" i="144"/>
  <c r="AM45" i="144"/>
  <c r="AM16" i="144"/>
  <c r="O23" i="144"/>
  <c r="AA23" i="144"/>
  <c r="I24" i="144"/>
  <c r="U24" i="144"/>
  <c r="AG24" i="144"/>
  <c r="T49" i="144"/>
  <c r="R50" i="144"/>
  <c r="P23" i="144"/>
  <c r="AB23" i="144"/>
  <c r="J24" i="144"/>
  <c r="V24" i="144"/>
  <c r="AH24" i="144"/>
  <c r="AM43" i="144"/>
  <c r="AM14" i="144"/>
  <c r="AM59" i="144"/>
  <c r="AM52" i="144"/>
  <c r="Z63" i="144"/>
  <c r="N63" i="144"/>
  <c r="AF62" i="144"/>
  <c r="T62" i="144"/>
  <c r="H62" i="144"/>
  <c r="Y63" i="144"/>
  <c r="M63" i="144"/>
  <c r="AE62" i="144"/>
  <c r="S62" i="144"/>
  <c r="G62" i="144"/>
  <c r="AM53" i="144"/>
  <c r="AM55" i="144"/>
  <c r="I63" i="144"/>
  <c r="U63" i="144"/>
  <c r="AG63" i="144"/>
  <c r="AH62" i="144"/>
  <c r="G50" i="144"/>
  <c r="S50" i="144"/>
  <c r="AE50" i="144"/>
  <c r="AM41" i="144"/>
  <c r="X49" i="144"/>
  <c r="Y50" i="144"/>
  <c r="N49" i="144"/>
  <c r="Z49" i="144"/>
  <c r="AM39" i="144"/>
  <c r="H50" i="144"/>
  <c r="T50" i="144"/>
  <c r="AF50" i="144"/>
  <c r="AM46" i="144"/>
  <c r="G49" i="144"/>
  <c r="AM68" i="144"/>
  <c r="F88" i="144"/>
  <c r="R88" i="144"/>
  <c r="AD88" i="144"/>
  <c r="L89" i="144"/>
  <c r="X89" i="144"/>
  <c r="AJ89" i="144"/>
  <c r="AM81" i="144"/>
  <c r="G88" i="144"/>
  <c r="S88" i="144"/>
  <c r="AE88" i="144"/>
  <c r="M89" i="144"/>
  <c r="Y89" i="144"/>
  <c r="AM66" i="144"/>
  <c r="H88" i="144"/>
  <c r="T88" i="144"/>
  <c r="AF88" i="144"/>
  <c r="N89" i="144"/>
  <c r="Z89" i="144"/>
  <c r="AM79" i="144"/>
  <c r="G75" i="144"/>
  <c r="S75" i="144"/>
  <c r="AE75" i="144"/>
  <c r="M76" i="144"/>
  <c r="Y76" i="144"/>
  <c r="L88" i="144"/>
  <c r="X88" i="144"/>
  <c r="AJ88" i="144"/>
  <c r="F89" i="144"/>
  <c r="R89" i="144"/>
  <c r="AD89" i="144"/>
  <c r="AM67" i="144"/>
  <c r="H75" i="144"/>
  <c r="T75" i="144"/>
  <c r="AF75" i="144"/>
  <c r="N76" i="144"/>
  <c r="Z76" i="144"/>
  <c r="G89" i="144"/>
  <c r="S89" i="144"/>
  <c r="AE89" i="144"/>
  <c r="AM80" i="144"/>
  <c r="AM65" i="144"/>
  <c r="N88" i="144"/>
  <c r="Z88" i="144"/>
  <c r="AM78" i="144"/>
  <c r="H89" i="144"/>
  <c r="T89" i="144"/>
  <c r="AF89" i="144"/>
  <c r="AM94" i="144"/>
  <c r="AM107" i="144"/>
  <c r="AM121" i="144"/>
  <c r="AM92" i="144"/>
  <c r="AM105" i="144"/>
  <c r="AM124" i="144"/>
  <c r="AM97" i="144"/>
  <c r="AM110" i="144"/>
  <c r="E114" i="144"/>
  <c r="R114" i="144"/>
  <c r="K115" i="144"/>
  <c r="F114" i="144"/>
  <c r="S114" i="144"/>
  <c r="L115" i="144"/>
  <c r="AM95" i="144"/>
  <c r="AM108" i="144"/>
  <c r="G114" i="144"/>
  <c r="T114" i="144"/>
  <c r="M115" i="144"/>
  <c r="AM119" i="144"/>
  <c r="H114" i="144"/>
  <c r="N115" i="144"/>
  <c r="AM123" i="144"/>
  <c r="AM118" i="144"/>
  <c r="AM120" i="144"/>
  <c r="G115" i="144"/>
  <c r="S115" i="144"/>
  <c r="AE115" i="144"/>
  <c r="AM106" i="144"/>
  <c r="AM117" i="144"/>
  <c r="AM133" i="144"/>
  <c r="AM157" i="144"/>
  <c r="AM162" i="144"/>
  <c r="AM131" i="144"/>
  <c r="AM136" i="144"/>
  <c r="AM160" i="144"/>
  <c r="G166" i="144"/>
  <c r="S166" i="144"/>
  <c r="AE166" i="144"/>
  <c r="AM163" i="144"/>
  <c r="I166" i="144"/>
  <c r="U166" i="144"/>
  <c r="AG166" i="144"/>
  <c r="AM132" i="144"/>
  <c r="E38" i="127"/>
  <c r="X142" i="121"/>
  <c r="F51" i="127"/>
  <c r="F50" i="127" s="1"/>
  <c r="X98" i="140"/>
  <c r="X126" i="122"/>
  <c r="G150" i="121"/>
  <c r="X86" i="140"/>
  <c r="X144" i="122"/>
  <c r="X132" i="122"/>
  <c r="X46" i="122"/>
  <c r="X34" i="141"/>
  <c r="F38" i="127"/>
  <c r="G178" i="121"/>
  <c r="X74" i="140"/>
  <c r="X44" i="121"/>
  <c r="X70" i="140"/>
  <c r="X97" i="141"/>
  <c r="X76" i="140"/>
  <c r="X72" i="140"/>
  <c r="X72" i="122"/>
  <c r="E122" i="122"/>
  <c r="G122" i="121"/>
  <c r="G51" i="127"/>
  <c r="G50" i="127" s="1"/>
  <c r="G38" i="127"/>
  <c r="I37" i="127"/>
  <c r="I35" i="127" s="1"/>
  <c r="I52" i="127"/>
  <c r="F178" i="121"/>
  <c r="F150" i="121"/>
  <c r="E178" i="121"/>
  <c r="H164" i="121"/>
  <c r="E108" i="121"/>
  <c r="E80" i="121"/>
  <c r="I149" i="121"/>
  <c r="I177" i="121"/>
  <c r="I175" i="121" s="1"/>
  <c r="H177" i="121"/>
  <c r="H175" i="121" s="1"/>
  <c r="E149" i="121"/>
  <c r="E147" i="121" s="1"/>
  <c r="H52" i="127"/>
  <c r="H37" i="127"/>
  <c r="H35" i="127" s="1"/>
  <c r="F52" i="127"/>
  <c r="E52" i="127"/>
  <c r="I51" i="127"/>
  <c r="I38" i="127"/>
  <c r="H51" i="127"/>
  <c r="H50" i="127" s="1"/>
  <c r="H38" i="127"/>
  <c r="I37" i="126"/>
  <c r="I36" i="126" s="1"/>
  <c r="F122" i="122"/>
  <c r="E93" i="122"/>
  <c r="E65" i="122"/>
  <c r="X118" i="141"/>
  <c r="X100" i="141"/>
  <c r="X82" i="141"/>
  <c r="X64" i="141"/>
  <c r="X46" i="141"/>
  <c r="H149" i="121"/>
  <c r="H121" i="121"/>
  <c r="H119" i="121" s="1"/>
  <c r="G121" i="121"/>
  <c r="G119" i="121" s="1"/>
  <c r="G93" i="121"/>
  <c r="E121" i="121"/>
  <c r="E119" i="121" s="1"/>
  <c r="E52" i="121"/>
  <c r="H178" i="121"/>
  <c r="G177" i="121"/>
  <c r="G175" i="121" s="1"/>
  <c r="G164" i="121"/>
  <c r="G149" i="121"/>
  <c r="G147" i="121" s="1"/>
  <c r="G136" i="121"/>
  <c r="G108" i="121"/>
  <c r="G80" i="121"/>
  <c r="F177" i="121"/>
  <c r="F175" i="121" s="1"/>
  <c r="F164" i="121"/>
  <c r="F149" i="121"/>
  <c r="F147" i="121" s="1"/>
  <c r="F136" i="121"/>
  <c r="F108" i="121"/>
  <c r="F93" i="121"/>
  <c r="E164" i="121"/>
  <c r="E136" i="121"/>
  <c r="I178" i="121"/>
  <c r="I163" i="121"/>
  <c r="I150" i="121"/>
  <c r="I122" i="121"/>
  <c r="H163" i="121"/>
  <c r="H150" i="121"/>
  <c r="H122" i="121"/>
  <c r="F122" i="121"/>
  <c r="E150" i="121"/>
  <c r="E38" i="126"/>
  <c r="H37" i="126"/>
  <c r="H36" i="126" s="1"/>
  <c r="G37" i="126"/>
  <c r="G36" i="126" s="1"/>
  <c r="F37" i="126"/>
  <c r="F36" i="126" s="1"/>
  <c r="F38" i="126"/>
  <c r="H38" i="126"/>
  <c r="E164" i="122"/>
  <c r="E136" i="122"/>
  <c r="E108" i="122"/>
  <c r="E80" i="122"/>
  <c r="E52" i="122"/>
  <c r="I122" i="122"/>
  <c r="I94" i="122"/>
  <c r="I66" i="122"/>
  <c r="I38" i="122"/>
  <c r="H163" i="122"/>
  <c r="H161" i="122" s="1"/>
  <c r="H94" i="122"/>
  <c r="G122" i="122"/>
  <c r="I164" i="122"/>
  <c r="I121" i="122"/>
  <c r="I119" i="122" s="1"/>
  <c r="H164" i="122"/>
  <c r="H121" i="122"/>
  <c r="G121" i="122"/>
  <c r="G119" i="122" s="1"/>
  <c r="F121" i="122"/>
  <c r="F119" i="122" s="1"/>
  <c r="F93" i="122"/>
  <c r="F91" i="122" s="1"/>
  <c r="F65" i="122"/>
  <c r="F63" i="122" s="1"/>
  <c r="X73" i="141"/>
  <c r="X37" i="141"/>
  <c r="F164" i="140"/>
  <c r="E178" i="140"/>
  <c r="E150" i="140"/>
  <c r="E122" i="140"/>
  <c r="E94" i="140"/>
  <c r="E66" i="140"/>
  <c r="E164" i="140"/>
  <c r="E136" i="140"/>
  <c r="E108" i="140"/>
  <c r="E163" i="140"/>
  <c r="I177" i="140"/>
  <c r="I164" i="140"/>
  <c r="I65" i="140"/>
  <c r="I63" i="140" s="1"/>
  <c r="H164" i="140"/>
  <c r="G164" i="140"/>
  <c r="H177" i="140"/>
  <c r="G177" i="140"/>
  <c r="G175" i="140" s="1"/>
  <c r="I178" i="140"/>
  <c r="I163" i="140"/>
  <c r="H178" i="140"/>
  <c r="H163" i="140"/>
  <c r="H150" i="140"/>
  <c r="I66" i="140"/>
  <c r="G178" i="140"/>
  <c r="G163" i="140"/>
  <c r="G150" i="140"/>
  <c r="F177" i="140"/>
  <c r="F175" i="140" s="1"/>
  <c r="F178" i="140"/>
  <c r="F163" i="140"/>
  <c r="F150" i="140"/>
  <c r="H23" i="127"/>
  <c r="H22" i="127" s="1"/>
  <c r="G23" i="127"/>
  <c r="G21" i="127" s="1"/>
  <c r="G52" i="127"/>
  <c r="E177" i="140"/>
  <c r="E175" i="140" s="1"/>
  <c r="I149" i="140"/>
  <c r="H149" i="140"/>
  <c r="I150" i="140"/>
  <c r="I135" i="140"/>
  <c r="H121" i="140"/>
  <c r="H93" i="140"/>
  <c r="H91" i="140" s="1"/>
  <c r="G149" i="140"/>
  <c r="G121" i="140"/>
  <c r="I93" i="140"/>
  <c r="I91" i="140" s="1"/>
  <c r="F149" i="140"/>
  <c r="F147" i="140" s="1"/>
  <c r="F121" i="140"/>
  <c r="F119" i="140" s="1"/>
  <c r="E149" i="140"/>
  <c r="E147" i="140" s="1"/>
  <c r="E121" i="140"/>
  <c r="E119" i="140" s="1"/>
  <c r="H136" i="140"/>
  <c r="H135" i="140"/>
  <c r="H133" i="140" s="1"/>
  <c r="F135" i="140"/>
  <c r="X160" i="140"/>
  <c r="X156" i="140"/>
  <c r="G135" i="140"/>
  <c r="G133" i="140" s="1"/>
  <c r="E135" i="140"/>
  <c r="E133" i="140" s="1"/>
  <c r="H107" i="140"/>
  <c r="H105" i="140" s="1"/>
  <c r="G108" i="140"/>
  <c r="G52" i="140"/>
  <c r="F108" i="140"/>
  <c r="F136" i="140"/>
  <c r="G136" i="140"/>
  <c r="I136" i="140"/>
  <c r="I107" i="140"/>
  <c r="I105" i="140" s="1"/>
  <c r="G93" i="140"/>
  <c r="G91" i="140" s="1"/>
  <c r="E93" i="140"/>
  <c r="F93" i="140"/>
  <c r="F91" i="140" s="1"/>
  <c r="I108" i="140"/>
  <c r="I52" i="140"/>
  <c r="I94" i="140"/>
  <c r="I38" i="140"/>
  <c r="G23" i="140"/>
  <c r="G21" i="140" s="1"/>
  <c r="H94" i="140"/>
  <c r="H66" i="140"/>
  <c r="H38" i="140"/>
  <c r="I121" i="140"/>
  <c r="I119" i="140" s="1"/>
  <c r="H122" i="140"/>
  <c r="H23" i="140"/>
  <c r="G107" i="140"/>
  <c r="G105" i="140" s="1"/>
  <c r="G94" i="140"/>
  <c r="G66" i="140"/>
  <c r="G38" i="140"/>
  <c r="F122" i="140"/>
  <c r="G122" i="140"/>
  <c r="I122" i="140"/>
  <c r="I23" i="140"/>
  <c r="I21" i="140" s="1"/>
  <c r="F94" i="140"/>
  <c r="F107" i="140"/>
  <c r="F105" i="140" s="1"/>
  <c r="F66" i="140"/>
  <c r="F38" i="140"/>
  <c r="H108" i="140"/>
  <c r="E38" i="140"/>
  <c r="I37" i="140"/>
  <c r="I35" i="140" s="1"/>
  <c r="H65" i="140"/>
  <c r="H63" i="140" s="1"/>
  <c r="H37" i="140"/>
  <c r="H35" i="140" s="1"/>
  <c r="G65" i="140"/>
  <c r="G63" i="140" s="1"/>
  <c r="F65" i="140"/>
  <c r="F63" i="140" s="1"/>
  <c r="E65" i="140"/>
  <c r="X145" i="140"/>
  <c r="X117" i="140"/>
  <c r="X89" i="140"/>
  <c r="X61" i="140"/>
  <c r="F51" i="140"/>
  <c r="E51" i="140"/>
  <c r="E49" i="140" s="1"/>
  <c r="G51" i="140"/>
  <c r="G49" i="140" s="1"/>
  <c r="I51" i="140"/>
  <c r="I49" i="140" s="1"/>
  <c r="E52" i="140"/>
  <c r="F23" i="140"/>
  <c r="F21" i="140" s="1"/>
  <c r="F52" i="140"/>
  <c r="I24" i="140"/>
  <c r="H51" i="140"/>
  <c r="H49" i="140" s="1"/>
  <c r="H52" i="140"/>
  <c r="X62" i="140"/>
  <c r="X58" i="140"/>
  <c r="G37" i="140"/>
  <c r="G35" i="140" s="1"/>
  <c r="F37" i="140"/>
  <c r="F35" i="140" s="1"/>
  <c r="E37" i="140"/>
  <c r="E24" i="140"/>
  <c r="H24" i="140"/>
  <c r="G24" i="140"/>
  <c r="F24" i="140"/>
  <c r="X55" i="140"/>
  <c r="I136" i="122"/>
  <c r="G163" i="122"/>
  <c r="G161" i="122" s="1"/>
  <c r="F163" i="122"/>
  <c r="F161" i="122" s="1"/>
  <c r="I163" i="122"/>
  <c r="I161" i="122" s="1"/>
  <c r="I135" i="122"/>
  <c r="I133" i="122" s="1"/>
  <c r="H135" i="122"/>
  <c r="H133" i="122" s="1"/>
  <c r="F164" i="122"/>
  <c r="G164" i="122"/>
  <c r="H136" i="122"/>
  <c r="F136" i="122"/>
  <c r="F108" i="122"/>
  <c r="F80" i="122"/>
  <c r="F52" i="122"/>
  <c r="F135" i="122"/>
  <c r="F133" i="122" s="1"/>
  <c r="F94" i="122"/>
  <c r="G135" i="122"/>
  <c r="G133" i="122" s="1"/>
  <c r="E94" i="122"/>
  <c r="E66" i="122"/>
  <c r="H93" i="122"/>
  <c r="H91" i="122" s="1"/>
  <c r="G136" i="122"/>
  <c r="G93" i="122"/>
  <c r="G91" i="122" s="1"/>
  <c r="I107" i="122"/>
  <c r="I105" i="122" s="1"/>
  <c r="H122" i="122"/>
  <c r="H107" i="122"/>
  <c r="H105" i="122" s="1"/>
  <c r="H66" i="122"/>
  <c r="H65" i="122"/>
  <c r="H63" i="122" s="1"/>
  <c r="G108" i="122"/>
  <c r="G80" i="122"/>
  <c r="H108" i="122"/>
  <c r="G107" i="122"/>
  <c r="G105" i="122" s="1"/>
  <c r="E107" i="122"/>
  <c r="E105" i="122" s="1"/>
  <c r="F107" i="122"/>
  <c r="F105" i="122" s="1"/>
  <c r="I108" i="122"/>
  <c r="I79" i="122"/>
  <c r="I77" i="122" s="1"/>
  <c r="H79" i="122"/>
  <c r="H77" i="122" s="1"/>
  <c r="G94" i="122"/>
  <c r="G79" i="122"/>
  <c r="G38" i="122"/>
  <c r="I93" i="122"/>
  <c r="I91" i="122" s="1"/>
  <c r="I80" i="122"/>
  <c r="I65" i="122"/>
  <c r="I63" i="122" s="1"/>
  <c r="H80" i="122"/>
  <c r="F79" i="122"/>
  <c r="F77" i="122" s="1"/>
  <c r="E79" i="122"/>
  <c r="I37" i="122"/>
  <c r="I35" i="122" s="1"/>
  <c r="G65" i="122"/>
  <c r="G63" i="122" s="1"/>
  <c r="G52" i="122"/>
  <c r="G66" i="122"/>
  <c r="F66" i="122"/>
  <c r="I52" i="122"/>
  <c r="H52" i="122"/>
  <c r="H51" i="122"/>
  <c r="H49" i="122" s="1"/>
  <c r="H38" i="122"/>
  <c r="G51" i="122"/>
  <c r="G49" i="122" s="1"/>
  <c r="F51" i="122"/>
  <c r="F49" i="122" s="1"/>
  <c r="F38" i="122"/>
  <c r="I51" i="122"/>
  <c r="I49" i="122" s="1"/>
  <c r="E51" i="122"/>
  <c r="E38" i="122"/>
  <c r="H37" i="122"/>
  <c r="H35" i="122" s="1"/>
  <c r="G37" i="122"/>
  <c r="G35" i="122" s="1"/>
  <c r="F37" i="122"/>
  <c r="F35" i="122" s="1"/>
  <c r="X73" i="122"/>
  <c r="X117" i="122"/>
  <c r="X145" i="122"/>
  <c r="X89" i="122"/>
  <c r="X61" i="122"/>
  <c r="G38" i="126"/>
  <c r="I38" i="126"/>
  <c r="F37" i="127"/>
  <c r="F35" i="127" s="1"/>
  <c r="E37" i="127"/>
  <c r="E36" i="127" s="1"/>
  <c r="G37" i="127"/>
  <c r="F23" i="127"/>
  <c r="F22" i="127" s="1"/>
  <c r="F24" i="127"/>
  <c r="I24" i="127"/>
  <c r="E24" i="127"/>
  <c r="H24" i="127"/>
  <c r="I23" i="127"/>
  <c r="G24" i="127"/>
  <c r="G163" i="121"/>
  <c r="G161" i="121" s="1"/>
  <c r="F163" i="121"/>
  <c r="F161" i="121" s="1"/>
  <c r="E163" i="121"/>
  <c r="E161" i="121" s="1"/>
  <c r="E122" i="121"/>
  <c r="I121" i="121"/>
  <c r="I135" i="121"/>
  <c r="H135" i="121"/>
  <c r="H133" i="121" s="1"/>
  <c r="I164" i="121"/>
  <c r="G23" i="121"/>
  <c r="G135" i="121"/>
  <c r="G133" i="121" s="1"/>
  <c r="F23" i="121"/>
  <c r="F21" i="121" s="1"/>
  <c r="F135" i="121"/>
  <c r="F133" i="121" s="1"/>
  <c r="E135" i="121"/>
  <c r="I107" i="121"/>
  <c r="H107" i="121"/>
  <c r="H136" i="121"/>
  <c r="I136" i="121"/>
  <c r="I108" i="121"/>
  <c r="I80" i="121"/>
  <c r="H108" i="121"/>
  <c r="H80" i="121"/>
  <c r="H52" i="121"/>
  <c r="I79" i="121"/>
  <c r="H79" i="121"/>
  <c r="G107" i="121"/>
  <c r="E107" i="121"/>
  <c r="E105" i="121" s="1"/>
  <c r="I37" i="121"/>
  <c r="I93" i="121"/>
  <c r="I91" i="121" s="1"/>
  <c r="I24" i="121"/>
  <c r="E93" i="121"/>
  <c r="I23" i="121"/>
  <c r="I21" i="121" s="1"/>
  <c r="H23" i="121"/>
  <c r="E94" i="121"/>
  <c r="G79" i="121"/>
  <c r="G77" i="121" s="1"/>
  <c r="F79" i="121"/>
  <c r="F77" i="121" s="1"/>
  <c r="H93" i="121"/>
  <c r="H91" i="121" s="1"/>
  <c r="I65" i="121"/>
  <c r="H65" i="121"/>
  <c r="H63" i="121" s="1"/>
  <c r="F94" i="121"/>
  <c r="G94" i="121"/>
  <c r="H94" i="121"/>
  <c r="I94" i="121"/>
  <c r="E79" i="121"/>
  <c r="E77" i="121" s="1"/>
  <c r="E66" i="121"/>
  <c r="H37" i="121"/>
  <c r="H35" i="121" s="1"/>
  <c r="G65" i="121"/>
  <c r="G63" i="121" s="1"/>
  <c r="G52" i="121"/>
  <c r="F80" i="121"/>
  <c r="F65" i="121"/>
  <c r="F63" i="121" s="1"/>
  <c r="F52" i="121"/>
  <c r="E65" i="121"/>
  <c r="I66" i="121"/>
  <c r="I38" i="121"/>
  <c r="H66" i="121"/>
  <c r="H51" i="121"/>
  <c r="H49" i="121" s="1"/>
  <c r="H38" i="121"/>
  <c r="I51" i="121"/>
  <c r="G66" i="121"/>
  <c r="G38" i="121"/>
  <c r="F66" i="121"/>
  <c r="F38" i="121"/>
  <c r="E38" i="121"/>
  <c r="G51" i="121"/>
  <c r="G49" i="121" s="1"/>
  <c r="F51" i="121"/>
  <c r="E51" i="121"/>
  <c r="E49" i="121" s="1"/>
  <c r="I52" i="121"/>
  <c r="H24" i="121"/>
  <c r="G37" i="121"/>
  <c r="G35" i="121" s="1"/>
  <c r="G24" i="121"/>
  <c r="F37" i="121"/>
  <c r="F35" i="121" s="1"/>
  <c r="F24" i="121"/>
  <c r="E23" i="121"/>
  <c r="E21" i="121" s="1"/>
  <c r="E37" i="121"/>
  <c r="E35" i="121" s="1"/>
  <c r="E24" i="121"/>
  <c r="X117" i="121"/>
  <c r="X61" i="121"/>
  <c r="X46" i="121"/>
  <c r="X144" i="121"/>
  <c r="X140" i="121"/>
  <c r="X116" i="121"/>
  <c r="X42" i="121"/>
  <c r="X112" i="121"/>
  <c r="X88" i="121"/>
  <c r="X76" i="121"/>
  <c r="X146" i="121"/>
  <c r="X139" i="121"/>
  <c r="X115" i="121"/>
  <c r="X84" i="121"/>
  <c r="X72" i="121"/>
  <c r="X48" i="121"/>
  <c r="X141" i="122"/>
  <c r="X86" i="122"/>
  <c r="X128" i="122"/>
  <c r="X158" i="122"/>
  <c r="X127" i="122"/>
  <c r="X60" i="122"/>
  <c r="X132" i="140"/>
  <c r="X87" i="140"/>
  <c r="X128" i="140"/>
  <c r="X30" i="140"/>
  <c r="X130" i="140"/>
  <c r="X32" i="140"/>
  <c r="X88" i="141"/>
  <c r="X101" i="141"/>
  <c r="X94" i="141"/>
  <c r="X38" i="141"/>
  <c r="X96" i="141"/>
  <c r="X54" i="141"/>
  <c r="X99" i="141"/>
  <c r="X36" i="141"/>
  <c r="X95" i="141"/>
  <c r="X81" i="141"/>
  <c r="X74" i="141"/>
  <c r="X32" i="141"/>
  <c r="X98" i="141"/>
  <c r="X70" i="141"/>
  <c r="X35" i="141"/>
  <c r="X156" i="121"/>
  <c r="X113" i="121"/>
  <c r="X154" i="121"/>
  <c r="X130" i="121"/>
  <c r="X118" i="121"/>
  <c r="X56" i="121"/>
  <c r="X57" i="121"/>
  <c r="X158" i="121"/>
  <c r="X60" i="121"/>
  <c r="X132" i="121"/>
  <c r="X128" i="121"/>
  <c r="X104" i="121"/>
  <c r="X126" i="121"/>
  <c r="X114" i="121"/>
  <c r="X102" i="121"/>
  <c r="X90" i="121"/>
  <c r="X83" i="121"/>
  <c r="X59" i="121"/>
  <c r="X160" i="121"/>
  <c r="X98" i="121"/>
  <c r="X86" i="121"/>
  <c r="X74" i="121"/>
  <c r="X62" i="121"/>
  <c r="X70" i="121"/>
  <c r="X58" i="121"/>
  <c r="X104" i="122"/>
  <c r="X100" i="122"/>
  <c r="X76" i="122"/>
  <c r="X57" i="122"/>
  <c r="X114" i="122"/>
  <c r="X102" i="122"/>
  <c r="X71" i="122"/>
  <c r="X59" i="122"/>
  <c r="X160" i="122"/>
  <c r="X98" i="122"/>
  <c r="X74" i="122"/>
  <c r="X62" i="122"/>
  <c r="X55" i="122"/>
  <c r="X156" i="122"/>
  <c r="X70" i="122"/>
  <c r="X58" i="122"/>
  <c r="X118" i="122"/>
  <c r="X90" i="122"/>
  <c r="X83" i="122"/>
  <c r="X47" i="122"/>
  <c r="X116" i="122"/>
  <c r="X159" i="122"/>
  <c r="X140" i="122"/>
  <c r="X85" i="122"/>
  <c r="X42" i="122"/>
  <c r="X143" i="122"/>
  <c r="X125" i="122"/>
  <c r="X112" i="122"/>
  <c r="X88" i="122"/>
  <c r="X40" i="122"/>
  <c r="X146" i="122"/>
  <c r="X139" i="122"/>
  <c r="X115" i="122"/>
  <c r="X103" i="122"/>
  <c r="X84" i="122"/>
  <c r="X48" i="122"/>
  <c r="X113" i="122"/>
  <c r="X154" i="122"/>
  <c r="X142" i="122"/>
  <c r="X130" i="122"/>
  <c r="X111" i="122"/>
  <c r="X87" i="122"/>
  <c r="X56" i="122"/>
  <c r="X44" i="122"/>
  <c r="X141" i="140"/>
  <c r="X43" i="140"/>
  <c r="X140" i="140"/>
  <c r="X144" i="140"/>
  <c r="X46" i="140"/>
  <c r="X42" i="140"/>
  <c r="X143" i="140"/>
  <c r="X158" i="140"/>
  <c r="X146" i="140"/>
  <c r="X139" i="140"/>
  <c r="X97" i="140"/>
  <c r="X60" i="140"/>
  <c r="X48" i="140"/>
  <c r="X142" i="140"/>
  <c r="X44" i="140"/>
  <c r="X153" i="140"/>
  <c r="X116" i="140"/>
  <c r="X104" i="140"/>
  <c r="X85" i="140"/>
  <c r="X131" i="140"/>
  <c r="X112" i="140"/>
  <c r="X100" i="140"/>
  <c r="X88" i="140"/>
  <c r="X57" i="140"/>
  <c r="X113" i="140"/>
  <c r="X84" i="140"/>
  <c r="X115" i="140"/>
  <c r="X154" i="140"/>
  <c r="X118" i="140"/>
  <c r="X111" i="140"/>
  <c r="X75" i="140"/>
  <c r="X56" i="140"/>
  <c r="X114" i="140"/>
  <c r="X102" i="140"/>
  <c r="X90" i="140"/>
  <c r="X83" i="140"/>
  <c r="X59" i="140"/>
  <c r="X41" i="140"/>
  <c r="X28" i="140"/>
  <c r="E23" i="120"/>
  <c r="E21" i="120" s="1"/>
  <c r="G23" i="120"/>
  <c r="G22" i="120" s="1"/>
  <c r="I23" i="120"/>
  <c r="I22" i="120" s="1"/>
  <c r="Q154" i="139"/>
  <c r="Q152" i="139" s="1"/>
  <c r="X61" i="141"/>
  <c r="X60" i="141"/>
  <c r="X77" i="141"/>
  <c r="X63" i="141"/>
  <c r="X56" i="141"/>
  <c r="X80" i="141"/>
  <c r="X59" i="141"/>
  <c r="X52" i="141"/>
  <c r="X83" i="141"/>
  <c r="X76" i="141"/>
  <c r="X62" i="141"/>
  <c r="X41" i="141"/>
  <c r="X79" i="141"/>
  <c r="X65" i="141"/>
  <c r="X58" i="141"/>
  <c r="X91" i="141"/>
  <c r="X108" i="141"/>
  <c r="X45" i="141"/>
  <c r="X104" i="141"/>
  <c r="X90" i="141"/>
  <c r="X55" i="141"/>
  <c r="X107" i="141"/>
  <c r="X86" i="141"/>
  <c r="X72" i="141"/>
  <c r="X44" i="141"/>
  <c r="X110" i="141"/>
  <c r="X68" i="141"/>
  <c r="X47" i="141"/>
  <c r="X40" i="141"/>
  <c r="X42" i="141"/>
  <c r="X106" i="141"/>
  <c r="X92" i="141"/>
  <c r="X85" i="141"/>
  <c r="X78" i="141"/>
  <c r="X50" i="141"/>
  <c r="X43" i="141"/>
  <c r="X23" i="142"/>
  <c r="AC154" i="139"/>
  <c r="AC153" i="139" s="1"/>
  <c r="X159" i="121"/>
  <c r="X157" i="121"/>
  <c r="X155" i="121"/>
  <c r="X153" i="121"/>
  <c r="X131" i="121"/>
  <c r="X129" i="121"/>
  <c r="X127" i="121"/>
  <c r="X125" i="121"/>
  <c r="X111" i="121"/>
  <c r="X103" i="121"/>
  <c r="X101" i="121"/>
  <c r="X99" i="121"/>
  <c r="X97" i="121"/>
  <c r="X75" i="121"/>
  <c r="X73" i="121"/>
  <c r="X71" i="121"/>
  <c r="X69" i="121"/>
  <c r="X47" i="121"/>
  <c r="X45" i="121"/>
  <c r="X43" i="121"/>
  <c r="X41" i="121"/>
  <c r="X89" i="121"/>
  <c r="X87" i="121"/>
  <c r="X110" i="121"/>
  <c r="X55" i="121"/>
  <c r="X141" i="121"/>
  <c r="X143" i="121"/>
  <c r="X85" i="121"/>
  <c r="X145" i="121"/>
  <c r="X157" i="122"/>
  <c r="X155" i="122"/>
  <c r="X153" i="122"/>
  <c r="X131" i="122"/>
  <c r="X101" i="122"/>
  <c r="X99" i="122"/>
  <c r="X97" i="122"/>
  <c r="X75" i="122"/>
  <c r="X45" i="122"/>
  <c r="X43" i="122"/>
  <c r="X41" i="122"/>
  <c r="X129" i="122"/>
  <c r="X152" i="122"/>
  <c r="X96" i="122"/>
  <c r="X69" i="122"/>
  <c r="X124" i="122"/>
  <c r="X126" i="140"/>
  <c r="X155" i="140"/>
  <c r="X99" i="140"/>
  <c r="X159" i="140"/>
  <c r="X157" i="140"/>
  <c r="X127" i="140"/>
  <c r="X125" i="140"/>
  <c r="X103" i="140"/>
  <c r="X101" i="140"/>
  <c r="X71" i="140"/>
  <c r="X69" i="140"/>
  <c r="X47" i="140"/>
  <c r="X45" i="140"/>
  <c r="X124" i="140"/>
  <c r="X68" i="140"/>
  <c r="X129" i="140"/>
  <c r="X40" i="140"/>
  <c r="X96" i="140"/>
  <c r="X152" i="140"/>
  <c r="X73" i="140"/>
  <c r="X89" i="141"/>
  <c r="X87" i="141"/>
  <c r="X51" i="141"/>
  <c r="X71" i="141"/>
  <c r="X49" i="141"/>
  <c r="X109" i="141"/>
  <c r="X53" i="141"/>
  <c r="X48" i="141"/>
  <c r="X84" i="141"/>
  <c r="X31" i="141"/>
  <c r="X105" i="141"/>
  <c r="X67" i="141"/>
  <c r="X103" i="141"/>
  <c r="X33" i="141"/>
  <c r="X69" i="141"/>
  <c r="Y155" i="139"/>
  <c r="AI154" i="139"/>
  <c r="W154" i="139"/>
  <c r="W153" i="139" s="1"/>
  <c r="K154" i="139"/>
  <c r="K153" i="139" s="1"/>
  <c r="Z155" i="139"/>
  <c r="AJ154" i="139"/>
  <c r="AJ153" i="139" s="1"/>
  <c r="I154" i="139"/>
  <c r="I153" i="139" s="1"/>
  <c r="AJ155" i="139"/>
  <c r="T154" i="139"/>
  <c r="T153" i="139" s="1"/>
  <c r="AE154" i="139"/>
  <c r="S154" i="139"/>
  <c r="S152" i="139" s="1"/>
  <c r="G154" i="139"/>
  <c r="G152" i="139" s="1"/>
  <c r="AD154" i="139"/>
  <c r="R154" i="139"/>
  <c r="R152" i="139" s="1"/>
  <c r="F154" i="139"/>
  <c r="F152" i="139" s="1"/>
  <c r="I155" i="139"/>
  <c r="S155" i="139"/>
  <c r="AA154" i="139"/>
  <c r="AA152" i="139" s="1"/>
  <c r="O154" i="139"/>
  <c r="O153" i="139" s="1"/>
  <c r="AD155" i="139"/>
  <c r="F155" i="139"/>
  <c r="E154" i="139"/>
  <c r="E153" i="139" s="1"/>
  <c r="AC155" i="139"/>
  <c r="E155" i="139"/>
  <c r="AM98" i="139"/>
  <c r="AH155" i="139"/>
  <c r="V155" i="139"/>
  <c r="J155" i="139"/>
  <c r="L154" i="139"/>
  <c r="L152" i="139" s="1"/>
  <c r="AG155" i="139"/>
  <c r="H154" i="139"/>
  <c r="Z154" i="139"/>
  <c r="Z152" i="139" s="1"/>
  <c r="R155" i="139"/>
  <c r="U155" i="139"/>
  <c r="M154" i="139"/>
  <c r="M152" i="139" s="1"/>
  <c r="G155" i="139"/>
  <c r="H155" i="139"/>
  <c r="H167" i="139"/>
  <c r="H165" i="139" s="1"/>
  <c r="AE155" i="139"/>
  <c r="T155" i="139"/>
  <c r="N154" i="139"/>
  <c r="N153" i="139" s="1"/>
  <c r="AF155" i="139"/>
  <c r="V154" i="139"/>
  <c r="V153" i="139" s="1"/>
  <c r="J154" i="139"/>
  <c r="J153" i="139" s="1"/>
  <c r="AM54" i="139"/>
  <c r="AF154" i="139"/>
  <c r="U154" i="139"/>
  <c r="U153" i="139" s="1"/>
  <c r="AB155" i="139"/>
  <c r="P155" i="139"/>
  <c r="AH154" i="139"/>
  <c r="AA155" i="139"/>
  <c r="O155" i="139"/>
  <c r="X155" i="139"/>
  <c r="L155" i="139"/>
  <c r="Q155" i="139"/>
  <c r="Y154" i="139"/>
  <c r="Y152" i="139" s="1"/>
  <c r="AB154" i="139"/>
  <c r="AB152" i="139" s="1"/>
  <c r="P154" i="139"/>
  <c r="P152" i="139" s="1"/>
  <c r="AI155" i="139"/>
  <c r="W155" i="139"/>
  <c r="K155" i="139"/>
  <c r="M155" i="139"/>
  <c r="X154" i="139"/>
  <c r="AG154" i="139"/>
  <c r="N155" i="139"/>
  <c r="AJ50" i="139"/>
  <c r="X29" i="142"/>
  <c r="X27" i="142"/>
  <c r="J23" i="139"/>
  <c r="J21" i="139" s="1"/>
  <c r="AJ23" i="139"/>
  <c r="V23" i="139"/>
  <c r="V21" i="139" s="1"/>
  <c r="X168" i="140"/>
  <c r="X34" i="140"/>
  <c r="X172" i="140"/>
  <c r="X174" i="140"/>
  <c r="X170" i="140"/>
  <c r="E164" i="120"/>
  <c r="E37" i="120"/>
  <c r="E36" i="120" s="1"/>
  <c r="G37" i="120"/>
  <c r="G36" i="120" s="1"/>
  <c r="F37" i="120"/>
  <c r="F36" i="120" s="1"/>
  <c r="AM80" i="139"/>
  <c r="AJ90" i="139"/>
  <c r="AJ37" i="139"/>
  <c r="E23" i="139"/>
  <c r="E21" i="139" s="1"/>
  <c r="I23" i="139"/>
  <c r="I21" i="139" s="1"/>
  <c r="AM43" i="139"/>
  <c r="AM93" i="139"/>
  <c r="AM71" i="139"/>
  <c r="AM41" i="139"/>
  <c r="AM107" i="139"/>
  <c r="AH23" i="139"/>
  <c r="U89" i="139"/>
  <c r="U88" i="139" s="1"/>
  <c r="X114" i="141"/>
  <c r="X116" i="141"/>
  <c r="X112" i="141"/>
  <c r="X32" i="142"/>
  <c r="X25" i="142"/>
  <c r="X35" i="142"/>
  <c r="X38" i="142"/>
  <c r="L2" i="5"/>
  <c r="X33" i="142"/>
  <c r="X29" i="143"/>
  <c r="X17" i="143"/>
  <c r="X15" i="143"/>
  <c r="X13" i="143"/>
  <c r="X16" i="143"/>
  <c r="X14" i="143"/>
  <c r="X28" i="143"/>
  <c r="X26" i="143"/>
  <c r="X24" i="143"/>
  <c r="X28" i="142"/>
  <c r="X24" i="142"/>
  <c r="X22" i="142"/>
  <c r="X37" i="142"/>
  <c r="X16" i="142"/>
  <c r="X14" i="142"/>
  <c r="X14" i="141"/>
  <c r="E149" i="120"/>
  <c r="E147" i="120" s="1"/>
  <c r="G163" i="120"/>
  <c r="F150" i="120"/>
  <c r="AM70" i="139"/>
  <c r="AM109" i="139"/>
  <c r="AM161" i="139"/>
  <c r="AJ63" i="139"/>
  <c r="AJ61" i="139" s="1"/>
  <c r="AJ76" i="139"/>
  <c r="AJ75" i="139" s="1"/>
  <c r="AJ89" i="139"/>
  <c r="AJ87" i="139" s="1"/>
  <c r="AJ102" i="139"/>
  <c r="AJ100" i="139" s="1"/>
  <c r="AJ115" i="139"/>
  <c r="AJ128" i="139"/>
  <c r="AJ127" i="139" s="1"/>
  <c r="AJ141" i="139"/>
  <c r="AJ140" i="139" s="1"/>
  <c r="AJ167" i="139"/>
  <c r="AJ166" i="139" s="1"/>
  <c r="AM18" i="139"/>
  <c r="AM31" i="139"/>
  <c r="AJ51" i="139"/>
  <c r="AI89" i="139"/>
  <c r="K102" i="139"/>
  <c r="K101" i="139" s="1"/>
  <c r="AM110" i="139"/>
  <c r="AM119" i="139"/>
  <c r="AJ64" i="139"/>
  <c r="AJ77" i="139"/>
  <c r="AJ103" i="139"/>
  <c r="AJ116" i="139"/>
  <c r="AJ129" i="139"/>
  <c r="I141" i="139"/>
  <c r="I140" i="139" s="1"/>
  <c r="AJ142" i="139"/>
  <c r="AJ168" i="139"/>
  <c r="AM28" i="139"/>
  <c r="AM59" i="139"/>
  <c r="AM68" i="139"/>
  <c r="AM137" i="139"/>
  <c r="AM159" i="139"/>
  <c r="AM33" i="139"/>
  <c r="W23" i="139"/>
  <c r="W22" i="139" s="1"/>
  <c r="U23" i="139"/>
  <c r="U21" i="139" s="1"/>
  <c r="AJ38" i="139"/>
  <c r="AM162" i="139"/>
  <c r="AM53" i="139"/>
  <c r="AM19" i="139"/>
  <c r="AM15" i="139"/>
  <c r="AM73" i="139"/>
  <c r="G89" i="139"/>
  <c r="AM112" i="139"/>
  <c r="AM121" i="139"/>
  <c r="AM164" i="139"/>
  <c r="AM92" i="139"/>
  <c r="AM132" i="139"/>
  <c r="AM32" i="139"/>
  <c r="AM42" i="139"/>
  <c r="AM72" i="139"/>
  <c r="AM81" i="139"/>
  <c r="AM111" i="139"/>
  <c r="AM120" i="139"/>
  <c r="AM163" i="139"/>
  <c r="AM30" i="139"/>
  <c r="H89" i="139"/>
  <c r="AM29" i="139"/>
  <c r="AM60" i="139"/>
  <c r="AM69" i="139"/>
  <c r="AM99" i="139"/>
  <c r="AM108" i="139"/>
  <c r="AM138" i="139"/>
  <c r="AM160" i="139"/>
  <c r="AM27" i="139"/>
  <c r="AM58" i="139"/>
  <c r="AM67" i="139"/>
  <c r="AM97" i="139"/>
  <c r="AM106" i="139"/>
  <c r="AM136" i="139"/>
  <c r="AM158" i="139"/>
  <c r="V89" i="139"/>
  <c r="AM40" i="139"/>
  <c r="AM57" i="139"/>
  <c r="AM79" i="139"/>
  <c r="AM96" i="139"/>
  <c r="AM118" i="139"/>
  <c r="AM135" i="139"/>
  <c r="AA90" i="139"/>
  <c r="O90" i="139"/>
  <c r="AM47" i="139"/>
  <c r="AM56" i="139"/>
  <c r="AM86" i="139"/>
  <c r="AM95" i="139"/>
  <c r="AM125" i="139"/>
  <c r="AM134" i="139"/>
  <c r="Z90" i="139"/>
  <c r="N90" i="139"/>
  <c r="AM46" i="139"/>
  <c r="AM55" i="139"/>
  <c r="AM85" i="139"/>
  <c r="AM94" i="139"/>
  <c r="AM124" i="139"/>
  <c r="AM133" i="139"/>
  <c r="AM45" i="139"/>
  <c r="AM84" i="139"/>
  <c r="AM123" i="139"/>
  <c r="AM26" i="139"/>
  <c r="AM44" i="139"/>
  <c r="AM66" i="139"/>
  <c r="AM83" i="139"/>
  <c r="AM105" i="139"/>
  <c r="AM122" i="139"/>
  <c r="AM157" i="139"/>
  <c r="L37" i="139"/>
  <c r="AM82" i="139"/>
  <c r="AM20" i="139"/>
  <c r="AJ24" i="139"/>
  <c r="AM17" i="139"/>
  <c r="E24" i="139"/>
  <c r="AM16" i="139"/>
  <c r="AM14" i="139"/>
  <c r="H150" i="120"/>
  <c r="H163" i="120"/>
  <c r="I163" i="120"/>
  <c r="I164" i="120"/>
  <c r="I150" i="120"/>
  <c r="F149" i="120"/>
  <c r="F163" i="120"/>
  <c r="H149" i="120"/>
  <c r="I136" i="120"/>
  <c r="E135" i="120"/>
  <c r="E134" i="120" s="1"/>
  <c r="G164" i="120"/>
  <c r="E121" i="120"/>
  <c r="E119" i="120" s="1"/>
  <c r="G149" i="120"/>
  <c r="H108" i="120"/>
  <c r="F164" i="120"/>
  <c r="H135" i="120"/>
  <c r="H164" i="120"/>
  <c r="E163" i="120"/>
  <c r="E150" i="120"/>
  <c r="G135" i="120"/>
  <c r="G150" i="120"/>
  <c r="F135" i="120"/>
  <c r="F136" i="120"/>
  <c r="I149" i="120"/>
  <c r="G136" i="120"/>
  <c r="G80" i="120"/>
  <c r="I135" i="120"/>
  <c r="H107" i="120"/>
  <c r="E136" i="120"/>
  <c r="H136" i="120"/>
  <c r="F108" i="120"/>
  <c r="E107" i="120"/>
  <c r="E106" i="120" s="1"/>
  <c r="G121" i="120"/>
  <c r="H121" i="120"/>
  <c r="F121" i="120"/>
  <c r="E122" i="120"/>
  <c r="F122" i="120"/>
  <c r="G122" i="120"/>
  <c r="G107" i="120"/>
  <c r="I122" i="120"/>
  <c r="F79" i="120"/>
  <c r="H79" i="120"/>
  <c r="F107" i="120"/>
  <c r="I121" i="120"/>
  <c r="I79" i="120"/>
  <c r="H122" i="120"/>
  <c r="G108" i="120"/>
  <c r="F80" i="120"/>
  <c r="H80" i="120"/>
  <c r="E108" i="120"/>
  <c r="I107" i="120"/>
  <c r="I108" i="120"/>
  <c r="G79" i="120"/>
  <c r="I80" i="120"/>
  <c r="E80" i="120"/>
  <c r="X19" i="143"/>
  <c r="X18" i="143"/>
  <c r="X23" i="143"/>
  <c r="X25" i="143"/>
  <c r="X27" i="143"/>
  <c r="X20" i="143"/>
  <c r="X22" i="143"/>
  <c r="X21" i="143"/>
  <c r="X12" i="143"/>
  <c r="X31" i="142"/>
  <c r="X34" i="142"/>
  <c r="X36" i="142"/>
  <c r="X18" i="142"/>
  <c r="X13" i="142"/>
  <c r="X15" i="142"/>
  <c r="X20" i="142"/>
  <c r="X17" i="142"/>
  <c r="X19" i="142"/>
  <c r="X30" i="142"/>
  <c r="X12" i="142"/>
  <c r="X26" i="142"/>
  <c r="X16" i="141"/>
  <c r="X13" i="141"/>
  <c r="X15" i="141"/>
  <c r="X17" i="141"/>
  <c r="X19" i="141"/>
  <c r="X19" i="140"/>
  <c r="X17" i="140"/>
  <c r="X15" i="140"/>
  <c r="X13" i="140"/>
  <c r="X33" i="140"/>
  <c r="X21" i="141"/>
  <c r="X23" i="141"/>
  <c r="X27" i="141"/>
  <c r="X29" i="141"/>
  <c r="X119" i="141"/>
  <c r="X173" i="140"/>
  <c r="X171" i="140"/>
  <c r="X169" i="140"/>
  <c r="X167" i="140"/>
  <c r="X29" i="140"/>
  <c r="X27" i="140"/>
  <c r="X20" i="140"/>
  <c r="X18" i="140"/>
  <c r="X16" i="140"/>
  <c r="X14" i="140"/>
  <c r="X18" i="141"/>
  <c r="X20" i="141"/>
  <c r="X25" i="141"/>
  <c r="X113" i="141"/>
  <c r="X115" i="141"/>
  <c r="X117" i="141"/>
  <c r="X22" i="141"/>
  <c r="X24" i="141"/>
  <c r="X26" i="141"/>
  <c r="X28" i="141"/>
  <c r="X12" i="141"/>
  <c r="X26" i="140"/>
  <c r="X31" i="140"/>
  <c r="W167" i="139"/>
  <c r="M141" i="139"/>
  <c r="M89" i="139"/>
  <c r="K23" i="139"/>
  <c r="I63" i="139"/>
  <c r="G63" i="139"/>
  <c r="U63" i="139"/>
  <c r="AH63" i="139"/>
  <c r="N64" i="139"/>
  <c r="J102" i="139"/>
  <c r="W102" i="139"/>
  <c r="AI102" i="139"/>
  <c r="E167" i="139"/>
  <c r="AI167" i="139"/>
  <c r="AG76" i="139"/>
  <c r="X76" i="139"/>
  <c r="X141" i="139"/>
  <c r="AF76" i="139"/>
  <c r="AH76" i="139"/>
  <c r="N24" i="139"/>
  <c r="Z24" i="139"/>
  <c r="O103" i="139"/>
  <c r="AA103" i="139"/>
  <c r="AI23" i="139"/>
  <c r="O24" i="139"/>
  <c r="AA24" i="139"/>
  <c r="Z64" i="139"/>
  <c r="X167" i="139"/>
  <c r="I50" i="139"/>
  <c r="W50" i="139"/>
  <c r="AI50" i="139"/>
  <c r="X37" i="139"/>
  <c r="X102" i="139"/>
  <c r="J89" i="139"/>
  <c r="H63" i="139"/>
  <c r="V63" i="139"/>
  <c r="AI63" i="139"/>
  <c r="O64" i="139"/>
  <c r="AA64" i="139"/>
  <c r="P168" i="139"/>
  <c r="AI24" i="139"/>
  <c r="W89" i="139"/>
  <c r="E90" i="139"/>
  <c r="Q167" i="139"/>
  <c r="K168" i="139"/>
  <c r="W168" i="139"/>
  <c r="AF167" i="139"/>
  <c r="X168" i="139"/>
  <c r="O129" i="139"/>
  <c r="AA129" i="139"/>
  <c r="S167" i="139"/>
  <c r="AG167" i="139"/>
  <c r="M168" i="139"/>
  <c r="Y168" i="139"/>
  <c r="AE167" i="139"/>
  <c r="AI168" i="139"/>
  <c r="G102" i="139"/>
  <c r="R167" i="139"/>
  <c r="L168" i="139"/>
  <c r="U167" i="139"/>
  <c r="AH167" i="139"/>
  <c r="N168" i="139"/>
  <c r="Z168" i="139"/>
  <c r="V128" i="139"/>
  <c r="J76" i="139"/>
  <c r="W63" i="139"/>
  <c r="AB24" i="139"/>
  <c r="AF24" i="139"/>
  <c r="AD103" i="139"/>
  <c r="Q168" i="139"/>
  <c r="M167" i="139"/>
  <c r="G168" i="139"/>
  <c r="AE168" i="139"/>
  <c r="K90" i="139"/>
  <c r="AI90" i="139"/>
  <c r="N167" i="139"/>
  <c r="H168" i="139"/>
  <c r="AF168" i="139"/>
  <c r="AG37" i="139"/>
  <c r="O51" i="139"/>
  <c r="AA51" i="139"/>
  <c r="E89" i="139"/>
  <c r="S89" i="139"/>
  <c r="AF89" i="139"/>
  <c r="L90" i="139"/>
  <c r="X90" i="139"/>
  <c r="O167" i="139"/>
  <c r="AC167" i="139"/>
  <c r="I168" i="139"/>
  <c r="U168" i="139"/>
  <c r="AG168" i="139"/>
  <c r="AA167" i="139"/>
  <c r="S168" i="139"/>
  <c r="W90" i="139"/>
  <c r="AB167" i="139"/>
  <c r="T168" i="139"/>
  <c r="F89" i="139"/>
  <c r="T89" i="139"/>
  <c r="AG89" i="139"/>
  <c r="M90" i="139"/>
  <c r="Y90" i="139"/>
  <c r="F102" i="139"/>
  <c r="P167" i="139"/>
  <c r="AD167" i="139"/>
  <c r="J168" i="139"/>
  <c r="V168" i="139"/>
  <c r="X23" i="139"/>
  <c r="M37" i="139"/>
  <c r="E38" i="139"/>
  <c r="Z37" i="139"/>
  <c r="AF23" i="139"/>
  <c r="Q38" i="139"/>
  <c r="H64" i="139"/>
  <c r="AE38" i="139"/>
  <c r="P37" i="139"/>
  <c r="AF38" i="139"/>
  <c r="AC37" i="139"/>
  <c r="I38" i="139"/>
  <c r="E63" i="139"/>
  <c r="I76" i="139"/>
  <c r="W76" i="139"/>
  <c r="AI76" i="139"/>
  <c r="O77" i="139"/>
  <c r="AA77" i="139"/>
  <c r="X103" i="139"/>
  <c r="AB103" i="139"/>
  <c r="V167" i="139"/>
  <c r="O168" i="139"/>
  <c r="AA168" i="139"/>
  <c r="Y37" i="139"/>
  <c r="AC38" i="139"/>
  <c r="N37" i="139"/>
  <c r="AD23" i="139"/>
  <c r="O37" i="139"/>
  <c r="O141" i="139"/>
  <c r="AE23" i="139"/>
  <c r="H23" i="139"/>
  <c r="T23" i="139"/>
  <c r="AG23" i="139"/>
  <c r="M24" i="139"/>
  <c r="Y24" i="139"/>
  <c r="F63" i="139"/>
  <c r="T63" i="139"/>
  <c r="AG63" i="139"/>
  <c r="M64" i="139"/>
  <c r="Y64" i="139"/>
  <c r="L23" i="139"/>
  <c r="M23" i="139"/>
  <c r="AD24" i="139"/>
  <c r="S23" i="139"/>
  <c r="N23" i="139"/>
  <c r="G24" i="139"/>
  <c r="F90" i="139"/>
  <c r="M103" i="139"/>
  <c r="O23" i="139"/>
  <c r="W103" i="139"/>
  <c r="Q23" i="139"/>
  <c r="J24" i="139"/>
  <c r="V24" i="139"/>
  <c r="Y23" i="139"/>
  <c r="S102" i="139"/>
  <c r="M102" i="139"/>
  <c r="P24" i="139"/>
  <c r="F23" i="139"/>
  <c r="R102" i="139"/>
  <c r="U102" i="139"/>
  <c r="F24" i="139"/>
  <c r="S24" i="139"/>
  <c r="R23" i="139"/>
  <c r="K24" i="139"/>
  <c r="W24" i="139"/>
  <c r="K38" i="139"/>
  <c r="H102" i="139"/>
  <c r="T102" i="139"/>
  <c r="AG102" i="139"/>
  <c r="Y103" i="139"/>
  <c r="T167" i="139"/>
  <c r="Z23" i="139"/>
  <c r="R24" i="139"/>
  <c r="L103" i="139"/>
  <c r="AA23" i="139"/>
  <c r="AE24" i="139"/>
  <c r="AH24" i="139"/>
  <c r="AF102" i="139"/>
  <c r="G23" i="139"/>
  <c r="L24" i="139"/>
  <c r="X24" i="139"/>
  <c r="P38" i="139"/>
  <c r="AB38" i="139"/>
  <c r="I102" i="139"/>
  <c r="V102" i="139"/>
  <c r="AH102" i="139"/>
  <c r="N103" i="139"/>
  <c r="Z103" i="139"/>
  <c r="O142" i="139"/>
  <c r="Y141" i="139"/>
  <c r="P142" i="139"/>
  <c r="N141" i="139"/>
  <c r="E142" i="139"/>
  <c r="AC142" i="139"/>
  <c r="AH168" i="139"/>
  <c r="R142" i="139"/>
  <c r="P141" i="139"/>
  <c r="K141" i="139"/>
  <c r="E141" i="139"/>
  <c r="M142" i="139"/>
  <c r="AB141" i="139"/>
  <c r="AD142" i="139"/>
  <c r="N142" i="139"/>
  <c r="G142" i="139"/>
  <c r="F142" i="139"/>
  <c r="AA141" i="139"/>
  <c r="AA142" i="139"/>
  <c r="L141" i="139"/>
  <c r="AB142" i="139"/>
  <c r="Z141" i="139"/>
  <c r="Q142" i="139"/>
  <c r="T37" i="139"/>
  <c r="I37" i="139"/>
  <c r="AF37" i="139"/>
  <c r="K37" i="139"/>
  <c r="AI38" i="139"/>
  <c r="X38" i="139"/>
  <c r="H37" i="139"/>
  <c r="L38" i="139"/>
  <c r="O38" i="139"/>
  <c r="AA38" i="139"/>
  <c r="AH89" i="139"/>
  <c r="F141" i="139"/>
  <c r="F38" i="139"/>
  <c r="AD38" i="139"/>
  <c r="AB37" i="139"/>
  <c r="X89" i="139"/>
  <c r="AB90" i="139"/>
  <c r="AC141" i="139"/>
  <c r="T142" i="139"/>
  <c r="E37" i="139"/>
  <c r="AD37" i="139"/>
  <c r="AG38" i="139"/>
  <c r="AD141" i="139"/>
  <c r="I142" i="139"/>
  <c r="U142" i="139"/>
  <c r="R90" i="139"/>
  <c r="Q89" i="139"/>
  <c r="F64" i="139"/>
  <c r="AI103" i="139"/>
  <c r="F51" i="139"/>
  <c r="G64" i="139"/>
  <c r="AC90" i="139"/>
  <c r="Q103" i="139"/>
  <c r="G103" i="139"/>
  <c r="AG141" i="139"/>
  <c r="X142" i="139"/>
  <c r="J37" i="139"/>
  <c r="M38" i="139"/>
  <c r="M50" i="139"/>
  <c r="AD89" i="139"/>
  <c r="I90" i="139"/>
  <c r="U90" i="139"/>
  <c r="AG90" i="139"/>
  <c r="AD90" i="139"/>
  <c r="Z102" i="139"/>
  <c r="F103" i="139"/>
  <c r="R103" i="139"/>
  <c r="H103" i="139"/>
  <c r="G141" i="139"/>
  <c r="V141" i="139"/>
  <c r="AH141" i="139"/>
  <c r="Y142" i="139"/>
  <c r="AA37" i="139"/>
  <c r="R38" i="139"/>
  <c r="G38" i="139"/>
  <c r="S38" i="139"/>
  <c r="Q37" i="139"/>
  <c r="T38" i="139"/>
  <c r="K89" i="139"/>
  <c r="P90" i="139"/>
  <c r="I89" i="139"/>
  <c r="Q90" i="139"/>
  <c r="Q141" i="139"/>
  <c r="H142" i="139"/>
  <c r="AF142" i="139"/>
  <c r="R37" i="139"/>
  <c r="U38" i="139"/>
  <c r="O89" i="139"/>
  <c r="T90" i="139"/>
  <c r="R141" i="139"/>
  <c r="E64" i="139"/>
  <c r="K128" i="139"/>
  <c r="G90" i="139"/>
  <c r="R89" i="139"/>
  <c r="P103" i="139"/>
  <c r="Y102" i="139"/>
  <c r="E103" i="139"/>
  <c r="AC103" i="139"/>
  <c r="U141" i="139"/>
  <c r="L142" i="139"/>
  <c r="W37" i="139"/>
  <c r="N38" i="139"/>
  <c r="Z38" i="139"/>
  <c r="N50" i="139"/>
  <c r="AE89" i="139"/>
  <c r="J90" i="139"/>
  <c r="V90" i="139"/>
  <c r="AH90" i="139"/>
  <c r="AC89" i="139"/>
  <c r="AE90" i="139"/>
  <c r="N102" i="139"/>
  <c r="AA102" i="139"/>
  <c r="S103" i="139"/>
  <c r="AE103" i="139"/>
  <c r="K103" i="139"/>
  <c r="H141" i="139"/>
  <c r="W141" i="139"/>
  <c r="AI141" i="139"/>
  <c r="Z142" i="139"/>
  <c r="G167" i="139"/>
  <c r="F167" i="139"/>
  <c r="I167" i="139"/>
  <c r="E168" i="139"/>
  <c r="AA89" i="139"/>
  <c r="S90" i="139"/>
  <c r="O102" i="139"/>
  <c r="AB102" i="139"/>
  <c r="T103" i="139"/>
  <c r="AF103" i="139"/>
  <c r="I129" i="139"/>
  <c r="S141" i="139"/>
  <c r="AE141" i="139"/>
  <c r="J142" i="139"/>
  <c r="V142" i="139"/>
  <c r="J167" i="139"/>
  <c r="AG142" i="139"/>
  <c r="AB168" i="139"/>
  <c r="Q24" i="139"/>
  <c r="AC24" i="139"/>
  <c r="T24" i="139"/>
  <c r="AH37" i="139"/>
  <c r="Y38" i="139"/>
  <c r="P89" i="139"/>
  <c r="AB89" i="139"/>
  <c r="H90" i="139"/>
  <c r="AF90" i="139"/>
  <c r="P102" i="139"/>
  <c r="AC102" i="139"/>
  <c r="I103" i="139"/>
  <c r="U103" i="139"/>
  <c r="AG103" i="139"/>
  <c r="T141" i="139"/>
  <c r="AF141" i="139"/>
  <c r="K142" i="139"/>
  <c r="W142" i="139"/>
  <c r="AI142" i="139"/>
  <c r="K167" i="139"/>
  <c r="AB23" i="139"/>
  <c r="H24" i="139"/>
  <c r="F37" i="139"/>
  <c r="S37" i="139"/>
  <c r="AE37" i="139"/>
  <c r="J38" i="139"/>
  <c r="V38" i="139"/>
  <c r="AH38" i="139"/>
  <c r="L89" i="139"/>
  <c r="Y89" i="139"/>
  <c r="E102" i="139"/>
  <c r="Q102" i="139"/>
  <c r="AD102" i="139"/>
  <c r="J103" i="139"/>
  <c r="V103" i="139"/>
  <c r="AC168" i="139"/>
  <c r="P23" i="139"/>
  <c r="AC23" i="139"/>
  <c r="I24" i="139"/>
  <c r="U24" i="139"/>
  <c r="AG24" i="139"/>
  <c r="N51" i="139"/>
  <c r="Z51" i="139"/>
  <c r="L64" i="139"/>
  <c r="X64" i="139"/>
  <c r="N89" i="139"/>
  <c r="Z89" i="139"/>
  <c r="AE102" i="139"/>
  <c r="S142" i="139"/>
  <c r="AE142" i="139"/>
  <c r="F168" i="139"/>
  <c r="R168" i="139"/>
  <c r="AD168" i="139"/>
  <c r="X50" i="139"/>
  <c r="AF51" i="139"/>
  <c r="AD50" i="139"/>
  <c r="H51" i="139"/>
  <c r="F50" i="139"/>
  <c r="AE51" i="139"/>
  <c r="I51" i="139"/>
  <c r="L51" i="139"/>
  <c r="G50" i="139"/>
  <c r="AI51" i="139"/>
  <c r="E50" i="139"/>
  <c r="Y51" i="139"/>
  <c r="U51" i="139"/>
  <c r="R50" i="139"/>
  <c r="Q51" i="139"/>
  <c r="AH51" i="139"/>
  <c r="V51" i="139"/>
  <c r="U50" i="139"/>
  <c r="Q50" i="139"/>
  <c r="AG51" i="139"/>
  <c r="AG50" i="139"/>
  <c r="AF50" i="139"/>
  <c r="T51" i="139"/>
  <c r="T50" i="139"/>
  <c r="S51" i="139"/>
  <c r="S50" i="139"/>
  <c r="R51" i="139"/>
  <c r="E51" i="139"/>
  <c r="F76" i="139"/>
  <c r="O76" i="139"/>
  <c r="AC77" i="139"/>
  <c r="AC76" i="139"/>
  <c r="L76" i="139"/>
  <c r="AD77" i="139"/>
  <c r="H77" i="139"/>
  <c r="G77" i="139"/>
  <c r="R77" i="139"/>
  <c r="Z76" i="139"/>
  <c r="Q77" i="139"/>
  <c r="T76" i="139"/>
  <c r="AH77" i="139"/>
  <c r="AG77" i="139"/>
  <c r="Y77" i="139"/>
  <c r="U77" i="139"/>
  <c r="T77" i="139"/>
  <c r="S77" i="139"/>
  <c r="E77" i="139"/>
  <c r="AF77" i="139"/>
  <c r="AE76" i="139"/>
  <c r="P76" i="139"/>
  <c r="M76" i="139"/>
  <c r="K76" i="139"/>
  <c r="AE77" i="139"/>
  <c r="Q76" i="139"/>
  <c r="F77" i="139"/>
  <c r="P77" i="139"/>
  <c r="J50" i="139"/>
  <c r="G51" i="139"/>
  <c r="H128" i="139"/>
  <c r="Y76" i="139"/>
  <c r="Z50" i="139"/>
  <c r="AC51" i="139"/>
  <c r="O63" i="139"/>
  <c r="AB63" i="139"/>
  <c r="T64" i="139"/>
  <c r="N63" i="139"/>
  <c r="AG64" i="139"/>
  <c r="S64" i="139"/>
  <c r="AH64" i="139"/>
  <c r="AD63" i="139"/>
  <c r="R64" i="139"/>
  <c r="AE63" i="139"/>
  <c r="K63" i="139"/>
  <c r="J63" i="139"/>
  <c r="Q63" i="139"/>
  <c r="AG129" i="139"/>
  <c r="AA50" i="139"/>
  <c r="AD51" i="139"/>
  <c r="P64" i="139"/>
  <c r="R63" i="139"/>
  <c r="U64" i="139"/>
  <c r="AC50" i="139"/>
  <c r="AA63" i="139"/>
  <c r="Y63" i="139"/>
  <c r="AD64" i="139"/>
  <c r="E76" i="139"/>
  <c r="S76" i="139"/>
  <c r="L77" i="139"/>
  <c r="X77" i="139"/>
  <c r="AE129" i="139"/>
  <c r="W128" i="139"/>
  <c r="AI128" i="139"/>
  <c r="AH128" i="139"/>
  <c r="G128" i="139"/>
  <c r="U128" i="139"/>
  <c r="S129" i="139"/>
  <c r="AB128" i="139"/>
  <c r="F128" i="139"/>
  <c r="E128" i="139"/>
  <c r="N129" i="139"/>
  <c r="W129" i="139"/>
  <c r="X128" i="139"/>
  <c r="V129" i="139"/>
  <c r="S128" i="139"/>
  <c r="K129" i="139"/>
  <c r="J129" i="139"/>
  <c r="P128" i="139"/>
  <c r="L129" i="139"/>
  <c r="R128" i="139"/>
  <c r="Q128" i="139"/>
  <c r="L128" i="139"/>
  <c r="K50" i="139"/>
  <c r="AB51" i="139"/>
  <c r="M128" i="139"/>
  <c r="L63" i="139"/>
  <c r="AC128" i="139"/>
  <c r="AH129" i="139"/>
  <c r="Z63" i="139"/>
  <c r="Q64" i="139"/>
  <c r="V64" i="139"/>
  <c r="F129" i="139"/>
  <c r="O128" i="139"/>
  <c r="R76" i="139"/>
  <c r="W77" i="139"/>
  <c r="AE64" i="139"/>
  <c r="G76" i="139"/>
  <c r="U76" i="139"/>
  <c r="M77" i="139"/>
  <c r="X129" i="139"/>
  <c r="AH142" i="139"/>
  <c r="AH103" i="139"/>
  <c r="AB129" i="139"/>
  <c r="Y50" i="139"/>
  <c r="P51" i="139"/>
  <c r="AF129" i="139"/>
  <c r="L50" i="139"/>
  <c r="Y128" i="139"/>
  <c r="X63" i="139"/>
  <c r="AB64" i="139"/>
  <c r="M63" i="139"/>
  <c r="AC64" i="139"/>
  <c r="S63" i="139"/>
  <c r="AG128" i="139"/>
  <c r="O50" i="139"/>
  <c r="U129" i="139"/>
  <c r="AD128" i="139"/>
  <c r="G129" i="139"/>
  <c r="K77" i="139"/>
  <c r="AI77" i="139"/>
  <c r="H129" i="139"/>
  <c r="H50" i="139"/>
  <c r="AI64" i="139"/>
  <c r="AF64" i="139"/>
  <c r="H76" i="139"/>
  <c r="V76" i="139"/>
  <c r="N77" i="139"/>
  <c r="Z77" i="139"/>
  <c r="Z129" i="139"/>
  <c r="P50" i="139"/>
  <c r="J51" i="139"/>
  <c r="P63" i="139"/>
  <c r="J128" i="139"/>
  <c r="E129" i="139"/>
  <c r="AC129" i="139"/>
  <c r="K51" i="139"/>
  <c r="W51" i="139"/>
  <c r="I64" i="139"/>
  <c r="AA128" i="139"/>
  <c r="R129" i="139"/>
  <c r="AD129" i="139"/>
  <c r="AB77" i="139"/>
  <c r="I128" i="139"/>
  <c r="AC63" i="139"/>
  <c r="Z128" i="139"/>
  <c r="Q129" i="139"/>
  <c r="AI37" i="139"/>
  <c r="X51" i="139"/>
  <c r="J64" i="139"/>
  <c r="N76" i="139"/>
  <c r="AB76" i="139"/>
  <c r="P129" i="139"/>
  <c r="U37" i="139"/>
  <c r="G37" i="139"/>
  <c r="V37" i="139"/>
  <c r="H38" i="139"/>
  <c r="W38" i="139"/>
  <c r="V50" i="139"/>
  <c r="AH50" i="139"/>
  <c r="M51" i="139"/>
  <c r="AF63" i="139"/>
  <c r="K64" i="139"/>
  <c r="W64" i="139"/>
  <c r="N128" i="139"/>
  <c r="T129" i="139"/>
  <c r="AE128" i="139"/>
  <c r="AD76" i="139"/>
  <c r="I77" i="139"/>
  <c r="AF128" i="139"/>
  <c r="AI129" i="139"/>
  <c r="J77" i="139"/>
  <c r="V77" i="139"/>
  <c r="AB50" i="139"/>
  <c r="AA76" i="139"/>
  <c r="M129" i="139"/>
  <c r="Y129" i="139"/>
  <c r="Y167" i="139"/>
  <c r="L102" i="139"/>
  <c r="T128" i="139"/>
  <c r="J141" i="139"/>
  <c r="L167" i="139"/>
  <c r="Z167" i="139"/>
  <c r="D9" i="150" l="1"/>
  <c r="D6" i="150"/>
  <c r="D8" i="150"/>
  <c r="E8" i="150"/>
  <c r="E22" i="150"/>
  <c r="D22" i="150"/>
  <c r="D5" i="150"/>
  <c r="E5" i="150"/>
  <c r="E16" i="150"/>
  <c r="D16" i="150"/>
  <c r="B24" i="150"/>
  <c r="E23" i="150"/>
  <c r="D23" i="150"/>
  <c r="B17" i="150"/>
  <c r="E7" i="150"/>
  <c r="D7" i="150"/>
  <c r="E162" i="122"/>
  <c r="I120" i="141"/>
  <c r="I124" i="141"/>
  <c r="F124" i="141"/>
  <c r="AG126" i="144"/>
  <c r="AG129" i="144"/>
  <c r="G34" i="143"/>
  <c r="H176" i="122"/>
  <c r="I176" i="122"/>
  <c r="E134" i="122"/>
  <c r="I179" i="122"/>
  <c r="I34" i="143"/>
  <c r="I30" i="143"/>
  <c r="AH129" i="144"/>
  <c r="AH125" i="144"/>
  <c r="H106" i="121"/>
  <c r="H105" i="121"/>
  <c r="I106" i="121"/>
  <c r="I105" i="121"/>
  <c r="I36" i="121"/>
  <c r="I35" i="121"/>
  <c r="E134" i="121"/>
  <c r="E133" i="121"/>
  <c r="F92" i="121"/>
  <c r="F91" i="121"/>
  <c r="I148" i="121"/>
  <c r="I147" i="121"/>
  <c r="H78" i="121"/>
  <c r="H77" i="121"/>
  <c r="E64" i="121"/>
  <c r="E63" i="121"/>
  <c r="I64" i="121"/>
  <c r="I63" i="121"/>
  <c r="I78" i="121"/>
  <c r="I77" i="121"/>
  <c r="G22" i="121"/>
  <c r="G21" i="121"/>
  <c r="F50" i="121"/>
  <c r="F49" i="121"/>
  <c r="H148" i="121"/>
  <c r="H147" i="121"/>
  <c r="F120" i="121"/>
  <c r="I134" i="121"/>
  <c r="I133" i="121"/>
  <c r="H162" i="121"/>
  <c r="H161" i="121"/>
  <c r="I120" i="121"/>
  <c r="I119" i="121"/>
  <c r="E176" i="121"/>
  <c r="I50" i="121"/>
  <c r="I49" i="121"/>
  <c r="G106" i="121"/>
  <c r="G105" i="121"/>
  <c r="G92" i="121"/>
  <c r="G91" i="121"/>
  <c r="H22" i="121"/>
  <c r="H21" i="121"/>
  <c r="E92" i="121"/>
  <c r="E91" i="121"/>
  <c r="I162" i="121"/>
  <c r="I161" i="121"/>
  <c r="I22" i="122"/>
  <c r="G22" i="122"/>
  <c r="G21" i="122"/>
  <c r="I151" i="122"/>
  <c r="G25" i="122"/>
  <c r="E64" i="122"/>
  <c r="E63" i="122"/>
  <c r="E92" i="122"/>
  <c r="E91" i="122"/>
  <c r="H25" i="122"/>
  <c r="H21" i="122"/>
  <c r="E50" i="122"/>
  <c r="E49" i="122"/>
  <c r="E78" i="122"/>
  <c r="E77" i="122"/>
  <c r="G179" i="122"/>
  <c r="G175" i="122"/>
  <c r="H120" i="122"/>
  <c r="H119" i="122"/>
  <c r="G78" i="122"/>
  <c r="G77" i="122"/>
  <c r="I25" i="122"/>
  <c r="I162" i="140"/>
  <c r="I161" i="140"/>
  <c r="F50" i="140"/>
  <c r="F49" i="140"/>
  <c r="G78" i="140"/>
  <c r="G77" i="140"/>
  <c r="G120" i="140"/>
  <c r="G119" i="140"/>
  <c r="F162" i="140"/>
  <c r="F161" i="140"/>
  <c r="G148" i="140"/>
  <c r="G147" i="140"/>
  <c r="I78" i="140"/>
  <c r="I77" i="140"/>
  <c r="H120" i="140"/>
  <c r="H119" i="140"/>
  <c r="H176" i="140"/>
  <c r="H175" i="140"/>
  <c r="I134" i="140"/>
  <c r="I133" i="140"/>
  <c r="G162" i="140"/>
  <c r="G161" i="140"/>
  <c r="I176" i="140"/>
  <c r="I175" i="140"/>
  <c r="F78" i="140"/>
  <c r="F77" i="140"/>
  <c r="E162" i="140"/>
  <c r="E161" i="140"/>
  <c r="H78" i="140"/>
  <c r="H77" i="140"/>
  <c r="F134" i="140"/>
  <c r="F133" i="140"/>
  <c r="H148" i="140"/>
  <c r="H147" i="140"/>
  <c r="I148" i="140"/>
  <c r="I147" i="140"/>
  <c r="E105" i="140"/>
  <c r="H22" i="140"/>
  <c r="H21" i="140"/>
  <c r="H162" i="140"/>
  <c r="H161" i="140"/>
  <c r="H81" i="140"/>
  <c r="E121" i="141"/>
  <c r="E124" i="141"/>
  <c r="H34" i="143"/>
  <c r="AD151" i="144"/>
  <c r="AF151" i="144"/>
  <c r="E95" i="120"/>
  <c r="H179" i="122"/>
  <c r="H151" i="122"/>
  <c r="E120" i="122"/>
  <c r="F25" i="122"/>
  <c r="E151" i="122"/>
  <c r="G81" i="140"/>
  <c r="I81" i="140"/>
  <c r="F120" i="141"/>
  <c r="F121" i="141"/>
  <c r="F34" i="143"/>
  <c r="AH139" i="144"/>
  <c r="AF155" i="144"/>
  <c r="AD129" i="144"/>
  <c r="AE152" i="144"/>
  <c r="AH142" i="144"/>
  <c r="AI139" i="144"/>
  <c r="AD155" i="144"/>
  <c r="AD125" i="144"/>
  <c r="AF139" i="144"/>
  <c r="AF129" i="144"/>
  <c r="G95" i="120"/>
  <c r="I95" i="120"/>
  <c r="F134" i="121"/>
  <c r="G176" i="121"/>
  <c r="F176" i="121"/>
  <c r="I176" i="121"/>
  <c r="E22" i="121"/>
  <c r="H176" i="121"/>
  <c r="AE49" i="139"/>
  <c r="H22" i="122"/>
  <c r="E25" i="122"/>
  <c r="E22" i="122"/>
  <c r="H106" i="122"/>
  <c r="I106" i="122"/>
  <c r="H78" i="122"/>
  <c r="G92" i="122"/>
  <c r="H162" i="122"/>
  <c r="G148" i="122"/>
  <c r="F36" i="122"/>
  <c r="I78" i="122"/>
  <c r="H134" i="122"/>
  <c r="E148" i="122"/>
  <c r="F151" i="122"/>
  <c r="H92" i="122"/>
  <c r="H36" i="122"/>
  <c r="G64" i="122"/>
  <c r="F106" i="122"/>
  <c r="I162" i="122"/>
  <c r="E35" i="122"/>
  <c r="E36" i="122"/>
  <c r="I36" i="122"/>
  <c r="E106" i="122"/>
  <c r="F162" i="122"/>
  <c r="F64" i="122"/>
  <c r="G151" i="122"/>
  <c r="E179" i="122"/>
  <c r="G176" i="122"/>
  <c r="H50" i="122"/>
  <c r="F148" i="122"/>
  <c r="G36" i="122"/>
  <c r="G106" i="122"/>
  <c r="G134" i="122"/>
  <c r="G162" i="122"/>
  <c r="F92" i="122"/>
  <c r="H148" i="122"/>
  <c r="F176" i="122"/>
  <c r="I50" i="122"/>
  <c r="F78" i="122"/>
  <c r="I92" i="122"/>
  <c r="E176" i="122"/>
  <c r="I134" i="122"/>
  <c r="F134" i="122"/>
  <c r="F22" i="122"/>
  <c r="F50" i="122"/>
  <c r="I64" i="122"/>
  <c r="G50" i="122"/>
  <c r="H64" i="122"/>
  <c r="I148" i="122"/>
  <c r="F179" i="122"/>
  <c r="E77" i="140"/>
  <c r="E81" i="140"/>
  <c r="F81" i="140"/>
  <c r="G106" i="140"/>
  <c r="E36" i="140"/>
  <c r="E35" i="140"/>
  <c r="E92" i="140"/>
  <c r="E91" i="140"/>
  <c r="F106" i="140"/>
  <c r="I92" i="140"/>
  <c r="I106" i="140"/>
  <c r="H106" i="140"/>
  <c r="E64" i="140"/>
  <c r="E63" i="140"/>
  <c r="H92" i="140"/>
  <c r="G92" i="140"/>
  <c r="F92" i="140"/>
  <c r="G120" i="141"/>
  <c r="G121" i="141"/>
  <c r="H121" i="141"/>
  <c r="H120" i="141"/>
  <c r="G124" i="141"/>
  <c r="H124" i="141"/>
  <c r="E30" i="143"/>
  <c r="E31" i="143"/>
  <c r="H31" i="143"/>
  <c r="H30" i="143"/>
  <c r="E34" i="143"/>
  <c r="F30" i="143"/>
  <c r="F31" i="143"/>
  <c r="G31" i="143"/>
  <c r="G30" i="143"/>
  <c r="AE142" i="144"/>
  <c r="AF126" i="144"/>
  <c r="AG155" i="144"/>
  <c r="AD164" i="144"/>
  <c r="AD116" i="144"/>
  <c r="AH152" i="144"/>
  <c r="AE139" i="144"/>
  <c r="AE155" i="144"/>
  <c r="AF142" i="144"/>
  <c r="AH155" i="144"/>
  <c r="AI155" i="144"/>
  <c r="AD168" i="144"/>
  <c r="AI129" i="144"/>
  <c r="AI152" i="144"/>
  <c r="AG151" i="144"/>
  <c r="AI142" i="144"/>
  <c r="H95" i="120"/>
  <c r="F95" i="120"/>
  <c r="AD142" i="144"/>
  <c r="AD138" i="144"/>
  <c r="AG142" i="144"/>
  <c r="AE126" i="144"/>
  <c r="AE129" i="144"/>
  <c r="AF60" i="144"/>
  <c r="AF61" i="144"/>
  <c r="AD73" i="144"/>
  <c r="AD74" i="144"/>
  <c r="AF113" i="144"/>
  <c r="AF112" i="144"/>
  <c r="AG99" i="144"/>
  <c r="AG100" i="144"/>
  <c r="AH48" i="144"/>
  <c r="AH47" i="144"/>
  <c r="AD87" i="144"/>
  <c r="AD86" i="144"/>
  <c r="AH22" i="144"/>
  <c r="AH21" i="144"/>
  <c r="AG34" i="144"/>
  <c r="AG35" i="144"/>
  <c r="AD99" i="144"/>
  <c r="AD100" i="144"/>
  <c r="AI112" i="144"/>
  <c r="AI113" i="144"/>
  <c r="AG60" i="144"/>
  <c r="AG61" i="144"/>
  <c r="AD47" i="144"/>
  <c r="AD48" i="144"/>
  <c r="AI100" i="144"/>
  <c r="AI99" i="144"/>
  <c r="AG21" i="144"/>
  <c r="AG22" i="144"/>
  <c r="AG164" i="144"/>
  <c r="AG165" i="144"/>
  <c r="AF73" i="144"/>
  <c r="AF74" i="144"/>
  <c r="AE87" i="144"/>
  <c r="AE86" i="144"/>
  <c r="AH34" i="144"/>
  <c r="AH35" i="144"/>
  <c r="AH74" i="144"/>
  <c r="AH73" i="144"/>
  <c r="AH100" i="144"/>
  <c r="AH99" i="144"/>
  <c r="AH86" i="144"/>
  <c r="AH87" i="144"/>
  <c r="AH60" i="144"/>
  <c r="AH61" i="144"/>
  <c r="AE61" i="144"/>
  <c r="AE60" i="144"/>
  <c r="AE99" i="144"/>
  <c r="AE100" i="144"/>
  <c r="AI21" i="144"/>
  <c r="AI22" i="144"/>
  <c r="AD61" i="144"/>
  <c r="AD60" i="144"/>
  <c r="AF86" i="144"/>
  <c r="AF87" i="144"/>
  <c r="AE35" i="144"/>
  <c r="AE34" i="144"/>
  <c r="AD35" i="144"/>
  <c r="AD34" i="144"/>
  <c r="AG113" i="144"/>
  <c r="AG112" i="144"/>
  <c r="AE113" i="144"/>
  <c r="AE112" i="144"/>
  <c r="AE47" i="144"/>
  <c r="AE48" i="144"/>
  <c r="AI74" i="144"/>
  <c r="AI73" i="144"/>
  <c r="AF99" i="144"/>
  <c r="AF100" i="144"/>
  <c r="AH112" i="144"/>
  <c r="AH113" i="144"/>
  <c r="AD113" i="144"/>
  <c r="AD112" i="144"/>
  <c r="AE21" i="144"/>
  <c r="AE22" i="144"/>
  <c r="AD21" i="144"/>
  <c r="AD22" i="144"/>
  <c r="AF164" i="144"/>
  <c r="AF165" i="144"/>
  <c r="AH164" i="144"/>
  <c r="AH165" i="144"/>
  <c r="AG139" i="144"/>
  <c r="AG138" i="144"/>
  <c r="AE164" i="144"/>
  <c r="AE165" i="144"/>
  <c r="AE73" i="144"/>
  <c r="AE74" i="144"/>
  <c r="AG73" i="144"/>
  <c r="AG74" i="144"/>
  <c r="AI60" i="144"/>
  <c r="AI61" i="144"/>
  <c r="AI165" i="144"/>
  <c r="AI164" i="144"/>
  <c r="AI48" i="144"/>
  <c r="AI47" i="144"/>
  <c r="AG47" i="144"/>
  <c r="AG48" i="144"/>
  <c r="AF34" i="144"/>
  <c r="AF35" i="144"/>
  <c r="AI34" i="144"/>
  <c r="AI35" i="144"/>
  <c r="AF47" i="144"/>
  <c r="AF48" i="144"/>
  <c r="AI86" i="144"/>
  <c r="AI87" i="144"/>
  <c r="AF21" i="144"/>
  <c r="AF22" i="144"/>
  <c r="AG86" i="144"/>
  <c r="AG87" i="144"/>
  <c r="AI126" i="144"/>
  <c r="AI125" i="144"/>
  <c r="AI35" i="139"/>
  <c r="AI34" i="139"/>
  <c r="AE61" i="139"/>
  <c r="AE62" i="139"/>
  <c r="AI139" i="139"/>
  <c r="AI140" i="139"/>
  <c r="AG21" i="139"/>
  <c r="AG22" i="139"/>
  <c r="AG87" i="139"/>
  <c r="AG88" i="139"/>
  <c r="AH75" i="139"/>
  <c r="AH74" i="139"/>
  <c r="AF126" i="139"/>
  <c r="AF127" i="139"/>
  <c r="AF61" i="139"/>
  <c r="AF62" i="139"/>
  <c r="AD62" i="139"/>
  <c r="AD61" i="139"/>
  <c r="AF48" i="139"/>
  <c r="AF49" i="139"/>
  <c r="AE140" i="139"/>
  <c r="AE139" i="139"/>
  <c r="AD87" i="139"/>
  <c r="AD88" i="139"/>
  <c r="AH152" i="139"/>
  <c r="AH153" i="139"/>
  <c r="AE152" i="139"/>
  <c r="AE153" i="139"/>
  <c r="AI152" i="139"/>
  <c r="AI153" i="139"/>
  <c r="AH126" i="139"/>
  <c r="AH127" i="139"/>
  <c r="AG48" i="139"/>
  <c r="AG49" i="139"/>
  <c r="AD139" i="139"/>
  <c r="AD140" i="139"/>
  <c r="AH101" i="139"/>
  <c r="AH100" i="139"/>
  <c r="AF101" i="139"/>
  <c r="AF100" i="139"/>
  <c r="AG61" i="139"/>
  <c r="AG62" i="139"/>
  <c r="AE21" i="139"/>
  <c r="AE22" i="139"/>
  <c r="AD165" i="139"/>
  <c r="AD166" i="139"/>
  <c r="AI22" i="139"/>
  <c r="AI21" i="139"/>
  <c r="AH61" i="139"/>
  <c r="AH62" i="139"/>
  <c r="AF74" i="139"/>
  <c r="AF75" i="139"/>
  <c r="AD101" i="139"/>
  <c r="AD100" i="139"/>
  <c r="AG100" i="139"/>
  <c r="AG101" i="139"/>
  <c r="AF21" i="139"/>
  <c r="AF22" i="139"/>
  <c r="AG34" i="139"/>
  <c r="AG35" i="139"/>
  <c r="AE165" i="139"/>
  <c r="AE166" i="139"/>
  <c r="AF165" i="139"/>
  <c r="AF166" i="139"/>
  <c r="AI48" i="139"/>
  <c r="AI49" i="139"/>
  <c r="AG75" i="139"/>
  <c r="AG74" i="139"/>
  <c r="AG152" i="139"/>
  <c r="AG153" i="139"/>
  <c r="AG127" i="139"/>
  <c r="AG126" i="139"/>
  <c r="AH49" i="139"/>
  <c r="AH48" i="139"/>
  <c r="AE126" i="139"/>
  <c r="AE127" i="139"/>
  <c r="AD49" i="139"/>
  <c r="AD48" i="139"/>
  <c r="AE100" i="139"/>
  <c r="AE101" i="139"/>
  <c r="AF140" i="139"/>
  <c r="AF139" i="139"/>
  <c r="AE88" i="139"/>
  <c r="AE87" i="139"/>
  <c r="AD34" i="139"/>
  <c r="AD35" i="139"/>
  <c r="AI165" i="139"/>
  <c r="AI166" i="139"/>
  <c r="AI87" i="139"/>
  <c r="AI88" i="139"/>
  <c r="AH34" i="139"/>
  <c r="AH35" i="139"/>
  <c r="AI75" i="139"/>
  <c r="AI74" i="139"/>
  <c r="AD74" i="139"/>
  <c r="AD75" i="139"/>
  <c r="AE35" i="139"/>
  <c r="AE34" i="139"/>
  <c r="AD126" i="139"/>
  <c r="AD127" i="139"/>
  <c r="AD21" i="139"/>
  <c r="AD22" i="139"/>
  <c r="AH165" i="139"/>
  <c r="AH166" i="139"/>
  <c r="AI62" i="139"/>
  <c r="AI61" i="139"/>
  <c r="AF153" i="139"/>
  <c r="AF152" i="139"/>
  <c r="AH22" i="139"/>
  <c r="AH21" i="139"/>
  <c r="AI127" i="139"/>
  <c r="AI126" i="139"/>
  <c r="AE74" i="139"/>
  <c r="AE75" i="139"/>
  <c r="AH140" i="139"/>
  <c r="AH139" i="139"/>
  <c r="AG139" i="139"/>
  <c r="AG140" i="139"/>
  <c r="AH88" i="139"/>
  <c r="AH87" i="139"/>
  <c r="AF35" i="139"/>
  <c r="AF34" i="139"/>
  <c r="AF88" i="139"/>
  <c r="AF87" i="139"/>
  <c r="AG165" i="139"/>
  <c r="AG166" i="139"/>
  <c r="AI100" i="139"/>
  <c r="AI101" i="139"/>
  <c r="AD153" i="139"/>
  <c r="AD152" i="139"/>
  <c r="AC168" i="144"/>
  <c r="Q168" i="144"/>
  <c r="AC165" i="144"/>
  <c r="Q155" i="144"/>
  <c r="AC90" i="144"/>
  <c r="AC87" i="144"/>
  <c r="Q165" i="144"/>
  <c r="Q152" i="144"/>
  <c r="V87" i="144"/>
  <c r="E53" i="127"/>
  <c r="R165" i="144"/>
  <c r="Y38" i="144"/>
  <c r="E50" i="127"/>
  <c r="Y25" i="144"/>
  <c r="V77" i="144"/>
  <c r="L103" i="144"/>
  <c r="AB168" i="144"/>
  <c r="Y151" i="144"/>
  <c r="H168" i="144"/>
  <c r="AG90" i="144"/>
  <c r="L99" i="144"/>
  <c r="S168" i="144"/>
  <c r="Y22" i="144"/>
  <c r="W155" i="144"/>
  <c r="V90" i="144"/>
  <c r="AB164" i="144"/>
  <c r="AB165" i="144"/>
  <c r="M87" i="144"/>
  <c r="F25" i="144"/>
  <c r="Y90" i="144"/>
  <c r="M73" i="144"/>
  <c r="M38" i="144"/>
  <c r="H164" i="144"/>
  <c r="I90" i="144"/>
  <c r="K155" i="144"/>
  <c r="S155" i="144"/>
  <c r="I86" i="144"/>
  <c r="M35" i="144"/>
  <c r="O155" i="144"/>
  <c r="Y60" i="144"/>
  <c r="K168" i="144"/>
  <c r="AA168" i="144"/>
  <c r="W164" i="144"/>
  <c r="O60" i="144"/>
  <c r="M61" i="144"/>
  <c r="S152" i="144"/>
  <c r="M64" i="144"/>
  <c r="AI51" i="144"/>
  <c r="Y64" i="144"/>
  <c r="L113" i="144"/>
  <c r="W77" i="144"/>
  <c r="F64" i="144"/>
  <c r="AA164" i="144"/>
  <c r="K100" i="144"/>
  <c r="S151" i="144"/>
  <c r="Y155" i="144"/>
  <c r="AJ25" i="144"/>
  <c r="AB87" i="144"/>
  <c r="AJ164" i="144"/>
  <c r="E86" i="144"/>
  <c r="AI77" i="144"/>
  <c r="J151" i="144"/>
  <c r="K151" i="144"/>
  <c r="Y112" i="144"/>
  <c r="O152" i="144"/>
  <c r="E90" i="144"/>
  <c r="Y34" i="144"/>
  <c r="Y51" i="144"/>
  <c r="P90" i="144"/>
  <c r="T168" i="144"/>
  <c r="E168" i="144"/>
  <c r="R100" i="144"/>
  <c r="K60" i="144"/>
  <c r="P168" i="144"/>
  <c r="M116" i="144"/>
  <c r="AA152" i="144"/>
  <c r="W151" i="144"/>
  <c r="M112" i="144"/>
  <c r="J168" i="144"/>
  <c r="M138" i="144"/>
  <c r="J112" i="144"/>
  <c r="T21" i="144"/>
  <c r="O164" i="144"/>
  <c r="H22" i="144"/>
  <c r="T25" i="144"/>
  <c r="P164" i="144"/>
  <c r="AE77" i="144"/>
  <c r="K73" i="144"/>
  <c r="R21" i="144"/>
  <c r="J60" i="144"/>
  <c r="Z165" i="144"/>
  <c r="K64" i="144"/>
  <c r="K51" i="144"/>
  <c r="T164" i="144"/>
  <c r="S77" i="144"/>
  <c r="Y99" i="144"/>
  <c r="Y47" i="144"/>
  <c r="AD64" i="144"/>
  <c r="AB90" i="144"/>
  <c r="Z25" i="144"/>
  <c r="K47" i="144"/>
  <c r="AB38" i="144"/>
  <c r="F165" i="144"/>
  <c r="W73" i="144"/>
  <c r="P77" i="144"/>
  <c r="AJ73" i="144"/>
  <c r="N152" i="144"/>
  <c r="Y74" i="144"/>
  <c r="R64" i="144"/>
  <c r="L155" i="144"/>
  <c r="T100" i="144"/>
  <c r="Q139" i="144"/>
  <c r="AB48" i="144"/>
  <c r="R60" i="144"/>
  <c r="F21" i="144"/>
  <c r="E103" i="144"/>
  <c r="AD25" i="144"/>
  <c r="M90" i="144"/>
  <c r="W38" i="144"/>
  <c r="W34" i="144"/>
  <c r="X77" i="144"/>
  <c r="L151" i="144"/>
  <c r="W168" i="144"/>
  <c r="Y77" i="144"/>
  <c r="AH64" i="144"/>
  <c r="F61" i="144"/>
  <c r="X74" i="144"/>
  <c r="M77" i="144"/>
  <c r="P103" i="144"/>
  <c r="K103" i="144"/>
  <c r="AI168" i="144"/>
  <c r="AB51" i="144"/>
  <c r="O168" i="144"/>
  <c r="X168" i="144"/>
  <c r="Q142" i="144"/>
  <c r="F155" i="144"/>
  <c r="J165" i="144"/>
  <c r="Y139" i="144"/>
  <c r="AF168" i="144"/>
  <c r="N165" i="144"/>
  <c r="L51" i="144"/>
  <c r="AH90" i="144"/>
  <c r="Y86" i="144"/>
  <c r="AB103" i="144"/>
  <c r="J86" i="144"/>
  <c r="K164" i="144"/>
  <c r="L25" i="144"/>
  <c r="R168" i="144"/>
  <c r="P113" i="144"/>
  <c r="P100" i="144"/>
  <c r="V74" i="144"/>
  <c r="F168" i="144"/>
  <c r="Y164" i="144"/>
  <c r="M168" i="144"/>
  <c r="Q86" i="144"/>
  <c r="N168" i="144"/>
  <c r="Y103" i="144"/>
  <c r="Y142" i="144"/>
  <c r="J64" i="144"/>
  <c r="H77" i="144"/>
  <c r="X152" i="144"/>
  <c r="N25" i="144"/>
  <c r="H25" i="144"/>
  <c r="AJ64" i="144"/>
  <c r="AJ168" i="144"/>
  <c r="AA100" i="144"/>
  <c r="AJ152" i="144"/>
  <c r="R25" i="144"/>
  <c r="W61" i="144"/>
  <c r="K77" i="144"/>
  <c r="F152" i="144"/>
  <c r="M142" i="144"/>
  <c r="AJ77" i="144"/>
  <c r="AI116" i="144"/>
  <c r="N77" i="144"/>
  <c r="N100" i="144"/>
  <c r="P51" i="144"/>
  <c r="W64" i="144"/>
  <c r="J90" i="144"/>
  <c r="AJ155" i="144"/>
  <c r="Z168" i="144"/>
  <c r="V155" i="144"/>
  <c r="Z138" i="144"/>
  <c r="AC61" i="144"/>
  <c r="AB142" i="144"/>
  <c r="X155" i="144"/>
  <c r="M51" i="144"/>
  <c r="N138" i="144"/>
  <c r="P142" i="144"/>
  <c r="AD51" i="144"/>
  <c r="AA155" i="144"/>
  <c r="P47" i="144"/>
  <c r="M103" i="144"/>
  <c r="M155" i="144"/>
  <c r="V165" i="144"/>
  <c r="M99" i="144"/>
  <c r="AE38" i="144"/>
  <c r="M25" i="144"/>
  <c r="V64" i="144"/>
  <c r="K116" i="144"/>
  <c r="U90" i="144"/>
  <c r="AG25" i="144"/>
  <c r="O87" i="144"/>
  <c r="AH168" i="144"/>
  <c r="M151" i="144"/>
  <c r="U86" i="144"/>
  <c r="V168" i="144"/>
  <c r="M22" i="144"/>
  <c r="X164" i="144"/>
  <c r="N61" i="144"/>
  <c r="W87" i="144"/>
  <c r="R155" i="144"/>
  <c r="V142" i="144"/>
  <c r="AA103" i="144"/>
  <c r="AF25" i="144"/>
  <c r="N103" i="144"/>
  <c r="W90" i="144"/>
  <c r="M47" i="144"/>
  <c r="AH51" i="144"/>
  <c r="W48" i="144"/>
  <c r="AI103" i="144"/>
  <c r="AB155" i="144"/>
  <c r="Z155" i="144"/>
  <c r="AJ103" i="144"/>
  <c r="V138" i="144"/>
  <c r="AD90" i="144"/>
  <c r="J116" i="144"/>
  <c r="E165" i="144"/>
  <c r="E77" i="144"/>
  <c r="P87" i="144"/>
  <c r="AB73" i="144"/>
  <c r="J155" i="144"/>
  <c r="E139" i="144"/>
  <c r="E74" i="144"/>
  <c r="V151" i="144"/>
  <c r="AC155" i="144"/>
  <c r="AG168" i="144"/>
  <c r="U168" i="144"/>
  <c r="L164" i="144"/>
  <c r="Y168" i="144"/>
  <c r="L168" i="144"/>
  <c r="M164" i="144"/>
  <c r="R151" i="144"/>
  <c r="N155" i="144"/>
  <c r="E155" i="144"/>
  <c r="AC152" i="144"/>
  <c r="G151" i="144"/>
  <c r="E152" i="144"/>
  <c r="G155" i="144"/>
  <c r="Z151" i="144"/>
  <c r="I151" i="144"/>
  <c r="T151" i="144"/>
  <c r="L142" i="144"/>
  <c r="J138" i="144"/>
  <c r="T139" i="144"/>
  <c r="H139" i="144"/>
  <c r="O139" i="144"/>
  <c r="AJ116" i="144"/>
  <c r="R116" i="144"/>
  <c r="W112" i="144"/>
  <c r="O113" i="144"/>
  <c r="K113" i="144"/>
  <c r="AH116" i="144"/>
  <c r="Y116" i="144"/>
  <c r="AE116" i="144"/>
  <c r="L116" i="144"/>
  <c r="Q116" i="144"/>
  <c r="N112" i="144"/>
  <c r="AA113" i="144"/>
  <c r="U116" i="144"/>
  <c r="AF116" i="144"/>
  <c r="N116" i="144"/>
  <c r="U113" i="144"/>
  <c r="W116" i="144"/>
  <c r="F99" i="144"/>
  <c r="AJ100" i="144"/>
  <c r="T103" i="144"/>
  <c r="O103" i="144"/>
  <c r="AB100" i="144"/>
  <c r="W103" i="144"/>
  <c r="AG103" i="144"/>
  <c r="S99" i="144"/>
  <c r="G100" i="144"/>
  <c r="Z100" i="144"/>
  <c r="J99" i="144"/>
  <c r="F103" i="144"/>
  <c r="H103" i="144"/>
  <c r="I99" i="144"/>
  <c r="I103" i="144"/>
  <c r="H100" i="144"/>
  <c r="AC103" i="144"/>
  <c r="Q90" i="144"/>
  <c r="AI90" i="144"/>
  <c r="O90" i="144"/>
  <c r="F90" i="144"/>
  <c r="AA87" i="144"/>
  <c r="K90" i="144"/>
  <c r="AA90" i="144"/>
  <c r="K87" i="144"/>
  <c r="L77" i="144"/>
  <c r="L73" i="144"/>
  <c r="Z74" i="144"/>
  <c r="U77" i="144"/>
  <c r="I77" i="144"/>
  <c r="P73" i="144"/>
  <c r="AH77" i="144"/>
  <c r="Q74" i="144"/>
  <c r="F74" i="144"/>
  <c r="P74" i="144"/>
  <c r="AB77" i="144"/>
  <c r="F77" i="144"/>
  <c r="O64" i="144"/>
  <c r="AE64" i="144"/>
  <c r="AA61" i="144"/>
  <c r="S64" i="144"/>
  <c r="E61" i="144"/>
  <c r="AJ61" i="144"/>
  <c r="T64" i="144"/>
  <c r="I61" i="144"/>
  <c r="AF64" i="144"/>
  <c r="L61" i="144"/>
  <c r="AB64" i="144"/>
  <c r="AG64" i="144"/>
  <c r="P64" i="144"/>
  <c r="N64" i="144"/>
  <c r="Z60" i="144"/>
  <c r="AC64" i="144"/>
  <c r="U64" i="144"/>
  <c r="U61" i="144"/>
  <c r="I64" i="144"/>
  <c r="Z64" i="144"/>
  <c r="AI64" i="144"/>
  <c r="E47" i="144"/>
  <c r="J51" i="144"/>
  <c r="E51" i="144"/>
  <c r="X51" i="144"/>
  <c r="W51" i="144"/>
  <c r="AJ51" i="144"/>
  <c r="AA48" i="144"/>
  <c r="R51" i="144"/>
  <c r="AA51" i="144"/>
  <c r="R47" i="144"/>
  <c r="L47" i="144"/>
  <c r="V47" i="144"/>
  <c r="H51" i="144"/>
  <c r="V51" i="144"/>
  <c r="O47" i="144"/>
  <c r="O51" i="144"/>
  <c r="S47" i="144"/>
  <c r="J48" i="144"/>
  <c r="AF51" i="144"/>
  <c r="T51" i="144"/>
  <c r="O38" i="144"/>
  <c r="AA38" i="144"/>
  <c r="K25" i="144"/>
  <c r="W22" i="144"/>
  <c r="AI25" i="144"/>
  <c r="W25" i="144"/>
  <c r="I21" i="144"/>
  <c r="G25" i="144"/>
  <c r="Q25" i="144"/>
  <c r="U25" i="144"/>
  <c r="I25" i="144"/>
  <c r="J25" i="144"/>
  <c r="U21" i="144"/>
  <c r="G21" i="144"/>
  <c r="E25" i="144"/>
  <c r="P61" i="144"/>
  <c r="G103" i="144"/>
  <c r="S25" i="144"/>
  <c r="AA64" i="144"/>
  <c r="AJ38" i="144"/>
  <c r="I155" i="144"/>
  <c r="U99" i="144"/>
  <c r="O77" i="144"/>
  <c r="P38" i="144"/>
  <c r="L21" i="144"/>
  <c r="AH103" i="144"/>
  <c r="L64" i="144"/>
  <c r="AC51" i="144"/>
  <c r="E64" i="144"/>
  <c r="L22" i="144"/>
  <c r="G38" i="144"/>
  <c r="K142" i="144"/>
  <c r="AG116" i="144"/>
  <c r="U103" i="144"/>
  <c r="AF103" i="144"/>
  <c r="I116" i="144"/>
  <c r="O142" i="144"/>
  <c r="X142" i="144"/>
  <c r="J47" i="144"/>
  <c r="N142" i="144"/>
  <c r="AD77" i="144"/>
  <c r="G90" i="144"/>
  <c r="V25" i="144"/>
  <c r="O73" i="144"/>
  <c r="I168" i="144"/>
  <c r="AE103" i="144"/>
  <c r="P116" i="144"/>
  <c r="S103" i="144"/>
  <c r="X112" i="144"/>
  <c r="Q48" i="144"/>
  <c r="AC116" i="144"/>
  <c r="L48" i="144"/>
  <c r="V61" i="144"/>
  <c r="AG77" i="144"/>
  <c r="AC22" i="144"/>
  <c r="F116" i="144"/>
  <c r="X61" i="144"/>
  <c r="Q51" i="144"/>
  <c r="AF38" i="144"/>
  <c r="W142" i="144"/>
  <c r="V116" i="144"/>
  <c r="AJ142" i="144"/>
  <c r="X64" i="144"/>
  <c r="AF90" i="144"/>
  <c r="F51" i="144"/>
  <c r="Q113" i="144"/>
  <c r="AE51" i="144"/>
  <c r="F47" i="144"/>
  <c r="N73" i="144"/>
  <c r="H47" i="144"/>
  <c r="J142" i="144"/>
  <c r="S142" i="144"/>
  <c r="AA116" i="144"/>
  <c r="V103" i="144"/>
  <c r="W138" i="144"/>
  <c r="Z112" i="144"/>
  <c r="Q100" i="144"/>
  <c r="S51" i="144"/>
  <c r="Q61" i="144"/>
  <c r="H64" i="144"/>
  <c r="AB113" i="144"/>
  <c r="AB61" i="144"/>
  <c r="R103" i="144"/>
  <c r="I142" i="144"/>
  <c r="G142" i="144"/>
  <c r="AC77" i="144"/>
  <c r="AB116" i="144"/>
  <c r="O116" i="144"/>
  <c r="Z116" i="144"/>
  <c r="R142" i="144"/>
  <c r="Q64" i="144"/>
  <c r="O25" i="144"/>
  <c r="V112" i="144"/>
  <c r="AC25" i="144"/>
  <c r="T142" i="144"/>
  <c r="T38" i="144"/>
  <c r="R139" i="144"/>
  <c r="U73" i="144"/>
  <c r="AG38" i="144"/>
  <c r="Q22" i="144"/>
  <c r="Q77" i="144"/>
  <c r="AC47" i="144"/>
  <c r="AC48" i="144"/>
  <c r="H90" i="144"/>
  <c r="AJ112" i="144"/>
  <c r="AH25" i="144"/>
  <c r="AA74" i="144"/>
  <c r="AB25" i="144"/>
  <c r="E21" i="144"/>
  <c r="V38" i="144"/>
  <c r="P138" i="144"/>
  <c r="P139" i="144"/>
  <c r="AD103" i="144"/>
  <c r="U142" i="144"/>
  <c r="AC142" i="144"/>
  <c r="X25" i="144"/>
  <c r="G139" i="144"/>
  <c r="G138" i="144"/>
  <c r="Z142" i="144"/>
  <c r="L139" i="144"/>
  <c r="L138" i="144"/>
  <c r="J38" i="144"/>
  <c r="AA138" i="144"/>
  <c r="AA139" i="144"/>
  <c r="AA142" i="144"/>
  <c r="Z90" i="144"/>
  <c r="I74" i="144"/>
  <c r="AG51" i="144"/>
  <c r="I112" i="144"/>
  <c r="P155" i="144"/>
  <c r="F142" i="144"/>
  <c r="E142" i="144"/>
  <c r="Z103" i="144"/>
  <c r="X116" i="144"/>
  <c r="S22" i="144"/>
  <c r="S21" i="144"/>
  <c r="N90" i="144"/>
  <c r="U51" i="144"/>
  <c r="H38" i="144"/>
  <c r="T155" i="144"/>
  <c r="R77" i="144"/>
  <c r="AC73" i="144"/>
  <c r="AC74" i="144"/>
  <c r="E99" i="144"/>
  <c r="E100" i="144"/>
  <c r="H152" i="144"/>
  <c r="AC113" i="144"/>
  <c r="K38" i="144"/>
  <c r="H155" i="144"/>
  <c r="K139" i="144"/>
  <c r="K138" i="144"/>
  <c r="Q103" i="144"/>
  <c r="Z77" i="144"/>
  <c r="AA77" i="144"/>
  <c r="R73" i="144"/>
  <c r="U155" i="144"/>
  <c r="J77" i="144"/>
  <c r="L90" i="144"/>
  <c r="U152" i="144"/>
  <c r="U151" i="144"/>
  <c r="U139" i="144"/>
  <c r="U138" i="144"/>
  <c r="AC138" i="144"/>
  <c r="AC139" i="144"/>
  <c r="X21" i="144"/>
  <c r="Z38" i="144"/>
  <c r="K21" i="144"/>
  <c r="AB151" i="144"/>
  <c r="AB152" i="144"/>
  <c r="I139" i="144"/>
  <c r="I138" i="144"/>
  <c r="F139" i="144"/>
  <c r="F138" i="144"/>
  <c r="Z21" i="144"/>
  <c r="Z22" i="144"/>
  <c r="J74" i="144"/>
  <c r="J73" i="144"/>
  <c r="G179" i="121"/>
  <c r="AC100" i="144"/>
  <c r="E38" i="144"/>
  <c r="N38" i="144"/>
  <c r="K22" i="144"/>
  <c r="U38" i="144"/>
  <c r="R38" i="144"/>
  <c r="P151" i="144"/>
  <c r="P152" i="144"/>
  <c r="N21" i="144"/>
  <c r="N22" i="144"/>
  <c r="AE25" i="144"/>
  <c r="J103" i="144"/>
  <c r="X99" i="144"/>
  <c r="X139" i="144"/>
  <c r="X138" i="144"/>
  <c r="X103" i="144"/>
  <c r="H142" i="144"/>
  <c r="O99" i="144"/>
  <c r="O100" i="144"/>
  <c r="T90" i="144"/>
  <c r="AH38" i="144"/>
  <c r="AB138" i="144"/>
  <c r="AB139" i="144"/>
  <c r="S139" i="144"/>
  <c r="S138" i="144"/>
  <c r="W100" i="144"/>
  <c r="W99" i="144"/>
  <c r="V100" i="144"/>
  <c r="V99" i="144"/>
  <c r="AJ139" i="144"/>
  <c r="AJ138" i="144"/>
  <c r="G112" i="144"/>
  <c r="G113" i="144"/>
  <c r="U164" i="144"/>
  <c r="U165" i="144"/>
  <c r="H112" i="144"/>
  <c r="H113" i="144"/>
  <c r="S112" i="144"/>
  <c r="S113" i="144"/>
  <c r="H73" i="144"/>
  <c r="H74" i="144"/>
  <c r="R90" i="144"/>
  <c r="S87" i="144"/>
  <c r="S86" i="144"/>
  <c r="G60" i="144"/>
  <c r="G61" i="144"/>
  <c r="G64" i="144"/>
  <c r="S34" i="144"/>
  <c r="S35" i="144"/>
  <c r="X35" i="144"/>
  <c r="X34" i="144"/>
  <c r="O34" i="144"/>
  <c r="O35" i="144"/>
  <c r="Z48" i="144"/>
  <c r="Z47" i="144"/>
  <c r="N48" i="144"/>
  <c r="N47" i="144"/>
  <c r="I47" i="144"/>
  <c r="I48" i="144"/>
  <c r="AA34" i="144"/>
  <c r="AA35" i="144"/>
  <c r="I164" i="144"/>
  <c r="I165" i="144"/>
  <c r="F112" i="144"/>
  <c r="F113" i="144"/>
  <c r="AE90" i="144"/>
  <c r="T87" i="144"/>
  <c r="T86" i="144"/>
  <c r="G87" i="144"/>
  <c r="G86" i="144"/>
  <c r="AJ90" i="144"/>
  <c r="AF77" i="144"/>
  <c r="S60" i="144"/>
  <c r="S61" i="144"/>
  <c r="V22" i="144"/>
  <c r="V21" i="144"/>
  <c r="G34" i="144"/>
  <c r="G35" i="144"/>
  <c r="K35" i="144"/>
  <c r="K34" i="144"/>
  <c r="AI38" i="144"/>
  <c r="G73" i="144"/>
  <c r="G74" i="144"/>
  <c r="P21" i="144"/>
  <c r="P22" i="144"/>
  <c r="AC34" i="144"/>
  <c r="AC35" i="144"/>
  <c r="T73" i="144"/>
  <c r="T74" i="144"/>
  <c r="O21" i="144"/>
  <c r="O22" i="144"/>
  <c r="P25" i="144"/>
  <c r="L35" i="144"/>
  <c r="L34" i="144"/>
  <c r="R112" i="144"/>
  <c r="R113" i="144"/>
  <c r="S90" i="144"/>
  <c r="AJ87" i="144"/>
  <c r="AJ86" i="144"/>
  <c r="H87" i="144"/>
  <c r="H86" i="144"/>
  <c r="X90" i="144"/>
  <c r="T77" i="144"/>
  <c r="G77" i="144"/>
  <c r="J22" i="144"/>
  <c r="J21" i="144"/>
  <c r="T35" i="144"/>
  <c r="T34" i="144"/>
  <c r="F38" i="144"/>
  <c r="E112" i="144"/>
  <c r="E113" i="144"/>
  <c r="X87" i="144"/>
  <c r="X86" i="144"/>
  <c r="G48" i="144"/>
  <c r="G47" i="144"/>
  <c r="G51" i="144"/>
  <c r="E116" i="144"/>
  <c r="H35" i="144"/>
  <c r="H34" i="144"/>
  <c r="Z51" i="144"/>
  <c r="F34" i="144"/>
  <c r="F35" i="144"/>
  <c r="I38" i="144"/>
  <c r="S164" i="144"/>
  <c r="S165" i="144"/>
  <c r="S116" i="144"/>
  <c r="L87" i="144"/>
  <c r="L86" i="144"/>
  <c r="T48" i="144"/>
  <c r="T47" i="144"/>
  <c r="Z35" i="144"/>
  <c r="Z34" i="144"/>
  <c r="AD38" i="144"/>
  <c r="R34" i="144"/>
  <c r="R35" i="144"/>
  <c r="G164" i="144"/>
  <c r="G165" i="144"/>
  <c r="G116" i="144"/>
  <c r="Z87" i="144"/>
  <c r="Z86" i="144"/>
  <c r="H60" i="144"/>
  <c r="H61" i="144"/>
  <c r="N35" i="144"/>
  <c r="N34" i="144"/>
  <c r="N87" i="144"/>
  <c r="N86" i="144"/>
  <c r="R86" i="144"/>
  <c r="R87" i="144"/>
  <c r="T60" i="144"/>
  <c r="T61" i="144"/>
  <c r="L38" i="144"/>
  <c r="V35" i="144"/>
  <c r="V34" i="144"/>
  <c r="U47" i="144"/>
  <c r="U48" i="144"/>
  <c r="Q34" i="144"/>
  <c r="Q35" i="144"/>
  <c r="T112" i="144"/>
  <c r="T113" i="144"/>
  <c r="X48" i="144"/>
  <c r="X47" i="144"/>
  <c r="AA21" i="144"/>
  <c r="AA22" i="144"/>
  <c r="T116" i="144"/>
  <c r="AE168" i="144"/>
  <c r="F87" i="144"/>
  <c r="F86" i="144"/>
  <c r="S38" i="144"/>
  <c r="I51" i="144"/>
  <c r="X38" i="144"/>
  <c r="AB34" i="144"/>
  <c r="AB35" i="144"/>
  <c r="I35" i="144"/>
  <c r="I34" i="144"/>
  <c r="S73" i="144"/>
  <c r="S74" i="144"/>
  <c r="H116" i="144"/>
  <c r="G168" i="144"/>
  <c r="AB21" i="144"/>
  <c r="AB22" i="144"/>
  <c r="N51" i="144"/>
  <c r="Q38" i="144"/>
  <c r="U35" i="144"/>
  <c r="U34" i="144"/>
  <c r="AA25" i="144"/>
  <c r="J35" i="144"/>
  <c r="J34" i="144"/>
  <c r="E34" i="144"/>
  <c r="E35" i="144"/>
  <c r="AC38" i="144"/>
  <c r="P34" i="144"/>
  <c r="P35" i="144"/>
  <c r="I39" i="127"/>
  <c r="G151" i="121"/>
  <c r="I53" i="127"/>
  <c r="F49" i="127"/>
  <c r="F53" i="127"/>
  <c r="H36" i="127"/>
  <c r="G39" i="127"/>
  <c r="F39" i="127"/>
  <c r="F179" i="121"/>
  <c r="H120" i="121"/>
  <c r="G49" i="127"/>
  <c r="H39" i="127"/>
  <c r="I36" i="127"/>
  <c r="G53" i="127"/>
  <c r="H123" i="121"/>
  <c r="H21" i="127"/>
  <c r="G35" i="126"/>
  <c r="I120" i="122"/>
  <c r="F95" i="121"/>
  <c r="E179" i="121"/>
  <c r="I179" i="121"/>
  <c r="I151" i="121"/>
  <c r="E165" i="121"/>
  <c r="E148" i="121"/>
  <c r="H179" i="121"/>
  <c r="H151" i="121"/>
  <c r="G25" i="127"/>
  <c r="G22" i="127"/>
  <c r="I49" i="127"/>
  <c r="I50" i="127"/>
  <c r="I39" i="126"/>
  <c r="H39" i="126"/>
  <c r="I35" i="126"/>
  <c r="E165" i="122"/>
  <c r="F67" i="122"/>
  <c r="G120" i="121"/>
  <c r="G123" i="121"/>
  <c r="I165" i="121"/>
  <c r="F151" i="121"/>
  <c r="F162" i="121"/>
  <c r="G109" i="121"/>
  <c r="E123" i="121"/>
  <c r="E120" i="121"/>
  <c r="F148" i="121"/>
  <c r="G95" i="121"/>
  <c r="H165" i="121"/>
  <c r="E151" i="121"/>
  <c r="H53" i="127"/>
  <c r="H49" i="127"/>
  <c r="H35" i="126"/>
  <c r="H137" i="122"/>
  <c r="I123" i="122"/>
  <c r="F137" i="122"/>
  <c r="E67" i="122"/>
  <c r="E95" i="122"/>
  <c r="H165" i="122"/>
  <c r="H123" i="122"/>
  <c r="E123" i="122"/>
  <c r="G123" i="122"/>
  <c r="E137" i="122"/>
  <c r="E67" i="140"/>
  <c r="G165" i="121"/>
  <c r="F123" i="121"/>
  <c r="G162" i="121"/>
  <c r="G148" i="121"/>
  <c r="F165" i="121"/>
  <c r="F25" i="121"/>
  <c r="G81" i="121"/>
  <c r="G134" i="121"/>
  <c r="G137" i="121"/>
  <c r="E162" i="121"/>
  <c r="E25" i="127"/>
  <c r="E36" i="126"/>
  <c r="G39" i="126"/>
  <c r="F39" i="126"/>
  <c r="F35" i="126"/>
  <c r="E39" i="126"/>
  <c r="F165" i="122"/>
  <c r="G120" i="122"/>
  <c r="F95" i="122"/>
  <c r="F81" i="122"/>
  <c r="F123" i="122"/>
  <c r="F120" i="122"/>
  <c r="E151" i="140"/>
  <c r="G21" i="120"/>
  <c r="G176" i="140"/>
  <c r="F165" i="140"/>
  <c r="H179" i="140"/>
  <c r="E179" i="140"/>
  <c r="E165" i="140"/>
  <c r="E109" i="140"/>
  <c r="I179" i="140"/>
  <c r="G137" i="140"/>
  <c r="G22" i="140"/>
  <c r="I151" i="140"/>
  <c r="H165" i="140"/>
  <c r="G179" i="140"/>
  <c r="H123" i="140"/>
  <c r="G134" i="140"/>
  <c r="G165" i="140"/>
  <c r="I165" i="140"/>
  <c r="I22" i="140"/>
  <c r="F176" i="140"/>
  <c r="I137" i="140"/>
  <c r="G151" i="140"/>
  <c r="F179" i="140"/>
  <c r="F25" i="127"/>
  <c r="F36" i="127"/>
  <c r="E35" i="127"/>
  <c r="E39" i="127"/>
  <c r="G35" i="127"/>
  <c r="G36" i="127"/>
  <c r="H25" i="127"/>
  <c r="E22" i="127"/>
  <c r="F120" i="140"/>
  <c r="F151" i="140"/>
  <c r="F123" i="140"/>
  <c r="F148" i="140"/>
  <c r="E148" i="140"/>
  <c r="F39" i="140"/>
  <c r="E176" i="140"/>
  <c r="I109" i="140"/>
  <c r="G123" i="140"/>
  <c r="H95" i="140"/>
  <c r="H137" i="140"/>
  <c r="I64" i="140"/>
  <c r="E123" i="140"/>
  <c r="I95" i="140"/>
  <c r="E120" i="140"/>
  <c r="E137" i="140"/>
  <c r="H151" i="140"/>
  <c r="I39" i="140"/>
  <c r="F137" i="140"/>
  <c r="E95" i="140"/>
  <c r="E25" i="140"/>
  <c r="E134" i="140"/>
  <c r="H134" i="140"/>
  <c r="I25" i="140"/>
  <c r="G53" i="140"/>
  <c r="F109" i="140"/>
  <c r="I53" i="140"/>
  <c r="F95" i="140"/>
  <c r="I67" i="140"/>
  <c r="G95" i="140"/>
  <c r="I36" i="140"/>
  <c r="G39" i="140"/>
  <c r="H25" i="140"/>
  <c r="F67" i="140"/>
  <c r="H109" i="140"/>
  <c r="E22" i="140"/>
  <c r="H67" i="140"/>
  <c r="I120" i="140"/>
  <c r="G109" i="140"/>
  <c r="I123" i="140"/>
  <c r="G25" i="140"/>
  <c r="H64" i="140"/>
  <c r="H36" i="140"/>
  <c r="H39" i="140"/>
  <c r="G67" i="140"/>
  <c r="E50" i="140"/>
  <c r="G50" i="140"/>
  <c r="G64" i="140"/>
  <c r="I50" i="140"/>
  <c r="F64" i="140"/>
  <c r="G36" i="140"/>
  <c r="F36" i="140"/>
  <c r="E53" i="140"/>
  <c r="F53" i="140"/>
  <c r="F25" i="140"/>
  <c r="F22" i="140"/>
  <c r="E39" i="140"/>
  <c r="H53" i="140"/>
  <c r="H50" i="140"/>
  <c r="G137" i="122"/>
  <c r="F109" i="122"/>
  <c r="I81" i="122"/>
  <c r="I109" i="122"/>
  <c r="G165" i="122"/>
  <c r="H67" i="122"/>
  <c r="I137" i="122"/>
  <c r="I165" i="122"/>
  <c r="H95" i="122"/>
  <c r="G95" i="122"/>
  <c r="H109" i="122"/>
  <c r="H39" i="122"/>
  <c r="I67" i="122"/>
  <c r="E81" i="122"/>
  <c r="E109" i="122"/>
  <c r="I95" i="122"/>
  <c r="G109" i="122"/>
  <c r="E53" i="122"/>
  <c r="H53" i="122"/>
  <c r="I53" i="122"/>
  <c r="G81" i="122"/>
  <c r="H81" i="122"/>
  <c r="I39" i="122"/>
  <c r="G67" i="122"/>
  <c r="G53" i="122"/>
  <c r="E39" i="122"/>
  <c r="F39" i="122"/>
  <c r="F53" i="122"/>
  <c r="G39" i="122"/>
  <c r="F21" i="127"/>
  <c r="I22" i="127"/>
  <c r="I21" i="127"/>
  <c r="I25" i="127"/>
  <c r="I123" i="121"/>
  <c r="F137" i="121"/>
  <c r="G25" i="121"/>
  <c r="I137" i="121"/>
  <c r="H137" i="121"/>
  <c r="H134" i="121"/>
  <c r="I81" i="121"/>
  <c r="F106" i="121"/>
  <c r="F109" i="121"/>
  <c r="H109" i="121"/>
  <c r="E137" i="121"/>
  <c r="E67" i="121"/>
  <c r="H81" i="121"/>
  <c r="F22" i="121"/>
  <c r="F78" i="121"/>
  <c r="I39" i="121"/>
  <c r="G67" i="121"/>
  <c r="I109" i="121"/>
  <c r="H39" i="121"/>
  <c r="H25" i="121"/>
  <c r="F67" i="121"/>
  <c r="F81" i="121"/>
  <c r="H95" i="121"/>
  <c r="E106" i="121"/>
  <c r="H36" i="121"/>
  <c r="I95" i="121"/>
  <c r="G39" i="121"/>
  <c r="E109" i="121"/>
  <c r="I22" i="121"/>
  <c r="I25" i="121"/>
  <c r="H67" i="121"/>
  <c r="F39" i="121"/>
  <c r="I92" i="121"/>
  <c r="E53" i="121"/>
  <c r="I67" i="121"/>
  <c r="E95" i="121"/>
  <c r="E50" i="121"/>
  <c r="F64" i="121"/>
  <c r="G78" i="121"/>
  <c r="H64" i="121"/>
  <c r="E81" i="121"/>
  <c r="E78" i="121"/>
  <c r="H92" i="121"/>
  <c r="G36" i="121"/>
  <c r="F53" i="121"/>
  <c r="G53" i="121"/>
  <c r="G64" i="121"/>
  <c r="H53" i="121"/>
  <c r="I53" i="121"/>
  <c r="H50" i="121"/>
  <c r="G50" i="121"/>
  <c r="F36" i="121"/>
  <c r="E39" i="121"/>
  <c r="E25" i="121"/>
  <c r="E36" i="121"/>
  <c r="AC152" i="139"/>
  <c r="I21" i="120"/>
  <c r="Q156" i="139"/>
  <c r="Q153" i="139"/>
  <c r="AC156" i="139"/>
  <c r="W152" i="139"/>
  <c r="W156" i="139"/>
  <c r="K156" i="139"/>
  <c r="AI156" i="139"/>
  <c r="Z156" i="139"/>
  <c r="K152" i="139"/>
  <c r="AJ152" i="139"/>
  <c r="AA153" i="139"/>
  <c r="AJ156" i="139"/>
  <c r="Z153" i="139"/>
  <c r="R156" i="139"/>
  <c r="T152" i="139"/>
  <c r="R153" i="139"/>
  <c r="I152" i="139"/>
  <c r="O152" i="139"/>
  <c r="E152" i="139"/>
  <c r="AB156" i="139"/>
  <c r="S153" i="139"/>
  <c r="V152" i="139"/>
  <c r="G156" i="139"/>
  <c r="J25" i="139"/>
  <c r="G153" i="139"/>
  <c r="J152" i="139"/>
  <c r="AA156" i="139"/>
  <c r="S156" i="139"/>
  <c r="M156" i="139"/>
  <c r="T156" i="139"/>
  <c r="J156" i="139"/>
  <c r="I156" i="139"/>
  <c r="P156" i="139"/>
  <c r="AE156" i="139"/>
  <c r="V156" i="139"/>
  <c r="AG156" i="139"/>
  <c r="F153" i="139"/>
  <c r="F156" i="139"/>
  <c r="H169" i="139"/>
  <c r="L153" i="139"/>
  <c r="U156" i="139"/>
  <c r="E156" i="139"/>
  <c r="H166" i="139"/>
  <c r="AD156" i="139"/>
  <c r="U152" i="139"/>
  <c r="AB153" i="139"/>
  <c r="P153" i="139"/>
  <c r="M153" i="139"/>
  <c r="J22" i="139"/>
  <c r="L156" i="139"/>
  <c r="AJ169" i="139"/>
  <c r="AJ52" i="139"/>
  <c r="N156" i="139"/>
  <c r="H156" i="139"/>
  <c r="Y153" i="139"/>
  <c r="O156" i="139"/>
  <c r="AF156" i="139"/>
  <c r="X156" i="139"/>
  <c r="N152" i="139"/>
  <c r="AH156" i="139"/>
  <c r="H153" i="139"/>
  <c r="X152" i="139"/>
  <c r="H152" i="139"/>
  <c r="X153" i="139"/>
  <c r="AJ143" i="139"/>
  <c r="AJ130" i="139"/>
  <c r="AH25" i="139"/>
  <c r="W25" i="139"/>
  <c r="Y156" i="139"/>
  <c r="AJ78" i="139"/>
  <c r="AJ25" i="139"/>
  <c r="AJ104" i="139"/>
  <c r="E165" i="120"/>
  <c r="E105" i="120"/>
  <c r="V22" i="139"/>
  <c r="I22" i="139"/>
  <c r="AJ39" i="139"/>
  <c r="AJ139" i="139"/>
  <c r="I25" i="139"/>
  <c r="AJ126" i="139"/>
  <c r="AJ65" i="139"/>
  <c r="V25" i="139"/>
  <c r="F35" i="120"/>
  <c r="G35" i="120"/>
  <c r="E35" i="120"/>
  <c r="G162" i="120"/>
  <c r="G161" i="120"/>
  <c r="F119" i="120"/>
  <c r="F120" i="120"/>
  <c r="G165" i="120"/>
  <c r="H120" i="120"/>
  <c r="H119" i="120"/>
  <c r="F133" i="120"/>
  <c r="F134" i="120"/>
  <c r="H151" i="120"/>
  <c r="H147" i="120"/>
  <c r="H148" i="120"/>
  <c r="G78" i="120"/>
  <c r="G77" i="120"/>
  <c r="I77" i="120"/>
  <c r="I78" i="120"/>
  <c r="F162" i="120"/>
  <c r="F161" i="120"/>
  <c r="E148" i="120"/>
  <c r="H77" i="120"/>
  <c r="H78" i="120"/>
  <c r="H106" i="120"/>
  <c r="H105" i="120"/>
  <c r="I161" i="120"/>
  <c r="I162" i="120"/>
  <c r="I134" i="120"/>
  <c r="I133" i="120"/>
  <c r="H134" i="120"/>
  <c r="H133" i="120"/>
  <c r="I106" i="120"/>
  <c r="I105" i="120"/>
  <c r="G106" i="120"/>
  <c r="G105" i="120"/>
  <c r="I147" i="120"/>
  <c r="I148" i="120"/>
  <c r="G119" i="120"/>
  <c r="G120" i="120"/>
  <c r="G133" i="120"/>
  <c r="G134" i="120"/>
  <c r="E151" i="120"/>
  <c r="I120" i="120"/>
  <c r="I119" i="120"/>
  <c r="F147" i="120"/>
  <c r="F148" i="120"/>
  <c r="F106" i="120"/>
  <c r="F105" i="120"/>
  <c r="E137" i="120"/>
  <c r="F78" i="120"/>
  <c r="F77" i="120"/>
  <c r="H161" i="120"/>
  <c r="H162" i="120"/>
  <c r="G147" i="120"/>
  <c r="G148" i="120"/>
  <c r="AJ101" i="139"/>
  <c r="U25" i="139"/>
  <c r="W21" i="139"/>
  <c r="AJ91" i="139"/>
  <c r="U87" i="139"/>
  <c r="K100" i="139"/>
  <c r="K104" i="139"/>
  <c r="AJ117" i="139"/>
  <c r="U22" i="139"/>
  <c r="AJ114" i="139"/>
  <c r="AI91" i="139"/>
  <c r="M143" i="139"/>
  <c r="U91" i="139"/>
  <c r="E133" i="120"/>
  <c r="AJ113" i="139"/>
  <c r="I139" i="139"/>
  <c r="AJ88" i="139"/>
  <c r="I143" i="139"/>
  <c r="AJ62" i="139"/>
  <c r="AJ165" i="139"/>
  <c r="AJ74" i="139"/>
  <c r="G91" i="139"/>
  <c r="G87" i="139"/>
  <c r="G88" i="139"/>
  <c r="E22" i="139"/>
  <c r="AA49" i="139"/>
  <c r="AA48" i="139"/>
  <c r="T127" i="139"/>
  <c r="T126" i="139"/>
  <c r="W139" i="139"/>
  <c r="W140" i="139"/>
  <c r="G34" i="139"/>
  <c r="G35" i="139"/>
  <c r="L126" i="139"/>
  <c r="L127" i="139"/>
  <c r="N49" i="139"/>
  <c r="N48" i="139"/>
  <c r="F140" i="139"/>
  <c r="F139" i="139"/>
  <c r="W166" i="139"/>
  <c r="W165" i="139"/>
  <c r="Y166" i="139"/>
  <c r="Y165" i="139"/>
  <c r="U35" i="139"/>
  <c r="U34" i="139"/>
  <c r="O127" i="139"/>
  <c r="O126" i="139"/>
  <c r="Q127" i="139"/>
  <c r="Q126" i="139"/>
  <c r="F127" i="139"/>
  <c r="F126" i="139"/>
  <c r="E75" i="139"/>
  <c r="E74" i="139"/>
  <c r="J61" i="139"/>
  <c r="J62" i="139"/>
  <c r="AC75" i="139"/>
  <c r="AC74" i="139"/>
  <c r="G49" i="139"/>
  <c r="G48" i="139"/>
  <c r="AB100" i="139"/>
  <c r="AB101" i="139"/>
  <c r="K88" i="139"/>
  <c r="K87" i="139"/>
  <c r="Z140" i="139"/>
  <c r="Z139" i="139"/>
  <c r="K140" i="139"/>
  <c r="K139" i="139"/>
  <c r="N34" i="139"/>
  <c r="N35" i="139"/>
  <c r="I75" i="139"/>
  <c r="I74" i="139"/>
  <c r="M35" i="139"/>
  <c r="M34" i="139"/>
  <c r="U166" i="139"/>
  <c r="U165" i="139"/>
  <c r="V61" i="139"/>
  <c r="V62" i="139"/>
  <c r="Z34" i="139"/>
  <c r="Z35" i="139"/>
  <c r="R75" i="139"/>
  <c r="R74" i="139"/>
  <c r="E166" i="139"/>
  <c r="E165" i="139"/>
  <c r="R127" i="139"/>
  <c r="R126" i="139"/>
  <c r="R140" i="139"/>
  <c r="R139" i="139"/>
  <c r="V101" i="139"/>
  <c r="V100" i="139"/>
  <c r="T62" i="139"/>
  <c r="T61" i="139"/>
  <c r="E62" i="139"/>
  <c r="E61" i="139"/>
  <c r="AB166" i="139"/>
  <c r="AB165" i="139"/>
  <c r="S88" i="139"/>
  <c r="S87" i="139"/>
  <c r="H62" i="139"/>
  <c r="H61" i="139"/>
  <c r="W101" i="139"/>
  <c r="W100" i="139"/>
  <c r="AC62" i="139"/>
  <c r="AC61" i="139"/>
  <c r="V139" i="139"/>
  <c r="V140" i="139"/>
  <c r="S166" i="139"/>
  <c r="S165" i="139"/>
  <c r="N127" i="139"/>
  <c r="N126" i="139"/>
  <c r="Y49" i="139"/>
  <c r="Y48" i="139"/>
  <c r="O101" i="139"/>
  <c r="O100" i="139"/>
  <c r="L140" i="139"/>
  <c r="L139" i="139"/>
  <c r="J139" i="139"/>
  <c r="J140" i="139"/>
  <c r="Y126" i="139"/>
  <c r="Y127" i="139"/>
  <c r="R87" i="139"/>
  <c r="R88" i="139"/>
  <c r="I35" i="139"/>
  <c r="I34" i="139"/>
  <c r="V35" i="139"/>
  <c r="V34" i="139"/>
  <c r="AB62" i="139"/>
  <c r="AB61" i="139"/>
  <c r="I88" i="139"/>
  <c r="I87" i="139"/>
  <c r="T35" i="139"/>
  <c r="T34" i="139"/>
  <c r="T87" i="139"/>
  <c r="T88" i="139"/>
  <c r="P49" i="139"/>
  <c r="P48" i="139"/>
  <c r="E127" i="139"/>
  <c r="E126" i="139"/>
  <c r="O62" i="139"/>
  <c r="O61" i="139"/>
  <c r="L74" i="139"/>
  <c r="L75" i="139"/>
  <c r="K127" i="139"/>
  <c r="K126" i="139"/>
  <c r="E140" i="139"/>
  <c r="E139" i="139"/>
  <c r="AB127" i="139"/>
  <c r="AB126" i="139"/>
  <c r="Z48" i="139"/>
  <c r="Z49" i="139"/>
  <c r="Q49" i="139"/>
  <c r="Q48" i="139"/>
  <c r="M166" i="139"/>
  <c r="M165" i="139"/>
  <c r="AB75" i="139"/>
  <c r="AB74" i="139"/>
  <c r="O49" i="139"/>
  <c r="O48" i="139"/>
  <c r="W35" i="139"/>
  <c r="W34" i="139"/>
  <c r="Q35" i="139"/>
  <c r="Q34" i="139"/>
  <c r="Z101" i="139"/>
  <c r="Z100" i="139"/>
  <c r="I100" i="139"/>
  <c r="I101" i="139"/>
  <c r="U101" i="139"/>
  <c r="U100" i="139"/>
  <c r="F62" i="139"/>
  <c r="F61" i="139"/>
  <c r="Y35" i="139"/>
  <c r="Y34" i="139"/>
  <c r="R166" i="139"/>
  <c r="R165" i="139"/>
  <c r="J88" i="139"/>
  <c r="J87" i="139"/>
  <c r="J101" i="139"/>
  <c r="J100" i="139"/>
  <c r="AA75" i="139"/>
  <c r="AA74" i="139"/>
  <c r="N75" i="139"/>
  <c r="N74" i="139"/>
  <c r="I65" i="139"/>
  <c r="V74" i="139"/>
  <c r="V75" i="139"/>
  <c r="P127" i="139"/>
  <c r="P126" i="139"/>
  <c r="U127" i="139"/>
  <c r="U126" i="139"/>
  <c r="AA61" i="139"/>
  <c r="AA62" i="139"/>
  <c r="H127" i="139"/>
  <c r="H126" i="139"/>
  <c r="F75" i="139"/>
  <c r="F74" i="139"/>
  <c r="Z88" i="139"/>
  <c r="Z87" i="139"/>
  <c r="F35" i="139"/>
  <c r="F34" i="139"/>
  <c r="AC101" i="139"/>
  <c r="AC100" i="139"/>
  <c r="AA88" i="139"/>
  <c r="AA87" i="139"/>
  <c r="AA101" i="139"/>
  <c r="AA100" i="139"/>
  <c r="O88" i="139"/>
  <c r="O87" i="139"/>
  <c r="E35" i="139"/>
  <c r="E34" i="139"/>
  <c r="L39" i="139"/>
  <c r="T165" i="139"/>
  <c r="T166" i="139"/>
  <c r="R100" i="139"/>
  <c r="R101" i="139"/>
  <c r="AC35" i="139"/>
  <c r="AC34" i="139"/>
  <c r="G101" i="139"/>
  <c r="G100" i="139"/>
  <c r="X101" i="139"/>
  <c r="X100" i="139"/>
  <c r="L88" i="139"/>
  <c r="L87" i="139"/>
  <c r="AB140" i="139"/>
  <c r="AB139" i="139"/>
  <c r="O139" i="139"/>
  <c r="O140" i="139"/>
  <c r="O166" i="139"/>
  <c r="O165" i="139"/>
  <c r="M88" i="139"/>
  <c r="M87" i="139"/>
  <c r="I127" i="139"/>
  <c r="I126" i="139"/>
  <c r="G140" i="139"/>
  <c r="G139" i="139"/>
  <c r="O34" i="139"/>
  <c r="O35" i="139"/>
  <c r="M140" i="139"/>
  <c r="M139" i="139"/>
  <c r="L101" i="139"/>
  <c r="L100" i="139"/>
  <c r="Q62" i="139"/>
  <c r="Q61" i="139"/>
  <c r="T140" i="139"/>
  <c r="T139" i="139"/>
  <c r="H140" i="139"/>
  <c r="H139" i="139"/>
  <c r="W75" i="139"/>
  <c r="W74" i="139"/>
  <c r="F87" i="139"/>
  <c r="F88" i="139"/>
  <c r="K62" i="139"/>
  <c r="K61" i="139"/>
  <c r="P140" i="139"/>
  <c r="P139" i="139"/>
  <c r="AA127" i="139"/>
  <c r="AA126" i="139"/>
  <c r="Y62" i="139"/>
  <c r="Y61" i="139"/>
  <c r="Y75" i="139"/>
  <c r="Y74" i="139"/>
  <c r="Q75" i="139"/>
  <c r="Q74" i="139"/>
  <c r="O75" i="139"/>
  <c r="O74" i="139"/>
  <c r="U49" i="139"/>
  <c r="U48" i="139"/>
  <c r="S35" i="139"/>
  <c r="S34" i="139"/>
  <c r="E88" i="139"/>
  <c r="E87" i="139"/>
  <c r="AB48" i="139"/>
  <c r="AB49" i="139"/>
  <c r="H74" i="139"/>
  <c r="H75" i="139"/>
  <c r="S62" i="139"/>
  <c r="S61" i="139"/>
  <c r="Z61" i="139"/>
  <c r="Z62" i="139"/>
  <c r="G127" i="139"/>
  <c r="G126" i="139"/>
  <c r="AC49" i="139"/>
  <c r="AC48" i="139"/>
  <c r="K75" i="139"/>
  <c r="K74" i="139"/>
  <c r="T74" i="139"/>
  <c r="T75" i="139"/>
  <c r="F49" i="139"/>
  <c r="F48" i="139"/>
  <c r="N88" i="139"/>
  <c r="N87" i="139"/>
  <c r="P100" i="139"/>
  <c r="P101" i="139"/>
  <c r="J165" i="139"/>
  <c r="J166" i="139"/>
  <c r="N101" i="139"/>
  <c r="N100" i="139"/>
  <c r="U140" i="139"/>
  <c r="U139" i="139"/>
  <c r="G65" i="139"/>
  <c r="H35" i="139"/>
  <c r="H34" i="139"/>
  <c r="AA139" i="139"/>
  <c r="AA140" i="139"/>
  <c r="AA166" i="139"/>
  <c r="AA165" i="139"/>
  <c r="Q166" i="139"/>
  <c r="Q165" i="139"/>
  <c r="X35" i="139"/>
  <c r="X34" i="139"/>
  <c r="K49" i="139"/>
  <c r="K48" i="139"/>
  <c r="E48" i="139"/>
  <c r="E49" i="139"/>
  <c r="J35" i="139"/>
  <c r="J34" i="139"/>
  <c r="H87" i="139"/>
  <c r="H88" i="139"/>
  <c r="S75" i="139"/>
  <c r="S74" i="139"/>
  <c r="M74" i="139"/>
  <c r="M75" i="139"/>
  <c r="I165" i="139"/>
  <c r="I166" i="139"/>
  <c r="R34" i="139"/>
  <c r="R35" i="139"/>
  <c r="AC140" i="139"/>
  <c r="AC139" i="139"/>
  <c r="V165" i="139"/>
  <c r="V166" i="139"/>
  <c r="P35" i="139"/>
  <c r="P34" i="139"/>
  <c r="P166" i="139"/>
  <c r="P165" i="139"/>
  <c r="U62" i="139"/>
  <c r="U61" i="139"/>
  <c r="M62" i="139"/>
  <c r="M61" i="139"/>
  <c r="S127" i="139"/>
  <c r="S126" i="139"/>
  <c r="P75" i="139"/>
  <c r="P74" i="139"/>
  <c r="S49" i="139"/>
  <c r="S48" i="139"/>
  <c r="R49" i="139"/>
  <c r="R48" i="139"/>
  <c r="Q100" i="139"/>
  <c r="Q101" i="139"/>
  <c r="K166" i="139"/>
  <c r="K165" i="139"/>
  <c r="H91" i="139"/>
  <c r="F166" i="139"/>
  <c r="F165" i="139"/>
  <c r="AC88" i="139"/>
  <c r="AC87" i="139"/>
  <c r="AA34" i="139"/>
  <c r="AA35" i="139"/>
  <c r="N140" i="139"/>
  <c r="N139" i="139"/>
  <c r="T101" i="139"/>
  <c r="T100" i="139"/>
  <c r="M101" i="139"/>
  <c r="M100" i="139"/>
  <c r="F101" i="139"/>
  <c r="F100" i="139"/>
  <c r="W62" i="139"/>
  <c r="W61" i="139"/>
  <c r="W87" i="139"/>
  <c r="W88" i="139"/>
  <c r="W49" i="139"/>
  <c r="W48" i="139"/>
  <c r="G62" i="139"/>
  <c r="G61" i="139"/>
  <c r="V87" i="139"/>
  <c r="V88" i="139"/>
  <c r="L48" i="139"/>
  <c r="L49" i="139"/>
  <c r="AC127" i="139"/>
  <c r="AC126" i="139"/>
  <c r="R62" i="139"/>
  <c r="R61" i="139"/>
  <c r="H49" i="139"/>
  <c r="H48" i="139"/>
  <c r="U75" i="139"/>
  <c r="U74" i="139"/>
  <c r="J49" i="139"/>
  <c r="J48" i="139"/>
  <c r="Y101" i="139"/>
  <c r="Y100" i="139"/>
  <c r="H101" i="139"/>
  <c r="H100" i="139"/>
  <c r="I49" i="139"/>
  <c r="I48" i="139"/>
  <c r="I62" i="139"/>
  <c r="I61" i="139"/>
  <c r="P62" i="139"/>
  <c r="P61" i="139"/>
  <c r="Z75" i="139"/>
  <c r="Z74" i="139"/>
  <c r="Z166" i="139"/>
  <c r="Z165" i="139"/>
  <c r="V49" i="139"/>
  <c r="V48" i="139"/>
  <c r="L61" i="139"/>
  <c r="L62" i="139"/>
  <c r="W127" i="139"/>
  <c r="W126" i="139"/>
  <c r="E101" i="139"/>
  <c r="E100" i="139"/>
  <c r="AB88" i="139"/>
  <c r="AB87" i="139"/>
  <c r="G166" i="139"/>
  <c r="G165" i="139"/>
  <c r="X88" i="139"/>
  <c r="X87" i="139"/>
  <c r="K35" i="139"/>
  <c r="K34" i="139"/>
  <c r="S101" i="139"/>
  <c r="S100" i="139"/>
  <c r="J74" i="139"/>
  <c r="J75" i="139"/>
  <c r="X140" i="139"/>
  <c r="X139" i="139"/>
  <c r="L166" i="139"/>
  <c r="L165" i="139"/>
  <c r="Z127" i="139"/>
  <c r="Z126" i="139"/>
  <c r="J127" i="139"/>
  <c r="J126" i="139"/>
  <c r="X61" i="139"/>
  <c r="X62" i="139"/>
  <c r="G75" i="139"/>
  <c r="G74" i="139"/>
  <c r="M127" i="139"/>
  <c r="M126" i="139"/>
  <c r="X126" i="139"/>
  <c r="X127" i="139"/>
  <c r="N61" i="139"/>
  <c r="N62" i="139"/>
  <c r="T49" i="139"/>
  <c r="T48" i="139"/>
  <c r="X48" i="139"/>
  <c r="X49" i="139"/>
  <c r="Y88" i="139"/>
  <c r="Y87" i="139"/>
  <c r="P88" i="139"/>
  <c r="P87" i="139"/>
  <c r="S140" i="139"/>
  <c r="S139" i="139"/>
  <c r="V91" i="139"/>
  <c r="Q140" i="139"/>
  <c r="Q139" i="139"/>
  <c r="M49" i="139"/>
  <c r="M48" i="139"/>
  <c r="Q88" i="139"/>
  <c r="Q87" i="139"/>
  <c r="AB35" i="139"/>
  <c r="AB34" i="139"/>
  <c r="Y140" i="139"/>
  <c r="Y139" i="139"/>
  <c r="M91" i="139"/>
  <c r="AC166" i="139"/>
  <c r="AC165" i="139"/>
  <c r="N166" i="139"/>
  <c r="N165" i="139"/>
  <c r="V127" i="139"/>
  <c r="V126" i="139"/>
  <c r="X166" i="139"/>
  <c r="X165" i="139"/>
  <c r="X75" i="139"/>
  <c r="X74" i="139"/>
  <c r="L35" i="139"/>
  <c r="L34" i="139"/>
  <c r="O21" i="139"/>
  <c r="O22" i="139"/>
  <c r="N21" i="139"/>
  <c r="N22" i="139"/>
  <c r="G21" i="139"/>
  <c r="G22" i="139"/>
  <c r="Y21" i="139"/>
  <c r="Y22" i="139"/>
  <c r="M21" i="139"/>
  <c r="M22" i="139"/>
  <c r="K21" i="139"/>
  <c r="K22" i="139"/>
  <c r="K25" i="139"/>
  <c r="X21" i="139"/>
  <c r="X22" i="139"/>
  <c r="F21" i="139"/>
  <c r="F22" i="139"/>
  <c r="L21" i="139"/>
  <c r="L22" i="139"/>
  <c r="AA21" i="139"/>
  <c r="AA22" i="139"/>
  <c r="R21" i="139"/>
  <c r="R22" i="139"/>
  <c r="Q21" i="139"/>
  <c r="Q22" i="139"/>
  <c r="AC21" i="139"/>
  <c r="AC22" i="139"/>
  <c r="Z21" i="139"/>
  <c r="Z22" i="139"/>
  <c r="AB21" i="139"/>
  <c r="AB22" i="139"/>
  <c r="S21" i="139"/>
  <c r="S22" i="139"/>
  <c r="T21" i="139"/>
  <c r="T22" i="139"/>
  <c r="P21" i="139"/>
  <c r="P22" i="139"/>
  <c r="H21" i="139"/>
  <c r="H22" i="139"/>
  <c r="H165" i="120"/>
  <c r="I165" i="120"/>
  <c r="F165" i="120"/>
  <c r="F151" i="120"/>
  <c r="G151" i="120"/>
  <c r="I81" i="120"/>
  <c r="H109" i="120"/>
  <c r="H137" i="120"/>
  <c r="H81" i="120"/>
  <c r="E161" i="120"/>
  <c r="E162" i="120"/>
  <c r="E120" i="120"/>
  <c r="G137" i="120"/>
  <c r="F123" i="120"/>
  <c r="F137" i="120"/>
  <c r="E123" i="120"/>
  <c r="G81" i="120"/>
  <c r="I151" i="120"/>
  <c r="E109" i="120"/>
  <c r="G123" i="120"/>
  <c r="E77" i="120"/>
  <c r="I109" i="120"/>
  <c r="I137" i="120"/>
  <c r="G109" i="120"/>
  <c r="F81" i="120"/>
  <c r="H123" i="120"/>
  <c r="F109" i="120"/>
  <c r="I123" i="120"/>
  <c r="E81" i="120"/>
  <c r="W169" i="139"/>
  <c r="H65" i="139"/>
  <c r="N65" i="139"/>
  <c r="AA143" i="139"/>
  <c r="W104" i="139"/>
  <c r="J104" i="139"/>
  <c r="AI169" i="139"/>
  <c r="AI104" i="139"/>
  <c r="U65" i="139"/>
  <c r="AH65" i="139"/>
  <c r="AI25" i="139"/>
  <c r="E169" i="139"/>
  <c r="AA104" i="139"/>
  <c r="AG78" i="139"/>
  <c r="X143" i="139"/>
  <c r="AH78" i="139"/>
  <c r="X78" i="139"/>
  <c r="N25" i="139"/>
  <c r="AF78" i="139"/>
  <c r="X169" i="139"/>
  <c r="W52" i="139"/>
  <c r="AI52" i="139"/>
  <c r="P169" i="139"/>
  <c r="W91" i="139"/>
  <c r="AA130" i="139"/>
  <c r="I52" i="139"/>
  <c r="X104" i="139"/>
  <c r="AG169" i="139"/>
  <c r="X39" i="139"/>
  <c r="V65" i="139"/>
  <c r="AG39" i="139"/>
  <c r="S143" i="139"/>
  <c r="AD39" i="139"/>
  <c r="R104" i="139"/>
  <c r="J91" i="139"/>
  <c r="E104" i="139"/>
  <c r="R169" i="139"/>
  <c r="U104" i="139"/>
  <c r="E91" i="139"/>
  <c r="F104" i="139"/>
  <c r="AG91" i="139"/>
  <c r="AD169" i="139"/>
  <c r="I130" i="139"/>
  <c r="AC104" i="139"/>
  <c r="AA78" i="139"/>
  <c r="AI65" i="139"/>
  <c r="W65" i="139"/>
  <c r="P130" i="139"/>
  <c r="V130" i="139"/>
  <c r="O39" i="139"/>
  <c r="AF169" i="139"/>
  <c r="T65" i="139"/>
  <c r="F65" i="139"/>
  <c r="S91" i="139"/>
  <c r="AB169" i="139"/>
  <c r="K91" i="139"/>
  <c r="P25" i="139"/>
  <c r="J78" i="139"/>
  <c r="S25" i="139"/>
  <c r="AF39" i="139"/>
  <c r="Q169" i="139"/>
  <c r="G104" i="139"/>
  <c r="M65" i="139"/>
  <c r="Q39" i="139"/>
  <c r="AC39" i="139"/>
  <c r="O169" i="139"/>
  <c r="U39" i="139"/>
  <c r="AA25" i="139"/>
  <c r="S169" i="139"/>
  <c r="U169" i="139"/>
  <c r="L169" i="139"/>
  <c r="K130" i="139"/>
  <c r="AD104" i="139"/>
  <c r="I39" i="139"/>
  <c r="O130" i="139"/>
  <c r="V104" i="139"/>
  <c r="N104" i="139"/>
  <c r="AE39" i="139"/>
  <c r="AE143" i="139"/>
  <c r="AH169" i="139"/>
  <c r="AB130" i="139"/>
  <c r="AC169" i="139"/>
  <c r="N169" i="139"/>
  <c r="AF104" i="139"/>
  <c r="AF91" i="139"/>
  <c r="M39" i="139"/>
  <c r="AC143" i="139"/>
  <c r="AE169" i="139"/>
  <c r="E143" i="139"/>
  <c r="Q143" i="139"/>
  <c r="H104" i="139"/>
  <c r="F91" i="139"/>
  <c r="P39" i="139"/>
  <c r="R25" i="139"/>
  <c r="T169" i="139"/>
  <c r="G25" i="139"/>
  <c r="L143" i="139"/>
  <c r="M104" i="139"/>
  <c r="AA169" i="139"/>
  <c r="Q130" i="139"/>
  <c r="R52" i="139"/>
  <c r="AE104" i="139"/>
  <c r="Z39" i="139"/>
  <c r="T91" i="139"/>
  <c r="AD143" i="139"/>
  <c r="X25" i="139"/>
  <c r="V169" i="139"/>
  <c r="AD25" i="139"/>
  <c r="AA52" i="139"/>
  <c r="T104" i="139"/>
  <c r="O52" i="139"/>
  <c r="AH104" i="139"/>
  <c r="G169" i="139"/>
  <c r="K143" i="139"/>
  <c r="M169" i="139"/>
  <c r="AG25" i="139"/>
  <c r="T25" i="139"/>
  <c r="S104" i="139"/>
  <c r="L25" i="139"/>
  <c r="Y25" i="139"/>
  <c r="N39" i="139"/>
  <c r="Z25" i="139"/>
  <c r="AH143" i="139"/>
  <c r="AI78" i="139"/>
  <c r="H25" i="139"/>
  <c r="E25" i="139"/>
  <c r="F143" i="139"/>
  <c r="K52" i="139"/>
  <c r="W78" i="139"/>
  <c r="AE25" i="139"/>
  <c r="E52" i="139"/>
  <c r="E65" i="139"/>
  <c r="X65" i="139"/>
  <c r="AD91" i="139"/>
  <c r="O143" i="139"/>
  <c r="M25" i="139"/>
  <c r="I78" i="139"/>
  <c r="L65" i="139"/>
  <c r="AH39" i="139"/>
  <c r="H143" i="139"/>
  <c r="Q104" i="139"/>
  <c r="F25" i="139"/>
  <c r="Z130" i="139"/>
  <c r="AF25" i="139"/>
  <c r="K39" i="139"/>
  <c r="F52" i="139"/>
  <c r="R143" i="139"/>
  <c r="K169" i="139"/>
  <c r="K65" i="139"/>
  <c r="AD52" i="139"/>
  <c r="AG65" i="139"/>
  <c r="Y39" i="139"/>
  <c r="Y143" i="139"/>
  <c r="J169" i="139"/>
  <c r="M52" i="139"/>
  <c r="P91" i="139"/>
  <c r="Z78" i="139"/>
  <c r="H130" i="139"/>
  <c r="O25" i="139"/>
  <c r="AA39" i="139"/>
  <c r="G143" i="139"/>
  <c r="J52" i="139"/>
  <c r="J130" i="139"/>
  <c r="AG104" i="139"/>
  <c r="AC91" i="139"/>
  <c r="U143" i="139"/>
  <c r="F39" i="139"/>
  <c r="N143" i="139"/>
  <c r="V78" i="139"/>
  <c r="M130" i="139"/>
  <c r="Q91" i="139"/>
  <c r="L52" i="139"/>
  <c r="I104" i="139"/>
  <c r="AI143" i="139"/>
  <c r="AE91" i="139"/>
  <c r="R91" i="139"/>
  <c r="Q25" i="139"/>
  <c r="O91" i="139"/>
  <c r="AF143" i="139"/>
  <c r="AB91" i="139"/>
  <c r="AB143" i="139"/>
  <c r="P104" i="139"/>
  <c r="S39" i="139"/>
  <c r="J143" i="139"/>
  <c r="AE65" i="139"/>
  <c r="W143" i="139"/>
  <c r="Y91" i="139"/>
  <c r="AH91" i="139"/>
  <c r="N91" i="139"/>
  <c r="AB78" i="139"/>
  <c r="K78" i="139"/>
  <c r="R65" i="139"/>
  <c r="I91" i="139"/>
  <c r="AB25" i="139"/>
  <c r="W39" i="139"/>
  <c r="R39" i="139"/>
  <c r="Q78" i="139"/>
  <c r="I169" i="139"/>
  <c r="AD65" i="139"/>
  <c r="AG143" i="139"/>
  <c r="AB104" i="139"/>
  <c r="T143" i="139"/>
  <c r="Z91" i="139"/>
  <c r="L91" i="139"/>
  <c r="E130" i="139"/>
  <c r="N78" i="139"/>
  <c r="S78" i="139"/>
  <c r="R78" i="139"/>
  <c r="X91" i="139"/>
  <c r="AA91" i="139"/>
  <c r="H78" i="139"/>
  <c r="T39" i="139"/>
  <c r="F130" i="139"/>
  <c r="AD130" i="139"/>
  <c r="R130" i="139"/>
  <c r="AH52" i="139"/>
  <c r="O104" i="139"/>
  <c r="Y104" i="139"/>
  <c r="AB52" i="139"/>
  <c r="L78" i="139"/>
  <c r="E39" i="139"/>
  <c r="H39" i="139"/>
  <c r="N52" i="139"/>
  <c r="P143" i="139"/>
  <c r="Z143" i="139"/>
  <c r="V143" i="139"/>
  <c r="Z104" i="139"/>
  <c r="M78" i="139"/>
  <c r="AH130" i="139"/>
  <c r="Y52" i="139"/>
  <c r="F169" i="139"/>
  <c r="J39" i="139"/>
  <c r="AC25" i="139"/>
  <c r="AB39" i="139"/>
  <c r="V52" i="139"/>
  <c r="O78" i="139"/>
  <c r="Z169" i="139"/>
  <c r="P52" i="139"/>
  <c r="Q52" i="139"/>
  <c r="AE52" i="139"/>
  <c r="O65" i="139"/>
  <c r="Y130" i="139"/>
  <c r="Q65" i="139"/>
  <c r="W130" i="139"/>
  <c r="P65" i="139"/>
  <c r="AC52" i="139"/>
  <c r="AA65" i="139"/>
  <c r="E78" i="139"/>
  <c r="Y169" i="139"/>
  <c r="S52" i="139"/>
  <c r="U52" i="139"/>
  <c r="G130" i="139"/>
  <c r="L130" i="139"/>
  <c r="G39" i="139"/>
  <c r="U130" i="139"/>
  <c r="H52" i="139"/>
  <c r="AI39" i="139"/>
  <c r="AE130" i="139"/>
  <c r="P78" i="139"/>
  <c r="G78" i="139"/>
  <c r="X130" i="139"/>
  <c r="F78" i="139"/>
  <c r="J65" i="139"/>
  <c r="AF65" i="139"/>
  <c r="AB65" i="139"/>
  <c r="S65" i="139"/>
  <c r="G52" i="139"/>
  <c r="AE78" i="139"/>
  <c r="Y78" i="139"/>
  <c r="AD78" i="139"/>
  <c r="AG52" i="139"/>
  <c r="AF52" i="139"/>
  <c r="V39" i="139"/>
  <c r="AC78" i="139"/>
  <c r="AC130" i="139"/>
  <c r="AC65" i="139"/>
  <c r="N130" i="139"/>
  <c r="AG130" i="139"/>
  <c r="T78" i="139"/>
  <c r="Y65" i="139"/>
  <c r="T52" i="139"/>
  <c r="Z65" i="139"/>
  <c r="U78" i="139"/>
  <c r="Z52" i="139"/>
  <c r="AI130" i="139"/>
  <c r="T130" i="139"/>
  <c r="X52" i="139"/>
  <c r="AF130" i="139"/>
  <c r="S130" i="139"/>
  <c r="L104" i="139"/>
  <c r="D24" i="150" l="1"/>
  <c r="D28" i="150" s="1"/>
  <c r="E17" i="150"/>
  <c r="E27" i="150" s="1"/>
  <c r="E24" i="150"/>
  <c r="E28" i="150" s="1"/>
  <c r="D17" i="150"/>
  <c r="D27" i="150" s="1"/>
  <c r="L126" i="147"/>
  <c r="J126" i="147"/>
  <c r="M126" i="147"/>
  <c r="I126" i="147"/>
  <c r="H126" i="147"/>
  <c r="N126" i="147"/>
  <c r="F126" i="147"/>
  <c r="E126" i="147"/>
  <c r="K126" i="147"/>
  <c r="G126" i="147"/>
  <c r="D2" i="139"/>
  <c r="D29" i="150" l="1"/>
  <c r="E29" i="150"/>
  <c r="AF115" i="139"/>
  <c r="AF113" i="139" l="1"/>
  <c r="AF114" i="139"/>
  <c r="H115" i="139"/>
  <c r="T115" i="139"/>
  <c r="AB115" i="139"/>
  <c r="O115" i="139"/>
  <c r="Y115" i="139"/>
  <c r="W115" i="139"/>
  <c r="AC115" i="139"/>
  <c r="AI115" i="139"/>
  <c r="N115" i="139"/>
  <c r="K115" i="139"/>
  <c r="AA115" i="139"/>
  <c r="AG115" i="139"/>
  <c r="P115" i="139"/>
  <c r="X115" i="139"/>
  <c r="V115" i="139"/>
  <c r="E115" i="139"/>
  <c r="L115" i="139"/>
  <c r="I115" i="139"/>
  <c r="F115" i="139"/>
  <c r="R115" i="139"/>
  <c r="J115" i="139"/>
  <c r="AD115" i="139"/>
  <c r="Z115" i="139"/>
  <c r="Q115" i="139"/>
  <c r="G115" i="139"/>
  <c r="AH115" i="139"/>
  <c r="K116" i="139"/>
  <c r="AG116" i="139"/>
  <c r="AF116" i="139"/>
  <c r="AF117" i="139" s="1"/>
  <c r="I116" i="139"/>
  <c r="T116" i="139"/>
  <c r="J116" i="139"/>
  <c r="AH116" i="139"/>
  <c r="S116" i="139"/>
  <c r="AA116" i="139"/>
  <c r="AD116" i="139"/>
  <c r="Q116" i="139"/>
  <c r="AI116" i="139"/>
  <c r="R116" i="139"/>
  <c r="AB116" i="139"/>
  <c r="M116" i="139"/>
  <c r="U116" i="139"/>
  <c r="Z116" i="139"/>
  <c r="P116" i="139"/>
  <c r="V116" i="139"/>
  <c r="Y116" i="139"/>
  <c r="W116" i="139"/>
  <c r="AE116" i="139"/>
  <c r="F116" i="139"/>
  <c r="G116" i="139"/>
  <c r="E116" i="139"/>
  <c r="AC116" i="139"/>
  <c r="O116" i="139"/>
  <c r="N116" i="139"/>
  <c r="L116" i="139"/>
  <c r="X116" i="139"/>
  <c r="H116" i="139"/>
  <c r="S115" i="139"/>
  <c r="M115" i="139"/>
  <c r="U115" i="139"/>
  <c r="AE115" i="139"/>
  <c r="AD114" i="139" l="1"/>
  <c r="AD113" i="139"/>
  <c r="AG113" i="139"/>
  <c r="AG114" i="139"/>
  <c r="AI114" i="139"/>
  <c r="AI113" i="139"/>
  <c r="AE113" i="139"/>
  <c r="AE114" i="139"/>
  <c r="AH113" i="139"/>
  <c r="AH114" i="139"/>
  <c r="E117" i="139"/>
  <c r="I117" i="139"/>
  <c r="Y114" i="139"/>
  <c r="Y113" i="139"/>
  <c r="X114" i="139"/>
  <c r="X113" i="139"/>
  <c r="O114" i="139"/>
  <c r="O113" i="139"/>
  <c r="AB114" i="139"/>
  <c r="AB113" i="139"/>
  <c r="U114" i="139"/>
  <c r="U113" i="139"/>
  <c r="H114" i="139"/>
  <c r="H113" i="139"/>
  <c r="S113" i="139"/>
  <c r="S114" i="139"/>
  <c r="Q114" i="139"/>
  <c r="Q113" i="139"/>
  <c r="J114" i="139"/>
  <c r="J113" i="139"/>
  <c r="N113" i="139"/>
  <c r="N114" i="139"/>
  <c r="R114" i="139"/>
  <c r="R113" i="139"/>
  <c r="AC114" i="139"/>
  <c r="AC113" i="139"/>
  <c r="L114" i="139"/>
  <c r="L113" i="139"/>
  <c r="E114" i="139"/>
  <c r="E113" i="139"/>
  <c r="V114" i="139"/>
  <c r="V113" i="139"/>
  <c r="T114" i="139"/>
  <c r="T113" i="139"/>
  <c r="M114" i="139"/>
  <c r="M113" i="139"/>
  <c r="G114" i="139"/>
  <c r="G113" i="139"/>
  <c r="P114" i="139"/>
  <c r="P113" i="139"/>
  <c r="Z113" i="139"/>
  <c r="Z114" i="139"/>
  <c r="AA113" i="139"/>
  <c r="AA114" i="139"/>
  <c r="K114" i="139"/>
  <c r="K113" i="139"/>
  <c r="F113" i="139"/>
  <c r="F114" i="139"/>
  <c r="I114" i="139"/>
  <c r="I113" i="139"/>
  <c r="W114" i="139"/>
  <c r="W113" i="139"/>
  <c r="T117" i="139"/>
  <c r="O117" i="139"/>
  <c r="AC117" i="139"/>
  <c r="J117" i="139"/>
  <c r="W117" i="139"/>
  <c r="Y117" i="139"/>
  <c r="R117" i="139"/>
  <c r="AI117" i="139"/>
  <c r="L117" i="139"/>
  <c r="AG117" i="139"/>
  <c r="H117" i="139"/>
  <c r="AB117" i="139"/>
  <c r="K117" i="139"/>
  <c r="X117" i="139"/>
  <c r="V117" i="139"/>
  <c r="P117" i="139"/>
  <c r="AA117" i="139"/>
  <c r="N117" i="139"/>
  <c r="Z117" i="139"/>
  <c r="AD117" i="139"/>
  <c r="F117" i="139"/>
  <c r="Q117" i="139"/>
  <c r="G117" i="139"/>
  <c r="AE117" i="139"/>
  <c r="U117" i="139"/>
  <c r="M117" i="139"/>
  <c r="S117" i="139"/>
  <c r="AH117" i="139"/>
  <c r="N126" i="146" l="1"/>
  <c r="L126" i="146"/>
  <c r="F126" i="146"/>
  <c r="M126" i="146"/>
  <c r="O126" i="146"/>
  <c r="K126" i="146"/>
  <c r="H126" i="146"/>
  <c r="G126" i="146"/>
  <c r="I126" i="146"/>
  <c r="J126" i="146"/>
  <c r="I177" i="120"/>
  <c r="I178" i="120"/>
  <c r="H177" i="120"/>
  <c r="H178" i="120"/>
  <c r="G177" i="120"/>
  <c r="F177" i="120"/>
  <c r="E178" i="120"/>
  <c r="G178" i="120"/>
  <c r="F178" i="120"/>
  <c r="F176" i="120" l="1"/>
  <c r="F175" i="120"/>
  <c r="G176" i="120"/>
  <c r="G175" i="120"/>
  <c r="H175" i="120"/>
  <c r="H176" i="120"/>
  <c r="I175" i="120"/>
  <c r="I176" i="120"/>
  <c r="E175" i="120"/>
  <c r="E176" i="120"/>
  <c r="F179" i="120"/>
  <c r="H179" i="120"/>
  <c r="I179" i="120"/>
  <c r="E179" i="120"/>
  <c r="G179" i="120"/>
  <c r="K13" i="8" l="1"/>
  <c r="A17" i="8"/>
  <c r="A18" i="8"/>
  <c r="A19" i="8"/>
  <c r="A20" i="8"/>
  <c r="A21" i="8"/>
  <c r="A22" i="8"/>
  <c r="A16" i="8"/>
  <c r="A237" i="118"/>
  <c r="A48" i="119" s="1"/>
  <c r="A675" i="118"/>
  <c r="A199" i="119" s="1"/>
  <c r="A674" i="118"/>
  <c r="A621" i="118"/>
  <c r="A182" i="119" s="1"/>
  <c r="A620" i="118"/>
  <c r="A584" i="118"/>
  <c r="A166" i="119" s="1"/>
  <c r="A583" i="118"/>
  <c r="A547" i="118"/>
  <c r="A152" i="119" s="1"/>
  <c r="A546" i="118"/>
  <c r="A510" i="118"/>
  <c r="A136" i="119" s="1"/>
  <c r="A509" i="118"/>
  <c r="A472" i="118"/>
  <c r="A473" i="118"/>
  <c r="A122" i="119" s="1"/>
  <c r="A419" i="118"/>
  <c r="A105" i="119" s="1"/>
  <c r="A418" i="118"/>
  <c r="A382" i="118"/>
  <c r="A89" i="119" s="1"/>
  <c r="A381" i="118"/>
  <c r="A345" i="118"/>
  <c r="A75" i="119" s="1"/>
  <c r="A344" i="118"/>
  <c r="A291" i="118"/>
  <c r="A63" i="119" s="1"/>
  <c r="A290" i="118"/>
  <c r="A236" i="118"/>
  <c r="A183" i="118"/>
  <c r="A35" i="119" s="1"/>
  <c r="A182" i="118"/>
  <c r="A81" i="118"/>
  <c r="A19" i="119" s="1"/>
  <c r="A80" i="118"/>
  <c r="A9" i="118"/>
  <c r="A5" i="119" s="1"/>
  <c r="A8" i="118"/>
  <c r="X12" i="127"/>
  <c r="X40" i="127"/>
  <c r="X166" i="122"/>
  <c r="X168" i="122"/>
  <c r="X170" i="122"/>
  <c r="X172" i="122"/>
  <c r="X174" i="122"/>
  <c r="X168" i="121"/>
  <c r="X170" i="121"/>
  <c r="X172" i="121"/>
  <c r="X174" i="121"/>
  <c r="A1129" i="2"/>
  <c r="A929" i="2"/>
  <c r="A729" i="2"/>
  <c r="A529" i="2"/>
  <c r="A329" i="2"/>
  <c r="BA329" i="2" s="1"/>
  <c r="C30" i="8" l="1"/>
  <c r="G24" i="126"/>
  <c r="H23" i="126"/>
  <c r="F24" i="126"/>
  <c r="E24" i="126"/>
  <c r="I23" i="126"/>
  <c r="I21" i="126" s="1"/>
  <c r="H24" i="126"/>
  <c r="G23" i="126"/>
  <c r="F23" i="126"/>
  <c r="I24" i="126"/>
  <c r="F51" i="120"/>
  <c r="E65" i="120"/>
  <c r="E63" i="120" s="1"/>
  <c r="I37" i="120"/>
  <c r="I65" i="120"/>
  <c r="I38" i="120"/>
  <c r="H37" i="120"/>
  <c r="H65" i="120"/>
  <c r="H38" i="120"/>
  <c r="G65" i="120"/>
  <c r="G24" i="120"/>
  <c r="G66" i="120"/>
  <c r="F65" i="120"/>
  <c r="I24" i="120"/>
  <c r="I66" i="120"/>
  <c r="H24" i="120"/>
  <c r="H66" i="120"/>
  <c r="F24" i="120"/>
  <c r="F66" i="120"/>
  <c r="E66" i="120"/>
  <c r="G51" i="120"/>
  <c r="F52" i="120"/>
  <c r="I52" i="120"/>
  <c r="G52" i="120"/>
  <c r="E52" i="120"/>
  <c r="E51" i="120"/>
  <c r="I51" i="120"/>
  <c r="H52" i="120"/>
  <c r="H51" i="120"/>
  <c r="F38" i="120"/>
  <c r="E24" i="120"/>
  <c r="H23" i="120"/>
  <c r="E38" i="120"/>
  <c r="G38" i="120"/>
  <c r="F23" i="120"/>
  <c r="X26" i="127"/>
  <c r="X34" i="126"/>
  <c r="X30" i="126"/>
  <c r="X28" i="126"/>
  <c r="X169" i="120"/>
  <c r="X18" i="122"/>
  <c r="X19" i="122"/>
  <c r="X17" i="122"/>
  <c r="X15" i="122"/>
  <c r="X13" i="122"/>
  <c r="X33" i="122"/>
  <c r="X31" i="122"/>
  <c r="X29" i="122"/>
  <c r="X27" i="122"/>
  <c r="X17" i="121"/>
  <c r="X171" i="120"/>
  <c r="X173" i="120"/>
  <c r="X20" i="121"/>
  <c r="X19" i="121"/>
  <c r="X15" i="121"/>
  <c r="X32" i="121"/>
  <c r="X30" i="121"/>
  <c r="X20" i="122"/>
  <c r="X16" i="122"/>
  <c r="X14" i="122"/>
  <c r="X173" i="122"/>
  <c r="X171" i="122"/>
  <c r="X169" i="122"/>
  <c r="X167" i="122"/>
  <c r="X34" i="122"/>
  <c r="X30" i="122"/>
  <c r="X173" i="121"/>
  <c r="X171" i="121"/>
  <c r="X169" i="121"/>
  <c r="X167" i="121"/>
  <c r="X16" i="121"/>
  <c r="X14" i="121"/>
  <c r="X19" i="126"/>
  <c r="X15" i="126"/>
  <c r="X13" i="126"/>
  <c r="X167" i="120"/>
  <c r="X47" i="127"/>
  <c r="X45" i="127"/>
  <c r="X44" i="127"/>
  <c r="X46" i="127"/>
  <c r="X48" i="127"/>
  <c r="X13" i="127"/>
  <c r="X15" i="127"/>
  <c r="X17" i="127"/>
  <c r="X19" i="127"/>
  <c r="X34" i="127"/>
  <c r="X41" i="127"/>
  <c r="X43" i="127"/>
  <c r="X28" i="127"/>
  <c r="X14" i="127"/>
  <c r="X18" i="127"/>
  <c r="X31" i="127"/>
  <c r="X42" i="127"/>
  <c r="X20" i="127"/>
  <c r="X30" i="127"/>
  <c r="X16" i="127"/>
  <c r="X27" i="127"/>
  <c r="X29" i="127"/>
  <c r="X33" i="127"/>
  <c r="X32" i="127"/>
  <c r="X32" i="126"/>
  <c r="X29" i="126"/>
  <c r="X31" i="126"/>
  <c r="X17" i="126"/>
  <c r="X12" i="126"/>
  <c r="X14" i="126"/>
  <c r="X16" i="126"/>
  <c r="X18" i="126"/>
  <c r="X20" i="126"/>
  <c r="X27" i="126"/>
  <c r="X33" i="126"/>
  <c r="X26" i="126"/>
  <c r="X28" i="122"/>
  <c r="X32" i="122"/>
  <c r="X12" i="122"/>
  <c r="X26" i="122"/>
  <c r="X34" i="121"/>
  <c r="X29" i="121"/>
  <c r="X31" i="121"/>
  <c r="X33" i="121"/>
  <c r="X28" i="121"/>
  <c r="X26" i="121"/>
  <c r="X166" i="121"/>
  <c r="X18" i="121"/>
  <c r="X13" i="121"/>
  <c r="X27" i="121"/>
  <c r="X12" i="121"/>
  <c r="X174" i="120"/>
  <c r="X172" i="120"/>
  <c r="X170" i="120"/>
  <c r="X168" i="120"/>
  <c r="X34" i="120"/>
  <c r="X46" i="120"/>
  <c r="X17" i="120"/>
  <c r="X56" i="120"/>
  <c r="X57" i="120"/>
  <c r="X42" i="120"/>
  <c r="X62" i="120"/>
  <c r="X59" i="120"/>
  <c r="X55" i="120"/>
  <c r="X60" i="120"/>
  <c r="X61" i="120"/>
  <c r="X47" i="120"/>
  <c r="X58" i="120"/>
  <c r="X48" i="120"/>
  <c r="X41" i="120"/>
  <c r="X43" i="120"/>
  <c r="X45" i="120"/>
  <c r="X44" i="120"/>
  <c r="X27" i="120"/>
  <c r="X28" i="120"/>
  <c r="X33" i="120"/>
  <c r="X31" i="120"/>
  <c r="X29" i="120"/>
  <c r="X13" i="120"/>
  <c r="X20" i="120"/>
  <c r="X18" i="120"/>
  <c r="X16" i="120"/>
  <c r="X14" i="120"/>
  <c r="X32" i="120"/>
  <c r="X30" i="120"/>
  <c r="X15" i="120"/>
  <c r="X19" i="120"/>
  <c r="X54" i="120"/>
  <c r="X166" i="120"/>
  <c r="X26" i="120"/>
  <c r="X12" i="120"/>
  <c r="X40" i="120"/>
  <c r="H25" i="126" l="1"/>
  <c r="E25" i="126"/>
  <c r="E22" i="126"/>
  <c r="I25" i="126"/>
  <c r="I22" i="126"/>
  <c r="F25" i="126"/>
  <c r="G25" i="126"/>
  <c r="F22" i="126"/>
  <c r="F21" i="126"/>
  <c r="G22" i="126"/>
  <c r="G21" i="126"/>
  <c r="H21" i="126"/>
  <c r="H22" i="126"/>
  <c r="F49" i="120"/>
  <c r="F50" i="120"/>
  <c r="H21" i="120"/>
  <c r="H22" i="120"/>
  <c r="I49" i="120"/>
  <c r="I50" i="120"/>
  <c r="H63" i="120"/>
  <c r="H64" i="120"/>
  <c r="I64" i="120"/>
  <c r="I63" i="120"/>
  <c r="F22" i="120"/>
  <c r="F21" i="120"/>
  <c r="G49" i="120"/>
  <c r="G50" i="120"/>
  <c r="F64" i="120"/>
  <c r="F63" i="120"/>
  <c r="H49" i="120"/>
  <c r="H50" i="120"/>
  <c r="G64" i="120"/>
  <c r="G63" i="120"/>
  <c r="H36" i="120"/>
  <c r="H35" i="120"/>
  <c r="I36" i="120"/>
  <c r="I35" i="120"/>
  <c r="E22" i="120"/>
  <c r="E67" i="120"/>
  <c r="F53" i="120"/>
  <c r="F39" i="120"/>
  <c r="E39" i="120"/>
  <c r="F67" i="120"/>
  <c r="H67" i="120"/>
  <c r="G67" i="120"/>
  <c r="I39" i="120"/>
  <c r="I25" i="120"/>
  <c r="E64" i="120"/>
  <c r="G39" i="120"/>
  <c r="H39" i="120"/>
  <c r="G25" i="120"/>
  <c r="H25" i="120"/>
  <c r="E25" i="120"/>
  <c r="I67" i="120"/>
  <c r="G53" i="120"/>
  <c r="H53" i="120"/>
  <c r="E49" i="120"/>
  <c r="E50" i="120"/>
  <c r="I53" i="120"/>
  <c r="E53" i="120"/>
  <c r="F25" i="120"/>
  <c r="P2" i="5" l="1"/>
  <c r="A1130" i="2" l="1"/>
  <c r="A930" i="2" l="1"/>
  <c r="I3" i="5" l="1"/>
  <c r="A730" i="2" l="1"/>
  <c r="A530" i="2"/>
  <c r="A330" i="2"/>
  <c r="BA330" i="2" s="1"/>
  <c r="M2" i="5" l="1"/>
  <c r="A1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048445-E22C-4EE3-8105-B7D2F7DE1ED6}" name="CB_CELF5_RF1_OP" type="1" refreshedVersion="8" savePassword="1" deleted="1" background="1" saveData="1">
    <dbPr connection="" command=""/>
    <parameters count="1">
      <parameter name="Parameter1" parameterType="cell" cell="'Open Cells'!$A$54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24D4DE93-B6D5-4334-8027-2F303DF9F30F}" name="CB_CELF5_RF2_OP" type="1" refreshedVersion="8" savePassword="1" deleted="1" background="1" saveData="1">
    <dbPr connection="" command=""/>
    <parameters count="1">
      <parameter name="Parameter1" parameterType="cell" cell="'Open Cells'!$A$583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" xr16:uid="{C471F1B3-C1CF-426C-B3F1-0BDDAC3AC381}" name="CB_CELFP3_RF1_OP" type="1" refreshedVersion="8" savePassword="1" deleted="1" background="1" saveData="1">
    <dbPr connection="" command=""/>
    <parameters count="1">
      <parameter name="Parameter1" parameterType="cell" cell="'Open Cells'!$A$67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4" xr16:uid="{4E381FF3-4315-4311-B1DD-2F96BDF53EF9}" name="CB_META_RF2_OP" type="1" refreshedVersion="8" savePassword="1" deleted="1" background="1" saveData="1">
    <dbPr connection="" command=""/>
    <parameters count="1">
      <parameter name="Parameter1" parameterType="cell" cell="'Open Cells'!$A$62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5" xr16:uid="{5C553057-3904-40D6-B4AB-665BC115F776}" name="CB_WAIS5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20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6" xr16:uid="{9C217F71-0642-4867-BF29-6D967EFD7124}" name="CB_WISC5P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7" xr16:uid="{BFD5C0EA-575E-4337-8738-BC6E6DE23E82}" name="CB_WPPSI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8" xr16:uid="{2AB128B2-41E6-4234-B4FC-5ECEB1A83DCD}" name="CELF6_RF1_STDZ_OP" type="1" refreshedVersion="8" savePassword="1" deleted="1" background="1" saveData="1">
    <dbPr connection="" command=""/>
    <parameters count="1">
      <parameter name="Parameter1" parameterType="cell" cell="'Open Cells'!$A$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9" xr16:uid="{8565BF2F-8305-4CE0-A7BF-ACA3B15FD85C}" name="CELF6_RF2_STDZ_OP" type="1" refreshedVersion="8" savePassword="1" deleted="1" background="1" saveData="1">
    <dbPr connection="" command=""/>
    <parameters count="1">
      <parameter name="Parameter1" parameterType="cell" cell="'Open Cells'!$A$8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0" xr16:uid="{1B22C8F2-BFE8-4132-846C-EAAAE3414F52}" name="R_CELF6_RF1_STDZ_OP" type="1" refreshedVersion="8" savePassword="1" deleted="1" background="1" saveData="1">
    <dbPr connection="" command=""/>
    <parameters count="1">
      <parameter name="Parameter1" parameterType="cell" cell="'Open Cells'!$A$18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1" xr16:uid="{E74F83D9-3B38-4D86-A515-C7883D28D8DA}" name="R_CELF6_RF2_STDZ_OP" type="1" refreshedVersion="8" savePassword="1" deleted="1" background="1" saveData="1">
    <dbPr connection="" command=""/>
    <parameters count="1">
      <parameter name="Parameter1" parameterType="cell" cell="'Open Cells'!$A$236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2" xr16:uid="{9F6366F6-B448-4F0A-9043-157B0F138ECC}" name="R_WISC6_STDZ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3" xr16:uid="{EA626CCE-BC4F-4E4E-B4C6-B76DCC621181}" name="R_WISC6_STDZ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4" xr16:uid="{FBD46C6C-1F69-4080-A086-2C7AC0C2CE47}" name="R_WISC6_STDZ_P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5" xr16:uid="{7AAF76CA-F8BB-DC4E-B051-61489010F0AA}" name="report_matrix_phase_study_lis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phase_study_list(?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6" xr16:uid="{CB2C7A4D-ECA5-804F-A6F2-1205178E7CD8}" name="report_matrix_summary_report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_summary_report_custom (405,41,100);"/>
    <parameters count="2">
      <parameter name="Parameter1" parameterType="cell" cell="setup!$C$4"/>
      <parameter name="Parameter2" parameterType="cell" cell="setup!$C$1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7" xr16:uid="{8A9C4181-74DF-4722-9DDD-5D10542F984C}" name="V_CCC2_RF1_OP" type="1" refreshedVersion="8" savePassword="1" deleted="1" background="1" saveData="1">
    <dbPr connection="" command=""/>
    <parameters count="1">
      <parameter name="Parameter1" parameterType="cell" cell="'Open Cells'!$A$472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8" xr16:uid="{0F18EDB2-D312-45B9-A91E-E750B5178F03}" name="V_CCC2_RF2_OP" type="1" refreshedVersion="8" savePassword="1" deleted="1" background="1" saveData="1">
    <dbPr connection="" command=""/>
    <parameters count="1">
      <parameter name="Parameter1" parameterType="cell" cell="'Open Cells'!$A$509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19" xr16:uid="{B1EF75DC-1E74-49DB-ACBF-DA3863CF71AF}" name="V_CELF5_RF1_OP" type="1" refreshedVersion="8" savePassword="1" deleted="1" background="1" saveData="1">
    <dbPr connection="" command=""/>
    <parameters count="1">
      <parameter name="Parameter1" parameterType="cell" cell="'Open Cells'!$A$344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0" xr16:uid="{9575FA27-F985-4380-84E8-7775FB6F5EFF}" name="V_CELF5_RF2_OP" type="1" refreshedVersion="8" savePassword="1" deleted="1" background="1" saveData="1">
    <dbPr connection="" command=""/>
    <parameters count="1">
      <parameter name="Parameter1" parameterType="cell" cell="'Open Cells'!$A$381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1" xr16:uid="{4DE0BF52-9B86-4324-9089-49AC6E9ACEA5}" name="V_CELFP3_RF1_OP" type="1" refreshedVersion="8" savePassword="1" deleted="1" background="1" saveData="1">
    <dbPr connection="" command=""/>
    <parameters count="1">
      <parameter name="Parameter1" parameterType="cell" cell="'Open Cells'!$A$29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2" xr16:uid="{4C089111-7E9B-4155-AF2C-525FA48482F4}" name="V_KTEA3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5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3" xr16:uid="{3F46B812-29F7-489F-A43B-8678DD5539F4}" name="V_META_RF2_OP" type="1" refreshedVersion="8" savePassword="1" deleted="1" background="1" saveData="1">
    <dbPr connection="" command=""/>
    <parameters count="1">
      <parameter name="Parameter1" parameterType="cell" cell="'Open Cells'!$A$418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4" xr16:uid="{A1C775D5-4A4C-45F1-8456-2DB6A1DBF635}" name="V_WAIS5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5" xr16:uid="{BE8870FF-FB1E-4E33-9310-1278577DEA73}" name="V_WIAT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3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6" xr16:uid="{06D247D9-0179-45AF-A8FB-86701A53000A}" name="V_WISC5P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7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7" xr16:uid="{EC580E66-49D8-4A03-ACF7-0802A69AC990}" name="V_WPPSI4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9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8" xr16:uid="{AF2C3B9A-4F3E-4984-82E5-2902A1B53E19}" name="WISC6_STDZ_D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$129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29" xr16:uid="{52D20A9E-57BC-476F-81FE-B5AD064DB2E9}" name="WISC6_STDZ_D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29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0" xr16:uid="{75404C46-2786-4E05-A626-EB0FE9F09718}" name="WISC6_STDZ_P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2,100)"/>
    <parameters count="3">
      <parameter name="Parameter1" parameterType="cell" cell="aurora_data!$A$1"/>
      <parameter name="Parameter2" parameterType="cell" cell="setup!$E$9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  <connection id="31" xr16:uid="{A0405513-0922-43E3-A8B0-A0C8DDB4E372}" name="WISC6_STDZ_P_2cross" type="1" refreshedVersion="8" savePassword="1" background="1" saveData="1">
    <dbPr connection="DRIVER={MySQL ODBC 8.0 ANSI Driver};UID=fr_report_user;PWD={69uWFg6#geg7@&amp;Aq};SERVER={fieldresearch-prd-readonly.aurora.pearson.com};DATABASE=fraurora;PORT=3306;" command="call report_matrix(?,1,100);"/>
    <parameters count="3">
      <parameter name="Parameter1" parameterType="cell" cell="aurora_data!$A$1"/>
      <parameter name="Parameter2" parameterType="cell" cell="setup!$E$8"/>
      <parameter name="Parameter3" parameterType="cell" cell="setup!$C$10"/>
    </parameters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<sst xmlns="http://schemas.openxmlformats.org/spreadsheetml/2006/main" count="13858" uniqueCount="636">
  <si>
    <t>status</t>
  </si>
  <si>
    <t>day</t>
  </si>
  <si>
    <t>Yr</t>
  </si>
  <si>
    <t>Wk</t>
  </si>
  <si>
    <t>WeekOf</t>
  </si>
  <si>
    <t>ageband</t>
  </si>
  <si>
    <t>variable_type</t>
  </si>
  <si>
    <t>variable_value</t>
  </si>
  <si>
    <t>target</t>
  </si>
  <si>
    <t>targetRounded</t>
  </si>
  <si>
    <t>AssignDay</t>
  </si>
  <si>
    <t>AssignCounts</t>
  </si>
  <si>
    <t>totalCells</t>
  </si>
  <si>
    <t>cummAssingCount</t>
  </si>
  <si>
    <t>openCells</t>
  </si>
  <si>
    <t>reportSession</t>
  </si>
  <si>
    <t>last_refreshed</t>
  </si>
  <si>
    <t>Total Assignments</t>
  </si>
  <si>
    <t>07/18/2025</t>
  </si>
  <si>
    <t>07/14/2025</t>
  </si>
  <si>
    <t>05.00.00-05.05.30</t>
  </si>
  <si>
    <t>ETH</t>
  </si>
  <si>
    <t>AS</t>
  </si>
  <si>
    <t>07/18/2025 @ 6:55 AM</t>
  </si>
  <si>
    <t>HI</t>
  </si>
  <si>
    <t>SEX</t>
  </si>
  <si>
    <t>OTHER</t>
  </si>
  <si>
    <t>05.06.00-05.11.30</t>
  </si>
  <si>
    <t>ED</t>
  </si>
  <si>
    <t>1</t>
  </si>
  <si>
    <t>01/01/2024</t>
  </si>
  <si>
    <t>OT</t>
  </si>
  <si>
    <t>REGION</t>
  </si>
  <si>
    <t>SO</t>
  </si>
  <si>
    <t>M</t>
  </si>
  <si>
    <t>06.00.00-06.05.30</t>
  </si>
  <si>
    <t>BL</t>
  </si>
  <si>
    <t>06.06.00-06.11.30</t>
  </si>
  <si>
    <t>4</t>
  </si>
  <si>
    <t>WH</t>
  </si>
  <si>
    <t>07.00.00-07.11.30</t>
  </si>
  <si>
    <t>08.00.00-08.11.30</t>
  </si>
  <si>
    <t>07/17/2025</t>
  </si>
  <si>
    <t>09.00.00-09.11.30</t>
  </si>
  <si>
    <t>07/17/2025 @ 10:36 AM</t>
  </si>
  <si>
    <t>F</t>
  </si>
  <si>
    <t>10.00.00-10.11.30</t>
  </si>
  <si>
    <t>NE</t>
  </si>
  <si>
    <t>11.00.00-11.11.30</t>
  </si>
  <si>
    <t>12.00.00-12.11.30</t>
  </si>
  <si>
    <t>3</t>
  </si>
  <si>
    <t>13.00.00-13.11.30</t>
  </si>
  <si>
    <t>14.00.00-14.11.30</t>
  </si>
  <si>
    <t>15.00.00-15.11.30</t>
  </si>
  <si>
    <t>16.00.00-16.11.30</t>
  </si>
  <si>
    <t>17.00.00-21.11.30</t>
  </si>
  <si>
    <t>2</t>
  </si>
  <si>
    <t>05.00.00-06.11.30</t>
  </si>
  <si>
    <t>5</t>
  </si>
  <si>
    <t>MW</t>
  </si>
  <si>
    <t>WE</t>
  </si>
  <si>
    <t>07.00.00-08.11.30</t>
  </si>
  <si>
    <t>09.00.00-11.11.30</t>
  </si>
  <si>
    <t>12.00.00-16.11.30</t>
  </si>
  <si>
    <t>05.00.00-05.11.30</t>
  </si>
  <si>
    <t>06.00.00-06.11.30</t>
  </si>
  <si>
    <t>05.00.00-08.11.30</t>
  </si>
  <si>
    <t>09.00.00-16.11.30</t>
  </si>
  <si>
    <t>07/17/2025 @ 10:35 AM</t>
  </si>
  <si>
    <t>Phase Setup</t>
  </si>
  <si>
    <t>Phase Id</t>
  </si>
  <si>
    <t>Main Study Setup</t>
  </si>
  <si>
    <t>Stratification Types</t>
  </si>
  <si>
    <t>matrix sproc</t>
  </si>
  <si>
    <t>Stratification %</t>
  </si>
  <si>
    <t>(separate study ids by and exclamation point ! for more than one)</t>
  </si>
  <si>
    <t>Stratification Type</t>
  </si>
  <si>
    <t>1 = 2 Cross</t>
  </si>
  <si>
    <r>
      <t>call report_matrix(</t>
    </r>
    <r>
      <rPr>
        <i/>
        <sz val="10"/>
        <color rgb="FFFF0000"/>
        <rFont val="Calibri (Body)"/>
      </rPr>
      <t>studyids, stratfication type, stratification%</t>
    </r>
    <r>
      <rPr>
        <sz val="10"/>
        <color theme="1"/>
        <rFont val="Calibri"/>
        <family val="2"/>
        <scheme val="minor"/>
      </rPr>
      <t>);</t>
    </r>
  </si>
  <si>
    <t>StudyIDs (2Cross)</t>
  </si>
  <si>
    <t>2 = 3 Cross ETH/ED</t>
  </si>
  <si>
    <t>StudyIDs (3Cross)</t>
  </si>
  <si>
    <t>3 = 3 Cross SEX/ETH</t>
  </si>
  <si>
    <r>
      <t>StudyIDs</t>
    </r>
    <r>
      <rPr>
        <sz val="8"/>
        <color theme="1"/>
        <rFont val="Calibri (Body)"/>
      </rPr>
      <t xml:space="preserve"> (3Cross alternate view)</t>
    </r>
  </si>
  <si>
    <t>Validity/Reliability Setup</t>
  </si>
  <si>
    <t xml:space="preserve">Total study count for this report </t>
  </si>
  <si>
    <t>Reports will show based on the ordered list below</t>
  </si>
  <si>
    <t xml:space="preserve">Phase Study List </t>
  </si>
  <si>
    <r>
      <t>Report Order</t>
    </r>
    <r>
      <rPr>
        <sz val="6"/>
        <color theme="1"/>
        <rFont val="Calibri"/>
        <family val="2"/>
        <scheme val="minor"/>
      </rPr>
      <t xml:space="preserve">                                                        </t>
    </r>
    <r>
      <rPr>
        <sz val="6"/>
        <color rgb="FFC00000"/>
        <rFont val="Calibri (Body)"/>
      </rPr>
      <t>(do not touch)</t>
    </r>
  </si>
  <si>
    <r>
      <t xml:space="preserve">Study Id                         </t>
    </r>
    <r>
      <rPr>
        <sz val="6"/>
        <color rgb="FFC00000"/>
        <rFont val="Calibri (Body)"/>
      </rPr>
      <t>(separate studyids by !)</t>
    </r>
  </si>
  <si>
    <t>Study Name</t>
  </si>
  <si>
    <t>Study Acronym</t>
  </si>
  <si>
    <t>Total Assignment</t>
  </si>
  <si>
    <t>study_id</t>
  </si>
  <si>
    <t>study_type_description</t>
  </si>
  <si>
    <t>sort_order</t>
  </si>
  <si>
    <t>study_name</t>
  </si>
  <si>
    <t>study_acronym</t>
  </si>
  <si>
    <t>study_status</t>
  </si>
  <si>
    <t>WISC-6 Standardization - Paper</t>
  </si>
  <si>
    <t>WISC6_STDZ_P</t>
  </si>
  <si>
    <t>Main</t>
  </si>
  <si>
    <t>WISC-6 Standardization - Digital</t>
  </si>
  <si>
    <t>WISC6_STDZ_D</t>
  </si>
  <si>
    <t>Active</t>
  </si>
  <si>
    <t>Retest WISC-6 Standardization - Paper</t>
  </si>
  <si>
    <t>R_WISC6_STDZ_P</t>
  </si>
  <si>
    <t>Clinical</t>
  </si>
  <si>
    <t>WISC-6 Clinical Validity Motor Impairment - Paper</t>
  </si>
  <si>
    <t>CV_MI_VINE3_P</t>
  </si>
  <si>
    <t>Retest WISC-6 Standardization Digital</t>
  </si>
  <si>
    <t>R_WISC6_STDZ_D</t>
  </si>
  <si>
    <t>OSEP – Other Health Impairment - Paper</t>
  </si>
  <si>
    <t>OSEP_OHI_P</t>
  </si>
  <si>
    <t>Validity WISC-6/WISC-5 Plus - Paper</t>
  </si>
  <si>
    <t>V_WISC5P_P</t>
  </si>
  <si>
    <t>OSEP – Orthopedic Impairment - Paper</t>
  </si>
  <si>
    <t>OSEP_OI_P</t>
  </si>
  <si>
    <t>Validity WISC-6/WPPSI-4 - Paper</t>
  </si>
  <si>
    <t>V_WPPSI4_P</t>
  </si>
  <si>
    <t>OSEP – Multiple Disabilities - Paper</t>
  </si>
  <si>
    <t>OSEP_MD_P</t>
  </si>
  <si>
    <t>Validity WISC-6/WAIS-5 - Paper</t>
  </si>
  <si>
    <t>V_WAIS5_P</t>
  </si>
  <si>
    <t>OSEP – Emotional Disturbance - Paper</t>
  </si>
  <si>
    <t>OSEP_ED_P</t>
  </si>
  <si>
    <t>Validity WISC-6/WIAT-4 - Paper</t>
  </si>
  <si>
    <t>V_WIAT4_P</t>
  </si>
  <si>
    <t>OSEP – Developmental Delay - Paper</t>
  </si>
  <si>
    <t>OSEP_DD_P</t>
  </si>
  <si>
    <t>Validity WISC-6/KTEA-3 – Paper Form A</t>
  </si>
  <si>
    <t>V_KTEA3_P</t>
  </si>
  <si>
    <t>OSEP – Autism - Paper</t>
  </si>
  <si>
    <t>OSEP_AUT_P</t>
  </si>
  <si>
    <t>Counterbalance WISC-5 Plus/WISC-6 - Paper</t>
  </si>
  <si>
    <t>CB_WISC5P_P</t>
  </si>
  <si>
    <t>WISC-6 Clinical Validity Traumatic Brain Injury - Paper</t>
  </si>
  <si>
    <t>CV_TBI_VINE3_P</t>
  </si>
  <si>
    <t>Counterbalance WPPSI-4/WISC-6 -Paper</t>
  </si>
  <si>
    <t>CB_WPPSI4_P</t>
  </si>
  <si>
    <t>WISC-6 Clinical Traumatic Brain Injury - Paper</t>
  </si>
  <si>
    <t>C_TBI_P</t>
  </si>
  <si>
    <t>Counterbalance WAIS-5/WISC-6 - Paper</t>
  </si>
  <si>
    <t>CB_WAIS5_P</t>
  </si>
  <si>
    <t>OSEP – Specific Learning Disability - Paper</t>
  </si>
  <si>
    <t>OSEP_SLD_P</t>
  </si>
  <si>
    <t>WISC-6 Clinical Motor Impairment - Paper</t>
  </si>
  <si>
    <t>C_MI_P</t>
  </si>
  <si>
    <t>WISC-6 Clinical Validity Language Disorder with Expressive Impairment (Ages 9-16) - Paper</t>
  </si>
  <si>
    <t>CV_LDE_CELF5_RF2_P</t>
  </si>
  <si>
    <t>Total</t>
  </si>
  <si>
    <t>WISC-6 Clinical Language Disorder with Expressive Impairment (Ages 9-16) - Paper</t>
  </si>
  <si>
    <t>C_LDE_9-16_P</t>
  </si>
  <si>
    <t>WISC-6 Clinical Validity Language Disorder with Expressive Impairment (Ages 6-8) - Paper</t>
  </si>
  <si>
    <t>CV_LDE_CELF5_RF1_P</t>
  </si>
  <si>
    <t>WISC-6 Clinical Language Disorder with Expressive Impairment (Ages 6-8) - Paper</t>
  </si>
  <si>
    <t>C_LDE_6-8_P</t>
  </si>
  <si>
    <t>WISC-6 Clinical Validity Language Disorder with Receptive Impairment (Ages 9-16) - Paper</t>
  </si>
  <si>
    <t>CV_LDR_CELF5_RF2_P</t>
  </si>
  <si>
    <t>WISC-6 Clinical Language Disorder with Receptive Impairment (Ages 9-16) - Paper</t>
  </si>
  <si>
    <t>C_LDR_9-16_P</t>
  </si>
  <si>
    <t>WISC-6 Clinical Validity Language Disorder with Receptive Impairment (Ages 6-8) - Paper</t>
  </si>
  <si>
    <t>CV_LDR_CELF5_RF1_P</t>
  </si>
  <si>
    <t>OSEP – Other Health Impairment - Digital</t>
  </si>
  <si>
    <t>OSEP_OHI_D</t>
  </si>
  <si>
    <t>WISC-6 Clinical Validity Autism spectrum disorder with no language impairment - (Adolescent) Paper</t>
  </si>
  <si>
    <t>CV_ASD_NO_LI_BASC3_ADOL_P</t>
  </si>
  <si>
    <t>WISC-6 Clinical Validity Autism spectrum disorder with language impairment - (Adolescent) Paper</t>
  </si>
  <si>
    <t>CV_ASD_LI_BASC3_ADOL_P</t>
  </si>
  <si>
    <t>WISC-6 Clinical Validity ADHD – (Adolescent) Digital</t>
  </si>
  <si>
    <t>CV_ADHD_BASC3_ADOL_D</t>
  </si>
  <si>
    <t>WISC-6 Clinical Validity ADHD - (Adolescent) Paper</t>
  </si>
  <si>
    <t>CV_ADHD_BASC3_ADOL_P</t>
  </si>
  <si>
    <t>OSEP – ADHD - Digital</t>
  </si>
  <si>
    <t>OSEP_ADHD_D</t>
  </si>
  <si>
    <t>OSEP – Traumatic Brain Injury - Digital</t>
  </si>
  <si>
    <t>OSEP_TBI_D</t>
  </si>
  <si>
    <t>OSEP – Speech Impairment - Digital</t>
  </si>
  <si>
    <t>OSEP_SI_D</t>
  </si>
  <si>
    <t>OSEP – Specific Learning Disability - Digital</t>
  </si>
  <si>
    <t>OSEP_SLD_D</t>
  </si>
  <si>
    <t>WISC-6 Clinical Validity Autism spectrum disorder with no language impairment - (Adolescent) Digital</t>
  </si>
  <si>
    <t>CV_ASD_NO_LI_BASC3_ADOL_D</t>
  </si>
  <si>
    <t>OSEP – Orthopedic Impairment - Digital</t>
  </si>
  <si>
    <t>OSEP_OI_D</t>
  </si>
  <si>
    <t>OSEP – Multiple Disabilities - Digital</t>
  </si>
  <si>
    <t>OSEP_MD_D</t>
  </si>
  <si>
    <t>OSEP – Emotional Disturbance - Digital</t>
  </si>
  <si>
    <t>OSEP_ED_D</t>
  </si>
  <si>
    <t>OSEP – Developmental Delay - Digital</t>
  </si>
  <si>
    <t>OSEP_DD_D</t>
  </si>
  <si>
    <t>OSEP – Autism - Digital</t>
  </si>
  <si>
    <t>OSEP_AUT_D</t>
  </si>
  <si>
    <t>OSEP – ADHD - Paper</t>
  </si>
  <si>
    <t>OSEP_ADHD_P</t>
  </si>
  <si>
    <t>OSEP – Traumatic Brain Injury - Paper</t>
  </si>
  <si>
    <t>OSEP_TBI_P</t>
  </si>
  <si>
    <t>OSEP – Speech Impairment - Paper</t>
  </si>
  <si>
    <t>OSEP_SI_P</t>
  </si>
  <si>
    <t>WISC-6 Clinical English Learners - Paper</t>
  </si>
  <si>
    <t>C_EL_P</t>
  </si>
  <si>
    <t>WISC-6 Clinical Intellectually Gifted - Paper</t>
  </si>
  <si>
    <t>C_GT_P</t>
  </si>
  <si>
    <t>WISC-6 Clinical Intellectually Gifted - Digital</t>
  </si>
  <si>
    <t>C_GT_D</t>
  </si>
  <si>
    <t>WISC-6 Clinical Mild Intellectual Disability - Paper</t>
  </si>
  <si>
    <t>C_IDMI_P</t>
  </si>
  <si>
    <t>WISC-6 Clinical Validity Mild Intellectual Disability - Paper</t>
  </si>
  <si>
    <t>CV_IDMI_VINE3_P</t>
  </si>
  <si>
    <t>WISC-6 Clinical Mild Intellectual Disability - Digital</t>
  </si>
  <si>
    <t>C_IDMI_D</t>
  </si>
  <si>
    <t>WISC-6 Clinical Validity Mild Intellectual Disability - Digital</t>
  </si>
  <si>
    <t>CV_IDMI_VINE3_D</t>
  </si>
  <si>
    <t>WISC-6 Clinical Moderate Intellectual Disability - Paper</t>
  </si>
  <si>
    <t>C_IDMO_P</t>
  </si>
  <si>
    <t>WISC-6 Clinical Validity Moderate Intellectual Disability - Paper</t>
  </si>
  <si>
    <t>CV_IDMO_VINE3_P</t>
  </si>
  <si>
    <t>WISC-6 Clinical Specific Learning Disorder – Reading - Paper</t>
  </si>
  <si>
    <t>C_SLDR_P</t>
  </si>
  <si>
    <t>WISC-6 Clinical Validity Specific Learning Disorder – Reading - Paper</t>
  </si>
  <si>
    <t>CV_SLDR_WIAT4_P</t>
  </si>
  <si>
    <t>WISC-6 Clinical Specific Learning Disorder – Reading &amp; Written Expression - Paper</t>
  </si>
  <si>
    <t>C_SLDRW_P</t>
  </si>
  <si>
    <t>WISC-6 Clinical Validity Specific Learning Disorder – Reading &amp; Written Expression - Paper</t>
  </si>
  <si>
    <t>CV_SLDRW_WIAT4_P</t>
  </si>
  <si>
    <t>WISC-6 Clinical Validity Specific Learning Disorder – Mathematics - Paper</t>
  </si>
  <si>
    <t>CV_SLDM_WIAT4_P</t>
  </si>
  <si>
    <t>WISC-6 Clinical Language Disorder with Receptive Impairment (Ages 6-8) - Paper</t>
  </si>
  <si>
    <t>C_LDR_6-8_P</t>
  </si>
  <si>
    <t>WISC-6 Clinical Validity Autism spectrum disorder with no language impairment - (Child) Digital</t>
  </si>
  <si>
    <t>CV_ASD_NO_LI_BASC3_CH_D</t>
  </si>
  <si>
    <t>WISC-6 Clinical Autism spectrum disorder with no language impairment Digital</t>
  </si>
  <si>
    <t>C_ASD_NO_LI_D</t>
  </si>
  <si>
    <t>WISC-6 Clinical Validity Autism spectrum disorder with no language impairment - (Child) Paper</t>
  </si>
  <si>
    <t>CV_ASD_NO_LI_BASC3_CH_P</t>
  </si>
  <si>
    <t>WISC-6 Clinical Autism spectrum disorder with no language impairment - Paper</t>
  </si>
  <si>
    <t>C_ASD_NO_LI_P</t>
  </si>
  <si>
    <t>WISC-6 Clinical Validity Autism spectrum disorder with language impairment - (Child) Paper</t>
  </si>
  <si>
    <t>CV_ASD_LI_BASC3_CH_P</t>
  </si>
  <si>
    <t>WISC-6 Clinical Validity ADHD – (Child) Digital</t>
  </si>
  <si>
    <t>CV_ADHD_BASC3_CH_D</t>
  </si>
  <si>
    <t>WISC-6 Clinical ADHD Digital</t>
  </si>
  <si>
    <t>C_ADHD_D</t>
  </si>
  <si>
    <t>WISC-6 Clinical Validity ADHD - (Child) Paper</t>
  </si>
  <si>
    <t>CV_ADHD_BASC3_CH_P</t>
  </si>
  <si>
    <t>WISC-6 Clinical ADHD - Paper</t>
  </si>
  <si>
    <t>C_ADHD_P</t>
  </si>
  <si>
    <t>WISC-6 Clinical Specific Learning Disorder – Mathematics - Paper</t>
  </si>
  <si>
    <t>C_SLDM_P</t>
  </si>
  <si>
    <t>WISC-6 Clinical Autism spectrum disorder with language impairment - Paper</t>
  </si>
  <si>
    <t>C_ASD_LI_P</t>
  </si>
  <si>
    <t>Reliability</t>
  </si>
  <si>
    <t>Validity</t>
  </si>
  <si>
    <t>Other</t>
  </si>
  <si>
    <t>Quali_WISC5P_P</t>
  </si>
  <si>
    <t>Q_WISC5P_P</t>
  </si>
  <si>
    <t>Quali_WISC5 – Paper</t>
  </si>
  <si>
    <t>Q_WISC5_P</t>
  </si>
  <si>
    <t>Inactive</t>
  </si>
  <si>
    <t>gradeband</t>
  </si>
  <si>
    <t>report</t>
  </si>
  <si>
    <t>AS1</t>
  </si>
  <si>
    <t>AS2</t>
  </si>
  <si>
    <t>AS3</t>
  </si>
  <si>
    <t>AS4</t>
  </si>
  <si>
    <t>AS5</t>
  </si>
  <si>
    <t>BL1</t>
  </si>
  <si>
    <t>BL2</t>
  </si>
  <si>
    <t>BL3</t>
  </si>
  <si>
    <t>BL4</t>
  </si>
  <si>
    <t>BL5</t>
  </si>
  <si>
    <t>HI1</t>
  </si>
  <si>
    <t>HI2</t>
  </si>
  <si>
    <t>HI3</t>
  </si>
  <si>
    <t>HI4</t>
  </si>
  <si>
    <t>HI5</t>
  </si>
  <si>
    <t>OT1</t>
  </si>
  <si>
    <t>OT2</t>
  </si>
  <si>
    <t>OT3</t>
  </si>
  <si>
    <t>OT4</t>
  </si>
  <si>
    <t>OT5</t>
  </si>
  <si>
    <t>WH1</t>
  </si>
  <si>
    <t>WH2</t>
  </si>
  <si>
    <t>WH3</t>
  </si>
  <si>
    <t>WH4</t>
  </si>
  <si>
    <t>WH5</t>
  </si>
  <si>
    <t>LastRefreshed</t>
  </si>
  <si>
    <t/>
  </si>
  <si>
    <t>Target N</t>
  </si>
  <si>
    <t>09/17/2026 @ 7:18 AM</t>
  </si>
  <si>
    <t>Stratified Usable N</t>
  </si>
  <si>
    <t>Stratified Out Usable N</t>
  </si>
  <si>
    <t>In Process N</t>
  </si>
  <si>
    <t>Assigned Not Recd N</t>
  </si>
  <si>
    <t>Reserved Not Recd N</t>
  </si>
  <si>
    <t>Selected N</t>
  </si>
  <si>
    <t>09/17/2026 @ 7:17 AM</t>
  </si>
  <si>
    <t>09/17/2026 @ 7:19 AM</t>
  </si>
  <si>
    <t>Assigned Partial Recd N</t>
  </si>
  <si>
    <t>06.00.00-07.11.30</t>
  </si>
  <si>
    <t>08.00.00-11.11.30</t>
  </si>
  <si>
    <t>07.00.00-07.07.30</t>
  </si>
  <si>
    <t xml:space="preserve">Assignment Information </t>
  </si>
  <si>
    <t>Total usable from all tabs</t>
  </si>
  <si>
    <t>Tptal in-Process</t>
  </si>
  <si>
    <t>study</t>
  </si>
  <si>
    <t>Target</t>
  </si>
  <si>
    <t>usableCount</t>
  </si>
  <si>
    <t>Percentage</t>
  </si>
  <si>
    <t>Refreshed_Date</t>
  </si>
  <si>
    <t>Total Assigned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</si>
  <si>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</si>
  <si>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</si>
  <si>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</si>
  <si>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</si>
  <si>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</si>
  <si>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</si>
  <si>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</si>
  <si>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</si>
  <si>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</si>
  <si>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</si>
  <si>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3777</t>
  </si>
  <si>
    <t>3778</t>
  </si>
  <si>
    <t>All</t>
  </si>
  <si>
    <t>Total Assigments below Target</t>
  </si>
  <si>
    <t>Study Information</t>
  </si>
  <si>
    <t>Additional Information</t>
  </si>
  <si>
    <t>Usable greater/equal to target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</si>
  <si>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</si>
  <si>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3766</t>
  </si>
  <si>
    <t>Additional Requirements</t>
  </si>
  <si>
    <t>REG :      A least some for each region within sampling band
ETH :      ±4% for White, up to +4% for any other group, cannot go lower
               than target for any group except White. Must also meet margin 
                requirements for age x race/eth and age x PED but 
               age x race/eth x PED is reported in manual.
SEX :      Within each sampling band must be exactly 50/50 M/F
ED:         Vary by +2% for any group, but cannot go lower than target 
               for any group except PED 4 or 5
Each sampling band must be exactly N=200</t>
  </si>
  <si>
    <t>Demographic Variables</t>
  </si>
  <si>
    <t>Variance Tolerance:</t>
  </si>
  <si>
    <t>Status</t>
  </si>
  <si>
    <t>Ethnicity by Education Level</t>
  </si>
  <si>
    <t>Region</t>
  </si>
  <si>
    <t>Totals</t>
  </si>
  <si>
    <t>Open</t>
  </si>
  <si>
    <t>Usable</t>
  </si>
  <si>
    <t>In Process</t>
  </si>
  <si>
    <t>Assigned Not Received</t>
  </si>
  <si>
    <t>Reserved Not Received</t>
  </si>
  <si>
    <t>Selected</t>
  </si>
  <si>
    <t>Max N Variance</t>
  </si>
  <si>
    <t>Min N Variance</t>
  </si>
  <si>
    <t>Census %</t>
  </si>
  <si>
    <t>Usable %</t>
  </si>
  <si>
    <t>Difference %</t>
  </si>
  <si>
    <t xml:space="preserve">REG :      A least some for each region within sampling band
ETH :      ±4% for White, up to +4% for any other group, cannot go lower than   
                 target for any group except White. Must also meet margin 
                requirements for age x race/eth and age x PED but age x race/eth x 
                PED is reported in manual.
SEX :      Within each sampling band must be exactly 50/50 M/F
ED:         Vary by +2% for any group, but cannot go lower than target for any 
                group except PED 4 or 5
Each sampling band must be exactly N=200
</t>
  </si>
  <si>
    <t>Education Level</t>
  </si>
  <si>
    <t>Ethnicity</t>
  </si>
  <si>
    <t>OTH</t>
  </si>
  <si>
    <t>INT</t>
  </si>
  <si>
    <t xml:space="preserve"> </t>
  </si>
  <si>
    <t>Study ID:                          
3767</t>
  </si>
  <si>
    <t>REG :      A least some for each region within sampling band
ETH :      ±4% for White, up to +4% for any other group, cannot go lower
               than target for any group except White. Must also meet                 margin requirements for age x race/eth and age x PED but 
               age x race/eth x PED is reported in manual.
SEX :      Within each sampling band must be exactly 50/50 M/F
ED:         Vary by +2% for any group, but cannot go lower than target 
               for any group except PED 4 or 5
-Vary by ±1 case within sampling band; make up for in adjacent sampling band.
-Ages 6-7 must have 100 cases</t>
  </si>
  <si>
    <t>REG :      A least some for each region within sampling band
ETH :      ±4% for White, up to +4% for any other group, cannot go lower than   
                 target for any group except White. Must also meet margin 
                requirements for age x race/eth and age x PED but age x race/eth x 
                PED is reported in manual.
SEX :      Within each sampling band must be exactly 50/50 M/F
ED:         Vary by +2% for any group, but cannot go lower than target for any 
                group except PED 4 or 5
-Vary by ±1 case within sampling band; make up for in adjacent sampling band.
-Ages 6-7 must have 100 cases</t>
  </si>
  <si>
    <t>Usable = case is available to Psychometrics for this study
In Process = questionable, In Process
Assigned Not Recd = Tests assigned to examiners, no tests received (required tests)
Reserved not Received = Tests in reserved status, not received
Total Assignments = sum of Usable, Received Non Final, Assigned Partial Received, Assigned Not Received
Selected = default status for making an assignment</t>
  </si>
  <si>
    <t>Study ID:                          
3768</t>
  </si>
  <si>
    <t xml:space="preserve">ED :     Vary by ±20%
           Do not go below targets for PED 1, 2, or 3.  
Can vary by ±4 cases per sampling band; make up the cases in adjoining sampling band,
required intervals : 14-49 days
</t>
  </si>
  <si>
    <t>some of each</t>
  </si>
  <si>
    <t>CLOSED</t>
  </si>
  <si>
    <t>ED :      Vary by ±4%. Make up the cases in adjoining sampling band:
Must have a total of 40 cases in ages 6–7
Do not go below targets for PED 1, 2, or 3</t>
  </si>
  <si>
    <t>08.00.00-09.11.30</t>
  </si>
  <si>
    <t>10.00.00-11.11.30</t>
  </si>
  <si>
    <t>12.00.00-13.11.30</t>
  </si>
  <si>
    <t>14.00.00-16.11.30</t>
  </si>
  <si>
    <t>Study ID:                          
3769</t>
  </si>
  <si>
    <t xml:space="preserve">ED : Need some 1s/2s but OK if they are all 2s or all 1s.
Must have 30 in each
required intervals : 14-49 days
</t>
  </si>
  <si>
    <t>Sum of openCells</t>
  </si>
  <si>
    <t>Row Labels</t>
  </si>
  <si>
    <t>Grand Total</t>
  </si>
  <si>
    <t>(blank)</t>
  </si>
  <si>
    <t>Study ID:                        
3772</t>
  </si>
  <si>
    <r>
      <t xml:space="preserve">ED :     Sampling band margins should balance to census ±2-4% 
             at the end. Do not go below targets for PED 1, 2, or 3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required intervals : 14-49 days</t>
    </r>
  </si>
  <si>
    <t>Study ID:                          
3773</t>
  </si>
  <si>
    <r>
      <t>ED :    Sampling band margins should balance to census ±2-4% at the end. Do not go below targets for PED 1, 2, or 3.
Vary by ± 5 cases in each sampling band.
Variety in every sampling band (</t>
    </r>
    <r>
      <rPr>
        <b/>
        <sz val="12"/>
        <color theme="1"/>
        <rFont val="Calibri"/>
        <family val="2"/>
        <scheme val="minor"/>
      </rPr>
      <t>at least 2 of PED 1 or 2 for every sampling band</t>
    </r>
    <r>
      <rPr>
        <sz val="12"/>
        <color theme="1"/>
        <rFont val="Calibri"/>
        <family val="2"/>
        <scheme val="minor"/>
      </rPr>
      <t xml:space="preserve">; if not in that sampling band, make up for case in adjacent sampling band)
</t>
    </r>
    <r>
      <rPr>
        <b/>
        <sz val="12"/>
        <color theme="1"/>
        <rFont val="Calibri"/>
        <family val="2"/>
        <scheme val="minor"/>
      </rPr>
      <t>This table tracks PED 1-2 minimums, which may differ from census minimums.</t>
    </r>
  </si>
  <si>
    <t xml:space="preserve">ED :    Sampling band margins should balance to census ±2-4% 
            at the end. Do not go below targets for PED 1, 2, or 3.
Vary by ± 5 cases in each sampling band
Variety in every sampling band (at least 2 of PED 1 or 2 for every sampling band; if not in that sampling band, make up for case in adjacent sampling band)
required intervals : 0-49 days
</t>
  </si>
  <si>
    <t>1-2</t>
  </si>
  <si>
    <t xml:space="preserve"> 
</t>
  </si>
  <si>
    <t>Study ID:                          
3774</t>
  </si>
  <si>
    <t xml:space="preserve">ED :    Sampling band margins should balance to census ±2-4% 
           at the end. Do not go below targets for PED 1, 2, or 3.
Vary by ± 5 cases in each sampling band
Variety in every sampling band (at least 2 of PED 1 or 2 for every sampling band; if not in that sampling band, make up for case in adjacent sampling band)
required intervals : 0-49 days
</t>
  </si>
  <si>
    <t>1 - 2</t>
  </si>
  <si>
    <t>Study ID:                         
3771</t>
  </si>
  <si>
    <t>ED : Sampling band margins should balance to census ±2-4% 
       at the end. Do not go below targets for PED 1, 2, or 3
Vary by ± 5 cases in each sampling band
Variety in every sampling band (at least 2 PED 1 or 2 for every sampling band)
required intervals : 14-49 days</t>
  </si>
  <si>
    <t xml:space="preserve"> 1-2</t>
  </si>
  <si>
    <t>Study ID:                          
 3770</t>
  </si>
  <si>
    <r>
      <t>ED :     Sampling band margins should balance to census</t>
    </r>
    <r>
      <rPr>
        <b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 (Body)"/>
      </rPr>
      <t>±2-4%</t>
    </r>
    <r>
      <rPr>
        <b/>
        <sz val="12"/>
        <color theme="1"/>
        <rFont val="Calibri (Body)"/>
      </rPr>
      <t xml:space="preserve"> </t>
    </r>
    <r>
      <rPr>
        <sz val="10"/>
        <color theme="1"/>
        <rFont val="Calibri"/>
        <family val="2"/>
        <scheme val="minor"/>
      </rPr>
      <t xml:space="preserve">
            at the end. Do not go below targets for PED 1, 2, or 3
Variety in every sampling band (at least 2 of PED 1 or 2 for every sampling band; if not in that sampling band, make up for case in adjacent sampling band)
required intervals : 14-49 days</t>
    </r>
  </si>
  <si>
    <t xml:space="preserve"> 1- 2</t>
  </si>
  <si>
    <t>Study ID:                          
3777</t>
  </si>
  <si>
    <t>ED :    Sampling band margins should balance to census ±2-4% 
           at the end. Do not go below targets for PED 1, 2, or 3.
          Variety in every sampling band (at least 2 of PED 1 or 2 for 
          every sampling band)
Vary by ± 5 cases in each sampling band.
required intervals: 14-49 days</t>
  </si>
  <si>
    <t>Study ID:                          
3775</t>
  </si>
  <si>
    <t>ED :     Sampling band margins should balance to census ±2-4% at the end. Do not go below targets for PED 1, 2, or 3.
            Variety in every sampling band (at least 2 of PED 1 or 2 for every sampling band; if not in that sampling band, make up for  case in adjacent sampling band)
Vary by ± 2 cases in each sampling band.; make up for in adjacent band required intervals: 14-49 days</t>
  </si>
  <si>
    <t>Study ID:                          
3778</t>
  </si>
  <si>
    <t>ED :     Sampling band margins should balance to census ±2-4% . 
          However, do not go below overall targets for PED 1, 2, or 3
required intervals: 14-49 days</t>
  </si>
  <si>
    <t>Remaining Usable Assignments Needed</t>
  </si>
  <si>
    <t>Peggy created this tab so that I can accurately update forecasting</t>
  </si>
  <si>
    <t>(Only counting age bands where Target &gt; Usable)</t>
  </si>
  <si>
    <t>Test Pay for Remaining Assignments</t>
  </si>
  <si>
    <t>Tab Name</t>
  </si>
  <si>
    <t>Assignments Still Needed</t>
  </si>
  <si>
    <t>Tests Included</t>
  </si>
  <si>
    <t>EXR Pay</t>
  </si>
  <si>
    <t>EXEE Pay</t>
  </si>
  <si>
    <t>STUDY PAY</t>
  </si>
  <si>
    <t>WISC6_P</t>
  </si>
  <si>
    <t>Test Name in Portal</t>
  </si>
  <si>
    <t>Test Acronym</t>
  </si>
  <si>
    <t>WISC6_D</t>
  </si>
  <si>
    <t>WISC-6</t>
  </si>
  <si>
    <t>R_WISC6_P</t>
  </si>
  <si>
    <t>WISC-6 – 2nd Administration</t>
  </si>
  <si>
    <t>RC_WISC6_D</t>
  </si>
  <si>
    <t>WISC-6 Digital (Q-interactive)</t>
  </si>
  <si>
    <t>WISC6_P + WAIS5_P</t>
  </si>
  <si>
    <t>WISC-6 Digital (Q-interactive) – 2nd Administration (Selected Subtests)</t>
  </si>
  <si>
    <t>WISC6_P + WIAT4_P</t>
  </si>
  <si>
    <t>WISC-5 PLUS</t>
  </si>
  <si>
    <t>WISC5P_P</t>
  </si>
  <si>
    <t>WISC6_P + KTEA3_P</t>
  </si>
  <si>
    <t>WPPSI-4</t>
  </si>
  <si>
    <t>WPPSI4_P</t>
  </si>
  <si>
    <t>WISC6_P + WPPSI4_P</t>
  </si>
  <si>
    <t>WAIS-5</t>
  </si>
  <si>
    <t>WAIS5_P</t>
  </si>
  <si>
    <t>WISC6_P + WISC5P_P</t>
  </si>
  <si>
    <t>WIAT-4</t>
  </si>
  <si>
    <t>WIAT4_P</t>
  </si>
  <si>
    <t>KTEA-3 From A</t>
  </si>
  <si>
    <t>KTEA3_P</t>
  </si>
  <si>
    <t>Vineland-3 Caregiver</t>
  </si>
  <si>
    <t>VINELAND3_D</t>
  </si>
  <si>
    <t>BASC-3 Parent Rating Form (Ages 6-11)</t>
  </si>
  <si>
    <t>BASC3_CH_PARENT_D</t>
  </si>
  <si>
    <t>GRAND TOTAL</t>
  </si>
  <si>
    <t>BASC-3 Parent Rating Form (Ages 12-21)</t>
  </si>
  <si>
    <t>BASC3_ADO_PARENT_D</t>
  </si>
  <si>
    <t>CELF-5 (Ages 6-8)</t>
  </si>
  <si>
    <t>CELF5_RF1_P</t>
  </si>
  <si>
    <t>CELF-5 (Ages 9-16)</t>
  </si>
  <si>
    <t>CELF5_RF2_P</t>
  </si>
  <si>
    <t>ED1 Assignment Holes (Education Level 1)</t>
  </si>
  <si>
    <t>ED1 Assignments Still Needed</t>
  </si>
  <si>
    <t>ED1 EXR Pay</t>
  </si>
  <si>
    <t>ED1 EXEE Pay</t>
  </si>
  <si>
    <t>Demographic Pay</t>
  </si>
  <si>
    <t>Description</t>
  </si>
  <si>
    <t>EXR Demo Pay</t>
  </si>
  <si>
    <t>EXEE Demo Pay</t>
  </si>
  <si>
    <t>ED1 TOTAL</t>
  </si>
  <si>
    <t>ED1 WISC6_P</t>
  </si>
  <si>
    <t>ED1 WISC6_D</t>
  </si>
  <si>
    <t>COMBINED TOTALS</t>
  </si>
  <si>
    <t>Total EXR Pay</t>
  </si>
  <si>
    <t>Total EXEE Pay</t>
  </si>
  <si>
    <t>Test Pay Total</t>
  </si>
  <si>
    <t>ED1 Demographic Pay Total</t>
  </si>
  <si>
    <t>WISC6_STDZ_P — Ethnicity by Education Below Target</t>
  </si>
  <si>
    <t>Only combinations where Usable is strictly less than Target; values link to WISC6_STDZ_P.</t>
  </si>
  <si>
    <t>Below-target combinations</t>
  </si>
  <si>
    <t>Age Band</t>
  </si>
  <si>
    <t>Shortfall</t>
  </si>
  <si>
    <t>Source Target Cell</t>
  </si>
  <si>
    <t>WISC6_STDZ_P!E13</t>
  </si>
  <si>
    <t>WISC6_STDZ_P!F13</t>
  </si>
  <si>
    <t>WISC6_STDZ_P!G13</t>
  </si>
  <si>
    <t>WISC6_STDZ_P!J13</t>
  </si>
  <si>
    <t>WISC6_STDZ_P!K13</t>
  </si>
  <si>
    <t>WISC6_STDZ_P!L13</t>
  </si>
  <si>
    <t>WISC6_STDZ_P!M13</t>
  </si>
  <si>
    <t>WISC6_STDZ_P!P13</t>
  </si>
  <si>
    <t>WISC6_STDZ_P!S13</t>
  </si>
  <si>
    <t>WISC6_STDZ_P!T13</t>
  </si>
  <si>
    <t>WISC6_STDZ_P!U13</t>
  </si>
  <si>
    <t>WISC6_STDZ_P!V13</t>
  </si>
  <si>
    <t>WISC6_STDZ_P!X13</t>
  </si>
  <si>
    <t>WISC6_STDZ_P!Y13</t>
  </si>
  <si>
    <t>WISC6_STDZ_P!Z13</t>
  </si>
  <si>
    <t>WISC6_STDZ_P!AA13</t>
  </si>
  <si>
    <t>WISC6_STDZ_P!AB13</t>
  </si>
  <si>
    <t>WISC6_STDZ_P!E26</t>
  </si>
  <si>
    <t>WISC6_STDZ_P!F26</t>
  </si>
  <si>
    <t>WISC6_STDZ_P!I26</t>
  </si>
  <si>
    <t>WISC6_STDZ_P!J26</t>
  </si>
  <si>
    <t>WISC6_STDZ_P!O26</t>
  </si>
  <si>
    <t>WISC6_STDZ_P!Q26</t>
  </si>
  <si>
    <t>WISC6_STDZ_P!S26</t>
  </si>
  <si>
    <t>WISC6_STDZ_P!T26</t>
  </si>
  <si>
    <t>WISC6_STDZ_P!U26</t>
  </si>
  <si>
    <t>WISC6_STDZ_P!V26</t>
  </si>
  <si>
    <t>WISC6_STDZ_P!X26</t>
  </si>
  <si>
    <t>WISC6_STDZ_P!Y26</t>
  </si>
  <si>
    <t>WISC6_STDZ_P!Z26</t>
  </si>
  <si>
    <t>WISC6_STDZ_P!E40</t>
  </si>
  <si>
    <t>WISC6_STDZ_P!F40</t>
  </si>
  <si>
    <t>WISC6_STDZ_P!H40</t>
  </si>
  <si>
    <t>WISC6_STDZ_P!I40</t>
  </si>
  <si>
    <t>WISC6_STDZ_P!L40</t>
  </si>
  <si>
    <t>WISC6_STDZ_P!M40</t>
  </si>
  <si>
    <t>WISC6_STDZ_P!O40</t>
  </si>
  <si>
    <t>WISC6_STDZ_P!Q40</t>
  </si>
  <si>
    <t>WISC6_STDZ_P!T40</t>
  </si>
  <si>
    <t>WISC6_STDZ_P!V40</t>
  </si>
  <si>
    <t>WISC6_STDZ_P!X40</t>
  </si>
  <si>
    <t>WISC6_STDZ_P!Z40</t>
  </si>
  <si>
    <t>WISC6_STDZ_P!AA40</t>
  </si>
  <si>
    <t>WISC6_STDZ_P!AB40</t>
  </si>
  <si>
    <t>WISC6_STDZ_P!F53</t>
  </si>
  <si>
    <t>WISC6_STDZ_P!G53</t>
  </si>
  <si>
    <t>WISC6_STDZ_P!L53</t>
  </si>
  <si>
    <t>WISC6_STDZ_P!N53</t>
  </si>
  <si>
    <t>WISC6_STDZ_P!O53</t>
  </si>
  <si>
    <t>WISC6_STDZ_P!P53</t>
  </si>
  <si>
    <t>WISC6_STDZ_P!Q53</t>
  </si>
  <si>
    <t>WISC6_STDZ_P!S53</t>
  </si>
  <si>
    <t>WISC6_STDZ_P!T53</t>
  </si>
  <si>
    <t>WISC6_STDZ_P!W53</t>
  </si>
  <si>
    <t>WISC6_STDZ_P!X53</t>
  </si>
  <si>
    <t>WISC6_STDZ_P!Z53</t>
  </si>
  <si>
    <t>WISC6_STDZ_P!AA53</t>
  </si>
  <si>
    <t>WISC6_STDZ_P!AC53</t>
  </si>
  <si>
    <t>WISC6_STDZ_P!E66</t>
  </si>
  <si>
    <t>WISC6_STDZ_P!F66</t>
  </si>
  <si>
    <t>WISC6_STDZ_P!G66</t>
  </si>
  <si>
    <t>WISC6_STDZ_P!K66</t>
  </si>
  <si>
    <t>WISC6_STDZ_P!L66</t>
  </si>
  <si>
    <t>WISC6_STDZ_P!M66</t>
  </si>
  <si>
    <t>WISC6_STDZ_P!O66</t>
  </si>
  <si>
    <t>WISC6_STDZ_P!P66</t>
  </si>
  <si>
    <t>WISC6_STDZ_P!Q66</t>
  </si>
  <si>
    <t>WISC6_STDZ_P!T66</t>
  </si>
  <si>
    <t>WISC6_STDZ_P!V66</t>
  </si>
  <si>
    <t>WISC6_STDZ_P!Y66</t>
  </si>
  <si>
    <t>WISC6_STDZ_P!Z66</t>
  </si>
  <si>
    <t>WISC6_STDZ_P!AB66</t>
  </si>
  <si>
    <t>WISC6_STDZ_P!AC66</t>
  </si>
  <si>
    <t>WISC6_STDZ_P!F79</t>
  </si>
  <si>
    <t>WISC6_STDZ_P!G79</t>
  </si>
  <si>
    <t>WISC6_STDZ_P!I79</t>
  </si>
  <si>
    <t>WISC6_STDZ_P!N79</t>
  </si>
  <si>
    <t>WISC6_STDZ_P!O79</t>
  </si>
  <si>
    <t>WISC6_STDZ_P!P79</t>
  </si>
  <si>
    <t>WISC6_STDZ_P!Q79</t>
  </si>
  <si>
    <t>WISC6_STDZ_P!S79</t>
  </si>
  <si>
    <t>WISC6_STDZ_P!T79</t>
  </si>
  <si>
    <t>WISC6_STDZ_P!U79</t>
  </si>
  <si>
    <t>WISC6_STDZ_P!V79</t>
  </si>
  <si>
    <t>WISC6_STDZ_P!X79</t>
  </si>
  <si>
    <t>WISC6_STDZ_P!Y79</t>
  </si>
  <si>
    <t>WISC6_STDZ_P!Z79</t>
  </si>
  <si>
    <t>WISC6_STDZ_P!AB79</t>
  </si>
  <si>
    <t>WISC6_STDZ_P!E92</t>
  </si>
  <si>
    <t>WISC6_STDZ_P!G92</t>
  </si>
  <si>
    <t>WISC6_STDZ_P!L92</t>
  </si>
  <si>
    <t>WISC6_STDZ_P!P92</t>
  </si>
  <si>
    <t>WISC6_STDZ_P!T92</t>
  </si>
  <si>
    <t>WISC6_STDZ_P!U92</t>
  </si>
  <si>
    <t>WISC6_STDZ_P!V92</t>
  </si>
  <si>
    <t>WISC6_STDZ_P!X92</t>
  </si>
  <si>
    <t>WISC6_STDZ_P!Y92</t>
  </si>
  <si>
    <t>WISC6_STDZ_P!Z92</t>
  </si>
  <si>
    <t>WISC6_STDZ_P!AC92</t>
  </si>
  <si>
    <t>WISC6_STDZ_P!E105</t>
  </si>
  <si>
    <t>WISC6_STDZ_P!G105</t>
  </si>
  <si>
    <t>WISC6_STDZ_P!J105</t>
  </si>
  <si>
    <t>WISC6_STDZ_P!L105</t>
  </si>
  <si>
    <t>WISC6_STDZ_P!O105</t>
  </si>
  <si>
    <t>WISC6_STDZ_P!P105</t>
  </si>
  <si>
    <t>WISC6_STDZ_P!Q105</t>
  </si>
  <si>
    <t>WISC6_STDZ_P!R105</t>
  </si>
  <si>
    <t>WISC6_STDZ_P!S105</t>
  </si>
  <si>
    <t>WISC6_STDZ_P!T105</t>
  </si>
  <si>
    <t>WISC6_STDZ_P!W105</t>
  </si>
  <si>
    <t>WISC6_STDZ_P!Y105</t>
  </si>
  <si>
    <t>WISC6_STDZ_P!Z105</t>
  </si>
  <si>
    <t>WISC6_STDZ_P!AB105</t>
  </si>
  <si>
    <t>WISC6_STDZ_P!F118</t>
  </si>
  <si>
    <t>WISC6_STDZ_P!G118</t>
  </si>
  <si>
    <t>WISC6_STDZ_P!I118</t>
  </si>
  <si>
    <t>WISC6_STDZ_P!J118</t>
  </si>
  <si>
    <t>WISC6_STDZ_P!L118</t>
  </si>
  <si>
    <t>WISC6_STDZ_P!M118</t>
  </si>
  <si>
    <t>WISC6_STDZ_P!P118</t>
  </si>
  <si>
    <t>WISC6_STDZ_P!Q118</t>
  </si>
  <si>
    <t>WISC6_STDZ_P!R118</t>
  </si>
  <si>
    <t>WISC6_STDZ_P!T118</t>
  </si>
  <si>
    <t>WISC6_STDZ_P!V118</t>
  </si>
  <si>
    <t>WISC6_STDZ_P!Y118</t>
  </si>
  <si>
    <t>WISC6_STDZ_P!Z118</t>
  </si>
  <si>
    <t>WISC6_STDZ_P!AA118</t>
  </si>
  <si>
    <t>WISC6_STDZ_P!AB118</t>
  </si>
  <si>
    <t>WISC6_STDZ_P!E131</t>
  </si>
  <si>
    <t>WISC6_STDZ_P!F131</t>
  </si>
  <si>
    <t>WISC6_STDZ_P!G131</t>
  </si>
  <si>
    <t>WISC6_STDZ_P!H131</t>
  </si>
  <si>
    <t>WISC6_STDZ_P!O131</t>
  </si>
  <si>
    <t>WISC6_STDZ_P!Q131</t>
  </si>
  <si>
    <t>WISC6_STDZ_P!R131</t>
  </si>
  <si>
    <t>WISC6_STDZ_P!T131</t>
  </si>
  <si>
    <t>WISC6_STDZ_P!V131</t>
  </si>
  <si>
    <t>WISC6_STDZ_P!W131</t>
  </si>
  <si>
    <t>WISC6_STDZ_P!Y131</t>
  </si>
  <si>
    <t>WISC6_STDZ_P!Z131</t>
  </si>
  <si>
    <t>WISC6_STDZ_P!AA131</t>
  </si>
  <si>
    <t>WISC6_STDZ_P!AC131</t>
  </si>
  <si>
    <t>WISC6_STDZ_P!G144</t>
  </si>
  <si>
    <t>WISC6_STDZ_P!H144</t>
  </si>
  <si>
    <t>WISC6_STDZ_P!I144</t>
  </si>
  <si>
    <t>WISC6_STDZ_P!J144</t>
  </si>
  <si>
    <t>WISC6_STDZ_P!L144</t>
  </si>
  <si>
    <t>WISC6_STDZ_P!M144</t>
  </si>
  <si>
    <t>WISC6_STDZ_P!P144</t>
  </si>
  <si>
    <t>WISC6_STDZ_P!R144</t>
  </si>
  <si>
    <t>WISC6_STDZ_P!U144</t>
  </si>
  <si>
    <t>WISC6_STDZ_P!V144</t>
  </si>
  <si>
    <t>WISC6_STDZ_P!Y144</t>
  </si>
  <si>
    <t>WISC6_STDZ_P!Z144</t>
  </si>
  <si>
    <t>WISC6_STDZ_P!AA144</t>
  </si>
  <si>
    <t>WISC6_STDZ_P!E157</t>
  </si>
  <si>
    <t>WISC6_STDZ_P!F157</t>
  </si>
  <si>
    <t>WISC6_STDZ_P!G157</t>
  </si>
  <si>
    <t>WISC6_STDZ_P!L157</t>
  </si>
  <si>
    <t>WISC6_STDZ_P!M157</t>
  </si>
  <si>
    <t>WISC6_STDZ_P!O157</t>
  </si>
  <si>
    <t>WISC6_STDZ_P!P157</t>
  </si>
  <si>
    <t>WISC6_STDZ_P!Q157</t>
  </si>
  <si>
    <t>WISC6_STDZ_P!T157</t>
  </si>
  <si>
    <t>WISC6_STDZ_P!U157</t>
  </si>
  <si>
    <t>WISC6_STDZ_P!V157</t>
  </si>
  <si>
    <t>WISC6_STDZ_P!W157</t>
  </si>
  <si>
    <t>WISC6_STDZ_P!Y157</t>
  </si>
  <si>
    <t>WISC6_STDZ_P!Z157</t>
  </si>
  <si>
    <t>WISC6_STDZ_P!AA157</t>
  </si>
  <si>
    <t>WISC6_STDZ_P!AB157</t>
  </si>
  <si>
    <t>WISC6_STDZ_P!AC157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</si>
</sst>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0.0"/>
    <numFmt numFmtId="165" formatCode="0.0%"/>
    <numFmt numFmtId="166" formatCode="\'##\'"/>
    <numFmt numFmtId="167" formatCode="\±#%"/>
    <numFmt numFmtId="168" formatCode="&quot;$&quot;#,##0"/>
  </numFmts>
  <fonts count="6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rgb="FFC00000"/>
      <name val="Calibri (Body)"/>
    </font>
    <font>
      <sz val="6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color theme="1"/>
      <name val="Calibri (Body)"/>
    </font>
    <font>
      <b/>
      <sz val="11"/>
      <color rgb="FFFF0000"/>
      <name val="Calibri"/>
      <family val="2"/>
      <scheme val="minor"/>
    </font>
    <font>
      <sz val="12"/>
      <color theme="0"/>
      <name val="Times New Roman"/>
      <family val="1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0"/>
      <color rgb="FFFF0000"/>
      <name val="Calibri (Body)"/>
    </font>
    <font>
      <i/>
      <sz val="10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color theme="0" tint="-0.499984740745262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 (Body)"/>
    </font>
    <font>
      <b/>
      <sz val="11"/>
      <color theme="5" tint="-0.249977111117893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Calibri (Body)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666666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2F5496"/>
        <bgColor indexed="64"/>
      </patternFill>
    </fill>
    <fill>
      <patternFill patternType="solid">
        <fgColor rgb="FF1F4E78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0"/>
      </left>
      <right style="medium">
        <color indexed="64"/>
      </right>
      <top style="thick">
        <color theme="0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ck">
        <color theme="0"/>
      </top>
      <bottom style="medium">
        <color indexed="64"/>
      </bottom>
      <diagonal/>
    </border>
    <border>
      <left style="thick">
        <color theme="0"/>
      </left>
      <right style="thick">
        <color theme="0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theme="0"/>
      </top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medium">
        <color indexed="64"/>
      </left>
      <right style="thick">
        <color theme="0"/>
      </right>
      <top/>
      <bottom/>
      <diagonal/>
    </border>
    <border>
      <left style="medium">
        <color indexed="64"/>
      </left>
      <right/>
      <top style="thick">
        <color theme="0"/>
      </top>
      <bottom style="thick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auto="1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indexed="64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theme="0"/>
      </left>
      <right style="thick">
        <color indexed="64"/>
      </right>
      <top style="thick">
        <color theme="0"/>
      </top>
      <bottom/>
      <diagonal/>
    </border>
    <border>
      <left style="thick">
        <color theme="0"/>
      </left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ck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theme="0"/>
      </left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ck">
        <color theme="0"/>
      </right>
      <top/>
      <bottom style="medium">
        <color indexed="64"/>
      </bottom>
      <diagonal/>
    </border>
    <border>
      <left style="thick">
        <color theme="0"/>
      </left>
      <right style="medium">
        <color indexed="64"/>
      </right>
      <top/>
      <bottom/>
      <diagonal/>
    </border>
    <border>
      <left style="thick">
        <color theme="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0" fontId="10" fillId="0" borderId="0"/>
    <xf numFmtId="0" fontId="27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  <xf numFmtId="0" fontId="49" fillId="20" borderId="0" applyNumberFormat="0" applyBorder="0" applyAlignment="0" applyProtection="0"/>
  </cellStyleXfs>
  <cellXfs count="600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4" borderId="0" xfId="0" applyFill="1" applyAlignment="1">
      <alignment horizontal="center"/>
    </xf>
    <xf numFmtId="0" fontId="11" fillId="0" borderId="0" xfId="0" applyFont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9" borderId="0" xfId="0" applyFont="1" applyFill="1" applyAlignment="1">
      <alignment horizont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9" fontId="0" fillId="0" borderId="0" xfId="1" applyFont="1" applyAlignment="1">
      <alignment horizontal="center"/>
    </xf>
    <xf numFmtId="0" fontId="13" fillId="4" borderId="0" xfId="0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23" fillId="4" borderId="0" xfId="0" applyFont="1" applyFill="1"/>
    <xf numFmtId="0" fontId="26" fillId="0" borderId="15" xfId="3" applyFont="1" applyBorder="1"/>
    <xf numFmtId="0" fontId="0" fillId="0" borderId="15" xfId="0" applyBorder="1" applyAlignment="1">
      <alignment horizontal="center"/>
    </xf>
    <xf numFmtId="0" fontId="11" fillId="4" borderId="0" xfId="0" applyFont="1" applyFill="1" applyAlignment="1">
      <alignment wrapText="1"/>
    </xf>
    <xf numFmtId="0" fontId="13" fillId="4" borderId="0" xfId="0" applyFont="1" applyFill="1"/>
    <xf numFmtId="0" fontId="11" fillId="3" borderId="16" xfId="0" applyFont="1" applyFill="1" applyBorder="1" applyAlignment="1">
      <alignment horizontal="center"/>
    </xf>
    <xf numFmtId="166" fontId="11" fillId="3" borderId="14" xfId="0" applyNumberFormat="1" applyFont="1" applyFill="1" applyBorder="1" applyAlignment="1">
      <alignment horizontal="center"/>
    </xf>
    <xf numFmtId="1" fontId="11" fillId="3" borderId="14" xfId="0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26" fillId="4" borderId="0" xfId="0" applyFont="1" applyFill="1" applyAlignment="1">
      <alignment horizontal="center"/>
    </xf>
    <xf numFmtId="0" fontId="16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right" indent="1"/>
    </xf>
    <xf numFmtId="0" fontId="15" fillId="4" borderId="0" xfId="0" applyFont="1" applyFill="1" applyAlignment="1">
      <alignment horizontal="left"/>
    </xf>
    <xf numFmtId="0" fontId="12" fillId="6" borderId="14" xfId="2" applyFont="1" applyFill="1" applyBorder="1" applyAlignment="1">
      <alignment horizontal="right" vertical="center" wrapText="1" indent="1"/>
    </xf>
    <xf numFmtId="0" fontId="20" fillId="5" borderId="18" xfId="2" applyFont="1" applyFill="1" applyBorder="1" applyAlignment="1">
      <alignment horizontal="center" vertical="center"/>
    </xf>
    <xf numFmtId="0" fontId="0" fillId="4" borderId="0" xfId="0" applyFill="1" applyAlignment="1">
      <alignment horizontal="right" indent="1"/>
    </xf>
    <xf numFmtId="0" fontId="15" fillId="4" borderId="5" xfId="0" applyFont="1" applyFill="1" applyBorder="1" applyAlignment="1">
      <alignment horizontal="left"/>
    </xf>
    <xf numFmtId="0" fontId="15" fillId="4" borderId="0" xfId="0" applyFont="1" applyFill="1" applyAlignment="1">
      <alignment horizontal="right" indent="1"/>
    </xf>
    <xf numFmtId="0" fontId="19" fillId="7" borderId="3" xfId="0" applyFont="1" applyFill="1" applyBorder="1" applyAlignment="1">
      <alignment horizontal="right" indent="1"/>
    </xf>
    <xf numFmtId="0" fontId="18" fillId="4" borderId="0" xfId="0" applyFont="1" applyFill="1" applyAlignment="1">
      <alignment horizontal="right" indent="1"/>
    </xf>
    <xf numFmtId="1" fontId="31" fillId="0" borderId="5" xfId="0" applyNumberFormat="1" applyFont="1" applyBorder="1" applyAlignment="1">
      <alignment horizontal="center"/>
    </xf>
    <xf numFmtId="0" fontId="19" fillId="8" borderId="20" xfId="0" applyFont="1" applyFill="1" applyBorder="1" applyAlignment="1">
      <alignment horizontal="right" indent="1"/>
    </xf>
    <xf numFmtId="0" fontId="18" fillId="4" borderId="1" xfId="0" applyFont="1" applyFill="1" applyBorder="1" applyAlignment="1">
      <alignment horizontal="right" indent="1"/>
    </xf>
    <xf numFmtId="1" fontId="19" fillId="7" borderId="2" xfId="0" applyNumberFormat="1" applyFont="1" applyFill="1" applyBorder="1" applyAlignment="1">
      <alignment horizontal="center"/>
    </xf>
    <xf numFmtId="1" fontId="19" fillId="7" borderId="3" xfId="0" applyNumberFormat="1" applyFont="1" applyFill="1" applyBorder="1" applyAlignment="1">
      <alignment horizontal="center"/>
    </xf>
    <xf numFmtId="1" fontId="19" fillId="7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9" fillId="0" borderId="0" xfId="0" applyFont="1"/>
    <xf numFmtId="0" fontId="30" fillId="4" borderId="25" xfId="2" applyFont="1" applyFill="1" applyBorder="1" applyAlignment="1">
      <alignment horizontal="left"/>
    </xf>
    <xf numFmtId="0" fontId="0" fillId="4" borderId="16" xfId="0" applyFill="1" applyBorder="1"/>
    <xf numFmtId="0" fontId="11" fillId="4" borderId="26" xfId="0" applyFont="1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23" fillId="4" borderId="16" xfId="0" applyFont="1" applyFill="1" applyBorder="1"/>
    <xf numFmtId="0" fontId="23" fillId="4" borderId="28" xfId="0" applyFont="1" applyFill="1" applyBorder="1"/>
    <xf numFmtId="0" fontId="0" fillId="4" borderId="29" xfId="0" applyFill="1" applyBorder="1"/>
    <xf numFmtId="0" fontId="0" fillId="4" borderId="30" xfId="0" applyFill="1" applyBorder="1"/>
    <xf numFmtId="0" fontId="0" fillId="4" borderId="14" xfId="0" applyFill="1" applyBorder="1"/>
    <xf numFmtId="0" fontId="0" fillId="4" borderId="27" xfId="0" applyFill="1" applyBorder="1"/>
    <xf numFmtId="0" fontId="0" fillId="4" borderId="31" xfId="0" applyFill="1" applyBorder="1"/>
    <xf numFmtId="0" fontId="0" fillId="4" borderId="32" xfId="0" applyFill="1" applyBorder="1"/>
    <xf numFmtId="0" fontId="0" fillId="4" borderId="28" xfId="0" applyFill="1" applyBorder="1"/>
    <xf numFmtId="0" fontId="0" fillId="4" borderId="26" xfId="0" applyFill="1" applyBorder="1"/>
    <xf numFmtId="0" fontId="0" fillId="4" borderId="29" xfId="0" applyFill="1" applyBorder="1" applyAlignment="1">
      <alignment horizontal="left"/>
    </xf>
    <xf numFmtId="1" fontId="19" fillId="8" borderId="20" xfId="0" applyNumberFormat="1" applyFont="1" applyFill="1" applyBorder="1" applyAlignment="1">
      <alignment horizontal="center"/>
    </xf>
    <xf numFmtId="1" fontId="31" fillId="0" borderId="7" xfId="0" applyNumberFormat="1" applyFont="1" applyBorder="1" applyAlignment="1">
      <alignment horizontal="center"/>
    </xf>
    <xf numFmtId="1" fontId="16" fillId="4" borderId="0" xfId="0" applyNumberFormat="1" applyFont="1" applyFill="1" applyAlignment="1">
      <alignment horizontal="left"/>
    </xf>
    <xf numFmtId="1" fontId="31" fillId="0" borderId="6" xfId="0" applyNumberFormat="1" applyFont="1" applyBorder="1" applyAlignment="1">
      <alignment horizontal="center"/>
    </xf>
    <xf numFmtId="1" fontId="32" fillId="4" borderId="0" xfId="0" applyNumberFormat="1" applyFont="1" applyFill="1" applyAlignment="1">
      <alignment horizontal="left"/>
    </xf>
    <xf numFmtId="1" fontId="19" fillId="8" borderId="9" xfId="0" applyNumberFormat="1" applyFont="1" applyFill="1" applyBorder="1" applyAlignment="1">
      <alignment horizontal="center"/>
    </xf>
    <xf numFmtId="1" fontId="19" fillId="8" borderId="21" xfId="0" applyNumberFormat="1" applyFont="1" applyFill="1" applyBorder="1" applyAlignment="1">
      <alignment horizontal="center"/>
    </xf>
    <xf numFmtId="1" fontId="33" fillId="4" borderId="0" xfId="0" applyNumberFormat="1" applyFont="1" applyFill="1" applyAlignment="1">
      <alignment horizontal="left"/>
    </xf>
    <xf numFmtId="1" fontId="31" fillId="0" borderId="1" xfId="0" applyNumberFormat="1" applyFont="1" applyBorder="1" applyAlignment="1">
      <alignment horizontal="center"/>
    </xf>
    <xf numFmtId="1" fontId="31" fillId="0" borderId="8" xfId="0" applyNumberFormat="1" applyFont="1" applyBorder="1" applyAlignment="1">
      <alignment horizontal="center"/>
    </xf>
    <xf numFmtId="9" fontId="19" fillId="7" borderId="4" xfId="1" applyFont="1" applyFill="1" applyBorder="1" applyAlignment="1">
      <alignment horizontal="center"/>
    </xf>
    <xf numFmtId="9" fontId="19" fillId="8" borderId="21" xfId="1" applyFont="1" applyFill="1" applyBorder="1" applyAlignment="1">
      <alignment horizontal="center"/>
    </xf>
    <xf numFmtId="9" fontId="31" fillId="0" borderId="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1" fontId="32" fillId="4" borderId="6" xfId="0" applyNumberFormat="1" applyFont="1" applyFill="1" applyBorder="1" applyAlignment="1">
      <alignment horizontal="left"/>
    </xf>
    <xf numFmtId="1" fontId="19" fillId="7" borderId="6" xfId="0" applyNumberFormat="1" applyFont="1" applyFill="1" applyBorder="1" applyAlignment="1">
      <alignment horizontal="center"/>
    </xf>
    <xf numFmtId="0" fontId="17" fillId="0" borderId="0" xfId="0" applyFont="1"/>
    <xf numFmtId="0" fontId="0" fillId="10" borderId="15" xfId="0" applyFill="1" applyBorder="1"/>
    <xf numFmtId="0" fontId="0" fillId="10" borderId="39" xfId="0" applyFill="1" applyBorder="1"/>
    <xf numFmtId="0" fontId="0" fillId="12" borderId="15" xfId="0" applyFill="1" applyBorder="1" applyAlignment="1">
      <alignment horizontal="center"/>
    </xf>
    <xf numFmtId="0" fontId="0" fillId="0" borderId="15" xfId="0" applyBorder="1" applyAlignment="1">
      <alignment horizontal="left"/>
    </xf>
    <xf numFmtId="10" fontId="8" fillId="0" borderId="15" xfId="1" applyNumberFormat="1" applyFont="1" applyBorder="1" applyAlignment="1">
      <alignment horizontal="center"/>
    </xf>
    <xf numFmtId="1" fontId="0" fillId="0" borderId="0" xfId="0" applyNumberFormat="1"/>
    <xf numFmtId="10" fontId="0" fillId="12" borderId="15" xfId="0" applyNumberFormat="1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9" fontId="8" fillId="10" borderId="15" xfId="1" applyFont="1" applyFill="1" applyBorder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33" fillId="5" borderId="19" xfId="2" applyFont="1" applyFill="1" applyBorder="1" applyAlignment="1">
      <alignment horizontal="center"/>
    </xf>
    <xf numFmtId="0" fontId="33" fillId="5" borderId="37" xfId="2" applyFont="1" applyFill="1" applyBorder="1" applyAlignment="1">
      <alignment horizontal="center"/>
    </xf>
    <xf numFmtId="0" fontId="33" fillId="5" borderId="36" xfId="2" applyFont="1" applyFill="1" applyBorder="1" applyAlignment="1">
      <alignment horizontal="center"/>
    </xf>
    <xf numFmtId="0" fontId="33" fillId="5" borderId="33" xfId="2" applyFont="1" applyFill="1" applyBorder="1" applyAlignment="1">
      <alignment horizontal="center"/>
    </xf>
    <xf numFmtId="0" fontId="33" fillId="5" borderId="44" xfId="2" applyFont="1" applyFill="1" applyBorder="1" applyAlignment="1">
      <alignment horizontal="center"/>
    </xf>
    <xf numFmtId="1" fontId="33" fillId="5" borderId="37" xfId="2" quotePrefix="1" applyNumberFormat="1" applyFont="1" applyFill="1" applyBorder="1" applyAlignment="1">
      <alignment horizontal="center"/>
    </xf>
    <xf numFmtId="1" fontId="33" fillId="5" borderId="37" xfId="2" applyNumberFormat="1" applyFont="1" applyFill="1" applyBorder="1" applyAlignment="1">
      <alignment horizontal="center"/>
    </xf>
    <xf numFmtId="0" fontId="33" fillId="5" borderId="7" xfId="2" quotePrefix="1" applyFont="1" applyFill="1" applyBorder="1" applyAlignment="1">
      <alignment horizontal="center"/>
    </xf>
    <xf numFmtId="0" fontId="12" fillId="4" borderId="0" xfId="0" applyFont="1" applyFill="1" applyAlignment="1">
      <alignment horizontal="right" indent="1"/>
    </xf>
    <xf numFmtId="0" fontId="0" fillId="4" borderId="3" xfId="0" applyFill="1" applyBorder="1"/>
    <xf numFmtId="0" fontId="15" fillId="0" borderId="0" xfId="0" applyFont="1"/>
    <xf numFmtId="0" fontId="11" fillId="0" borderId="0" xfId="0" applyFont="1" applyAlignment="1">
      <alignment vertical="center" wrapText="1"/>
    </xf>
    <xf numFmtId="0" fontId="16" fillId="5" borderId="0" xfId="0" applyFont="1" applyFill="1"/>
    <xf numFmtId="0" fontId="15" fillId="5" borderId="6" xfId="0" applyFont="1" applyFill="1" applyBorder="1" applyAlignment="1">
      <alignment horizontal="center"/>
    </xf>
    <xf numFmtId="0" fontId="15" fillId="0" borderId="48" xfId="0" applyFont="1" applyBorder="1"/>
    <xf numFmtId="164" fontId="13" fillId="4" borderId="0" xfId="2" applyNumberFormat="1" applyFont="1" applyFill="1" applyAlignment="1">
      <alignment horizontal="left"/>
    </xf>
    <xf numFmtId="0" fontId="13" fillId="4" borderId="0" xfId="0" applyFont="1" applyFill="1" applyAlignment="1">
      <alignment horizontal="left"/>
    </xf>
    <xf numFmtId="164" fontId="13" fillId="4" borderId="0" xfId="2" applyNumberFormat="1" applyFont="1" applyFill="1" applyAlignment="1">
      <alignment horizontal="left" vertical="center" wrapText="1"/>
    </xf>
    <xf numFmtId="0" fontId="16" fillId="5" borderId="6" xfId="0" applyFont="1" applyFill="1" applyBorder="1"/>
    <xf numFmtId="1" fontId="13" fillId="4" borderId="0" xfId="2" applyNumberFormat="1" applyFont="1" applyFill="1" applyAlignment="1">
      <alignment horizontal="left" vertical="top" wrapText="1"/>
    </xf>
    <xf numFmtId="0" fontId="16" fillId="0" borderId="0" xfId="0" applyFont="1"/>
    <xf numFmtId="0" fontId="26" fillId="4" borderId="5" xfId="0" applyFont="1" applyFill="1" applyBorder="1" applyAlignment="1" applyProtection="1">
      <alignment vertical="center"/>
      <protection locked="0"/>
    </xf>
    <xf numFmtId="0" fontId="18" fillId="7" borderId="13" xfId="0" applyFont="1" applyFill="1" applyBorder="1" applyAlignment="1">
      <alignment vertical="center"/>
    </xf>
    <xf numFmtId="0" fontId="26" fillId="4" borderId="23" xfId="0" applyFont="1" applyFill="1" applyBorder="1" applyAlignment="1" applyProtection="1">
      <alignment vertical="center"/>
      <protection locked="0"/>
    </xf>
    <xf numFmtId="0" fontId="26" fillId="4" borderId="24" xfId="0" applyFont="1" applyFill="1" applyBorder="1" applyAlignment="1" applyProtection="1">
      <alignment vertical="center"/>
      <protection locked="0"/>
    </xf>
    <xf numFmtId="0" fontId="0" fillId="0" borderId="54" xfId="0" applyBorder="1"/>
    <xf numFmtId="1" fontId="18" fillId="0" borderId="5" xfId="0" applyNumberFormat="1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1" fontId="11" fillId="3" borderId="0" xfId="0" applyNumberFormat="1" applyFont="1" applyFill="1" applyAlignment="1">
      <alignment horizontal="center"/>
    </xf>
    <xf numFmtId="0" fontId="14" fillId="0" borderId="0" xfId="0" applyFont="1" applyAlignment="1">
      <alignment horizontal="center"/>
    </xf>
    <xf numFmtId="0" fontId="40" fillId="0" borderId="0" xfId="0" applyFont="1"/>
    <xf numFmtId="0" fontId="41" fillId="0" borderId="0" xfId="0" applyFont="1"/>
    <xf numFmtId="0" fontId="39" fillId="0" borderId="0" xfId="0" applyFont="1" applyAlignment="1">
      <alignment horizontal="center"/>
    </xf>
    <xf numFmtId="0" fontId="0" fillId="15" borderId="2" xfId="0" applyFill="1" applyBorder="1" applyAlignment="1">
      <alignment horizontal="center"/>
    </xf>
    <xf numFmtId="0" fontId="0" fillId="15" borderId="55" xfId="0" applyFill="1" applyBorder="1" applyAlignment="1">
      <alignment horizontal="center"/>
    </xf>
    <xf numFmtId="0" fontId="0" fillId="15" borderId="56" xfId="0" applyFill="1" applyBorder="1" applyAlignment="1">
      <alignment horizontal="center"/>
    </xf>
    <xf numFmtId="0" fontId="0" fillId="15" borderId="9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5" xfId="0" applyFill="1" applyBorder="1" applyAlignment="1">
      <alignment horizontal="left"/>
    </xf>
    <xf numFmtId="0" fontId="0" fillId="15" borderId="7" xfId="0" applyFill="1" applyBorder="1" applyAlignment="1">
      <alignment horizontal="left"/>
    </xf>
    <xf numFmtId="0" fontId="0" fillId="15" borderId="57" xfId="0" applyFill="1" applyBorder="1" applyAlignment="1">
      <alignment horizontal="center"/>
    </xf>
    <xf numFmtId="0" fontId="0" fillId="15" borderId="2" xfId="0" applyFill="1" applyBorder="1" applyAlignment="1">
      <alignment horizontal="left"/>
    </xf>
    <xf numFmtId="0" fontId="41" fillId="0" borderId="0" xfId="0" applyFont="1" applyAlignment="1">
      <alignment horizontal="center"/>
    </xf>
    <xf numFmtId="0" fontId="9" fillId="16" borderId="0" xfId="0" applyFont="1" applyFill="1"/>
    <xf numFmtId="1" fontId="0" fillId="16" borderId="0" xfId="0" applyNumberFormat="1" applyFill="1"/>
    <xf numFmtId="0" fontId="0" fillId="15" borderId="20" xfId="0" applyFill="1" applyBorder="1" applyAlignment="1">
      <alignment horizontal="center"/>
    </xf>
    <xf numFmtId="0" fontId="0" fillId="15" borderId="20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7" borderId="0" xfId="0" applyFill="1" applyAlignment="1">
      <alignment horizontal="left"/>
    </xf>
    <xf numFmtId="0" fontId="0" fillId="17" borderId="27" xfId="0" applyFill="1" applyBorder="1" applyAlignment="1">
      <alignment horizontal="center"/>
    </xf>
    <xf numFmtId="0" fontId="17" fillId="17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/>
    </xf>
    <xf numFmtId="0" fontId="11" fillId="17" borderId="0" xfId="0" applyFont="1" applyFill="1"/>
    <xf numFmtId="0" fontId="26" fillId="4" borderId="23" xfId="0" applyFont="1" applyFill="1" applyBorder="1" applyAlignment="1" applyProtection="1">
      <alignment horizontal="center" vertical="center"/>
      <protection locked="0"/>
    </xf>
    <xf numFmtId="0" fontId="0" fillId="4" borderId="65" xfId="0" applyFill="1" applyBorder="1"/>
    <xf numFmtId="0" fontId="20" fillId="5" borderId="0" xfId="0" applyFont="1" applyFill="1" applyAlignment="1">
      <alignment horizontal="center"/>
    </xf>
    <xf numFmtId="0" fontId="20" fillId="5" borderId="72" xfId="0" applyFont="1" applyFill="1" applyBorder="1" applyAlignment="1">
      <alignment horizontal="center"/>
    </xf>
    <xf numFmtId="0" fontId="20" fillId="5" borderId="73" xfId="0" applyFont="1" applyFill="1" applyBorder="1" applyAlignment="1">
      <alignment horizontal="center"/>
    </xf>
    <xf numFmtId="1" fontId="39" fillId="7" borderId="66" xfId="0" applyNumberFormat="1" applyFont="1" applyFill="1" applyBorder="1" applyAlignment="1">
      <alignment horizontal="center"/>
    </xf>
    <xf numFmtId="1" fontId="39" fillId="7" borderId="75" xfId="0" applyNumberFormat="1" applyFont="1" applyFill="1" applyBorder="1" applyAlignment="1">
      <alignment horizontal="center"/>
    </xf>
    <xf numFmtId="1" fontId="39" fillId="7" borderId="67" xfId="0" applyNumberFormat="1" applyFont="1" applyFill="1" applyBorder="1" applyAlignment="1">
      <alignment horizontal="center"/>
    </xf>
    <xf numFmtId="0" fontId="39" fillId="7" borderId="66" xfId="0" applyFont="1" applyFill="1" applyBorder="1" applyAlignment="1">
      <alignment horizontal="center"/>
    </xf>
    <xf numFmtId="0" fontId="39" fillId="7" borderId="61" xfId="0" applyFont="1" applyFill="1" applyBorder="1" applyAlignment="1">
      <alignment horizontal="center"/>
    </xf>
    <xf numFmtId="9" fontId="39" fillId="7" borderId="69" xfId="1" applyFont="1" applyFill="1" applyBorder="1" applyAlignment="1">
      <alignment horizontal="center"/>
    </xf>
    <xf numFmtId="0" fontId="11" fillId="4" borderId="65" xfId="0" applyFont="1" applyFill="1" applyBorder="1"/>
    <xf numFmtId="10" fontId="11" fillId="0" borderId="61" xfId="1" applyNumberFormat="1" applyFont="1" applyBorder="1" applyAlignment="1">
      <alignment horizontal="center"/>
    </xf>
    <xf numFmtId="10" fontId="11" fillId="0" borderId="0" xfId="1" applyNumberFormat="1" applyFont="1" applyBorder="1" applyAlignment="1">
      <alignment horizontal="center"/>
    </xf>
    <xf numFmtId="10" fontId="11" fillId="0" borderId="69" xfId="1" applyNumberFormat="1" applyFont="1" applyBorder="1" applyAlignment="1">
      <alignment horizontal="center"/>
    </xf>
    <xf numFmtId="0" fontId="11" fillId="4" borderId="61" xfId="0" applyFont="1" applyFill="1" applyBorder="1"/>
    <xf numFmtId="0" fontId="11" fillId="4" borderId="69" xfId="0" applyFont="1" applyFill="1" applyBorder="1"/>
    <xf numFmtId="10" fontId="42" fillId="0" borderId="61" xfId="1" applyNumberFormat="1" applyFont="1" applyBorder="1" applyAlignment="1">
      <alignment horizontal="center"/>
    </xf>
    <xf numFmtId="10" fontId="42" fillId="0" borderId="0" xfId="1" applyNumberFormat="1" applyFont="1" applyBorder="1" applyAlignment="1">
      <alignment horizontal="center"/>
    </xf>
    <xf numFmtId="10" fontId="42" fillId="0" borderId="69" xfId="1" applyNumberFormat="1" applyFont="1" applyBorder="1" applyAlignment="1">
      <alignment horizontal="center"/>
    </xf>
    <xf numFmtId="9" fontId="39" fillId="7" borderId="67" xfId="1" applyFont="1" applyFill="1" applyBorder="1" applyAlignment="1">
      <alignment horizontal="center"/>
    </xf>
    <xf numFmtId="10" fontId="42" fillId="0" borderId="70" xfId="1" applyNumberFormat="1" applyFont="1" applyBorder="1" applyAlignment="1">
      <alignment horizontal="center"/>
    </xf>
    <xf numFmtId="10" fontId="42" fillId="0" borderId="71" xfId="1" applyNumberFormat="1" applyFont="1" applyBorder="1" applyAlignment="1">
      <alignment horizontal="center"/>
    </xf>
    <xf numFmtId="10" fontId="42" fillId="0" borderId="74" xfId="1" applyNumberFormat="1" applyFont="1" applyBorder="1" applyAlignment="1">
      <alignment horizontal="center"/>
    </xf>
    <xf numFmtId="0" fontId="39" fillId="7" borderId="75" xfId="0" applyFont="1" applyFill="1" applyBorder="1" applyAlignment="1">
      <alignment horizontal="center"/>
    </xf>
    <xf numFmtId="10" fontId="11" fillId="0" borderId="6" xfId="1" applyNumberFormat="1" applyFont="1" applyBorder="1" applyAlignment="1">
      <alignment horizontal="center"/>
    </xf>
    <xf numFmtId="10" fontId="42" fillId="0" borderId="6" xfId="1" applyNumberFormat="1" applyFont="1" applyBorder="1" applyAlignment="1">
      <alignment horizontal="center"/>
    </xf>
    <xf numFmtId="10" fontId="42" fillId="0" borderId="81" xfId="1" applyNumberFormat="1" applyFont="1" applyBorder="1" applyAlignment="1">
      <alignment horizontal="center"/>
    </xf>
    <xf numFmtId="0" fontId="0" fillId="15" borderId="20" xfId="0" applyFill="1" applyBorder="1" applyAlignment="1">
      <alignment horizontal="left"/>
    </xf>
    <xf numFmtId="0" fontId="0" fillId="15" borderId="55" xfId="0" applyFill="1" applyBorder="1" applyAlignment="1">
      <alignment horizontal="center" vertical="center" wrapText="1"/>
    </xf>
    <xf numFmtId="165" fontId="19" fillId="6" borderId="0" xfId="1" applyNumberFormat="1" applyFont="1" applyFill="1" applyBorder="1" applyAlignment="1" applyProtection="1">
      <alignment horizontal="center" vertical="center"/>
      <protection locked="0"/>
    </xf>
    <xf numFmtId="0" fontId="20" fillId="5" borderId="5" xfId="2" applyFont="1" applyFill="1" applyBorder="1" applyAlignment="1">
      <alignment horizontal="center"/>
    </xf>
    <xf numFmtId="0" fontId="11" fillId="17" borderId="85" xfId="0" applyFont="1" applyFill="1" applyBorder="1" applyAlignment="1">
      <alignment horizontal="center"/>
    </xf>
    <xf numFmtId="0" fontId="12" fillId="4" borderId="0" xfId="2" applyFont="1" applyFill="1" applyAlignment="1">
      <alignment horizontal="right" indent="1"/>
    </xf>
    <xf numFmtId="0" fontId="15" fillId="5" borderId="0" xfId="2" applyFont="1" applyFill="1" applyAlignment="1">
      <alignment horizontal="center" vertical="center"/>
    </xf>
    <xf numFmtId="1" fontId="39" fillId="8" borderId="76" xfId="2" applyNumberFormat="1" applyFont="1" applyFill="1" applyBorder="1" applyAlignment="1">
      <alignment horizontal="center"/>
    </xf>
    <xf numFmtId="1" fontId="39" fillId="8" borderId="9" xfId="2" applyNumberFormat="1" applyFont="1" applyFill="1" applyBorder="1" applyAlignment="1">
      <alignment horizontal="center"/>
    </xf>
    <xf numFmtId="1" fontId="39" fillId="8" borderId="77" xfId="2" applyNumberFormat="1" applyFont="1" applyFill="1" applyBorder="1" applyAlignment="1">
      <alignment horizontal="center"/>
    </xf>
    <xf numFmtId="0" fontId="37" fillId="3" borderId="60" xfId="2" applyFont="1" applyFill="1" applyBorder="1" applyAlignment="1">
      <alignment horizontal="center"/>
    </xf>
    <xf numFmtId="0" fontId="37" fillId="3" borderId="61" xfId="2" applyFont="1" applyFill="1" applyBorder="1" applyAlignment="1">
      <alignment horizontal="center"/>
    </xf>
    <xf numFmtId="0" fontId="37" fillId="3" borderId="0" xfId="2" applyFont="1" applyFill="1" applyAlignment="1">
      <alignment horizontal="center"/>
    </xf>
    <xf numFmtId="0" fontId="37" fillId="3" borderId="69" xfId="2" applyFont="1" applyFill="1" applyBorder="1" applyAlignment="1">
      <alignment horizontal="center"/>
    </xf>
    <xf numFmtId="1" fontId="37" fillId="3" borderId="61" xfId="2" applyNumberFormat="1" applyFont="1" applyFill="1" applyBorder="1" applyAlignment="1">
      <alignment horizontal="center"/>
    </xf>
    <xf numFmtId="1" fontId="37" fillId="3" borderId="0" xfId="2" applyNumberFormat="1" applyFont="1" applyFill="1" applyAlignment="1">
      <alignment horizontal="center"/>
    </xf>
    <xf numFmtId="1" fontId="37" fillId="3" borderId="69" xfId="2" applyNumberFormat="1" applyFont="1" applyFill="1" applyBorder="1" applyAlignment="1">
      <alignment horizontal="center"/>
    </xf>
    <xf numFmtId="0" fontId="43" fillId="4" borderId="0" xfId="2" applyFont="1" applyFill="1"/>
    <xf numFmtId="0" fontId="44" fillId="4" borderId="0" xfId="2" applyFont="1" applyFill="1" applyAlignment="1">
      <alignment wrapText="1"/>
    </xf>
    <xf numFmtId="0" fontId="37" fillId="3" borderId="65" xfId="2" applyFont="1" applyFill="1" applyBorder="1" applyAlignment="1">
      <alignment horizontal="right" indent="1"/>
    </xf>
    <xf numFmtId="0" fontId="37" fillId="4" borderId="61" xfId="2" applyFont="1" applyFill="1" applyBorder="1" applyAlignment="1">
      <alignment horizontal="right" indent="1"/>
    </xf>
    <xf numFmtId="0" fontId="37" fillId="4" borderId="69" xfId="2" applyFont="1" applyFill="1" applyBorder="1" applyAlignment="1">
      <alignment horizontal="right" indent="1"/>
    </xf>
    <xf numFmtId="0" fontId="37" fillId="4" borderId="70" xfId="2" applyFont="1" applyFill="1" applyBorder="1" applyAlignment="1">
      <alignment horizontal="right" indent="1"/>
    </xf>
    <xf numFmtId="0" fontId="37" fillId="4" borderId="74" xfId="2" applyFont="1" applyFill="1" applyBorder="1" applyAlignment="1">
      <alignment horizontal="right" indent="1"/>
    </xf>
    <xf numFmtId="0" fontId="36" fillId="3" borderId="0" xfId="2" applyFont="1" applyFill="1" applyAlignment="1">
      <alignment horizontal="right" indent="1"/>
    </xf>
    <xf numFmtId="0" fontId="20" fillId="5" borderId="0" xfId="2" applyFont="1" applyFill="1" applyAlignment="1">
      <alignment horizontal="center" vertical="center"/>
    </xf>
    <xf numFmtId="0" fontId="39" fillId="7" borderId="69" xfId="0" applyFont="1" applyFill="1" applyBorder="1" applyAlignment="1">
      <alignment horizontal="center"/>
    </xf>
    <xf numFmtId="0" fontId="36" fillId="3" borderId="69" xfId="2" applyFont="1" applyFill="1" applyBorder="1" applyAlignment="1">
      <alignment horizontal="right" indent="1"/>
    </xf>
    <xf numFmtId="0" fontId="15" fillId="0" borderId="0" xfId="0" applyFont="1" applyAlignment="1">
      <alignment horizontal="center"/>
    </xf>
    <xf numFmtId="164" fontId="13" fillId="4" borderId="3" xfId="2" applyNumberFormat="1" applyFont="1" applyFill="1" applyBorder="1" applyAlignment="1">
      <alignment vertical="center"/>
    </xf>
    <xf numFmtId="0" fontId="0" fillId="0" borderId="32" xfId="0" applyBorder="1"/>
    <xf numFmtId="0" fontId="37" fillId="0" borderId="32" xfId="2" applyFont="1" applyBorder="1" applyAlignment="1">
      <alignment horizontal="center"/>
    </xf>
    <xf numFmtId="1" fontId="37" fillId="0" borderId="32" xfId="2" applyNumberFormat="1" applyFont="1" applyBorder="1" applyAlignment="1">
      <alignment horizontal="center"/>
    </xf>
    <xf numFmtId="10" fontId="11" fillId="0" borderId="32" xfId="1" applyNumberFormat="1" applyFont="1" applyFill="1" applyBorder="1" applyAlignment="1">
      <alignment horizontal="center"/>
    </xf>
    <xf numFmtId="10" fontId="42" fillId="0" borderId="32" xfId="1" applyNumberFormat="1" applyFont="1" applyFill="1" applyBorder="1" applyAlignment="1">
      <alignment horizontal="center"/>
    </xf>
    <xf numFmtId="0" fontId="37" fillId="3" borderId="6" xfId="2" applyFont="1" applyFill="1" applyBorder="1" applyAlignment="1">
      <alignment horizontal="center"/>
    </xf>
    <xf numFmtId="1" fontId="37" fillId="3" borderId="6" xfId="2" applyNumberFormat="1" applyFont="1" applyFill="1" applyBorder="1" applyAlignment="1">
      <alignment horizontal="center"/>
    </xf>
    <xf numFmtId="0" fontId="37" fillId="3" borderId="4" xfId="2" applyFont="1" applyFill="1" applyBorder="1" applyAlignment="1">
      <alignment horizontal="center"/>
    </xf>
    <xf numFmtId="0" fontId="37" fillId="3" borderId="2" xfId="2" applyFont="1" applyFill="1" applyBorder="1" applyAlignment="1">
      <alignment horizontal="center"/>
    </xf>
    <xf numFmtId="0" fontId="37" fillId="3" borderId="5" xfId="2" applyFont="1" applyFill="1" applyBorder="1" applyAlignment="1">
      <alignment horizontal="center"/>
    </xf>
    <xf numFmtId="0" fontId="26" fillId="4" borderId="89" xfId="0" applyFont="1" applyFill="1" applyBorder="1" applyAlignment="1" applyProtection="1">
      <alignment horizontal="center" vertical="center"/>
      <protection locked="0"/>
    </xf>
    <xf numFmtId="0" fontId="12" fillId="4" borderId="71" xfId="2" applyFont="1" applyFill="1" applyBorder="1" applyAlignment="1">
      <alignment horizontal="right" indent="1"/>
    </xf>
    <xf numFmtId="10" fontId="11" fillId="0" borderId="70" xfId="1" applyNumberFormat="1" applyFont="1" applyBorder="1" applyAlignment="1">
      <alignment horizontal="center"/>
    </xf>
    <xf numFmtId="1" fontId="31" fillId="0" borderId="81" xfId="0" applyNumberFormat="1" applyFont="1" applyBorder="1" applyAlignment="1">
      <alignment horizontal="center"/>
    </xf>
    <xf numFmtId="1" fontId="32" fillId="4" borderId="71" xfId="0" applyNumberFormat="1" applyFont="1" applyFill="1" applyBorder="1" applyAlignment="1">
      <alignment horizontal="left"/>
    </xf>
    <xf numFmtId="1" fontId="31" fillId="0" borderId="82" xfId="0" applyNumberFormat="1" applyFont="1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33" fillId="5" borderId="68" xfId="2" applyFont="1" applyFill="1" applyBorder="1" applyAlignment="1">
      <alignment horizontal="center"/>
    </xf>
    <xf numFmtId="1" fontId="19" fillId="7" borderId="0" xfId="0" applyNumberFormat="1" applyFont="1" applyFill="1" applyAlignment="1">
      <alignment horizontal="center"/>
    </xf>
    <xf numFmtId="0" fontId="15" fillId="4" borderId="25" xfId="0" applyFont="1" applyFill="1" applyBorder="1" applyAlignment="1">
      <alignment horizontal="left"/>
    </xf>
    <xf numFmtId="1" fontId="16" fillId="4" borderId="25" xfId="0" applyNumberFormat="1" applyFont="1" applyFill="1" applyBorder="1" applyAlignment="1">
      <alignment horizontal="left"/>
    </xf>
    <xf numFmtId="0" fontId="18" fillId="7" borderId="13" xfId="0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vertical="center"/>
    </xf>
    <xf numFmtId="1" fontId="31" fillId="18" borderId="5" xfId="0" applyNumberFormat="1" applyFont="1" applyFill="1" applyBorder="1" applyAlignment="1">
      <alignment horizontal="center"/>
    </xf>
    <xf numFmtId="1" fontId="31" fillId="18" borderId="0" xfId="0" applyNumberFormat="1" applyFont="1" applyFill="1" applyAlignment="1">
      <alignment horizontal="center"/>
    </xf>
    <xf numFmtId="1" fontId="31" fillId="18" borderId="6" xfId="0" applyNumberFormat="1" applyFont="1" applyFill="1" applyBorder="1" applyAlignment="1">
      <alignment horizontal="center"/>
    </xf>
    <xf numFmtId="1" fontId="31" fillId="18" borderId="4" xfId="0" applyNumberFormat="1" applyFont="1" applyFill="1" applyBorder="1" applyAlignment="1">
      <alignment horizontal="center"/>
    </xf>
    <xf numFmtId="1" fontId="32" fillId="18" borderId="0" xfId="0" applyNumberFormat="1" applyFont="1" applyFill="1" applyAlignment="1">
      <alignment horizontal="left"/>
    </xf>
    <xf numFmtId="9" fontId="31" fillId="18" borderId="6" xfId="0" applyNumberFormat="1" applyFont="1" applyFill="1" applyBorder="1" applyAlignment="1">
      <alignment horizontal="center"/>
    </xf>
    <xf numFmtId="0" fontId="26" fillId="4" borderId="90" xfId="0" applyFont="1" applyFill="1" applyBorder="1" applyAlignment="1" applyProtection="1">
      <alignment horizontal="center" vertical="center"/>
      <protection locked="0"/>
    </xf>
    <xf numFmtId="0" fontId="18" fillId="7" borderId="91" xfId="0" applyFont="1" applyFill="1" applyBorder="1" applyAlignment="1">
      <alignment horizontal="center" vertical="center"/>
    </xf>
    <xf numFmtId="0" fontId="12" fillId="4" borderId="40" xfId="2" applyFont="1" applyFill="1" applyBorder="1" applyAlignment="1">
      <alignment horizontal="right" indent="1"/>
    </xf>
    <xf numFmtId="10" fontId="11" fillId="0" borderId="92" xfId="1" applyNumberFormat="1" applyFont="1" applyBorder="1" applyAlignment="1">
      <alignment horizontal="center"/>
    </xf>
    <xf numFmtId="10" fontId="42" fillId="0" borderId="40" xfId="1" applyNumberFormat="1" applyFont="1" applyBorder="1" applyAlignment="1">
      <alignment horizontal="center"/>
    </xf>
    <xf numFmtId="1" fontId="31" fillId="18" borderId="49" xfId="0" applyNumberFormat="1" applyFont="1" applyFill="1" applyBorder="1" applyAlignment="1">
      <alignment horizontal="center"/>
    </xf>
    <xf numFmtId="1" fontId="31" fillId="18" borderId="40" xfId="0" applyNumberFormat="1" applyFont="1" applyFill="1" applyBorder="1" applyAlignment="1">
      <alignment horizontal="center"/>
    </xf>
    <xf numFmtId="1" fontId="31" fillId="18" borderId="50" xfId="0" applyNumberFormat="1" applyFont="1" applyFill="1" applyBorder="1" applyAlignment="1">
      <alignment horizontal="center"/>
    </xf>
    <xf numFmtId="1" fontId="31" fillId="18" borderId="93" xfId="0" applyNumberFormat="1" applyFont="1" applyFill="1" applyBorder="1" applyAlignment="1">
      <alignment horizontal="center"/>
    </xf>
    <xf numFmtId="1" fontId="32" fillId="18" borderId="40" xfId="0" applyNumberFormat="1" applyFont="1" applyFill="1" applyBorder="1" applyAlignment="1">
      <alignment horizontal="left"/>
    </xf>
    <xf numFmtId="9" fontId="31" fillId="18" borderId="50" xfId="0" applyNumberFormat="1" applyFont="1" applyFill="1" applyBorder="1" applyAlignment="1">
      <alignment horizontal="center"/>
    </xf>
    <xf numFmtId="0" fontId="0" fillId="4" borderId="40" xfId="0" applyFill="1" applyBorder="1"/>
    <xf numFmtId="0" fontId="0" fillId="0" borderId="40" xfId="0" applyBorder="1"/>
    <xf numFmtId="0" fontId="0" fillId="4" borderId="75" xfId="0" applyFill="1" applyBorder="1"/>
    <xf numFmtId="0" fontId="11" fillId="4" borderId="0" xfId="0" applyFont="1" applyFill="1" applyAlignment="1">
      <alignment horizontal="left" vertical="center" wrapText="1"/>
    </xf>
    <xf numFmtId="164" fontId="13" fillId="4" borderId="0" xfId="2" applyNumberFormat="1" applyFont="1" applyFill="1" applyAlignment="1">
      <alignment vertical="center"/>
    </xf>
    <xf numFmtId="0" fontId="34" fillId="5" borderId="0" xfId="0" applyFont="1" applyFill="1" applyAlignment="1">
      <alignment vertical="center"/>
    </xf>
    <xf numFmtId="0" fontId="0" fillId="4" borderId="3" xfId="0" applyFill="1" applyBorder="1" applyAlignment="1">
      <alignment horizontal="center"/>
    </xf>
    <xf numFmtId="1" fontId="18" fillId="0" borderId="0" xfId="0" applyNumberFormat="1" applyFont="1" applyAlignment="1">
      <alignment horizontal="center"/>
    </xf>
    <xf numFmtId="1" fontId="18" fillId="0" borderId="6" xfId="0" applyNumberFormat="1" applyFont="1" applyBorder="1" applyAlignment="1">
      <alignment horizontal="center"/>
    </xf>
    <xf numFmtId="9" fontId="18" fillId="0" borderId="6" xfId="1" applyFont="1" applyFill="1" applyBorder="1" applyAlignment="1">
      <alignment horizontal="center"/>
    </xf>
    <xf numFmtId="1" fontId="18" fillId="0" borderId="7" xfId="0" applyNumberFormat="1" applyFont="1" applyBorder="1" applyAlignment="1">
      <alignment horizontal="center"/>
    </xf>
    <xf numFmtId="1" fontId="18" fillId="0" borderId="1" xfId="0" applyNumberFormat="1" applyFont="1" applyBorder="1" applyAlignment="1">
      <alignment horizontal="center"/>
    </xf>
    <xf numFmtId="1" fontId="18" fillId="0" borderId="8" xfId="0" applyNumberFormat="1" applyFont="1" applyBorder="1" applyAlignment="1">
      <alignment horizontal="center"/>
    </xf>
    <xf numFmtId="1" fontId="18" fillId="0" borderId="21" xfId="0" applyNumberFormat="1" applyFont="1" applyBorder="1" applyAlignment="1">
      <alignment horizontal="center"/>
    </xf>
    <xf numFmtId="1" fontId="16" fillId="4" borderId="6" xfId="0" applyNumberFormat="1" applyFont="1" applyFill="1" applyBorder="1" applyAlignment="1">
      <alignment horizontal="left"/>
    </xf>
    <xf numFmtId="9" fontId="18" fillId="0" borderId="8" xfId="0" applyNumberFormat="1" applyFont="1" applyBorder="1" applyAlignment="1">
      <alignment horizontal="center"/>
    </xf>
    <xf numFmtId="1" fontId="39" fillId="0" borderId="61" xfId="2" applyNumberFormat="1" applyFont="1" applyBorder="1" applyAlignment="1">
      <alignment horizontal="center"/>
    </xf>
    <xf numFmtId="1" fontId="39" fillId="0" borderId="0" xfId="2" applyNumberFormat="1" applyFont="1" applyAlignment="1">
      <alignment horizontal="center"/>
    </xf>
    <xf numFmtId="1" fontId="39" fillId="0" borderId="69" xfId="2" applyNumberFormat="1" applyFont="1" applyBorder="1" applyAlignment="1">
      <alignment horizontal="center"/>
    </xf>
    <xf numFmtId="0" fontId="45" fillId="3" borderId="60" xfId="2" applyFont="1" applyFill="1" applyBorder="1" applyAlignment="1">
      <alignment horizontal="center"/>
    </xf>
    <xf numFmtId="0" fontId="45" fillId="3" borderId="3" xfId="2" applyFont="1" applyFill="1" applyBorder="1" applyAlignment="1">
      <alignment horizontal="center"/>
    </xf>
    <xf numFmtId="0" fontId="45" fillId="3" borderId="78" xfId="2" applyFont="1" applyFill="1" applyBorder="1" applyAlignment="1">
      <alignment horizontal="center"/>
    </xf>
    <xf numFmtId="0" fontId="45" fillId="3" borderId="69" xfId="2" applyFont="1" applyFill="1" applyBorder="1" applyAlignment="1">
      <alignment horizontal="center"/>
    </xf>
    <xf numFmtId="0" fontId="45" fillId="3" borderId="65" xfId="2" applyFont="1" applyFill="1" applyBorder="1" applyAlignment="1">
      <alignment horizontal="center"/>
    </xf>
    <xf numFmtId="9" fontId="45" fillId="3" borderId="78" xfId="1" applyFont="1" applyFill="1" applyBorder="1" applyAlignment="1">
      <alignment horizontal="center"/>
    </xf>
    <xf numFmtId="0" fontId="45" fillId="3" borderId="61" xfId="2" applyFont="1" applyFill="1" applyBorder="1" applyAlignment="1">
      <alignment horizontal="center"/>
    </xf>
    <xf numFmtId="0" fontId="45" fillId="3" borderId="0" xfId="2" applyFont="1" applyFill="1" applyAlignment="1">
      <alignment horizontal="center"/>
    </xf>
    <xf numFmtId="0" fontId="45" fillId="3" borderId="65" xfId="2" applyFont="1" applyFill="1" applyBorder="1" applyAlignment="1">
      <alignment horizontal="right" indent="1"/>
    </xf>
    <xf numFmtId="0" fontId="45" fillId="4" borderId="61" xfId="2" applyFont="1" applyFill="1" applyBorder="1" applyAlignment="1">
      <alignment horizontal="right" indent="1"/>
    </xf>
    <xf numFmtId="0" fontId="45" fillId="4" borderId="69" xfId="2" applyFont="1" applyFill="1" applyBorder="1" applyAlignment="1">
      <alignment horizontal="right" indent="1"/>
    </xf>
    <xf numFmtId="1" fontId="45" fillId="3" borderId="61" xfId="2" applyNumberFormat="1" applyFont="1" applyFill="1" applyBorder="1" applyAlignment="1">
      <alignment horizontal="center"/>
    </xf>
    <xf numFmtId="1" fontId="45" fillId="3" borderId="0" xfId="2" applyNumberFormat="1" applyFont="1" applyFill="1" applyAlignment="1">
      <alignment horizontal="center"/>
    </xf>
    <xf numFmtId="1" fontId="45" fillId="3" borderId="69" xfId="2" applyNumberFormat="1" applyFont="1" applyFill="1" applyBorder="1" applyAlignment="1">
      <alignment horizontal="center"/>
    </xf>
    <xf numFmtId="0" fontId="45" fillId="4" borderId="70" xfId="2" applyFont="1" applyFill="1" applyBorder="1" applyAlignment="1">
      <alignment horizontal="right" indent="1"/>
    </xf>
    <xf numFmtId="0" fontId="45" fillId="4" borderId="74" xfId="2" applyFont="1" applyFill="1" applyBorder="1" applyAlignment="1">
      <alignment horizontal="right" indent="1"/>
    </xf>
    <xf numFmtId="9" fontId="18" fillId="0" borderId="6" xfId="1" applyFont="1" applyBorder="1" applyAlignment="1">
      <alignment horizontal="center"/>
    </xf>
    <xf numFmtId="0" fontId="45" fillId="3" borderId="4" xfId="2" applyFont="1" applyFill="1" applyBorder="1" applyAlignment="1">
      <alignment horizontal="center"/>
    </xf>
    <xf numFmtId="0" fontId="45" fillId="18" borderId="0" xfId="2" applyFont="1" applyFill="1" applyAlignment="1">
      <alignment horizontal="center"/>
    </xf>
    <xf numFmtId="0" fontId="45" fillId="18" borderId="61" xfId="2" applyFont="1" applyFill="1" applyBorder="1" applyAlignment="1">
      <alignment horizontal="center"/>
    </xf>
    <xf numFmtId="0" fontId="45" fillId="3" borderId="5" xfId="2" applyFont="1" applyFill="1" applyBorder="1" applyAlignment="1">
      <alignment horizontal="center"/>
    </xf>
    <xf numFmtId="0" fontId="45" fillId="3" borderId="6" xfId="2" applyFont="1" applyFill="1" applyBorder="1" applyAlignment="1">
      <alignment horizontal="center"/>
    </xf>
    <xf numFmtId="1" fontId="45" fillId="3" borderId="6" xfId="2" applyNumberFormat="1" applyFont="1" applyFill="1" applyBorder="1" applyAlignment="1">
      <alignment horizontal="center"/>
    </xf>
    <xf numFmtId="1" fontId="45" fillId="18" borderId="0" xfId="2" applyNumberFormat="1" applyFont="1" applyFill="1" applyAlignment="1">
      <alignment horizontal="center"/>
    </xf>
    <xf numFmtId="1" fontId="45" fillId="18" borderId="61" xfId="2" applyNumberFormat="1" applyFont="1" applyFill="1" applyBorder="1" applyAlignment="1">
      <alignment horizontal="center"/>
    </xf>
    <xf numFmtId="9" fontId="18" fillId="0" borderId="8" xfId="1" applyFont="1" applyFill="1" applyBorder="1" applyAlignment="1">
      <alignment horizontal="center"/>
    </xf>
    <xf numFmtId="0" fontId="45" fillId="3" borderId="2" xfId="2" applyFont="1" applyFill="1" applyBorder="1" applyAlignment="1">
      <alignment horizontal="center"/>
    </xf>
    <xf numFmtId="0" fontId="45" fillId="18" borderId="69" xfId="2" applyFont="1" applyFill="1" applyBorder="1" applyAlignment="1">
      <alignment horizontal="center"/>
    </xf>
    <xf numFmtId="1" fontId="45" fillId="18" borderId="69" xfId="2" applyNumberFormat="1" applyFont="1" applyFill="1" applyBorder="1" applyAlignment="1">
      <alignment horizontal="center"/>
    </xf>
    <xf numFmtId="1" fontId="18" fillId="18" borderId="5" xfId="0" applyNumberFormat="1" applyFont="1" applyFill="1" applyBorder="1" applyAlignment="1">
      <alignment horizontal="center"/>
    </xf>
    <xf numFmtId="1" fontId="18" fillId="18" borderId="0" xfId="0" applyNumberFormat="1" applyFont="1" applyFill="1" applyAlignment="1">
      <alignment horizontal="center"/>
    </xf>
    <xf numFmtId="1" fontId="18" fillId="18" borderId="6" xfId="0" applyNumberFormat="1" applyFont="1" applyFill="1" applyBorder="1" applyAlignment="1">
      <alignment horizontal="center"/>
    </xf>
    <xf numFmtId="1" fontId="18" fillId="18" borderId="4" xfId="0" applyNumberFormat="1" applyFont="1" applyFill="1" applyBorder="1" applyAlignment="1">
      <alignment horizontal="center"/>
    </xf>
    <xf numFmtId="1" fontId="16" fillId="18" borderId="0" xfId="0" applyNumberFormat="1" applyFont="1" applyFill="1" applyAlignment="1">
      <alignment horizontal="left"/>
    </xf>
    <xf numFmtId="9" fontId="18" fillId="18" borderId="6" xfId="0" applyNumberFormat="1" applyFont="1" applyFill="1" applyBorder="1" applyAlignment="1">
      <alignment horizontal="center"/>
    </xf>
    <xf numFmtId="1" fontId="18" fillId="18" borderId="49" xfId="0" applyNumberFormat="1" applyFont="1" applyFill="1" applyBorder="1" applyAlignment="1">
      <alignment horizontal="center"/>
    </xf>
    <xf numFmtId="1" fontId="18" fillId="18" borderId="40" xfId="0" applyNumberFormat="1" applyFont="1" applyFill="1" applyBorder="1" applyAlignment="1">
      <alignment horizontal="center"/>
    </xf>
    <xf numFmtId="1" fontId="18" fillId="18" borderId="50" xfId="0" applyNumberFormat="1" applyFont="1" applyFill="1" applyBorder="1" applyAlignment="1">
      <alignment horizontal="center"/>
    </xf>
    <xf numFmtId="1" fontId="18" fillId="18" borderId="93" xfId="0" applyNumberFormat="1" applyFont="1" applyFill="1" applyBorder="1" applyAlignment="1">
      <alignment horizontal="center"/>
    </xf>
    <xf numFmtId="1" fontId="16" fillId="18" borderId="40" xfId="0" applyNumberFormat="1" applyFont="1" applyFill="1" applyBorder="1" applyAlignment="1">
      <alignment horizontal="left"/>
    </xf>
    <xf numFmtId="9" fontId="18" fillId="18" borderId="50" xfId="0" applyNumberFormat="1" applyFont="1" applyFill="1" applyBorder="1" applyAlignment="1">
      <alignment horizontal="center"/>
    </xf>
    <xf numFmtId="0" fontId="23" fillId="0" borderId="94" xfId="0" applyFont="1" applyBorder="1" applyAlignment="1">
      <alignment horizontal="center"/>
    </xf>
    <xf numFmtId="0" fontId="23" fillId="0" borderId="95" xfId="0" applyFont="1" applyBorder="1"/>
    <xf numFmtId="0" fontId="11" fillId="4" borderId="3" xfId="0" applyFont="1" applyFill="1" applyBorder="1" applyAlignment="1">
      <alignment horizontal="left" vertical="center" wrapText="1"/>
    </xf>
    <xf numFmtId="10" fontId="0" fillId="0" borderId="51" xfId="1" applyNumberFormat="1" applyFont="1" applyFill="1" applyBorder="1" applyAlignment="1">
      <alignment horizontal="center"/>
    </xf>
    <xf numFmtId="0" fontId="0" fillId="2" borderId="51" xfId="0" applyFill="1" applyBorder="1" applyAlignment="1">
      <alignment horizontal="left"/>
    </xf>
    <xf numFmtId="0" fontId="26" fillId="2" borderId="51" xfId="3" applyFont="1" applyFill="1" applyBorder="1"/>
    <xf numFmtId="0" fontId="0" fillId="2" borderId="51" xfId="0" applyFill="1" applyBorder="1" applyAlignment="1">
      <alignment horizontal="center"/>
    </xf>
    <xf numFmtId="10" fontId="0" fillId="2" borderId="51" xfId="1" applyNumberFormat="1" applyFont="1" applyFill="1" applyBorder="1" applyAlignment="1">
      <alignment horizontal="center"/>
    </xf>
    <xf numFmtId="0" fontId="0" fillId="0" borderId="51" xfId="0" applyBorder="1" applyAlignment="1">
      <alignment horizontal="left"/>
    </xf>
    <xf numFmtId="0" fontId="26" fillId="0" borderId="51" xfId="3" applyFont="1" applyFill="1" applyBorder="1"/>
    <xf numFmtId="0" fontId="0" fillId="0" borderId="51" xfId="0" applyBorder="1" applyAlignment="1">
      <alignment horizontal="center"/>
    </xf>
    <xf numFmtId="0" fontId="16" fillId="4" borderId="0" xfId="0" applyFont="1" applyFill="1"/>
    <xf numFmtId="0" fontId="11" fillId="4" borderId="0" xfId="0" applyFont="1" applyFill="1" applyAlignment="1">
      <alignment vertical="center" wrapText="1"/>
    </xf>
    <xf numFmtId="1" fontId="18" fillId="0" borderId="4" xfId="0" applyNumberFormat="1" applyFont="1" applyBorder="1" applyAlignment="1">
      <alignment horizontal="center"/>
    </xf>
    <xf numFmtId="9" fontId="18" fillId="0" borderId="6" xfId="0" applyNumberFormat="1" applyFont="1" applyBorder="1" applyAlignment="1">
      <alignment horizontal="center"/>
    </xf>
    <xf numFmtId="1" fontId="16" fillId="4" borderId="3" xfId="0" applyNumberFormat="1" applyFont="1" applyFill="1" applyBorder="1" applyAlignment="1">
      <alignment horizontal="left"/>
    </xf>
    <xf numFmtId="1" fontId="16" fillId="4" borderId="8" xfId="0" applyNumberFormat="1" applyFont="1" applyFill="1" applyBorder="1" applyAlignment="1">
      <alignment horizontal="left"/>
    </xf>
    <xf numFmtId="0" fontId="12" fillId="4" borderId="1" xfId="2" applyFont="1" applyFill="1" applyBorder="1" applyAlignment="1">
      <alignment horizontal="right" indent="1"/>
    </xf>
    <xf numFmtId="10" fontId="42" fillId="0" borderId="88" xfId="1" applyNumberFormat="1" applyFont="1" applyBorder="1" applyAlignment="1">
      <alignment horizontal="center"/>
    </xf>
    <xf numFmtId="10" fontId="42" fillId="0" borderId="1" xfId="1" applyNumberFormat="1" applyFont="1" applyBorder="1" applyAlignment="1">
      <alignment horizontal="center"/>
    </xf>
    <xf numFmtId="10" fontId="42" fillId="0" borderId="96" xfId="1" applyNumberFormat="1" applyFont="1" applyBorder="1" applyAlignment="1">
      <alignment horizontal="center"/>
    </xf>
    <xf numFmtId="1" fontId="18" fillId="18" borderId="2" xfId="0" applyNumberFormat="1" applyFont="1" applyFill="1" applyBorder="1" applyAlignment="1">
      <alignment horizontal="center"/>
    </xf>
    <xf numFmtId="1" fontId="18" fillId="18" borderId="3" xfId="0" applyNumberFormat="1" applyFont="1" applyFill="1" applyBorder="1" applyAlignment="1">
      <alignment horizontal="center"/>
    </xf>
    <xf numFmtId="1" fontId="18" fillId="18" borderId="7" xfId="0" applyNumberFormat="1" applyFont="1" applyFill="1" applyBorder="1" applyAlignment="1">
      <alignment horizontal="center"/>
    </xf>
    <xf numFmtId="1" fontId="18" fillId="18" borderId="1" xfId="0" applyNumberFormat="1" applyFont="1" applyFill="1" applyBorder="1" applyAlignment="1">
      <alignment horizontal="center"/>
    </xf>
    <xf numFmtId="1" fontId="18" fillId="18" borderId="8" xfId="0" applyNumberFormat="1" applyFont="1" applyFill="1" applyBorder="1" applyAlignment="1">
      <alignment horizontal="center"/>
    </xf>
    <xf numFmtId="1" fontId="48" fillId="7" borderId="2" xfId="0" applyNumberFormat="1" applyFont="1" applyFill="1" applyBorder="1" applyAlignment="1">
      <alignment horizontal="center"/>
    </xf>
    <xf numFmtId="1" fontId="48" fillId="7" borderId="4" xfId="0" applyNumberFormat="1" applyFont="1" applyFill="1" applyBorder="1" applyAlignment="1">
      <alignment horizontal="center"/>
    </xf>
    <xf numFmtId="1" fontId="48" fillId="7" borderId="3" xfId="0" applyNumberFormat="1" applyFont="1" applyFill="1" applyBorder="1" applyAlignment="1">
      <alignment horizontal="center"/>
    </xf>
    <xf numFmtId="9" fontId="18" fillId="0" borderId="6" xfId="1" applyFont="1" applyFill="1" applyBorder="1" applyAlignment="1">
      <alignment horizontal="center" wrapText="1"/>
    </xf>
    <xf numFmtId="16" fontId="33" fillId="5" borderId="7" xfId="2" quotePrefix="1" applyNumberFormat="1" applyFont="1" applyFill="1" applyBorder="1" applyAlignment="1">
      <alignment horizontal="center"/>
    </xf>
    <xf numFmtId="1" fontId="29" fillId="7" borderId="3" xfId="0" applyNumberFormat="1" applyFont="1" applyFill="1" applyBorder="1" applyAlignment="1">
      <alignment horizontal="center"/>
    </xf>
    <xf numFmtId="1" fontId="29" fillId="7" borderId="2" xfId="0" applyNumberFormat="1" applyFont="1" applyFill="1" applyBorder="1" applyAlignment="1">
      <alignment horizontal="center"/>
    </xf>
    <xf numFmtId="0" fontId="30" fillId="0" borderId="25" xfId="2" applyFont="1" applyBorder="1" applyAlignment="1">
      <alignment horizontal="left"/>
    </xf>
    <xf numFmtId="1" fontId="33" fillId="5" borderId="97" xfId="2" applyNumberFormat="1" applyFont="1" applyFill="1" applyBorder="1" applyAlignment="1">
      <alignment horizontal="center"/>
    </xf>
    <xf numFmtId="0" fontId="0" fillId="0" borderId="25" xfId="0" applyBorder="1"/>
    <xf numFmtId="0" fontId="15" fillId="0" borderId="25" xfId="0" applyFont="1" applyBorder="1" applyAlignment="1">
      <alignment horizontal="left"/>
    </xf>
    <xf numFmtId="1" fontId="16" fillId="0" borderId="25" xfId="0" applyNumberFormat="1" applyFont="1" applyBorder="1" applyAlignment="1">
      <alignment horizontal="left"/>
    </xf>
    <xf numFmtId="1" fontId="33" fillId="0" borderId="25" xfId="0" applyNumberFormat="1" applyFont="1" applyBorder="1" applyAlignment="1">
      <alignment horizontal="left"/>
    </xf>
    <xf numFmtId="1" fontId="32" fillId="0" borderId="25" xfId="0" applyNumberFormat="1" applyFont="1" applyBorder="1" applyAlignment="1">
      <alignment horizontal="left"/>
    </xf>
    <xf numFmtId="1" fontId="32" fillId="0" borderId="98" xfId="0" applyNumberFormat="1" applyFont="1" applyBorder="1" applyAlignment="1">
      <alignment horizontal="left"/>
    </xf>
    <xf numFmtId="1" fontId="33" fillId="5" borderId="99" xfId="2" quotePrefix="1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" fontId="16" fillId="0" borderId="0" xfId="0" applyNumberFormat="1" applyFont="1" applyAlignment="1">
      <alignment horizontal="left"/>
    </xf>
    <xf numFmtId="1" fontId="33" fillId="0" borderId="0" xfId="0" applyNumberFormat="1" applyFont="1" applyAlignment="1">
      <alignment horizontal="left"/>
    </xf>
    <xf numFmtId="1" fontId="16" fillId="0" borderId="6" xfId="0" applyNumberFormat="1" applyFont="1" applyBorder="1" applyAlignment="1">
      <alignment horizontal="left"/>
    </xf>
    <xf numFmtId="1" fontId="16" fillId="0" borderId="40" xfId="0" applyNumberFormat="1" applyFont="1" applyBorder="1" applyAlignment="1">
      <alignment horizontal="left"/>
    </xf>
    <xf numFmtId="1" fontId="32" fillId="0" borderId="0" xfId="0" applyNumberFormat="1" applyFont="1" applyAlignment="1">
      <alignment horizontal="left"/>
    </xf>
    <xf numFmtId="1" fontId="32" fillId="0" borderId="40" xfId="0" applyNumberFormat="1" applyFont="1" applyBorder="1" applyAlignment="1">
      <alignment horizontal="left"/>
    </xf>
    <xf numFmtId="0" fontId="30" fillId="0" borderId="6" xfId="2" applyFont="1" applyBorder="1" applyAlignment="1">
      <alignment horizontal="left"/>
    </xf>
    <xf numFmtId="1" fontId="33" fillId="5" borderId="101" xfId="2" applyNumberFormat="1" applyFont="1" applyFill="1" applyBorder="1" applyAlignment="1">
      <alignment horizontal="center"/>
    </xf>
    <xf numFmtId="1" fontId="29" fillId="7" borderId="4" xfId="0" applyNumberFormat="1" applyFont="1" applyFill="1" applyBorder="1" applyAlignment="1">
      <alignment horizontal="center"/>
    </xf>
    <xf numFmtId="1" fontId="49" fillId="20" borderId="5" xfId="8" applyNumberFormat="1" applyBorder="1" applyAlignment="1">
      <alignment horizontal="center"/>
    </xf>
    <xf numFmtId="0" fontId="19" fillId="8" borderId="9" xfId="0" applyFont="1" applyFill="1" applyBorder="1" applyAlignment="1">
      <alignment horizontal="right" indent="1"/>
    </xf>
    <xf numFmtId="1" fontId="32" fillId="4" borderId="8" xfId="0" applyNumberFormat="1" applyFont="1" applyFill="1" applyBorder="1" applyAlignment="1">
      <alignment horizontal="left"/>
    </xf>
    <xf numFmtId="0" fontId="52" fillId="0" borderId="0" xfId="0" applyFont="1"/>
    <xf numFmtId="0" fontId="53" fillId="21" borderId="0" xfId="0" applyFont="1" applyFill="1"/>
    <xf numFmtId="0" fontId="53" fillId="23" borderId="0" xfId="0" applyFont="1" applyFill="1"/>
    <xf numFmtId="0" fontId="9" fillId="24" borderId="0" xfId="0" applyFont="1" applyFill="1"/>
    <xf numFmtId="0" fontId="54" fillId="0" borderId="0" xfId="0" applyFont="1" applyAlignment="1">
      <alignment wrapText="1"/>
    </xf>
    <xf numFmtId="0" fontId="54" fillId="0" borderId="0" xfId="0" applyFont="1"/>
    <xf numFmtId="0" fontId="9" fillId="22" borderId="15" xfId="0" applyFont="1" applyFill="1" applyBorder="1"/>
    <xf numFmtId="168" fontId="9" fillId="22" borderId="15" xfId="0" applyNumberFormat="1" applyFont="1" applyFill="1" applyBorder="1"/>
    <xf numFmtId="0" fontId="53" fillId="21" borderId="15" xfId="0" applyFont="1" applyFill="1" applyBorder="1"/>
    <xf numFmtId="0" fontId="53" fillId="0" borderId="0" xfId="0" applyFont="1"/>
    <xf numFmtId="168" fontId="0" fillId="0" borderId="0" xfId="0" applyNumberFormat="1"/>
    <xf numFmtId="168" fontId="9" fillId="0" borderId="0" xfId="0" applyNumberFormat="1" applyFont="1"/>
    <xf numFmtId="168" fontId="9" fillId="24" borderId="0" xfId="0" applyNumberFormat="1" applyFont="1" applyFill="1"/>
    <xf numFmtId="0" fontId="53" fillId="26" borderId="0" xfId="0" applyFont="1" applyFill="1"/>
    <xf numFmtId="168" fontId="53" fillId="26" borderId="0" xfId="0" applyNumberFormat="1" applyFont="1" applyFill="1"/>
    <xf numFmtId="14" fontId="0" fillId="0" borderId="0" xfId="0" applyNumberFormat="1"/>
    <xf numFmtId="0" fontId="51" fillId="0" borderId="0" xfId="0" applyFont="1"/>
    <xf numFmtId="0" fontId="56" fillId="25" borderId="102" xfId="0" applyFont="1" applyFill="1" applyBorder="1" applyAlignment="1">
      <alignment horizontal="center" wrapText="1"/>
    </xf>
    <xf numFmtId="0" fontId="55" fillId="0" borderId="0" xfId="0" applyFont="1"/>
    <xf numFmtId="6" fontId="55" fillId="0" borderId="0" xfId="0" applyNumberFormat="1" applyFont="1" applyAlignment="1">
      <alignment vertical="center"/>
    </xf>
    <xf numFmtId="0" fontId="55" fillId="25" borderId="40" xfId="0" applyFont="1" applyFill="1" applyBorder="1" applyAlignment="1">
      <alignment wrapText="1"/>
    </xf>
    <xf numFmtId="0" fontId="56" fillId="25" borderId="40" xfId="0" applyFont="1" applyFill="1" applyBorder="1" applyAlignment="1">
      <alignment horizontal="center" wrapText="1"/>
    </xf>
    <xf numFmtId="6" fontId="55" fillId="0" borderId="0" xfId="0" applyNumberFormat="1" applyFont="1"/>
    <xf numFmtId="0" fontId="55" fillId="0" borderId="1" xfId="0" applyFont="1" applyBorder="1"/>
    <xf numFmtId="6" fontId="55" fillId="0" borderId="1" xfId="0" applyNumberFormat="1" applyFont="1" applyBorder="1"/>
    <xf numFmtId="0" fontId="55" fillId="25" borderId="40" xfId="0" applyFont="1" applyFill="1" applyBorder="1" applyAlignment="1">
      <alignment horizontal="center" wrapText="1"/>
    </xf>
    <xf numFmtId="0" fontId="53" fillId="21" borderId="0" xfId="0" applyFont="1" applyFill="1" applyAlignment="1">
      <alignment horizontal="center" wrapText="1"/>
    </xf>
    <xf numFmtId="1" fontId="9" fillId="24" borderId="0" xfId="0" applyNumberFormat="1" applyFont="1" applyFill="1"/>
    <xf numFmtId="3" fontId="59" fillId="0" borderId="0" xfId="0" applyNumberFormat="1" applyFont="1"/>
    <xf numFmtId="0" fontId="53" fillId="21" borderId="0" xfId="0" applyFont="1" applyFill="1" applyAlignment="1">
      <alignment horizontal="center"/>
    </xf>
    <xf numFmtId="2" fontId="0" fillId="0" borderId="0" xfId="0" applyNumberFormat="1" applyAlignment="1">
      <alignment horizontal="right"/>
    </xf>
    <xf numFmtId="0" fontId="26" fillId="14" borderId="23" xfId="0" applyFont="1" applyFill="1" applyBorder="1" applyAlignment="1" applyProtection="1">
      <alignment horizontal="center" vertical="center"/>
      <protection locked="0"/>
    </xf>
    <xf numFmtId="0" fontId="0" fillId="15" borderId="3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5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8" xfId="0" applyFill="1" applyBorder="1" applyAlignment="1">
      <alignment horizontal="center"/>
    </xf>
    <xf numFmtId="0" fontId="0" fillId="15" borderId="0" xfId="0" applyFill="1" applyAlignment="1">
      <alignment horizontal="center" vertical="center" wrapText="1"/>
    </xf>
    <xf numFmtId="0" fontId="0" fillId="15" borderId="83" xfId="0" applyFill="1" applyBorder="1" applyAlignment="1">
      <alignment horizontal="center"/>
    </xf>
    <xf numFmtId="0" fontId="0" fillId="15" borderId="25" xfId="0" applyFill="1" applyBorder="1" applyAlignment="1">
      <alignment horizontal="center"/>
    </xf>
    <xf numFmtId="0" fontId="0" fillId="15" borderId="84" xfId="0" applyFill="1" applyBorder="1" applyAlignment="1">
      <alignment horizontal="center"/>
    </xf>
    <xf numFmtId="0" fontId="2" fillId="4" borderId="0" xfId="0" applyFont="1" applyFill="1" applyAlignment="1">
      <alignment vertical="center" wrapText="1"/>
    </xf>
    <xf numFmtId="0" fontId="2" fillId="4" borderId="65" xfId="0" applyFont="1" applyFill="1" applyBorder="1"/>
    <xf numFmtId="0" fontId="2" fillId="0" borderId="61" xfId="0" applyFont="1" applyBorder="1" applyAlignment="1">
      <alignment horizontal="center"/>
    </xf>
    <xf numFmtId="9" fontId="2" fillId="0" borderId="69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9" xfId="0" applyFont="1" applyBorder="1" applyAlignment="1">
      <alignment horizontal="center"/>
    </xf>
    <xf numFmtId="0" fontId="2" fillId="4" borderId="65" xfId="0" applyFont="1" applyFill="1" applyBorder="1" applyAlignment="1">
      <alignment horizontal="center"/>
    </xf>
    <xf numFmtId="9" fontId="2" fillId="8" borderId="77" xfId="1" applyFont="1" applyFill="1" applyBorder="1" applyAlignment="1">
      <alignment horizontal="center"/>
    </xf>
    <xf numFmtId="10" fontId="2" fillId="0" borderId="61" xfId="1" applyNumberFormat="1" applyFont="1" applyBorder="1" applyAlignment="1">
      <alignment horizontal="center"/>
    </xf>
    <xf numFmtId="10" fontId="2" fillId="0" borderId="0" xfId="1" applyNumberFormat="1" applyFont="1" applyBorder="1" applyAlignment="1">
      <alignment horizontal="center"/>
    </xf>
    <xf numFmtId="10" fontId="2" fillId="0" borderId="69" xfId="1" applyNumberFormat="1" applyFont="1" applyBorder="1" applyAlignment="1">
      <alignment horizontal="center"/>
    </xf>
    <xf numFmtId="0" fontId="2" fillId="4" borderId="61" xfId="0" applyFont="1" applyFill="1" applyBorder="1"/>
    <xf numFmtId="0" fontId="2" fillId="4" borderId="69" xfId="0" applyFont="1" applyFill="1" applyBorder="1"/>
    <xf numFmtId="10" fontId="2" fillId="0" borderId="70" xfId="1" applyNumberFormat="1" applyFont="1" applyBorder="1" applyAlignment="1">
      <alignment horizontal="center"/>
    </xf>
    <xf numFmtId="10" fontId="2" fillId="0" borderId="71" xfId="1" applyNumberFormat="1" applyFont="1" applyBorder="1" applyAlignment="1">
      <alignment horizontal="center"/>
    </xf>
    <xf numFmtId="10" fontId="2" fillId="0" borderId="74" xfId="1" applyNumberFormat="1" applyFont="1" applyBorder="1" applyAlignment="1">
      <alignment horizontal="center"/>
    </xf>
    <xf numFmtId="0" fontId="2" fillId="4" borderId="70" xfId="0" applyFont="1" applyFill="1" applyBorder="1"/>
    <xf numFmtId="0" fontId="2" fillId="4" borderId="74" xfId="0" applyFont="1" applyFill="1" applyBorder="1"/>
    <xf numFmtId="10" fontId="2" fillId="0" borderId="61" xfId="1" applyNumberFormat="1" applyFont="1" applyFill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10" fontId="2" fillId="0" borderId="6" xfId="1" applyNumberFormat="1" applyFont="1" applyFill="1" applyBorder="1" applyAlignment="1">
      <alignment horizontal="center"/>
    </xf>
    <xf numFmtId="10" fontId="2" fillId="18" borderId="0" xfId="1" applyNumberFormat="1" applyFont="1" applyFill="1" applyBorder="1" applyAlignment="1">
      <alignment horizontal="center"/>
    </xf>
    <xf numFmtId="10" fontId="2" fillId="18" borderId="61" xfId="1" applyNumberFormat="1" applyFont="1" applyFill="1" applyBorder="1" applyAlignment="1">
      <alignment horizontal="center"/>
    </xf>
    <xf numFmtId="10" fontId="2" fillId="0" borderId="5" xfId="1" applyNumberFormat="1" applyFont="1" applyFill="1" applyBorder="1" applyAlignment="1">
      <alignment horizontal="center"/>
    </xf>
    <xf numFmtId="10" fontId="2" fillId="0" borderId="8" xfId="1" applyNumberFormat="1" applyFont="1" applyFill="1" applyBorder="1" applyAlignment="1">
      <alignment horizontal="center"/>
    </xf>
    <xf numFmtId="10" fontId="2" fillId="0" borderId="6" xfId="1" applyNumberFormat="1" applyFont="1" applyBorder="1" applyAlignment="1">
      <alignment horizontal="center"/>
    </xf>
    <xf numFmtId="10" fontId="2" fillId="0" borderId="88" xfId="1" applyNumberFormat="1" applyFont="1" applyBorder="1" applyAlignment="1">
      <alignment horizontal="center"/>
    </xf>
    <xf numFmtId="10" fontId="2" fillId="18" borderId="69" xfId="1" applyNumberFormat="1" applyFont="1" applyFill="1" applyBorder="1" applyAlignment="1">
      <alignment horizontal="center"/>
    </xf>
    <xf numFmtId="10" fontId="2" fillId="0" borderId="1" xfId="1" applyNumberFormat="1" applyFont="1" applyBorder="1" applyAlignment="1">
      <alignment horizontal="center"/>
    </xf>
    <xf numFmtId="10" fontId="2" fillId="0" borderId="96" xfId="1" applyNumberFormat="1" applyFont="1" applyBorder="1" applyAlignment="1">
      <alignment horizontal="center"/>
    </xf>
    <xf numFmtId="10" fontId="2" fillId="0" borderId="92" xfId="1" applyNumberFormat="1" applyFont="1" applyBorder="1" applyAlignment="1">
      <alignment horizontal="center"/>
    </xf>
    <xf numFmtId="10" fontId="2" fillId="0" borderId="40" xfId="1" applyNumberFormat="1" applyFont="1" applyBorder="1" applyAlignment="1">
      <alignment horizontal="center"/>
    </xf>
    <xf numFmtId="10" fontId="2" fillId="0" borderId="50" xfId="1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15" xfId="0" applyFont="1" applyBorder="1"/>
    <xf numFmtId="168" fontId="2" fillId="0" borderId="15" xfId="0" applyNumberFormat="1" applyFont="1" applyBorder="1"/>
    <xf numFmtId="1" fontId="2" fillId="0" borderId="15" xfId="0" applyNumberFormat="1" applyFont="1" applyBorder="1"/>
    <xf numFmtId="0" fontId="2" fillId="0" borderId="0" xfId="0" applyFont="1"/>
    <xf numFmtId="1" fontId="2" fillId="0" borderId="0" xfId="0" applyNumberFormat="1" applyFont="1"/>
    <xf numFmtId="168" fontId="2" fillId="0" borderId="0" xfId="0" applyNumberFormat="1" applyFont="1"/>
    <xf numFmtId="0" fontId="26" fillId="4" borderId="2" xfId="0" applyFont="1" applyFill="1" applyBorder="1" applyAlignment="1" applyProtection="1">
      <alignment horizontal="center" vertical="center"/>
      <protection locked="0"/>
    </xf>
    <xf numFmtId="0" fontId="26" fillId="4" borderId="5" xfId="0" applyFont="1" applyFill="1" applyBorder="1" applyAlignment="1" applyProtection="1">
      <alignment horizontal="center" vertical="center"/>
      <protection locked="0"/>
    </xf>
    <xf numFmtId="0" fontId="34" fillId="5" borderId="3" xfId="0" applyFont="1" applyFill="1" applyBorder="1" applyAlignment="1">
      <alignment horizontal="center" vertical="center"/>
    </xf>
    <xf numFmtId="0" fontId="34" fillId="5" borderId="0" xfId="0" applyFont="1" applyFill="1" applyAlignment="1">
      <alignment horizontal="center" vertical="center"/>
    </xf>
    <xf numFmtId="0" fontId="26" fillId="4" borderId="22" xfId="0" applyFont="1" applyFill="1" applyBorder="1" applyAlignment="1" applyProtection="1">
      <alignment horizontal="center" vertical="center"/>
      <protection locked="0"/>
    </xf>
    <xf numFmtId="0" fontId="26" fillId="4" borderId="23" xfId="0" applyFont="1" applyFill="1" applyBorder="1" applyAlignment="1" applyProtection="1">
      <alignment horizontal="center" vertical="center"/>
      <protection locked="0"/>
    </xf>
    <xf numFmtId="0" fontId="18" fillId="7" borderId="34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0" fontId="26" fillId="4" borderId="24" xfId="0" applyFont="1" applyFill="1" applyBorder="1" applyAlignment="1" applyProtection="1">
      <alignment horizontal="center" vertical="center"/>
      <protection locked="0"/>
    </xf>
    <xf numFmtId="0" fontId="20" fillId="5" borderId="44" xfId="2" applyFont="1" applyFill="1" applyBorder="1" applyAlignment="1">
      <alignment horizontal="center"/>
    </xf>
    <xf numFmtId="0" fontId="20" fillId="5" borderId="43" xfId="2" applyFont="1" applyFill="1" applyBorder="1" applyAlignment="1">
      <alignment horizontal="center"/>
    </xf>
    <xf numFmtId="0" fontId="20" fillId="5" borderId="68" xfId="2" applyFont="1" applyFill="1" applyBorder="1" applyAlignment="1">
      <alignment horizontal="center"/>
    </xf>
    <xf numFmtId="0" fontId="20" fillId="5" borderId="35" xfId="2" applyFont="1" applyFill="1" applyBorder="1" applyAlignment="1">
      <alignment horizontal="center"/>
    </xf>
    <xf numFmtId="0" fontId="20" fillId="5" borderId="79" xfId="2" applyFont="1" applyFill="1" applyBorder="1" applyAlignment="1">
      <alignment horizontal="center"/>
    </xf>
    <xf numFmtId="0" fontId="20" fillId="5" borderId="80" xfId="2" applyFont="1" applyFill="1" applyBorder="1" applyAlignment="1">
      <alignment horizontal="center"/>
    </xf>
    <xf numFmtId="0" fontId="20" fillId="5" borderId="5" xfId="2" applyFont="1" applyFill="1" applyBorder="1" applyAlignment="1">
      <alignment horizontal="center"/>
    </xf>
    <xf numFmtId="0" fontId="20" fillId="5" borderId="63" xfId="0" applyFont="1" applyFill="1" applyBorder="1" applyAlignment="1">
      <alignment horizontal="center"/>
    </xf>
    <xf numFmtId="0" fontId="20" fillId="5" borderId="64" xfId="0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/>
    </xf>
    <xf numFmtId="49" fontId="20" fillId="5" borderId="35" xfId="0" applyNumberFormat="1" applyFont="1" applyFill="1" applyBorder="1" applyAlignment="1">
      <alignment horizontal="center"/>
    </xf>
    <xf numFmtId="49" fontId="20" fillId="5" borderId="0" xfId="0" applyNumberFormat="1" applyFont="1" applyFill="1" applyAlignment="1">
      <alignment horizontal="center"/>
    </xf>
    <xf numFmtId="49" fontId="20" fillId="5" borderId="69" xfId="0" applyNumberFormat="1" applyFont="1" applyFill="1" applyBorder="1" applyAlignment="1">
      <alignment horizontal="center"/>
    </xf>
    <xf numFmtId="0" fontId="22" fillId="5" borderId="66" xfId="2" applyFont="1" applyFill="1" applyBorder="1" applyAlignment="1">
      <alignment horizontal="center" vertical="center"/>
    </xf>
    <xf numFmtId="0" fontId="22" fillId="5" borderId="67" xfId="2" applyFont="1" applyFill="1" applyBorder="1" applyAlignment="1">
      <alignment horizontal="center" vertical="center"/>
    </xf>
    <xf numFmtId="0" fontId="22" fillId="5" borderId="61" xfId="2" applyFont="1" applyFill="1" applyBorder="1" applyAlignment="1">
      <alignment horizontal="center" vertical="center"/>
    </xf>
    <xf numFmtId="0" fontId="22" fillId="5" borderId="69" xfId="2" applyFont="1" applyFill="1" applyBorder="1" applyAlignment="1">
      <alignment horizontal="center" vertical="center"/>
    </xf>
    <xf numFmtId="0" fontId="22" fillId="5" borderId="70" xfId="2" applyFont="1" applyFill="1" applyBorder="1" applyAlignment="1">
      <alignment horizontal="center" vertical="center"/>
    </xf>
    <xf numFmtId="0" fontId="22" fillId="5" borderId="74" xfId="2" applyFont="1" applyFill="1" applyBorder="1" applyAlignment="1">
      <alignment horizontal="center" vertical="center"/>
    </xf>
    <xf numFmtId="0" fontId="20" fillId="5" borderId="12" xfId="0" applyFont="1" applyFill="1" applyBorder="1" applyAlignment="1">
      <alignment horizontal="center"/>
    </xf>
    <xf numFmtId="0" fontId="20" fillId="5" borderId="42" xfId="0" applyFont="1" applyFill="1" applyBorder="1" applyAlignment="1">
      <alignment horizontal="center"/>
    </xf>
    <xf numFmtId="0" fontId="20" fillId="5" borderId="17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15" fillId="5" borderId="0" xfId="2" applyFont="1" applyFill="1" applyAlignment="1">
      <alignment horizontal="center" vertical="center"/>
    </xf>
    <xf numFmtId="0" fontId="15" fillId="5" borderId="6" xfId="2" applyFont="1" applyFill="1" applyBorder="1" applyAlignment="1">
      <alignment horizontal="center" vertical="center"/>
    </xf>
    <xf numFmtId="0" fontId="21" fillId="0" borderId="5" xfId="2" applyFont="1" applyBorder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167" fontId="19" fillId="6" borderId="14" xfId="1" applyNumberFormat="1" applyFont="1" applyFill="1" applyBorder="1" applyAlignment="1" applyProtection="1">
      <alignment horizontal="center" vertical="center"/>
      <protection locked="0"/>
    </xf>
    <xf numFmtId="167" fontId="19" fillId="6" borderId="27" xfId="1" applyNumberFormat="1" applyFont="1" applyFill="1" applyBorder="1" applyAlignment="1" applyProtection="1">
      <alignment horizontal="center" vertical="center"/>
      <protection locked="0"/>
    </xf>
    <xf numFmtId="167" fontId="19" fillId="6" borderId="62" xfId="1" applyNumberFormat="1" applyFont="1" applyFill="1" applyBorder="1" applyAlignment="1" applyProtection="1">
      <alignment horizontal="center" vertical="center"/>
      <protection locked="0"/>
    </xf>
    <xf numFmtId="165" fontId="19" fillId="6" borderId="11" xfId="1" applyNumberFormat="1" applyFont="1" applyFill="1" applyBorder="1" applyAlignment="1" applyProtection="1">
      <alignment horizontal="center" vertical="center"/>
      <protection locked="0"/>
    </xf>
    <xf numFmtId="165" fontId="19" fillId="6" borderId="86" xfId="1" applyNumberFormat="1" applyFont="1" applyFill="1" applyBorder="1" applyAlignment="1" applyProtection="1">
      <alignment horizontal="center" vertical="center"/>
      <protection locked="0"/>
    </xf>
    <xf numFmtId="165" fontId="19" fillId="6" borderId="87" xfId="1" applyNumberFormat="1" applyFont="1" applyFill="1" applyBorder="1" applyAlignment="1" applyProtection="1">
      <alignment horizontal="center" vertical="center"/>
      <protection locked="0"/>
    </xf>
    <xf numFmtId="0" fontId="38" fillId="13" borderId="5" xfId="2" applyFont="1" applyFill="1" applyBorder="1" applyAlignment="1">
      <alignment horizontal="center" vertical="center"/>
    </xf>
    <xf numFmtId="0" fontId="38" fillId="13" borderId="0" xfId="2" applyFont="1" applyFill="1" applyAlignment="1">
      <alignment horizontal="center" vertical="center"/>
    </xf>
    <xf numFmtId="0" fontId="38" fillId="13" borderId="6" xfId="2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2" fillId="14" borderId="15" xfId="2" applyFont="1" applyFill="1" applyBorder="1" applyAlignment="1">
      <alignment horizontal="center" vertical="center"/>
    </xf>
    <xf numFmtId="0" fontId="12" fillId="14" borderId="47" xfId="2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164" fontId="13" fillId="4" borderId="5" xfId="2" applyNumberFormat="1" applyFont="1" applyFill="1" applyBorder="1" applyAlignment="1">
      <alignment horizontal="left" vertical="center" wrapText="1"/>
    </xf>
    <xf numFmtId="164" fontId="13" fillId="4" borderId="0" xfId="2" applyNumberFormat="1" applyFont="1" applyFill="1" applyAlignment="1">
      <alignment horizontal="left" vertical="center" wrapText="1"/>
    </xf>
    <xf numFmtId="164" fontId="13" fillId="4" borderId="6" xfId="2" applyNumberFormat="1" applyFont="1" applyFill="1" applyBorder="1" applyAlignment="1">
      <alignment horizontal="left" vertical="center" wrapText="1"/>
    </xf>
    <xf numFmtId="164" fontId="13" fillId="4" borderId="7" xfId="2" applyNumberFormat="1" applyFont="1" applyFill="1" applyBorder="1" applyAlignment="1">
      <alignment horizontal="left" vertical="center" wrapText="1"/>
    </xf>
    <xf numFmtId="164" fontId="13" fillId="4" borderId="1" xfId="2" applyNumberFormat="1" applyFont="1" applyFill="1" applyBorder="1" applyAlignment="1">
      <alignment horizontal="left" vertical="center" wrapText="1"/>
    </xf>
    <xf numFmtId="164" fontId="13" fillId="4" borderId="8" xfId="2" applyNumberFormat="1" applyFont="1" applyFill="1" applyBorder="1" applyAlignment="1">
      <alignment horizontal="left" vertical="center" wrapText="1"/>
    </xf>
    <xf numFmtId="0" fontId="2" fillId="4" borderId="20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8" xfId="0" applyFont="1" applyFill="1" applyBorder="1" applyAlignment="1">
      <alignment horizontal="center" wrapText="1"/>
    </xf>
    <xf numFmtId="0" fontId="9" fillId="2" borderId="0" xfId="0" applyFont="1" applyFill="1" applyAlignment="1">
      <alignment horizontal="center"/>
    </xf>
    <xf numFmtId="0" fontId="14" fillId="0" borderId="27" xfId="0" applyFont="1" applyBorder="1" applyAlignment="1">
      <alignment horizontal="center"/>
    </xf>
    <xf numFmtId="0" fontId="14" fillId="0" borderId="3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3" fillId="2" borderId="18" xfId="0" applyFont="1" applyFill="1" applyBorder="1" applyAlignment="1">
      <alignment horizontal="center"/>
    </xf>
    <xf numFmtId="0" fontId="11" fillId="3" borderId="18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18" xfId="0" applyFont="1" applyFill="1" applyBorder="1" applyAlignment="1">
      <alignment horizontal="left"/>
    </xf>
    <xf numFmtId="0" fontId="9" fillId="11" borderId="0" xfId="0" applyFont="1" applyFill="1" applyAlignment="1">
      <alignment horizontal="center"/>
    </xf>
    <xf numFmtId="1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6" borderId="40" xfId="0" applyFill="1" applyBorder="1" applyAlignment="1">
      <alignment horizontal="left"/>
    </xf>
    <xf numFmtId="0" fontId="0" fillId="12" borderId="15" xfId="0" applyFill="1" applyBorder="1" applyAlignment="1">
      <alignment horizontal="center"/>
    </xf>
    <xf numFmtId="167" fontId="12" fillId="6" borderId="45" xfId="1" quotePrefix="1" applyNumberFormat="1" applyFont="1" applyFill="1" applyBorder="1" applyAlignment="1" applyProtection="1">
      <alignment horizontal="center" vertical="center" wrapText="1"/>
      <protection locked="0"/>
    </xf>
    <xf numFmtId="167" fontId="12" fillId="6" borderId="43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quotePrefix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1" xfId="1" quotePrefix="1" applyNumberFormat="1" applyFont="1" applyFill="1" applyBorder="1" applyAlignment="1" applyProtection="1">
      <alignment horizontal="center" vertical="center"/>
      <protection locked="0"/>
    </xf>
    <xf numFmtId="167" fontId="12" fillId="6" borderId="11" xfId="1" applyNumberFormat="1" applyFont="1" applyFill="1" applyBorder="1" applyAlignment="1" applyProtection="1">
      <alignment horizontal="center" vertical="center"/>
      <protection locked="0"/>
    </xf>
    <xf numFmtId="165" fontId="12" fillId="6" borderId="35" xfId="1" quotePrefix="1" applyNumberFormat="1" applyFont="1" applyFill="1" applyBorder="1" applyAlignment="1" applyProtection="1">
      <alignment horizontal="center" vertical="center" wrapText="1"/>
      <protection locked="0"/>
    </xf>
    <xf numFmtId="165" fontId="12" fillId="6" borderId="0" xfId="1" quotePrefix="1" applyNumberFormat="1" applyFont="1" applyFill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>
      <alignment horizontal="center" wrapText="1"/>
    </xf>
    <xf numFmtId="0" fontId="11" fillId="4" borderId="7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left" vertical="center" wrapText="1"/>
    </xf>
    <xf numFmtId="0" fontId="15" fillId="5" borderId="2" xfId="2" applyFont="1" applyFill="1" applyBorder="1" applyAlignment="1">
      <alignment horizontal="center" vertical="center"/>
    </xf>
    <xf numFmtId="0" fontId="15" fillId="5" borderId="3" xfId="2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center"/>
    </xf>
    <xf numFmtId="0" fontId="20" fillId="5" borderId="46" xfId="0" applyFont="1" applyFill="1" applyBorder="1" applyAlignment="1">
      <alignment horizontal="center"/>
    </xf>
    <xf numFmtId="49" fontId="20" fillId="5" borderId="17" xfId="0" applyNumberFormat="1" applyFont="1" applyFill="1" applyBorder="1" applyAlignment="1">
      <alignment horizontal="center"/>
    </xf>
    <xf numFmtId="49" fontId="20" fillId="5" borderId="12" xfId="0" applyNumberFormat="1" applyFont="1" applyFill="1" applyBorder="1" applyAlignment="1">
      <alignment horizontal="center"/>
    </xf>
    <xf numFmtId="0" fontId="22" fillId="5" borderId="2" xfId="2" applyFont="1" applyFill="1" applyBorder="1" applyAlignment="1">
      <alignment horizontal="center" vertical="center"/>
    </xf>
    <xf numFmtId="0" fontId="22" fillId="5" borderId="4" xfId="2" applyFont="1" applyFill="1" applyBorder="1" applyAlignment="1">
      <alignment horizontal="center" vertical="center"/>
    </xf>
    <xf numFmtId="0" fontId="22" fillId="5" borderId="5" xfId="2" applyFont="1" applyFill="1" applyBorder="1" applyAlignment="1">
      <alignment horizontal="center" vertical="center"/>
    </xf>
    <xf numFmtId="0" fontId="22" fillId="5" borderId="6" xfId="2" applyFont="1" applyFill="1" applyBorder="1" applyAlignment="1">
      <alignment horizontal="center" vertical="center"/>
    </xf>
    <xf numFmtId="0" fontId="22" fillId="5" borderId="7" xfId="2" applyFont="1" applyFill="1" applyBorder="1" applyAlignment="1">
      <alignment horizontal="center" vertical="center"/>
    </xf>
    <xf numFmtId="0" fontId="22" fillId="5" borderId="8" xfId="2" applyFont="1" applyFill="1" applyBorder="1" applyAlignment="1">
      <alignment horizontal="center" vertical="center"/>
    </xf>
    <xf numFmtId="164" fontId="13" fillId="4" borderId="0" xfId="2" applyNumberFormat="1" applyFont="1" applyFill="1" applyAlignment="1">
      <alignment horizontal="left" vertical="center"/>
    </xf>
    <xf numFmtId="164" fontId="13" fillId="4" borderId="6" xfId="2" applyNumberFormat="1" applyFont="1" applyFill="1" applyBorder="1" applyAlignment="1">
      <alignment horizontal="left" vertical="center"/>
    </xf>
    <xf numFmtId="164" fontId="13" fillId="4" borderId="5" xfId="2" applyNumberFormat="1" applyFont="1" applyFill="1" applyBorder="1" applyAlignment="1">
      <alignment horizontal="left" vertical="center"/>
    </xf>
    <xf numFmtId="164" fontId="13" fillId="4" borderId="7" xfId="2" applyNumberFormat="1" applyFont="1" applyFill="1" applyBorder="1" applyAlignment="1">
      <alignment horizontal="left" vertical="center"/>
    </xf>
    <xf numFmtId="164" fontId="13" fillId="4" borderId="1" xfId="2" applyNumberFormat="1" applyFont="1" applyFill="1" applyBorder="1" applyAlignment="1">
      <alignment horizontal="left" vertical="center"/>
    </xf>
    <xf numFmtId="164" fontId="13" fillId="4" borderId="8" xfId="2" applyNumberFormat="1" applyFont="1" applyFill="1" applyBorder="1" applyAlignment="1">
      <alignment horizontal="left" vertical="center"/>
    </xf>
    <xf numFmtId="49" fontId="20" fillId="5" borderId="38" xfId="0" applyNumberFormat="1" applyFont="1" applyFill="1" applyBorder="1" applyAlignment="1">
      <alignment horizontal="center"/>
    </xf>
    <xf numFmtId="0" fontId="34" fillId="5" borderId="71" xfId="0" applyFont="1" applyFill="1" applyBorder="1" applyAlignment="1">
      <alignment horizontal="center" vertical="center"/>
    </xf>
    <xf numFmtId="0" fontId="26" fillId="14" borderId="22" xfId="0" applyFont="1" applyFill="1" applyBorder="1" applyAlignment="1" applyProtection="1">
      <alignment horizontal="center" vertical="center"/>
      <protection locked="0"/>
    </xf>
    <xf numFmtId="0" fontId="26" fillId="14" borderId="23" xfId="0" applyFont="1" applyFill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>
      <alignment horizontal="center" wrapText="1"/>
    </xf>
    <xf numFmtId="0" fontId="46" fillId="4" borderId="20" xfId="0" applyFont="1" applyFill="1" applyBorder="1" applyAlignment="1">
      <alignment horizontal="left" wrapText="1"/>
    </xf>
    <xf numFmtId="0" fontId="2" fillId="4" borderId="9" xfId="0" applyFont="1" applyFill="1" applyBorder="1" applyAlignment="1">
      <alignment horizontal="left" wrapText="1"/>
    </xf>
    <xf numFmtId="0" fontId="2" fillId="4" borderId="21" xfId="0" applyFont="1" applyFill="1" applyBorder="1" applyAlignment="1">
      <alignment horizontal="left" wrapText="1"/>
    </xf>
    <xf numFmtId="0" fontId="15" fillId="5" borderId="4" xfId="2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26" fillId="4" borderId="83" xfId="0" applyFont="1" applyFill="1" applyBorder="1" applyAlignment="1" applyProtection="1">
      <alignment horizontal="center" vertical="center"/>
      <protection locked="0"/>
    </xf>
    <xf numFmtId="0" fontId="26" fillId="4" borderId="25" xfId="0" applyFont="1" applyFill="1" applyBorder="1" applyAlignment="1" applyProtection="1">
      <alignment horizontal="center" vertical="center"/>
      <protection locked="0"/>
    </xf>
    <xf numFmtId="0" fontId="26" fillId="4" borderId="84" xfId="0" applyFont="1" applyFill="1" applyBorder="1" applyAlignment="1" applyProtection="1">
      <alignment horizontal="center" vertical="center"/>
      <protection locked="0"/>
    </xf>
    <xf numFmtId="0" fontId="2" fillId="4" borderId="20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9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58" xfId="0" applyFill="1" applyBorder="1" applyAlignment="1">
      <alignment horizontal="center"/>
    </xf>
    <xf numFmtId="0" fontId="0" fillId="15" borderId="59" xfId="0" applyFill="1" applyBorder="1" applyAlignment="1">
      <alignment horizontal="center" vertical="center" wrapText="1"/>
    </xf>
    <xf numFmtId="0" fontId="0" fillId="15" borderId="0" xfId="0" applyFill="1" applyAlignment="1">
      <alignment horizontal="center"/>
    </xf>
    <xf numFmtId="0" fontId="2" fillId="4" borderId="49" xfId="0" applyFont="1" applyFill="1" applyBorder="1" applyAlignment="1">
      <alignment horizontal="center" wrapText="1"/>
    </xf>
    <xf numFmtId="0" fontId="2" fillId="4" borderId="40" xfId="0" applyFont="1" applyFill="1" applyBorder="1" applyAlignment="1">
      <alignment horizontal="center" wrapText="1"/>
    </xf>
    <xf numFmtId="0" fontId="2" fillId="4" borderId="50" xfId="0" applyFont="1" applyFill="1" applyBorder="1" applyAlignment="1">
      <alignment horizontal="center" wrapText="1"/>
    </xf>
    <xf numFmtId="0" fontId="2" fillId="4" borderId="52" xfId="0" applyFont="1" applyFill="1" applyBorder="1" applyAlignment="1">
      <alignment horizontal="center" wrapText="1"/>
    </xf>
    <xf numFmtId="0" fontId="2" fillId="4" borderId="53" xfId="0" applyFont="1" applyFill="1" applyBorder="1" applyAlignment="1">
      <alignment horizont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0" fillId="19" borderId="0" xfId="0" applyFill="1" applyAlignment="1">
      <alignment horizontal="left" vertical="center" wrapText="1"/>
    </xf>
    <xf numFmtId="0" fontId="34" fillId="5" borderId="34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/>
    </xf>
    <xf numFmtId="167" fontId="12" fillId="6" borderId="45" xfId="1" applyNumberFormat="1" applyFont="1" applyFill="1" applyBorder="1" applyAlignment="1" applyProtection="1">
      <alignment horizontal="center" vertical="center" wrapText="1"/>
      <protection locked="0"/>
    </xf>
    <xf numFmtId="167" fontId="12" fillId="6" borderId="100" xfId="1" applyNumberFormat="1" applyFont="1" applyFill="1" applyBorder="1" applyAlignment="1" applyProtection="1">
      <alignment horizontal="center" vertical="center" wrapText="1"/>
      <protection locked="0"/>
    </xf>
    <xf numFmtId="0" fontId="20" fillId="5" borderId="38" xfId="0" applyFont="1" applyFill="1" applyBorder="1" applyAlignment="1">
      <alignment horizontal="center"/>
    </xf>
    <xf numFmtId="0" fontId="55" fillId="0" borderId="0" xfId="0" applyFont="1" applyAlignment="1">
      <alignment wrapText="1"/>
    </xf>
    <xf numFmtId="0" fontId="52" fillId="0" borderId="0" xfId="0" applyFont="1"/>
    <xf numFmtId="0" fontId="9" fillId="0" borderId="0" xfId="0" applyFont="1"/>
    <xf numFmtId="0" fontId="55" fillId="25" borderId="40" xfId="0" applyFont="1" applyFill="1" applyBorder="1" applyAlignment="1">
      <alignment wrapText="1"/>
    </xf>
    <xf numFmtId="0" fontId="57" fillId="27" borderId="0" xfId="0" applyFont="1" applyFill="1" applyAlignment="1">
      <alignment vertical="center"/>
    </xf>
    <xf numFmtId="0" fontId="58" fillId="0" borderId="0" xfId="0" applyFont="1" applyAlignment="1">
      <alignment wrapText="1"/>
    </xf>
  </cellXfs>
  <cellStyles count="9">
    <cellStyle name="Bad" xfId="8" builtinId="27"/>
    <cellStyle name="Hyperlink" xfId="3" builtinId="8"/>
    <cellStyle name="Normal" xfId="0" builtinId="0"/>
    <cellStyle name="Normal 2" xfId="2" xr:uid="{7FEA7A88-46A5-B74B-AA81-FB3EC4CA90FA}"/>
    <cellStyle name="Normal 2 2" xfId="4" xr:uid="{177A10B9-3FF3-4AE9-AE6A-E6AE4733F053}"/>
    <cellStyle name="Normal 2 3" xfId="5" xr:uid="{2DBC21BF-F891-45A4-94E3-88675BF6B051}"/>
    <cellStyle name="Normal 2 4" xfId="6" xr:uid="{05ACC90F-B135-47AC-9A14-47FBE176D82D}"/>
    <cellStyle name="Normal 3" xfId="7" xr:uid="{1789CD1C-0615-4D6E-8155-F75BEAEAB789}"/>
    <cellStyle name="Percent" xfId="1" builtinId="5"/>
  </cellStyles>
  <dxfs count="2029">
    <dxf>
      <font>
        <b/>
        <i val="0"/>
        <color rgb="FFC00000"/>
      </font>
      <fill>
        <patternFill patternType="solid">
          <fgColor indexed="64"/>
          <bgColor rgb="FFFCE4D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FF00"/>
      </font>
      <fill>
        <patternFill patternType="solid">
          <bgColor theme="3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FF00"/>
      </font>
      <fill>
        <patternFill patternType="solid">
          <bgColor theme="3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FF00"/>
      </font>
      <fill>
        <patternFill>
          <bgColor theme="9" tint="-0.2499465926084170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-0.24994659260841701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/>
        <right style="thin">
          <color indexed="64"/>
        </right>
        <vertical/>
      </border>
    </dxf>
    <dxf>
      <border>
        <left/>
        <right style="thin">
          <color indexed="64"/>
        </right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none">
          <bgColor auto="1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theme="9" tint="0.39994506668294322"/>
        </left>
        <right style="medium">
          <color theme="9" tint="0.39994506668294322"/>
        </right>
        <top style="medium">
          <color theme="9" tint="0.39994506668294322"/>
        </top>
        <bottom style="medium">
          <color theme="9" tint="0.39994506668294322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</font>
    </dxf>
    <dxf>
      <font>
        <b val="0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482DA"/>
      <color rgb="FFB889DB"/>
      <color rgb="FFBC8FDD"/>
      <color rgb="FFBA8CDC"/>
      <color rgb="FFB686DA"/>
      <color rgb="FFBD92DE"/>
      <color rgb="FF7030A0"/>
      <color rgb="FFB685DB"/>
      <color rgb="FFA86ED4"/>
      <color rgb="FF00B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2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pivotCacheDefinition" Target="pivotCache/pivotCacheDefinition10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45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36" Type="http://schemas.openxmlformats.org/officeDocument/2006/relationships/pivotCacheDefinition" Target="pivotCache/pivotCacheDefinition1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9.xml"/><Relationship Id="rId44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35" Type="http://schemas.openxmlformats.org/officeDocument/2006/relationships/pivotCacheDefinition" Target="pivotCache/pivotCacheDefinition13.xml"/><Relationship Id="rId43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pivotCacheDefinition" Target="pivotCache/pivotCacheDefinition11.xml"/><Relationship Id="rId38" Type="http://schemas.openxmlformats.org/officeDocument/2006/relationships/connections" Target="connections.xml"/><Relationship Id="rId20" Type="http://schemas.openxmlformats.org/officeDocument/2006/relationships/worksheet" Target="worksheets/sheet20.xml"/><Relationship Id="rId41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2499998" createdVersion="8" refreshedVersion="8" minRefreshableVersion="3" recordCount="48" xr:uid="{D13B57C5-83E2-4DAA-87A2-75D62CDCB4FF}">
  <cacheSource type="worksheet">
    <worksheetSource name="tab_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5">
        <s v="09.00.00-09.11.30"/>
        <s v="10.00.00-10.11.30"/>
        <s v="11.00.00-11.11.30"/>
        <s v="12.00.00-12.11.30"/>
        <s v="13.00.00-13.11.30"/>
        <s v="14.00.00-14.11.30"/>
        <s v="15.00.00-15.11.30"/>
        <s v="16.00.00-16.11.30"/>
        <s v="17.00.00-21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D"/>
        <s v="ETH"/>
        <s v="REGION"/>
        <s v="SEX"/>
        <m u="1"/>
      </sharedItems>
    </cacheField>
    <cacheField name="variable_value" numFmtId="0">
      <sharedItems count="17">
        <s v="1"/>
        <s v="HI"/>
        <s v="OT"/>
        <s v="SO"/>
        <s v="F"/>
        <s v="OTHER"/>
        <s v="AS"/>
        <s v="NE"/>
        <s v="3"/>
        <s v="BL"/>
        <s v="4"/>
        <s v="WH"/>
        <s v="M"/>
        <s v="2"/>
        <s v="WE" u="1"/>
        <s v="MW" u="1"/>
        <s v="5" u="1"/>
      </sharedItems>
    </cacheField>
    <cacheField name="target" numFmtId="0">
      <sharedItems containsSemiMixedTypes="0" containsString="0" containsNumber="1" minValue="0" maxValue="50.57"/>
    </cacheField>
    <cacheField name="targetRounded" numFmtId="0">
      <sharedItems containsSemiMixedTypes="0" containsString="0" containsNumber="1" containsInteger="1" minValue="0" maxValue="5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5"/>
    </cacheField>
    <cacheField name="totalCells" numFmtId="0">
      <sharedItems containsSemiMixedTypes="0" containsString="0" containsNumber="1" containsInteger="1" minValue="3600" maxValue="3600"/>
    </cacheField>
    <cacheField name="cummAssingCount" numFmtId="0">
      <sharedItems containsSemiMixedTypes="0" containsString="0" containsNumber="1" containsInteger="1" minValue="0" maxValue="5"/>
    </cacheField>
    <cacheField name="openCells" numFmtId="0">
      <sharedItems containsSemiMixedTypes="0" containsString="0" containsNumber="1" containsInteger="1" minValue="0" maxValue="50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296296" createdVersion="8" refreshedVersion="8" minRefreshableVersion="3" recordCount="18" xr:uid="{25659C94-F4BA-4BFE-80BD-8F4484FBC6FF}">
  <cacheSource type="worksheet">
    <worksheetSource name="tab_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2">
        <s v="05.00.00-05.05.30"/>
        <s v="05.06.00-05.11.30"/>
        <s v="06.00.00-06.05.30"/>
        <s v="06.06.00-06.11.30"/>
        <s v="07.00.00-07.11.30"/>
        <s v="08.00.00-08.11.30"/>
        <s v="02.00.00-03.11.30" u="1"/>
        <s v="04.00.00-05.11.30" u="1"/>
        <s v="06.00.00-07.11.30" u="1"/>
        <s v="08.00.00-11.11.30" u="1"/>
        <s v="12.00.00-14.11.30" u="1"/>
        <s v="15.00.00-18.11.30" u="1"/>
      </sharedItems>
    </cacheField>
    <cacheField name="variable_type" numFmtId="0">
      <sharedItems containsBlank="1" count="5">
        <s v="ETH"/>
        <s v="SEX"/>
        <s v="ED"/>
        <s v="REGION"/>
        <m u="1"/>
      </sharedItems>
    </cacheField>
    <cacheField name="variable_value" numFmtId="0">
      <sharedItems count="17">
        <s v="AS"/>
        <s v="HI"/>
        <s v="OTHER"/>
        <s v="1"/>
        <s v="OT"/>
        <s v="SO"/>
        <s v="M"/>
        <s v="BL"/>
        <s v="4"/>
        <s v="WH"/>
        <s v="NE" u="1"/>
        <s v="2" u="1"/>
        <s v="WE" u="1"/>
        <s v="3" u="1"/>
        <s v="MW" u="1"/>
        <s v="F" u="1"/>
        <s v="5" u="1"/>
      </sharedItems>
    </cacheField>
    <cacheField name="target" numFmtId="0">
      <sharedItems containsSemiMixedTypes="0" containsString="0" containsNumber="1" minValue="0" maxValue="50"/>
    </cacheField>
    <cacheField name="targetRounded" numFmtId="0">
      <sharedItems containsSemiMixedTypes="0" containsString="0" containsNumber="1" containsInteger="1" minValue="0" maxValue="50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2400" maxValue="2400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49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194444" createdVersion="8" refreshedVersion="8" minRefreshableVersion="3" recordCount="34" xr:uid="{D88F9CC5-662D-469B-9F32-555E99087AE2}">
  <cacheSource type="worksheet">
    <worksheetSource name="tab_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0">
        <s v="09.00.00-11.11.30"/>
        <s v="12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541667" createdVersion="8" refreshedVersion="8" minRefreshableVersion="3" recordCount="34" xr:uid="{0091D20C-4822-497C-8BCF-DB7BD1036EFF}">
  <cacheSource type="worksheet">
    <worksheetSource name="tab_5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3888891" createdVersion="8" refreshedVersion="8" minRefreshableVersion="3" recordCount="17" xr:uid="{F322AB3F-468C-41E2-8457-E7FD84870967}">
  <cacheSource type="worksheet">
    <worksheetSource name="tab_6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4120368" createdVersion="8" refreshedVersion="8" minRefreshableVersion="3" recordCount="17" xr:uid="{26DA03CD-CBC8-40FC-AC2A-F1795B503F13}">
  <cacheSource type="worksheet">
    <worksheetSource name="tab_7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4699076" createdVersion="8" refreshedVersion="8" minRefreshableVersion="3" recordCount="34" xr:uid="{9F1466CF-B2E5-499D-9630-2D2320D877AB}">
  <cacheSource type="worksheet">
    <worksheetSource name="tab_8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046299" createdVersion="8" refreshedVersion="8" minRefreshableVersion="3" recordCount="17" xr:uid="{8FA9737B-FA93-411D-A9A9-07F262358B5D}">
  <cacheSource type="worksheet">
    <worksheetSource name="tab_9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7.00.00-07.05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277776" createdVersion="8" refreshedVersion="8" minRefreshableVersion="3" recordCount="17" xr:uid="{D4253DAF-9DF6-42A4-A3DE-EC45BD83E2B8}">
  <cacheSource type="worksheet">
    <worksheetSource name="tab_10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6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625" createdVersion="8" refreshedVersion="8" minRefreshableVersion="3" recordCount="17" xr:uid="{D8EC8197-F0D4-4464-84A0-8CA61ACDF1C4}">
  <cacheSource type="worksheet">
    <worksheetSource name="tab_12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9">
        <s v="09.00.00-11.11.30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2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2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5972223" createdVersion="8" refreshedVersion="8" minRefreshableVersion="3" recordCount="34" xr:uid="{6032F192-1A5A-4861-9660-E637DAC6AADE}">
  <cacheSource type="worksheet">
    <worksheetSource name="tab_1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1">
        <s v="09.00.00-16.11.30"/>
        <s v="17.00.00-21.11.30"/>
        <s v="17.00.00-31.11.30" u="1"/>
        <s v="09.00.00-09.11.30" u="1"/>
        <s v="10.00.00-10.11.30" u="1"/>
        <s v="11.00.00-11.11.30" u="1"/>
        <s v="12.00.00-12.11.30" u="1"/>
        <s v="13.00.00-13.11.30" u="1"/>
        <s v="14.00.00-14.11.30" u="1"/>
        <s v="15.00.00-15.11.30" u="1"/>
        <s v="16.00.00-1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6550923" createdVersion="8" refreshedVersion="8" minRefreshableVersion="3" recordCount="34" xr:uid="{611F6849-08F4-42A5-8BC4-BA05BD9C51F1}">
  <cacheSource type="worksheet">
    <worksheetSource name="tab_14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6">
        <s v="05.00.00-05.11.30"/>
        <s v="06.00.00-06.11.30"/>
        <s v="05.00.00-05.05.30" u="1"/>
        <s v="05.06.00-05.11.30" u="1"/>
        <s v="06.00.00-06.05.30" u="1"/>
        <s v="06.06.00-06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6898147" createdVersion="8" refreshedVersion="8" minRefreshableVersion="3" recordCount="34" xr:uid="{00D2DF0B-0D56-4E32-B73A-F1A403222685}">
  <cacheSource type="worksheet">
    <worksheetSource name="tab_3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13">
        <s v="05.00.00-06.11.30"/>
        <s v="07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6.00.00-07.11.30" u="1"/>
        <s v="08.00.00-11.11.30" u="1"/>
        <s v="12.00.00-14.11.30" u="1"/>
        <s v="15.00.00-18.11.30" u="1"/>
        <s v="18.00.00-25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0"/>
    </cacheField>
    <cacheField name="totalCells" numFmtId="0">
      <sharedItems containsSemiMixedTypes="0" containsString="0" containsNumber="1" containsInteger="1" minValue="32" maxValue="32"/>
    </cacheField>
    <cacheField name="cummAssingCount" numFmtId="0">
      <sharedItems containsSemiMixedTypes="0" containsString="0" containsNumber="1" containsInteger="1" minValue="0" maxValue="0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Nikkam" refreshedDate="46282.305867013885" createdVersion="8" refreshedVersion="8" minRefreshableVersion="3" recordCount="17" xr:uid="{B9DB1546-D989-493B-A443-9FB3103C1051}">
  <cacheSource type="worksheet">
    <worksheetSource name="tab_11"/>
  </cacheSource>
  <cacheFields count="17">
    <cacheField name="status" numFmtId="0">
      <sharedItems/>
    </cacheField>
    <cacheField name="day" numFmtId="0">
      <sharedItems/>
    </cacheField>
    <cacheField name="Yr" numFmtId="0">
      <sharedItems containsSemiMixedTypes="0" containsString="0" containsNumber="1" containsInteger="1" minValue="2025" maxValue="2025"/>
    </cacheField>
    <cacheField name="Wk" numFmtId="0">
      <sharedItems containsSemiMixedTypes="0" containsString="0" containsNumber="1" containsInteger="1" minValue="29" maxValue="29"/>
    </cacheField>
    <cacheField name="WeekOf" numFmtId="0">
      <sharedItems/>
    </cacheField>
    <cacheField name="ageband" numFmtId="0">
      <sharedItems count="8">
        <s v="05.00.00-08.11.30"/>
        <s v="05.00.00-05.05.30" u="1"/>
        <s v="05.06.00-05.11.30" u="1"/>
        <s v="06.00.00-06.05.30" u="1"/>
        <s v="06.06.00-06.11.30" u="1"/>
        <s v="07.00.00-07.11.30" u="1"/>
        <s v="08.00.00-08.11.30" u="1"/>
        <s v="08.09.00-08.11.30" u="1"/>
      </sharedItems>
    </cacheField>
    <cacheField name="variable_type" numFmtId="0">
      <sharedItems containsBlank="1" count="5">
        <m/>
        <s v="ED"/>
        <s v="ETH"/>
        <s v="REGION"/>
        <s v="SEX"/>
      </sharedItems>
    </cacheField>
    <cacheField name="variable_value" numFmtId="0">
      <sharedItems count="17">
        <s v="5"/>
        <s v="1"/>
        <s v="2"/>
        <s v="3"/>
        <s v="4"/>
        <s v="AS"/>
        <s v="BL"/>
        <s v="HI"/>
        <s v="OT"/>
        <s v="WH"/>
        <s v="MW"/>
        <s v="NE"/>
        <s v="SO"/>
        <s v="WE"/>
        <s v="F"/>
        <s v="M"/>
        <s v="OTHER"/>
      </sharedItems>
    </cacheField>
    <cacheField name="target" numFmtId="0">
      <sharedItems containsSemiMixedTypes="0" containsString="0" containsNumber="1" containsInteger="1" minValue="0" maxValue="1"/>
    </cacheField>
    <cacheField name="targetRounded" numFmtId="0">
      <sharedItems containsSemiMixedTypes="0" containsString="0" containsNumber="1" containsInteger="1" minValue="0" maxValue="1"/>
    </cacheField>
    <cacheField name="AssignDay" numFmtId="0">
      <sharedItems/>
    </cacheField>
    <cacheField name="AssignCounts" numFmtId="0">
      <sharedItems containsSemiMixedTypes="0" containsString="0" containsNumber="1" containsInteger="1" minValue="0" maxValue="1"/>
    </cacheField>
    <cacheField name="totalCells" numFmtId="0">
      <sharedItems containsSemiMixedTypes="0" containsString="0" containsNumber="1" containsInteger="1" minValue="16" maxValue="16"/>
    </cacheField>
    <cacheField name="cummAssingCount" numFmtId="0">
      <sharedItems containsSemiMixedTypes="0" containsString="0" containsNumber="1" containsInteger="1" minValue="0" maxValue="1"/>
    </cacheField>
    <cacheField name="openCells" numFmtId="0">
      <sharedItems containsSemiMixedTypes="0" containsString="0" containsNumber="1" containsInteger="1" minValue="0" maxValue="1"/>
    </cacheField>
    <cacheField name="reportSession" numFmtId="0">
      <sharedItems containsSemiMixedTypes="0" containsString="0" containsNumber="1" containsInteger="1" minValue="0" maxValue="0"/>
    </cacheField>
    <cacheField name="last_refresh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Total Assignments"/>
    <s v="07/17/2025"/>
    <n v="2025"/>
    <n v="29"/>
    <s v="07/14/2025"/>
    <x v="0"/>
    <x v="0"/>
    <x v="0"/>
    <n v="8.2899999999999991"/>
    <n v="8"/>
    <s v="01/01/2024"/>
    <n v="1"/>
    <n v="3600"/>
    <n v="1"/>
    <n v="7"/>
    <n v="0"/>
    <s v="07/17/2025 @ 10:36 AM"/>
  </r>
  <r>
    <s v="Total Assignments"/>
    <s v="07/17/2025"/>
    <n v="2025"/>
    <n v="29"/>
    <s v="07/14/2025"/>
    <x v="0"/>
    <x v="1"/>
    <x v="1"/>
    <n v="24"/>
    <n v="24"/>
    <s v="01/01/2024"/>
    <n v="1"/>
    <n v="3600"/>
    <n v="1"/>
    <n v="23"/>
    <n v="0"/>
    <s v="07/17/2025 @ 10:36 AM"/>
  </r>
  <r>
    <s v="Total Assignments"/>
    <s v="07/17/2025"/>
    <n v="2025"/>
    <n v="29"/>
    <s v="07/14/2025"/>
    <x v="0"/>
    <x v="1"/>
    <x v="2"/>
    <n v="9.92"/>
    <n v="10"/>
    <s v="07/17/2025"/>
    <n v="0"/>
    <n v="3600"/>
    <n v="0"/>
    <n v="10"/>
    <n v="0"/>
    <s v="07/17/2025 @ 10:36 AM"/>
  </r>
  <r>
    <s v="Total Assignments"/>
    <s v="07/17/2025"/>
    <n v="2025"/>
    <n v="29"/>
    <s v="07/14/2025"/>
    <x v="0"/>
    <x v="2"/>
    <x v="3"/>
    <n v="39.700000000000003"/>
    <n v="40"/>
    <s v="01/01/2024"/>
    <n v="1"/>
    <n v="3600"/>
    <n v="1"/>
    <n v="39"/>
    <n v="0"/>
    <s v="07/17/2025 @ 10:36 AM"/>
  </r>
  <r>
    <s v="Total Assignments"/>
    <s v="07/17/2025"/>
    <n v="2025"/>
    <n v="29"/>
    <s v="07/14/2025"/>
    <x v="0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0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1"/>
    <x v="0"/>
    <x v="0"/>
    <n v="8.85"/>
    <n v="9"/>
    <s v="01/01/2024"/>
    <n v="1"/>
    <n v="3600"/>
    <n v="1"/>
    <n v="8"/>
    <n v="0"/>
    <s v="07/17/2025 @ 10:36 AM"/>
  </r>
  <r>
    <s v="Total Assignments"/>
    <s v="07/17/2025"/>
    <n v="2025"/>
    <n v="29"/>
    <s v="07/14/2025"/>
    <x v="1"/>
    <x v="1"/>
    <x v="6"/>
    <n v="5.17"/>
    <n v="5"/>
    <s v="01/01/2024"/>
    <n v="1"/>
    <n v="3600"/>
    <n v="1"/>
    <n v="4"/>
    <n v="0"/>
    <s v="07/17/2025 @ 10:36 AM"/>
  </r>
  <r>
    <s v="Total Assignments"/>
    <s v="07/17/2025"/>
    <n v="2025"/>
    <n v="29"/>
    <s v="07/14/2025"/>
    <x v="1"/>
    <x v="2"/>
    <x v="7"/>
    <n v="15.25"/>
    <n v="15"/>
    <s v="01/01/2024"/>
    <n v="1"/>
    <n v="3600"/>
    <n v="1"/>
    <n v="14"/>
    <n v="0"/>
    <s v="07/17/2025 @ 10:36 AM"/>
  </r>
  <r>
    <s v="Total Assignments"/>
    <s v="07/17/2025"/>
    <n v="2025"/>
    <n v="29"/>
    <s v="07/14/2025"/>
    <x v="1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1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2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3"/>
    <x v="0"/>
    <x v="8"/>
    <n v="32.32"/>
    <n v="32"/>
    <s v="01/01/2024"/>
    <n v="1"/>
    <n v="3600"/>
    <n v="1"/>
    <n v="31"/>
    <n v="0"/>
    <s v="07/17/2025 @ 10:36 AM"/>
  </r>
  <r>
    <s v="Total Assignments"/>
    <s v="07/17/2025"/>
    <n v="2025"/>
    <n v="29"/>
    <s v="07/14/2025"/>
    <x v="3"/>
    <x v="1"/>
    <x v="9"/>
    <n v="12.91"/>
    <n v="13"/>
    <s v="07/17/2025"/>
    <n v="0"/>
    <n v="3600"/>
    <n v="0"/>
    <n v="13"/>
    <n v="0"/>
    <s v="07/17/2025 @ 10:36 AM"/>
  </r>
  <r>
    <s v="Total Assignments"/>
    <s v="07/17/2025"/>
    <n v="2025"/>
    <n v="29"/>
    <s v="07/14/2025"/>
    <x v="3"/>
    <x v="1"/>
    <x v="2"/>
    <n v="9.61"/>
    <n v="10"/>
    <s v="01/01/2024"/>
    <n v="1"/>
    <n v="3600"/>
    <n v="1"/>
    <n v="9"/>
    <n v="0"/>
    <s v="07/17/2025 @ 10:36 AM"/>
  </r>
  <r>
    <s v="Total Assignments"/>
    <s v="07/17/2025"/>
    <n v="2025"/>
    <n v="29"/>
    <s v="07/14/2025"/>
    <x v="3"/>
    <x v="2"/>
    <x v="3"/>
    <n v="39.130000000000003"/>
    <n v="39"/>
    <s v="01/01/2024"/>
    <n v="1"/>
    <n v="3600"/>
    <n v="1"/>
    <n v="38"/>
    <n v="0"/>
    <s v="07/17/2025 @ 10:36 AM"/>
  </r>
  <r>
    <s v="Total Assignments"/>
    <s v="07/17/2025"/>
    <n v="2025"/>
    <n v="29"/>
    <s v="07/14/2025"/>
    <x v="3"/>
    <x v="3"/>
    <x v="4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3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4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5"/>
    <x v="0"/>
    <x v="10"/>
    <n v="37.53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5"/>
    <x v="1"/>
    <x v="6"/>
    <n v="5.13"/>
    <n v="5"/>
    <s v="07/17/2025"/>
    <n v="0"/>
    <n v="3600"/>
    <n v="0"/>
    <n v="5"/>
    <n v="0"/>
    <s v="07/17/2025 @ 10:36 AM"/>
  </r>
  <r>
    <s v="Total Assignments"/>
    <s v="07/17/2025"/>
    <n v="2025"/>
    <n v="29"/>
    <s v="07/14/2025"/>
    <x v="5"/>
    <x v="1"/>
    <x v="11"/>
    <n v="46.27"/>
    <n v="46"/>
    <s v="01/01/2024"/>
    <n v="1"/>
    <n v="3600"/>
    <n v="1"/>
    <n v="45"/>
    <n v="0"/>
    <s v="07/17/2025 @ 10:36 AM"/>
  </r>
  <r>
    <s v="Total Assignments"/>
    <s v="07/17/2025"/>
    <n v="2025"/>
    <n v="29"/>
    <s v="07/14/2025"/>
    <x v="5"/>
    <x v="2"/>
    <x v="3"/>
    <n v="39.659999999999997"/>
    <n v="40"/>
    <s v="01/01/2024"/>
    <n v="1"/>
    <n v="3600"/>
    <n v="1"/>
    <n v="39"/>
    <n v="0"/>
    <s v="07/17/2025 @ 10:36 AM"/>
  </r>
  <r>
    <s v="Total Assignments"/>
    <s v="07/17/2025"/>
    <n v="2025"/>
    <n v="29"/>
    <s v="07/14/2025"/>
    <x v="5"/>
    <x v="3"/>
    <x v="12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5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6"/>
    <x v="0"/>
    <x v="10"/>
    <n v="38.08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6"/>
    <x v="1"/>
    <x v="6"/>
    <n v="4.93"/>
    <n v="5"/>
    <s v="07/17/2025"/>
    <n v="0"/>
    <n v="3600"/>
    <n v="0"/>
    <n v="5"/>
    <n v="0"/>
    <s v="07/17/2025 @ 10:36 AM"/>
  </r>
  <r>
    <s v="Total Assignments"/>
    <s v="07/17/2025"/>
    <n v="2025"/>
    <n v="29"/>
    <s v="07/14/2025"/>
    <x v="6"/>
    <x v="1"/>
    <x v="2"/>
    <n v="8.8000000000000007"/>
    <n v="9"/>
    <s v="01/01/2024"/>
    <n v="2"/>
    <n v="3600"/>
    <n v="2"/>
    <n v="7"/>
    <n v="0"/>
    <s v="07/17/2025 @ 10:36 AM"/>
  </r>
  <r>
    <s v="Total Assignments"/>
    <s v="07/17/2025"/>
    <n v="2025"/>
    <n v="29"/>
    <s v="07/14/2025"/>
    <x v="6"/>
    <x v="2"/>
    <x v="3"/>
    <n v="39.950000000000003"/>
    <n v="40"/>
    <s v="01/01/2024"/>
    <n v="2"/>
    <n v="3600"/>
    <n v="2"/>
    <n v="38"/>
    <n v="0"/>
    <s v="07/17/2025 @ 10:36 AM"/>
  </r>
  <r>
    <s v="Total Assignments"/>
    <s v="07/17/2025"/>
    <n v="2025"/>
    <n v="29"/>
    <s v="07/14/2025"/>
    <x v="6"/>
    <x v="3"/>
    <x v="4"/>
    <n v="50"/>
    <n v="50"/>
    <s v="01/01/2024"/>
    <n v="2"/>
    <n v="3600"/>
    <n v="2"/>
    <n v="48"/>
    <n v="0"/>
    <s v="07/17/2025 @ 10:36 AM"/>
  </r>
  <r>
    <s v="Total Assignments"/>
    <s v="07/17/2025"/>
    <n v="2025"/>
    <n v="29"/>
    <s v="07/14/2025"/>
    <x v="6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7"/>
    <x v="0"/>
    <x v="10"/>
    <n v="37.79"/>
    <n v="38"/>
    <s v="01/01/2024"/>
    <n v="1"/>
    <n v="3600"/>
    <n v="1"/>
    <n v="37"/>
    <n v="0"/>
    <s v="07/17/2025 @ 10:36 AM"/>
  </r>
  <r>
    <s v="Total Assignments"/>
    <s v="07/17/2025"/>
    <n v="2025"/>
    <n v="29"/>
    <s v="07/14/2025"/>
    <x v="7"/>
    <x v="1"/>
    <x v="1"/>
    <n v="24.45"/>
    <n v="24"/>
    <s v="01/01/2024"/>
    <n v="1"/>
    <n v="3600"/>
    <n v="1"/>
    <n v="23"/>
    <n v="0"/>
    <s v="07/17/2025 @ 10:36 AM"/>
  </r>
  <r>
    <s v="Total Assignments"/>
    <s v="07/17/2025"/>
    <n v="2025"/>
    <n v="29"/>
    <s v="07/14/2025"/>
    <x v="7"/>
    <x v="2"/>
    <x v="7"/>
    <n v="15.78"/>
    <n v="16"/>
    <s v="07/17/2025"/>
    <n v="0"/>
    <n v="3600"/>
    <n v="0"/>
    <n v="16"/>
    <n v="0"/>
    <s v="07/17/2025 @ 10:36 AM"/>
  </r>
  <r>
    <s v="Total Assignments"/>
    <s v="07/17/2025"/>
    <n v="2025"/>
    <n v="29"/>
    <s v="07/14/2025"/>
    <x v="7"/>
    <x v="2"/>
    <x v="3"/>
    <n v="39.07"/>
    <n v="39"/>
    <s v="01/01/2024"/>
    <n v="1"/>
    <n v="3600"/>
    <n v="1"/>
    <n v="38"/>
    <n v="0"/>
    <s v="07/17/2025 @ 10:36 AM"/>
  </r>
  <r>
    <s v="Total Assignments"/>
    <s v="07/17/2025"/>
    <n v="2025"/>
    <n v="29"/>
    <s v="07/14/2025"/>
    <x v="7"/>
    <x v="3"/>
    <x v="12"/>
    <n v="50"/>
    <n v="50"/>
    <s v="01/01/2024"/>
    <n v="1"/>
    <n v="3600"/>
    <n v="1"/>
    <n v="49"/>
    <n v="0"/>
    <s v="07/17/2025 @ 10:36 AM"/>
  </r>
  <r>
    <s v="Total Assignments"/>
    <s v="07/17/2025"/>
    <n v="2025"/>
    <n v="29"/>
    <s v="07/14/2025"/>
    <x v="7"/>
    <x v="3"/>
    <x v="5"/>
    <n v="0"/>
    <n v="0"/>
    <s v="07/17/2025"/>
    <n v="0"/>
    <n v="3600"/>
    <n v="0"/>
    <n v="0"/>
    <n v="0"/>
    <s v="07/17/2025 @ 10:36 AM"/>
  </r>
  <r>
    <s v="Total Assignments"/>
    <s v="07/17/2025"/>
    <n v="2025"/>
    <n v="29"/>
    <s v="07/14/2025"/>
    <x v="8"/>
    <x v="0"/>
    <x v="0"/>
    <n v="11.2"/>
    <n v="11"/>
    <s v="01/01/2024"/>
    <n v="2"/>
    <n v="3600"/>
    <n v="2"/>
    <n v="9"/>
    <n v="0"/>
    <s v="07/17/2025 @ 10:36 AM"/>
  </r>
  <r>
    <s v="Total Assignments"/>
    <s v="07/17/2025"/>
    <n v="2025"/>
    <n v="29"/>
    <s v="07/14/2025"/>
    <x v="8"/>
    <x v="0"/>
    <x v="13"/>
    <n v="20.2"/>
    <n v="20"/>
    <s v="01/01/2024"/>
    <n v="1"/>
    <n v="3600"/>
    <n v="1"/>
    <n v="19"/>
    <n v="0"/>
    <s v="07/17/2025 @ 10:36 AM"/>
  </r>
  <r>
    <s v="Total Assignments"/>
    <s v="07/17/2025"/>
    <n v="2025"/>
    <n v="29"/>
    <s v="07/14/2025"/>
    <x v="8"/>
    <x v="0"/>
    <x v="10"/>
    <n v="36.549999999999997"/>
    <n v="37"/>
    <s v="01/01/2024"/>
    <n v="2"/>
    <n v="3600"/>
    <n v="2"/>
    <n v="35"/>
    <n v="0"/>
    <s v="07/17/2025 @ 10:36 AM"/>
  </r>
  <r>
    <s v="Total Assignments"/>
    <s v="07/17/2025"/>
    <n v="2025"/>
    <n v="29"/>
    <s v="07/14/2025"/>
    <x v="8"/>
    <x v="1"/>
    <x v="6"/>
    <n v="4.82"/>
    <n v="5"/>
    <s v="01/01/2024"/>
    <n v="1"/>
    <n v="3600"/>
    <n v="1"/>
    <n v="4"/>
    <n v="0"/>
    <s v="07/17/2025 @ 10:36 AM"/>
  </r>
  <r>
    <s v="Total Assignments"/>
    <s v="07/17/2025"/>
    <n v="2025"/>
    <n v="29"/>
    <s v="07/14/2025"/>
    <x v="8"/>
    <x v="1"/>
    <x v="1"/>
    <n v="24.5"/>
    <n v="25"/>
    <s v="01/01/2024"/>
    <n v="2"/>
    <n v="3600"/>
    <n v="2"/>
    <n v="23"/>
    <n v="0"/>
    <s v="07/17/2025 @ 10:36 AM"/>
  </r>
  <r>
    <s v="Total Assignments"/>
    <s v="07/17/2025"/>
    <n v="2025"/>
    <n v="29"/>
    <s v="07/14/2025"/>
    <x v="8"/>
    <x v="1"/>
    <x v="2"/>
    <n v="7.37"/>
    <n v="7"/>
    <s v="01/01/2024"/>
    <n v="1"/>
    <n v="3600"/>
    <n v="1"/>
    <n v="6"/>
    <n v="0"/>
    <s v="07/17/2025 @ 10:36 AM"/>
  </r>
  <r>
    <s v="Total Assignments"/>
    <s v="07/17/2025"/>
    <n v="2025"/>
    <n v="29"/>
    <s v="07/14/2025"/>
    <x v="8"/>
    <x v="1"/>
    <x v="11"/>
    <n v="50.57"/>
    <n v="51"/>
    <s v="01/01/2024"/>
    <n v="1"/>
    <n v="3600"/>
    <n v="1"/>
    <n v="50"/>
    <n v="0"/>
    <s v="07/17/2025 @ 10:36 AM"/>
  </r>
  <r>
    <s v="Total Assignments"/>
    <s v="07/17/2025"/>
    <n v="2025"/>
    <n v="29"/>
    <s v="07/14/2025"/>
    <x v="8"/>
    <x v="2"/>
    <x v="3"/>
    <n v="39.22"/>
    <n v="39"/>
    <s v="01/01/2024"/>
    <n v="5"/>
    <n v="3600"/>
    <n v="5"/>
    <n v="34"/>
    <n v="0"/>
    <s v="07/17/2025 @ 10:36 AM"/>
  </r>
  <r>
    <s v="Total Assignments"/>
    <s v="07/17/2025"/>
    <n v="2025"/>
    <n v="29"/>
    <s v="07/14/2025"/>
    <x v="8"/>
    <x v="3"/>
    <x v="4"/>
    <n v="50"/>
    <n v="50"/>
    <s v="01/01/2024"/>
    <n v="3"/>
    <n v="3600"/>
    <n v="3"/>
    <n v="47"/>
    <n v="0"/>
    <s v="07/17/2025 @ 10:36 AM"/>
  </r>
  <r>
    <s v="Total Assignments"/>
    <s v="07/17/2025"/>
    <n v="2025"/>
    <n v="29"/>
    <s v="07/14/2025"/>
    <x v="8"/>
    <x v="3"/>
    <x v="12"/>
    <n v="50"/>
    <n v="50"/>
    <s v="01/01/2024"/>
    <n v="2"/>
    <n v="3600"/>
    <n v="2"/>
    <n v="48"/>
    <n v="0"/>
    <s v="07/17/2025 @ 10:36 AM"/>
  </r>
  <r>
    <s v="Total Assignments"/>
    <s v="07/17/2025"/>
    <n v="2025"/>
    <n v="29"/>
    <s v="07/14/2025"/>
    <x v="8"/>
    <x v="3"/>
    <x v="5"/>
    <n v="0"/>
    <n v="0"/>
    <s v="07/17/2025"/>
    <n v="0"/>
    <n v="3600"/>
    <n v="0"/>
    <n v="0"/>
    <n v="0"/>
    <s v="07/17/2025 @ 10:36 A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Total Assignments"/>
    <s v="07/18/2025"/>
    <n v="2025"/>
    <n v="29"/>
    <s v="07/14/2025"/>
    <x v="0"/>
    <x v="0"/>
    <x v="0"/>
    <n v="4.58"/>
    <n v="5"/>
    <s v="07/18/2025"/>
    <n v="0"/>
    <n v="2400"/>
    <n v="0"/>
    <n v="5"/>
    <n v="0"/>
    <s v="07/18/2025 @ 6:55 AM"/>
  </r>
  <r>
    <s v="Total Assignments"/>
    <s v="07/18/2025"/>
    <n v="2025"/>
    <n v="29"/>
    <s v="07/14/2025"/>
    <x v="0"/>
    <x v="0"/>
    <x v="1"/>
    <n v="23.1"/>
    <n v="23"/>
    <s v="07/18/2025"/>
    <n v="0"/>
    <n v="2400"/>
    <n v="0"/>
    <n v="23"/>
    <n v="0"/>
    <s v="07/18/2025 @ 6:55 AM"/>
  </r>
  <r>
    <s v="Total Assignments"/>
    <s v="07/18/2025"/>
    <n v="2025"/>
    <n v="29"/>
    <s v="07/14/2025"/>
    <x v="0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1"/>
    <x v="2"/>
    <x v="3"/>
    <n v="6.96"/>
    <n v="7"/>
    <s v="01/01/2024"/>
    <n v="1"/>
    <n v="2400"/>
    <n v="1"/>
    <n v="6"/>
    <n v="0"/>
    <s v="07/18/2025 @ 6:55 AM"/>
  </r>
  <r>
    <s v="Total Assignments"/>
    <s v="07/18/2025"/>
    <n v="2025"/>
    <n v="29"/>
    <s v="07/14/2025"/>
    <x v="1"/>
    <x v="0"/>
    <x v="1"/>
    <n v="23.1"/>
    <n v="23"/>
    <s v="01/01/2024"/>
    <n v="1"/>
    <n v="2400"/>
    <n v="1"/>
    <n v="22"/>
    <n v="0"/>
    <s v="07/18/2025 @ 6:55 AM"/>
  </r>
  <r>
    <s v="Total Assignments"/>
    <s v="07/18/2025"/>
    <n v="2025"/>
    <n v="29"/>
    <s v="07/14/2025"/>
    <x v="1"/>
    <x v="0"/>
    <x v="4"/>
    <n v="10.54"/>
    <n v="11"/>
    <s v="07/18/2025"/>
    <n v="0"/>
    <n v="2400"/>
    <n v="0"/>
    <n v="11"/>
    <n v="0"/>
    <s v="07/18/2025 @ 6:55 AM"/>
  </r>
  <r>
    <s v="Total Assignments"/>
    <s v="07/18/2025"/>
    <n v="2025"/>
    <n v="29"/>
    <s v="07/14/2025"/>
    <x v="1"/>
    <x v="3"/>
    <x v="5"/>
    <n v="39.96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1"/>
    <x v="1"/>
    <x v="6"/>
    <n v="50"/>
    <n v="50"/>
    <s v="01/01/2024"/>
    <n v="1"/>
    <n v="2400"/>
    <n v="1"/>
    <n v="49"/>
    <n v="0"/>
    <s v="07/18/2025 @ 6:55 AM"/>
  </r>
  <r>
    <s v="Total Assignments"/>
    <s v="07/18/2025"/>
    <n v="2025"/>
    <n v="29"/>
    <s v="07/14/2025"/>
    <x v="1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2"/>
    <x v="2"/>
    <x v="3"/>
    <n v="7.57"/>
    <n v="8"/>
    <s v="07/18/2025"/>
    <n v="0"/>
    <n v="2400"/>
    <n v="0"/>
    <n v="8"/>
    <n v="0"/>
    <s v="07/18/2025 @ 6:55 AM"/>
  </r>
  <r>
    <s v="Total Assignments"/>
    <s v="07/18/2025"/>
    <n v="2025"/>
    <n v="29"/>
    <s v="07/14/2025"/>
    <x v="2"/>
    <x v="0"/>
    <x v="7"/>
    <n v="12.25"/>
    <n v="12"/>
    <s v="07/18/2025"/>
    <n v="0"/>
    <n v="2400"/>
    <n v="0"/>
    <n v="12"/>
    <n v="0"/>
    <s v="07/18/2025 @ 6:55 AM"/>
  </r>
  <r>
    <s v="Total Assignments"/>
    <s v="07/18/2025"/>
    <n v="2025"/>
    <n v="29"/>
    <s v="07/14/2025"/>
    <x v="2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3"/>
    <x v="2"/>
    <x v="8"/>
    <n v="40.44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3"/>
    <x v="0"/>
    <x v="9"/>
    <n v="48.32"/>
    <n v="48"/>
    <s v="01/01/2024"/>
    <n v="1"/>
    <n v="2400"/>
    <n v="1"/>
    <n v="47"/>
    <n v="0"/>
    <s v="07/18/2025 @ 6:55 AM"/>
  </r>
  <r>
    <s v="Total Assignments"/>
    <s v="07/18/2025"/>
    <n v="2025"/>
    <n v="29"/>
    <s v="07/14/2025"/>
    <x v="3"/>
    <x v="3"/>
    <x v="5"/>
    <n v="40"/>
    <n v="40"/>
    <s v="01/01/2024"/>
    <n v="1"/>
    <n v="2400"/>
    <n v="1"/>
    <n v="39"/>
    <n v="0"/>
    <s v="07/18/2025 @ 6:55 AM"/>
  </r>
  <r>
    <s v="Total Assignments"/>
    <s v="07/18/2025"/>
    <n v="2025"/>
    <n v="29"/>
    <s v="07/14/2025"/>
    <x v="3"/>
    <x v="1"/>
    <x v="2"/>
    <n v="0"/>
    <n v="0"/>
    <s v="01/01/2024"/>
    <n v="1"/>
    <n v="2400"/>
    <n v="1"/>
    <n v="0"/>
    <n v="0"/>
    <s v="07/18/2025 @ 6:55 AM"/>
  </r>
  <r>
    <s v="Total Assignments"/>
    <s v="07/18/2025"/>
    <n v="2025"/>
    <n v="29"/>
    <s v="07/14/2025"/>
    <x v="4"/>
    <x v="1"/>
    <x v="2"/>
    <n v="0"/>
    <n v="0"/>
    <s v="07/18/2025"/>
    <n v="0"/>
    <n v="2400"/>
    <n v="0"/>
    <n v="0"/>
    <n v="0"/>
    <s v="07/18/2025 @ 6:55 AM"/>
  </r>
  <r>
    <s v="Total Assignments"/>
    <s v="07/18/2025"/>
    <n v="2025"/>
    <n v="29"/>
    <s v="07/14/2025"/>
    <x v="5"/>
    <x v="1"/>
    <x v="2"/>
    <n v="0"/>
    <n v="0"/>
    <s v="07/18/2025"/>
    <n v="0"/>
    <n v="2400"/>
    <n v="0"/>
    <n v="0"/>
    <n v="0"/>
    <s v="07/18/2025 @ 6:55 A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1/01/2024"/>
    <n v="1"/>
    <n v="32"/>
    <n v="1"/>
    <n v="0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2"/>
    <n v="16"/>
    <n v="2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2"/>
    <n v="16"/>
    <n v="2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4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5 AM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5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5 AM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1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2"/>
    <x v="8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3"/>
    <x v="12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0"/>
    <x v="4"/>
    <x v="15"/>
    <n v="1"/>
    <n v="1"/>
    <s v="01/01/2024"/>
    <n v="1"/>
    <n v="32"/>
    <n v="1"/>
    <n v="0"/>
    <n v="0"/>
    <s v="07/17/2025 @ 10:35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5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5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5 AM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Total Assignments"/>
    <s v="07/17/2025"/>
    <n v="2025"/>
    <n v="29"/>
    <s v="07/14/2025"/>
    <x v="0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32"/>
    <n v="0"/>
    <n v="0"/>
    <n v="0"/>
    <s v="07/17/2025 @ 10:36 AM"/>
  </r>
  <r>
    <s v="Total Assignments"/>
    <s v="07/17/2025"/>
    <n v="2025"/>
    <n v="29"/>
    <s v="07/14/2025"/>
    <x v="1"/>
    <x v="0"/>
    <x v="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1"/>
    <x v="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6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7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8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2"/>
    <x v="9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0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1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2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3"/>
    <x v="13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4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5"/>
    <n v="1"/>
    <n v="1"/>
    <s v="07/17/2025"/>
    <n v="0"/>
    <n v="32"/>
    <n v="0"/>
    <n v="1"/>
    <n v="0"/>
    <s v="07/17/2025 @ 10:36 AM"/>
  </r>
  <r>
    <s v="Total Assignments"/>
    <s v="07/17/2025"/>
    <n v="2025"/>
    <n v="29"/>
    <s v="07/14/2025"/>
    <x v="1"/>
    <x v="4"/>
    <x v="16"/>
    <n v="0"/>
    <n v="0"/>
    <s v="07/17/2025"/>
    <n v="0"/>
    <n v="32"/>
    <n v="0"/>
    <n v="0"/>
    <n v="0"/>
    <s v="07/17/2025 @ 10:36 AM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s v="Total Assignments"/>
    <s v="07/17/2025"/>
    <n v="2025"/>
    <n v="29"/>
    <s v="07/14/2025"/>
    <x v="0"/>
    <x v="0"/>
    <x v="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1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1"/>
    <x v="2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1"/>
    <x v="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5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6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7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2"/>
    <x v="8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2"/>
    <x v="9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0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1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3"/>
    <x v="12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3"/>
    <x v="13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4"/>
    <n v="1"/>
    <n v="1"/>
    <s v="07/17/2025"/>
    <n v="0"/>
    <n v="16"/>
    <n v="0"/>
    <n v="1"/>
    <n v="0"/>
    <s v="07/17/2025 @ 10:36 AM"/>
  </r>
  <r>
    <s v="Total Assignments"/>
    <s v="07/17/2025"/>
    <n v="2025"/>
    <n v="29"/>
    <s v="07/14/2025"/>
    <x v="0"/>
    <x v="4"/>
    <x v="15"/>
    <n v="1"/>
    <n v="1"/>
    <s v="01/01/2024"/>
    <n v="1"/>
    <n v="16"/>
    <n v="1"/>
    <n v="0"/>
    <n v="0"/>
    <s v="07/17/2025 @ 10:36 AM"/>
  </r>
  <r>
    <s v="Total Assignments"/>
    <s v="07/17/2025"/>
    <n v="2025"/>
    <n v="29"/>
    <s v="07/14/2025"/>
    <x v="0"/>
    <x v="4"/>
    <x v="16"/>
    <n v="0"/>
    <n v="0"/>
    <s v="07/17/2025"/>
    <n v="0"/>
    <n v="16"/>
    <n v="0"/>
    <n v="0"/>
    <n v="0"/>
    <s v="07/17/2025 @ 10:36 A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FB359-C85F-4300-A48D-6970D124F9E0}" name="PivotTable75" cacheId="12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37:R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3">
        <item m="1" x="8"/>
        <item m="1" x="9"/>
        <item m="1" x="10"/>
        <item m="1" x="11"/>
        <item m="1" x="12"/>
        <item m="1" x="2"/>
        <item m="1" x="3"/>
        <item m="1" x="4"/>
        <item m="1" x="5"/>
        <item m="1" x="6"/>
        <item m="1" x="7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11"/>
    </i>
    <i>
      <x v="12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409">
      <pivotArea type="all" dataOnly="0" outline="0" fieldPosition="0"/>
    </format>
    <format dxfId="408">
      <pivotArea type="origin" dataOnly="0" labelOnly="1" outline="0" fieldPosition="0"/>
    </format>
    <format dxfId="407">
      <pivotArea field="6" type="button" dataOnly="0" labelOnly="1" outline="0" axis="axisCol" fieldPosition="0"/>
    </format>
    <format dxfId="406">
      <pivotArea field="7" type="button" dataOnly="0" labelOnly="1" outline="0" axis="axisCol" fieldPosition="1"/>
    </format>
    <format dxfId="405">
      <pivotArea type="topRight" dataOnly="0" labelOnly="1" outline="0" fieldPosition="0"/>
    </format>
    <format dxfId="404">
      <pivotArea field="5" type="button" dataOnly="0" labelOnly="1" outline="0" axis="axisRow" fieldPosition="0"/>
    </format>
    <format dxfId="403">
      <pivotArea dataOnly="0" labelOnly="1" fieldPosition="0">
        <references count="1">
          <reference field="6" count="0"/>
        </references>
      </pivotArea>
    </format>
    <format dxfId="402">
      <pivotArea dataOnly="0" labelOnly="1" fieldPosition="0">
        <references count="1">
          <reference field="6" count="0" defaultSubtotal="1"/>
        </references>
      </pivotArea>
    </format>
    <format dxfId="401">
      <pivotArea dataOnly="0" labelOnly="1" grandCol="1" outline="0" fieldPosition="0"/>
    </format>
    <format dxfId="40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9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9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97">
      <pivotArea type="origin" dataOnly="0" labelOnly="1" outline="0" offset="A2" fieldPosition="0"/>
    </format>
    <format dxfId="396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395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394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393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392">
      <pivotArea dataOnly="0" labelOnly="1" grandCol="1" outline="0" offset="IV1" fieldPosition="0"/>
    </format>
    <format dxfId="391">
      <pivotArea type="topRight" dataOnly="0" labelOnly="1" outline="0" offset="D1:H1" fieldPosition="0"/>
    </format>
    <format dxfId="390">
      <pivotArea dataOnly="0" labelOnly="1" fieldPosition="0">
        <references count="1">
          <reference field="6" count="1">
            <x v="1"/>
          </reference>
        </references>
      </pivotArea>
    </format>
    <format dxfId="389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388">
      <pivotArea type="topRight" dataOnly="0" labelOnly="1" outline="0" offset="J1:M1" fieldPosition="0"/>
    </format>
    <format dxfId="387">
      <pivotArea dataOnly="0" labelOnly="1" fieldPosition="0">
        <references count="1">
          <reference field="6" count="1">
            <x v="2"/>
          </reference>
        </references>
      </pivotArea>
    </format>
    <format dxfId="38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8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84">
      <pivotArea type="topRight" dataOnly="0" labelOnly="1" outline="0" offset="O1:Q1" fieldPosition="0"/>
    </format>
    <format dxfId="383">
      <pivotArea dataOnly="0" labelOnly="1" fieldPosition="0">
        <references count="1">
          <reference field="6" count="1">
            <x v="3"/>
          </reference>
        </references>
      </pivotArea>
    </format>
    <format dxfId="38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8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380">
      <pivotArea dataOnly="0" labelOnly="1" fieldPosition="0">
        <references count="1">
          <reference field="6" count="1">
            <x v="0"/>
          </reference>
        </references>
      </pivotArea>
    </format>
    <format dxfId="37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378">
      <pivotArea outline="0" collapsedLevelsAreSubtotals="1" fieldPosition="0"/>
    </format>
    <format dxfId="37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7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75">
      <pivotArea dataOnly="0" labelOnly="1" fieldPosition="0">
        <references count="1">
          <reference field="5" count="0"/>
        </references>
      </pivotArea>
    </format>
    <format dxfId="374">
      <pivotArea dataOnly="0" labelOnly="1" grandRow="1" outline="0" fieldPosition="0"/>
    </format>
    <format dxfId="37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7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71">
      <pivotArea field="6" type="button" dataOnly="0" labelOnly="1" outline="0" axis="axisCol" fieldPosition="0"/>
    </format>
    <format dxfId="370">
      <pivotArea field="7" type="button" dataOnly="0" labelOnly="1" outline="0" axis="axisCol" fieldPosition="1"/>
    </format>
    <format dxfId="369">
      <pivotArea type="topRight" dataOnly="0" labelOnly="1" outline="0" offset="A1:B1" fieldPosition="0"/>
    </format>
    <format dxfId="368">
      <pivotArea field="7" type="button" dataOnly="0" labelOnly="1" outline="0" axis="axisCol" fieldPosition="1"/>
    </format>
    <format dxfId="367">
      <pivotArea type="topRight" dataOnly="0" labelOnly="1" outline="0" offset="A1:B1" fieldPosition="0"/>
    </format>
    <format dxfId="36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6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64">
      <pivotArea field="6" type="button" dataOnly="0" labelOnly="1" outline="0" axis="axisCol" fieldPosition="0"/>
    </format>
    <format dxfId="363">
      <pivotArea field="7" type="button" dataOnly="0" labelOnly="1" outline="0" axis="axisCol" fieldPosition="1"/>
    </format>
    <format dxfId="362">
      <pivotArea type="topRight" dataOnly="0" labelOnly="1" outline="0" fieldPosition="0"/>
    </format>
    <format dxfId="361">
      <pivotArea dataOnly="0" labelOnly="1" fieldPosition="0">
        <references count="1">
          <reference field="6" count="0"/>
        </references>
      </pivotArea>
    </format>
    <format dxfId="36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3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56">
      <pivotArea type="topRight" dataOnly="0" labelOnly="1" outline="0" offset="A1:Q1" fieldPosition="0"/>
    </format>
    <format dxfId="35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35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353">
      <pivotArea type="origin" dataOnly="0" labelOnly="1" outline="0" fieldPosition="0"/>
    </format>
    <format dxfId="352">
      <pivotArea field="6" type="button" dataOnly="0" labelOnly="1" outline="0" axis="axisCol" fieldPosition="0"/>
    </format>
    <format dxfId="351">
      <pivotArea field="7" type="button" dataOnly="0" labelOnly="1" outline="0" axis="axisCol" fieldPosition="1"/>
    </format>
    <format dxfId="350">
      <pivotArea type="topRight" dataOnly="0" labelOnly="1" outline="0" offset="A1:M1" fieldPosition="0"/>
    </format>
    <format dxfId="349">
      <pivotArea field="5" type="button" dataOnly="0" labelOnly="1" outline="0" axis="axisRow" fieldPosition="0"/>
    </format>
    <format dxfId="348">
      <pivotArea dataOnly="0" labelOnly="1" fieldPosition="0">
        <references count="1">
          <reference field="5" count="0"/>
        </references>
      </pivotArea>
    </format>
    <format dxfId="347">
      <pivotArea dataOnly="0" labelOnly="1" grandRow="1" outline="0" fieldPosition="0"/>
    </format>
    <format dxfId="346">
      <pivotArea dataOnly="0" labelOnly="1" fieldPosition="0">
        <references count="1">
          <reference field="6" count="0"/>
        </references>
      </pivotArea>
    </format>
    <format dxfId="34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34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4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4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41">
      <pivotArea type="all" dataOnly="0" outline="0" fieldPosition="0"/>
    </format>
    <format dxfId="340">
      <pivotArea outline="0" collapsedLevelsAreSubtotals="1" fieldPosition="0"/>
    </format>
    <format dxfId="339">
      <pivotArea type="origin" dataOnly="0" labelOnly="1" outline="0" fieldPosition="0"/>
    </format>
    <format dxfId="338">
      <pivotArea field="6" type="button" dataOnly="0" labelOnly="1" outline="0" axis="axisCol" fieldPosition="0"/>
    </format>
    <format dxfId="337">
      <pivotArea field="7" type="button" dataOnly="0" labelOnly="1" outline="0" axis="axisCol" fieldPosition="1"/>
    </format>
    <format dxfId="336">
      <pivotArea type="topRight" dataOnly="0" labelOnly="1" outline="0" fieldPosition="0"/>
    </format>
    <format dxfId="335">
      <pivotArea field="5" type="button" dataOnly="0" labelOnly="1" outline="0" axis="axisRow" fieldPosition="0"/>
    </format>
    <format dxfId="334">
      <pivotArea dataOnly="0" labelOnly="1" fieldPosition="0">
        <references count="1">
          <reference field="5" count="0"/>
        </references>
      </pivotArea>
    </format>
    <format dxfId="333">
      <pivotArea dataOnly="0" labelOnly="1" fieldPosition="0">
        <references count="1">
          <reference field="6" count="0"/>
        </references>
      </pivotArea>
    </format>
    <format dxfId="33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3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33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2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type="origin" dataOnly="0" labelOnly="1" outline="0" fieldPosition="0"/>
    </format>
    <format dxfId="325">
      <pivotArea field="6" type="button" dataOnly="0" labelOnly="1" outline="0" axis="axisCol" fieldPosition="0"/>
    </format>
    <format dxfId="324">
      <pivotArea field="7" type="button" dataOnly="0" labelOnly="1" outline="0" axis="axisCol" fieldPosition="1"/>
    </format>
    <format dxfId="323">
      <pivotArea type="topRight" dataOnly="0" labelOnly="1" outline="0" fieldPosition="0"/>
    </format>
    <format dxfId="322">
      <pivotArea field="5" type="button" dataOnly="0" labelOnly="1" outline="0" axis="axisRow" fieldPosition="0"/>
    </format>
    <format dxfId="321">
      <pivotArea dataOnly="0" labelOnly="1" fieldPosition="0">
        <references count="1">
          <reference field="5" count="0"/>
        </references>
      </pivotArea>
    </format>
    <format dxfId="320">
      <pivotArea dataOnly="0" labelOnly="1" fieldPosition="0">
        <references count="1">
          <reference field="6" count="0"/>
        </references>
      </pivotArea>
    </format>
    <format dxfId="31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1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3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315">
      <pivotArea outline="0" collapsedLevelsAreSubtotals="1" fieldPosition="0"/>
    </format>
    <format dxfId="314">
      <pivotArea field="6" type="button" dataOnly="0" labelOnly="1" outline="0" axis="axisCol" fieldPosition="0"/>
    </format>
    <format dxfId="313">
      <pivotArea field="7" type="button" dataOnly="0" labelOnly="1" outline="0" axis="axisCol" fieldPosition="1"/>
    </format>
    <format dxfId="312">
      <pivotArea type="topRight" dataOnly="0" labelOnly="1" outline="0" fieldPosition="0"/>
    </format>
    <format dxfId="311">
      <pivotArea dataOnly="0" labelOnly="1" fieldPosition="0">
        <references count="1">
          <reference field="6" count="0"/>
        </references>
      </pivotArea>
    </format>
    <format dxfId="31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309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3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3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C79E3-CA5A-44BC-A027-F69614198227}" name="PivotTable6" cacheId="7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24:R12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7"/>
        <item m="1" x="6"/>
        <item m="1" x="5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512">
      <pivotArea type="all" dataOnly="0" outline="0" fieldPosition="0"/>
    </format>
    <format dxfId="511">
      <pivotArea type="origin" dataOnly="0" labelOnly="1" outline="0" fieldPosition="0"/>
    </format>
    <format dxfId="510">
      <pivotArea field="6" type="button" dataOnly="0" labelOnly="1" outline="0" axis="axisCol" fieldPosition="0"/>
    </format>
    <format dxfId="509">
      <pivotArea field="7" type="button" dataOnly="0" labelOnly="1" outline="0" axis="axisCol" fieldPosition="1"/>
    </format>
    <format dxfId="508">
      <pivotArea type="topRight" dataOnly="0" labelOnly="1" outline="0" fieldPosition="0"/>
    </format>
    <format dxfId="507">
      <pivotArea field="5" type="button" dataOnly="0" labelOnly="1" outline="0" axis="axisRow" fieldPosition="0"/>
    </format>
    <format dxfId="506">
      <pivotArea dataOnly="0" labelOnly="1" fieldPosition="0">
        <references count="1">
          <reference field="6" count="0"/>
        </references>
      </pivotArea>
    </format>
    <format dxfId="505">
      <pivotArea dataOnly="0" labelOnly="1" fieldPosition="0">
        <references count="1">
          <reference field="6" count="0" defaultSubtotal="1"/>
        </references>
      </pivotArea>
    </format>
    <format dxfId="504">
      <pivotArea dataOnly="0" labelOnly="1" grandCol="1" outline="0" fieldPosition="0"/>
    </format>
    <format dxfId="50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0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0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00">
      <pivotArea type="origin" dataOnly="0" labelOnly="1" outline="0" offset="A2" fieldPosition="0"/>
    </format>
    <format dxfId="499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498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497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496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495">
      <pivotArea dataOnly="0" labelOnly="1" grandCol="1" outline="0" offset="IV1" fieldPosition="0"/>
    </format>
    <format dxfId="494">
      <pivotArea type="topRight" dataOnly="0" labelOnly="1" outline="0" offset="D1:H1" fieldPosition="0"/>
    </format>
    <format dxfId="493">
      <pivotArea dataOnly="0" labelOnly="1" fieldPosition="0">
        <references count="1">
          <reference field="6" count="1">
            <x v="1"/>
          </reference>
        </references>
      </pivotArea>
    </format>
    <format dxfId="492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491">
      <pivotArea type="topRight" dataOnly="0" labelOnly="1" outline="0" offset="J1:M1" fieldPosition="0"/>
    </format>
    <format dxfId="490">
      <pivotArea dataOnly="0" labelOnly="1" fieldPosition="0">
        <references count="1">
          <reference field="6" count="1">
            <x v="2"/>
          </reference>
        </references>
      </pivotArea>
    </format>
    <format dxfId="48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8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87">
      <pivotArea type="topRight" dataOnly="0" labelOnly="1" outline="0" offset="O1:Q1" fieldPosition="0"/>
    </format>
    <format dxfId="486">
      <pivotArea dataOnly="0" labelOnly="1" fieldPosition="0">
        <references count="1">
          <reference field="6" count="1">
            <x v="3"/>
          </reference>
        </references>
      </pivotArea>
    </format>
    <format dxfId="48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8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483">
      <pivotArea dataOnly="0" labelOnly="1" fieldPosition="0">
        <references count="1">
          <reference field="6" count="1">
            <x v="0"/>
          </reference>
        </references>
      </pivotArea>
    </format>
    <format dxfId="48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481">
      <pivotArea outline="0" collapsedLevelsAreSubtotals="1" fieldPosition="0"/>
    </format>
    <format dxfId="48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7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78">
      <pivotArea dataOnly="0" labelOnly="1" fieldPosition="0">
        <references count="1">
          <reference field="5" count="0"/>
        </references>
      </pivotArea>
    </format>
    <format dxfId="477">
      <pivotArea dataOnly="0" labelOnly="1" grandRow="1" outline="0" fieldPosition="0"/>
    </format>
    <format dxfId="47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7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74">
      <pivotArea field="6" type="button" dataOnly="0" labelOnly="1" outline="0" axis="axisCol" fieldPosition="0"/>
    </format>
    <format dxfId="473">
      <pivotArea field="7" type="button" dataOnly="0" labelOnly="1" outline="0" axis="axisCol" fieldPosition="1"/>
    </format>
    <format dxfId="472">
      <pivotArea type="topRight" dataOnly="0" labelOnly="1" outline="0" offset="A1:B1" fieldPosition="0"/>
    </format>
    <format dxfId="471">
      <pivotArea field="7" type="button" dataOnly="0" labelOnly="1" outline="0" axis="axisCol" fieldPosition="1"/>
    </format>
    <format dxfId="470">
      <pivotArea type="topRight" dataOnly="0" labelOnly="1" outline="0" offset="A1:B1" fieldPosition="0"/>
    </format>
    <format dxfId="46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6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67">
      <pivotArea field="6" type="button" dataOnly="0" labelOnly="1" outline="0" axis="axisCol" fieldPosition="0"/>
    </format>
    <format dxfId="466">
      <pivotArea field="7" type="button" dataOnly="0" labelOnly="1" outline="0" axis="axisCol" fieldPosition="1"/>
    </format>
    <format dxfId="465">
      <pivotArea type="topRight" dataOnly="0" labelOnly="1" outline="0" fieldPosition="0"/>
    </format>
    <format dxfId="464">
      <pivotArea dataOnly="0" labelOnly="1" fieldPosition="0">
        <references count="1">
          <reference field="6" count="0"/>
        </references>
      </pivotArea>
    </format>
    <format dxfId="46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59">
      <pivotArea type="topRight" dataOnly="0" labelOnly="1" outline="0" offset="A1:Q1" fieldPosition="0"/>
    </format>
    <format dxfId="45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45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456">
      <pivotArea type="origin" dataOnly="0" labelOnly="1" outline="0" fieldPosition="0"/>
    </format>
    <format dxfId="455">
      <pivotArea field="6" type="button" dataOnly="0" labelOnly="1" outline="0" axis="axisCol" fieldPosition="0"/>
    </format>
    <format dxfId="454">
      <pivotArea field="7" type="button" dataOnly="0" labelOnly="1" outline="0" axis="axisCol" fieldPosition="1"/>
    </format>
    <format dxfId="453">
      <pivotArea type="topRight" dataOnly="0" labelOnly="1" outline="0" offset="A1:M1" fieldPosition="0"/>
    </format>
    <format dxfId="452">
      <pivotArea field="5" type="button" dataOnly="0" labelOnly="1" outline="0" axis="axisRow" fieldPosition="0"/>
    </format>
    <format dxfId="451">
      <pivotArea dataOnly="0" labelOnly="1" fieldPosition="0">
        <references count="1">
          <reference field="5" count="0"/>
        </references>
      </pivotArea>
    </format>
    <format dxfId="450">
      <pivotArea dataOnly="0" labelOnly="1" grandRow="1" outline="0" fieldPosition="0"/>
    </format>
    <format dxfId="449">
      <pivotArea dataOnly="0" labelOnly="1" fieldPosition="0">
        <references count="1">
          <reference field="6" count="0"/>
        </references>
      </pivotArea>
    </format>
    <format dxfId="44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44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4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4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type="origin" dataOnly="0" labelOnly="1" outline="0" fieldPosition="0"/>
    </format>
    <format dxfId="441">
      <pivotArea field="6" type="button" dataOnly="0" labelOnly="1" outline="0" axis="axisCol" fieldPosition="0"/>
    </format>
    <format dxfId="440">
      <pivotArea field="7" type="button" dataOnly="0" labelOnly="1" outline="0" axis="axisCol" fieldPosition="1"/>
    </format>
    <format dxfId="439">
      <pivotArea type="topRight" dataOnly="0" labelOnly="1" outline="0" fieldPosition="0"/>
    </format>
    <format dxfId="438">
      <pivotArea field="5" type="button" dataOnly="0" labelOnly="1" outline="0" axis="axisRow" fieldPosition="0"/>
    </format>
    <format dxfId="437">
      <pivotArea dataOnly="0" labelOnly="1" fieldPosition="0">
        <references count="1">
          <reference field="5" count="0"/>
        </references>
      </pivotArea>
    </format>
    <format dxfId="436">
      <pivotArea dataOnly="0" labelOnly="1" fieldPosition="0">
        <references count="1">
          <reference field="6" count="0"/>
        </references>
      </pivotArea>
    </format>
    <format dxfId="43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3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3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3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origin" dataOnly="0" labelOnly="1" outline="0" fieldPosition="0"/>
    </format>
    <format dxfId="428">
      <pivotArea field="6" type="button" dataOnly="0" labelOnly="1" outline="0" axis="axisCol" fieldPosition="0"/>
    </format>
    <format dxfId="427">
      <pivotArea field="7" type="button" dataOnly="0" labelOnly="1" outline="0" axis="axisCol" fieldPosition="1"/>
    </format>
    <format dxfId="426">
      <pivotArea type="topRight" dataOnly="0" labelOnly="1" outline="0" fieldPosition="0"/>
    </format>
    <format dxfId="425">
      <pivotArea field="5" type="button" dataOnly="0" labelOnly="1" outline="0" axis="axisRow" fieldPosition="0"/>
    </format>
    <format dxfId="424">
      <pivotArea dataOnly="0" labelOnly="1" fieldPosition="0">
        <references count="1">
          <reference field="5" count="0"/>
        </references>
      </pivotArea>
    </format>
    <format dxfId="423">
      <pivotArea dataOnly="0" labelOnly="1" fieldPosition="0">
        <references count="1">
          <reference field="6" count="0"/>
        </references>
      </pivotArea>
    </format>
    <format dxfId="42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2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4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418">
      <pivotArea outline="0" collapsedLevelsAreSubtotals="1" fieldPosition="0"/>
    </format>
    <format dxfId="417">
      <pivotArea field="6" type="button" dataOnly="0" labelOnly="1" outline="0" axis="axisCol" fieldPosition="0"/>
    </format>
    <format dxfId="416">
      <pivotArea field="7" type="button" dataOnly="0" labelOnly="1" outline="0" axis="axisCol" fieldPosition="1"/>
    </format>
    <format dxfId="415">
      <pivotArea type="topRight" dataOnly="0" labelOnly="1" outline="0" fieldPosition="0"/>
    </format>
    <format dxfId="414">
      <pivotArea dataOnly="0" labelOnly="1" fieldPosition="0">
        <references count="1">
          <reference field="6" count="0"/>
        </references>
      </pivotArea>
    </format>
    <format dxfId="41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412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4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4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A4B73-92AC-4CBD-8A91-17D31565151D}" name="PivotTable10" cacheId="10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84:O189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sd="0"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4">
    <i>
      <x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615">
      <pivotArea type="all" dataOnly="0" outline="0" fieldPosition="0"/>
    </format>
    <format dxfId="614">
      <pivotArea type="origin" dataOnly="0" labelOnly="1" outline="0" fieldPosition="0"/>
    </format>
    <format dxfId="613">
      <pivotArea field="6" type="button" dataOnly="0" labelOnly="1" outline="0" axis="axisCol" fieldPosition="0"/>
    </format>
    <format dxfId="612">
      <pivotArea field="7" type="button" dataOnly="0" labelOnly="1" outline="0" axis="axisCol" fieldPosition="1"/>
    </format>
    <format dxfId="611">
      <pivotArea type="topRight" dataOnly="0" labelOnly="1" outline="0" fieldPosition="0"/>
    </format>
    <format dxfId="610">
      <pivotArea field="5" type="button" dataOnly="0" labelOnly="1" outline="0" axis="axisRow" fieldPosition="0"/>
    </format>
    <format dxfId="609">
      <pivotArea dataOnly="0" labelOnly="1" fieldPosition="0">
        <references count="1">
          <reference field="6" count="0"/>
        </references>
      </pivotArea>
    </format>
    <format dxfId="608">
      <pivotArea dataOnly="0" labelOnly="1" fieldPosition="0">
        <references count="1">
          <reference field="6" count="0" defaultSubtotal="1"/>
        </references>
      </pivotArea>
    </format>
    <format dxfId="607">
      <pivotArea dataOnly="0" labelOnly="1" grandCol="1" outline="0" fieldPosition="0"/>
    </format>
    <format dxfId="60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0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0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03">
      <pivotArea type="origin" dataOnly="0" labelOnly="1" outline="0" offset="A2" fieldPosition="0"/>
    </format>
    <format dxfId="602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601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600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599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598">
      <pivotArea dataOnly="0" labelOnly="1" grandCol="1" outline="0" offset="IV1" fieldPosition="0"/>
    </format>
    <format dxfId="597">
      <pivotArea type="topRight" dataOnly="0" labelOnly="1" outline="0" offset="D1:H1" fieldPosition="0"/>
    </format>
    <format dxfId="596">
      <pivotArea dataOnly="0" labelOnly="1" fieldPosition="0">
        <references count="1">
          <reference field="6" count="1">
            <x v="1"/>
          </reference>
        </references>
      </pivotArea>
    </format>
    <format dxfId="595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594">
      <pivotArea type="topRight" dataOnly="0" labelOnly="1" outline="0" offset="J1:M1" fieldPosition="0"/>
    </format>
    <format dxfId="593">
      <pivotArea dataOnly="0" labelOnly="1" fieldPosition="0">
        <references count="1">
          <reference field="6" count="1">
            <x v="2"/>
          </reference>
        </references>
      </pivotArea>
    </format>
    <format dxfId="59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9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90">
      <pivotArea type="topRight" dataOnly="0" labelOnly="1" outline="0" offset="O1:Q1" fieldPosition="0"/>
    </format>
    <format dxfId="589">
      <pivotArea dataOnly="0" labelOnly="1" fieldPosition="0">
        <references count="1">
          <reference field="6" count="1">
            <x v="3"/>
          </reference>
        </references>
      </pivotArea>
    </format>
    <format dxfId="58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8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86">
      <pivotArea dataOnly="0" labelOnly="1" fieldPosition="0">
        <references count="1">
          <reference field="6" count="1">
            <x v="0"/>
          </reference>
        </references>
      </pivotArea>
    </format>
    <format dxfId="58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584">
      <pivotArea outline="0" collapsedLevelsAreSubtotals="1" fieldPosition="0"/>
    </format>
    <format dxfId="58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8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81">
      <pivotArea dataOnly="0" labelOnly="1" fieldPosition="0">
        <references count="1">
          <reference field="5" count="0"/>
        </references>
      </pivotArea>
    </format>
    <format dxfId="580">
      <pivotArea dataOnly="0" labelOnly="1" grandRow="1" outline="0" fieldPosition="0"/>
    </format>
    <format dxfId="57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7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77">
      <pivotArea field="6" type="button" dataOnly="0" labelOnly="1" outline="0" axis="axisCol" fieldPosition="0"/>
    </format>
    <format dxfId="576">
      <pivotArea field="7" type="button" dataOnly="0" labelOnly="1" outline="0" axis="axisCol" fieldPosition="1"/>
    </format>
    <format dxfId="575">
      <pivotArea type="topRight" dataOnly="0" labelOnly="1" outline="0" offset="A1:B1" fieldPosition="0"/>
    </format>
    <format dxfId="574">
      <pivotArea field="7" type="button" dataOnly="0" labelOnly="1" outline="0" axis="axisCol" fieldPosition="1"/>
    </format>
    <format dxfId="573">
      <pivotArea type="topRight" dataOnly="0" labelOnly="1" outline="0" offset="A1:B1" fieldPosition="0"/>
    </format>
    <format dxfId="57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7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70">
      <pivotArea field="6" type="button" dataOnly="0" labelOnly="1" outline="0" axis="axisCol" fieldPosition="0"/>
    </format>
    <format dxfId="569">
      <pivotArea field="7" type="button" dataOnly="0" labelOnly="1" outline="0" axis="axisCol" fieldPosition="1"/>
    </format>
    <format dxfId="568">
      <pivotArea type="topRight" dataOnly="0" labelOnly="1" outline="0" fieldPosition="0"/>
    </format>
    <format dxfId="567">
      <pivotArea dataOnly="0" labelOnly="1" fieldPosition="0">
        <references count="1">
          <reference field="6" count="0"/>
        </references>
      </pivotArea>
    </format>
    <format dxfId="56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5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62">
      <pivotArea type="topRight" dataOnly="0" labelOnly="1" outline="0" offset="A1:Q1" fieldPosition="0"/>
    </format>
    <format dxfId="56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56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559">
      <pivotArea type="origin" dataOnly="0" labelOnly="1" outline="0" fieldPosition="0"/>
    </format>
    <format dxfId="558">
      <pivotArea field="6" type="button" dataOnly="0" labelOnly="1" outline="0" axis="axisCol" fieldPosition="0"/>
    </format>
    <format dxfId="557">
      <pivotArea field="7" type="button" dataOnly="0" labelOnly="1" outline="0" axis="axisCol" fieldPosition="1"/>
    </format>
    <format dxfId="556">
      <pivotArea type="topRight" dataOnly="0" labelOnly="1" outline="0" offset="A1:M1" fieldPosition="0"/>
    </format>
    <format dxfId="555">
      <pivotArea field="5" type="button" dataOnly="0" labelOnly="1" outline="0" axis="axisRow" fieldPosition="0"/>
    </format>
    <format dxfId="554">
      <pivotArea dataOnly="0" labelOnly="1" fieldPosition="0">
        <references count="1">
          <reference field="5" count="0"/>
        </references>
      </pivotArea>
    </format>
    <format dxfId="553">
      <pivotArea dataOnly="0" labelOnly="1" grandRow="1" outline="0" fieldPosition="0"/>
    </format>
    <format dxfId="552">
      <pivotArea dataOnly="0" labelOnly="1" fieldPosition="0">
        <references count="1">
          <reference field="6" count="0"/>
        </references>
      </pivotArea>
    </format>
    <format dxfId="55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55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4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4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47">
      <pivotArea type="all" dataOnly="0" outline="0" fieldPosition="0"/>
    </format>
    <format dxfId="546">
      <pivotArea outline="0" collapsedLevelsAreSubtotals="1" fieldPosition="0"/>
    </format>
    <format dxfId="545">
      <pivotArea type="origin" dataOnly="0" labelOnly="1" outline="0" fieldPosition="0"/>
    </format>
    <format dxfId="544">
      <pivotArea field="6" type="button" dataOnly="0" labelOnly="1" outline="0" axis="axisCol" fieldPosition="0"/>
    </format>
    <format dxfId="543">
      <pivotArea field="7" type="button" dataOnly="0" labelOnly="1" outline="0" axis="axisCol" fieldPosition="1"/>
    </format>
    <format dxfId="542">
      <pivotArea type="topRight" dataOnly="0" labelOnly="1" outline="0" fieldPosition="0"/>
    </format>
    <format dxfId="541">
      <pivotArea field="5" type="button" dataOnly="0" labelOnly="1" outline="0" axis="axisRow" fieldPosition="0"/>
    </format>
    <format dxfId="540">
      <pivotArea dataOnly="0" labelOnly="1" fieldPosition="0">
        <references count="1">
          <reference field="5" count="0"/>
        </references>
      </pivotArea>
    </format>
    <format dxfId="539">
      <pivotArea dataOnly="0" labelOnly="1" fieldPosition="0">
        <references count="1">
          <reference field="6" count="0"/>
        </references>
      </pivotArea>
    </format>
    <format dxfId="53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3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3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3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34">
      <pivotArea type="all" dataOnly="0" outline="0" fieldPosition="0"/>
    </format>
    <format dxfId="533">
      <pivotArea outline="0" collapsedLevelsAreSubtotals="1" fieldPosition="0"/>
    </format>
    <format dxfId="532">
      <pivotArea type="origin" dataOnly="0" labelOnly="1" outline="0" fieldPosition="0"/>
    </format>
    <format dxfId="531">
      <pivotArea field="6" type="button" dataOnly="0" labelOnly="1" outline="0" axis="axisCol" fieldPosition="0"/>
    </format>
    <format dxfId="530">
      <pivotArea field="7" type="button" dataOnly="0" labelOnly="1" outline="0" axis="axisCol" fieldPosition="1"/>
    </format>
    <format dxfId="529">
      <pivotArea type="topRight" dataOnly="0" labelOnly="1" outline="0" fieldPosition="0"/>
    </format>
    <format dxfId="528">
      <pivotArea field="5" type="button" dataOnly="0" labelOnly="1" outline="0" axis="axisRow" fieldPosition="0"/>
    </format>
    <format dxfId="527">
      <pivotArea dataOnly="0" labelOnly="1" fieldPosition="0">
        <references count="1">
          <reference field="5" count="0"/>
        </references>
      </pivotArea>
    </format>
    <format dxfId="526">
      <pivotArea dataOnly="0" labelOnly="1" fieldPosition="0">
        <references count="1">
          <reference field="6" count="0"/>
        </references>
      </pivotArea>
    </format>
    <format dxfId="52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2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5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521">
      <pivotArea outline="0" collapsedLevelsAreSubtotals="1" fieldPosition="0"/>
    </format>
    <format dxfId="520">
      <pivotArea field="6" type="button" dataOnly="0" labelOnly="1" outline="0" axis="axisCol" fieldPosition="0"/>
    </format>
    <format dxfId="519">
      <pivotArea field="7" type="button" dataOnly="0" labelOnly="1" outline="0" axis="axisCol" fieldPosition="1"/>
    </format>
    <format dxfId="518">
      <pivotArea type="topRight" dataOnly="0" labelOnly="1" outline="0" fieldPosition="0"/>
    </format>
    <format dxfId="517">
      <pivotArea dataOnly="0" labelOnly="1" fieldPosition="0">
        <references count="1">
          <reference field="6" count="0"/>
        </references>
      </pivotArea>
    </format>
    <format dxfId="51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515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5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5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8F6CEE-7CE3-4A8A-BF3B-F3D6278511A0}" name="PivotTable9" cacheId="9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68:R17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718">
      <pivotArea type="all" dataOnly="0" outline="0" fieldPosition="0"/>
    </format>
    <format dxfId="717">
      <pivotArea type="origin" dataOnly="0" labelOnly="1" outline="0" fieldPosition="0"/>
    </format>
    <format dxfId="716">
      <pivotArea field="6" type="button" dataOnly="0" labelOnly="1" outline="0" axis="axisCol" fieldPosition="0"/>
    </format>
    <format dxfId="715">
      <pivotArea field="7" type="button" dataOnly="0" labelOnly="1" outline="0" axis="axisCol" fieldPosition="1"/>
    </format>
    <format dxfId="714">
      <pivotArea type="topRight" dataOnly="0" labelOnly="1" outline="0" fieldPosition="0"/>
    </format>
    <format dxfId="713">
      <pivotArea field="5" type="button" dataOnly="0" labelOnly="1" outline="0" axis="axisRow" fieldPosition="0"/>
    </format>
    <format dxfId="712">
      <pivotArea dataOnly="0" labelOnly="1" fieldPosition="0">
        <references count="1">
          <reference field="6" count="0"/>
        </references>
      </pivotArea>
    </format>
    <format dxfId="711">
      <pivotArea dataOnly="0" labelOnly="1" fieldPosition="0">
        <references count="1">
          <reference field="6" count="0" defaultSubtotal="1"/>
        </references>
      </pivotArea>
    </format>
    <format dxfId="710">
      <pivotArea dataOnly="0" labelOnly="1" grandCol="1" outline="0" fieldPosition="0"/>
    </format>
    <format dxfId="70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0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0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06">
      <pivotArea type="origin" dataOnly="0" labelOnly="1" outline="0" offset="A2" fieldPosition="0"/>
    </format>
    <format dxfId="705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704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703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702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701">
      <pivotArea dataOnly="0" labelOnly="1" grandCol="1" outline="0" offset="IV1" fieldPosition="0"/>
    </format>
    <format dxfId="700">
      <pivotArea type="topRight" dataOnly="0" labelOnly="1" outline="0" offset="D1:H1" fieldPosition="0"/>
    </format>
    <format dxfId="699">
      <pivotArea dataOnly="0" labelOnly="1" fieldPosition="0">
        <references count="1">
          <reference field="6" count="1">
            <x v="1"/>
          </reference>
        </references>
      </pivotArea>
    </format>
    <format dxfId="698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697">
      <pivotArea type="topRight" dataOnly="0" labelOnly="1" outline="0" offset="J1:M1" fieldPosition="0"/>
    </format>
    <format dxfId="696">
      <pivotArea dataOnly="0" labelOnly="1" fieldPosition="0">
        <references count="1">
          <reference field="6" count="1">
            <x v="2"/>
          </reference>
        </references>
      </pivotArea>
    </format>
    <format dxfId="69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9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93">
      <pivotArea type="topRight" dataOnly="0" labelOnly="1" outline="0" offset="O1:Q1" fieldPosition="0"/>
    </format>
    <format dxfId="692">
      <pivotArea dataOnly="0" labelOnly="1" fieldPosition="0">
        <references count="1">
          <reference field="6" count="1">
            <x v="3"/>
          </reference>
        </references>
      </pivotArea>
    </format>
    <format dxfId="69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9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89">
      <pivotArea dataOnly="0" labelOnly="1" fieldPosition="0">
        <references count="1">
          <reference field="6" count="1">
            <x v="0"/>
          </reference>
        </references>
      </pivotArea>
    </format>
    <format dxfId="68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687">
      <pivotArea outline="0" collapsedLevelsAreSubtotals="1" fieldPosition="0"/>
    </format>
    <format dxfId="68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8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84">
      <pivotArea dataOnly="0" labelOnly="1" fieldPosition="0">
        <references count="1">
          <reference field="5" count="0"/>
        </references>
      </pivotArea>
    </format>
    <format dxfId="683">
      <pivotArea dataOnly="0" labelOnly="1" grandRow="1" outline="0" fieldPosition="0"/>
    </format>
    <format dxfId="68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8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80">
      <pivotArea field="6" type="button" dataOnly="0" labelOnly="1" outline="0" axis="axisCol" fieldPosition="0"/>
    </format>
    <format dxfId="679">
      <pivotArea field="7" type="button" dataOnly="0" labelOnly="1" outline="0" axis="axisCol" fieldPosition="1"/>
    </format>
    <format dxfId="678">
      <pivotArea type="topRight" dataOnly="0" labelOnly="1" outline="0" offset="A1:B1" fieldPosition="0"/>
    </format>
    <format dxfId="677">
      <pivotArea field="7" type="button" dataOnly="0" labelOnly="1" outline="0" axis="axisCol" fieldPosition="1"/>
    </format>
    <format dxfId="676">
      <pivotArea type="topRight" dataOnly="0" labelOnly="1" outline="0" offset="A1:B1" fieldPosition="0"/>
    </format>
    <format dxfId="67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7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73">
      <pivotArea field="6" type="button" dataOnly="0" labelOnly="1" outline="0" axis="axisCol" fieldPosition="0"/>
    </format>
    <format dxfId="672">
      <pivotArea field="7" type="button" dataOnly="0" labelOnly="1" outline="0" axis="axisCol" fieldPosition="1"/>
    </format>
    <format dxfId="671">
      <pivotArea type="topRight" dataOnly="0" labelOnly="1" outline="0" fieldPosition="0"/>
    </format>
    <format dxfId="670">
      <pivotArea dataOnly="0" labelOnly="1" fieldPosition="0">
        <references count="1">
          <reference field="6" count="0"/>
        </references>
      </pivotArea>
    </format>
    <format dxfId="66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65">
      <pivotArea type="topRight" dataOnly="0" labelOnly="1" outline="0" offset="A1:Q1" fieldPosition="0"/>
    </format>
    <format dxfId="66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66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662">
      <pivotArea type="origin" dataOnly="0" labelOnly="1" outline="0" fieldPosition="0"/>
    </format>
    <format dxfId="661">
      <pivotArea field="6" type="button" dataOnly="0" labelOnly="1" outline="0" axis="axisCol" fieldPosition="0"/>
    </format>
    <format dxfId="660">
      <pivotArea field="7" type="button" dataOnly="0" labelOnly="1" outline="0" axis="axisCol" fieldPosition="1"/>
    </format>
    <format dxfId="659">
      <pivotArea type="topRight" dataOnly="0" labelOnly="1" outline="0" offset="A1:M1" fieldPosition="0"/>
    </format>
    <format dxfId="658">
      <pivotArea field="5" type="button" dataOnly="0" labelOnly="1" outline="0" axis="axisRow" fieldPosition="0"/>
    </format>
    <format dxfId="657">
      <pivotArea dataOnly="0" labelOnly="1" fieldPosition="0">
        <references count="1">
          <reference field="5" count="0"/>
        </references>
      </pivotArea>
    </format>
    <format dxfId="656">
      <pivotArea dataOnly="0" labelOnly="1" grandRow="1" outline="0" fieldPosition="0"/>
    </format>
    <format dxfId="655">
      <pivotArea dataOnly="0" labelOnly="1" fieldPosition="0">
        <references count="1">
          <reference field="6" count="0"/>
        </references>
      </pivotArea>
    </format>
    <format dxfId="65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65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5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5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50">
      <pivotArea type="all" dataOnly="0" outline="0" fieldPosition="0"/>
    </format>
    <format dxfId="649">
      <pivotArea outline="0" collapsedLevelsAreSubtotals="1" fieldPosition="0"/>
    </format>
    <format dxfId="648">
      <pivotArea type="origin" dataOnly="0" labelOnly="1" outline="0" fieldPosition="0"/>
    </format>
    <format dxfId="647">
      <pivotArea field="6" type="button" dataOnly="0" labelOnly="1" outline="0" axis="axisCol" fieldPosition="0"/>
    </format>
    <format dxfId="646">
      <pivotArea field="7" type="button" dataOnly="0" labelOnly="1" outline="0" axis="axisCol" fieldPosition="1"/>
    </format>
    <format dxfId="645">
      <pivotArea type="topRight" dataOnly="0" labelOnly="1" outline="0" fieldPosition="0"/>
    </format>
    <format dxfId="644">
      <pivotArea field="5" type="button" dataOnly="0" labelOnly="1" outline="0" axis="axisRow" fieldPosition="0"/>
    </format>
    <format dxfId="643">
      <pivotArea dataOnly="0" labelOnly="1" fieldPosition="0">
        <references count="1">
          <reference field="5" count="0"/>
        </references>
      </pivotArea>
    </format>
    <format dxfId="642">
      <pivotArea dataOnly="0" labelOnly="1" fieldPosition="0">
        <references count="1">
          <reference field="6" count="0"/>
        </references>
      </pivotArea>
    </format>
    <format dxfId="64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4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3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3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37">
      <pivotArea type="all" dataOnly="0" outline="0" fieldPosition="0"/>
    </format>
    <format dxfId="636">
      <pivotArea outline="0" collapsedLevelsAreSubtotals="1" fieldPosition="0"/>
    </format>
    <format dxfId="635">
      <pivotArea type="origin" dataOnly="0" labelOnly="1" outline="0" fieldPosition="0"/>
    </format>
    <format dxfId="634">
      <pivotArea field="6" type="button" dataOnly="0" labelOnly="1" outline="0" axis="axisCol" fieldPosition="0"/>
    </format>
    <format dxfId="633">
      <pivotArea field="7" type="button" dataOnly="0" labelOnly="1" outline="0" axis="axisCol" fieldPosition="1"/>
    </format>
    <format dxfId="632">
      <pivotArea type="topRight" dataOnly="0" labelOnly="1" outline="0" fieldPosition="0"/>
    </format>
    <format dxfId="631">
      <pivotArea field="5" type="button" dataOnly="0" labelOnly="1" outline="0" axis="axisRow" fieldPosition="0"/>
    </format>
    <format dxfId="630">
      <pivotArea dataOnly="0" labelOnly="1" fieldPosition="0">
        <references count="1">
          <reference field="5" count="0"/>
        </references>
      </pivotArea>
    </format>
    <format dxfId="629">
      <pivotArea dataOnly="0" labelOnly="1" fieldPosition="0">
        <references count="1">
          <reference field="6" count="0"/>
        </references>
      </pivotArea>
    </format>
    <format dxfId="62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2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6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624">
      <pivotArea outline="0" collapsedLevelsAreSubtotals="1" fieldPosition="0"/>
    </format>
    <format dxfId="623">
      <pivotArea field="6" type="button" dataOnly="0" labelOnly="1" outline="0" axis="axisCol" fieldPosition="0"/>
    </format>
    <format dxfId="622">
      <pivotArea field="7" type="button" dataOnly="0" labelOnly="1" outline="0" axis="axisCol" fieldPosition="1"/>
    </format>
    <format dxfId="621">
      <pivotArea type="topRight" dataOnly="0" labelOnly="1" outline="0" fieldPosition="0"/>
    </format>
    <format dxfId="620">
      <pivotArea dataOnly="0" labelOnly="1" fieldPosition="0">
        <references count="1">
          <reference field="6" count="0"/>
        </references>
      </pivotArea>
    </format>
    <format dxfId="61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618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6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6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04820-3583-4D9E-B550-5D7C842FDE3D}" name="PivotTable5" cacheId="6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07:R11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1">
        <item m="1" x="3"/>
        <item m="1" x="4"/>
        <item m="1" x="5"/>
        <item m="1" x="6"/>
        <item m="1" x="7"/>
        <item m="1" x="8"/>
        <item m="1" x="9"/>
        <item m="1" x="10"/>
        <item x="1"/>
        <item x="0"/>
        <item m="1" x="2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821">
      <pivotArea type="all" dataOnly="0" outline="0" fieldPosition="0"/>
    </format>
    <format dxfId="820">
      <pivotArea type="origin" dataOnly="0" labelOnly="1" outline="0" fieldPosition="0"/>
    </format>
    <format dxfId="819">
      <pivotArea field="6" type="button" dataOnly="0" labelOnly="1" outline="0" axis="axisCol" fieldPosition="0"/>
    </format>
    <format dxfId="818">
      <pivotArea field="7" type="button" dataOnly="0" labelOnly="1" outline="0" axis="axisCol" fieldPosition="1"/>
    </format>
    <format dxfId="817">
      <pivotArea type="topRight" dataOnly="0" labelOnly="1" outline="0" fieldPosition="0"/>
    </format>
    <format dxfId="816">
      <pivotArea field="5" type="button" dataOnly="0" labelOnly="1" outline="0" axis="axisRow" fieldPosition="0"/>
    </format>
    <format dxfId="815">
      <pivotArea dataOnly="0" labelOnly="1" fieldPosition="0">
        <references count="1">
          <reference field="6" count="0"/>
        </references>
      </pivotArea>
    </format>
    <format dxfId="814">
      <pivotArea dataOnly="0" labelOnly="1" fieldPosition="0">
        <references count="1">
          <reference field="6" count="0" defaultSubtotal="1"/>
        </references>
      </pivotArea>
    </format>
    <format dxfId="813">
      <pivotArea dataOnly="0" labelOnly="1" grandCol="1" outline="0" fieldPosition="0"/>
    </format>
    <format dxfId="81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1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1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09">
      <pivotArea type="origin" dataOnly="0" labelOnly="1" outline="0" offset="A2" fieldPosition="0"/>
    </format>
    <format dxfId="808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807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806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805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804">
      <pivotArea dataOnly="0" labelOnly="1" grandCol="1" outline="0" offset="IV1" fieldPosition="0"/>
    </format>
    <format dxfId="803">
      <pivotArea type="topRight" dataOnly="0" labelOnly="1" outline="0" offset="D1:H1" fieldPosition="0"/>
    </format>
    <format dxfId="802">
      <pivotArea dataOnly="0" labelOnly="1" fieldPosition="0">
        <references count="1">
          <reference field="6" count="1">
            <x v="1"/>
          </reference>
        </references>
      </pivotArea>
    </format>
    <format dxfId="801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800">
      <pivotArea type="topRight" dataOnly="0" labelOnly="1" outline="0" offset="J1:M1" fieldPosition="0"/>
    </format>
    <format dxfId="799">
      <pivotArea dataOnly="0" labelOnly="1" fieldPosition="0">
        <references count="1">
          <reference field="6" count="1">
            <x v="2"/>
          </reference>
        </references>
      </pivotArea>
    </format>
    <format dxfId="79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9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96">
      <pivotArea type="topRight" dataOnly="0" labelOnly="1" outline="0" offset="O1:Q1" fieldPosition="0"/>
    </format>
    <format dxfId="795">
      <pivotArea dataOnly="0" labelOnly="1" fieldPosition="0">
        <references count="1">
          <reference field="6" count="1">
            <x v="3"/>
          </reference>
        </references>
      </pivotArea>
    </format>
    <format dxfId="79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9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92">
      <pivotArea dataOnly="0" labelOnly="1" fieldPosition="0">
        <references count="1">
          <reference field="6" count="1">
            <x v="0"/>
          </reference>
        </references>
      </pivotArea>
    </format>
    <format dxfId="79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790">
      <pivotArea outline="0" collapsedLevelsAreSubtotals="1" fieldPosition="0"/>
    </format>
    <format dxfId="78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8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87">
      <pivotArea dataOnly="0" labelOnly="1" fieldPosition="0">
        <references count="1">
          <reference field="5" count="0"/>
        </references>
      </pivotArea>
    </format>
    <format dxfId="786">
      <pivotArea dataOnly="0" labelOnly="1" grandRow="1" outline="0" fieldPosition="0"/>
    </format>
    <format dxfId="78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8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83">
      <pivotArea field="6" type="button" dataOnly="0" labelOnly="1" outline="0" axis="axisCol" fieldPosition="0"/>
    </format>
    <format dxfId="782">
      <pivotArea field="7" type="button" dataOnly="0" labelOnly="1" outline="0" axis="axisCol" fieldPosition="1"/>
    </format>
    <format dxfId="781">
      <pivotArea type="topRight" dataOnly="0" labelOnly="1" outline="0" offset="A1:B1" fieldPosition="0"/>
    </format>
    <format dxfId="780">
      <pivotArea field="7" type="button" dataOnly="0" labelOnly="1" outline="0" axis="axisCol" fieldPosition="1"/>
    </format>
    <format dxfId="779">
      <pivotArea type="topRight" dataOnly="0" labelOnly="1" outline="0" offset="A1:B1" fieldPosition="0"/>
    </format>
    <format dxfId="77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7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76">
      <pivotArea field="6" type="button" dataOnly="0" labelOnly="1" outline="0" axis="axisCol" fieldPosition="0"/>
    </format>
    <format dxfId="775">
      <pivotArea field="7" type="button" dataOnly="0" labelOnly="1" outline="0" axis="axisCol" fieldPosition="1"/>
    </format>
    <format dxfId="774">
      <pivotArea type="topRight" dataOnly="0" labelOnly="1" outline="0" fieldPosition="0"/>
    </format>
    <format dxfId="773">
      <pivotArea dataOnly="0" labelOnly="1" fieldPosition="0">
        <references count="1">
          <reference field="6" count="0"/>
        </references>
      </pivotArea>
    </format>
    <format dxfId="77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68">
      <pivotArea type="topRight" dataOnly="0" labelOnly="1" outline="0" offset="A1:Q1" fieldPosition="0"/>
    </format>
    <format dxfId="76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76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765">
      <pivotArea type="origin" dataOnly="0" labelOnly="1" outline="0" fieldPosition="0"/>
    </format>
    <format dxfId="764">
      <pivotArea field="6" type="button" dataOnly="0" labelOnly="1" outline="0" axis="axisCol" fieldPosition="0"/>
    </format>
    <format dxfId="763">
      <pivotArea field="7" type="button" dataOnly="0" labelOnly="1" outline="0" axis="axisCol" fieldPosition="1"/>
    </format>
    <format dxfId="762">
      <pivotArea type="topRight" dataOnly="0" labelOnly="1" outline="0" offset="A1:M1" fieldPosition="0"/>
    </format>
    <format dxfId="761">
      <pivotArea field="5" type="button" dataOnly="0" labelOnly="1" outline="0" axis="axisRow" fieldPosition="0"/>
    </format>
    <format dxfId="760">
      <pivotArea dataOnly="0" labelOnly="1" fieldPosition="0">
        <references count="1">
          <reference field="5" count="0"/>
        </references>
      </pivotArea>
    </format>
    <format dxfId="759">
      <pivotArea dataOnly="0" labelOnly="1" grandRow="1" outline="0" fieldPosition="0"/>
    </format>
    <format dxfId="758">
      <pivotArea dataOnly="0" labelOnly="1" fieldPosition="0">
        <references count="1">
          <reference field="6" count="0"/>
        </references>
      </pivotArea>
    </format>
    <format dxfId="75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75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5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5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53">
      <pivotArea type="all" dataOnly="0" outline="0" fieldPosition="0"/>
    </format>
    <format dxfId="752">
      <pivotArea outline="0" collapsedLevelsAreSubtotals="1" fieldPosition="0"/>
    </format>
    <format dxfId="751">
      <pivotArea type="origin" dataOnly="0" labelOnly="1" outline="0" fieldPosition="0"/>
    </format>
    <format dxfId="750">
      <pivotArea field="6" type="button" dataOnly="0" labelOnly="1" outline="0" axis="axisCol" fieldPosition="0"/>
    </format>
    <format dxfId="749">
      <pivotArea field="7" type="button" dataOnly="0" labelOnly="1" outline="0" axis="axisCol" fieldPosition="1"/>
    </format>
    <format dxfId="748">
      <pivotArea type="topRight" dataOnly="0" labelOnly="1" outline="0" fieldPosition="0"/>
    </format>
    <format dxfId="747">
      <pivotArea field="5" type="button" dataOnly="0" labelOnly="1" outline="0" axis="axisRow" fieldPosition="0"/>
    </format>
    <format dxfId="746">
      <pivotArea dataOnly="0" labelOnly="1" fieldPosition="0">
        <references count="1">
          <reference field="5" count="0"/>
        </references>
      </pivotArea>
    </format>
    <format dxfId="745">
      <pivotArea dataOnly="0" labelOnly="1" fieldPosition="0">
        <references count="1">
          <reference field="6" count="0"/>
        </references>
      </pivotArea>
    </format>
    <format dxfId="74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4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4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4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40">
      <pivotArea type="all" dataOnly="0" outline="0" fieldPosition="0"/>
    </format>
    <format dxfId="739">
      <pivotArea outline="0" collapsedLevelsAreSubtotals="1" fieldPosition="0"/>
    </format>
    <format dxfId="738">
      <pivotArea type="origin" dataOnly="0" labelOnly="1" outline="0" fieldPosition="0"/>
    </format>
    <format dxfId="737">
      <pivotArea field="6" type="button" dataOnly="0" labelOnly="1" outline="0" axis="axisCol" fieldPosition="0"/>
    </format>
    <format dxfId="736">
      <pivotArea field="7" type="button" dataOnly="0" labelOnly="1" outline="0" axis="axisCol" fieldPosition="1"/>
    </format>
    <format dxfId="735">
      <pivotArea type="topRight" dataOnly="0" labelOnly="1" outline="0" fieldPosition="0"/>
    </format>
    <format dxfId="734">
      <pivotArea field="5" type="button" dataOnly="0" labelOnly="1" outline="0" axis="axisRow" fieldPosition="0"/>
    </format>
    <format dxfId="733">
      <pivotArea dataOnly="0" labelOnly="1" fieldPosition="0">
        <references count="1">
          <reference field="5" count="0"/>
        </references>
      </pivotArea>
    </format>
    <format dxfId="732">
      <pivotArea dataOnly="0" labelOnly="1" fieldPosition="0">
        <references count="1">
          <reference field="6" count="0"/>
        </references>
      </pivotArea>
    </format>
    <format dxfId="73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3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7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727">
      <pivotArea outline="0" collapsedLevelsAreSubtotals="1" fieldPosition="0"/>
    </format>
    <format dxfId="726">
      <pivotArea field="6" type="button" dataOnly="0" labelOnly="1" outline="0" axis="axisCol" fieldPosition="0"/>
    </format>
    <format dxfId="725">
      <pivotArea field="7" type="button" dataOnly="0" labelOnly="1" outline="0" axis="axisCol" fieldPosition="1"/>
    </format>
    <format dxfId="724">
      <pivotArea type="topRight" dataOnly="0" labelOnly="1" outline="0" fieldPosition="0"/>
    </format>
    <format dxfId="723">
      <pivotArea dataOnly="0" labelOnly="1" fieldPosition="0">
        <references count="1">
          <reference field="6" count="0"/>
        </references>
      </pivotArea>
    </format>
    <format dxfId="72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721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7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7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BFE693-738E-4B28-9183-D4BABA1CBAA4}" name="PivotTable4" cacheId="5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91:R9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924">
      <pivotArea type="all" dataOnly="0" outline="0" fieldPosition="0"/>
    </format>
    <format dxfId="923">
      <pivotArea type="origin" dataOnly="0" labelOnly="1" outline="0" fieldPosition="0"/>
    </format>
    <format dxfId="922">
      <pivotArea field="6" type="button" dataOnly="0" labelOnly="1" outline="0" axis="axisCol" fieldPosition="0"/>
    </format>
    <format dxfId="921">
      <pivotArea field="7" type="button" dataOnly="0" labelOnly="1" outline="0" axis="axisCol" fieldPosition="1"/>
    </format>
    <format dxfId="920">
      <pivotArea type="topRight" dataOnly="0" labelOnly="1" outline="0" fieldPosition="0"/>
    </format>
    <format dxfId="919">
      <pivotArea field="5" type="button" dataOnly="0" labelOnly="1" outline="0" axis="axisRow" fieldPosition="0"/>
    </format>
    <format dxfId="918">
      <pivotArea dataOnly="0" labelOnly="1" fieldPosition="0">
        <references count="1">
          <reference field="6" count="0"/>
        </references>
      </pivotArea>
    </format>
    <format dxfId="917">
      <pivotArea dataOnly="0" labelOnly="1" fieldPosition="0">
        <references count="1">
          <reference field="6" count="0" defaultSubtotal="1"/>
        </references>
      </pivotArea>
    </format>
    <format dxfId="916">
      <pivotArea dataOnly="0" labelOnly="1" grandCol="1" outline="0" fieldPosition="0"/>
    </format>
    <format dxfId="91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1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1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12">
      <pivotArea type="origin" dataOnly="0" labelOnly="1" outline="0" offset="A2" fieldPosition="0"/>
    </format>
    <format dxfId="911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910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909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908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907">
      <pivotArea dataOnly="0" labelOnly="1" grandCol="1" outline="0" offset="IV1" fieldPosition="0"/>
    </format>
    <format dxfId="906">
      <pivotArea type="topRight" dataOnly="0" labelOnly="1" outline="0" offset="D1:H1" fieldPosition="0"/>
    </format>
    <format dxfId="905">
      <pivotArea dataOnly="0" labelOnly="1" fieldPosition="0">
        <references count="1">
          <reference field="6" count="1">
            <x v="1"/>
          </reference>
        </references>
      </pivotArea>
    </format>
    <format dxfId="904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903">
      <pivotArea type="topRight" dataOnly="0" labelOnly="1" outline="0" offset="J1:M1" fieldPosition="0"/>
    </format>
    <format dxfId="902">
      <pivotArea dataOnly="0" labelOnly="1" fieldPosition="0">
        <references count="1">
          <reference field="6" count="1">
            <x v="2"/>
          </reference>
        </references>
      </pivotArea>
    </format>
    <format dxfId="90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0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99">
      <pivotArea type="topRight" dataOnly="0" labelOnly="1" outline="0" offset="O1:Q1" fieldPosition="0"/>
    </format>
    <format dxfId="898">
      <pivotArea dataOnly="0" labelOnly="1" fieldPosition="0">
        <references count="1">
          <reference field="6" count="1">
            <x v="3"/>
          </reference>
        </references>
      </pivotArea>
    </format>
    <format dxfId="89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9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95">
      <pivotArea dataOnly="0" labelOnly="1" fieldPosition="0">
        <references count="1">
          <reference field="6" count="1">
            <x v="0"/>
          </reference>
        </references>
      </pivotArea>
    </format>
    <format dxfId="89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893">
      <pivotArea outline="0" collapsedLevelsAreSubtotals="1" fieldPosition="0"/>
    </format>
    <format dxfId="89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9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90">
      <pivotArea dataOnly="0" labelOnly="1" fieldPosition="0">
        <references count="1">
          <reference field="5" count="0"/>
        </references>
      </pivotArea>
    </format>
    <format dxfId="889">
      <pivotArea dataOnly="0" labelOnly="1" grandRow="1" outline="0" fieldPosition="0"/>
    </format>
    <format dxfId="88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8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86">
      <pivotArea field="6" type="button" dataOnly="0" labelOnly="1" outline="0" axis="axisCol" fieldPosition="0"/>
    </format>
    <format dxfId="885">
      <pivotArea field="7" type="button" dataOnly="0" labelOnly="1" outline="0" axis="axisCol" fieldPosition="1"/>
    </format>
    <format dxfId="884">
      <pivotArea type="topRight" dataOnly="0" labelOnly="1" outline="0" offset="A1:B1" fieldPosition="0"/>
    </format>
    <format dxfId="883">
      <pivotArea field="7" type="button" dataOnly="0" labelOnly="1" outline="0" axis="axisCol" fieldPosition="1"/>
    </format>
    <format dxfId="882">
      <pivotArea type="topRight" dataOnly="0" labelOnly="1" outline="0" offset="A1:B1" fieldPosition="0"/>
    </format>
    <format dxfId="88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8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79">
      <pivotArea field="6" type="button" dataOnly="0" labelOnly="1" outline="0" axis="axisCol" fieldPosition="0"/>
    </format>
    <format dxfId="878">
      <pivotArea field="7" type="button" dataOnly="0" labelOnly="1" outline="0" axis="axisCol" fieldPosition="1"/>
    </format>
    <format dxfId="877">
      <pivotArea type="topRight" dataOnly="0" labelOnly="1" outline="0" fieldPosition="0"/>
    </format>
    <format dxfId="876">
      <pivotArea dataOnly="0" labelOnly="1" fieldPosition="0">
        <references count="1">
          <reference field="6" count="0"/>
        </references>
      </pivotArea>
    </format>
    <format dxfId="87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7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71">
      <pivotArea type="topRight" dataOnly="0" labelOnly="1" outline="0" offset="A1:Q1" fieldPosition="0"/>
    </format>
    <format dxfId="87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86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868">
      <pivotArea type="origin" dataOnly="0" labelOnly="1" outline="0" fieldPosition="0"/>
    </format>
    <format dxfId="867">
      <pivotArea field="6" type="button" dataOnly="0" labelOnly="1" outline="0" axis="axisCol" fieldPosition="0"/>
    </format>
    <format dxfId="866">
      <pivotArea field="7" type="button" dataOnly="0" labelOnly="1" outline="0" axis="axisCol" fieldPosition="1"/>
    </format>
    <format dxfId="865">
      <pivotArea type="topRight" dataOnly="0" labelOnly="1" outline="0" offset="A1:M1" fieldPosition="0"/>
    </format>
    <format dxfId="864">
      <pivotArea field="5" type="button" dataOnly="0" labelOnly="1" outline="0" axis="axisRow" fieldPosition="0"/>
    </format>
    <format dxfId="863">
      <pivotArea dataOnly="0" labelOnly="1" fieldPosition="0">
        <references count="1">
          <reference field="5" count="0"/>
        </references>
      </pivotArea>
    </format>
    <format dxfId="862">
      <pivotArea dataOnly="0" labelOnly="1" grandRow="1" outline="0" fieldPosition="0"/>
    </format>
    <format dxfId="861">
      <pivotArea dataOnly="0" labelOnly="1" fieldPosition="0">
        <references count="1">
          <reference field="6" count="0"/>
        </references>
      </pivotArea>
    </format>
    <format dxfId="86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8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5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5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56">
      <pivotArea type="all" dataOnly="0" outline="0" fieldPosition="0"/>
    </format>
    <format dxfId="855">
      <pivotArea outline="0" collapsedLevelsAreSubtotals="1" fieldPosition="0"/>
    </format>
    <format dxfId="854">
      <pivotArea type="origin" dataOnly="0" labelOnly="1" outline="0" fieldPosition="0"/>
    </format>
    <format dxfId="853">
      <pivotArea field="6" type="button" dataOnly="0" labelOnly="1" outline="0" axis="axisCol" fieldPosition="0"/>
    </format>
    <format dxfId="852">
      <pivotArea field="7" type="button" dataOnly="0" labelOnly="1" outline="0" axis="axisCol" fieldPosition="1"/>
    </format>
    <format dxfId="851">
      <pivotArea type="topRight" dataOnly="0" labelOnly="1" outline="0" fieldPosition="0"/>
    </format>
    <format dxfId="850">
      <pivotArea field="5" type="button" dataOnly="0" labelOnly="1" outline="0" axis="axisRow" fieldPosition="0"/>
    </format>
    <format dxfId="849">
      <pivotArea dataOnly="0" labelOnly="1" fieldPosition="0">
        <references count="1">
          <reference field="5" count="0"/>
        </references>
      </pivotArea>
    </format>
    <format dxfId="848">
      <pivotArea dataOnly="0" labelOnly="1" fieldPosition="0">
        <references count="1">
          <reference field="6" count="0"/>
        </references>
      </pivotArea>
    </format>
    <format dxfId="84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4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4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4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43">
      <pivotArea type="all" dataOnly="0" outline="0" fieldPosition="0"/>
    </format>
    <format dxfId="842">
      <pivotArea outline="0" collapsedLevelsAreSubtotals="1" fieldPosition="0"/>
    </format>
    <format dxfId="841">
      <pivotArea type="origin" dataOnly="0" labelOnly="1" outline="0" fieldPosition="0"/>
    </format>
    <format dxfId="840">
      <pivotArea field="6" type="button" dataOnly="0" labelOnly="1" outline="0" axis="axisCol" fieldPosition="0"/>
    </format>
    <format dxfId="839">
      <pivotArea field="7" type="button" dataOnly="0" labelOnly="1" outline="0" axis="axisCol" fieldPosition="1"/>
    </format>
    <format dxfId="838">
      <pivotArea type="topRight" dataOnly="0" labelOnly="1" outline="0" fieldPosition="0"/>
    </format>
    <format dxfId="837">
      <pivotArea field="5" type="button" dataOnly="0" labelOnly="1" outline="0" axis="axisRow" fieldPosition="0"/>
    </format>
    <format dxfId="836">
      <pivotArea dataOnly="0" labelOnly="1" fieldPosition="0">
        <references count="1">
          <reference field="5" count="0"/>
        </references>
      </pivotArea>
    </format>
    <format dxfId="835">
      <pivotArea dataOnly="0" labelOnly="1" fieldPosition="0">
        <references count="1">
          <reference field="6" count="0"/>
        </references>
      </pivotArea>
    </format>
    <format dxfId="83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33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8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830">
      <pivotArea outline="0" collapsedLevelsAreSubtotals="1" fieldPosition="0"/>
    </format>
    <format dxfId="829">
      <pivotArea field="6" type="button" dataOnly="0" labelOnly="1" outline="0" axis="axisCol" fieldPosition="0"/>
    </format>
    <format dxfId="828">
      <pivotArea field="7" type="button" dataOnly="0" labelOnly="1" outline="0" axis="axisCol" fieldPosition="1"/>
    </format>
    <format dxfId="827">
      <pivotArea type="topRight" dataOnly="0" labelOnly="1" outline="0" fieldPosition="0"/>
    </format>
    <format dxfId="826">
      <pivotArea dataOnly="0" labelOnly="1" fieldPosition="0">
        <references count="1">
          <reference field="6" count="0"/>
        </references>
      </pivotArea>
    </format>
    <format dxfId="82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824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8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8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DC60A-CC61-475F-9614-E9FC29D0A882}" name="PivotTable2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65:R70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027">
      <pivotArea type="all" dataOnly="0" outline="0" fieldPosition="0"/>
    </format>
    <format dxfId="1026">
      <pivotArea type="origin" dataOnly="0" labelOnly="1" outline="0" fieldPosition="0"/>
    </format>
    <format dxfId="1025">
      <pivotArea field="6" type="button" dataOnly="0" labelOnly="1" outline="0" axis="axisCol" fieldPosition="0"/>
    </format>
    <format dxfId="1024">
      <pivotArea field="7" type="button" dataOnly="0" labelOnly="1" outline="0" axis="axisCol" fieldPosition="1"/>
    </format>
    <format dxfId="1023">
      <pivotArea type="topRight" dataOnly="0" labelOnly="1" outline="0" fieldPosition="0"/>
    </format>
    <format dxfId="1022">
      <pivotArea field="5" type="button" dataOnly="0" labelOnly="1" outline="0" axis="axisRow" fieldPosition="0"/>
    </format>
    <format dxfId="1021">
      <pivotArea dataOnly="0" labelOnly="1" fieldPosition="0">
        <references count="1">
          <reference field="6" count="0"/>
        </references>
      </pivotArea>
    </format>
    <format dxfId="1020">
      <pivotArea dataOnly="0" labelOnly="1" fieldPosition="0">
        <references count="1">
          <reference field="6" count="0" defaultSubtotal="1"/>
        </references>
      </pivotArea>
    </format>
    <format dxfId="1019">
      <pivotArea dataOnly="0" labelOnly="1" grandCol="1" outline="0" fieldPosition="0"/>
    </format>
    <format dxfId="101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1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1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15">
      <pivotArea type="origin" dataOnly="0" labelOnly="1" outline="0" offset="A2" fieldPosition="0"/>
    </format>
    <format dxfId="1014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013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012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011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010">
      <pivotArea dataOnly="0" labelOnly="1" grandCol="1" outline="0" offset="IV1" fieldPosition="0"/>
    </format>
    <format dxfId="1009">
      <pivotArea type="topRight" dataOnly="0" labelOnly="1" outline="0" offset="D1:H1" fieldPosition="0"/>
    </format>
    <format dxfId="1008">
      <pivotArea dataOnly="0" labelOnly="1" fieldPosition="0">
        <references count="1">
          <reference field="6" count="1">
            <x v="1"/>
          </reference>
        </references>
      </pivotArea>
    </format>
    <format dxfId="1007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006">
      <pivotArea type="topRight" dataOnly="0" labelOnly="1" outline="0" offset="J1:M1" fieldPosition="0"/>
    </format>
    <format dxfId="1005">
      <pivotArea dataOnly="0" labelOnly="1" fieldPosition="0">
        <references count="1">
          <reference field="6" count="1">
            <x v="2"/>
          </reference>
        </references>
      </pivotArea>
    </format>
    <format dxfId="100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0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02">
      <pivotArea type="topRight" dataOnly="0" labelOnly="1" outline="0" offset="O1:Q1" fieldPosition="0"/>
    </format>
    <format dxfId="1001">
      <pivotArea dataOnly="0" labelOnly="1" fieldPosition="0">
        <references count="1">
          <reference field="6" count="1">
            <x v="3"/>
          </reference>
        </references>
      </pivotArea>
    </format>
    <format dxfId="100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9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98">
      <pivotArea dataOnly="0" labelOnly="1" fieldPosition="0">
        <references count="1">
          <reference field="6" count="1">
            <x v="0"/>
          </reference>
        </references>
      </pivotArea>
    </format>
    <format dxfId="99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996">
      <pivotArea outline="0" collapsedLevelsAreSubtotals="1" fieldPosition="0"/>
    </format>
    <format dxfId="99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9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93">
      <pivotArea dataOnly="0" labelOnly="1" fieldPosition="0">
        <references count="1">
          <reference field="5" count="0"/>
        </references>
      </pivotArea>
    </format>
    <format dxfId="992">
      <pivotArea dataOnly="0" labelOnly="1" grandRow="1" outline="0" fieldPosition="0"/>
    </format>
    <format dxfId="99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9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89">
      <pivotArea field="6" type="button" dataOnly="0" labelOnly="1" outline="0" axis="axisCol" fieldPosition="0"/>
    </format>
    <format dxfId="988">
      <pivotArea field="7" type="button" dataOnly="0" labelOnly="1" outline="0" axis="axisCol" fieldPosition="1"/>
    </format>
    <format dxfId="987">
      <pivotArea type="topRight" dataOnly="0" labelOnly="1" outline="0" offset="A1:B1" fieldPosition="0"/>
    </format>
    <format dxfId="986">
      <pivotArea field="7" type="button" dataOnly="0" labelOnly="1" outline="0" axis="axisCol" fieldPosition="1"/>
    </format>
    <format dxfId="985">
      <pivotArea type="topRight" dataOnly="0" labelOnly="1" outline="0" offset="A1:B1" fieldPosition="0"/>
    </format>
    <format dxfId="98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8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82">
      <pivotArea field="6" type="button" dataOnly="0" labelOnly="1" outline="0" axis="axisCol" fieldPosition="0"/>
    </format>
    <format dxfId="981">
      <pivotArea field="7" type="button" dataOnly="0" labelOnly="1" outline="0" axis="axisCol" fieldPosition="1"/>
    </format>
    <format dxfId="980">
      <pivotArea type="topRight" dataOnly="0" labelOnly="1" outline="0" fieldPosition="0"/>
    </format>
    <format dxfId="979">
      <pivotArea dataOnly="0" labelOnly="1" fieldPosition="0">
        <references count="1">
          <reference field="6" count="0"/>
        </references>
      </pivotArea>
    </format>
    <format dxfId="97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7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74">
      <pivotArea type="topRight" dataOnly="0" labelOnly="1" outline="0" offset="A1:Q1" fieldPosition="0"/>
    </format>
    <format dxfId="97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97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971">
      <pivotArea type="origin" dataOnly="0" labelOnly="1" outline="0" fieldPosition="0"/>
    </format>
    <format dxfId="970">
      <pivotArea field="6" type="button" dataOnly="0" labelOnly="1" outline="0" axis="axisCol" fieldPosition="0"/>
    </format>
    <format dxfId="969">
      <pivotArea field="7" type="button" dataOnly="0" labelOnly="1" outline="0" axis="axisCol" fieldPosition="1"/>
    </format>
    <format dxfId="968">
      <pivotArea type="topRight" dataOnly="0" labelOnly="1" outline="0" offset="A1:M1" fieldPosition="0"/>
    </format>
    <format dxfId="967">
      <pivotArea field="5" type="button" dataOnly="0" labelOnly="1" outline="0" axis="axisRow" fieldPosition="0"/>
    </format>
    <format dxfId="966">
      <pivotArea dataOnly="0" labelOnly="1" fieldPosition="0">
        <references count="1">
          <reference field="5" count="0"/>
        </references>
      </pivotArea>
    </format>
    <format dxfId="965">
      <pivotArea dataOnly="0" labelOnly="1" grandRow="1" outline="0" fieldPosition="0"/>
    </format>
    <format dxfId="964">
      <pivotArea dataOnly="0" labelOnly="1" fieldPosition="0">
        <references count="1">
          <reference field="6" count="0"/>
        </references>
      </pivotArea>
    </format>
    <format dxfId="96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9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6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6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59">
      <pivotArea type="all" dataOnly="0" outline="0" fieldPosition="0"/>
    </format>
    <format dxfId="958">
      <pivotArea outline="0" collapsedLevelsAreSubtotals="1" fieldPosition="0"/>
    </format>
    <format dxfId="957">
      <pivotArea type="origin" dataOnly="0" labelOnly="1" outline="0" fieldPosition="0"/>
    </format>
    <format dxfId="956">
      <pivotArea field="6" type="button" dataOnly="0" labelOnly="1" outline="0" axis="axisCol" fieldPosition="0"/>
    </format>
    <format dxfId="955">
      <pivotArea field="7" type="button" dataOnly="0" labelOnly="1" outline="0" axis="axisCol" fieldPosition="1"/>
    </format>
    <format dxfId="954">
      <pivotArea type="topRight" dataOnly="0" labelOnly="1" outline="0" fieldPosition="0"/>
    </format>
    <format dxfId="953">
      <pivotArea field="5" type="button" dataOnly="0" labelOnly="1" outline="0" axis="axisRow" fieldPosition="0"/>
    </format>
    <format dxfId="952">
      <pivotArea dataOnly="0" labelOnly="1" fieldPosition="0">
        <references count="1">
          <reference field="5" count="0"/>
        </references>
      </pivotArea>
    </format>
    <format dxfId="951">
      <pivotArea dataOnly="0" labelOnly="1" fieldPosition="0">
        <references count="1">
          <reference field="6" count="0"/>
        </references>
      </pivotArea>
    </format>
    <format dxfId="95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4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4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4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46">
      <pivotArea type="all" dataOnly="0" outline="0" fieldPosition="0"/>
    </format>
    <format dxfId="945">
      <pivotArea outline="0" collapsedLevelsAreSubtotals="1" fieldPosition="0"/>
    </format>
    <format dxfId="944">
      <pivotArea type="origin" dataOnly="0" labelOnly="1" outline="0" fieldPosition="0"/>
    </format>
    <format dxfId="943">
      <pivotArea field="6" type="button" dataOnly="0" labelOnly="1" outline="0" axis="axisCol" fieldPosition="0"/>
    </format>
    <format dxfId="942">
      <pivotArea field="7" type="button" dataOnly="0" labelOnly="1" outline="0" axis="axisCol" fieldPosition="1"/>
    </format>
    <format dxfId="941">
      <pivotArea type="topRight" dataOnly="0" labelOnly="1" outline="0" fieldPosition="0"/>
    </format>
    <format dxfId="940">
      <pivotArea field="5" type="button" dataOnly="0" labelOnly="1" outline="0" axis="axisRow" fieldPosition="0"/>
    </format>
    <format dxfId="939">
      <pivotArea dataOnly="0" labelOnly="1" fieldPosition="0">
        <references count="1">
          <reference field="5" count="0"/>
        </references>
      </pivotArea>
    </format>
    <format dxfId="938">
      <pivotArea dataOnly="0" labelOnly="1" fieldPosition="0">
        <references count="1">
          <reference field="6" count="0"/>
        </references>
      </pivotArea>
    </format>
    <format dxfId="93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36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9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933">
      <pivotArea outline="0" collapsedLevelsAreSubtotals="1" fieldPosition="0"/>
    </format>
    <format dxfId="932">
      <pivotArea field="6" type="button" dataOnly="0" labelOnly="1" outline="0" axis="axisCol" fieldPosition="0"/>
    </format>
    <format dxfId="931">
      <pivotArea field="7" type="button" dataOnly="0" labelOnly="1" outline="0" axis="axisCol" fieldPosition="1"/>
    </format>
    <format dxfId="930">
      <pivotArea type="topRight" dataOnly="0" labelOnly="1" outline="0" fieldPosition="0"/>
    </format>
    <format dxfId="929">
      <pivotArea dataOnly="0" labelOnly="1" fieldPosition="0">
        <references count="1">
          <reference field="6" count="0"/>
        </references>
      </pivotArea>
    </format>
    <format dxfId="92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927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9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9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39457-7ECF-40FB-9EBE-24C1B2A748D5}" name="PivotTable11" cacheId="11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01:R20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6">
        <item m="1" x="2"/>
        <item m="1" x="3"/>
        <item m="1" x="4"/>
        <item m="1" x="5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4"/>
    </i>
    <i>
      <x v="5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130">
      <pivotArea type="all" dataOnly="0" outline="0" fieldPosition="0"/>
    </format>
    <format dxfId="1129">
      <pivotArea type="origin" dataOnly="0" labelOnly="1" outline="0" fieldPosition="0"/>
    </format>
    <format dxfId="1128">
      <pivotArea field="6" type="button" dataOnly="0" labelOnly="1" outline="0" axis="axisCol" fieldPosition="0"/>
    </format>
    <format dxfId="1127">
      <pivotArea field="7" type="button" dataOnly="0" labelOnly="1" outline="0" axis="axisCol" fieldPosition="1"/>
    </format>
    <format dxfId="1126">
      <pivotArea type="topRight" dataOnly="0" labelOnly="1" outline="0" fieldPosition="0"/>
    </format>
    <format dxfId="1125">
      <pivotArea field="5" type="button" dataOnly="0" labelOnly="1" outline="0" axis="axisRow" fieldPosition="0"/>
    </format>
    <format dxfId="1124">
      <pivotArea dataOnly="0" labelOnly="1" fieldPosition="0">
        <references count="1">
          <reference field="6" count="0"/>
        </references>
      </pivotArea>
    </format>
    <format dxfId="1123">
      <pivotArea dataOnly="0" labelOnly="1" fieldPosition="0">
        <references count="1">
          <reference field="6" count="0" defaultSubtotal="1"/>
        </references>
      </pivotArea>
    </format>
    <format dxfId="1122">
      <pivotArea dataOnly="0" labelOnly="1" grandCol="1" outline="0" fieldPosition="0"/>
    </format>
    <format dxfId="112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2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1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18">
      <pivotArea type="origin" dataOnly="0" labelOnly="1" outline="0" offset="A2" fieldPosition="0"/>
    </format>
    <format dxfId="1117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116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115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114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113">
      <pivotArea dataOnly="0" labelOnly="1" grandCol="1" outline="0" offset="IV1" fieldPosition="0"/>
    </format>
    <format dxfId="1112">
      <pivotArea type="topRight" dataOnly="0" labelOnly="1" outline="0" offset="D1:H1" fieldPosition="0"/>
    </format>
    <format dxfId="1111">
      <pivotArea dataOnly="0" labelOnly="1" fieldPosition="0">
        <references count="1">
          <reference field="6" count="1">
            <x v="1"/>
          </reference>
        </references>
      </pivotArea>
    </format>
    <format dxfId="1110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109">
      <pivotArea type="topRight" dataOnly="0" labelOnly="1" outline="0" offset="J1:M1" fieldPosition="0"/>
    </format>
    <format dxfId="1108">
      <pivotArea dataOnly="0" labelOnly="1" fieldPosition="0">
        <references count="1">
          <reference field="6" count="1">
            <x v="2"/>
          </reference>
        </references>
      </pivotArea>
    </format>
    <format dxfId="110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0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05">
      <pivotArea type="topRight" dataOnly="0" labelOnly="1" outline="0" offset="O1:Q1" fieldPosition="0"/>
    </format>
    <format dxfId="1104">
      <pivotArea dataOnly="0" labelOnly="1" fieldPosition="0">
        <references count="1">
          <reference field="6" count="1">
            <x v="3"/>
          </reference>
        </references>
      </pivotArea>
    </format>
    <format dxfId="110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0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101">
      <pivotArea dataOnly="0" labelOnly="1" fieldPosition="0">
        <references count="1">
          <reference field="6" count="1">
            <x v="0"/>
          </reference>
        </references>
      </pivotArea>
    </format>
    <format dxfId="110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099">
      <pivotArea outline="0" collapsedLevelsAreSubtotals="1" fieldPosition="0"/>
    </format>
    <format dxfId="109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9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96">
      <pivotArea dataOnly="0" labelOnly="1" fieldPosition="0">
        <references count="1">
          <reference field="5" count="0"/>
        </references>
      </pivotArea>
    </format>
    <format dxfId="1095">
      <pivotArea dataOnly="0" labelOnly="1" grandRow="1" outline="0" fieldPosition="0"/>
    </format>
    <format dxfId="109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9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92">
      <pivotArea field="6" type="button" dataOnly="0" labelOnly="1" outline="0" axis="axisCol" fieldPosition="0"/>
    </format>
    <format dxfId="1091">
      <pivotArea field="7" type="button" dataOnly="0" labelOnly="1" outline="0" axis="axisCol" fieldPosition="1"/>
    </format>
    <format dxfId="1090">
      <pivotArea type="topRight" dataOnly="0" labelOnly="1" outline="0" offset="A1:B1" fieldPosition="0"/>
    </format>
    <format dxfId="1089">
      <pivotArea field="7" type="button" dataOnly="0" labelOnly="1" outline="0" axis="axisCol" fieldPosition="1"/>
    </format>
    <format dxfId="1088">
      <pivotArea type="topRight" dataOnly="0" labelOnly="1" outline="0" offset="A1:B1" fieldPosition="0"/>
    </format>
    <format dxfId="108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8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85">
      <pivotArea field="6" type="button" dataOnly="0" labelOnly="1" outline="0" axis="axisCol" fieldPosition="0"/>
    </format>
    <format dxfId="1084">
      <pivotArea field="7" type="button" dataOnly="0" labelOnly="1" outline="0" axis="axisCol" fieldPosition="1"/>
    </format>
    <format dxfId="1083">
      <pivotArea type="topRight" dataOnly="0" labelOnly="1" outline="0" fieldPosition="0"/>
    </format>
    <format dxfId="1082">
      <pivotArea dataOnly="0" labelOnly="1" fieldPosition="0">
        <references count="1">
          <reference field="6" count="0"/>
        </references>
      </pivotArea>
    </format>
    <format dxfId="108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08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77">
      <pivotArea type="topRight" dataOnly="0" labelOnly="1" outline="0" offset="A1:Q1" fieldPosition="0"/>
    </format>
    <format dxfId="107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07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074">
      <pivotArea type="origin" dataOnly="0" labelOnly="1" outline="0" fieldPosition="0"/>
    </format>
    <format dxfId="1073">
      <pivotArea field="6" type="button" dataOnly="0" labelOnly="1" outline="0" axis="axisCol" fieldPosition="0"/>
    </format>
    <format dxfId="1072">
      <pivotArea field="7" type="button" dataOnly="0" labelOnly="1" outline="0" axis="axisCol" fieldPosition="1"/>
    </format>
    <format dxfId="1071">
      <pivotArea type="topRight" dataOnly="0" labelOnly="1" outline="0" offset="A1:M1" fieldPosition="0"/>
    </format>
    <format dxfId="1070">
      <pivotArea field="5" type="button" dataOnly="0" labelOnly="1" outline="0" axis="axisRow" fieldPosition="0"/>
    </format>
    <format dxfId="1069">
      <pivotArea dataOnly="0" labelOnly="1" fieldPosition="0">
        <references count="1">
          <reference field="5" count="0"/>
        </references>
      </pivotArea>
    </format>
    <format dxfId="1068">
      <pivotArea dataOnly="0" labelOnly="1" grandRow="1" outline="0" fieldPosition="0"/>
    </format>
    <format dxfId="1067">
      <pivotArea dataOnly="0" labelOnly="1" fieldPosition="0">
        <references count="1">
          <reference field="6" count="0"/>
        </references>
      </pivotArea>
    </format>
    <format dxfId="106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0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6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6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62">
      <pivotArea type="all" dataOnly="0" outline="0" fieldPosition="0"/>
    </format>
    <format dxfId="1061">
      <pivotArea outline="0" collapsedLevelsAreSubtotals="1" fieldPosition="0"/>
    </format>
    <format dxfId="1060">
      <pivotArea type="origin" dataOnly="0" labelOnly="1" outline="0" fieldPosition="0"/>
    </format>
    <format dxfId="1059">
      <pivotArea field="6" type="button" dataOnly="0" labelOnly="1" outline="0" axis="axisCol" fieldPosition="0"/>
    </format>
    <format dxfId="1058">
      <pivotArea field="7" type="button" dataOnly="0" labelOnly="1" outline="0" axis="axisCol" fieldPosition="1"/>
    </format>
    <format dxfId="1057">
      <pivotArea type="topRight" dataOnly="0" labelOnly="1" outline="0" fieldPosition="0"/>
    </format>
    <format dxfId="1056">
      <pivotArea field="5" type="button" dataOnly="0" labelOnly="1" outline="0" axis="axisRow" fieldPosition="0"/>
    </format>
    <format dxfId="1055">
      <pivotArea dataOnly="0" labelOnly="1" fieldPosition="0">
        <references count="1">
          <reference field="5" count="0"/>
        </references>
      </pivotArea>
    </format>
    <format dxfId="1054">
      <pivotArea dataOnly="0" labelOnly="1" fieldPosition="0">
        <references count="1">
          <reference field="6" count="0"/>
        </references>
      </pivotArea>
    </format>
    <format dxfId="105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5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5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5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49">
      <pivotArea type="all" dataOnly="0" outline="0" fieldPosition="0"/>
    </format>
    <format dxfId="1048">
      <pivotArea outline="0" collapsedLevelsAreSubtotals="1" fieldPosition="0"/>
    </format>
    <format dxfId="1047">
      <pivotArea type="origin" dataOnly="0" labelOnly="1" outline="0" fieldPosition="0"/>
    </format>
    <format dxfId="1046">
      <pivotArea field="6" type="button" dataOnly="0" labelOnly="1" outline="0" axis="axisCol" fieldPosition="0"/>
    </format>
    <format dxfId="1045">
      <pivotArea field="7" type="button" dataOnly="0" labelOnly="1" outline="0" axis="axisCol" fieldPosition="1"/>
    </format>
    <format dxfId="1044">
      <pivotArea type="topRight" dataOnly="0" labelOnly="1" outline="0" fieldPosition="0"/>
    </format>
    <format dxfId="1043">
      <pivotArea field="5" type="button" dataOnly="0" labelOnly="1" outline="0" axis="axisRow" fieldPosition="0"/>
    </format>
    <format dxfId="1042">
      <pivotArea dataOnly="0" labelOnly="1" fieldPosition="0">
        <references count="1">
          <reference field="5" count="0"/>
        </references>
      </pivotArea>
    </format>
    <format dxfId="1041">
      <pivotArea dataOnly="0" labelOnly="1" fieldPosition="0">
        <references count="1">
          <reference field="6" count="0"/>
        </references>
      </pivotArea>
    </format>
    <format dxfId="104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39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0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036">
      <pivotArea outline="0" collapsedLevelsAreSubtotals="1" fieldPosition="0"/>
    </format>
    <format dxfId="1035">
      <pivotArea field="6" type="button" dataOnly="0" labelOnly="1" outline="0" axis="axisCol" fieldPosition="0"/>
    </format>
    <format dxfId="1034">
      <pivotArea field="7" type="button" dataOnly="0" labelOnly="1" outline="0" axis="axisCol" fieldPosition="1"/>
    </format>
    <format dxfId="1033">
      <pivotArea type="topRight" dataOnly="0" labelOnly="1" outline="0" fieldPosition="0"/>
    </format>
    <format dxfId="1032">
      <pivotArea dataOnly="0" labelOnly="1" fieldPosition="0">
        <references count="1">
          <reference field="6" count="0"/>
        </references>
      </pivotArea>
    </format>
    <format dxfId="103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030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0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0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70934-735F-4563-B07A-B9AAB29731E2}" name="PivotTable73" cacheId="1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:K16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2"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</items>
    </pivotField>
    <pivotField axis="axisCol" showAll="0" defaultSubtotal="0">
      <items count="5">
        <item x="2"/>
        <item x="0"/>
        <item x="3"/>
        <item x="1"/>
        <item m="1" x="4"/>
      </items>
    </pivotField>
    <pivotField axis="axisCol" showAll="0" defaultSubtotal="0">
      <items count="17">
        <item x="3"/>
        <item m="1" x="11"/>
        <item m="1" x="13"/>
        <item x="8"/>
        <item m="1" x="15"/>
        <item x="6"/>
        <item m="1" x="14"/>
        <item m="1" x="10"/>
        <item x="2"/>
        <item x="5"/>
        <item m="1" x="12"/>
        <item x="1"/>
        <item x="0"/>
        <item x="7"/>
        <item x="4"/>
        <item x="9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7"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6"/>
    <field x="7"/>
  </colFields>
  <colItems count="10">
    <i>
      <x/>
      <x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9"/>
    </i>
    <i>
      <x v="3"/>
      <x v="5"/>
    </i>
    <i r="1">
      <x v="8"/>
    </i>
  </colItems>
  <dataFields count="1">
    <dataField name="Sum of openCells" fld="14" baseField="5" baseItem="0"/>
  </dataFields>
  <formats count="103">
    <format dxfId="1233">
      <pivotArea type="all" dataOnly="0" outline="0" fieldPosition="0"/>
    </format>
    <format dxfId="1232">
      <pivotArea type="origin" dataOnly="0" labelOnly="1" outline="0" fieldPosition="0"/>
    </format>
    <format dxfId="1231">
      <pivotArea field="6" type="button" dataOnly="0" labelOnly="1" outline="0" axis="axisCol" fieldPosition="0"/>
    </format>
    <format dxfId="1230">
      <pivotArea field="7" type="button" dataOnly="0" labelOnly="1" outline="0" axis="axisCol" fieldPosition="1"/>
    </format>
    <format dxfId="1229">
      <pivotArea type="topRight" dataOnly="0" labelOnly="1" outline="0" fieldPosition="0"/>
    </format>
    <format dxfId="1228">
      <pivotArea field="5" type="button" dataOnly="0" labelOnly="1" outline="0" axis="axisRow" fieldPosition="0"/>
    </format>
    <format dxfId="1227">
      <pivotArea dataOnly="0" labelOnly="1" fieldPosition="0">
        <references count="1">
          <reference field="6" count="0"/>
        </references>
      </pivotArea>
    </format>
    <format dxfId="1226">
      <pivotArea dataOnly="0" labelOnly="1" fieldPosition="0">
        <references count="1">
          <reference field="6" count="0" defaultSubtotal="1"/>
        </references>
      </pivotArea>
    </format>
    <format dxfId="1225">
      <pivotArea dataOnly="0" labelOnly="1" grandCol="1" outline="0" fieldPosition="0"/>
    </format>
    <format dxfId="122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2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2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21">
      <pivotArea type="origin" dataOnly="0" labelOnly="1" outline="0" offset="A2" fieldPosition="0"/>
    </format>
    <format dxfId="1220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219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218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217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216">
      <pivotArea dataOnly="0" labelOnly="1" grandCol="1" outline="0" offset="IV1" fieldPosition="0"/>
    </format>
    <format dxfId="1215">
      <pivotArea type="topRight" dataOnly="0" labelOnly="1" outline="0" offset="D1:H1" fieldPosition="0"/>
    </format>
    <format dxfId="1214">
      <pivotArea dataOnly="0" labelOnly="1" fieldPosition="0">
        <references count="1">
          <reference field="6" count="1">
            <x v="1"/>
          </reference>
        </references>
      </pivotArea>
    </format>
    <format dxfId="1213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212">
      <pivotArea type="topRight" dataOnly="0" labelOnly="1" outline="0" offset="J1:M1" fieldPosition="0"/>
    </format>
    <format dxfId="1211">
      <pivotArea dataOnly="0" labelOnly="1" fieldPosition="0">
        <references count="1">
          <reference field="6" count="1">
            <x v="2"/>
          </reference>
        </references>
      </pivotArea>
    </format>
    <format dxfId="121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0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08">
      <pivotArea type="topRight" dataOnly="0" labelOnly="1" outline="0" offset="O1:Q1" fieldPosition="0"/>
    </format>
    <format dxfId="1207">
      <pivotArea dataOnly="0" labelOnly="1" fieldPosition="0">
        <references count="1">
          <reference field="6" count="1">
            <x v="3"/>
          </reference>
        </references>
      </pivotArea>
    </format>
    <format dxfId="120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0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04">
      <pivotArea dataOnly="0" labelOnly="1" fieldPosition="0">
        <references count="1">
          <reference field="6" count="1">
            <x v="0"/>
          </reference>
        </references>
      </pivotArea>
    </format>
    <format dxfId="1203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202">
      <pivotArea outline="0" collapsedLevelsAreSubtotals="1" fieldPosition="0"/>
    </format>
    <format dxfId="120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0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99">
      <pivotArea dataOnly="0" labelOnly="1" fieldPosition="0">
        <references count="1">
          <reference field="5" count="0"/>
        </references>
      </pivotArea>
    </format>
    <format dxfId="1198">
      <pivotArea dataOnly="0" labelOnly="1" grandRow="1" outline="0" fieldPosition="0"/>
    </format>
    <format dxfId="119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9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95">
      <pivotArea field="6" type="button" dataOnly="0" labelOnly="1" outline="0" axis="axisCol" fieldPosition="0"/>
    </format>
    <format dxfId="1194">
      <pivotArea field="7" type="button" dataOnly="0" labelOnly="1" outline="0" axis="axisCol" fieldPosition="1"/>
    </format>
    <format dxfId="1193">
      <pivotArea type="topRight" dataOnly="0" labelOnly="1" outline="0" offset="A1:B1" fieldPosition="0"/>
    </format>
    <format dxfId="1192">
      <pivotArea field="7" type="button" dataOnly="0" labelOnly="1" outline="0" axis="axisCol" fieldPosition="1"/>
    </format>
    <format dxfId="1191">
      <pivotArea type="topRight" dataOnly="0" labelOnly="1" outline="0" offset="A1:B1" fieldPosition="0"/>
    </format>
    <format dxfId="119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8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88">
      <pivotArea field="6" type="button" dataOnly="0" labelOnly="1" outline="0" axis="axisCol" fieldPosition="0"/>
    </format>
    <format dxfId="1187">
      <pivotArea field="7" type="button" dataOnly="0" labelOnly="1" outline="0" axis="axisCol" fieldPosition="1"/>
    </format>
    <format dxfId="1186">
      <pivotArea type="topRight" dataOnly="0" labelOnly="1" outline="0" fieldPosition="0"/>
    </format>
    <format dxfId="1185">
      <pivotArea dataOnly="0" labelOnly="1" fieldPosition="0">
        <references count="1">
          <reference field="6" count="0"/>
        </references>
      </pivotArea>
    </format>
    <format dxfId="118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8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80">
      <pivotArea type="topRight" dataOnly="0" labelOnly="1" outline="0" offset="A1:Q1" fieldPosition="0"/>
    </format>
    <format dxfId="117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17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177">
      <pivotArea type="origin" dataOnly="0" labelOnly="1" outline="0" fieldPosition="0"/>
    </format>
    <format dxfId="1176">
      <pivotArea field="6" type="button" dataOnly="0" labelOnly="1" outline="0" axis="axisCol" fieldPosition="0"/>
    </format>
    <format dxfId="1175">
      <pivotArea field="7" type="button" dataOnly="0" labelOnly="1" outline="0" axis="axisCol" fieldPosition="1"/>
    </format>
    <format dxfId="1174">
      <pivotArea type="topRight" dataOnly="0" labelOnly="1" outline="0" offset="A1:M1" fieldPosition="0"/>
    </format>
    <format dxfId="1173">
      <pivotArea field="5" type="button" dataOnly="0" labelOnly="1" outline="0" axis="axisRow" fieldPosition="0"/>
    </format>
    <format dxfId="1172">
      <pivotArea dataOnly="0" labelOnly="1" fieldPosition="0">
        <references count="1">
          <reference field="5" count="0"/>
        </references>
      </pivotArea>
    </format>
    <format dxfId="1171">
      <pivotArea dataOnly="0" labelOnly="1" grandRow="1" outline="0" fieldPosition="0"/>
    </format>
    <format dxfId="1170">
      <pivotArea dataOnly="0" labelOnly="1" fieldPosition="0">
        <references count="1">
          <reference field="6" count="0"/>
        </references>
      </pivotArea>
    </format>
    <format dxfId="116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1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6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6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65">
      <pivotArea type="all" dataOnly="0" outline="0" fieldPosition="0"/>
    </format>
    <format dxfId="1164">
      <pivotArea outline="0" collapsedLevelsAreSubtotals="1" fieldPosition="0"/>
    </format>
    <format dxfId="1163">
      <pivotArea type="origin" dataOnly="0" labelOnly="1" outline="0" fieldPosition="0"/>
    </format>
    <format dxfId="1162">
      <pivotArea field="6" type="button" dataOnly="0" labelOnly="1" outline="0" axis="axisCol" fieldPosition="0"/>
    </format>
    <format dxfId="1161">
      <pivotArea field="7" type="button" dataOnly="0" labelOnly="1" outline="0" axis="axisCol" fieldPosition="1"/>
    </format>
    <format dxfId="1160">
      <pivotArea type="topRight" dataOnly="0" labelOnly="1" outline="0" fieldPosition="0"/>
    </format>
    <format dxfId="1159">
      <pivotArea field="5" type="button" dataOnly="0" labelOnly="1" outline="0" axis="axisRow" fieldPosition="0"/>
    </format>
    <format dxfId="1158">
      <pivotArea dataOnly="0" labelOnly="1" fieldPosition="0">
        <references count="1">
          <reference field="5" count="0"/>
        </references>
      </pivotArea>
    </format>
    <format dxfId="1157">
      <pivotArea dataOnly="0" labelOnly="1" fieldPosition="0">
        <references count="1">
          <reference field="6" count="0"/>
        </references>
      </pivotArea>
    </format>
    <format dxfId="115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5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5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5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52">
      <pivotArea type="all" dataOnly="0" outline="0" fieldPosition="0"/>
    </format>
    <format dxfId="1151">
      <pivotArea outline="0" collapsedLevelsAreSubtotals="1" fieldPosition="0"/>
    </format>
    <format dxfId="1150">
      <pivotArea type="origin" dataOnly="0" labelOnly="1" outline="0" fieldPosition="0"/>
    </format>
    <format dxfId="1149">
      <pivotArea field="6" type="button" dataOnly="0" labelOnly="1" outline="0" axis="axisCol" fieldPosition="0"/>
    </format>
    <format dxfId="1148">
      <pivotArea field="7" type="button" dataOnly="0" labelOnly="1" outline="0" axis="axisCol" fieldPosition="1"/>
    </format>
    <format dxfId="1147">
      <pivotArea type="topRight" dataOnly="0" labelOnly="1" outline="0" fieldPosition="0"/>
    </format>
    <format dxfId="1146">
      <pivotArea field="5" type="button" dataOnly="0" labelOnly="1" outline="0" axis="axisRow" fieldPosition="0"/>
    </format>
    <format dxfId="1145">
      <pivotArea dataOnly="0" labelOnly="1" fieldPosition="0">
        <references count="1">
          <reference field="5" count="0"/>
        </references>
      </pivotArea>
    </format>
    <format dxfId="1144">
      <pivotArea dataOnly="0" labelOnly="1" fieldPosition="0">
        <references count="1">
          <reference field="6" count="0"/>
        </references>
      </pivotArea>
    </format>
    <format dxfId="114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42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14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4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139">
      <pivotArea outline="0" collapsedLevelsAreSubtotals="1" fieldPosition="0"/>
    </format>
    <format dxfId="1138">
      <pivotArea field="6" type="button" dataOnly="0" labelOnly="1" outline="0" axis="axisCol" fieldPosition="0"/>
    </format>
    <format dxfId="1137">
      <pivotArea field="7" type="button" dataOnly="0" labelOnly="1" outline="0" axis="axisCol" fieldPosition="1"/>
    </format>
    <format dxfId="1136">
      <pivotArea type="topRight" dataOnly="0" labelOnly="1" outline="0" fieldPosition="0"/>
    </format>
    <format dxfId="1135">
      <pivotArea dataOnly="0" labelOnly="1" fieldPosition="0">
        <references count="1">
          <reference field="6" count="0"/>
        </references>
      </pivotArea>
    </format>
    <format dxfId="113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133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1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1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C1C4D-B535-41B3-999E-ADEA58994BE9}" name="PivotTable8" cacheId="13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54:R158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336">
      <pivotArea type="all" dataOnly="0" outline="0" fieldPosition="0"/>
    </format>
    <format dxfId="1335">
      <pivotArea type="origin" dataOnly="0" labelOnly="1" outline="0" fieldPosition="0"/>
    </format>
    <format dxfId="1334">
      <pivotArea field="6" type="button" dataOnly="0" labelOnly="1" outline="0" axis="axisCol" fieldPosition="0"/>
    </format>
    <format dxfId="1333">
      <pivotArea field="7" type="button" dataOnly="0" labelOnly="1" outline="0" axis="axisCol" fieldPosition="1"/>
    </format>
    <format dxfId="1332">
      <pivotArea type="topRight" dataOnly="0" labelOnly="1" outline="0" fieldPosition="0"/>
    </format>
    <format dxfId="1331">
      <pivotArea field="5" type="button" dataOnly="0" labelOnly="1" outline="0" axis="axisRow" fieldPosition="0"/>
    </format>
    <format dxfId="1330">
      <pivotArea dataOnly="0" labelOnly="1" fieldPosition="0">
        <references count="1">
          <reference field="6" count="0"/>
        </references>
      </pivotArea>
    </format>
    <format dxfId="1329">
      <pivotArea dataOnly="0" labelOnly="1" fieldPosition="0">
        <references count="1">
          <reference field="6" count="0" defaultSubtotal="1"/>
        </references>
      </pivotArea>
    </format>
    <format dxfId="1328">
      <pivotArea dataOnly="0" labelOnly="1" grandCol="1" outline="0" fieldPosition="0"/>
    </format>
    <format dxfId="132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2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2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24">
      <pivotArea type="origin" dataOnly="0" labelOnly="1" outline="0" offset="A2" fieldPosition="0"/>
    </format>
    <format dxfId="1323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322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321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320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319">
      <pivotArea dataOnly="0" labelOnly="1" grandCol="1" outline="0" offset="IV1" fieldPosition="0"/>
    </format>
    <format dxfId="1318">
      <pivotArea type="topRight" dataOnly="0" labelOnly="1" outline="0" offset="D1:H1" fieldPosition="0"/>
    </format>
    <format dxfId="1317">
      <pivotArea dataOnly="0" labelOnly="1" fieldPosition="0">
        <references count="1">
          <reference field="6" count="1">
            <x v="1"/>
          </reference>
        </references>
      </pivotArea>
    </format>
    <format dxfId="1316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315">
      <pivotArea type="topRight" dataOnly="0" labelOnly="1" outline="0" offset="J1:M1" fieldPosition="0"/>
    </format>
    <format dxfId="1314">
      <pivotArea dataOnly="0" labelOnly="1" fieldPosition="0">
        <references count="1">
          <reference field="6" count="1">
            <x v="2"/>
          </reference>
        </references>
      </pivotArea>
    </format>
    <format dxfId="131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1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11">
      <pivotArea type="topRight" dataOnly="0" labelOnly="1" outline="0" offset="O1:Q1" fieldPosition="0"/>
    </format>
    <format dxfId="1310">
      <pivotArea dataOnly="0" labelOnly="1" fieldPosition="0">
        <references count="1">
          <reference field="6" count="1">
            <x v="3"/>
          </reference>
        </references>
      </pivotArea>
    </format>
    <format dxfId="130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0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07">
      <pivotArea dataOnly="0" labelOnly="1" fieldPosition="0">
        <references count="1">
          <reference field="6" count="1">
            <x v="0"/>
          </reference>
        </references>
      </pivotArea>
    </format>
    <format dxfId="1306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305">
      <pivotArea outline="0" collapsedLevelsAreSubtotals="1" fieldPosition="0"/>
    </format>
    <format dxfId="130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0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02">
      <pivotArea dataOnly="0" labelOnly="1" fieldPosition="0">
        <references count="1">
          <reference field="5" count="0"/>
        </references>
      </pivotArea>
    </format>
    <format dxfId="1301">
      <pivotArea dataOnly="0" labelOnly="1" grandRow="1" outline="0" fieldPosition="0"/>
    </format>
    <format dxfId="130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9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98">
      <pivotArea field="6" type="button" dataOnly="0" labelOnly="1" outline="0" axis="axisCol" fieldPosition="0"/>
    </format>
    <format dxfId="1297">
      <pivotArea field="7" type="button" dataOnly="0" labelOnly="1" outline="0" axis="axisCol" fieldPosition="1"/>
    </format>
    <format dxfId="1296">
      <pivotArea type="topRight" dataOnly="0" labelOnly="1" outline="0" offset="A1:B1" fieldPosition="0"/>
    </format>
    <format dxfId="1295">
      <pivotArea field="7" type="button" dataOnly="0" labelOnly="1" outline="0" axis="axisCol" fieldPosition="1"/>
    </format>
    <format dxfId="1294">
      <pivotArea type="topRight" dataOnly="0" labelOnly="1" outline="0" offset="A1:B1" fieldPosition="0"/>
    </format>
    <format dxfId="129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9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91">
      <pivotArea field="6" type="button" dataOnly="0" labelOnly="1" outline="0" axis="axisCol" fieldPosition="0"/>
    </format>
    <format dxfId="1290">
      <pivotArea field="7" type="button" dataOnly="0" labelOnly="1" outline="0" axis="axisCol" fieldPosition="1"/>
    </format>
    <format dxfId="1289">
      <pivotArea type="topRight" dataOnly="0" labelOnly="1" outline="0" fieldPosition="0"/>
    </format>
    <format dxfId="1288">
      <pivotArea dataOnly="0" labelOnly="1" fieldPosition="0">
        <references count="1">
          <reference field="6" count="0"/>
        </references>
      </pivotArea>
    </format>
    <format dxfId="1287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8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8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8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83">
      <pivotArea type="topRight" dataOnly="0" labelOnly="1" outline="0" offset="A1:Q1" fieldPosition="0"/>
    </format>
    <format dxfId="128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28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280">
      <pivotArea type="origin" dataOnly="0" labelOnly="1" outline="0" fieldPosition="0"/>
    </format>
    <format dxfId="1279">
      <pivotArea field="6" type="button" dataOnly="0" labelOnly="1" outline="0" axis="axisCol" fieldPosition="0"/>
    </format>
    <format dxfId="1278">
      <pivotArea field="7" type="button" dataOnly="0" labelOnly="1" outline="0" axis="axisCol" fieldPosition="1"/>
    </format>
    <format dxfId="1277">
      <pivotArea type="topRight" dataOnly="0" labelOnly="1" outline="0" offset="A1:M1" fieldPosition="0"/>
    </format>
    <format dxfId="1276">
      <pivotArea field="5" type="button" dataOnly="0" labelOnly="1" outline="0" axis="axisRow" fieldPosition="0"/>
    </format>
    <format dxfId="1275">
      <pivotArea dataOnly="0" labelOnly="1" fieldPosition="0">
        <references count="1">
          <reference field="5" count="0"/>
        </references>
      </pivotArea>
    </format>
    <format dxfId="1274">
      <pivotArea dataOnly="0" labelOnly="1" grandRow="1" outline="0" fieldPosition="0"/>
    </format>
    <format dxfId="1273">
      <pivotArea dataOnly="0" labelOnly="1" fieldPosition="0">
        <references count="1">
          <reference field="6" count="0"/>
        </references>
      </pivotArea>
    </format>
    <format dxfId="1272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2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7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6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68">
      <pivotArea type="all" dataOnly="0" outline="0" fieldPosition="0"/>
    </format>
    <format dxfId="1267">
      <pivotArea outline="0" collapsedLevelsAreSubtotals="1" fieldPosition="0"/>
    </format>
    <format dxfId="1266">
      <pivotArea type="origin" dataOnly="0" labelOnly="1" outline="0" fieldPosition="0"/>
    </format>
    <format dxfId="1265">
      <pivotArea field="6" type="button" dataOnly="0" labelOnly="1" outline="0" axis="axisCol" fieldPosition="0"/>
    </format>
    <format dxfId="1264">
      <pivotArea field="7" type="button" dataOnly="0" labelOnly="1" outline="0" axis="axisCol" fieldPosition="1"/>
    </format>
    <format dxfId="1263">
      <pivotArea type="topRight" dataOnly="0" labelOnly="1" outline="0" fieldPosition="0"/>
    </format>
    <format dxfId="1262">
      <pivotArea field="5" type="button" dataOnly="0" labelOnly="1" outline="0" axis="axisRow" fieldPosition="0"/>
    </format>
    <format dxfId="1261">
      <pivotArea dataOnly="0" labelOnly="1" fieldPosition="0">
        <references count="1">
          <reference field="5" count="0"/>
        </references>
      </pivotArea>
    </format>
    <format dxfId="1260">
      <pivotArea dataOnly="0" labelOnly="1" fieldPosition="0">
        <references count="1">
          <reference field="6" count="0"/>
        </references>
      </pivotArea>
    </format>
    <format dxfId="125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5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5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5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55">
      <pivotArea type="all" dataOnly="0" outline="0" fieldPosition="0"/>
    </format>
    <format dxfId="1254">
      <pivotArea outline="0" collapsedLevelsAreSubtotals="1" fieldPosition="0"/>
    </format>
    <format dxfId="1253">
      <pivotArea type="origin" dataOnly="0" labelOnly="1" outline="0" fieldPosition="0"/>
    </format>
    <format dxfId="1252">
      <pivotArea field="6" type="button" dataOnly="0" labelOnly="1" outline="0" axis="axisCol" fieldPosition="0"/>
    </format>
    <format dxfId="1251">
      <pivotArea field="7" type="button" dataOnly="0" labelOnly="1" outline="0" axis="axisCol" fieldPosition="1"/>
    </format>
    <format dxfId="1250">
      <pivotArea type="topRight" dataOnly="0" labelOnly="1" outline="0" fieldPosition="0"/>
    </format>
    <format dxfId="1249">
      <pivotArea field="5" type="button" dataOnly="0" labelOnly="1" outline="0" axis="axisRow" fieldPosition="0"/>
    </format>
    <format dxfId="1248">
      <pivotArea dataOnly="0" labelOnly="1" fieldPosition="0">
        <references count="1">
          <reference field="5" count="0"/>
        </references>
      </pivotArea>
    </format>
    <format dxfId="1247">
      <pivotArea dataOnly="0" labelOnly="1" fieldPosition="0">
        <references count="1">
          <reference field="6" count="0"/>
        </references>
      </pivotArea>
    </format>
    <format dxfId="124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45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24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4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242">
      <pivotArea outline="0" collapsedLevelsAreSubtotals="1" fieldPosition="0"/>
    </format>
    <format dxfId="1241">
      <pivotArea field="6" type="button" dataOnly="0" labelOnly="1" outline="0" axis="axisCol" fieldPosition="0"/>
    </format>
    <format dxfId="1240">
      <pivotArea field="7" type="button" dataOnly="0" labelOnly="1" outline="0" axis="axisCol" fieldPosition="1"/>
    </format>
    <format dxfId="1239">
      <pivotArea type="topRight" dataOnly="0" labelOnly="1" outline="0" fieldPosition="0"/>
    </format>
    <format dxfId="1238">
      <pivotArea dataOnly="0" labelOnly="1" fieldPosition="0">
        <references count="1">
          <reference field="6" count="0"/>
        </references>
      </pivotArea>
    </format>
    <format dxfId="123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236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2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2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60C15D-2CF0-4CEB-9806-D8A650EE8169}" name="PivotTable7" cacheId="8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138:R142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9">
        <item m="1" x="1"/>
        <item m="1" x="2"/>
        <item m="1" x="3"/>
        <item m="1" x="4"/>
        <item m="1" x="5"/>
        <item m="1" x="6"/>
        <item m="1" x="7"/>
        <item m="1" x="8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8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439">
      <pivotArea type="all" dataOnly="0" outline="0" fieldPosition="0"/>
    </format>
    <format dxfId="1438">
      <pivotArea type="origin" dataOnly="0" labelOnly="1" outline="0" fieldPosition="0"/>
    </format>
    <format dxfId="1437">
      <pivotArea field="6" type="button" dataOnly="0" labelOnly="1" outline="0" axis="axisCol" fieldPosition="0"/>
    </format>
    <format dxfId="1436">
      <pivotArea field="7" type="button" dataOnly="0" labelOnly="1" outline="0" axis="axisCol" fieldPosition="1"/>
    </format>
    <format dxfId="1435">
      <pivotArea type="topRight" dataOnly="0" labelOnly="1" outline="0" fieldPosition="0"/>
    </format>
    <format dxfId="1434">
      <pivotArea field="5" type="button" dataOnly="0" labelOnly="1" outline="0" axis="axisRow" fieldPosition="0"/>
    </format>
    <format dxfId="1433">
      <pivotArea dataOnly="0" labelOnly="1" fieldPosition="0">
        <references count="1">
          <reference field="6" count="0"/>
        </references>
      </pivotArea>
    </format>
    <format dxfId="1432">
      <pivotArea dataOnly="0" labelOnly="1" fieldPosition="0">
        <references count="1">
          <reference field="6" count="0" defaultSubtotal="1"/>
        </references>
      </pivotArea>
    </format>
    <format dxfId="1431">
      <pivotArea dataOnly="0" labelOnly="1" grandCol="1" outline="0" fieldPosition="0"/>
    </format>
    <format dxfId="143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2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2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27">
      <pivotArea type="origin" dataOnly="0" labelOnly="1" outline="0" offset="A2" fieldPosition="0"/>
    </format>
    <format dxfId="1426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425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424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423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422">
      <pivotArea dataOnly="0" labelOnly="1" grandCol="1" outline="0" offset="IV1" fieldPosition="0"/>
    </format>
    <format dxfId="1421">
      <pivotArea type="topRight" dataOnly="0" labelOnly="1" outline="0" offset="D1:H1" fieldPosition="0"/>
    </format>
    <format dxfId="1420">
      <pivotArea dataOnly="0" labelOnly="1" fieldPosition="0">
        <references count="1">
          <reference field="6" count="1">
            <x v="1"/>
          </reference>
        </references>
      </pivotArea>
    </format>
    <format dxfId="1419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418">
      <pivotArea type="topRight" dataOnly="0" labelOnly="1" outline="0" offset="J1:M1" fieldPosition="0"/>
    </format>
    <format dxfId="1417">
      <pivotArea dataOnly="0" labelOnly="1" fieldPosition="0">
        <references count="1">
          <reference field="6" count="1">
            <x v="2"/>
          </reference>
        </references>
      </pivotArea>
    </format>
    <format dxfId="141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1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14">
      <pivotArea type="topRight" dataOnly="0" labelOnly="1" outline="0" offset="O1:Q1" fieldPosition="0"/>
    </format>
    <format dxfId="1413">
      <pivotArea dataOnly="0" labelOnly="1" fieldPosition="0">
        <references count="1">
          <reference field="6" count="1">
            <x v="3"/>
          </reference>
        </references>
      </pivotArea>
    </format>
    <format dxfId="141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11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10">
      <pivotArea dataOnly="0" labelOnly="1" fieldPosition="0">
        <references count="1">
          <reference field="6" count="1">
            <x v="0"/>
          </reference>
        </references>
      </pivotArea>
    </format>
    <format dxfId="1409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408">
      <pivotArea outline="0" collapsedLevelsAreSubtotals="1" fieldPosition="0"/>
    </format>
    <format dxfId="1407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06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05">
      <pivotArea dataOnly="0" labelOnly="1" fieldPosition="0">
        <references count="1">
          <reference field="5" count="0"/>
        </references>
      </pivotArea>
    </format>
    <format dxfId="1404">
      <pivotArea dataOnly="0" labelOnly="1" grandRow="1" outline="0" fieldPosition="0"/>
    </format>
    <format dxfId="140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0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01">
      <pivotArea field="6" type="button" dataOnly="0" labelOnly="1" outline="0" axis="axisCol" fieldPosition="0"/>
    </format>
    <format dxfId="1400">
      <pivotArea field="7" type="button" dataOnly="0" labelOnly="1" outline="0" axis="axisCol" fieldPosition="1"/>
    </format>
    <format dxfId="1399">
      <pivotArea type="topRight" dataOnly="0" labelOnly="1" outline="0" offset="A1:B1" fieldPosition="0"/>
    </format>
    <format dxfId="1398">
      <pivotArea field="7" type="button" dataOnly="0" labelOnly="1" outline="0" axis="axisCol" fieldPosition="1"/>
    </format>
    <format dxfId="1397">
      <pivotArea type="topRight" dataOnly="0" labelOnly="1" outline="0" offset="A1:B1" fieldPosition="0"/>
    </format>
    <format dxfId="139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9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94">
      <pivotArea field="6" type="button" dataOnly="0" labelOnly="1" outline="0" axis="axisCol" fieldPosition="0"/>
    </format>
    <format dxfId="1393">
      <pivotArea field="7" type="button" dataOnly="0" labelOnly="1" outline="0" axis="axisCol" fieldPosition="1"/>
    </format>
    <format dxfId="1392">
      <pivotArea type="topRight" dataOnly="0" labelOnly="1" outline="0" fieldPosition="0"/>
    </format>
    <format dxfId="1391">
      <pivotArea dataOnly="0" labelOnly="1" fieldPosition="0">
        <references count="1">
          <reference field="6" count="0"/>
        </references>
      </pivotArea>
    </format>
    <format dxfId="1390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8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8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8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86">
      <pivotArea type="topRight" dataOnly="0" labelOnly="1" outline="0" offset="A1:Q1" fieldPosition="0"/>
    </format>
    <format dxfId="138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38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383">
      <pivotArea type="origin" dataOnly="0" labelOnly="1" outline="0" fieldPosition="0"/>
    </format>
    <format dxfId="1382">
      <pivotArea field="6" type="button" dataOnly="0" labelOnly="1" outline="0" axis="axisCol" fieldPosition="0"/>
    </format>
    <format dxfId="1381">
      <pivotArea field="7" type="button" dataOnly="0" labelOnly="1" outline="0" axis="axisCol" fieldPosition="1"/>
    </format>
    <format dxfId="1380">
      <pivotArea type="topRight" dataOnly="0" labelOnly="1" outline="0" offset="A1:M1" fieldPosition="0"/>
    </format>
    <format dxfId="1379">
      <pivotArea field="5" type="button" dataOnly="0" labelOnly="1" outline="0" axis="axisRow" fieldPosition="0"/>
    </format>
    <format dxfId="1378">
      <pivotArea dataOnly="0" labelOnly="1" fieldPosition="0">
        <references count="1">
          <reference field="5" count="0"/>
        </references>
      </pivotArea>
    </format>
    <format dxfId="1377">
      <pivotArea dataOnly="0" labelOnly="1" grandRow="1" outline="0" fieldPosition="0"/>
    </format>
    <format dxfId="1376">
      <pivotArea dataOnly="0" labelOnly="1" fieldPosition="0">
        <references count="1">
          <reference field="6" count="0"/>
        </references>
      </pivotArea>
    </format>
    <format dxfId="1375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374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7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7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71">
      <pivotArea type="all" dataOnly="0" outline="0" fieldPosition="0"/>
    </format>
    <format dxfId="1370">
      <pivotArea outline="0" collapsedLevelsAreSubtotals="1" fieldPosition="0"/>
    </format>
    <format dxfId="1369">
      <pivotArea type="origin" dataOnly="0" labelOnly="1" outline="0" fieldPosition="0"/>
    </format>
    <format dxfId="1368">
      <pivotArea field="6" type="button" dataOnly="0" labelOnly="1" outline="0" axis="axisCol" fieldPosition="0"/>
    </format>
    <format dxfId="1367">
      <pivotArea field="7" type="button" dataOnly="0" labelOnly="1" outline="0" axis="axisCol" fieldPosition="1"/>
    </format>
    <format dxfId="1366">
      <pivotArea type="topRight" dataOnly="0" labelOnly="1" outline="0" fieldPosition="0"/>
    </format>
    <format dxfId="1365">
      <pivotArea field="5" type="button" dataOnly="0" labelOnly="1" outline="0" axis="axisRow" fieldPosition="0"/>
    </format>
    <format dxfId="1364">
      <pivotArea dataOnly="0" labelOnly="1" fieldPosition="0">
        <references count="1">
          <reference field="5" count="0"/>
        </references>
      </pivotArea>
    </format>
    <format dxfId="1363">
      <pivotArea dataOnly="0" labelOnly="1" fieldPosition="0">
        <references count="1">
          <reference field="6" count="0"/>
        </references>
      </pivotArea>
    </format>
    <format dxfId="136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6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6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5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58">
      <pivotArea type="all" dataOnly="0" outline="0" fieldPosition="0"/>
    </format>
    <format dxfId="1357">
      <pivotArea outline="0" collapsedLevelsAreSubtotals="1" fieldPosition="0"/>
    </format>
    <format dxfId="1356">
      <pivotArea type="origin" dataOnly="0" labelOnly="1" outline="0" fieldPosition="0"/>
    </format>
    <format dxfId="1355">
      <pivotArea field="6" type="button" dataOnly="0" labelOnly="1" outline="0" axis="axisCol" fieldPosition="0"/>
    </format>
    <format dxfId="1354">
      <pivotArea field="7" type="button" dataOnly="0" labelOnly="1" outline="0" axis="axisCol" fieldPosition="1"/>
    </format>
    <format dxfId="1353">
      <pivotArea type="topRight" dataOnly="0" labelOnly="1" outline="0" fieldPosition="0"/>
    </format>
    <format dxfId="1352">
      <pivotArea field="5" type="button" dataOnly="0" labelOnly="1" outline="0" axis="axisRow" fieldPosition="0"/>
    </format>
    <format dxfId="1351">
      <pivotArea dataOnly="0" labelOnly="1" fieldPosition="0">
        <references count="1">
          <reference field="5" count="0"/>
        </references>
      </pivotArea>
    </format>
    <format dxfId="1350">
      <pivotArea dataOnly="0" labelOnly="1" fieldPosition="0">
        <references count="1">
          <reference field="6" count="0"/>
        </references>
      </pivotArea>
    </format>
    <format dxfId="134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48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34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4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345">
      <pivotArea outline="0" collapsedLevelsAreSubtotals="1" fieldPosition="0"/>
    </format>
    <format dxfId="1344">
      <pivotArea field="6" type="button" dataOnly="0" labelOnly="1" outline="0" axis="axisCol" fieldPosition="0"/>
    </format>
    <format dxfId="1343">
      <pivotArea field="7" type="button" dataOnly="0" labelOnly="1" outline="0" axis="axisCol" fieldPosition="1"/>
    </format>
    <format dxfId="1342">
      <pivotArea type="topRight" dataOnly="0" labelOnly="1" outline="0" fieldPosition="0"/>
    </format>
    <format dxfId="1341">
      <pivotArea dataOnly="0" labelOnly="1" fieldPosition="0">
        <references count="1">
          <reference field="6" count="0"/>
        </references>
      </pivotArea>
    </format>
    <format dxfId="134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339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3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3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AE93D-A545-4569-B5DF-06AD2F61D150}" name="PivotTable3" cacheId="4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77:R81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8">
        <item m="1" x="1"/>
        <item m="1" x="2"/>
        <item m="1" x="3"/>
        <item m="1" x="4"/>
        <item m="1" x="5"/>
        <item m="1" x="7"/>
        <item m="1" x="6"/>
        <item x="0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2">
    <i>
      <x v="7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542">
      <pivotArea type="all" dataOnly="0" outline="0" fieldPosition="0"/>
    </format>
    <format dxfId="1541">
      <pivotArea type="origin" dataOnly="0" labelOnly="1" outline="0" fieldPosition="0"/>
    </format>
    <format dxfId="1540">
      <pivotArea field="6" type="button" dataOnly="0" labelOnly="1" outline="0" axis="axisCol" fieldPosition="0"/>
    </format>
    <format dxfId="1539">
      <pivotArea field="7" type="button" dataOnly="0" labelOnly="1" outline="0" axis="axisCol" fieldPosition="1"/>
    </format>
    <format dxfId="1538">
      <pivotArea type="topRight" dataOnly="0" labelOnly="1" outline="0" fieldPosition="0"/>
    </format>
    <format dxfId="1537">
      <pivotArea field="5" type="button" dataOnly="0" labelOnly="1" outline="0" axis="axisRow" fieldPosition="0"/>
    </format>
    <format dxfId="1536">
      <pivotArea dataOnly="0" labelOnly="1" fieldPosition="0">
        <references count="1">
          <reference field="6" count="0"/>
        </references>
      </pivotArea>
    </format>
    <format dxfId="1535">
      <pivotArea dataOnly="0" labelOnly="1" fieldPosition="0">
        <references count="1">
          <reference field="6" count="0" defaultSubtotal="1"/>
        </references>
      </pivotArea>
    </format>
    <format dxfId="1534">
      <pivotArea dataOnly="0" labelOnly="1" grandCol="1" outline="0" fieldPosition="0"/>
    </format>
    <format dxfId="153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3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3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30">
      <pivotArea type="origin" dataOnly="0" labelOnly="1" outline="0" offset="A2" fieldPosition="0"/>
    </format>
    <format dxfId="1529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528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527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526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525">
      <pivotArea dataOnly="0" labelOnly="1" grandCol="1" outline="0" offset="IV1" fieldPosition="0"/>
    </format>
    <format dxfId="1524">
      <pivotArea type="topRight" dataOnly="0" labelOnly="1" outline="0" offset="D1:H1" fieldPosition="0"/>
    </format>
    <format dxfId="1523">
      <pivotArea dataOnly="0" labelOnly="1" fieldPosition="0">
        <references count="1">
          <reference field="6" count="1">
            <x v="1"/>
          </reference>
        </references>
      </pivotArea>
    </format>
    <format dxfId="1522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521">
      <pivotArea type="topRight" dataOnly="0" labelOnly="1" outline="0" offset="J1:M1" fieldPosition="0"/>
    </format>
    <format dxfId="1520">
      <pivotArea dataOnly="0" labelOnly="1" fieldPosition="0">
        <references count="1">
          <reference field="6" count="1">
            <x v="2"/>
          </reference>
        </references>
      </pivotArea>
    </format>
    <format dxfId="151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1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17">
      <pivotArea type="topRight" dataOnly="0" labelOnly="1" outline="0" offset="O1:Q1" fieldPosition="0"/>
    </format>
    <format dxfId="1516">
      <pivotArea dataOnly="0" labelOnly="1" fieldPosition="0">
        <references count="1">
          <reference field="6" count="1">
            <x v="3"/>
          </reference>
        </references>
      </pivotArea>
    </format>
    <format dxfId="151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14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13">
      <pivotArea dataOnly="0" labelOnly="1" fieldPosition="0">
        <references count="1">
          <reference field="6" count="1">
            <x v="0"/>
          </reference>
        </references>
      </pivotArea>
    </format>
    <format dxfId="1512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511">
      <pivotArea outline="0" collapsedLevelsAreSubtotals="1" fieldPosition="0"/>
    </format>
    <format dxfId="1510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09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08">
      <pivotArea dataOnly="0" labelOnly="1" fieldPosition="0">
        <references count="1">
          <reference field="5" count="0"/>
        </references>
      </pivotArea>
    </format>
    <format dxfId="1507">
      <pivotArea dataOnly="0" labelOnly="1" grandRow="1" outline="0" fieldPosition="0"/>
    </format>
    <format dxfId="150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0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04">
      <pivotArea field="6" type="button" dataOnly="0" labelOnly="1" outline="0" axis="axisCol" fieldPosition="0"/>
    </format>
    <format dxfId="1503">
      <pivotArea field="7" type="button" dataOnly="0" labelOnly="1" outline="0" axis="axisCol" fieldPosition="1"/>
    </format>
    <format dxfId="1502">
      <pivotArea type="topRight" dataOnly="0" labelOnly="1" outline="0" offset="A1:B1" fieldPosition="0"/>
    </format>
    <format dxfId="1501">
      <pivotArea field="7" type="button" dataOnly="0" labelOnly="1" outline="0" axis="axisCol" fieldPosition="1"/>
    </format>
    <format dxfId="1500">
      <pivotArea type="topRight" dataOnly="0" labelOnly="1" outline="0" offset="A1:B1" fieldPosition="0"/>
    </format>
    <format dxfId="149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9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97">
      <pivotArea field="6" type="button" dataOnly="0" labelOnly="1" outline="0" axis="axisCol" fieldPosition="0"/>
    </format>
    <format dxfId="1496">
      <pivotArea field="7" type="button" dataOnly="0" labelOnly="1" outline="0" axis="axisCol" fieldPosition="1"/>
    </format>
    <format dxfId="1495">
      <pivotArea type="topRight" dataOnly="0" labelOnly="1" outline="0" fieldPosition="0"/>
    </format>
    <format dxfId="1494">
      <pivotArea dataOnly="0" labelOnly="1" fieldPosition="0">
        <references count="1">
          <reference field="6" count="0"/>
        </references>
      </pivotArea>
    </format>
    <format dxfId="1493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9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9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9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89">
      <pivotArea type="topRight" dataOnly="0" labelOnly="1" outline="0" offset="A1:Q1" fieldPosition="0"/>
    </format>
    <format dxfId="1488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487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486">
      <pivotArea type="origin" dataOnly="0" labelOnly="1" outline="0" fieldPosition="0"/>
    </format>
    <format dxfId="1485">
      <pivotArea field="6" type="button" dataOnly="0" labelOnly="1" outline="0" axis="axisCol" fieldPosition="0"/>
    </format>
    <format dxfId="1484">
      <pivotArea field="7" type="button" dataOnly="0" labelOnly="1" outline="0" axis="axisCol" fieldPosition="1"/>
    </format>
    <format dxfId="1483">
      <pivotArea type="topRight" dataOnly="0" labelOnly="1" outline="0" offset="A1:M1" fieldPosition="0"/>
    </format>
    <format dxfId="1482">
      <pivotArea field="5" type="button" dataOnly="0" labelOnly="1" outline="0" axis="axisRow" fieldPosition="0"/>
    </format>
    <format dxfId="1481">
      <pivotArea dataOnly="0" labelOnly="1" fieldPosition="0">
        <references count="1">
          <reference field="5" count="0"/>
        </references>
      </pivotArea>
    </format>
    <format dxfId="1480">
      <pivotArea dataOnly="0" labelOnly="1" grandRow="1" outline="0" fieldPosition="0"/>
    </format>
    <format dxfId="1479">
      <pivotArea dataOnly="0" labelOnly="1" fieldPosition="0">
        <references count="1">
          <reference field="6" count="0"/>
        </references>
      </pivotArea>
    </format>
    <format dxfId="1478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477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7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7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74">
      <pivotArea type="all" dataOnly="0" outline="0" fieldPosition="0"/>
    </format>
    <format dxfId="1473">
      <pivotArea outline="0" collapsedLevelsAreSubtotals="1" fieldPosition="0"/>
    </format>
    <format dxfId="1472">
      <pivotArea type="origin" dataOnly="0" labelOnly="1" outline="0" fieldPosition="0"/>
    </format>
    <format dxfId="1471">
      <pivotArea field="6" type="button" dataOnly="0" labelOnly="1" outline="0" axis="axisCol" fieldPosition="0"/>
    </format>
    <format dxfId="1470">
      <pivotArea field="7" type="button" dataOnly="0" labelOnly="1" outline="0" axis="axisCol" fieldPosition="1"/>
    </format>
    <format dxfId="1469">
      <pivotArea type="topRight" dataOnly="0" labelOnly="1" outline="0" fieldPosition="0"/>
    </format>
    <format dxfId="1468">
      <pivotArea field="5" type="button" dataOnly="0" labelOnly="1" outline="0" axis="axisRow" fieldPosition="0"/>
    </format>
    <format dxfId="1467">
      <pivotArea dataOnly="0" labelOnly="1" fieldPosition="0">
        <references count="1">
          <reference field="5" count="0"/>
        </references>
      </pivotArea>
    </format>
    <format dxfId="1466">
      <pivotArea dataOnly="0" labelOnly="1" fieldPosition="0">
        <references count="1">
          <reference field="6" count="0"/>
        </references>
      </pivotArea>
    </format>
    <format dxfId="146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6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6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6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61">
      <pivotArea type="all" dataOnly="0" outline="0" fieldPosition="0"/>
    </format>
    <format dxfId="1460">
      <pivotArea outline="0" collapsedLevelsAreSubtotals="1" fieldPosition="0"/>
    </format>
    <format dxfId="1459">
      <pivotArea type="origin" dataOnly="0" labelOnly="1" outline="0" fieldPosition="0"/>
    </format>
    <format dxfId="1458">
      <pivotArea field="6" type="button" dataOnly="0" labelOnly="1" outline="0" axis="axisCol" fieldPosition="0"/>
    </format>
    <format dxfId="1457">
      <pivotArea field="7" type="button" dataOnly="0" labelOnly="1" outline="0" axis="axisCol" fieldPosition="1"/>
    </format>
    <format dxfId="1456">
      <pivotArea type="topRight" dataOnly="0" labelOnly="1" outline="0" fieldPosition="0"/>
    </format>
    <format dxfId="1455">
      <pivotArea field="5" type="button" dataOnly="0" labelOnly="1" outline="0" axis="axisRow" fieldPosition="0"/>
    </format>
    <format dxfId="1454">
      <pivotArea dataOnly="0" labelOnly="1" fieldPosition="0">
        <references count="1">
          <reference field="5" count="0"/>
        </references>
      </pivotArea>
    </format>
    <format dxfId="1453">
      <pivotArea dataOnly="0" labelOnly="1" fieldPosition="0">
        <references count="1">
          <reference field="6" count="0"/>
        </references>
      </pivotArea>
    </format>
    <format dxfId="1452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51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450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49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448">
      <pivotArea outline="0" collapsedLevelsAreSubtotals="1" fieldPosition="0"/>
    </format>
    <format dxfId="1447">
      <pivotArea field="6" type="button" dataOnly="0" labelOnly="1" outline="0" axis="axisCol" fieldPosition="0"/>
    </format>
    <format dxfId="1446">
      <pivotArea field="7" type="button" dataOnly="0" labelOnly="1" outline="0" axis="axisCol" fieldPosition="1"/>
    </format>
    <format dxfId="1445">
      <pivotArea type="topRight" dataOnly="0" labelOnly="1" outline="0" fieldPosition="0"/>
    </format>
    <format dxfId="1444">
      <pivotArea dataOnly="0" labelOnly="1" fieldPosition="0">
        <references count="1">
          <reference field="6" count="0"/>
        </references>
      </pivotArea>
    </format>
    <format dxfId="144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442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441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440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1BCCCD-507D-4D2F-93A6-1C0D26002DC9}" name="PivotTable1" cacheId="2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50:R55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0">
        <item m="1" x="2"/>
        <item m="1" x="3"/>
        <item m="1" x="4"/>
        <item m="1" x="5"/>
        <item m="1" x="6"/>
        <item m="1" x="7"/>
        <item m="1" x="8"/>
        <item m="1" x="9"/>
        <item x="0"/>
        <item x="1"/>
      </items>
    </pivotField>
    <pivotField axis="axisCol" showAll="0" defaultSubtotal="0">
      <items count="5">
        <item x="1"/>
        <item x="2"/>
        <item x="3"/>
        <item x="4"/>
        <item x="0"/>
      </items>
    </pivotField>
    <pivotField axis="axisCol" showAll="0" defaultSubtotal="0">
      <items count="17">
        <item x="1"/>
        <item x="2"/>
        <item x="3"/>
        <item x="4"/>
        <item x="14"/>
        <item x="15"/>
        <item x="10"/>
        <item x="11"/>
        <item x="16"/>
        <item x="12"/>
        <item x="13"/>
        <item x="7"/>
        <item x="5"/>
        <item x="6"/>
        <item x="8"/>
        <item x="9"/>
        <item x="0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3">
    <i>
      <x v="8"/>
    </i>
    <i>
      <x v="9"/>
    </i>
    <i t="grand">
      <x/>
    </i>
  </rowItems>
  <colFields count="2">
    <field x="6"/>
    <field x="7"/>
  </colFields>
  <colItems count="17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6"/>
    </i>
    <i r="1">
      <x v="7"/>
    </i>
    <i r="1">
      <x v="9"/>
    </i>
    <i r="1">
      <x v="10"/>
    </i>
    <i>
      <x v="3"/>
      <x v="4"/>
    </i>
    <i r="1">
      <x v="5"/>
    </i>
    <i r="1">
      <x v="8"/>
    </i>
    <i>
      <x v="4"/>
      <x v="16"/>
    </i>
  </colItems>
  <dataFields count="1">
    <dataField name="Sum of openCells" fld="14" baseField="5" baseItem="0"/>
  </dataFields>
  <formats count="103">
    <format dxfId="1645">
      <pivotArea type="all" dataOnly="0" outline="0" fieldPosition="0"/>
    </format>
    <format dxfId="1644">
      <pivotArea type="origin" dataOnly="0" labelOnly="1" outline="0" fieldPosition="0"/>
    </format>
    <format dxfId="1643">
      <pivotArea field="6" type="button" dataOnly="0" labelOnly="1" outline="0" axis="axisCol" fieldPosition="0"/>
    </format>
    <format dxfId="1642">
      <pivotArea field="7" type="button" dataOnly="0" labelOnly="1" outline="0" axis="axisCol" fieldPosition="1"/>
    </format>
    <format dxfId="1641">
      <pivotArea type="topRight" dataOnly="0" labelOnly="1" outline="0" fieldPosition="0"/>
    </format>
    <format dxfId="1640">
      <pivotArea field="5" type="button" dataOnly="0" labelOnly="1" outline="0" axis="axisRow" fieldPosition="0"/>
    </format>
    <format dxfId="1639">
      <pivotArea dataOnly="0" labelOnly="1" fieldPosition="0">
        <references count="1">
          <reference field="6" count="0"/>
        </references>
      </pivotArea>
    </format>
    <format dxfId="1638">
      <pivotArea dataOnly="0" labelOnly="1" fieldPosition="0">
        <references count="1">
          <reference field="6" count="0" defaultSubtotal="1"/>
        </references>
      </pivotArea>
    </format>
    <format dxfId="1637">
      <pivotArea dataOnly="0" labelOnly="1" grandCol="1" outline="0" fieldPosition="0"/>
    </format>
    <format dxfId="163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3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34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33">
      <pivotArea type="origin" dataOnly="0" labelOnly="1" outline="0" offset="A2" fieldPosition="0"/>
    </format>
    <format dxfId="1632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631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630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629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628">
      <pivotArea dataOnly="0" labelOnly="1" grandCol="1" outline="0" offset="IV1" fieldPosition="0"/>
    </format>
    <format dxfId="1627">
      <pivotArea type="topRight" dataOnly="0" labelOnly="1" outline="0" offset="D1:H1" fieldPosition="0"/>
    </format>
    <format dxfId="1626">
      <pivotArea dataOnly="0" labelOnly="1" fieldPosition="0">
        <references count="1">
          <reference field="6" count="1">
            <x v="1"/>
          </reference>
        </references>
      </pivotArea>
    </format>
    <format dxfId="1625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624">
      <pivotArea type="topRight" dataOnly="0" labelOnly="1" outline="0" offset="J1:M1" fieldPosition="0"/>
    </format>
    <format dxfId="1623">
      <pivotArea dataOnly="0" labelOnly="1" fieldPosition="0">
        <references count="1">
          <reference field="6" count="1">
            <x v="2"/>
          </reference>
        </references>
      </pivotArea>
    </format>
    <format dxfId="162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2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20">
      <pivotArea type="topRight" dataOnly="0" labelOnly="1" outline="0" offset="O1:Q1" fieldPosition="0"/>
    </format>
    <format dxfId="1619">
      <pivotArea dataOnly="0" labelOnly="1" fieldPosition="0">
        <references count="1">
          <reference field="6" count="1">
            <x v="3"/>
          </reference>
        </references>
      </pivotArea>
    </format>
    <format dxfId="161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17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16">
      <pivotArea dataOnly="0" labelOnly="1" fieldPosition="0">
        <references count="1">
          <reference field="6" count="1">
            <x v="0"/>
          </reference>
        </references>
      </pivotArea>
    </format>
    <format dxfId="1615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614">
      <pivotArea outline="0" collapsedLevelsAreSubtotals="1" fieldPosition="0"/>
    </format>
    <format dxfId="1613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12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11">
      <pivotArea dataOnly="0" labelOnly="1" fieldPosition="0">
        <references count="1">
          <reference field="5" count="0"/>
        </references>
      </pivotArea>
    </format>
    <format dxfId="1610">
      <pivotArea dataOnly="0" labelOnly="1" grandRow="1" outline="0" fieldPosition="0"/>
    </format>
    <format dxfId="1609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08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07">
      <pivotArea field="6" type="button" dataOnly="0" labelOnly="1" outline="0" axis="axisCol" fieldPosition="0"/>
    </format>
    <format dxfId="1606">
      <pivotArea field="7" type="button" dataOnly="0" labelOnly="1" outline="0" axis="axisCol" fieldPosition="1"/>
    </format>
    <format dxfId="1605">
      <pivotArea type="topRight" dataOnly="0" labelOnly="1" outline="0" offset="A1:B1" fieldPosition="0"/>
    </format>
    <format dxfId="1604">
      <pivotArea field="7" type="button" dataOnly="0" labelOnly="1" outline="0" axis="axisCol" fieldPosition="1"/>
    </format>
    <format dxfId="1603">
      <pivotArea type="topRight" dataOnly="0" labelOnly="1" outline="0" offset="A1:B1" fieldPosition="0"/>
    </format>
    <format dxfId="160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0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00">
      <pivotArea field="6" type="button" dataOnly="0" labelOnly="1" outline="0" axis="axisCol" fieldPosition="0"/>
    </format>
    <format dxfId="1599">
      <pivotArea field="7" type="button" dataOnly="0" labelOnly="1" outline="0" axis="axisCol" fieldPosition="1"/>
    </format>
    <format dxfId="1598">
      <pivotArea type="topRight" dataOnly="0" labelOnly="1" outline="0" fieldPosition="0"/>
    </format>
    <format dxfId="1597">
      <pivotArea dataOnly="0" labelOnly="1" fieldPosition="0">
        <references count="1">
          <reference field="6" count="0"/>
        </references>
      </pivotArea>
    </format>
    <format dxfId="1596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9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9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9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92">
      <pivotArea type="topRight" dataOnly="0" labelOnly="1" outline="0" offset="A1:Q1" fieldPosition="0"/>
    </format>
    <format dxfId="1591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590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589">
      <pivotArea type="origin" dataOnly="0" labelOnly="1" outline="0" fieldPosition="0"/>
    </format>
    <format dxfId="1588">
      <pivotArea field="6" type="button" dataOnly="0" labelOnly="1" outline="0" axis="axisCol" fieldPosition="0"/>
    </format>
    <format dxfId="1587">
      <pivotArea field="7" type="button" dataOnly="0" labelOnly="1" outline="0" axis="axisCol" fieldPosition="1"/>
    </format>
    <format dxfId="1586">
      <pivotArea type="topRight" dataOnly="0" labelOnly="1" outline="0" offset="A1:M1" fieldPosition="0"/>
    </format>
    <format dxfId="1585">
      <pivotArea field="5" type="button" dataOnly="0" labelOnly="1" outline="0" axis="axisRow" fieldPosition="0"/>
    </format>
    <format dxfId="1584">
      <pivotArea dataOnly="0" labelOnly="1" fieldPosition="0">
        <references count="1">
          <reference field="5" count="0"/>
        </references>
      </pivotArea>
    </format>
    <format dxfId="1583">
      <pivotArea dataOnly="0" labelOnly="1" grandRow="1" outline="0" fieldPosition="0"/>
    </format>
    <format dxfId="1582">
      <pivotArea dataOnly="0" labelOnly="1" fieldPosition="0">
        <references count="1">
          <reference field="6" count="0"/>
        </references>
      </pivotArea>
    </format>
    <format dxfId="1581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580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7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7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77">
      <pivotArea type="all" dataOnly="0" outline="0" fieldPosition="0"/>
    </format>
    <format dxfId="1576">
      <pivotArea outline="0" collapsedLevelsAreSubtotals="1" fieldPosition="0"/>
    </format>
    <format dxfId="1575">
      <pivotArea type="origin" dataOnly="0" labelOnly="1" outline="0" fieldPosition="0"/>
    </format>
    <format dxfId="1574">
      <pivotArea field="6" type="button" dataOnly="0" labelOnly="1" outline="0" axis="axisCol" fieldPosition="0"/>
    </format>
    <format dxfId="1573">
      <pivotArea field="7" type="button" dataOnly="0" labelOnly="1" outline="0" axis="axisCol" fieldPosition="1"/>
    </format>
    <format dxfId="1572">
      <pivotArea type="topRight" dataOnly="0" labelOnly="1" outline="0" fieldPosition="0"/>
    </format>
    <format dxfId="1571">
      <pivotArea field="5" type="button" dataOnly="0" labelOnly="1" outline="0" axis="axisRow" fieldPosition="0"/>
    </format>
    <format dxfId="1570">
      <pivotArea dataOnly="0" labelOnly="1" fieldPosition="0">
        <references count="1">
          <reference field="5" count="0"/>
        </references>
      </pivotArea>
    </format>
    <format dxfId="1569">
      <pivotArea dataOnly="0" labelOnly="1" fieldPosition="0">
        <references count="1">
          <reference field="6" count="0"/>
        </references>
      </pivotArea>
    </format>
    <format dxfId="156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6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56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6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64">
      <pivotArea type="all" dataOnly="0" outline="0" fieldPosition="0"/>
    </format>
    <format dxfId="1563">
      <pivotArea outline="0" collapsedLevelsAreSubtotals="1" fieldPosition="0"/>
    </format>
    <format dxfId="1562">
      <pivotArea type="origin" dataOnly="0" labelOnly="1" outline="0" fieldPosition="0"/>
    </format>
    <format dxfId="1561">
      <pivotArea field="6" type="button" dataOnly="0" labelOnly="1" outline="0" axis="axisCol" fieldPosition="0"/>
    </format>
    <format dxfId="1560">
      <pivotArea field="7" type="button" dataOnly="0" labelOnly="1" outline="0" axis="axisCol" fieldPosition="1"/>
    </format>
    <format dxfId="1559">
      <pivotArea type="topRight" dataOnly="0" labelOnly="1" outline="0" fieldPosition="0"/>
    </format>
    <format dxfId="1558">
      <pivotArea field="5" type="button" dataOnly="0" labelOnly="1" outline="0" axis="axisRow" fieldPosition="0"/>
    </format>
    <format dxfId="1557">
      <pivotArea dataOnly="0" labelOnly="1" fieldPosition="0">
        <references count="1">
          <reference field="5" count="0"/>
        </references>
      </pivotArea>
    </format>
    <format dxfId="1556">
      <pivotArea dataOnly="0" labelOnly="1" fieldPosition="0">
        <references count="1">
          <reference field="6" count="0"/>
        </references>
      </pivotArea>
    </format>
    <format dxfId="1555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54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553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52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551">
      <pivotArea outline="0" collapsedLevelsAreSubtotals="1" fieldPosition="0"/>
    </format>
    <format dxfId="1550">
      <pivotArea field="6" type="button" dataOnly="0" labelOnly="1" outline="0" axis="axisCol" fieldPosition="0"/>
    </format>
    <format dxfId="1549">
      <pivotArea field="7" type="button" dataOnly="0" labelOnly="1" outline="0" axis="axisCol" fieldPosition="1"/>
    </format>
    <format dxfId="1548">
      <pivotArea type="topRight" dataOnly="0" labelOnly="1" outline="0" fieldPosition="0"/>
    </format>
    <format dxfId="1547">
      <pivotArea dataOnly="0" labelOnly="1" fieldPosition="0">
        <references count="1">
          <reference field="6" count="0"/>
        </references>
      </pivotArea>
    </format>
    <format dxfId="1546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545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544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543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C07FF-30ED-4E00-B36A-F0ACDC5EFFD8}" name="PivotTable74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mergeItem="1" createdVersion="8" indent="0" outline="1" outlineData="1" multipleFieldFilters="0" colHeaderCaption="">
  <location ref="A21:O33" firstHeaderRow="1" firstDataRow="3" firstDataCol="1"/>
  <pivotFields count="17"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5">
        <item m="1" x="9"/>
        <item m="1" x="10"/>
        <item m="1" x="11"/>
        <item m="1" x="12"/>
        <item m="1" x="13"/>
        <item m="1" x="14"/>
        <item x="0"/>
        <item x="1"/>
        <item x="2"/>
        <item x="3"/>
        <item x="4"/>
        <item x="5"/>
        <item x="6"/>
        <item x="7"/>
        <item x="8"/>
      </items>
    </pivotField>
    <pivotField axis="axisCol" showAll="0" defaultSubtotal="0">
      <items count="5">
        <item x="0"/>
        <item x="1"/>
        <item x="2"/>
        <item x="3"/>
        <item m="1" x="4"/>
      </items>
    </pivotField>
    <pivotField axis="axisCol" showAll="0" defaultSubtotal="0">
      <items count="17">
        <item x="0"/>
        <item x="13"/>
        <item x="8"/>
        <item x="10"/>
        <item x="4"/>
        <item x="12"/>
        <item m="1" x="15"/>
        <item x="7"/>
        <item x="5"/>
        <item x="3"/>
        <item m="1" x="14"/>
        <item x="1"/>
        <item x="6"/>
        <item x="9"/>
        <item x="2"/>
        <item x="11"/>
        <item m="1" x="16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5"/>
  </rowFields>
  <rowItems count="10"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6"/>
    <field x="7"/>
  </colFields>
  <colItems count="14">
    <i>
      <x/>
      <x/>
    </i>
    <i r="1">
      <x v="1"/>
    </i>
    <i r="1">
      <x v="2"/>
    </i>
    <i r="1">
      <x v="3"/>
    </i>
    <i>
      <x v="1"/>
      <x v="11"/>
    </i>
    <i r="1">
      <x v="12"/>
    </i>
    <i r="1">
      <x v="13"/>
    </i>
    <i r="1">
      <x v="14"/>
    </i>
    <i r="1">
      <x v="15"/>
    </i>
    <i>
      <x v="2"/>
      <x v="7"/>
    </i>
    <i r="1">
      <x v="9"/>
    </i>
    <i>
      <x v="3"/>
      <x v="4"/>
    </i>
    <i r="1">
      <x v="5"/>
    </i>
    <i r="1">
      <x v="8"/>
    </i>
  </colItems>
  <dataFields count="1">
    <dataField name="Sum of openCells" fld="14" baseField="5" baseItem="0"/>
  </dataFields>
  <formats count="103">
    <format dxfId="1748">
      <pivotArea type="all" dataOnly="0" outline="0" fieldPosition="0"/>
    </format>
    <format dxfId="1747">
      <pivotArea type="origin" dataOnly="0" labelOnly="1" outline="0" fieldPosition="0"/>
    </format>
    <format dxfId="1746">
      <pivotArea field="6" type="button" dataOnly="0" labelOnly="1" outline="0" axis="axisCol" fieldPosition="0"/>
    </format>
    <format dxfId="1745">
      <pivotArea field="7" type="button" dataOnly="0" labelOnly="1" outline="0" axis="axisCol" fieldPosition="1"/>
    </format>
    <format dxfId="1744">
      <pivotArea type="topRight" dataOnly="0" labelOnly="1" outline="0" fieldPosition="0"/>
    </format>
    <format dxfId="1743">
      <pivotArea field="5" type="button" dataOnly="0" labelOnly="1" outline="0" axis="axisRow" fieldPosition="0"/>
    </format>
    <format dxfId="1742">
      <pivotArea dataOnly="0" labelOnly="1" fieldPosition="0">
        <references count="1">
          <reference field="6" count="0"/>
        </references>
      </pivotArea>
    </format>
    <format dxfId="1741">
      <pivotArea dataOnly="0" labelOnly="1" fieldPosition="0">
        <references count="1">
          <reference field="6" count="0" defaultSubtotal="1"/>
        </references>
      </pivotArea>
    </format>
    <format dxfId="1740">
      <pivotArea dataOnly="0" labelOnly="1" grandCol="1" outline="0" fieldPosition="0"/>
    </format>
    <format dxfId="173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738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37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36">
      <pivotArea type="origin" dataOnly="0" labelOnly="1" outline="0" offset="A2" fieldPosition="0"/>
    </format>
    <format dxfId="1735">
      <pivotArea dataOnly="0" labelOnly="1" offset="IV1" fieldPosition="0">
        <references count="1">
          <reference field="6" count="1" defaultSubtotal="1">
            <x v="0"/>
          </reference>
        </references>
      </pivotArea>
    </format>
    <format dxfId="1734">
      <pivotArea dataOnly="0" labelOnly="1" offset="IV1" fieldPosition="0">
        <references count="1">
          <reference field="6" count="1" defaultSubtotal="1">
            <x v="1"/>
          </reference>
        </references>
      </pivotArea>
    </format>
    <format dxfId="1733">
      <pivotArea dataOnly="0" labelOnly="1" offset="IV1" fieldPosition="0">
        <references count="1">
          <reference field="6" count="1" defaultSubtotal="1">
            <x v="2"/>
          </reference>
        </references>
      </pivotArea>
    </format>
    <format dxfId="1732">
      <pivotArea dataOnly="0" labelOnly="1" offset="IV1" fieldPosition="0">
        <references count="1">
          <reference field="6" count="1" defaultSubtotal="1">
            <x v="3"/>
          </reference>
        </references>
      </pivotArea>
    </format>
    <format dxfId="1731">
      <pivotArea dataOnly="0" labelOnly="1" grandCol="1" outline="0" offset="IV1" fieldPosition="0"/>
    </format>
    <format dxfId="1730">
      <pivotArea type="topRight" dataOnly="0" labelOnly="1" outline="0" offset="D1:H1" fieldPosition="0"/>
    </format>
    <format dxfId="1729">
      <pivotArea dataOnly="0" labelOnly="1" fieldPosition="0">
        <references count="1">
          <reference field="6" count="1">
            <x v="1"/>
          </reference>
        </references>
      </pivotArea>
    </format>
    <format dxfId="1728">
      <pivotArea outline="0" collapsedLevelsAreSubtotals="1" fieldPosition="0">
        <references count="2">
          <reference field="6" count="1" selected="0">
            <x v="2"/>
          </reference>
          <reference field="7" count="4" selected="0">
            <x v="6"/>
            <x v="7"/>
            <x v="9"/>
            <x v="10"/>
          </reference>
        </references>
      </pivotArea>
    </format>
    <format dxfId="1727">
      <pivotArea type="topRight" dataOnly="0" labelOnly="1" outline="0" offset="J1:M1" fieldPosition="0"/>
    </format>
    <format dxfId="1726">
      <pivotArea dataOnly="0" labelOnly="1" fieldPosition="0">
        <references count="1">
          <reference field="6" count="1">
            <x v="2"/>
          </reference>
        </references>
      </pivotArea>
    </format>
    <format dxfId="1725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72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23">
      <pivotArea type="topRight" dataOnly="0" labelOnly="1" outline="0" offset="O1:Q1" fieldPosition="0"/>
    </format>
    <format dxfId="1722">
      <pivotArea dataOnly="0" labelOnly="1" fieldPosition="0">
        <references count="1">
          <reference field="6" count="1">
            <x v="3"/>
          </reference>
        </references>
      </pivotArea>
    </format>
    <format dxfId="172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720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19">
      <pivotArea dataOnly="0" labelOnly="1" fieldPosition="0">
        <references count="1">
          <reference field="6" count="1">
            <x v="0"/>
          </reference>
        </references>
      </pivotArea>
    </format>
    <format dxfId="1718">
      <pivotArea outline="0" collapsedLevelsAreSubtotals="1" fieldPosition="0">
        <references count="2">
          <reference field="6" count="1" selected="0">
            <x v="0"/>
          </reference>
          <reference field="7" count="4" selected="0">
            <x v="0"/>
            <x v="1"/>
            <x v="2"/>
            <x v="3"/>
          </reference>
        </references>
      </pivotArea>
    </format>
    <format dxfId="1717">
      <pivotArea outline="0" collapsedLevelsAreSubtotals="1" fieldPosition="0"/>
    </format>
    <format dxfId="1716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15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14">
      <pivotArea dataOnly="0" labelOnly="1" fieldPosition="0">
        <references count="1">
          <reference field="5" count="0"/>
        </references>
      </pivotArea>
    </format>
    <format dxfId="1713">
      <pivotArea dataOnly="0" labelOnly="1" grandRow="1" outline="0" fieldPosition="0"/>
    </format>
    <format dxfId="1712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11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10">
      <pivotArea field="6" type="button" dataOnly="0" labelOnly="1" outline="0" axis="axisCol" fieldPosition="0"/>
    </format>
    <format dxfId="1709">
      <pivotArea field="7" type="button" dataOnly="0" labelOnly="1" outline="0" axis="axisCol" fieldPosition="1"/>
    </format>
    <format dxfId="1708">
      <pivotArea type="topRight" dataOnly="0" labelOnly="1" outline="0" offset="A1:B1" fieldPosition="0"/>
    </format>
    <format dxfId="1707">
      <pivotArea field="7" type="button" dataOnly="0" labelOnly="1" outline="0" axis="axisCol" fieldPosition="1"/>
    </format>
    <format dxfId="1706">
      <pivotArea type="topRight" dataOnly="0" labelOnly="1" outline="0" offset="A1:B1" fieldPosition="0"/>
    </format>
    <format dxfId="1705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704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703">
      <pivotArea field="6" type="button" dataOnly="0" labelOnly="1" outline="0" axis="axisCol" fieldPosition="0"/>
    </format>
    <format dxfId="1702">
      <pivotArea field="7" type="button" dataOnly="0" labelOnly="1" outline="0" axis="axisCol" fieldPosition="1"/>
    </format>
    <format dxfId="1701">
      <pivotArea type="topRight" dataOnly="0" labelOnly="1" outline="0" fieldPosition="0"/>
    </format>
    <format dxfId="1700">
      <pivotArea dataOnly="0" labelOnly="1" fieldPosition="0">
        <references count="1">
          <reference field="6" count="0"/>
        </references>
      </pivotArea>
    </format>
    <format dxfId="1699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9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9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9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95">
      <pivotArea type="topRight" dataOnly="0" labelOnly="1" outline="0" offset="A1:Q1" fieldPosition="0"/>
    </format>
    <format dxfId="1694">
      <pivotArea outline="0" collapsedLevelsAreSubtotals="1" fieldPosition="0">
        <references count="1">
          <reference field="6" count="3" selected="0" defaultSubtotal="1">
            <x v="0"/>
            <x v="1"/>
            <x v="2"/>
          </reference>
        </references>
      </pivotArea>
    </format>
    <format dxfId="1693">
      <pivotArea outline="0" collapsedLevelsAreSubtotals="1" fieldPosition="0">
        <references count="2">
          <reference field="6" count="1" selected="0">
            <x v="3"/>
          </reference>
          <reference field="7" count="3" selected="0">
            <x v="4"/>
            <x v="5"/>
            <x v="8"/>
          </reference>
        </references>
      </pivotArea>
    </format>
    <format dxfId="1692">
      <pivotArea type="origin" dataOnly="0" labelOnly="1" outline="0" fieldPosition="0"/>
    </format>
    <format dxfId="1691">
      <pivotArea field="6" type="button" dataOnly="0" labelOnly="1" outline="0" axis="axisCol" fieldPosition="0"/>
    </format>
    <format dxfId="1690">
      <pivotArea field="7" type="button" dataOnly="0" labelOnly="1" outline="0" axis="axisCol" fieldPosition="1"/>
    </format>
    <format dxfId="1689">
      <pivotArea type="topRight" dataOnly="0" labelOnly="1" outline="0" offset="A1:M1" fieldPosition="0"/>
    </format>
    <format dxfId="1688">
      <pivotArea field="5" type="button" dataOnly="0" labelOnly="1" outline="0" axis="axisRow" fieldPosition="0"/>
    </format>
    <format dxfId="1687">
      <pivotArea dataOnly="0" labelOnly="1" fieldPosition="0">
        <references count="1">
          <reference field="5" count="0"/>
        </references>
      </pivotArea>
    </format>
    <format dxfId="1686">
      <pivotArea dataOnly="0" labelOnly="1" grandRow="1" outline="0" fieldPosition="0"/>
    </format>
    <format dxfId="1685">
      <pivotArea dataOnly="0" labelOnly="1" fieldPosition="0">
        <references count="1">
          <reference field="6" count="0"/>
        </references>
      </pivotArea>
    </format>
    <format dxfId="1684">
      <pivotArea dataOnly="0" labelOnly="1" fieldPosition="0">
        <references count="1">
          <reference field="6" count="3" defaultSubtotal="1">
            <x v="0"/>
            <x v="1"/>
            <x v="2"/>
          </reference>
        </references>
      </pivotArea>
    </format>
    <format dxfId="1683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82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81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80">
      <pivotArea type="all" dataOnly="0" outline="0" fieldPosition="0"/>
    </format>
    <format dxfId="1679">
      <pivotArea outline="0" collapsedLevelsAreSubtotals="1" fieldPosition="0"/>
    </format>
    <format dxfId="1678">
      <pivotArea type="origin" dataOnly="0" labelOnly="1" outline="0" fieldPosition="0"/>
    </format>
    <format dxfId="1677">
      <pivotArea field="6" type="button" dataOnly="0" labelOnly="1" outline="0" axis="axisCol" fieldPosition="0"/>
    </format>
    <format dxfId="1676">
      <pivotArea field="7" type="button" dataOnly="0" labelOnly="1" outline="0" axis="axisCol" fieldPosition="1"/>
    </format>
    <format dxfId="1675">
      <pivotArea type="topRight" dataOnly="0" labelOnly="1" outline="0" fieldPosition="0"/>
    </format>
    <format dxfId="1674">
      <pivotArea field="5" type="button" dataOnly="0" labelOnly="1" outline="0" axis="axisRow" fieldPosition="0"/>
    </format>
    <format dxfId="1673">
      <pivotArea dataOnly="0" labelOnly="1" fieldPosition="0">
        <references count="1">
          <reference field="5" count="0"/>
        </references>
      </pivotArea>
    </format>
    <format dxfId="1672">
      <pivotArea dataOnly="0" labelOnly="1" fieldPosition="0">
        <references count="1">
          <reference field="6" count="0"/>
        </references>
      </pivotArea>
    </format>
    <format dxfId="1671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70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69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68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67">
      <pivotArea type="all" dataOnly="0" outline="0" fieldPosition="0"/>
    </format>
    <format dxfId="1666">
      <pivotArea outline="0" collapsedLevelsAreSubtotals="1" fieldPosition="0"/>
    </format>
    <format dxfId="1665">
      <pivotArea type="origin" dataOnly="0" labelOnly="1" outline="0" fieldPosition="0"/>
    </format>
    <format dxfId="1664">
      <pivotArea field="6" type="button" dataOnly="0" labelOnly="1" outline="0" axis="axisCol" fieldPosition="0"/>
    </format>
    <format dxfId="1663">
      <pivotArea field="7" type="button" dataOnly="0" labelOnly="1" outline="0" axis="axisCol" fieldPosition="1"/>
    </format>
    <format dxfId="1662">
      <pivotArea type="topRight" dataOnly="0" labelOnly="1" outline="0" fieldPosition="0"/>
    </format>
    <format dxfId="1661">
      <pivotArea field="5" type="button" dataOnly="0" labelOnly="1" outline="0" axis="axisRow" fieldPosition="0"/>
    </format>
    <format dxfId="1660">
      <pivotArea dataOnly="0" labelOnly="1" fieldPosition="0">
        <references count="1">
          <reference field="5" count="0"/>
        </references>
      </pivotArea>
    </format>
    <format dxfId="1659">
      <pivotArea dataOnly="0" labelOnly="1" fieldPosition="0">
        <references count="1">
          <reference field="6" count="0"/>
        </references>
      </pivotArea>
    </format>
    <format dxfId="1658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57">
      <pivotArea dataOnly="0" labelOnly="1" fieldPosition="0">
        <references count="2">
          <reference field="6" count="1" selected="0">
            <x v="1"/>
          </reference>
          <reference field="7" count="1">
            <x v="11"/>
          </reference>
        </references>
      </pivotArea>
    </format>
    <format dxfId="1656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55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  <format dxfId="1654">
      <pivotArea outline="0" collapsedLevelsAreSubtotals="1" fieldPosition="0"/>
    </format>
    <format dxfId="1653">
      <pivotArea field="6" type="button" dataOnly="0" labelOnly="1" outline="0" axis="axisCol" fieldPosition="0"/>
    </format>
    <format dxfId="1652">
      <pivotArea field="7" type="button" dataOnly="0" labelOnly="1" outline="0" axis="axisCol" fieldPosition="1"/>
    </format>
    <format dxfId="1651">
      <pivotArea type="topRight" dataOnly="0" labelOnly="1" outline="0" fieldPosition="0"/>
    </format>
    <format dxfId="1650">
      <pivotArea dataOnly="0" labelOnly="1" fieldPosition="0">
        <references count="1">
          <reference field="6" count="0"/>
        </references>
      </pivotArea>
    </format>
    <format dxfId="1649">
      <pivotArea dataOnly="0" labelOnly="1" fieldPosition="0">
        <references count="2">
          <reference field="6" count="1" selected="0">
            <x v="0"/>
          </reference>
          <reference field="7" count="4">
            <x v="0"/>
            <x v="1"/>
            <x v="2"/>
            <x v="3"/>
          </reference>
        </references>
      </pivotArea>
    </format>
    <format dxfId="1648">
      <pivotArea dataOnly="0" labelOnly="1" fieldPosition="0">
        <references count="2">
          <reference field="6" count="1" selected="0">
            <x v="1"/>
          </reference>
          <reference field="7" count="5">
            <x v="11"/>
            <x v="12"/>
            <x v="13"/>
            <x v="14"/>
            <x v="15"/>
          </reference>
        </references>
      </pivotArea>
    </format>
    <format dxfId="1647">
      <pivotArea dataOnly="0" labelOnly="1" fieldPosition="0">
        <references count="2">
          <reference field="6" count="1" selected="0">
            <x v="2"/>
          </reference>
          <reference field="7" count="4">
            <x v="6"/>
            <x v="7"/>
            <x v="9"/>
            <x v="10"/>
          </reference>
        </references>
      </pivotArea>
    </format>
    <format dxfId="1646">
      <pivotArea dataOnly="0" labelOnly="1" fieldPosition="0">
        <references count="2">
          <reference field="6" count="1" selected="0">
            <x v="3"/>
          </reference>
          <reference field="7" count="3">
            <x v="4"/>
            <x v="5"/>
            <x v="8"/>
          </reference>
        </references>
      </pivotArea>
    </format>
  </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" connectionId="8" xr16:uid="{12032671-218B-4B63-B841-6081ED007C0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" connectionId="9" xr16:uid="{FF11494B-F558-41A0-BCAA-44E7E17FD713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" connectionId="10" xr16:uid="{3A06EED8-DF97-4101-9F41-70092FD72599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" connectionId="11" xr16:uid="{E41756C9-2A39-40D4-8641-692260A8889E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" connectionId="21" xr16:uid="{D0BF4795-4A29-4F50-8BAF-E87060F0596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1" connectionId="19" xr16:uid="{2B706C9C-BC07-4831-941E-1EB84AE1DF44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" connectionId="20" xr16:uid="{A2B9CBBB-CBAA-4734-8C8E-7621D36A145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" connectionId="23" xr16:uid="{B5868150-2E3C-4C36-9EBC-7A5F59A7E6AB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1" connectionId="17" xr16:uid="{4A8A82A1-A4C9-4036-931E-47E5AEF9ED7C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" connectionId="18" xr16:uid="{AB93C153-B8B6-4F2D-A433-489516E51E8F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" connectionId="1" xr16:uid="{536D0F22-0DFB-4271-9EFE-6A37AA98C671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" connectionId="2" xr16:uid="{F4C3AFCD-8928-43E8-9A2D-64955F0048C8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" connectionId="4" xr16:uid="{AA1DEBBB-56EE-4562-A2A2-0302A5EF78A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_from_Aurora2Reports_1_1_1_1_1_1_1_1_1_1_1_1_1_1_1_1_1_1_2_1_2_1_1_1_1" connectionId="3" xr16:uid="{7F6C0552-04DA-4598-B033-D357720AB3F5}" autoFormatId="16" applyNumberFormats="0" applyBorderFormats="0" applyFontFormats="0" applyPatternFormats="0" applyAlignmentFormats="0" applyWidthHeightFormats="0">
  <queryTableRefresh nextId="44">
    <queryTableFields count="17">
      <queryTableField id="27" name="status" tableColumnId="1"/>
      <queryTableField id="28" name="day" tableColumnId="2"/>
      <queryTableField id="29" name="Yr" tableColumnId="3"/>
      <queryTableField id="30" name="Wk" tableColumnId="4"/>
      <queryTableField id="31" name="WeekOf" tableColumnId="5"/>
      <queryTableField id="32" name="ageband" tableColumnId="6"/>
      <queryTableField id="33" name="variable_type" tableColumnId="7"/>
      <queryTableField id="34" name="variable_value" tableColumnId="8"/>
      <queryTableField id="35" name="target" tableColumnId="9"/>
      <queryTableField id="36" name="targetRounded" tableColumnId="10"/>
      <queryTableField id="37" name="AssignDay" tableColumnId="11"/>
      <queryTableField id="38" name="AssignCounts" tableColumnId="12"/>
      <queryTableField id="39" name="totalCells" tableColumnId="13"/>
      <queryTableField id="40" name="cummAssingCount" tableColumnId="14"/>
      <queryTableField id="41" name="openCells" tableColumnId="15"/>
      <queryTableField id="42" name="reportSession" tableColumnId="16"/>
      <queryTableField id="43" name="last_refreshed" tableColumnId="17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insertClear" adjustColumnWidth="0" connectionId="15" xr16:uid="{0F4EB717-A72E-F94E-B9AA-5CF44522ECAC}" autoFormatId="16" applyNumberFormats="0" applyBorderFormats="0" applyFontFormats="0" applyPatternFormats="0" applyAlignmentFormats="0" applyWidthHeightFormats="0">
  <queryTableRefresh nextId="29">
    <queryTableFields count="6">
      <queryTableField id="1" name="study_id" tableColumnId="1"/>
      <queryTableField id="24" name="study_type_description" tableColumnId="2"/>
      <queryTableField id="25" name="sort_order" tableColumnId="3"/>
      <queryTableField id="26" name="study_name" tableColumnId="4"/>
      <queryTableField id="27" name="study_acronym" tableColumnId="5"/>
      <queryTableField id="28" name="study_status" tableColumnId="6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growShrinkType="overwriteClear" adjustColumnWidth="0" connectionId="13" xr16:uid="{E4497600-64AD-6442-9825-14882CB37E2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0" growShrinkType="overwriteClear" adjustColumnWidth="0" connectionId="12" xr16:uid="{6A72D58A-7941-4EDA-BED4-FAD3FA63FDC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5" growShrinkType="overwriteClear" adjustColumnWidth="0" connectionId="26" xr16:uid="{0301F7E2-07EC-4D63-892F-328E67AA3C3A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2" growShrinkType="overwriteClear" adjustColumnWidth="0" connectionId="27" xr16:uid="{4D15DB80-A622-4337-A03F-5024B1F00AEC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8" growShrinkType="overwriteClear" adjustColumnWidth="0" connectionId="24" xr16:uid="{DD7B51E4-5806-4659-94C3-75A7EE302366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4" growShrinkType="overwriteClear" adjustColumnWidth="0" connectionId="30" xr16:uid="{704DAA77-F923-40FF-8CB3-491947353053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5" growShrinkType="overwriteClear" adjustColumnWidth="0" connectionId="25" xr16:uid="{538F7CCD-4230-44B2-93C9-BEE9EF30FFB5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6" growShrinkType="overwriteClear" adjustColumnWidth="0" connectionId="22" xr16:uid="{76D1B681-8E33-4CC3-B3C1-42E1A160F800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7" growShrinkType="overwriteClear" adjustColumnWidth="0" connectionId="6" xr16:uid="{EBD47BF8-3F09-405F-96BA-0B92DEFB1901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8" growShrinkType="overwriteClear" adjustColumnWidth="0" connectionId="31" xr16:uid="{AD91D09D-4CDB-44E3-8F55-832276427B5B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9" growShrinkType="overwriteClear" adjustColumnWidth="0" connectionId="7" xr16:uid="{96C064C0-4CD4-49A4-96F3-EACDA5C27D50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0" growShrinkType="overwriteClear" adjustColumnWidth="0" connectionId="5" xr16:uid="{A5F8095E-8BC6-47C8-84C1-1731CDA0F3A2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2" growShrinkType="overwriteClear" adjustColumnWidth="0" connectionId="28" xr16:uid="{7A215F62-2682-426F-9D26-C7488E09620F}" autoFormatId="16" applyNumberFormats="0" applyBorderFormats="0" applyFontFormats="0" applyPatternFormats="0" applyAlignmentFormats="0" applyWidthHeightFormats="0">
  <queryTableRefresh nextId="185">
    <queryTableFields count="37">
      <queryTableField id="2" name="ageband" tableColumnId="2"/>
      <queryTableField id="3" name="gradeband" tableColumnId="3"/>
      <queryTableField id="4" name="report" tableColumnId="4"/>
      <queryTableField id="151" name="AS1" tableColumnId="5"/>
      <queryTableField id="152" name="AS2" tableColumnId="6"/>
      <queryTableField id="153" name="AS3" tableColumnId="7"/>
      <queryTableField id="154" name="AS4" tableColumnId="8"/>
      <queryTableField id="155" name="AS5" tableColumnId="9"/>
      <queryTableField id="156" name="BL1" tableColumnId="10"/>
      <queryTableField id="157" name="BL2" tableColumnId="11"/>
      <queryTableField id="158" name="BL3" tableColumnId="12"/>
      <queryTableField id="159" name="BL4" tableColumnId="13"/>
      <queryTableField id="160" name="BL5" tableColumnId="18"/>
      <queryTableField id="161" name="HI1" tableColumnId="21"/>
      <queryTableField id="162" name="HI2" tableColumnId="22"/>
      <queryTableField id="163" name="HI3" tableColumnId="23"/>
      <queryTableField id="164" name="HI4" tableColumnId="24"/>
      <queryTableField id="165" name="HI5" tableColumnId="25"/>
      <queryTableField id="166" name="OT1" tableColumnId="26"/>
      <queryTableField id="167" name="OT2" tableColumnId="27"/>
      <queryTableField id="168" name="OT3" tableColumnId="28"/>
      <queryTableField id="169" name="OT4" tableColumnId="29"/>
      <queryTableField id="170" name="OT5" tableColumnId="30"/>
      <queryTableField id="171" name="WH1" tableColumnId="31"/>
      <queryTableField id="172" name="WH2" tableColumnId="32"/>
      <queryTableField id="173" name="WH3" tableColumnId="33"/>
      <queryTableField id="174" name="WH4" tableColumnId="34"/>
      <queryTableField id="175" name="WH5" tableColumnId="35"/>
      <queryTableField id="14" name="MW" tableColumnId="14"/>
      <queryTableField id="15" name="NE" tableColumnId="15"/>
      <queryTableField id="16" name="SO" tableColumnId="16"/>
      <queryTableField id="17" name="WE" tableColumnId="17"/>
      <queryTableField id="119" name="F" tableColumnId="50"/>
      <queryTableField id="120" name="M" tableColumnId="51"/>
      <queryTableField id="149" name="OTHER" tableColumnId="19"/>
      <queryTableField id="20" name="Total" tableColumnId="20"/>
      <queryTableField id="72" name="LastRefreshed" tableColumnId="1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3" growShrinkType="overwriteClear" adjustColumnWidth="0" connectionId="29" xr16:uid="{3E79D2B6-7316-4DAC-BFF9-04DCDAC504FB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4" growShrinkType="overwriteClear" adjustColumnWidth="0" connectionId="14" xr16:uid="{F280E0F9-01FD-4D33-A940-D344A244566E}" autoFormatId="16" applyNumberFormats="0" applyBorderFormats="0" applyFontFormats="0" applyPatternFormats="0" applyAlignmentFormats="0" applyWidthHeightFormats="0">
  <queryTableRefresh nextId="213">
    <queryTableFields count="22">
      <queryTableField id="2" name="ageband" tableColumnId="2"/>
      <queryTableField id="3" name="gradeband" tableColumnId="3"/>
      <queryTableField id="4" name="report" tableColumnId="4"/>
      <queryTableField id="176" name="1" tableColumnId="52"/>
      <queryTableField id="177" name="2" tableColumnId="53"/>
      <queryTableField id="178" name="3" tableColumnId="54"/>
      <queryTableField id="179" name="4" tableColumnId="55"/>
      <queryTableField id="180" name="5" tableColumnId="56"/>
      <queryTableField id="197" name="AS" tableColumnId="67"/>
      <queryTableField id="198" name="BL" tableColumnId="68"/>
      <queryTableField id="199" name="HI" tableColumnId="69"/>
      <queryTableField id="200" name="OT" tableColumnId="70"/>
      <queryTableField id="201" name="WH" tableColumnId="71"/>
      <queryTableField id="14" name="MW" tableColumnId="14"/>
      <queryTableField id="15" name="NE" tableColumnId="15"/>
      <queryTableField id="16" name="SO" tableColumnId="16"/>
      <queryTableField id="17" name="WE" tableColumnId="17"/>
      <queryTableField id="202" name="F" tableColumnId="72"/>
      <queryTableField id="203" name="M" tableColumnId="73"/>
      <queryTableField id="211" name="OTHER" tableColumnId="5"/>
      <queryTableField id="20" name="Total" tableColumnId="20"/>
      <queryTableField id="127" name="LastRefreshed" tableColumnId="1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adjustColumnWidth="0" connectionId="16" xr16:uid="{CEDF06D5-7BDD-554E-8F38-A7B52A075D7D}" autoFormatId="16" applyNumberFormats="0" applyBorderFormats="0" applyFontFormats="0" applyPatternFormats="0" applyAlignmentFormats="0" applyWidthHeightFormats="0">
  <queryTableRefresh nextId="33">
    <queryTableFields count="6">
      <queryTableField id="1" name="study_id" tableColumnId="1"/>
      <queryTableField id="24" name="study" tableColumnId="2"/>
      <queryTableField id="25" name="Target" tableColumnId="3"/>
      <queryTableField id="26" name="usablecount" tableColumnId="4"/>
      <queryTableField id="27" name="Percentage" tableColumnId="5"/>
      <queryTableField id="28" name="Refreshed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2C6CCC-9E60-4236-955F-566E290A728F}" name="tab_1" displayName="tab_1" ref="A10:Q28" tableType="queryTable" totalsRowShown="0">
  <autoFilter ref="A10:Q28" xr:uid="{152C6CCC-9E60-4236-955F-566E290A728F}"/>
  <tableColumns count="17">
    <tableColumn id="1" xr3:uid="{D7B859B0-2EFB-4312-BCF7-677E00B7B632}" uniqueName="1" name="status" queryTableFieldId="27"/>
    <tableColumn id="2" xr3:uid="{DB38EAC3-281D-46CB-9081-AD052974BE54}" uniqueName="2" name="day" queryTableFieldId="28"/>
    <tableColumn id="3" xr3:uid="{580901FA-7214-4A82-B5B2-12F7EB19ABF5}" uniqueName="3" name="Yr" queryTableFieldId="29"/>
    <tableColumn id="4" xr3:uid="{92047D1B-D8D5-45FF-BAEF-62F236C71DD8}" uniqueName="4" name="Wk" queryTableFieldId="30"/>
    <tableColumn id="5" xr3:uid="{20ECB593-998B-465E-9041-C174A889AAA1}" uniqueName="5" name="WeekOf" queryTableFieldId="31"/>
    <tableColumn id="6" xr3:uid="{A8CECF21-7FE4-4E5E-9458-856393093AE2}" uniqueName="6" name="ageband" queryTableFieldId="32"/>
    <tableColumn id="7" xr3:uid="{0B2F2A5C-05FB-497A-8A1A-7E545D591486}" uniqueName="7" name="variable_type" queryTableFieldId="33"/>
    <tableColumn id="8" xr3:uid="{1DE1F56E-5B75-4850-958A-E26B1C9C2AB3}" uniqueName="8" name="variable_value" queryTableFieldId="34"/>
    <tableColumn id="9" xr3:uid="{4CE067E9-1CE7-44F7-86B1-21B2F321D555}" uniqueName="9" name="target" queryTableFieldId="35"/>
    <tableColumn id="10" xr3:uid="{1CBEBDB5-7BEE-425F-B39D-679F955EF4D2}" uniqueName="10" name="targetRounded" queryTableFieldId="36"/>
    <tableColumn id="11" xr3:uid="{F6FA8A71-986A-4EA0-B3F4-14A25B7BE0EE}" uniqueName="11" name="AssignDay" queryTableFieldId="37"/>
    <tableColumn id="12" xr3:uid="{F631BFB1-3758-404E-BFC9-66F94F8C3E0D}" uniqueName="12" name="AssignCounts" queryTableFieldId="38"/>
    <tableColumn id="13" xr3:uid="{00FE5776-4B4E-4878-BA70-BB09E8DB659C}" uniqueName="13" name="totalCells" queryTableFieldId="39"/>
    <tableColumn id="14" xr3:uid="{9097730D-899B-4B3D-8B56-D5067B109EA5}" uniqueName="14" name="cummAssingCount" queryTableFieldId="40"/>
    <tableColumn id="15" xr3:uid="{CCD3BFA9-5C15-4901-935B-41334A8877A2}" uniqueName="15" name="openCells" queryTableFieldId="41"/>
    <tableColumn id="16" xr3:uid="{75174599-5D38-496D-AAD4-D87B6ECEAF50}" uniqueName="16" name="reportSession" queryTableFieldId="42"/>
    <tableColumn id="17" xr3:uid="{786EBCE0-9BA2-4D10-8FCC-79EA62A75E3E}" uniqueName="17" name="last_refreshed" queryTableField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B203514-DF95-4A7A-9207-6A52274C349E}" name="tab_2" displayName="tab_2" ref="A82:Q130" tableType="queryTable" totalsRowShown="0">
  <autoFilter ref="A82:Q130" xr:uid="{4B203514-DF95-4A7A-9207-6A52274C349E}"/>
  <tableColumns count="17">
    <tableColumn id="1" xr3:uid="{361600E5-AAAD-48B3-BC40-884AD81148DD}" uniqueName="1" name="status" queryTableFieldId="27"/>
    <tableColumn id="2" xr3:uid="{C476C941-B7A7-461D-B943-4DA04F830510}" uniqueName="2" name="day" queryTableFieldId="28"/>
    <tableColumn id="3" xr3:uid="{2B1BAF89-714C-47C1-B406-7E19F3EAEF94}" uniqueName="3" name="Yr" queryTableFieldId="29"/>
    <tableColumn id="4" xr3:uid="{85CBB214-BFF4-4740-A0B6-B01049407B88}" uniqueName="4" name="Wk" queryTableFieldId="30"/>
    <tableColumn id="5" xr3:uid="{AEB95847-A48C-4702-B7A0-90BF969819D4}" uniqueName="5" name="WeekOf" queryTableFieldId="31"/>
    <tableColumn id="6" xr3:uid="{F4B7CA7E-E205-4C98-A8D2-E0318E76CDE5}" uniqueName="6" name="ageband" queryTableFieldId="32"/>
    <tableColumn id="7" xr3:uid="{EC91123F-3F9D-4CBB-ADAF-9438D0CEAFA0}" uniqueName="7" name="variable_type" queryTableFieldId="33"/>
    <tableColumn id="8" xr3:uid="{9AA4D16F-A676-4561-A089-B9CC3E553B76}" uniqueName="8" name="variable_value" queryTableFieldId="34"/>
    <tableColumn id="9" xr3:uid="{5117AC99-40F7-4D5E-BC3E-7329D48A2F0E}" uniqueName="9" name="target" queryTableFieldId="35"/>
    <tableColumn id="10" xr3:uid="{8EABA8DE-D66C-46AF-B211-84ABD900941F}" uniqueName="10" name="targetRounded" queryTableFieldId="36"/>
    <tableColumn id="11" xr3:uid="{A360FF56-EEE8-4856-8429-4AFF65ECA818}" uniqueName="11" name="AssignDay" queryTableFieldId="37"/>
    <tableColumn id="12" xr3:uid="{5DDB0C95-58B0-4493-960D-F5DB772611E8}" uniqueName="12" name="AssignCounts" queryTableFieldId="38"/>
    <tableColumn id="13" xr3:uid="{CCE0FD56-3796-4D6D-9DE3-EFF62D0F1007}" uniqueName="13" name="totalCells" queryTableFieldId="39"/>
    <tableColumn id="14" xr3:uid="{3D0908DF-A185-4772-BD88-527C48390F91}" uniqueName="14" name="cummAssingCount" queryTableFieldId="40"/>
    <tableColumn id="15" xr3:uid="{0D18AD87-E227-4212-9A08-08B757F02C75}" uniqueName="15" name="openCells" queryTableFieldId="41"/>
    <tableColumn id="16" xr3:uid="{EDA15CC4-7225-4D49-AC8E-DE830E5458DF}" uniqueName="16" name="reportSession" queryTableFieldId="42"/>
    <tableColumn id="17" xr3:uid="{F261F505-F479-49F4-B19B-B709FBD40D39}" uniqueName="17" name="last_refreshed" queryTableFieldId="4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35107F3-DB64-4B8D-B642-D51C789414FA}" name="tab_3" displayName="tab_3" ref="A184:Q218" tableType="queryTable" totalsRowShown="0">
  <autoFilter ref="A184:Q218" xr:uid="{035107F3-DB64-4B8D-B642-D51C789414FA}"/>
  <tableColumns count="17">
    <tableColumn id="1" xr3:uid="{FD8685FF-4D18-4BEF-95AC-750902FA7929}" uniqueName="1" name="status" queryTableFieldId="27"/>
    <tableColumn id="2" xr3:uid="{FEEDD8FC-846B-45AC-8A06-E2A04BB1F006}" uniqueName="2" name="day" queryTableFieldId="28"/>
    <tableColumn id="3" xr3:uid="{839E55F5-3D2A-436F-87B2-CA404DE627F7}" uniqueName="3" name="Yr" queryTableFieldId="29"/>
    <tableColumn id="4" xr3:uid="{970520B0-9667-45A8-90EB-8D2F93AEC00C}" uniqueName="4" name="Wk" queryTableFieldId="30"/>
    <tableColumn id="5" xr3:uid="{F86A9587-268B-4204-B22B-843001AB5835}" uniqueName="5" name="WeekOf" queryTableFieldId="31"/>
    <tableColumn id="6" xr3:uid="{FE243D41-4778-4B10-A966-1101837D72D1}" uniqueName="6" name="ageband" queryTableFieldId="32"/>
    <tableColumn id="7" xr3:uid="{C514C7DE-A353-4EFE-BBC1-7A14B2CA092F}" uniqueName="7" name="variable_type" queryTableFieldId="33"/>
    <tableColumn id="8" xr3:uid="{C3F0104F-C6C1-4753-BBE5-0E25501829F5}" uniqueName="8" name="variable_value" queryTableFieldId="34"/>
    <tableColumn id="9" xr3:uid="{1337E032-00AF-401E-BB5E-0A91B5ABD458}" uniqueName="9" name="target" queryTableFieldId="35"/>
    <tableColumn id="10" xr3:uid="{B4886793-7C38-4C25-BF52-7B965390D49F}" uniqueName="10" name="targetRounded" queryTableFieldId="36"/>
    <tableColumn id="11" xr3:uid="{FCC94EC5-FFDC-4C80-AADF-A7356EE297C2}" uniqueName="11" name="AssignDay" queryTableFieldId="37"/>
    <tableColumn id="12" xr3:uid="{2E919B67-2C5A-4B5F-ABD8-52EF0D11A199}" uniqueName="12" name="AssignCounts" queryTableFieldId="38"/>
    <tableColumn id="13" xr3:uid="{B32AB640-F3D3-4767-AFD6-5FA06038B4B2}" uniqueName="13" name="totalCells" queryTableFieldId="39"/>
    <tableColumn id="14" xr3:uid="{9B2EAC81-0277-49B7-98E8-D7191C7DAC21}" uniqueName="14" name="cummAssingCount" queryTableFieldId="40"/>
    <tableColumn id="15" xr3:uid="{53E46CE9-D473-44E5-AD91-0AAABEB180C4}" uniqueName="15" name="openCells" queryTableFieldId="41"/>
    <tableColumn id="16" xr3:uid="{916039D2-2B3E-4F85-800E-203F5CE232C8}" uniqueName="16" name="reportSession" queryTableFieldId="42"/>
    <tableColumn id="17" xr3:uid="{F781DE6B-5812-4C65-BE80-D66531B9C299}" uniqueName="17" name="last_refreshed" queryTableField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A10A0BE-425E-4677-AF5B-8DD0279F0F88}" name="tab_4" displayName="tab_4" ref="A238:Q272" tableType="queryTable" totalsRowShown="0">
  <autoFilter ref="A238:Q272" xr:uid="{0A10A0BE-425E-4677-AF5B-8DD0279F0F88}"/>
  <tableColumns count="17">
    <tableColumn id="1" xr3:uid="{D8001373-2D05-4C85-ABF2-48C3481E594F}" uniqueName="1" name="status" queryTableFieldId="27"/>
    <tableColumn id="2" xr3:uid="{012E7022-449F-47C4-AB78-8EB9D0A266A8}" uniqueName="2" name="day" queryTableFieldId="28"/>
    <tableColumn id="3" xr3:uid="{2CA3B2CD-4D32-4CC1-921D-85E989026A3A}" uniqueName="3" name="Yr" queryTableFieldId="29"/>
    <tableColumn id="4" xr3:uid="{5E339EE9-57D4-4D95-8D94-72735CD9CF23}" uniqueName="4" name="Wk" queryTableFieldId="30"/>
    <tableColumn id="5" xr3:uid="{6ED4BDDB-EBA4-4BF3-977A-95021A5E298D}" uniqueName="5" name="WeekOf" queryTableFieldId="31"/>
    <tableColumn id="6" xr3:uid="{1EB026FA-B34F-4F65-8F30-B302A265270B}" uniqueName="6" name="ageband" queryTableFieldId="32"/>
    <tableColumn id="7" xr3:uid="{1CB86D48-C627-4DD5-9B84-ACC0D6188FDB}" uniqueName="7" name="variable_type" queryTableFieldId="33"/>
    <tableColumn id="8" xr3:uid="{72E422E7-DF6A-49EE-B1D1-7091AF68E7CE}" uniqueName="8" name="variable_value" queryTableFieldId="34"/>
    <tableColumn id="9" xr3:uid="{70F50FB2-D6BC-4540-AECE-4F4487DD36F2}" uniqueName="9" name="target" queryTableFieldId="35"/>
    <tableColumn id="10" xr3:uid="{184698C2-CA56-4F63-895F-9B335100C4FC}" uniqueName="10" name="targetRounded" queryTableFieldId="36"/>
    <tableColumn id="11" xr3:uid="{8647FA8F-36F9-4524-8A45-6899CD558A41}" uniqueName="11" name="AssignDay" queryTableFieldId="37"/>
    <tableColumn id="12" xr3:uid="{FFF3FE34-3202-4495-BFDB-00E7049CCE86}" uniqueName="12" name="AssignCounts" queryTableFieldId="38"/>
    <tableColumn id="13" xr3:uid="{2A7DFC86-89CB-4D4B-9256-AC13DEEECD69}" uniqueName="13" name="totalCells" queryTableFieldId="39"/>
    <tableColumn id="14" xr3:uid="{5373B8EE-820A-4B8F-AE25-07BD3B2DEDBD}" uniqueName="14" name="cummAssingCount" queryTableFieldId="40"/>
    <tableColumn id="15" xr3:uid="{896240F3-7AA6-44BD-A6FD-D35B107D787F}" uniqueName="15" name="openCells" queryTableFieldId="41"/>
    <tableColumn id="16" xr3:uid="{ACBBD0E7-2053-4067-89DF-46CD87702B2D}" uniqueName="16" name="reportSession" queryTableFieldId="42"/>
    <tableColumn id="17" xr3:uid="{908715E1-0EF7-479F-96CB-0ACC58388EF7}" uniqueName="17" name="last_refreshed" queryTableField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DD5AD29-D41E-4FB7-91AC-9965ED9355F4}" name="tab_5" displayName="tab_5" ref="A292:Q326" tableType="queryTable" totalsRowShown="0">
  <autoFilter ref="A292:Q326" xr:uid="{8DD5AD29-D41E-4FB7-91AC-9965ED9355F4}"/>
  <tableColumns count="17">
    <tableColumn id="1" xr3:uid="{6D212337-3CF6-4D69-9134-6A2539E43016}" uniqueName="1" name="status" queryTableFieldId="27"/>
    <tableColumn id="2" xr3:uid="{535320DE-24F2-4D4A-9B76-EBC2916A9865}" uniqueName="2" name="day" queryTableFieldId="28"/>
    <tableColumn id="3" xr3:uid="{E0EE0835-57D5-49CA-8B48-DD92ED5F7FE9}" uniqueName="3" name="Yr" queryTableFieldId="29"/>
    <tableColumn id="4" xr3:uid="{2E3745F0-D810-4D55-8D1C-42C081587CB2}" uniqueName="4" name="Wk" queryTableFieldId="30"/>
    <tableColumn id="5" xr3:uid="{2A17EAF2-BC53-4CBD-9803-C72225B7FBE3}" uniqueName="5" name="WeekOf" queryTableFieldId="31"/>
    <tableColumn id="6" xr3:uid="{0BD7731B-6D56-40AE-AEA4-E915FAF9C0FE}" uniqueName="6" name="ageband" queryTableFieldId="32"/>
    <tableColumn id="7" xr3:uid="{3BF3F757-C251-45D9-BF26-6819CB11DF6A}" uniqueName="7" name="variable_type" queryTableFieldId="33"/>
    <tableColumn id="8" xr3:uid="{074D50F4-344D-42AE-8841-8C8C6234C299}" uniqueName="8" name="variable_value" queryTableFieldId="34"/>
    <tableColumn id="9" xr3:uid="{3804EBAF-45D1-4D8F-8CCE-882226AE7A6E}" uniqueName="9" name="target" queryTableFieldId="35"/>
    <tableColumn id="10" xr3:uid="{0E59A7B9-5B29-4A00-8853-A4DD5F5365D2}" uniqueName="10" name="targetRounded" queryTableFieldId="36"/>
    <tableColumn id="11" xr3:uid="{3DC87EAF-61B5-4CC6-8992-42E107FA05A5}" uniqueName="11" name="AssignDay" queryTableFieldId="37"/>
    <tableColumn id="12" xr3:uid="{DCDA048D-AF05-4C3B-BE08-7780859D8DCE}" uniqueName="12" name="AssignCounts" queryTableFieldId="38"/>
    <tableColumn id="13" xr3:uid="{F5F11675-2EB2-432F-B7EB-A17358F16F17}" uniqueName="13" name="totalCells" queryTableFieldId="39"/>
    <tableColumn id="14" xr3:uid="{E64BE130-C00A-409D-80B6-4FCC18D1CE38}" uniqueName="14" name="cummAssingCount" queryTableFieldId="40"/>
    <tableColumn id="15" xr3:uid="{654315AD-0C13-40C6-9996-665055D1CEB4}" uniqueName="15" name="openCells" queryTableFieldId="41"/>
    <tableColumn id="16" xr3:uid="{580540E7-F3D1-4E33-912A-86CBE92CAF1B}" uniqueName="16" name="reportSession" queryTableFieldId="42"/>
    <tableColumn id="17" xr3:uid="{3997FF64-11B4-4567-B0D4-3129FE17D1AB}" uniqueName="17" name="last_refreshed" queryTableFieldId="4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CD24098-479C-4373-8BB7-05C16FBAD029}" name="tab_6" displayName="tab_6" ref="A346:Q363" tableType="queryTable" totalsRowShown="0">
  <autoFilter ref="A346:Q363" xr:uid="{3CD24098-479C-4373-8BB7-05C16FBAD029}"/>
  <tableColumns count="17">
    <tableColumn id="1" xr3:uid="{147D8154-DD24-4FD6-80F3-3AFAE53CA810}" uniqueName="1" name="status" queryTableFieldId="27"/>
    <tableColumn id="2" xr3:uid="{7EDC7B0B-F2E4-4A9F-A0CC-33B98B1B2530}" uniqueName="2" name="day" queryTableFieldId="28"/>
    <tableColumn id="3" xr3:uid="{47392E06-64A4-4A5D-8BBA-200E1BCEB460}" uniqueName="3" name="Yr" queryTableFieldId="29"/>
    <tableColumn id="4" xr3:uid="{5252FFB2-0643-4EFA-BB46-41AA7B05899F}" uniqueName="4" name="Wk" queryTableFieldId="30"/>
    <tableColumn id="5" xr3:uid="{5479DF04-7892-4085-ACD9-CAA1EDCA6B31}" uniqueName="5" name="WeekOf" queryTableFieldId="31"/>
    <tableColumn id="6" xr3:uid="{499F2500-04F7-4DC8-B67A-BD1C6F4C40A4}" uniqueName="6" name="ageband" queryTableFieldId="32"/>
    <tableColumn id="7" xr3:uid="{71BF1F5E-F8F9-420D-8C54-C9EF6ED3564C}" uniqueName="7" name="variable_type" queryTableFieldId="33"/>
    <tableColumn id="8" xr3:uid="{573A1F03-5A47-484B-A343-AAFB50C0C4F1}" uniqueName="8" name="variable_value" queryTableFieldId="34"/>
    <tableColumn id="9" xr3:uid="{84C2B8C0-338B-4345-B4B0-5E575EF636F6}" uniqueName="9" name="target" queryTableFieldId="35"/>
    <tableColumn id="10" xr3:uid="{09CC8927-BB6E-4177-B4D2-B2243AF69A74}" uniqueName="10" name="targetRounded" queryTableFieldId="36"/>
    <tableColumn id="11" xr3:uid="{B5A00FE7-3038-4537-82AF-0AEB1FDA7489}" uniqueName="11" name="AssignDay" queryTableFieldId="37"/>
    <tableColumn id="12" xr3:uid="{2EB7FAB3-B1C7-45E6-84DD-4A532B382ECD}" uniqueName="12" name="AssignCounts" queryTableFieldId="38"/>
    <tableColumn id="13" xr3:uid="{567D79D1-D496-4FAC-B391-4F7FC8B30D3D}" uniqueName="13" name="totalCells" queryTableFieldId="39"/>
    <tableColumn id="14" xr3:uid="{86C87F28-C4A1-4239-AB54-2196CCD99025}" uniqueName="14" name="cummAssingCount" queryTableFieldId="40"/>
    <tableColumn id="15" xr3:uid="{5ACBF2F6-F6AC-4BD6-B927-19DB2F94C4CF}" uniqueName="15" name="openCells" queryTableFieldId="41"/>
    <tableColumn id="16" xr3:uid="{FFBFE8A3-0743-4DA5-B48D-C33EBC6561D6}" uniqueName="16" name="reportSession" queryTableFieldId="42"/>
    <tableColumn id="17" xr3:uid="{233B99BA-FFD2-4788-99DD-8498B84B84E0}" uniqueName="17" name="last_refreshed" queryTableFieldId="4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5BF5A0F-4536-494A-8FBA-A508D272757E}" name="tab_7" displayName="tab_7" ref="A383:Q400" tableType="queryTable" totalsRowShown="0">
  <autoFilter ref="A383:Q400" xr:uid="{65BF5A0F-4536-494A-8FBA-A508D272757E}"/>
  <tableColumns count="17">
    <tableColumn id="1" xr3:uid="{6EE23850-D319-4CF2-B6E4-EE9AD075CBEF}" uniqueName="1" name="status" queryTableFieldId="27"/>
    <tableColumn id="2" xr3:uid="{7D2377F1-2BAE-488B-933D-D00D6C607AD0}" uniqueName="2" name="day" queryTableFieldId="28"/>
    <tableColumn id="3" xr3:uid="{DCD49F31-8774-4076-9095-DC3E037AEE2A}" uniqueName="3" name="Yr" queryTableFieldId="29"/>
    <tableColumn id="4" xr3:uid="{50EF9B6E-5566-4E9E-9ED2-FA241A7B7539}" uniqueName="4" name="Wk" queryTableFieldId="30"/>
    <tableColumn id="5" xr3:uid="{34221BA9-C732-435F-8AFE-1937CD5A1C39}" uniqueName="5" name="WeekOf" queryTableFieldId="31"/>
    <tableColumn id="6" xr3:uid="{E31F23E3-FD41-414F-9CCD-87AC3AE0FF35}" uniqueName="6" name="ageband" queryTableFieldId="32"/>
    <tableColumn id="7" xr3:uid="{D1D2E148-1735-4FEE-B9D9-24F2E7B7E9C3}" uniqueName="7" name="variable_type" queryTableFieldId="33"/>
    <tableColumn id="8" xr3:uid="{A5F7CEB6-E70C-4C78-9920-461AC07816F8}" uniqueName="8" name="variable_value" queryTableFieldId="34"/>
    <tableColumn id="9" xr3:uid="{1222CA2E-B07C-4313-9172-09068CC09AD9}" uniqueName="9" name="target" queryTableFieldId="35"/>
    <tableColumn id="10" xr3:uid="{A32D6A70-3EA7-4E6C-94F4-0DAFBAAABC11}" uniqueName="10" name="targetRounded" queryTableFieldId="36"/>
    <tableColumn id="11" xr3:uid="{8BBAE0B2-C985-491D-AD24-2118F4637B8F}" uniqueName="11" name="AssignDay" queryTableFieldId="37"/>
    <tableColumn id="12" xr3:uid="{1F2A6AD3-D4DD-4EF1-978B-ADA29AF81A25}" uniqueName="12" name="AssignCounts" queryTableFieldId="38"/>
    <tableColumn id="13" xr3:uid="{CBAD2892-857D-4FEA-94B0-D69F28878F66}" uniqueName="13" name="totalCells" queryTableFieldId="39"/>
    <tableColumn id="14" xr3:uid="{695D0D11-9B26-46A2-A95B-9116EF2922FB}" uniqueName="14" name="cummAssingCount" queryTableFieldId="40"/>
    <tableColumn id="15" xr3:uid="{C8F51700-9654-4E7B-B5C2-AC6396133798}" uniqueName="15" name="openCells" queryTableFieldId="41"/>
    <tableColumn id="16" xr3:uid="{28C27945-EEF0-41B7-8A0D-F9FE1FC916DA}" uniqueName="16" name="reportSession" queryTableFieldId="42"/>
    <tableColumn id="17" xr3:uid="{016F9744-EB25-48A4-AF16-0D7C4AE7F465}" uniqueName="17" name="last_refreshed" queryTableFieldId="4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64EA23E-25BB-44C7-8FE7-837263CA9C4F}" name="tab_8" displayName="tab_8" ref="A420:Q454" tableType="queryTable" totalsRowShown="0">
  <autoFilter ref="A420:Q454" xr:uid="{864EA23E-25BB-44C7-8FE7-837263CA9C4F}"/>
  <tableColumns count="17">
    <tableColumn id="1" xr3:uid="{DFC7C33F-13EF-4328-94E5-271D403AADFD}" uniqueName="1" name="status" queryTableFieldId="27"/>
    <tableColumn id="2" xr3:uid="{248D57AD-5F49-497D-9449-F7B1B60CF18E}" uniqueName="2" name="day" queryTableFieldId="28"/>
    <tableColumn id="3" xr3:uid="{9ED2C804-7C73-4604-BB6E-D0FBBB621355}" uniqueName="3" name="Yr" queryTableFieldId="29"/>
    <tableColumn id="4" xr3:uid="{B8DCAE58-32EC-417E-9C51-D8B6970FE48D}" uniqueName="4" name="Wk" queryTableFieldId="30"/>
    <tableColumn id="5" xr3:uid="{E0F4DF74-0461-4EAE-946E-84EA017B9338}" uniqueName="5" name="WeekOf" queryTableFieldId="31"/>
    <tableColumn id="6" xr3:uid="{16E3805A-1646-40BE-A68F-869EA435F448}" uniqueName="6" name="ageband" queryTableFieldId="32"/>
    <tableColumn id="7" xr3:uid="{30206312-A881-45AB-98B1-87673025AEB8}" uniqueName="7" name="variable_type" queryTableFieldId="33"/>
    <tableColumn id="8" xr3:uid="{51001349-D473-4E64-A07F-D416DA56606E}" uniqueName="8" name="variable_value" queryTableFieldId="34"/>
    <tableColumn id="9" xr3:uid="{E87AC889-8861-4587-AF1B-766DC4095850}" uniqueName="9" name="target" queryTableFieldId="35"/>
    <tableColumn id="10" xr3:uid="{54487AA5-CCA4-4836-804A-9F5A7F11CD75}" uniqueName="10" name="targetRounded" queryTableFieldId="36"/>
    <tableColumn id="11" xr3:uid="{1182F4DF-E182-4383-8594-B35AADC8957E}" uniqueName="11" name="AssignDay" queryTableFieldId="37"/>
    <tableColumn id="12" xr3:uid="{09339260-99B7-420D-844E-309BE43E91B1}" uniqueName="12" name="AssignCounts" queryTableFieldId="38"/>
    <tableColumn id="13" xr3:uid="{C6118FB5-8534-48BB-AAFD-E430A7841B0F}" uniqueName="13" name="totalCells" queryTableFieldId="39"/>
    <tableColumn id="14" xr3:uid="{3290F1B8-E01B-49D7-844E-43131102A430}" uniqueName="14" name="cummAssingCount" queryTableFieldId="40"/>
    <tableColumn id="15" xr3:uid="{F80F8557-70B5-49CD-871A-BE27F311C7D5}" uniqueName="15" name="openCells" queryTableFieldId="41"/>
    <tableColumn id="16" xr3:uid="{27EDEC2F-DD57-43C4-AE82-1DF83F1BC921}" uniqueName="16" name="reportSession" queryTableFieldId="42"/>
    <tableColumn id="17" xr3:uid="{1A85553E-5E80-411F-BAEF-7F831115A586}" uniqueName="17" name="last_refreshed" queryTableFieldId="4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3BBEC10-4124-4D51-9671-A5415DF2A95D}" name="tab_9" displayName="tab_9" ref="A474:Q491" tableType="queryTable" totalsRowShown="0">
  <autoFilter ref="A474:Q491" xr:uid="{83BBEC10-4124-4D51-9671-A5415DF2A95D}"/>
  <tableColumns count="17">
    <tableColumn id="1" xr3:uid="{C4DB520C-1F31-4516-9FB5-69C18C97F95D}" uniqueName="1" name="status" queryTableFieldId="27"/>
    <tableColumn id="2" xr3:uid="{8A230317-8692-46C6-BE27-42E88760D0FB}" uniqueName="2" name="day" queryTableFieldId="28"/>
    <tableColumn id="3" xr3:uid="{E807FF42-89EA-4ABA-8131-0C7805EAD85C}" uniqueName="3" name="Yr" queryTableFieldId="29"/>
    <tableColumn id="4" xr3:uid="{9020A936-ED28-431B-84B4-1EC7795D04FD}" uniqueName="4" name="Wk" queryTableFieldId="30"/>
    <tableColumn id="5" xr3:uid="{2096265A-26C4-4864-A759-BCDF3D5AF8F6}" uniqueName="5" name="WeekOf" queryTableFieldId="31"/>
    <tableColumn id="6" xr3:uid="{33D2B9E3-5BA6-45D4-AA67-4EEC83BEC997}" uniqueName="6" name="ageband" queryTableFieldId="32"/>
    <tableColumn id="7" xr3:uid="{462A1726-0703-406D-85BB-12381218F1C1}" uniqueName="7" name="variable_type" queryTableFieldId="33"/>
    <tableColumn id="8" xr3:uid="{DA105903-8B08-49CB-84DE-A1874AB8CFFC}" uniqueName="8" name="variable_value" queryTableFieldId="34"/>
    <tableColumn id="9" xr3:uid="{2D2ACECB-A55B-4A5C-87E7-BA9DDF15BEBE}" uniqueName="9" name="target" queryTableFieldId="35"/>
    <tableColumn id="10" xr3:uid="{4E385CF5-F907-4485-82F6-FA21193C983D}" uniqueName="10" name="targetRounded" queryTableFieldId="36"/>
    <tableColumn id="11" xr3:uid="{0C79D9B8-5960-4C25-A257-8261A6F432B7}" uniqueName="11" name="AssignDay" queryTableFieldId="37"/>
    <tableColumn id="12" xr3:uid="{FBFAED69-D09A-4224-9D92-E29B1888351C}" uniqueName="12" name="AssignCounts" queryTableFieldId="38"/>
    <tableColumn id="13" xr3:uid="{9E891A78-5C24-4A2C-B6CA-BE4091BBF79A}" uniqueName="13" name="totalCells" queryTableFieldId="39"/>
    <tableColumn id="14" xr3:uid="{FB4C60DF-DB49-4F65-8090-4991CC823665}" uniqueName="14" name="cummAssingCount" queryTableFieldId="40"/>
    <tableColumn id="15" xr3:uid="{80124D49-E899-4203-97F4-2C116114B166}" uniqueName="15" name="openCells" queryTableFieldId="41"/>
    <tableColumn id="16" xr3:uid="{AEB43734-B5E8-4D98-9A64-A3A1BAB15E17}" uniqueName="16" name="reportSession" queryTableFieldId="42"/>
    <tableColumn id="17" xr3:uid="{31711440-4609-41D5-9A00-27CB57439E64}" uniqueName="17" name="last_refreshed" queryTableFieldId="4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DE852C0-E9B8-48B7-A9DB-248E64548B96}" name="tab_10" displayName="tab_10" ref="A511:Q528" tableType="queryTable" totalsRowShown="0">
  <autoFilter ref="A511:Q528" xr:uid="{DDE852C0-E9B8-48B7-A9DB-248E64548B96}"/>
  <tableColumns count="17">
    <tableColumn id="1" xr3:uid="{DFE241D1-E77A-412C-BA5C-DD871CAEE886}" uniqueName="1" name="status" queryTableFieldId="27"/>
    <tableColumn id="2" xr3:uid="{BD3C97BD-7047-43AE-A641-53903B6A3315}" uniqueName="2" name="day" queryTableFieldId="28"/>
    <tableColumn id="3" xr3:uid="{CAA859DC-639E-408D-BCC3-1A49A6A0269E}" uniqueName="3" name="Yr" queryTableFieldId="29"/>
    <tableColumn id="4" xr3:uid="{E6308120-F143-4F6E-83B2-F7DD926547A2}" uniqueName="4" name="Wk" queryTableFieldId="30"/>
    <tableColumn id="5" xr3:uid="{6806B7D7-420D-45D2-8153-D305D0095478}" uniqueName="5" name="WeekOf" queryTableFieldId="31"/>
    <tableColumn id="6" xr3:uid="{9A809C40-42BC-426B-BFE6-475B0BBB3DD9}" uniqueName="6" name="ageband" queryTableFieldId="32"/>
    <tableColumn id="7" xr3:uid="{6C480A2D-8358-418E-9F73-89B4A4E1C8BE}" uniqueName="7" name="variable_type" queryTableFieldId="33"/>
    <tableColumn id="8" xr3:uid="{2081227F-06DA-40E2-8F6F-A2D993D7DAE2}" uniqueName="8" name="variable_value" queryTableFieldId="34"/>
    <tableColumn id="9" xr3:uid="{120936AB-1063-45A0-A6F4-5C2F41243113}" uniqueName="9" name="target" queryTableFieldId="35"/>
    <tableColumn id="10" xr3:uid="{B7FA2A36-7A7A-4634-873A-DE42A44C3E47}" uniqueName="10" name="targetRounded" queryTableFieldId="36"/>
    <tableColumn id="11" xr3:uid="{C9D5CF3C-A94A-4089-8992-C3F97956AA8C}" uniqueName="11" name="AssignDay" queryTableFieldId="37"/>
    <tableColumn id="12" xr3:uid="{ED7564F0-6F8D-4F5F-9871-AC9B271300D3}" uniqueName="12" name="AssignCounts" queryTableFieldId="38"/>
    <tableColumn id="13" xr3:uid="{246EBD3B-0BB1-4E0F-AC4C-D37EEFA60A4A}" uniqueName="13" name="totalCells" queryTableFieldId="39"/>
    <tableColumn id="14" xr3:uid="{1E9A0DA9-0CDC-4A4B-AF9D-A4DD49FEBEBE}" uniqueName="14" name="cummAssingCount" queryTableFieldId="40"/>
    <tableColumn id="15" xr3:uid="{02AF8646-9A6B-4F1C-A0A9-C4DB2C6EC077}" uniqueName="15" name="openCells" queryTableFieldId="41"/>
    <tableColumn id="16" xr3:uid="{20472C0E-F4C2-46BD-BB58-16CAECACBB14}" uniqueName="16" name="reportSession" queryTableFieldId="42"/>
    <tableColumn id="17" xr3:uid="{6CE65020-899E-41AD-BCD7-5DA77CC09EF6}" uniqueName="17" name="last_refreshed" queryTableFieldId="4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DA21E85-239E-4945-8786-22621EDC164C}" name="tab_11" displayName="tab_11" ref="A548:Q565" tableType="queryTable" totalsRowShown="0">
  <autoFilter ref="A548:Q565" xr:uid="{ADA21E85-239E-4945-8786-22621EDC164C}"/>
  <tableColumns count="17">
    <tableColumn id="1" xr3:uid="{D30741E6-3B62-4C02-ADAA-6538D3B66E45}" uniqueName="1" name="status" queryTableFieldId="27"/>
    <tableColumn id="2" xr3:uid="{2C86AF20-2F1D-4BCA-BF2C-E594C18E3B1C}" uniqueName="2" name="day" queryTableFieldId="28"/>
    <tableColumn id="3" xr3:uid="{9D253C5C-A057-43C5-8AF0-38DF9132D82E}" uniqueName="3" name="Yr" queryTableFieldId="29"/>
    <tableColumn id="4" xr3:uid="{C2CF8E62-C0DC-465E-A3EB-D69811137DB7}" uniqueName="4" name="Wk" queryTableFieldId="30"/>
    <tableColumn id="5" xr3:uid="{6F41F00C-CD62-4DCF-8A4B-4A1ED88805F9}" uniqueName="5" name="WeekOf" queryTableFieldId="31"/>
    <tableColumn id="6" xr3:uid="{21D5F814-3268-4F47-A2E7-F8D00F6349A7}" uniqueName="6" name="ageband" queryTableFieldId="32"/>
    <tableColumn id="7" xr3:uid="{A1012243-4D74-4358-92CE-48DC15D0EB96}" uniqueName="7" name="variable_type" queryTableFieldId="33"/>
    <tableColumn id="8" xr3:uid="{FDBF6673-FF4A-4658-999E-C9F9A9D09F08}" uniqueName="8" name="variable_value" queryTableFieldId="34"/>
    <tableColumn id="9" xr3:uid="{5F8F4BD4-952C-46AA-BCB7-AB5D5124BE64}" uniqueName="9" name="target" queryTableFieldId="35"/>
    <tableColumn id="10" xr3:uid="{29BE6A1F-0201-4457-9D88-C0011744094A}" uniqueName="10" name="targetRounded" queryTableFieldId="36"/>
    <tableColumn id="11" xr3:uid="{835A6D4F-2D75-44CC-80C7-A68F15F71DFC}" uniqueName="11" name="AssignDay" queryTableFieldId="37"/>
    <tableColumn id="12" xr3:uid="{3FA7F4D9-9714-4883-AA24-6CDD35C7399E}" uniqueName="12" name="AssignCounts" queryTableFieldId="38"/>
    <tableColumn id="13" xr3:uid="{C8B9D846-FC5F-41C4-B067-165AB5BF49FE}" uniqueName="13" name="totalCells" queryTableFieldId="39"/>
    <tableColumn id="14" xr3:uid="{184D9DAC-5CA2-4BE7-86B2-F3D903F87B19}" uniqueName="14" name="cummAssingCount" queryTableFieldId="40"/>
    <tableColumn id="15" xr3:uid="{F69FE39C-8ADC-49F1-AC3C-1B9B14D829F8}" uniqueName="15" name="openCells" queryTableFieldId="41"/>
    <tableColumn id="16" xr3:uid="{8489BEE1-6A18-44C0-B058-F665A7919A8C}" uniqueName="16" name="reportSession" queryTableFieldId="42"/>
    <tableColumn id="17" xr3:uid="{38917457-2D6C-4153-8D80-17112ECAE675}" uniqueName="17" name="last_refreshed" queryTableFieldId="4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AE93FE-0753-403E-8CF5-07DDAE8CDD79}" name="tab_12" displayName="tab_12" ref="A585:Q602" tableType="queryTable" totalsRowShown="0">
  <autoFilter ref="A585:Q602" xr:uid="{25AE93FE-0753-403E-8CF5-07DDAE8CDD79}"/>
  <tableColumns count="17">
    <tableColumn id="1" xr3:uid="{ED63E3A1-3B39-4461-BBD1-3D44944EE51E}" uniqueName="1" name="status" queryTableFieldId="27"/>
    <tableColumn id="2" xr3:uid="{615FF49E-D4AB-45FC-B5B8-81508D197C28}" uniqueName="2" name="day" queryTableFieldId="28"/>
    <tableColumn id="3" xr3:uid="{C187B070-19C3-4FAF-95A7-BEB2A2C8581B}" uniqueName="3" name="Yr" queryTableFieldId="29"/>
    <tableColumn id="4" xr3:uid="{BF7632C0-269B-4CBD-8DFE-C40EB82833C1}" uniqueName="4" name="Wk" queryTableFieldId="30"/>
    <tableColumn id="5" xr3:uid="{97D8FEDA-E712-4238-99C8-90C1FCA0C539}" uniqueName="5" name="WeekOf" queryTableFieldId="31"/>
    <tableColumn id="6" xr3:uid="{84161C96-82C7-482E-990E-5C9DBA88A24B}" uniqueName="6" name="ageband" queryTableFieldId="32"/>
    <tableColumn id="7" xr3:uid="{F15AA6D2-92E1-4F81-95C5-0340DDD90BDF}" uniqueName="7" name="variable_type" queryTableFieldId="33"/>
    <tableColumn id="8" xr3:uid="{A95AD9C1-AAB2-404C-9E59-DE5BECA801DE}" uniqueName="8" name="variable_value" queryTableFieldId="34"/>
    <tableColumn id="9" xr3:uid="{5D64BF5F-B3E3-4BD0-B289-FE84A2129BAE}" uniqueName="9" name="target" queryTableFieldId="35"/>
    <tableColumn id="10" xr3:uid="{94568B67-E365-4103-8456-F10B0A8C135D}" uniqueName="10" name="targetRounded" queryTableFieldId="36"/>
    <tableColumn id="11" xr3:uid="{FF4F5A76-0506-4EC1-A513-2BC01C217850}" uniqueName="11" name="AssignDay" queryTableFieldId="37"/>
    <tableColumn id="12" xr3:uid="{995B635C-AA7E-4413-898E-FED17D69D3BB}" uniqueName="12" name="AssignCounts" queryTableFieldId="38"/>
    <tableColumn id="13" xr3:uid="{03244CA2-BAD7-46C1-945A-7D08DDDF5EB8}" uniqueName="13" name="totalCells" queryTableFieldId="39"/>
    <tableColumn id="14" xr3:uid="{22D57470-00D1-42D6-9515-8E6BCC3D2F1D}" uniqueName="14" name="cummAssingCount" queryTableFieldId="40"/>
    <tableColumn id="15" xr3:uid="{040200D3-78BB-4C9B-B512-CE798FA4CF86}" uniqueName="15" name="openCells" queryTableFieldId="41"/>
    <tableColumn id="16" xr3:uid="{83EF4EF1-331D-4577-931C-E587E6EE1A8F}" uniqueName="16" name="reportSession" queryTableFieldId="42"/>
    <tableColumn id="17" xr3:uid="{F07640D3-6DA3-4406-B09A-621D30EAD105}" uniqueName="17" name="last_refreshed" queryTableFieldId="4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A481F9F-4F5D-4C7B-B73F-D830D23B3C46}" name="tab_13" displayName="tab_13" ref="A622:Q656" tableType="queryTable" totalsRowShown="0">
  <autoFilter ref="A622:Q656" xr:uid="{EA481F9F-4F5D-4C7B-B73F-D830D23B3C46}"/>
  <tableColumns count="17">
    <tableColumn id="1" xr3:uid="{284A0D0F-E611-423B-BB64-4C07E806FBF6}" uniqueName="1" name="status" queryTableFieldId="27"/>
    <tableColumn id="2" xr3:uid="{E92188BA-4ADC-4088-9824-6B0842DFE020}" uniqueName="2" name="day" queryTableFieldId="28"/>
    <tableColumn id="3" xr3:uid="{5469D0A6-8409-4883-9A8A-18869FA417C6}" uniqueName="3" name="Yr" queryTableFieldId="29"/>
    <tableColumn id="4" xr3:uid="{E0054A14-453F-4B52-B0BC-8133603C33E5}" uniqueName="4" name="Wk" queryTableFieldId="30"/>
    <tableColumn id="5" xr3:uid="{EC82094F-A6E4-46AC-9F8A-8781CB420FAA}" uniqueName="5" name="WeekOf" queryTableFieldId="31"/>
    <tableColumn id="6" xr3:uid="{F55198CD-2298-4543-82A1-F41941C3F63B}" uniqueName="6" name="ageband" queryTableFieldId="32"/>
    <tableColumn id="7" xr3:uid="{64A5B32C-639E-4983-823D-FB6AEA5B0DBB}" uniqueName="7" name="variable_type" queryTableFieldId="33"/>
    <tableColumn id="8" xr3:uid="{A182407C-32BC-4EBB-A2F9-7102D2FBA4A4}" uniqueName="8" name="variable_value" queryTableFieldId="34"/>
    <tableColumn id="9" xr3:uid="{125104CE-3A7E-41D0-A7D2-2349E10835FA}" uniqueName="9" name="target" queryTableFieldId="35"/>
    <tableColumn id="10" xr3:uid="{226F6E3C-D509-423B-BA9A-BBC14322AC35}" uniqueName="10" name="targetRounded" queryTableFieldId="36"/>
    <tableColumn id="11" xr3:uid="{14F0F77E-A043-4E52-97DB-1857B6C23426}" uniqueName="11" name="AssignDay" queryTableFieldId="37"/>
    <tableColumn id="12" xr3:uid="{883C9560-0FBA-4262-89D1-BFABD4640D57}" uniqueName="12" name="AssignCounts" queryTableFieldId="38"/>
    <tableColumn id="13" xr3:uid="{78A75977-3A63-4D2B-ABB3-339076FD830C}" uniqueName="13" name="totalCells" queryTableFieldId="39"/>
    <tableColumn id="14" xr3:uid="{A2B3DF9A-E53A-4171-84B7-CAEAC6B6C008}" uniqueName="14" name="cummAssingCount" queryTableFieldId="40"/>
    <tableColumn id="15" xr3:uid="{55B002DD-0925-4414-89EF-56D64C425DC1}" uniqueName="15" name="openCells" queryTableFieldId="41"/>
    <tableColumn id="16" xr3:uid="{37A6A5AF-6AB0-440F-A1B8-78D9621493AF}" uniqueName="16" name="reportSession" queryTableFieldId="42"/>
    <tableColumn id="17" xr3:uid="{AC9FD29D-52A3-4244-BDFE-581A17FE66E7}" uniqueName="17" name="last_refreshed" queryTableFieldId="43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15F3ACDD-8831-46D5-B22E-F22F3F4DD503}" name="tab_14" displayName="tab_14" ref="A676:Q710" tableType="queryTable" totalsRowShown="0">
  <autoFilter ref="A676:Q710" xr:uid="{15F3ACDD-8831-46D5-B22E-F22F3F4DD503}"/>
  <tableColumns count="17">
    <tableColumn id="1" xr3:uid="{71F1F68A-92B4-4FC1-8B23-B7D8DE592864}" uniqueName="1" name="status" queryTableFieldId="27"/>
    <tableColumn id="2" xr3:uid="{727EEFB6-92A0-44F0-ADB7-AD05CF566A7F}" uniqueName="2" name="day" queryTableFieldId="28"/>
    <tableColumn id="3" xr3:uid="{66AAB1EC-724F-444A-9F46-8DD5FB614FE8}" uniqueName="3" name="Yr" queryTableFieldId="29"/>
    <tableColumn id="4" xr3:uid="{56FB07C9-4EE5-43DE-AC4D-0D58D13A7F13}" uniqueName="4" name="Wk" queryTableFieldId="30"/>
    <tableColumn id="5" xr3:uid="{4AEC3BF0-BF92-408B-8502-814F26FFBE30}" uniqueName="5" name="WeekOf" queryTableFieldId="31"/>
    <tableColumn id="6" xr3:uid="{53AFA895-D1E4-49B8-9A8C-268B1DA3ED86}" uniqueName="6" name="ageband" queryTableFieldId="32"/>
    <tableColumn id="7" xr3:uid="{4CB2C7F2-5AE1-4E5C-B8E4-1F63DF28E190}" uniqueName="7" name="variable_type" queryTableFieldId="33"/>
    <tableColumn id="8" xr3:uid="{BDD251D7-AA30-4440-A7BA-E96562A8E2B1}" uniqueName="8" name="variable_value" queryTableFieldId="34"/>
    <tableColumn id="9" xr3:uid="{AB24415C-3C5F-4F10-9C8C-C01430CD36D3}" uniqueName="9" name="target" queryTableFieldId="35"/>
    <tableColumn id="10" xr3:uid="{19AB981E-9ED1-49AA-82B2-7B8E2D0FED67}" uniqueName="10" name="targetRounded" queryTableFieldId="36"/>
    <tableColumn id="11" xr3:uid="{BC3421C2-F3A4-44C9-AEDE-400C43CC888D}" uniqueName="11" name="AssignDay" queryTableFieldId="37"/>
    <tableColumn id="12" xr3:uid="{FC9E165A-4C97-4857-AD20-C667D84E0E67}" uniqueName="12" name="AssignCounts" queryTableFieldId="38"/>
    <tableColumn id="13" xr3:uid="{B897692E-E385-4A4A-AB19-A7A529330271}" uniqueName="13" name="totalCells" queryTableFieldId="39"/>
    <tableColumn id="14" xr3:uid="{D1E947A6-3C7E-47E5-A2FB-62BCA1EEF34B}" uniqueName="14" name="cummAssingCount" queryTableFieldId="40"/>
    <tableColumn id="15" xr3:uid="{D1603549-23DA-412C-8717-24D2676B819D}" uniqueName="15" name="openCells" queryTableFieldId="41"/>
    <tableColumn id="16" xr3:uid="{284999BD-9740-4C0D-B329-A0D2A7E7A062}" uniqueName="16" name="reportSession" queryTableFieldId="42"/>
    <tableColumn id="17" xr3:uid="{CE700CA1-6C85-4BDA-95F9-D622BCD7846C}" uniqueName="17" name="last_refreshed" queryTableFieldId="4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C874BB-FBC6-F041-A70A-E2D6D38340CC}" name="Table_ExternalData_148" displayName="Table_ExternalData_148" ref="H15:M91" tableType="queryTable" totalsRowShown="0" headerRowDxfId="2028" dataDxfId="2027">
  <autoFilter ref="H15:M91" xr:uid="{6AC874BB-FBC6-F041-A70A-E2D6D38340CC}"/>
  <tableColumns count="6">
    <tableColumn id="1" xr3:uid="{61C3F18C-23B5-A242-A356-0041ED22AEBA}" uniqueName="1" name="study_id" queryTableFieldId="1" dataDxfId="2026"/>
    <tableColumn id="2" xr3:uid="{CBBF5C4F-6130-B547-8AD2-2DE2699CB1C3}" uniqueName="2" name="study_type_description" queryTableFieldId="24" dataDxfId="2025"/>
    <tableColumn id="3" xr3:uid="{BDD5250A-5E98-9442-87B2-69EF113F737F}" uniqueName="3" name="sort_order" queryTableFieldId="25" dataDxfId="2024"/>
    <tableColumn id="4" xr3:uid="{3F7A1F2A-F419-AC47-B369-7C94A678A86E}" uniqueName="4" name="study_name" queryTableFieldId="26" dataDxfId="2023"/>
    <tableColumn id="5" xr3:uid="{ACFAC623-EADC-DE42-9E18-3DCE33AABD11}" uniqueName="5" name="study_acronym" queryTableFieldId="27" dataDxfId="2022"/>
    <tableColumn id="6" xr3:uid="{890E0F08-0F90-D748-B5BC-35064333F240}" uniqueName="6" name="study_status" queryTableFieldId="28" dataDxfId="20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B44C12-2882-CD4E-9A85-B7D4E67FD1AC}" name="Table_ExternalData_1453467" displayName="Table_ExternalData_1453467" ref="A331:V439" tableType="queryTable" totalsRowShown="0">
  <autoFilter ref="A331:V439" xr:uid="{6AB44C12-2882-CD4E-9A85-B7D4E67FD1AC}"/>
  <tableColumns count="22">
    <tableColumn id="2" xr3:uid="{AE0912CC-7688-974B-A602-A8E00EB727F8}" uniqueName="2" name="ageband" queryTableFieldId="2"/>
    <tableColumn id="3" xr3:uid="{917B61C6-D00D-144D-970C-88CD5BE76A15}" uniqueName="3" name="gradeband" queryTableFieldId="3"/>
    <tableColumn id="4" xr3:uid="{FC6F89F5-5F78-CC46-900A-E83711E456E1}" uniqueName="4" name="report" queryTableFieldId="4"/>
    <tableColumn id="52" xr3:uid="{6B8D6C37-926D-3A46-A3BC-816EA19AF097}" uniqueName="52" name="1" queryTableFieldId="176" dataDxfId="2020"/>
    <tableColumn id="53" xr3:uid="{F5E3F2BA-595A-0749-AF0F-9932F025488C}" uniqueName="53" name="2" queryTableFieldId="177" dataDxfId="2019"/>
    <tableColumn id="54" xr3:uid="{709A9253-ADFC-5E4C-921F-151944AC3EC3}" uniqueName="54" name="3" queryTableFieldId="178" dataDxfId="2018"/>
    <tableColumn id="55" xr3:uid="{008C6060-633F-8541-BFD5-833B9F3B44B3}" uniqueName="55" name="4" queryTableFieldId="179" dataDxfId="2017"/>
    <tableColumn id="56" xr3:uid="{8BDD153C-E023-2843-87EC-2AD3E483D89C}" uniqueName="56" name="5" queryTableFieldId="180" dataDxfId="2016"/>
    <tableColumn id="67" xr3:uid="{9D2866DB-320F-4E45-9663-3916703FC530}" uniqueName="67" name="AS" queryTableFieldId="197" dataDxfId="2015"/>
    <tableColumn id="68" xr3:uid="{545CED6A-0D8F-2C47-BA24-53BEB90AC374}" uniqueName="68" name="BL" queryTableFieldId="198" dataDxfId="2014"/>
    <tableColumn id="69" xr3:uid="{4432ABA5-FA63-6144-9C11-D3304EF9A430}" uniqueName="69" name="HI" queryTableFieldId="199" dataDxfId="2013"/>
    <tableColumn id="70" xr3:uid="{849598A7-FC04-4F49-8724-BD4A7BDB4A07}" uniqueName="70" name="OT" queryTableFieldId="200" dataDxfId="2012"/>
    <tableColumn id="71" xr3:uid="{1AA4AAF0-9513-2D4A-8F58-CB68911413D9}" uniqueName="71" name="WH" queryTableFieldId="201" dataDxfId="2011"/>
    <tableColumn id="14" xr3:uid="{7A5B6748-353A-DD43-BDC3-D04045EA4FC7}" uniqueName="14" name="MW" queryTableFieldId="14" dataDxfId="2010"/>
    <tableColumn id="15" xr3:uid="{46D75919-A5E7-8445-BA8C-23F732E63A72}" uniqueName="15" name="NE" queryTableFieldId="15" dataDxfId="2009"/>
    <tableColumn id="16" xr3:uid="{08D0275F-1040-9449-9457-CC4D12E7954D}" uniqueName="16" name="SO" queryTableFieldId="16" dataDxfId="2008"/>
    <tableColumn id="17" xr3:uid="{BB43B2E3-A146-0A42-83E9-AB6D8CAE3F6F}" uniqueName="17" name="WE" queryTableFieldId="17" dataDxfId="2007"/>
    <tableColumn id="72" xr3:uid="{C0EB4EDD-1EC2-B544-BDC2-FC390F6F4E34}" uniqueName="72" name="F" queryTableFieldId="202" dataDxfId="2006"/>
    <tableColumn id="73" xr3:uid="{7B2EA526-8318-3945-84AA-7D3B7122ABB9}" uniqueName="73" name="M" queryTableFieldId="203" dataDxfId="2005"/>
    <tableColumn id="5" xr3:uid="{F8B4D32D-ECB0-45A9-B0B1-BA49A90DF6D5}" uniqueName="5" name="OTHER" queryTableFieldId="211" dataDxfId="2004"/>
    <tableColumn id="20" xr3:uid="{1CFE8D3D-891E-E740-9C80-755582F98BF4}" uniqueName="20" name="Total" queryTableFieldId="20" dataDxfId="2003"/>
    <tableColumn id="1" xr3:uid="{28A4E882-3E58-0F48-8BB4-E52192656164}" uniqueName="1" name="LastRefreshed" queryTableFieldId="127" dataDxfId="200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E858D1-52D4-4BFC-8E0E-D98C16CF473D}" name="Table_ExternalData_1453467625" displayName="Table_ExternalData_1453467625" ref="A531:V567" tableType="queryTable" totalsRowShown="0">
  <autoFilter ref="A531:V567" xr:uid="{C4E858D1-52D4-4BFC-8E0E-D98C16CF473D}"/>
  <tableColumns count="22">
    <tableColumn id="2" xr3:uid="{9F0AA1D7-AC74-4B88-9950-0463576CE78E}" uniqueName="2" name="ageband" queryTableFieldId="2"/>
    <tableColumn id="3" xr3:uid="{5E2A4F68-5875-42BF-9D87-A22107152C09}" uniqueName="3" name="gradeband" queryTableFieldId="3"/>
    <tableColumn id="4" xr3:uid="{B325F970-8DF5-459C-8A6B-643BB4FCA2BF}" uniqueName="4" name="report" queryTableFieldId="4"/>
    <tableColumn id="52" xr3:uid="{06DDB761-C76F-4CCD-ADEE-5D3B5E4B9C31}" uniqueName="52" name="1" queryTableFieldId="176" dataDxfId="2001" totalsRowDxfId="2000"/>
    <tableColumn id="53" xr3:uid="{0717C322-19EE-49E4-B4DC-5A9272098019}" uniqueName="53" name="2" queryTableFieldId="177" dataDxfId="1999" totalsRowDxfId="1998"/>
    <tableColumn id="54" xr3:uid="{C9BAD901-2324-49F7-8271-05EFE5828A74}" uniqueName="54" name="3" queryTableFieldId="178" dataDxfId="1997" totalsRowDxfId="1996"/>
    <tableColumn id="55" xr3:uid="{74C48570-FA6F-44BC-803D-B1EE87202971}" uniqueName="55" name="4" queryTableFieldId="179" dataDxfId="1995" totalsRowDxfId="1994"/>
    <tableColumn id="56" xr3:uid="{6F360C5C-9E59-4A77-B111-EAC55BAD9939}" uniqueName="56" name="5" queryTableFieldId="180" dataDxfId="1993" totalsRowDxfId="1992"/>
    <tableColumn id="67" xr3:uid="{77BD0E3D-2284-43AB-AD81-18DCDC75BD48}" uniqueName="67" name="AS" queryTableFieldId="197" dataDxfId="1991" totalsRowDxfId="1990"/>
    <tableColumn id="68" xr3:uid="{4E00A710-C8A1-4ADC-9A31-3D68464F7341}" uniqueName="68" name="BL" queryTableFieldId="198" dataDxfId="1989" totalsRowDxfId="1988"/>
    <tableColumn id="69" xr3:uid="{083FA821-C9CA-42CF-81B8-D8F67DBD0B4D}" uniqueName="69" name="HI" queryTableFieldId="199" dataDxfId="1987" totalsRowDxfId="1986"/>
    <tableColumn id="70" xr3:uid="{2D37F3DA-073B-409B-87EA-4DCD06B23ACD}" uniqueName="70" name="OT" queryTableFieldId="200" dataDxfId="1985" totalsRowDxfId="1984"/>
    <tableColumn id="71" xr3:uid="{D9D31D0B-69E1-4013-A243-FA111B02190A}" uniqueName="71" name="WH" queryTableFieldId="201" dataDxfId="1983" totalsRowDxfId="1982"/>
    <tableColumn id="14" xr3:uid="{BDA8CA1C-A586-4B4F-8091-C6600319A7AD}" uniqueName="14" name="MW" queryTableFieldId="14" dataDxfId="1981" totalsRowDxfId="1980"/>
    <tableColumn id="15" xr3:uid="{9B5E2070-D085-4E46-8CC3-0B1D24D549CA}" uniqueName="15" name="NE" queryTableFieldId="15" dataDxfId="1979" totalsRowDxfId="1978"/>
    <tableColumn id="16" xr3:uid="{CED53F2B-A545-4F86-8018-525999BF0415}" uniqueName="16" name="SO" queryTableFieldId="16" dataDxfId="1977" totalsRowDxfId="1976"/>
    <tableColumn id="17" xr3:uid="{E320C0CA-2188-41AD-98BC-F2B968F72DFF}" uniqueName="17" name="WE" queryTableFieldId="17" dataDxfId="1975" totalsRowDxfId="1974"/>
    <tableColumn id="72" xr3:uid="{CD2EAF78-ECF4-4EC3-9D6D-8A7AA608DAA5}" uniqueName="72" name="F" queryTableFieldId="202" dataDxfId="1973" totalsRowDxfId="1972"/>
    <tableColumn id="73" xr3:uid="{20B8E24B-09B4-49FC-B77F-4C2B4421874A}" uniqueName="73" name="M" queryTableFieldId="203" dataDxfId="1971" totalsRowDxfId="1970"/>
    <tableColumn id="5" xr3:uid="{3DD767B7-F436-4945-861A-E8A940E3379D}" uniqueName="5" name="OTHER" queryTableFieldId="211" dataDxfId="1969" totalsRowDxfId="1968"/>
    <tableColumn id="20" xr3:uid="{06A96F92-E01A-46EB-B49C-9172A7D19C28}" uniqueName="20" name="Total" queryTableFieldId="20" dataDxfId="1967" totalsRowDxfId="1966"/>
    <tableColumn id="1" xr3:uid="{AFF07906-B87B-4314-9607-930A13FD35A8}" uniqueName="1" name="LastRefreshed" queryTableFieldId="127" dataDxfId="196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ED9C73-21E9-48E0-BA0A-71C65DC585FC}" name="Table_ExternalData_145346762641" displayName="Table_ExternalData_145346762641" ref="A731:V839" tableType="queryTable" totalsRowShown="0">
  <autoFilter ref="A731:V839" xr:uid="{8FED9C73-21E9-48E0-BA0A-71C65DC585FC}"/>
  <tableColumns count="22">
    <tableColumn id="2" xr3:uid="{DB0C311B-065D-4F6B-9484-569CC69062E0}" uniqueName="2" name="ageband" queryTableFieldId="2"/>
    <tableColumn id="3" xr3:uid="{591F97CB-D877-4147-A24A-F60E69D4C633}" uniqueName="3" name="gradeband" queryTableFieldId="3"/>
    <tableColumn id="4" xr3:uid="{ADF3CAEE-5697-4F97-9457-ABE619371094}" uniqueName="4" name="report" queryTableFieldId="4"/>
    <tableColumn id="52" xr3:uid="{F3A0997A-64BF-425B-B069-BD7C344542BC}" uniqueName="52" name="1" queryTableFieldId="176" dataDxfId="1964"/>
    <tableColumn id="53" xr3:uid="{93C4C8F4-3C05-4703-B9D6-6B655605F980}" uniqueName="53" name="2" queryTableFieldId="177" dataDxfId="1963"/>
    <tableColumn id="54" xr3:uid="{8502F203-7D6A-40B0-8D4A-DBFF8B043E7E}" uniqueName="54" name="3" queryTableFieldId="178" dataDxfId="1962"/>
    <tableColumn id="55" xr3:uid="{6A6F5A17-AC79-4CBE-9EAC-98B0EECD0C8A}" uniqueName="55" name="4" queryTableFieldId="179" dataDxfId="1961"/>
    <tableColumn id="56" xr3:uid="{E55504DA-4B6F-4057-9570-E6A87B11D5A9}" uniqueName="56" name="5" queryTableFieldId="180" dataDxfId="1960"/>
    <tableColumn id="67" xr3:uid="{4A9008A4-51BD-4C0A-AF38-BF1E2E2FF8EC}" uniqueName="67" name="AS" queryTableFieldId="197" dataDxfId="1959"/>
    <tableColumn id="68" xr3:uid="{A49F3443-6EE9-4E8F-993F-CE2B31B28A1E}" uniqueName="68" name="BL" queryTableFieldId="198" dataDxfId="1958"/>
    <tableColumn id="69" xr3:uid="{60ABFAF1-32F7-4F5C-B428-3FE2D1CEB517}" uniqueName="69" name="HI" queryTableFieldId="199" dataDxfId="1957"/>
    <tableColumn id="70" xr3:uid="{CC139C96-4877-4D11-B60E-85949B520654}" uniqueName="70" name="OT" queryTableFieldId="200" dataDxfId="1956"/>
    <tableColumn id="71" xr3:uid="{0DF9AD5F-330E-458D-BDBA-03EDDB11FDD4}" uniqueName="71" name="WH" queryTableFieldId="201" dataDxfId="1955"/>
    <tableColumn id="14" xr3:uid="{759F4341-5EC1-4ADA-B613-C63AEE6D0B1D}" uniqueName="14" name="MW" queryTableFieldId="14" dataDxfId="1954"/>
    <tableColumn id="15" xr3:uid="{E93BEC63-E16D-4AD3-BCD7-6CAFC4B1147A}" uniqueName="15" name="NE" queryTableFieldId="15" dataDxfId="1953"/>
    <tableColumn id="16" xr3:uid="{B333536F-3464-4C42-B4AD-2926585201C2}" uniqueName="16" name="SO" queryTableFieldId="16" dataDxfId="1952"/>
    <tableColumn id="17" xr3:uid="{B62D9600-3ABA-4137-A69B-02D120C1F331}" uniqueName="17" name="WE" queryTableFieldId="17" dataDxfId="1951"/>
    <tableColumn id="72" xr3:uid="{E70F6818-D741-47DC-A4EF-12E2D38D6332}" uniqueName="72" name="F" queryTableFieldId="202" dataDxfId="1950"/>
    <tableColumn id="73" xr3:uid="{E2B3321D-3355-4694-8C04-A6E1B075DF5E}" uniqueName="73" name="M" queryTableFieldId="203" dataDxfId="1949"/>
    <tableColumn id="5" xr3:uid="{50A57F86-169C-4DAA-8CA3-4A0890C97343}" uniqueName="5" name="OTHER" queryTableFieldId="211" dataDxfId="1948"/>
    <tableColumn id="20" xr3:uid="{D787E23A-41BC-4738-BD51-CC8642C21B7E}" uniqueName="20" name="Total" queryTableFieldId="20" dataDxfId="1947"/>
    <tableColumn id="1" xr3:uid="{B7ADB340-FF41-4174-A6EA-D979BC4E2559}" uniqueName="1" name="LastRefreshed" queryTableFieldId="127" dataDxfId="194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EF7566-FE2C-46F6-8626-FCA241AE56DD}" name="Table_ExternalData_1453467626413" displayName="Table_ExternalData_1453467626413" ref="A931:V958" tableType="queryTable" totalsRowShown="0">
  <autoFilter ref="A931:V958" xr:uid="{E9EF7566-FE2C-46F6-8626-FCA241AE56DD}"/>
  <tableColumns count="22">
    <tableColumn id="2" xr3:uid="{57669314-9E2C-4885-A948-7402FD2126E0}" uniqueName="2" name="ageband" queryTableFieldId="2"/>
    <tableColumn id="3" xr3:uid="{F66D1420-D1CE-40B1-86F7-71B79B87D1C0}" uniqueName="3" name="gradeband" queryTableFieldId="3"/>
    <tableColumn id="4" xr3:uid="{D0197032-8B89-4329-A881-0693544C886A}" uniqueName="4" name="report" queryTableFieldId="4"/>
    <tableColumn id="52" xr3:uid="{D400BB6F-4085-4576-ACA2-03EA9E932211}" uniqueName="52" name="1" queryTableFieldId="176" dataDxfId="1945"/>
    <tableColumn id="53" xr3:uid="{2BBE483F-2290-4581-AB18-C86EC074F9C5}" uniqueName="53" name="2" queryTableFieldId="177" dataDxfId="1944"/>
    <tableColumn id="54" xr3:uid="{B051314B-264B-4AF8-BCED-750AC9664E27}" uniqueName="54" name="3" queryTableFieldId="178" dataDxfId="1943"/>
    <tableColumn id="55" xr3:uid="{125D1E2F-E1DF-45E8-8EDE-340FFDDB8D6A}" uniqueName="55" name="4" queryTableFieldId="179" dataDxfId="1942"/>
    <tableColumn id="56" xr3:uid="{0C753F5E-02A6-4111-B61B-424F4F155685}" uniqueName="56" name="5" queryTableFieldId="180" dataDxfId="1941"/>
    <tableColumn id="67" xr3:uid="{1E9E9D15-4F29-4C1F-836B-43AF543CECD8}" uniqueName="67" name="AS" queryTableFieldId="197" dataDxfId="1940"/>
    <tableColumn id="68" xr3:uid="{77D20A9C-93A5-4BF9-BAE6-F898E5CC24A1}" uniqueName="68" name="BL" queryTableFieldId="198" dataDxfId="1939"/>
    <tableColumn id="69" xr3:uid="{98FCDD40-E08F-402D-813A-975D2FE9F7C0}" uniqueName="69" name="HI" queryTableFieldId="199" dataDxfId="1938"/>
    <tableColumn id="70" xr3:uid="{8582F0D4-D150-4AC2-9DDB-E3A368D39D9A}" uniqueName="70" name="OT" queryTableFieldId="200" dataDxfId="1937"/>
    <tableColumn id="71" xr3:uid="{B877C1CD-0A49-4EB2-A5EA-9232C85DD95F}" uniqueName="71" name="WH" queryTableFieldId="201" dataDxfId="1936"/>
    <tableColumn id="14" xr3:uid="{1CDE0161-1013-46E9-BF44-B6C5A2735A8F}" uniqueName="14" name="MW" queryTableFieldId="14" dataDxfId="1935"/>
    <tableColumn id="15" xr3:uid="{4AF2227A-6709-4A05-900E-7290AD669305}" uniqueName="15" name="NE" queryTableFieldId="15" dataDxfId="1934"/>
    <tableColumn id="16" xr3:uid="{7238B02F-07E6-4B65-82E1-962F95681FF3}" uniqueName="16" name="SO" queryTableFieldId="16" dataDxfId="1933"/>
    <tableColumn id="17" xr3:uid="{4EBE5CF8-9849-497E-A33B-B67BEFD8070F}" uniqueName="17" name="WE" queryTableFieldId="17" dataDxfId="1932"/>
    <tableColumn id="72" xr3:uid="{00296BF3-61A0-4893-8FF5-7A8E3C5EF22E}" uniqueName="72" name="F" queryTableFieldId="202" dataDxfId="1931"/>
    <tableColumn id="73" xr3:uid="{8F6AD7B8-9DA1-40C1-B547-AC05780E23CD}" uniqueName="73" name="M" queryTableFieldId="203" dataDxfId="1930"/>
    <tableColumn id="5" xr3:uid="{4BFE8B3C-F54C-4653-870A-3064C21B2DEC}" uniqueName="5" name="OTHER" queryTableFieldId="211" dataDxfId="1929"/>
    <tableColumn id="20" xr3:uid="{983F243D-04B2-44C9-B324-1023A4D282F8}" uniqueName="20" name="Total" queryTableFieldId="20" dataDxfId="1928"/>
    <tableColumn id="1" xr3:uid="{B49BCB29-928F-433B-BEAE-7809D829296E}" uniqueName="1" name="LastRefreshed" queryTableFieldId="127" dataDxfId="1927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E9020-D334-41DD-8684-4E81503BC868}" name="Table_ExternalData_14534676264135" displayName="Table_ExternalData_14534676264135" ref="A1131:V1149" tableType="queryTable" totalsRowShown="0">
  <autoFilter ref="A1131:V1149" xr:uid="{2C8E9020-D334-41DD-8684-4E81503BC868}"/>
  <tableColumns count="22">
    <tableColumn id="2" xr3:uid="{F29F4FCB-164B-4023-BFC1-50777A58F1F0}" uniqueName="2" name="ageband" queryTableFieldId="2"/>
    <tableColumn id="3" xr3:uid="{498031A7-02DA-42E9-8FBE-044159058DE8}" uniqueName="3" name="gradeband" queryTableFieldId="3"/>
    <tableColumn id="4" xr3:uid="{C8A94E81-DA20-42FA-8CCC-46FA21A9DC7F}" uniqueName="4" name="report" queryTableFieldId="4"/>
    <tableColumn id="52" xr3:uid="{76A329A6-8AB4-4575-8837-BCDAC1A76506}" uniqueName="52" name="1" queryTableFieldId="176" dataDxfId="1926"/>
    <tableColumn id="53" xr3:uid="{4512579B-7674-4626-91C3-A7CA2E21207B}" uniqueName="53" name="2" queryTableFieldId="177" dataDxfId="1925"/>
    <tableColumn id="54" xr3:uid="{54AE0D31-364B-4AD9-A379-846D80743632}" uniqueName="54" name="3" queryTableFieldId="178" dataDxfId="1924"/>
    <tableColumn id="55" xr3:uid="{CB28D896-C231-43A8-BDC2-1B8C5FA0AFCF}" uniqueName="55" name="4" queryTableFieldId="179" dataDxfId="1923"/>
    <tableColumn id="56" xr3:uid="{3C398D46-EAF7-4909-8D26-A68985E48B57}" uniqueName="56" name="5" queryTableFieldId="180" dataDxfId="1922"/>
    <tableColumn id="67" xr3:uid="{76CB1862-CF3D-40E4-A417-FE96D8F0E0BC}" uniqueName="67" name="AS" queryTableFieldId="197" dataDxfId="1921"/>
    <tableColumn id="68" xr3:uid="{A9903651-FFA1-49BC-8241-6368E99D556D}" uniqueName="68" name="BL" queryTableFieldId="198" dataDxfId="1920"/>
    <tableColumn id="69" xr3:uid="{D70EAE82-C80A-4FA0-BF9A-0392B52E4FAB}" uniqueName="69" name="HI" queryTableFieldId="199" dataDxfId="1919"/>
    <tableColumn id="70" xr3:uid="{9FFF87EC-B2E1-46B2-9792-0E7A5BB2BF9B}" uniqueName="70" name="OT" queryTableFieldId="200" dataDxfId="1918"/>
    <tableColumn id="71" xr3:uid="{AECF2542-B137-4FD8-89D0-8FE27BDDAD7A}" uniqueName="71" name="WH" queryTableFieldId="201" dataDxfId="1917"/>
    <tableColumn id="14" xr3:uid="{583EA337-8B0A-4932-A9DF-8DEDCBABC190}" uniqueName="14" name="MW" queryTableFieldId="14" dataDxfId="1916"/>
    <tableColumn id="15" xr3:uid="{3AE4C5A2-E797-4361-B5E3-3F6722C1BE83}" uniqueName="15" name="NE" queryTableFieldId="15" dataDxfId="1915"/>
    <tableColumn id="16" xr3:uid="{40D4A435-7184-465C-96C1-37902AD92B5D}" uniqueName="16" name="SO" queryTableFieldId="16" dataDxfId="1914"/>
    <tableColumn id="17" xr3:uid="{25C2D561-5E99-4D27-8E2F-551A542B08CA}" uniqueName="17" name="WE" queryTableFieldId="17" dataDxfId="1913"/>
    <tableColumn id="72" xr3:uid="{A7266A68-117D-49FC-B720-C293F0A0445F}" uniqueName="72" name="F" queryTableFieldId="202" dataDxfId="1912"/>
    <tableColumn id="73" xr3:uid="{49C01209-590C-416C-B285-C836F2FA3A98}" uniqueName="73" name="M" queryTableFieldId="203" dataDxfId="1911"/>
    <tableColumn id="5" xr3:uid="{B195DAC7-4F26-40BA-916B-134496686541}" uniqueName="5" name="OTHER" queryTableFieldId="211" dataDxfId="1910"/>
    <tableColumn id="20" xr3:uid="{EAC26637-50B7-4583-8A9B-55DE24406EF0}" uniqueName="20" name="Total" queryTableFieldId="20" dataDxfId="1909"/>
    <tableColumn id="1" xr3:uid="{3F167908-4DC4-4DE2-8078-FC1020F3C943}" uniqueName="1" name="LastRefreshed" queryTableFieldId="127" dataDxfId="190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23E0F-C06A-4C5D-9E0E-443E698969AF}" name="Table_ExternalData_1454112" displayName="Table_ExternalData_1454112" ref="A3:AK99" tableType="queryTable" totalsRowShown="0">
  <autoFilter ref="A3:AK99" xr:uid="{E1F23E0F-C06A-4C5D-9E0E-443E698969AF}"/>
  <tableColumns count="37">
    <tableColumn id="2" xr3:uid="{F3CD480A-1F36-401C-8E59-419FA9EFFBB2}" uniqueName="2" name="ageband" queryTableFieldId="2"/>
    <tableColumn id="3" xr3:uid="{B3C5FB85-2A45-4601-A606-6224F11D8A08}" uniqueName="3" name="gradeband" queryTableFieldId="3"/>
    <tableColumn id="4" xr3:uid="{290C79F0-E716-4974-B9ED-B07D987FCD87}" uniqueName="4" name="report" queryTableFieldId="4"/>
    <tableColumn id="5" xr3:uid="{217AD784-6BDE-4369-BF63-92CE6173458C}" uniqueName="5" name="AS1" queryTableFieldId="151"/>
    <tableColumn id="6" xr3:uid="{56ED85C9-E613-4CFD-B144-03A82E0CE1E0}" uniqueName="6" name="AS2" queryTableFieldId="152"/>
    <tableColumn id="7" xr3:uid="{9F8D91A4-735D-4D2F-8AA5-6FB78B59D761}" uniqueName="7" name="AS3" queryTableFieldId="153"/>
    <tableColumn id="8" xr3:uid="{890C9CBB-5D5F-4E01-A56D-44429AD5FB78}" uniqueName="8" name="AS4" queryTableFieldId="154"/>
    <tableColumn id="9" xr3:uid="{0F411D48-10FE-4AA1-B42B-54ACD5208B2D}" uniqueName="9" name="AS5" queryTableFieldId="155"/>
    <tableColumn id="10" xr3:uid="{BBFBA6B6-CAE6-4425-BDF0-A967715864A1}" uniqueName="10" name="BL1" queryTableFieldId="156"/>
    <tableColumn id="11" xr3:uid="{BF59FC40-374E-4737-8BFF-60D08D4F0966}" uniqueName="11" name="BL2" queryTableFieldId="157"/>
    <tableColumn id="12" xr3:uid="{27DB4074-0EAD-4C85-80C6-5F471EAB190E}" uniqueName="12" name="BL3" queryTableFieldId="158"/>
    <tableColumn id="13" xr3:uid="{89DBC552-62C8-45C0-9F34-4159A6A324B9}" uniqueName="13" name="BL4" queryTableFieldId="159"/>
    <tableColumn id="18" xr3:uid="{0EFE9671-695E-4FBB-B93E-716437591B75}" uniqueName="18" name="BL5" queryTableFieldId="160"/>
    <tableColumn id="21" xr3:uid="{CE0BC0AB-20A8-43F8-8068-EB0A18FB4531}" uniqueName="21" name="HI1" queryTableFieldId="161"/>
    <tableColumn id="22" xr3:uid="{6AC64484-1689-4575-9D48-1006A50A2772}" uniqueName="22" name="HI2" queryTableFieldId="162"/>
    <tableColumn id="23" xr3:uid="{4354E98D-A02B-47AD-82E5-FB2A42EF7D6E}" uniqueName="23" name="HI3" queryTableFieldId="163"/>
    <tableColumn id="24" xr3:uid="{FFD0E3B3-599A-4054-85B7-49BE062BA172}" uniqueName="24" name="HI4" queryTableFieldId="164"/>
    <tableColumn id="25" xr3:uid="{B22B901E-75AB-449D-A340-FDB0A01A88FB}" uniqueName="25" name="HI5" queryTableFieldId="165"/>
    <tableColumn id="26" xr3:uid="{5DC9D876-FF16-4E12-BCCC-42D8BE9D237C}" uniqueName="26" name="OT1" queryTableFieldId="166"/>
    <tableColumn id="27" xr3:uid="{E6D3B28C-BC4A-4375-8927-A85D45600606}" uniqueName="27" name="OT2" queryTableFieldId="167"/>
    <tableColumn id="28" xr3:uid="{895A1D64-7B00-4C74-BA48-9A8E49E3907A}" uniqueName="28" name="OT3" queryTableFieldId="168"/>
    <tableColumn id="29" xr3:uid="{8BDC3550-E568-4597-BB51-FEBAE121BC34}" uniqueName="29" name="OT4" queryTableFieldId="169"/>
    <tableColumn id="30" xr3:uid="{D51E1888-9C22-4004-8EA0-8A6382400C7F}" uniqueName="30" name="OT5" queryTableFieldId="170"/>
    <tableColumn id="31" xr3:uid="{3561CDBE-0C7A-4339-B20B-B0501968DB4C}" uniqueName="31" name="WH1" queryTableFieldId="171"/>
    <tableColumn id="32" xr3:uid="{A41DE60B-B0BE-44FA-8CAB-62D6534DFF2A}" uniqueName="32" name="WH2" queryTableFieldId="172"/>
    <tableColumn id="33" xr3:uid="{B49BEB72-D786-4971-A13A-F2142B420521}" uniqueName="33" name="WH3" queryTableFieldId="173"/>
    <tableColumn id="34" xr3:uid="{9E2677C0-0F14-4FBE-8C1E-C3EFF78AE26A}" uniqueName="34" name="WH4" queryTableFieldId="174"/>
    <tableColumn id="35" xr3:uid="{D718522B-BE1E-4712-ABC8-59762D47E86A}" uniqueName="35" name="WH5" queryTableFieldId="175"/>
    <tableColumn id="14" xr3:uid="{2DAD414D-2ED7-43EA-843C-74B87B0116FF}" uniqueName="14" name="MW" queryTableFieldId="14"/>
    <tableColumn id="15" xr3:uid="{60C75873-DC39-4DD0-8B88-F574A716A053}" uniqueName="15" name="NE" queryTableFieldId="15"/>
    <tableColumn id="16" xr3:uid="{0128737D-4594-45C6-AF9E-74BA3C48733F}" uniqueName="16" name="SO" queryTableFieldId="16"/>
    <tableColumn id="17" xr3:uid="{5F6797A2-0714-43CD-B6A6-165DDE51AB63}" uniqueName="17" name="WE" queryTableFieldId="17"/>
    <tableColumn id="50" xr3:uid="{38A9DBE1-3FCD-4A15-B5A0-D0B68BD5DC66}" uniqueName="50" name="F" queryTableFieldId="119"/>
    <tableColumn id="51" xr3:uid="{6B7EE106-F448-41E4-A412-D29616D5440D}" uniqueName="51" name="M" queryTableFieldId="120"/>
    <tableColumn id="19" xr3:uid="{E1E033F4-9C17-4BB4-9534-FA951B5BF3C0}" uniqueName="19" name="OTHER" queryTableFieldId="149"/>
    <tableColumn id="20" xr3:uid="{41749587-9626-4A5D-A8B3-905582BC1112}" uniqueName="20" name="Total" queryTableFieldId="20"/>
    <tableColumn id="1" xr3:uid="{460F0713-7AFA-4FD7-9512-412429172E43}" uniqueName="1" name="LastRefreshed" queryTableFieldId="7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B59F36-1E65-4BC6-9A08-5B0CE0C2E194}" name="Table_ExternalData_145346762641354" displayName="Table_ExternalData_145346762641354" ref="A1331:V1439" tableType="queryTable" totalsRowShown="0">
  <autoFilter ref="A1331:V1439" xr:uid="{90B59F36-1E65-4BC6-9A08-5B0CE0C2E194}"/>
  <tableColumns count="22">
    <tableColumn id="2" xr3:uid="{D8DB7DED-047C-4AA5-A123-FB5BE24EBE80}" uniqueName="2" name="ageband" queryTableFieldId="2"/>
    <tableColumn id="3" xr3:uid="{3C72AB07-C758-4E75-8539-38B9CE2D0C49}" uniqueName="3" name="gradeband" queryTableFieldId="3"/>
    <tableColumn id="4" xr3:uid="{4AC0416E-8E91-4E4A-9D70-ACD3CC6CEA9B}" uniqueName="4" name="report" queryTableFieldId="4"/>
    <tableColumn id="52" xr3:uid="{52473221-BAD9-4910-842C-DBB787598D5D}" uniqueName="52" name="1" queryTableFieldId="176" dataDxfId="1907"/>
    <tableColumn id="53" xr3:uid="{8A3C8C9D-AF52-4EFF-940C-E824739A7F71}" uniqueName="53" name="2" queryTableFieldId="177" dataDxfId="1906"/>
    <tableColumn id="54" xr3:uid="{A68CC255-2BE2-41EB-8D7E-19981EBFEE44}" uniqueName="54" name="3" queryTableFieldId="178" dataDxfId="1905"/>
    <tableColumn id="55" xr3:uid="{0162DF75-F210-49C4-8D50-6B91980BD960}" uniqueName="55" name="4" queryTableFieldId="179" dataDxfId="1904"/>
    <tableColumn id="56" xr3:uid="{96820C9F-EDBD-42A7-8741-40D85FD2D0E0}" uniqueName="56" name="5" queryTableFieldId="180" dataDxfId="1903"/>
    <tableColumn id="67" xr3:uid="{8270263B-0014-4567-9B4D-9322FC5C73B8}" uniqueName="67" name="AS" queryTableFieldId="197" dataDxfId="1902"/>
    <tableColumn id="68" xr3:uid="{BD4E4460-DD0B-4C78-ABD1-51A9FC0593B9}" uniqueName="68" name="BL" queryTableFieldId="198" dataDxfId="1901"/>
    <tableColumn id="69" xr3:uid="{D9497DB1-02DE-4B8B-A1D3-A1410B683A4B}" uniqueName="69" name="HI" queryTableFieldId="199" dataDxfId="1900"/>
    <tableColumn id="70" xr3:uid="{36B15833-61A7-42C4-B243-798764090E69}" uniqueName="70" name="OT" queryTableFieldId="200" dataDxfId="1899"/>
    <tableColumn id="71" xr3:uid="{CE8BE688-5E1E-4EAA-9974-73C6087E53BB}" uniqueName="71" name="WH" queryTableFieldId="201" dataDxfId="1898"/>
    <tableColumn id="14" xr3:uid="{DFA6EDE2-251A-4702-B8F0-104E98892FF2}" uniqueName="14" name="MW" queryTableFieldId="14" dataDxfId="1897"/>
    <tableColumn id="15" xr3:uid="{E5D5752D-94DB-4224-A809-6AE7F0CB8CF8}" uniqueName="15" name="NE" queryTableFieldId="15" dataDxfId="1896"/>
    <tableColumn id="16" xr3:uid="{0B55AE4A-13CC-4BD8-8AB3-E0929942D83D}" uniqueName="16" name="SO" queryTableFieldId="16" dataDxfId="1895"/>
    <tableColumn id="17" xr3:uid="{6FE14E11-EC2A-49FC-BAD4-E805ECB0E8AE}" uniqueName="17" name="WE" queryTableFieldId="17" dataDxfId="1894"/>
    <tableColumn id="72" xr3:uid="{2B88E066-A537-4013-945F-19635AB39088}" uniqueName="72" name="F" queryTableFieldId="202" dataDxfId="1893"/>
    <tableColumn id="73" xr3:uid="{8208D071-5A68-45CC-86B4-D819CF516DA3}" uniqueName="73" name="M" queryTableFieldId="203" dataDxfId="1892"/>
    <tableColumn id="5" xr3:uid="{BA3F4A9C-69A7-412A-B324-E32DB4E305FB}" uniqueName="5" name="OTHER" queryTableFieldId="211" dataDxfId="1891"/>
    <tableColumn id="20" xr3:uid="{4AAC1845-C0E0-4F1D-95CF-074AA6799C8D}" uniqueName="20" name="Total" queryTableFieldId="20" dataDxfId="1890"/>
    <tableColumn id="1" xr3:uid="{2403449D-6C2B-4839-82C4-668DAA00A450}" uniqueName="1" name="LastRefreshed" queryTableFieldId="127" dataDxfId="188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8F0131-E515-43FF-847E-519375567231}" name="Table_ExternalData_1453467626413546" displayName="Table_ExternalData_1453467626413546" ref="A1531:V1639" tableType="queryTable" totalsRowShown="0">
  <autoFilter ref="A1531:V1639" xr:uid="{FA8F0131-E515-43FF-847E-519375567231}"/>
  <tableColumns count="22">
    <tableColumn id="2" xr3:uid="{92CA70DB-FE21-4843-8AE6-15EE1960BB74}" uniqueName="2" name="ageband" queryTableFieldId="2"/>
    <tableColumn id="3" xr3:uid="{E7D81B79-31F6-484D-BC4B-3613509994BE}" uniqueName="3" name="gradeband" queryTableFieldId="3"/>
    <tableColumn id="4" xr3:uid="{F72ED315-8E0B-4734-B516-568EB5E45150}" uniqueName="4" name="report" queryTableFieldId="4"/>
    <tableColumn id="52" xr3:uid="{C8092E16-F8A4-4D12-A3B4-16C102F84332}" uniqueName="52" name="1" queryTableFieldId="176" dataDxfId="1888"/>
    <tableColumn id="53" xr3:uid="{81B01027-CB31-47CB-8624-FE9302EE4B4A}" uniqueName="53" name="2" queryTableFieldId="177" dataDxfId="1887"/>
    <tableColumn id="54" xr3:uid="{B2CC145C-4920-4C7D-ADA4-7239FB2DF6AB}" uniqueName="54" name="3" queryTableFieldId="178" dataDxfId="1886"/>
    <tableColumn id="55" xr3:uid="{0D2C1FB3-2CA6-4518-BF00-1BEFD02B6187}" uniqueName="55" name="4" queryTableFieldId="179" dataDxfId="1885"/>
    <tableColumn id="56" xr3:uid="{F677FB71-0963-46F8-98ED-50EA8295AFB9}" uniqueName="56" name="5" queryTableFieldId="180" dataDxfId="1884"/>
    <tableColumn id="67" xr3:uid="{CB3269B2-1297-4BE8-922D-5265E0589926}" uniqueName="67" name="AS" queryTableFieldId="197" dataDxfId="1883"/>
    <tableColumn id="68" xr3:uid="{2C61024F-CA32-402C-A361-1A6C0308C9C0}" uniqueName="68" name="BL" queryTableFieldId="198" dataDxfId="1882"/>
    <tableColumn id="69" xr3:uid="{48E13434-F72A-475F-A908-E37DA048E810}" uniqueName="69" name="HI" queryTableFieldId="199" dataDxfId="1881"/>
    <tableColumn id="70" xr3:uid="{61DF8987-F385-4012-8663-75E3A94C33C7}" uniqueName="70" name="OT" queryTableFieldId="200" dataDxfId="1880"/>
    <tableColumn id="71" xr3:uid="{0A509B86-EA82-4A47-9631-2B6B82241FE3}" uniqueName="71" name="WH" queryTableFieldId="201" dataDxfId="1879"/>
    <tableColumn id="14" xr3:uid="{26517542-7166-41B9-904C-1472F58AE12D}" uniqueName="14" name="MW" queryTableFieldId="14" dataDxfId="1878"/>
    <tableColumn id="15" xr3:uid="{E924EBCA-F884-4CB9-9778-5066BADBBF78}" uniqueName="15" name="NE" queryTableFieldId="15" dataDxfId="1877"/>
    <tableColumn id="16" xr3:uid="{5EB2EED7-06BC-4728-839C-D89FEB187A95}" uniqueName="16" name="SO" queryTableFieldId="16" dataDxfId="1876"/>
    <tableColumn id="17" xr3:uid="{2B9AD546-8DEC-4D84-BDE2-6AB0348F839D}" uniqueName="17" name="WE" queryTableFieldId="17" dataDxfId="1875"/>
    <tableColumn id="72" xr3:uid="{26ECB798-7714-4AD3-A413-25E131C541CA}" uniqueName="72" name="F" queryTableFieldId="202" dataDxfId="1874"/>
    <tableColumn id="73" xr3:uid="{913A4670-1E98-4E8E-B137-90B859FD3CA3}" uniqueName="73" name="M" queryTableFieldId="203" dataDxfId="1873"/>
    <tableColumn id="5" xr3:uid="{44F27C0E-643C-4C3F-BF3A-26B9CBA35254}" uniqueName="5" name="OTHER" queryTableFieldId="211" dataDxfId="1872"/>
    <tableColumn id="20" xr3:uid="{D1A36A96-ADB3-4B1C-BAB8-94D425C0BF65}" uniqueName="20" name="Total" queryTableFieldId="20" dataDxfId="1871"/>
    <tableColumn id="1" xr3:uid="{9ED7A34D-B549-46E5-B7B0-310FC708901C}" uniqueName="1" name="LastRefreshed" queryTableFieldId="127" dataDxfId="187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F30873-B696-4930-902D-2A265F24AFEC}" name="Table_ExternalData_14534676264135469" displayName="Table_ExternalData_14534676264135469" ref="A1731:V1839" tableType="queryTable" totalsRowShown="0">
  <autoFilter ref="A1731:V1839" xr:uid="{03F30873-B696-4930-902D-2A265F24AFEC}"/>
  <tableColumns count="22">
    <tableColumn id="2" xr3:uid="{9212A384-AEA9-457F-8907-9D73462F3642}" uniqueName="2" name="ageband" queryTableFieldId="2"/>
    <tableColumn id="3" xr3:uid="{E0155032-D74A-4FBF-B77D-5F30C445DC37}" uniqueName="3" name="gradeband" queryTableFieldId="3"/>
    <tableColumn id="4" xr3:uid="{C47A1B93-A0FE-4382-B1C7-0FDB883BFA54}" uniqueName="4" name="report" queryTableFieldId="4"/>
    <tableColumn id="52" xr3:uid="{602FC582-28D3-4DD1-B934-698B03093D21}" uniqueName="52" name="1" queryTableFieldId="176" dataDxfId="1869"/>
    <tableColumn id="53" xr3:uid="{A5FE5071-B9E0-4A05-8F38-E47F6267F329}" uniqueName="53" name="2" queryTableFieldId="177" dataDxfId="1868"/>
    <tableColumn id="54" xr3:uid="{2CBB2A9E-EB68-44F1-A3DE-F076D0DB394D}" uniqueName="54" name="3" queryTableFieldId="178" dataDxfId="1867"/>
    <tableColumn id="55" xr3:uid="{C372F8DF-733E-4049-BA7F-F4484F33F5D2}" uniqueName="55" name="4" queryTableFieldId="179" dataDxfId="1866"/>
    <tableColumn id="56" xr3:uid="{E9B76CB7-D931-453D-9B5F-4DF4C60AB5DF}" uniqueName="56" name="5" queryTableFieldId="180" dataDxfId="1865"/>
    <tableColumn id="67" xr3:uid="{9CAD83E8-9FBC-4DFE-94BB-299A61803B64}" uniqueName="67" name="AS" queryTableFieldId="197" dataDxfId="1864"/>
    <tableColumn id="68" xr3:uid="{8280C63C-6382-431C-9F66-7893946B9359}" uniqueName="68" name="BL" queryTableFieldId="198" dataDxfId="1863"/>
    <tableColumn id="69" xr3:uid="{9B154758-E7FF-4121-8136-88F7275C13D1}" uniqueName="69" name="HI" queryTableFieldId="199" dataDxfId="1862"/>
    <tableColumn id="70" xr3:uid="{1FCA54CF-B9B7-424B-A35B-53894E03891D}" uniqueName="70" name="OT" queryTableFieldId="200" dataDxfId="1861"/>
    <tableColumn id="71" xr3:uid="{065F62AE-1C22-4427-BB93-A61D0075AE73}" uniqueName="71" name="WH" queryTableFieldId="201" dataDxfId="1860"/>
    <tableColumn id="14" xr3:uid="{E893BC45-5802-4554-A71A-CCA4B478DCDF}" uniqueName="14" name="MW" queryTableFieldId="14" dataDxfId="1859"/>
    <tableColumn id="15" xr3:uid="{2EED735B-5C59-4322-963C-9434D307084E}" uniqueName="15" name="NE" queryTableFieldId="15" dataDxfId="1858"/>
    <tableColumn id="16" xr3:uid="{625A2FAF-81B3-435C-9779-B088B2D94AFD}" uniqueName="16" name="SO" queryTableFieldId="16" dataDxfId="1857"/>
    <tableColumn id="17" xr3:uid="{5AE3B10D-9828-44C8-8EBC-2F42F54AB238}" uniqueName="17" name="WE" queryTableFieldId="17" dataDxfId="1856"/>
    <tableColumn id="72" xr3:uid="{0D94AD4C-AF92-49CF-97C8-1058647C5779}" uniqueName="72" name="F" queryTableFieldId="202" dataDxfId="1855"/>
    <tableColumn id="73" xr3:uid="{883BE6D6-2AF4-4CD8-809C-0A07F1CD2B93}" uniqueName="73" name="M" queryTableFieldId="203" dataDxfId="1854"/>
    <tableColumn id="5" xr3:uid="{632B69D0-CFF8-4EAE-8CD4-F95AD294C1D3}" uniqueName="5" name="OTHER" queryTableFieldId="211" dataDxfId="1853"/>
    <tableColumn id="20" xr3:uid="{D5659212-BD13-40D8-9371-01D9ACFBDE44}" uniqueName="20" name="Total" queryTableFieldId="20" dataDxfId="1852"/>
    <tableColumn id="1" xr3:uid="{90850413-334A-415F-8148-7EBFDE1D122C}" uniqueName="1" name="LastRefreshed" queryTableFieldId="127" dataDxfId="1851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F3B1F11-407A-46AD-9D3B-E5515346775E}" name="Table_ExternalData_145346710" displayName="Table_ExternalData_145346710" ref="BA3:BV99" tableType="queryTable" totalsRowShown="0">
  <autoFilter ref="BA3:BV99" xr:uid="{0F3B1F11-407A-46AD-9D3B-E5515346775E}"/>
  <tableColumns count="22">
    <tableColumn id="2" xr3:uid="{AAD4B5F3-6780-4F10-98F0-1BE9156CF125}" uniqueName="2" name="ageband" queryTableFieldId="2"/>
    <tableColumn id="3" xr3:uid="{E42CFC8A-B213-45AB-B1A2-74A3950878CF}" uniqueName="3" name="gradeband" queryTableFieldId="3"/>
    <tableColumn id="4" xr3:uid="{A3150FC9-7B53-4B5A-913D-61D00971939F}" uniqueName="4" name="report" queryTableFieldId="4"/>
    <tableColumn id="52" xr3:uid="{9E5D8165-0CD9-4B1A-B78D-C0A22CE7A88F}" uniqueName="52" name="1" queryTableFieldId="176" dataDxfId="1850"/>
    <tableColumn id="53" xr3:uid="{27283723-B372-4113-8923-2BDA87951D4B}" uniqueName="53" name="2" queryTableFieldId="177" dataDxfId="1849"/>
    <tableColumn id="54" xr3:uid="{0239DFF5-ED79-4130-8209-4CA423488451}" uniqueName="54" name="3" queryTableFieldId="178" dataDxfId="1848"/>
    <tableColumn id="55" xr3:uid="{70FB2FDE-162A-4EB3-B5E5-53D48D95B94F}" uniqueName="55" name="4" queryTableFieldId="179" dataDxfId="1847"/>
    <tableColumn id="56" xr3:uid="{0E63B08D-3B23-47BC-92FC-73E07F42A3E6}" uniqueName="56" name="5" queryTableFieldId="180" dataDxfId="1846"/>
    <tableColumn id="67" xr3:uid="{B8FF8DDD-CD5D-43AB-BED4-A10D1CFA398E}" uniqueName="67" name="AS" queryTableFieldId="197" dataDxfId="1845"/>
    <tableColumn id="68" xr3:uid="{0C7E3FA9-3531-45F4-AB14-8CB675FF85D7}" uniqueName="68" name="BL" queryTableFieldId="198" dataDxfId="1844"/>
    <tableColumn id="69" xr3:uid="{48E08C00-2442-4AD7-9053-1AF4427F7D0C}" uniqueName="69" name="HI" queryTableFieldId="199" dataDxfId="1843"/>
    <tableColumn id="70" xr3:uid="{C1BF7F13-B519-414B-A49D-FBB1674D70BB}" uniqueName="70" name="OT" queryTableFieldId="200" dataDxfId="1842"/>
    <tableColumn id="71" xr3:uid="{5864C862-E10E-4CA2-AB13-8C4B7379BDDF}" uniqueName="71" name="WH" queryTableFieldId="201" dataDxfId="1841"/>
    <tableColumn id="14" xr3:uid="{C0F6047B-070A-4B87-A870-56180D2452D4}" uniqueName="14" name="MW" queryTableFieldId="14" dataDxfId="1840"/>
    <tableColumn id="15" xr3:uid="{1D786852-608E-476F-8B92-E312C412EE38}" uniqueName="15" name="NE" queryTableFieldId="15" dataDxfId="1839"/>
    <tableColumn id="16" xr3:uid="{2303A7DA-A808-4970-BA29-964E90CAC31F}" uniqueName="16" name="SO" queryTableFieldId="16" dataDxfId="1838"/>
    <tableColumn id="17" xr3:uid="{2E13935D-F497-4095-98DA-69FF762F0177}" uniqueName="17" name="WE" queryTableFieldId="17" dataDxfId="1837"/>
    <tableColumn id="72" xr3:uid="{40885214-5389-46D4-B662-B72A28564D89}" uniqueName="72" name="F" queryTableFieldId="202" dataDxfId="1836"/>
    <tableColumn id="73" xr3:uid="{FAB0A678-DEB3-4B2B-8D7C-F525BC842858}" uniqueName="73" name="M" queryTableFieldId="203" dataDxfId="1835"/>
    <tableColumn id="5" xr3:uid="{E1F83C60-70D6-4045-A2AB-2FD87CDD69BD}" uniqueName="5" name="OTHER" queryTableFieldId="211" dataDxfId="1834"/>
    <tableColumn id="20" xr3:uid="{EE247C1C-E6BC-4BCA-A04D-E307079198A7}" uniqueName="20" name="Total" queryTableFieldId="20" dataDxfId="1833"/>
    <tableColumn id="1" xr3:uid="{2A9B3FCF-9D84-470B-99EC-53EF98118078}" uniqueName="1" name="LastRefreshed" queryTableFieldId="127" dataDxfId="1832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F8B726-2095-4D40-8311-B16A9E2CEEF6}" name="Table_ExternalData_1453467626413546911" displayName="Table_ExternalData_1453467626413546911" ref="A1931:V1958" tableType="queryTable" totalsRowShown="0">
  <autoFilter ref="A1931:V1958" xr:uid="{A0F8B726-2095-4D40-8311-B16A9E2CEEF6}"/>
  <tableColumns count="22">
    <tableColumn id="2" xr3:uid="{0F555D5D-BE73-4175-AF72-E8BDC1486DE5}" uniqueName="2" name="ageband" queryTableFieldId="2"/>
    <tableColumn id="3" xr3:uid="{D8005E61-C9A8-4673-B8D0-C346FC34D6E7}" uniqueName="3" name="gradeband" queryTableFieldId="3"/>
    <tableColumn id="4" xr3:uid="{CEE4B9A2-0EC9-4286-B562-4B21B993B3C8}" uniqueName="4" name="report" queryTableFieldId="4"/>
    <tableColumn id="52" xr3:uid="{82397B78-58DC-4213-8CCA-2E5A8D153A14}" uniqueName="52" name="1" queryTableFieldId="176" dataDxfId="1831"/>
    <tableColumn id="53" xr3:uid="{039DC3A4-BA60-4A54-B013-B3A6EFFDDBD0}" uniqueName="53" name="2" queryTableFieldId="177" dataDxfId="1830"/>
    <tableColumn id="54" xr3:uid="{447804B2-1136-4A67-9C9A-7A1E914FC05A}" uniqueName="54" name="3" queryTableFieldId="178" dataDxfId="1829"/>
    <tableColumn id="55" xr3:uid="{24AD5135-6916-4EEE-919B-E4B9578005A5}" uniqueName="55" name="4" queryTableFieldId="179" dataDxfId="1828"/>
    <tableColumn id="56" xr3:uid="{9713F553-D35F-4C0E-A577-BE9926E6A8A6}" uniqueName="56" name="5" queryTableFieldId="180" dataDxfId="1827"/>
    <tableColumn id="67" xr3:uid="{22EBEBCE-A33F-4C57-B011-FEBA696F3906}" uniqueName="67" name="AS" queryTableFieldId="197" dataDxfId="1826"/>
    <tableColumn id="68" xr3:uid="{F0D6672F-8FFD-44F8-9D22-BB381F73CDD6}" uniqueName="68" name="BL" queryTableFieldId="198" dataDxfId="1825"/>
    <tableColumn id="69" xr3:uid="{247FE88A-144F-4289-BF96-28277D6E20A6}" uniqueName="69" name="HI" queryTableFieldId="199" dataDxfId="1824"/>
    <tableColumn id="70" xr3:uid="{095B6737-7EE8-48E4-95FA-CAD3BAB308B8}" uniqueName="70" name="OT" queryTableFieldId="200" dataDxfId="1823"/>
    <tableColumn id="71" xr3:uid="{4D224918-7790-41C2-8B95-52A089CBFA58}" uniqueName="71" name="WH" queryTableFieldId="201" dataDxfId="1822"/>
    <tableColumn id="14" xr3:uid="{DA549BF5-6105-42E0-A3D3-CC01574E842A}" uniqueName="14" name="MW" queryTableFieldId="14" dataDxfId="1821"/>
    <tableColumn id="15" xr3:uid="{08A973BC-E82C-4447-9D03-16433A564659}" uniqueName="15" name="NE" queryTableFieldId="15" dataDxfId="1820"/>
    <tableColumn id="16" xr3:uid="{FAAAC667-F905-44F6-B23E-4F821F87ED29}" uniqueName="16" name="SO" queryTableFieldId="16" dataDxfId="1819"/>
    <tableColumn id="17" xr3:uid="{1E9359A8-9051-433E-8FAB-F3F12D657441}" uniqueName="17" name="WE" queryTableFieldId="17" dataDxfId="1818"/>
    <tableColumn id="72" xr3:uid="{83AA4D20-2459-4DAB-9E58-1A69B3C74944}" uniqueName="72" name="F" queryTableFieldId="202" dataDxfId="1817"/>
    <tableColumn id="73" xr3:uid="{05DCB200-4BC3-492D-876D-720FB87EEE31}" uniqueName="73" name="M" queryTableFieldId="203" dataDxfId="1816"/>
    <tableColumn id="5" xr3:uid="{3EBA207E-48B2-4304-9490-2803E642B313}" uniqueName="5" name="OTHER" queryTableFieldId="211" dataDxfId="1815"/>
    <tableColumn id="20" xr3:uid="{F3FD75B7-FA18-4F64-A1AF-AE51C1311B4D}" uniqueName="20" name="Total" queryTableFieldId="20" dataDxfId="1814"/>
    <tableColumn id="1" xr3:uid="{0A038D04-4FDB-4DB0-A25F-8A5C423538B3}" uniqueName="1" name="LastRefreshed" queryTableFieldId="127" dataDxfId="181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906CEC-C56A-4125-91AB-95C151C3A878}" name="Table_ExternalData_145346762641354691112" displayName="Table_ExternalData_145346762641354691112" ref="A2031:V2049" tableType="queryTable" totalsRowShown="0">
  <autoFilter ref="A2031:V2049" xr:uid="{05906CEC-C56A-4125-91AB-95C151C3A878}"/>
  <tableColumns count="22">
    <tableColumn id="2" xr3:uid="{85839DE5-E6C3-4B6C-AE91-3A0CBD92A538}" uniqueName="2" name="ageband" queryTableFieldId="2"/>
    <tableColumn id="3" xr3:uid="{1A0E8D57-A4F4-4B4D-BE5A-E3556B80341F}" uniqueName="3" name="gradeband" queryTableFieldId="3"/>
    <tableColumn id="4" xr3:uid="{302B3734-4145-4C71-9B34-40CDEF996AE6}" uniqueName="4" name="report" queryTableFieldId="4"/>
    <tableColumn id="52" xr3:uid="{F5A4DD9F-8649-41AF-AAE7-2C3BE680FABC}" uniqueName="52" name="1" queryTableFieldId="176" dataDxfId="1812"/>
    <tableColumn id="53" xr3:uid="{8DCB6EE6-1597-4A20-B171-7DF3236A5BBF}" uniqueName="53" name="2" queryTableFieldId="177" dataDxfId="1811"/>
    <tableColumn id="54" xr3:uid="{9D168BF9-C9D1-49B7-A6A1-B41A1E96DB7D}" uniqueName="54" name="3" queryTableFieldId="178" dataDxfId="1810"/>
    <tableColumn id="55" xr3:uid="{4B0F355F-9ACA-42EF-9399-0D920C80F26F}" uniqueName="55" name="4" queryTableFieldId="179" dataDxfId="1809"/>
    <tableColumn id="56" xr3:uid="{5D11587B-0C74-4C15-82FF-8C8B7BA3B3AF}" uniqueName="56" name="5" queryTableFieldId="180" dataDxfId="1808"/>
    <tableColumn id="67" xr3:uid="{BF52277A-267D-442A-ADD5-1E7DBC3B5048}" uniqueName="67" name="AS" queryTableFieldId="197" dataDxfId="1807"/>
    <tableColumn id="68" xr3:uid="{CB43548C-C9CB-4AFA-96FA-42B1912031F7}" uniqueName="68" name="BL" queryTableFieldId="198" dataDxfId="1806"/>
    <tableColumn id="69" xr3:uid="{CB14E761-FD4A-4176-9BE2-0DCCF796A323}" uniqueName="69" name="HI" queryTableFieldId="199" dataDxfId="1805"/>
    <tableColumn id="70" xr3:uid="{5A71ABFA-FF5A-467B-82FC-237BC17F7DF9}" uniqueName="70" name="OT" queryTableFieldId="200" dataDxfId="1804"/>
    <tableColumn id="71" xr3:uid="{D808AD5D-6C44-420D-A0CC-E5FFB4C03F67}" uniqueName="71" name="WH" queryTableFieldId="201" dataDxfId="1803"/>
    <tableColumn id="14" xr3:uid="{778733CE-A613-47E4-99E2-2985040ED426}" uniqueName="14" name="MW" queryTableFieldId="14" dataDxfId="1802"/>
    <tableColumn id="15" xr3:uid="{1FD9DA05-E4F8-4D03-8EF5-17AEC00912D7}" uniqueName="15" name="NE" queryTableFieldId="15" dataDxfId="1801"/>
    <tableColumn id="16" xr3:uid="{EBED576D-031F-45F2-A261-3E469E0F0CB1}" uniqueName="16" name="SO" queryTableFieldId="16" dataDxfId="1800"/>
    <tableColumn id="17" xr3:uid="{AB791ADF-76EF-428D-A5E3-2D4B004497AD}" uniqueName="17" name="WE" queryTableFieldId="17" dataDxfId="1799"/>
    <tableColumn id="72" xr3:uid="{AA0548AA-7EBB-4206-9B9A-2BE7FA33E1A1}" uniqueName="72" name="F" queryTableFieldId="202" dataDxfId="1798"/>
    <tableColumn id="73" xr3:uid="{5271BB9A-4852-4881-BB40-C2D59CEC8117}" uniqueName="73" name="M" queryTableFieldId="203" dataDxfId="1797"/>
    <tableColumn id="5" xr3:uid="{F95F4EF8-2E72-419E-B9D7-7DFE16D2A0A6}" uniqueName="5" name="OTHER" queryTableFieldId="211" dataDxfId="1796"/>
    <tableColumn id="20" xr3:uid="{0E2250AF-2447-460A-829E-E99A74E680FC}" uniqueName="20" name="Total" queryTableFieldId="20" dataDxfId="1795"/>
    <tableColumn id="1" xr3:uid="{2B34CE59-5979-45EE-A78F-A485D080F8DF}" uniqueName="1" name="LastRefreshed" queryTableFieldId="127" dataDxfId="1794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9410F8-959C-447F-99A6-1BD9A59FA9E2}" name="Table_ExternalData_145411214" displayName="Table_ExternalData_145411214" ref="A131:AK227" tableType="queryTable" totalsRowShown="0">
  <autoFilter ref="A131:AK227" xr:uid="{B19410F8-959C-447F-99A6-1BD9A59FA9E2}"/>
  <tableColumns count="37">
    <tableColumn id="2" xr3:uid="{1503C25E-4E25-454C-A96D-378AD17BBC08}" uniqueName="2" name="ageband" queryTableFieldId="2"/>
    <tableColumn id="3" xr3:uid="{3B0E6DD9-82E8-474E-A3BD-96FA6069AAD1}" uniqueName="3" name="gradeband" queryTableFieldId="3"/>
    <tableColumn id="4" xr3:uid="{0549BA84-1ECB-4A50-839C-C8844A44BCE9}" uniqueName="4" name="report" queryTableFieldId="4"/>
    <tableColumn id="5" xr3:uid="{93571B01-094B-44A0-A2C4-3B51C42CCA00}" uniqueName="5" name="AS1" queryTableFieldId="151"/>
    <tableColumn id="6" xr3:uid="{FCD51880-DC58-42CD-A081-65BD8723ADB4}" uniqueName="6" name="AS2" queryTableFieldId="152"/>
    <tableColumn id="7" xr3:uid="{EAA58BA9-4A82-481B-BF1A-06C70914E4E6}" uniqueName="7" name="AS3" queryTableFieldId="153"/>
    <tableColumn id="8" xr3:uid="{7630C8CD-1923-44AF-9F65-5D648AC183B4}" uniqueName="8" name="AS4" queryTableFieldId="154"/>
    <tableColumn id="9" xr3:uid="{727527A3-5EC9-4D35-82DE-6C5B0B51B4C6}" uniqueName="9" name="AS5" queryTableFieldId="155"/>
    <tableColumn id="10" xr3:uid="{0C416700-8083-494A-B4F9-67D4C15FC99A}" uniqueName="10" name="BL1" queryTableFieldId="156"/>
    <tableColumn id="11" xr3:uid="{D1C0F5E2-16B3-45CC-A3E9-BE25E9EAA689}" uniqueName="11" name="BL2" queryTableFieldId="157"/>
    <tableColumn id="12" xr3:uid="{EB6763A7-7803-4A38-8903-C50479E76756}" uniqueName="12" name="BL3" queryTableFieldId="158"/>
    <tableColumn id="13" xr3:uid="{652593CF-5D4E-43AD-9FE6-57662E245251}" uniqueName="13" name="BL4" queryTableFieldId="159"/>
    <tableColumn id="18" xr3:uid="{9C9A8363-BC3C-4510-A1F4-0C25625E7FDD}" uniqueName="18" name="BL5" queryTableFieldId="160"/>
    <tableColumn id="21" xr3:uid="{16FF9757-3802-4B26-9701-961EEAF2C700}" uniqueName="21" name="HI1" queryTableFieldId="161"/>
    <tableColumn id="22" xr3:uid="{F06FAC97-CEDA-472D-8DCD-3B40C8A29949}" uniqueName="22" name="HI2" queryTableFieldId="162"/>
    <tableColumn id="23" xr3:uid="{53FA4E1C-2A85-446E-B4E0-9B16226B618F}" uniqueName="23" name="HI3" queryTableFieldId="163"/>
    <tableColumn id="24" xr3:uid="{F5B1733B-68E5-4ECF-9227-6DB59EF992B3}" uniqueName="24" name="HI4" queryTableFieldId="164"/>
    <tableColumn id="25" xr3:uid="{834B0FB5-E84B-454E-A232-8ACB31E8B1AE}" uniqueName="25" name="HI5" queryTableFieldId="165"/>
    <tableColumn id="26" xr3:uid="{E1E8E89C-1616-4F9D-81B6-F37455405E44}" uniqueName="26" name="OT1" queryTableFieldId="166"/>
    <tableColumn id="27" xr3:uid="{D4591574-D4BC-42E8-AF59-72F28511BF83}" uniqueName="27" name="OT2" queryTableFieldId="167"/>
    <tableColumn id="28" xr3:uid="{5C4988ED-7A1A-4D45-A1C7-9E7882E6B965}" uniqueName="28" name="OT3" queryTableFieldId="168"/>
    <tableColumn id="29" xr3:uid="{8D35BBF2-923B-4EBF-BD79-6D2C78D378FE}" uniqueName="29" name="OT4" queryTableFieldId="169"/>
    <tableColumn id="30" xr3:uid="{4A37121D-565C-4C71-9DEE-FF01DD5B7F13}" uniqueName="30" name="OT5" queryTableFieldId="170"/>
    <tableColumn id="31" xr3:uid="{10480FF7-F84C-46B6-ACDB-571C2D01EA73}" uniqueName="31" name="WH1" queryTableFieldId="171"/>
    <tableColumn id="32" xr3:uid="{0BEB76DD-450F-4CB3-8606-BDBDE5006D4A}" uniqueName="32" name="WH2" queryTableFieldId="172"/>
    <tableColumn id="33" xr3:uid="{A4762457-C163-4DAA-BAAD-2F99EAECF454}" uniqueName="33" name="WH3" queryTableFieldId="173"/>
    <tableColumn id="34" xr3:uid="{2D2A1D24-BF2D-47BC-A948-1EBD2811F8FD}" uniqueName="34" name="WH4" queryTableFieldId="174"/>
    <tableColumn id="35" xr3:uid="{54D702EE-BE3A-4A9F-8C97-C052071ECDE1}" uniqueName="35" name="WH5" queryTableFieldId="175"/>
    <tableColumn id="14" xr3:uid="{F9FF26F2-69D7-40C4-AC18-42EF24C5E3DF}" uniqueName="14" name="MW" queryTableFieldId="14"/>
    <tableColumn id="15" xr3:uid="{F7C95036-21BB-4129-AABA-6610988C3928}" uniqueName="15" name="NE" queryTableFieldId="15"/>
    <tableColumn id="16" xr3:uid="{CBD124F6-24EF-4462-885C-A60EC332D7D6}" uniqueName="16" name="SO" queryTableFieldId="16"/>
    <tableColumn id="17" xr3:uid="{A8C3D6A8-AD60-4DB8-83FE-F3A335D28EBB}" uniqueName="17" name="WE" queryTableFieldId="17"/>
    <tableColumn id="50" xr3:uid="{F3CB7BFA-2805-44E4-B2A8-330A85713FAD}" uniqueName="50" name="F" queryTableFieldId="119"/>
    <tableColumn id="51" xr3:uid="{B82423F8-AFCC-4D67-A61B-7AA762E570D2}" uniqueName="51" name="M" queryTableFieldId="120"/>
    <tableColumn id="19" xr3:uid="{6C0B48F0-2604-4595-9646-30FCA42F9E69}" uniqueName="19" name="OTHER" queryTableFieldId="149"/>
    <tableColumn id="20" xr3:uid="{CC13224C-E814-42E7-BF36-1D25509FD31C}" uniqueName="20" name="Total" queryTableFieldId="20"/>
    <tableColumn id="1" xr3:uid="{13B94E72-BD95-4244-8A44-DD0CD05ADDE3}" uniqueName="1" name="LastRefreshed" queryTableFieldId="72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0C6A994-62F1-47AF-8235-3C9ADAA4A129}" name="Table_ExternalData_14534671018" displayName="Table_ExternalData_14534671018" ref="BA131:BV227" tableType="queryTable" totalsRowShown="0">
  <autoFilter ref="BA131:BV227" xr:uid="{30C6A994-62F1-47AF-8235-3C9ADAA4A129}"/>
  <tableColumns count="22">
    <tableColumn id="2" xr3:uid="{777BE25D-DFFB-435C-BE0D-2726E5456804}" uniqueName="2" name="ageband" queryTableFieldId="2"/>
    <tableColumn id="3" xr3:uid="{F48E7BCE-7EA7-47DC-85D1-B5A9F927F382}" uniqueName="3" name="gradeband" queryTableFieldId="3"/>
    <tableColumn id="4" xr3:uid="{F3AE8FAC-0D08-473D-8BF7-6A66EFF9C771}" uniqueName="4" name="report" queryTableFieldId="4"/>
    <tableColumn id="52" xr3:uid="{94ED0AE5-8F9B-42B8-A841-E702E2447E73}" uniqueName="52" name="1" queryTableFieldId="176" dataDxfId="1793"/>
    <tableColumn id="53" xr3:uid="{5BE264E8-8AFE-4882-A113-90B8F9CC232A}" uniqueName="53" name="2" queryTableFieldId="177" dataDxfId="1792"/>
    <tableColumn id="54" xr3:uid="{0AA132E0-4199-4357-B7DA-174FC888EF4C}" uniqueName="54" name="3" queryTableFieldId="178" dataDxfId="1791"/>
    <tableColumn id="55" xr3:uid="{F13A6845-B4BF-408E-9381-4FD034B93F16}" uniqueName="55" name="4" queryTableFieldId="179" dataDxfId="1790"/>
    <tableColumn id="56" xr3:uid="{202BC5F3-07A6-4A70-854C-EAFC8D958EFF}" uniqueName="56" name="5" queryTableFieldId="180" dataDxfId="1789"/>
    <tableColumn id="67" xr3:uid="{971EB21E-E8EF-47D2-B132-435BCCFA24B7}" uniqueName="67" name="AS" queryTableFieldId="197" dataDxfId="1788"/>
    <tableColumn id="68" xr3:uid="{0078B948-2037-47D4-8389-0389AACCEF00}" uniqueName="68" name="BL" queryTableFieldId="198" dataDxfId="1787"/>
    <tableColumn id="69" xr3:uid="{8864D62F-B4CC-4026-BEC8-1CF38E46DE28}" uniqueName="69" name="HI" queryTableFieldId="199" dataDxfId="1786"/>
    <tableColumn id="70" xr3:uid="{8FCAF3BC-EDD1-4FB0-9CBA-905323341D8D}" uniqueName="70" name="OT" queryTableFieldId="200" dataDxfId="1785"/>
    <tableColumn id="71" xr3:uid="{22A8E63B-20B1-4221-97C1-F3237300AF70}" uniqueName="71" name="WH" queryTableFieldId="201" dataDxfId="1784"/>
    <tableColumn id="14" xr3:uid="{8213736A-859F-42A3-BE6A-C3874AFD8B21}" uniqueName="14" name="MW" queryTableFieldId="14" dataDxfId="1783"/>
    <tableColumn id="15" xr3:uid="{CFFCF7AB-7738-4AEE-B9B1-59736A69B1E9}" uniqueName="15" name="NE" queryTableFieldId="15" dataDxfId="1782"/>
    <tableColumn id="16" xr3:uid="{43F48563-A04F-4107-A7D1-80FF80DF1E84}" uniqueName="16" name="SO" queryTableFieldId="16" dataDxfId="1781"/>
    <tableColumn id="17" xr3:uid="{E9FCD73D-993B-490A-A274-3752CEF55C09}" uniqueName="17" name="WE" queryTableFieldId="17" dataDxfId="1780"/>
    <tableColumn id="72" xr3:uid="{14BEC32F-2A2F-4F54-A935-D7C35D541917}" uniqueName="72" name="F" queryTableFieldId="202" dataDxfId="1779"/>
    <tableColumn id="73" xr3:uid="{281F279D-4AB2-46CB-9351-5CA967A8B389}" uniqueName="73" name="M" queryTableFieldId="203" dataDxfId="1778"/>
    <tableColumn id="5" xr3:uid="{0ADCB01F-8318-4E60-A010-4D6BDB864673}" uniqueName="5" name="OTHER" queryTableFieldId="211" dataDxfId="1777"/>
    <tableColumn id="20" xr3:uid="{3514E934-2D36-44A9-BC1A-B8D04430B17C}" uniqueName="20" name="Total" queryTableFieldId="20" dataDxfId="1776"/>
    <tableColumn id="1" xr3:uid="{F90784DD-B05D-45CD-B5F4-4BF326267197}" uniqueName="1" name="LastRefreshed" queryTableFieldId="127" dataDxfId="177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05A0226-3B23-435C-9209-424C71D4E049}" name="Table_ExternalData_1453467101819" displayName="Table_ExternalData_1453467101819" ref="BA331:BV439" tableType="queryTable" totalsRowShown="0">
  <autoFilter ref="BA331:BV439" xr:uid="{B05A0226-3B23-435C-9209-424C71D4E049}"/>
  <tableColumns count="22">
    <tableColumn id="2" xr3:uid="{17278CE3-07F8-48FB-840A-1E06BD7B80C7}" uniqueName="2" name="ageband" queryTableFieldId="2"/>
    <tableColumn id="3" xr3:uid="{FBF00E7B-9D49-4F29-8281-5E0A88CAD77E}" uniqueName="3" name="gradeband" queryTableFieldId="3"/>
    <tableColumn id="4" xr3:uid="{7317A72A-F94A-484F-BC1B-77B42DF96A65}" uniqueName="4" name="report" queryTableFieldId="4"/>
    <tableColumn id="52" xr3:uid="{3632C8AB-EFDC-4C1C-BA16-A072E342B8E5}" uniqueName="52" name="1" queryTableFieldId="176" dataDxfId="1774"/>
    <tableColumn id="53" xr3:uid="{AB167E0E-2E3A-426C-B249-AFD377A617BF}" uniqueName="53" name="2" queryTableFieldId="177" dataDxfId="1773"/>
    <tableColumn id="54" xr3:uid="{61D1569B-4948-408D-860F-537BF5929A19}" uniqueName="54" name="3" queryTableFieldId="178" dataDxfId="1772"/>
    <tableColumn id="55" xr3:uid="{61F3644F-9D6A-4637-87DB-076051D47C48}" uniqueName="55" name="4" queryTableFieldId="179" dataDxfId="1771"/>
    <tableColumn id="56" xr3:uid="{D1776DA4-55CF-410B-B720-EF99DB2F714B}" uniqueName="56" name="5" queryTableFieldId="180" dataDxfId="1770"/>
    <tableColumn id="67" xr3:uid="{FBB4DF5B-AE34-4547-87FD-21E6606C4069}" uniqueName="67" name="AS" queryTableFieldId="197" dataDxfId="1769"/>
    <tableColumn id="68" xr3:uid="{BEEB7C7A-15E5-4063-9C17-D1D40F3095AF}" uniqueName="68" name="BL" queryTableFieldId="198" dataDxfId="1768"/>
    <tableColumn id="69" xr3:uid="{4D636E25-AF4C-46E3-8FF8-40DE3CFE617D}" uniqueName="69" name="HI" queryTableFieldId="199" dataDxfId="1767"/>
    <tableColumn id="70" xr3:uid="{55761E98-7B0A-4026-92A9-B3D3E8AF3612}" uniqueName="70" name="OT" queryTableFieldId="200" dataDxfId="1766"/>
    <tableColumn id="71" xr3:uid="{EF0DF3A6-E850-4A50-A446-E831CCA68FEF}" uniqueName="71" name="WH" queryTableFieldId="201" dataDxfId="1765"/>
    <tableColumn id="14" xr3:uid="{2D20DD8A-9758-4F0B-97CE-8C48A58C346C}" uniqueName="14" name="MW" queryTableFieldId="14" dataDxfId="1764"/>
    <tableColumn id="15" xr3:uid="{D4EEC3D2-7841-4108-86A0-B77311759549}" uniqueName="15" name="NE" queryTableFieldId="15" dataDxfId="1763"/>
    <tableColumn id="16" xr3:uid="{0BD352C1-3B13-4336-8546-B1617018BDA5}" uniqueName="16" name="SO" queryTableFieldId="16" dataDxfId="1762"/>
    <tableColumn id="17" xr3:uid="{4547BF7B-D45E-4E5E-85F7-3EF87AEDAFDA}" uniqueName="17" name="WE" queryTableFieldId="17" dataDxfId="1761"/>
    <tableColumn id="72" xr3:uid="{B4A05E70-2E49-4F2F-B9F6-0103E02B28A0}" uniqueName="72" name="F" queryTableFieldId="202" dataDxfId="1760"/>
    <tableColumn id="73" xr3:uid="{C59633E1-FECD-44C8-8841-98AE5C70AEBF}" uniqueName="73" name="M" queryTableFieldId="203" dataDxfId="1759"/>
    <tableColumn id="5" xr3:uid="{189C60FB-440D-41E5-A596-50F951328F1B}" uniqueName="5" name="OTHER" queryTableFieldId="211" dataDxfId="1758"/>
    <tableColumn id="20" xr3:uid="{308195F9-DAE2-4E63-B2EB-DDCC7A60C450}" uniqueName="20" name="Total" queryTableFieldId="20" dataDxfId="1757"/>
    <tableColumn id="1" xr3:uid="{856F3266-0217-4BF4-A372-79F6CE71C3F4}" uniqueName="1" name="LastRefreshed" queryTableFieldId="127" dataDxfId="1756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2ADB6E-FCD7-F44D-8BBF-68FE57D36E36}" name="Table_ExternalData_1444" displayName="Table_ExternalData_1444" ref="A2:F15" tableType="queryTable" totalsRowShown="0" headerRowDxfId="1755" dataDxfId="1754">
  <tableColumns count="6">
    <tableColumn id="1" xr3:uid="{878297B3-6257-084F-BA46-8E648E959B33}" uniqueName="1" name="study_id" queryTableFieldId="1" dataDxfId="1753"/>
    <tableColumn id="2" xr3:uid="{D218CE57-3961-BD4E-9AFE-D1C3A6332961}" uniqueName="2" name="study" queryTableFieldId="24" dataDxfId="1752" dataCellStyle="Hyperlink"/>
    <tableColumn id="3" xr3:uid="{E3B4DDD7-9341-5447-B648-0E30E4D057D9}" uniqueName="3" name="Target" queryTableFieldId="25" dataDxfId="1751"/>
    <tableColumn id="4" xr3:uid="{C453F167-7C13-924B-AD2A-A77BFE82D392}" uniqueName="4" name="usableCount" queryTableFieldId="26" dataDxfId="1750"/>
    <tableColumn id="5" xr3:uid="{D6194872-A874-3541-9A5E-AEE54DEDDDD1}" uniqueName="5" name="Percentage" queryTableFieldId="27" dataDxfId="1749" dataCellStyle="Percent"/>
    <tableColumn id="6" xr3:uid="{D42F6023-79CC-404A-BA03-97E311060DF2}" uniqueName="6" name="Refreshed_Date" queryTableFieldId="28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1EA96A5-C8E0-4CB4-8FAB-CE1244EA5E12}" name="BelowTargetEthEd" displayName="BelowTargetEthEd" ref="A5:G177" totalsRowShown="0" headerRowDxfId="306" dataDxfId="305">
  <autoFilter ref="A5:G177" xr:uid="{31EA96A5-C8E0-4CB4-8FAB-CE1244EA5E12}"/>
  <tableColumns count="7">
    <tableColumn id="1" xr3:uid="{21B4330F-C6DB-4CC0-A267-660971E74D38}" name="Age Band"/>
    <tableColumn id="2" xr3:uid="{A54FDF27-CA0C-43FD-AC0A-E6C14877A000}" name="Ethnicity"/>
    <tableColumn id="3" xr3:uid="{C293060C-D8D7-4439-9ED4-9B07C3C15C39}" name="Education Level"/>
    <tableColumn id="4" xr3:uid="{CD619BA7-2B57-4EFC-93B5-DCE7D7C33154}" name="Target" dataDxfId="304"/>
    <tableColumn id="5" xr3:uid="{39718F38-70CF-4403-8A00-45E74B4EC527}" name="Usable" dataDxfId="303"/>
    <tableColumn id="6" xr3:uid="{E28B632F-665C-403D-A35A-36BA57E84F83}" name="Shortfall" dataDxfId="302">
      <calculatedColumnFormula>D6-E6</calculatedColumnFormula>
    </tableColumn>
    <tableColumn id="7" xr3:uid="{22A0E8B9-D4CC-4682-9EAF-A356FFF74AB7}" name="Source Target 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13" Type="http://schemas.openxmlformats.org/officeDocument/2006/relationships/table" Target="../tables/table27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12" Type="http://schemas.openxmlformats.org/officeDocument/2006/relationships/table" Target="../tables/table26.xml"/><Relationship Id="rId2" Type="http://schemas.openxmlformats.org/officeDocument/2006/relationships/table" Target="../tables/table16.xml"/><Relationship Id="rId16" Type="http://schemas.openxmlformats.org/officeDocument/2006/relationships/table" Target="../tables/table3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20.xml"/><Relationship Id="rId11" Type="http://schemas.openxmlformats.org/officeDocument/2006/relationships/table" Target="../tables/table25.xml"/><Relationship Id="rId5" Type="http://schemas.openxmlformats.org/officeDocument/2006/relationships/table" Target="../tables/table19.xml"/><Relationship Id="rId15" Type="http://schemas.openxmlformats.org/officeDocument/2006/relationships/table" Target="../tables/table2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Relationship Id="rId14" Type="http://schemas.openxmlformats.org/officeDocument/2006/relationships/table" Target="../tables/table28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8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32A3-85F7-49A2-9677-CC05D4AA3F37}">
  <sheetPr codeName="Sheet4"/>
  <dimension ref="A8:Q710"/>
  <sheetViews>
    <sheetView topLeftCell="A503" workbookViewId="0">
      <selection activeCell="A511" sqref="A511:Q528"/>
    </sheetView>
  </sheetViews>
  <sheetFormatPr defaultColWidth="8.625" defaultRowHeight="15.75"/>
  <cols>
    <col min="1" max="1" width="16.125" bestFit="1" customWidth="1"/>
    <col min="2" max="2" width="10.5" bestFit="1" customWidth="1"/>
    <col min="3" max="3" width="5" bestFit="1" customWidth="1"/>
    <col min="4" max="4" width="5.5" bestFit="1" customWidth="1"/>
    <col min="5" max="5" width="10.5" bestFit="1" customWidth="1"/>
    <col min="6" max="6" width="15.5" bestFit="1" customWidth="1"/>
    <col min="7" max="7" width="14.5" bestFit="1" customWidth="1"/>
    <col min="8" max="8" width="15.5" bestFit="1" customWidth="1"/>
    <col min="9" max="9" width="8" bestFit="1" customWidth="1"/>
    <col min="10" max="10" width="16" bestFit="1" customWidth="1"/>
    <col min="11" max="11" width="11.5" bestFit="1" customWidth="1"/>
    <col min="12" max="12" width="14" bestFit="1" customWidth="1"/>
    <col min="13" max="13" width="10.625" bestFit="1" customWidth="1"/>
    <col min="14" max="14" width="18.5" bestFit="1" customWidth="1"/>
    <col min="15" max="15" width="11" bestFit="1" customWidth="1"/>
    <col min="16" max="16" width="14.5" bestFit="1" customWidth="1"/>
    <col min="17" max="17" width="20.5" bestFit="1" customWidth="1"/>
  </cols>
  <sheetData>
    <row r="8" spans="1:17">
      <c r="A8">
        <f>setup!C16</f>
        <v>3766</v>
      </c>
    </row>
    <row r="9" spans="1:17">
      <c r="A9" t="str">
        <f>setup!D16</f>
        <v>WISC-6 Standardization - Paper</v>
      </c>
    </row>
    <row r="10" spans="1:17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O10" t="s">
        <v>14</v>
      </c>
      <c r="P10" t="s">
        <v>15</v>
      </c>
      <c r="Q10" t="s">
        <v>16</v>
      </c>
    </row>
    <row r="11" spans="1:17">
      <c r="A11" t="s">
        <v>17</v>
      </c>
      <c r="B11" t="s">
        <v>18</v>
      </c>
      <c r="C11">
        <v>2025</v>
      </c>
      <c r="D11">
        <v>29</v>
      </c>
      <c r="E11" t="s">
        <v>19</v>
      </c>
      <c r="F11" t="s">
        <v>20</v>
      </c>
      <c r="G11" t="s">
        <v>21</v>
      </c>
      <c r="H11" t="s">
        <v>22</v>
      </c>
      <c r="I11">
        <v>4.58</v>
      </c>
      <c r="J11">
        <v>5</v>
      </c>
      <c r="K11" t="s">
        <v>18</v>
      </c>
      <c r="L11">
        <v>0</v>
      </c>
      <c r="M11">
        <v>2400</v>
      </c>
      <c r="N11">
        <v>0</v>
      </c>
      <c r="O11">
        <v>5</v>
      </c>
      <c r="P11">
        <v>0</v>
      </c>
      <c r="Q11" t="s">
        <v>23</v>
      </c>
    </row>
    <row r="12" spans="1:17">
      <c r="A12" t="s">
        <v>17</v>
      </c>
      <c r="B12" t="s">
        <v>18</v>
      </c>
      <c r="C12">
        <v>2025</v>
      </c>
      <c r="D12">
        <v>29</v>
      </c>
      <c r="E12" t="s">
        <v>19</v>
      </c>
      <c r="F12" t="s">
        <v>20</v>
      </c>
      <c r="G12" t="s">
        <v>21</v>
      </c>
      <c r="H12" t="s">
        <v>24</v>
      </c>
      <c r="I12">
        <v>23.1</v>
      </c>
      <c r="J12">
        <v>23</v>
      </c>
      <c r="K12" t="s">
        <v>18</v>
      </c>
      <c r="L12">
        <v>0</v>
      </c>
      <c r="M12">
        <v>2400</v>
      </c>
      <c r="N12">
        <v>0</v>
      </c>
      <c r="O12">
        <v>23</v>
      </c>
      <c r="P12">
        <v>0</v>
      </c>
      <c r="Q12" t="s">
        <v>23</v>
      </c>
    </row>
    <row r="13" spans="1:17">
      <c r="A13" t="s">
        <v>17</v>
      </c>
      <c r="B13" t="s">
        <v>18</v>
      </c>
      <c r="C13">
        <v>2025</v>
      </c>
      <c r="D13">
        <v>29</v>
      </c>
      <c r="E13" t="s">
        <v>19</v>
      </c>
      <c r="F13" t="s">
        <v>20</v>
      </c>
      <c r="G13" t="s">
        <v>25</v>
      </c>
      <c r="H13" t="s">
        <v>26</v>
      </c>
      <c r="I13">
        <v>0</v>
      </c>
      <c r="J13">
        <v>0</v>
      </c>
      <c r="K13" t="s">
        <v>18</v>
      </c>
      <c r="L13">
        <v>0</v>
      </c>
      <c r="M13">
        <v>2400</v>
      </c>
      <c r="N13">
        <v>0</v>
      </c>
      <c r="O13">
        <v>0</v>
      </c>
      <c r="P13">
        <v>0</v>
      </c>
      <c r="Q13" t="s">
        <v>23</v>
      </c>
    </row>
    <row r="14" spans="1:17">
      <c r="A14" t="s">
        <v>17</v>
      </c>
      <c r="B14" t="s">
        <v>18</v>
      </c>
      <c r="C14">
        <v>2025</v>
      </c>
      <c r="D14">
        <v>29</v>
      </c>
      <c r="E14" t="s">
        <v>19</v>
      </c>
      <c r="F14" t="s">
        <v>27</v>
      </c>
      <c r="G14" t="s">
        <v>28</v>
      </c>
      <c r="H14" t="s">
        <v>29</v>
      </c>
      <c r="I14">
        <v>6.96</v>
      </c>
      <c r="J14">
        <v>7</v>
      </c>
      <c r="K14" t="s">
        <v>30</v>
      </c>
      <c r="L14">
        <v>1</v>
      </c>
      <c r="M14">
        <v>2400</v>
      </c>
      <c r="N14">
        <v>1</v>
      </c>
      <c r="O14">
        <v>6</v>
      </c>
      <c r="P14">
        <v>0</v>
      </c>
      <c r="Q14" t="s">
        <v>23</v>
      </c>
    </row>
    <row r="15" spans="1:17">
      <c r="A15" t="s">
        <v>17</v>
      </c>
      <c r="B15" t="s">
        <v>18</v>
      </c>
      <c r="C15">
        <v>2025</v>
      </c>
      <c r="D15">
        <v>29</v>
      </c>
      <c r="E15" t="s">
        <v>19</v>
      </c>
      <c r="F15" t="s">
        <v>27</v>
      </c>
      <c r="G15" t="s">
        <v>21</v>
      </c>
      <c r="H15" t="s">
        <v>24</v>
      </c>
      <c r="I15">
        <v>23.1</v>
      </c>
      <c r="J15">
        <v>23</v>
      </c>
      <c r="K15" t="s">
        <v>30</v>
      </c>
      <c r="L15">
        <v>1</v>
      </c>
      <c r="M15">
        <v>2400</v>
      </c>
      <c r="N15">
        <v>1</v>
      </c>
      <c r="O15">
        <v>22</v>
      </c>
      <c r="P15">
        <v>0</v>
      </c>
      <c r="Q15" t="s">
        <v>23</v>
      </c>
    </row>
    <row r="16" spans="1:17">
      <c r="A16" t="s">
        <v>17</v>
      </c>
      <c r="B16" t="s">
        <v>18</v>
      </c>
      <c r="C16">
        <v>2025</v>
      </c>
      <c r="D16">
        <v>29</v>
      </c>
      <c r="E16" t="s">
        <v>19</v>
      </c>
      <c r="F16" t="s">
        <v>27</v>
      </c>
      <c r="G16" t="s">
        <v>21</v>
      </c>
      <c r="H16" t="s">
        <v>31</v>
      </c>
      <c r="I16">
        <v>10.54</v>
      </c>
      <c r="J16">
        <v>11</v>
      </c>
      <c r="K16" t="s">
        <v>18</v>
      </c>
      <c r="L16">
        <v>0</v>
      </c>
      <c r="M16">
        <v>2400</v>
      </c>
      <c r="N16">
        <v>0</v>
      </c>
      <c r="O16">
        <v>11</v>
      </c>
      <c r="P16">
        <v>0</v>
      </c>
      <c r="Q16" t="s">
        <v>23</v>
      </c>
    </row>
    <row r="17" spans="1:17">
      <c r="A17" t="s">
        <v>17</v>
      </c>
      <c r="B17" t="s">
        <v>18</v>
      </c>
      <c r="C17">
        <v>2025</v>
      </c>
      <c r="D17">
        <v>29</v>
      </c>
      <c r="E17" t="s">
        <v>19</v>
      </c>
      <c r="F17" t="s">
        <v>27</v>
      </c>
      <c r="G17" t="s">
        <v>32</v>
      </c>
      <c r="H17" t="s">
        <v>33</v>
      </c>
      <c r="I17">
        <v>39.96</v>
      </c>
      <c r="J17">
        <v>40</v>
      </c>
      <c r="K17" t="s">
        <v>30</v>
      </c>
      <c r="L17">
        <v>1</v>
      </c>
      <c r="M17">
        <v>2400</v>
      </c>
      <c r="N17">
        <v>1</v>
      </c>
      <c r="O17">
        <v>39</v>
      </c>
      <c r="P17">
        <v>0</v>
      </c>
      <c r="Q17" t="s">
        <v>23</v>
      </c>
    </row>
    <row r="18" spans="1:17">
      <c r="A18" t="s">
        <v>17</v>
      </c>
      <c r="B18" t="s">
        <v>18</v>
      </c>
      <c r="C18">
        <v>2025</v>
      </c>
      <c r="D18">
        <v>29</v>
      </c>
      <c r="E18" t="s">
        <v>19</v>
      </c>
      <c r="F18" t="s">
        <v>27</v>
      </c>
      <c r="G18" t="s">
        <v>25</v>
      </c>
      <c r="H18" t="s">
        <v>34</v>
      </c>
      <c r="I18">
        <v>50</v>
      </c>
      <c r="J18">
        <v>50</v>
      </c>
      <c r="K18" t="s">
        <v>30</v>
      </c>
      <c r="L18">
        <v>1</v>
      </c>
      <c r="M18">
        <v>2400</v>
      </c>
      <c r="N18">
        <v>1</v>
      </c>
      <c r="O18">
        <v>49</v>
      </c>
      <c r="P18">
        <v>0</v>
      </c>
      <c r="Q18" t="s">
        <v>23</v>
      </c>
    </row>
    <row r="19" spans="1:17">
      <c r="A19" t="s">
        <v>17</v>
      </c>
      <c r="B19" t="s">
        <v>18</v>
      </c>
      <c r="C19">
        <v>2025</v>
      </c>
      <c r="D19">
        <v>29</v>
      </c>
      <c r="E19" t="s">
        <v>19</v>
      </c>
      <c r="F19" t="s">
        <v>27</v>
      </c>
      <c r="G19" t="s">
        <v>25</v>
      </c>
      <c r="H19" t="s">
        <v>26</v>
      </c>
      <c r="I19">
        <v>0</v>
      </c>
      <c r="J19">
        <v>0</v>
      </c>
      <c r="K19" t="s">
        <v>18</v>
      </c>
      <c r="L19">
        <v>0</v>
      </c>
      <c r="M19">
        <v>2400</v>
      </c>
      <c r="N19">
        <v>0</v>
      </c>
      <c r="O19">
        <v>0</v>
      </c>
      <c r="P19">
        <v>0</v>
      </c>
      <c r="Q19" t="s">
        <v>23</v>
      </c>
    </row>
    <row r="20" spans="1:17">
      <c r="A20" t="s">
        <v>17</v>
      </c>
      <c r="B20" t="s">
        <v>18</v>
      </c>
      <c r="C20">
        <v>2025</v>
      </c>
      <c r="D20">
        <v>29</v>
      </c>
      <c r="E20" t="s">
        <v>19</v>
      </c>
      <c r="F20" t="s">
        <v>35</v>
      </c>
      <c r="G20" t="s">
        <v>28</v>
      </c>
      <c r="H20" t="s">
        <v>29</v>
      </c>
      <c r="I20">
        <v>7.57</v>
      </c>
      <c r="J20">
        <v>8</v>
      </c>
      <c r="K20" t="s">
        <v>18</v>
      </c>
      <c r="L20">
        <v>0</v>
      </c>
      <c r="M20">
        <v>2400</v>
      </c>
      <c r="N20">
        <v>0</v>
      </c>
      <c r="O20">
        <v>8</v>
      </c>
      <c r="P20">
        <v>0</v>
      </c>
      <c r="Q20" t="s">
        <v>23</v>
      </c>
    </row>
    <row r="21" spans="1:17">
      <c r="A21" t="s">
        <v>17</v>
      </c>
      <c r="B21" t="s">
        <v>18</v>
      </c>
      <c r="C21">
        <v>2025</v>
      </c>
      <c r="D21">
        <v>29</v>
      </c>
      <c r="E21" t="s">
        <v>19</v>
      </c>
      <c r="F21" t="s">
        <v>35</v>
      </c>
      <c r="G21" t="s">
        <v>21</v>
      </c>
      <c r="H21" t="s">
        <v>36</v>
      </c>
      <c r="I21">
        <v>12.25</v>
      </c>
      <c r="J21">
        <v>12</v>
      </c>
      <c r="K21" t="s">
        <v>18</v>
      </c>
      <c r="L21">
        <v>0</v>
      </c>
      <c r="M21">
        <v>2400</v>
      </c>
      <c r="N21">
        <v>0</v>
      </c>
      <c r="O21">
        <v>12</v>
      </c>
      <c r="P21">
        <v>0</v>
      </c>
      <c r="Q21" t="s">
        <v>23</v>
      </c>
    </row>
    <row r="22" spans="1:17">
      <c r="A22" t="s">
        <v>17</v>
      </c>
      <c r="B22" t="s">
        <v>18</v>
      </c>
      <c r="C22">
        <v>2025</v>
      </c>
      <c r="D22">
        <v>29</v>
      </c>
      <c r="E22" t="s">
        <v>19</v>
      </c>
      <c r="F22" t="s">
        <v>35</v>
      </c>
      <c r="G22" t="s">
        <v>25</v>
      </c>
      <c r="H22" t="s">
        <v>26</v>
      </c>
      <c r="I22">
        <v>0</v>
      </c>
      <c r="J22">
        <v>0</v>
      </c>
      <c r="K22" t="s">
        <v>18</v>
      </c>
      <c r="L22">
        <v>0</v>
      </c>
      <c r="M22">
        <v>2400</v>
      </c>
      <c r="N22">
        <v>0</v>
      </c>
      <c r="O22">
        <v>0</v>
      </c>
      <c r="P22">
        <v>0</v>
      </c>
      <c r="Q22" t="s">
        <v>23</v>
      </c>
    </row>
    <row r="23" spans="1:17">
      <c r="A23" t="s">
        <v>17</v>
      </c>
      <c r="B23" t="s">
        <v>18</v>
      </c>
      <c r="C23">
        <v>2025</v>
      </c>
      <c r="D23">
        <v>29</v>
      </c>
      <c r="E23" t="s">
        <v>19</v>
      </c>
      <c r="F23" t="s">
        <v>37</v>
      </c>
      <c r="G23" t="s">
        <v>28</v>
      </c>
      <c r="H23" t="s">
        <v>38</v>
      </c>
      <c r="I23">
        <v>40.44</v>
      </c>
      <c r="J23">
        <v>40</v>
      </c>
      <c r="K23" t="s">
        <v>30</v>
      </c>
      <c r="L23">
        <v>1</v>
      </c>
      <c r="M23">
        <v>2400</v>
      </c>
      <c r="N23">
        <v>1</v>
      </c>
      <c r="O23">
        <v>39</v>
      </c>
      <c r="P23">
        <v>0</v>
      </c>
      <c r="Q23" t="s">
        <v>23</v>
      </c>
    </row>
    <row r="24" spans="1:17">
      <c r="A24" t="s">
        <v>17</v>
      </c>
      <c r="B24" t="s">
        <v>18</v>
      </c>
      <c r="C24">
        <v>2025</v>
      </c>
      <c r="D24">
        <v>29</v>
      </c>
      <c r="E24" t="s">
        <v>19</v>
      </c>
      <c r="F24" t="s">
        <v>37</v>
      </c>
      <c r="G24" t="s">
        <v>21</v>
      </c>
      <c r="H24" t="s">
        <v>39</v>
      </c>
      <c r="I24">
        <v>48.32</v>
      </c>
      <c r="J24">
        <v>48</v>
      </c>
      <c r="K24" t="s">
        <v>30</v>
      </c>
      <c r="L24">
        <v>1</v>
      </c>
      <c r="M24">
        <v>2400</v>
      </c>
      <c r="N24">
        <v>1</v>
      </c>
      <c r="O24">
        <v>47</v>
      </c>
      <c r="P24">
        <v>0</v>
      </c>
      <c r="Q24" t="s">
        <v>23</v>
      </c>
    </row>
    <row r="25" spans="1:17">
      <c r="A25" t="s">
        <v>17</v>
      </c>
      <c r="B25" t="s">
        <v>18</v>
      </c>
      <c r="C25">
        <v>2025</v>
      </c>
      <c r="D25">
        <v>29</v>
      </c>
      <c r="E25" t="s">
        <v>19</v>
      </c>
      <c r="F25" t="s">
        <v>37</v>
      </c>
      <c r="G25" t="s">
        <v>32</v>
      </c>
      <c r="H25" t="s">
        <v>33</v>
      </c>
      <c r="I25">
        <v>40</v>
      </c>
      <c r="J25">
        <v>40</v>
      </c>
      <c r="K25" t="s">
        <v>30</v>
      </c>
      <c r="L25">
        <v>1</v>
      </c>
      <c r="M25">
        <v>2400</v>
      </c>
      <c r="N25">
        <v>1</v>
      </c>
      <c r="O25">
        <v>39</v>
      </c>
      <c r="P25">
        <v>0</v>
      </c>
      <c r="Q25" t="s">
        <v>23</v>
      </c>
    </row>
    <row r="26" spans="1:17">
      <c r="A26" t="s">
        <v>17</v>
      </c>
      <c r="B26" t="s">
        <v>18</v>
      </c>
      <c r="C26">
        <v>2025</v>
      </c>
      <c r="D26">
        <v>29</v>
      </c>
      <c r="E26" t="s">
        <v>19</v>
      </c>
      <c r="F26" t="s">
        <v>37</v>
      </c>
      <c r="G26" t="s">
        <v>25</v>
      </c>
      <c r="H26" t="s">
        <v>26</v>
      </c>
      <c r="I26">
        <v>0</v>
      </c>
      <c r="J26">
        <v>0</v>
      </c>
      <c r="K26" t="s">
        <v>30</v>
      </c>
      <c r="L26">
        <v>1</v>
      </c>
      <c r="M26">
        <v>2400</v>
      </c>
      <c r="N26">
        <v>1</v>
      </c>
      <c r="O26">
        <v>0</v>
      </c>
      <c r="P26">
        <v>0</v>
      </c>
      <c r="Q26" t="s">
        <v>23</v>
      </c>
    </row>
    <row r="27" spans="1:17">
      <c r="A27" t="s">
        <v>17</v>
      </c>
      <c r="B27" t="s">
        <v>18</v>
      </c>
      <c r="C27">
        <v>2025</v>
      </c>
      <c r="D27">
        <v>29</v>
      </c>
      <c r="E27" t="s">
        <v>19</v>
      </c>
      <c r="F27" t="s">
        <v>40</v>
      </c>
      <c r="G27" t="s">
        <v>25</v>
      </c>
      <c r="H27" t="s">
        <v>26</v>
      </c>
      <c r="I27">
        <v>0</v>
      </c>
      <c r="J27">
        <v>0</v>
      </c>
      <c r="K27" t="s">
        <v>18</v>
      </c>
      <c r="L27">
        <v>0</v>
      </c>
      <c r="M27">
        <v>2400</v>
      </c>
      <c r="N27">
        <v>0</v>
      </c>
      <c r="O27">
        <v>0</v>
      </c>
      <c r="P27">
        <v>0</v>
      </c>
      <c r="Q27" t="s">
        <v>23</v>
      </c>
    </row>
    <row r="28" spans="1:17">
      <c r="A28" t="s">
        <v>17</v>
      </c>
      <c r="B28" t="s">
        <v>18</v>
      </c>
      <c r="C28">
        <v>2025</v>
      </c>
      <c r="D28">
        <v>29</v>
      </c>
      <c r="E28" t="s">
        <v>19</v>
      </c>
      <c r="F28" t="s">
        <v>41</v>
      </c>
      <c r="G28" t="s">
        <v>25</v>
      </c>
      <c r="H28" t="s">
        <v>26</v>
      </c>
      <c r="I28">
        <v>0</v>
      </c>
      <c r="J28">
        <v>0</v>
      </c>
      <c r="K28" t="s">
        <v>18</v>
      </c>
      <c r="L28">
        <v>0</v>
      </c>
      <c r="M28">
        <v>2400</v>
      </c>
      <c r="N28">
        <v>0</v>
      </c>
      <c r="O28">
        <v>0</v>
      </c>
      <c r="P28">
        <v>0</v>
      </c>
      <c r="Q28" t="s">
        <v>23</v>
      </c>
    </row>
    <row r="80" spans="1:1">
      <c r="A80">
        <f>setup!C17</f>
        <v>3767</v>
      </c>
    </row>
    <row r="81" spans="1:17">
      <c r="A81" t="str">
        <f>setup!D17</f>
        <v>WISC-6 Standardization - Digital</v>
      </c>
    </row>
    <row r="82" spans="1:17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  <c r="Q82" t="s">
        <v>16</v>
      </c>
    </row>
    <row r="83" spans="1:17">
      <c r="A83" t="s">
        <v>17</v>
      </c>
      <c r="B83" t="s">
        <v>42</v>
      </c>
      <c r="C83">
        <v>2025</v>
      </c>
      <c r="D83">
        <v>29</v>
      </c>
      <c r="E83" t="s">
        <v>19</v>
      </c>
      <c r="F83" t="s">
        <v>43</v>
      </c>
      <c r="G83" t="s">
        <v>28</v>
      </c>
      <c r="H83" t="s">
        <v>29</v>
      </c>
      <c r="I83">
        <v>8.2899999999999991</v>
      </c>
      <c r="J83">
        <v>8</v>
      </c>
      <c r="K83" t="s">
        <v>30</v>
      </c>
      <c r="L83">
        <v>1</v>
      </c>
      <c r="M83">
        <v>3600</v>
      </c>
      <c r="N83">
        <v>1</v>
      </c>
      <c r="O83">
        <v>7</v>
      </c>
      <c r="P83">
        <v>0</v>
      </c>
      <c r="Q83" t="s">
        <v>44</v>
      </c>
    </row>
    <row r="84" spans="1:17">
      <c r="A84" t="s">
        <v>17</v>
      </c>
      <c r="B84" t="s">
        <v>42</v>
      </c>
      <c r="C84">
        <v>2025</v>
      </c>
      <c r="D84">
        <v>29</v>
      </c>
      <c r="E84" t="s">
        <v>19</v>
      </c>
      <c r="F84" t="s">
        <v>43</v>
      </c>
      <c r="G84" t="s">
        <v>21</v>
      </c>
      <c r="H84" t="s">
        <v>24</v>
      </c>
      <c r="I84">
        <v>24</v>
      </c>
      <c r="J84">
        <v>24</v>
      </c>
      <c r="K84" t="s">
        <v>30</v>
      </c>
      <c r="L84">
        <v>1</v>
      </c>
      <c r="M84">
        <v>3600</v>
      </c>
      <c r="N84">
        <v>1</v>
      </c>
      <c r="O84">
        <v>23</v>
      </c>
      <c r="P84">
        <v>0</v>
      </c>
      <c r="Q84" t="s">
        <v>44</v>
      </c>
    </row>
    <row r="85" spans="1:17">
      <c r="A85" t="s">
        <v>17</v>
      </c>
      <c r="B85" t="s">
        <v>42</v>
      </c>
      <c r="C85">
        <v>2025</v>
      </c>
      <c r="D85">
        <v>29</v>
      </c>
      <c r="E85" t="s">
        <v>19</v>
      </c>
      <c r="F85" t="s">
        <v>43</v>
      </c>
      <c r="G85" t="s">
        <v>21</v>
      </c>
      <c r="H85" t="s">
        <v>31</v>
      </c>
      <c r="I85">
        <v>9.92</v>
      </c>
      <c r="J85">
        <v>10</v>
      </c>
      <c r="K85" t="s">
        <v>42</v>
      </c>
      <c r="L85">
        <v>0</v>
      </c>
      <c r="M85">
        <v>3600</v>
      </c>
      <c r="N85">
        <v>0</v>
      </c>
      <c r="O85">
        <v>10</v>
      </c>
      <c r="P85">
        <v>0</v>
      </c>
      <c r="Q85" t="s">
        <v>44</v>
      </c>
    </row>
    <row r="86" spans="1:17">
      <c r="A86" t="s">
        <v>17</v>
      </c>
      <c r="B86" t="s">
        <v>42</v>
      </c>
      <c r="C86">
        <v>2025</v>
      </c>
      <c r="D86">
        <v>29</v>
      </c>
      <c r="E86" t="s">
        <v>19</v>
      </c>
      <c r="F86" t="s">
        <v>43</v>
      </c>
      <c r="G86" t="s">
        <v>32</v>
      </c>
      <c r="H86" t="s">
        <v>33</v>
      </c>
      <c r="I86">
        <v>39.700000000000003</v>
      </c>
      <c r="J86">
        <v>40</v>
      </c>
      <c r="K86" t="s">
        <v>30</v>
      </c>
      <c r="L86">
        <v>1</v>
      </c>
      <c r="M86">
        <v>3600</v>
      </c>
      <c r="N86">
        <v>1</v>
      </c>
      <c r="O86">
        <v>39</v>
      </c>
      <c r="P86">
        <v>0</v>
      </c>
      <c r="Q86" t="s">
        <v>44</v>
      </c>
    </row>
    <row r="87" spans="1:17">
      <c r="A87" t="s">
        <v>17</v>
      </c>
      <c r="B87" t="s">
        <v>42</v>
      </c>
      <c r="C87">
        <v>2025</v>
      </c>
      <c r="D87">
        <v>29</v>
      </c>
      <c r="E87" t="s">
        <v>19</v>
      </c>
      <c r="F87" t="s">
        <v>43</v>
      </c>
      <c r="G87" t="s">
        <v>25</v>
      </c>
      <c r="H87" t="s">
        <v>45</v>
      </c>
      <c r="I87">
        <v>50</v>
      </c>
      <c r="J87">
        <v>50</v>
      </c>
      <c r="K87" t="s">
        <v>30</v>
      </c>
      <c r="L87">
        <v>1</v>
      </c>
      <c r="M87">
        <v>3600</v>
      </c>
      <c r="N87">
        <v>1</v>
      </c>
      <c r="O87">
        <v>49</v>
      </c>
      <c r="P87">
        <v>0</v>
      </c>
      <c r="Q87" t="s">
        <v>44</v>
      </c>
    </row>
    <row r="88" spans="1:17">
      <c r="A88" t="s">
        <v>17</v>
      </c>
      <c r="B88" t="s">
        <v>42</v>
      </c>
      <c r="C88">
        <v>2025</v>
      </c>
      <c r="D88">
        <v>29</v>
      </c>
      <c r="E88" t="s">
        <v>19</v>
      </c>
      <c r="F88" t="s">
        <v>43</v>
      </c>
      <c r="G88" t="s">
        <v>25</v>
      </c>
      <c r="H88" t="s">
        <v>26</v>
      </c>
      <c r="I88">
        <v>0</v>
      </c>
      <c r="J88">
        <v>0</v>
      </c>
      <c r="K88" t="s">
        <v>42</v>
      </c>
      <c r="L88">
        <v>0</v>
      </c>
      <c r="M88">
        <v>3600</v>
      </c>
      <c r="N88">
        <v>0</v>
      </c>
      <c r="O88">
        <v>0</v>
      </c>
      <c r="P88">
        <v>0</v>
      </c>
      <c r="Q88" t="s">
        <v>44</v>
      </c>
    </row>
    <row r="89" spans="1:17">
      <c r="A89" t="s">
        <v>17</v>
      </c>
      <c r="B89" t="s">
        <v>42</v>
      </c>
      <c r="C89">
        <v>2025</v>
      </c>
      <c r="D89">
        <v>29</v>
      </c>
      <c r="E89" t="s">
        <v>19</v>
      </c>
      <c r="F89" t="s">
        <v>46</v>
      </c>
      <c r="G89" t="s">
        <v>28</v>
      </c>
      <c r="H89" t="s">
        <v>29</v>
      </c>
      <c r="I89">
        <v>8.85</v>
      </c>
      <c r="J89">
        <v>9</v>
      </c>
      <c r="K89" t="s">
        <v>30</v>
      </c>
      <c r="L89">
        <v>1</v>
      </c>
      <c r="M89">
        <v>3600</v>
      </c>
      <c r="N89">
        <v>1</v>
      </c>
      <c r="O89">
        <v>8</v>
      </c>
      <c r="P89">
        <v>0</v>
      </c>
      <c r="Q89" t="s">
        <v>44</v>
      </c>
    </row>
    <row r="90" spans="1:17">
      <c r="A90" t="s">
        <v>17</v>
      </c>
      <c r="B90" t="s">
        <v>42</v>
      </c>
      <c r="C90">
        <v>2025</v>
      </c>
      <c r="D90">
        <v>29</v>
      </c>
      <c r="E90" t="s">
        <v>19</v>
      </c>
      <c r="F90" t="s">
        <v>46</v>
      </c>
      <c r="G90" t="s">
        <v>21</v>
      </c>
      <c r="H90" t="s">
        <v>22</v>
      </c>
      <c r="I90">
        <v>5.17</v>
      </c>
      <c r="J90">
        <v>5</v>
      </c>
      <c r="K90" t="s">
        <v>30</v>
      </c>
      <c r="L90">
        <v>1</v>
      </c>
      <c r="M90">
        <v>3600</v>
      </c>
      <c r="N90">
        <v>1</v>
      </c>
      <c r="O90">
        <v>4</v>
      </c>
      <c r="P90">
        <v>0</v>
      </c>
      <c r="Q90" t="s">
        <v>44</v>
      </c>
    </row>
    <row r="91" spans="1:17">
      <c r="A91" t="s">
        <v>17</v>
      </c>
      <c r="B91" t="s">
        <v>42</v>
      </c>
      <c r="C91">
        <v>2025</v>
      </c>
      <c r="D91">
        <v>29</v>
      </c>
      <c r="E91" t="s">
        <v>19</v>
      </c>
      <c r="F91" t="s">
        <v>46</v>
      </c>
      <c r="G91" t="s">
        <v>32</v>
      </c>
      <c r="H91" t="s">
        <v>47</v>
      </c>
      <c r="I91">
        <v>15.25</v>
      </c>
      <c r="J91">
        <v>15</v>
      </c>
      <c r="K91" t="s">
        <v>30</v>
      </c>
      <c r="L91">
        <v>1</v>
      </c>
      <c r="M91">
        <v>3600</v>
      </c>
      <c r="N91">
        <v>1</v>
      </c>
      <c r="O91">
        <v>14</v>
      </c>
      <c r="P91">
        <v>0</v>
      </c>
      <c r="Q91" t="s">
        <v>44</v>
      </c>
    </row>
    <row r="92" spans="1:17">
      <c r="A92" t="s">
        <v>17</v>
      </c>
      <c r="B92" t="s">
        <v>42</v>
      </c>
      <c r="C92">
        <v>2025</v>
      </c>
      <c r="D92">
        <v>29</v>
      </c>
      <c r="E92" t="s">
        <v>19</v>
      </c>
      <c r="F92" t="s">
        <v>46</v>
      </c>
      <c r="G92" t="s">
        <v>25</v>
      </c>
      <c r="H92" t="s">
        <v>45</v>
      </c>
      <c r="I92">
        <v>50</v>
      </c>
      <c r="J92">
        <v>50</v>
      </c>
      <c r="K92" t="s">
        <v>30</v>
      </c>
      <c r="L92">
        <v>1</v>
      </c>
      <c r="M92">
        <v>3600</v>
      </c>
      <c r="N92">
        <v>1</v>
      </c>
      <c r="O92">
        <v>49</v>
      </c>
      <c r="P92">
        <v>0</v>
      </c>
      <c r="Q92" t="s">
        <v>44</v>
      </c>
    </row>
    <row r="93" spans="1:17">
      <c r="A93" t="s">
        <v>17</v>
      </c>
      <c r="B93" t="s">
        <v>42</v>
      </c>
      <c r="C93">
        <v>2025</v>
      </c>
      <c r="D93">
        <v>29</v>
      </c>
      <c r="E93" t="s">
        <v>19</v>
      </c>
      <c r="F93" t="s">
        <v>46</v>
      </c>
      <c r="G93" t="s">
        <v>25</v>
      </c>
      <c r="H93" t="s">
        <v>26</v>
      </c>
      <c r="I93">
        <v>0</v>
      </c>
      <c r="J93">
        <v>0</v>
      </c>
      <c r="K93" t="s">
        <v>42</v>
      </c>
      <c r="L93">
        <v>0</v>
      </c>
      <c r="M93">
        <v>3600</v>
      </c>
      <c r="N93">
        <v>0</v>
      </c>
      <c r="O93">
        <v>0</v>
      </c>
      <c r="P93">
        <v>0</v>
      </c>
      <c r="Q93" t="s">
        <v>44</v>
      </c>
    </row>
    <row r="94" spans="1:17">
      <c r="A94" t="s">
        <v>17</v>
      </c>
      <c r="B94" t="s">
        <v>42</v>
      </c>
      <c r="C94">
        <v>2025</v>
      </c>
      <c r="D94">
        <v>29</v>
      </c>
      <c r="E94" t="s">
        <v>19</v>
      </c>
      <c r="F94" t="s">
        <v>48</v>
      </c>
      <c r="G94" t="s">
        <v>25</v>
      </c>
      <c r="H94" t="s">
        <v>26</v>
      </c>
      <c r="I94">
        <v>0</v>
      </c>
      <c r="J94">
        <v>0</v>
      </c>
      <c r="K94" t="s">
        <v>42</v>
      </c>
      <c r="L94">
        <v>0</v>
      </c>
      <c r="M94">
        <v>3600</v>
      </c>
      <c r="N94">
        <v>0</v>
      </c>
      <c r="O94">
        <v>0</v>
      </c>
      <c r="P94">
        <v>0</v>
      </c>
      <c r="Q94" t="s">
        <v>44</v>
      </c>
    </row>
    <row r="95" spans="1:17">
      <c r="A95" t="s">
        <v>17</v>
      </c>
      <c r="B95" t="s">
        <v>42</v>
      </c>
      <c r="C95">
        <v>2025</v>
      </c>
      <c r="D95">
        <v>29</v>
      </c>
      <c r="E95" t="s">
        <v>19</v>
      </c>
      <c r="F95" t="s">
        <v>49</v>
      </c>
      <c r="G95" t="s">
        <v>28</v>
      </c>
      <c r="H95" t="s">
        <v>50</v>
      </c>
      <c r="I95">
        <v>32.32</v>
      </c>
      <c r="J95">
        <v>32</v>
      </c>
      <c r="K95" t="s">
        <v>30</v>
      </c>
      <c r="L95">
        <v>1</v>
      </c>
      <c r="M95">
        <v>3600</v>
      </c>
      <c r="N95">
        <v>1</v>
      </c>
      <c r="O95">
        <v>31</v>
      </c>
      <c r="P95">
        <v>0</v>
      </c>
      <c r="Q95" t="s">
        <v>44</v>
      </c>
    </row>
    <row r="96" spans="1:17">
      <c r="A96" t="s">
        <v>17</v>
      </c>
      <c r="B96" t="s">
        <v>42</v>
      </c>
      <c r="C96">
        <v>2025</v>
      </c>
      <c r="D96">
        <v>29</v>
      </c>
      <c r="E96" t="s">
        <v>19</v>
      </c>
      <c r="F96" t="s">
        <v>49</v>
      </c>
      <c r="G96" t="s">
        <v>21</v>
      </c>
      <c r="H96" t="s">
        <v>36</v>
      </c>
      <c r="I96">
        <v>12.91</v>
      </c>
      <c r="J96">
        <v>13</v>
      </c>
      <c r="K96" t="s">
        <v>42</v>
      </c>
      <c r="L96">
        <v>0</v>
      </c>
      <c r="M96">
        <v>3600</v>
      </c>
      <c r="N96">
        <v>0</v>
      </c>
      <c r="O96">
        <v>13</v>
      </c>
      <c r="P96">
        <v>0</v>
      </c>
      <c r="Q96" t="s">
        <v>44</v>
      </c>
    </row>
    <row r="97" spans="1:17">
      <c r="A97" t="s">
        <v>17</v>
      </c>
      <c r="B97" t="s">
        <v>42</v>
      </c>
      <c r="C97">
        <v>2025</v>
      </c>
      <c r="D97">
        <v>29</v>
      </c>
      <c r="E97" t="s">
        <v>19</v>
      </c>
      <c r="F97" t="s">
        <v>49</v>
      </c>
      <c r="G97" t="s">
        <v>21</v>
      </c>
      <c r="H97" t="s">
        <v>31</v>
      </c>
      <c r="I97">
        <v>9.61</v>
      </c>
      <c r="J97">
        <v>10</v>
      </c>
      <c r="K97" t="s">
        <v>30</v>
      </c>
      <c r="L97">
        <v>1</v>
      </c>
      <c r="M97">
        <v>3600</v>
      </c>
      <c r="N97">
        <v>1</v>
      </c>
      <c r="O97">
        <v>9</v>
      </c>
      <c r="P97">
        <v>0</v>
      </c>
      <c r="Q97" t="s">
        <v>44</v>
      </c>
    </row>
    <row r="98" spans="1:17">
      <c r="A98" t="s">
        <v>17</v>
      </c>
      <c r="B98" t="s">
        <v>42</v>
      </c>
      <c r="C98">
        <v>2025</v>
      </c>
      <c r="D98">
        <v>29</v>
      </c>
      <c r="E98" t="s">
        <v>19</v>
      </c>
      <c r="F98" t="s">
        <v>49</v>
      </c>
      <c r="G98" t="s">
        <v>32</v>
      </c>
      <c r="H98" t="s">
        <v>33</v>
      </c>
      <c r="I98">
        <v>39.130000000000003</v>
      </c>
      <c r="J98">
        <v>39</v>
      </c>
      <c r="K98" t="s">
        <v>30</v>
      </c>
      <c r="L98">
        <v>1</v>
      </c>
      <c r="M98">
        <v>3600</v>
      </c>
      <c r="N98">
        <v>1</v>
      </c>
      <c r="O98">
        <v>38</v>
      </c>
      <c r="P98">
        <v>0</v>
      </c>
      <c r="Q98" t="s">
        <v>44</v>
      </c>
    </row>
    <row r="99" spans="1:17">
      <c r="A99" t="s">
        <v>17</v>
      </c>
      <c r="B99" t="s">
        <v>42</v>
      </c>
      <c r="C99">
        <v>2025</v>
      </c>
      <c r="D99">
        <v>29</v>
      </c>
      <c r="E99" t="s">
        <v>19</v>
      </c>
      <c r="F99" t="s">
        <v>49</v>
      </c>
      <c r="G99" t="s">
        <v>25</v>
      </c>
      <c r="H99" t="s">
        <v>45</v>
      </c>
      <c r="I99">
        <v>50</v>
      </c>
      <c r="J99">
        <v>50</v>
      </c>
      <c r="K99" t="s">
        <v>30</v>
      </c>
      <c r="L99">
        <v>1</v>
      </c>
      <c r="M99">
        <v>3600</v>
      </c>
      <c r="N99">
        <v>1</v>
      </c>
      <c r="O99">
        <v>49</v>
      </c>
      <c r="P99">
        <v>0</v>
      </c>
      <c r="Q99" t="s">
        <v>44</v>
      </c>
    </row>
    <row r="100" spans="1:17">
      <c r="A100" t="s">
        <v>17</v>
      </c>
      <c r="B100" t="s">
        <v>42</v>
      </c>
      <c r="C100">
        <v>2025</v>
      </c>
      <c r="D100">
        <v>29</v>
      </c>
      <c r="E100" t="s">
        <v>19</v>
      </c>
      <c r="F100" t="s">
        <v>49</v>
      </c>
      <c r="G100" t="s">
        <v>25</v>
      </c>
      <c r="H100" t="s">
        <v>26</v>
      </c>
      <c r="I100">
        <v>0</v>
      </c>
      <c r="J100">
        <v>0</v>
      </c>
      <c r="K100" t="s">
        <v>42</v>
      </c>
      <c r="L100">
        <v>0</v>
      </c>
      <c r="M100">
        <v>3600</v>
      </c>
      <c r="N100">
        <v>0</v>
      </c>
      <c r="O100">
        <v>0</v>
      </c>
      <c r="P100">
        <v>0</v>
      </c>
      <c r="Q100" t="s">
        <v>44</v>
      </c>
    </row>
    <row r="101" spans="1:17">
      <c r="A101" t="s">
        <v>17</v>
      </c>
      <c r="B101" t="s">
        <v>42</v>
      </c>
      <c r="C101">
        <v>2025</v>
      </c>
      <c r="D101">
        <v>29</v>
      </c>
      <c r="E101" t="s">
        <v>19</v>
      </c>
      <c r="F101" t="s">
        <v>51</v>
      </c>
      <c r="G101" t="s">
        <v>25</v>
      </c>
      <c r="H101" t="s">
        <v>26</v>
      </c>
      <c r="I101">
        <v>0</v>
      </c>
      <c r="J101">
        <v>0</v>
      </c>
      <c r="K101" t="s">
        <v>42</v>
      </c>
      <c r="L101">
        <v>0</v>
      </c>
      <c r="M101">
        <v>3600</v>
      </c>
      <c r="N101">
        <v>0</v>
      </c>
      <c r="O101">
        <v>0</v>
      </c>
      <c r="P101">
        <v>0</v>
      </c>
      <c r="Q101" t="s">
        <v>44</v>
      </c>
    </row>
    <row r="102" spans="1:17">
      <c r="A102" t="s">
        <v>17</v>
      </c>
      <c r="B102" t="s">
        <v>42</v>
      </c>
      <c r="C102">
        <v>2025</v>
      </c>
      <c r="D102">
        <v>29</v>
      </c>
      <c r="E102" t="s">
        <v>19</v>
      </c>
      <c r="F102" t="s">
        <v>52</v>
      </c>
      <c r="G102" t="s">
        <v>28</v>
      </c>
      <c r="H102" t="s">
        <v>38</v>
      </c>
      <c r="I102">
        <v>37.53</v>
      </c>
      <c r="J102">
        <v>38</v>
      </c>
      <c r="K102" t="s">
        <v>30</v>
      </c>
      <c r="L102">
        <v>1</v>
      </c>
      <c r="M102">
        <v>3600</v>
      </c>
      <c r="N102">
        <v>1</v>
      </c>
      <c r="O102">
        <v>37</v>
      </c>
      <c r="P102">
        <v>0</v>
      </c>
      <c r="Q102" t="s">
        <v>44</v>
      </c>
    </row>
    <row r="103" spans="1:17">
      <c r="A103" t="s">
        <v>17</v>
      </c>
      <c r="B103" t="s">
        <v>42</v>
      </c>
      <c r="C103">
        <v>2025</v>
      </c>
      <c r="D103">
        <v>29</v>
      </c>
      <c r="E103" t="s">
        <v>19</v>
      </c>
      <c r="F103" t="s">
        <v>52</v>
      </c>
      <c r="G103" t="s">
        <v>21</v>
      </c>
      <c r="H103" t="s">
        <v>22</v>
      </c>
      <c r="I103">
        <v>5.13</v>
      </c>
      <c r="J103">
        <v>5</v>
      </c>
      <c r="K103" t="s">
        <v>42</v>
      </c>
      <c r="L103">
        <v>0</v>
      </c>
      <c r="M103">
        <v>3600</v>
      </c>
      <c r="N103">
        <v>0</v>
      </c>
      <c r="O103">
        <v>5</v>
      </c>
      <c r="P103">
        <v>0</v>
      </c>
      <c r="Q103" t="s">
        <v>44</v>
      </c>
    </row>
    <row r="104" spans="1:17">
      <c r="A104" t="s">
        <v>17</v>
      </c>
      <c r="B104" t="s">
        <v>42</v>
      </c>
      <c r="C104">
        <v>2025</v>
      </c>
      <c r="D104">
        <v>29</v>
      </c>
      <c r="E104" t="s">
        <v>19</v>
      </c>
      <c r="F104" t="s">
        <v>52</v>
      </c>
      <c r="G104" t="s">
        <v>21</v>
      </c>
      <c r="H104" t="s">
        <v>39</v>
      </c>
      <c r="I104">
        <v>46.27</v>
      </c>
      <c r="J104">
        <v>46</v>
      </c>
      <c r="K104" t="s">
        <v>30</v>
      </c>
      <c r="L104">
        <v>1</v>
      </c>
      <c r="M104">
        <v>3600</v>
      </c>
      <c r="N104">
        <v>1</v>
      </c>
      <c r="O104">
        <v>45</v>
      </c>
      <c r="P104">
        <v>0</v>
      </c>
      <c r="Q104" t="s">
        <v>44</v>
      </c>
    </row>
    <row r="105" spans="1:17">
      <c r="A105" t="s">
        <v>17</v>
      </c>
      <c r="B105" t="s">
        <v>42</v>
      </c>
      <c r="C105">
        <v>2025</v>
      </c>
      <c r="D105">
        <v>29</v>
      </c>
      <c r="E105" t="s">
        <v>19</v>
      </c>
      <c r="F105" t="s">
        <v>52</v>
      </c>
      <c r="G105" t="s">
        <v>32</v>
      </c>
      <c r="H105" t="s">
        <v>33</v>
      </c>
      <c r="I105">
        <v>39.659999999999997</v>
      </c>
      <c r="J105">
        <v>40</v>
      </c>
      <c r="K105" t="s">
        <v>30</v>
      </c>
      <c r="L105">
        <v>1</v>
      </c>
      <c r="M105">
        <v>3600</v>
      </c>
      <c r="N105">
        <v>1</v>
      </c>
      <c r="O105">
        <v>39</v>
      </c>
      <c r="P105">
        <v>0</v>
      </c>
      <c r="Q105" t="s">
        <v>44</v>
      </c>
    </row>
    <row r="106" spans="1:17">
      <c r="A106" t="s">
        <v>17</v>
      </c>
      <c r="B106" t="s">
        <v>42</v>
      </c>
      <c r="C106">
        <v>2025</v>
      </c>
      <c r="D106">
        <v>29</v>
      </c>
      <c r="E106" t="s">
        <v>19</v>
      </c>
      <c r="F106" t="s">
        <v>52</v>
      </c>
      <c r="G106" t="s">
        <v>25</v>
      </c>
      <c r="H106" t="s">
        <v>34</v>
      </c>
      <c r="I106">
        <v>50</v>
      </c>
      <c r="J106">
        <v>50</v>
      </c>
      <c r="K106" t="s">
        <v>30</v>
      </c>
      <c r="L106">
        <v>1</v>
      </c>
      <c r="M106">
        <v>3600</v>
      </c>
      <c r="N106">
        <v>1</v>
      </c>
      <c r="O106">
        <v>49</v>
      </c>
      <c r="P106">
        <v>0</v>
      </c>
      <c r="Q106" t="s">
        <v>44</v>
      </c>
    </row>
    <row r="107" spans="1:17">
      <c r="A107" t="s">
        <v>17</v>
      </c>
      <c r="B107" t="s">
        <v>42</v>
      </c>
      <c r="C107">
        <v>2025</v>
      </c>
      <c r="D107">
        <v>29</v>
      </c>
      <c r="E107" t="s">
        <v>19</v>
      </c>
      <c r="F107" t="s">
        <v>52</v>
      </c>
      <c r="G107" t="s">
        <v>25</v>
      </c>
      <c r="H107" t="s">
        <v>26</v>
      </c>
      <c r="I107">
        <v>0</v>
      </c>
      <c r="J107">
        <v>0</v>
      </c>
      <c r="K107" t="s">
        <v>42</v>
      </c>
      <c r="L107">
        <v>0</v>
      </c>
      <c r="M107">
        <v>3600</v>
      </c>
      <c r="N107">
        <v>0</v>
      </c>
      <c r="O107">
        <v>0</v>
      </c>
      <c r="P107">
        <v>0</v>
      </c>
      <c r="Q107" t="s">
        <v>44</v>
      </c>
    </row>
    <row r="108" spans="1:17">
      <c r="A108" t="s">
        <v>17</v>
      </c>
      <c r="B108" t="s">
        <v>42</v>
      </c>
      <c r="C108">
        <v>2025</v>
      </c>
      <c r="D108">
        <v>29</v>
      </c>
      <c r="E108" t="s">
        <v>19</v>
      </c>
      <c r="F108" t="s">
        <v>53</v>
      </c>
      <c r="G108" t="s">
        <v>28</v>
      </c>
      <c r="H108" t="s">
        <v>38</v>
      </c>
      <c r="I108">
        <v>38.08</v>
      </c>
      <c r="J108">
        <v>38</v>
      </c>
      <c r="K108" t="s">
        <v>30</v>
      </c>
      <c r="L108">
        <v>1</v>
      </c>
      <c r="M108">
        <v>3600</v>
      </c>
      <c r="N108">
        <v>1</v>
      </c>
      <c r="O108">
        <v>37</v>
      </c>
      <c r="P108">
        <v>0</v>
      </c>
      <c r="Q108" t="s">
        <v>44</v>
      </c>
    </row>
    <row r="109" spans="1:17">
      <c r="A109" t="s">
        <v>17</v>
      </c>
      <c r="B109" t="s">
        <v>42</v>
      </c>
      <c r="C109">
        <v>2025</v>
      </c>
      <c r="D109">
        <v>29</v>
      </c>
      <c r="E109" t="s">
        <v>19</v>
      </c>
      <c r="F109" t="s">
        <v>53</v>
      </c>
      <c r="G109" t="s">
        <v>21</v>
      </c>
      <c r="H109" t="s">
        <v>22</v>
      </c>
      <c r="I109">
        <v>4.93</v>
      </c>
      <c r="J109">
        <v>5</v>
      </c>
      <c r="K109" t="s">
        <v>42</v>
      </c>
      <c r="L109">
        <v>0</v>
      </c>
      <c r="M109">
        <v>3600</v>
      </c>
      <c r="N109">
        <v>0</v>
      </c>
      <c r="O109">
        <v>5</v>
      </c>
      <c r="P109">
        <v>0</v>
      </c>
      <c r="Q109" t="s">
        <v>44</v>
      </c>
    </row>
    <row r="110" spans="1:17">
      <c r="A110" t="s">
        <v>17</v>
      </c>
      <c r="B110" t="s">
        <v>42</v>
      </c>
      <c r="C110">
        <v>2025</v>
      </c>
      <c r="D110">
        <v>29</v>
      </c>
      <c r="E110" t="s">
        <v>19</v>
      </c>
      <c r="F110" t="s">
        <v>53</v>
      </c>
      <c r="G110" t="s">
        <v>21</v>
      </c>
      <c r="H110" t="s">
        <v>31</v>
      </c>
      <c r="I110">
        <v>8.8000000000000007</v>
      </c>
      <c r="J110">
        <v>9</v>
      </c>
      <c r="K110" t="s">
        <v>30</v>
      </c>
      <c r="L110">
        <v>2</v>
      </c>
      <c r="M110">
        <v>3600</v>
      </c>
      <c r="N110">
        <v>2</v>
      </c>
      <c r="O110">
        <v>7</v>
      </c>
      <c r="P110">
        <v>0</v>
      </c>
      <c r="Q110" t="s">
        <v>44</v>
      </c>
    </row>
    <row r="111" spans="1:17">
      <c r="A111" t="s">
        <v>17</v>
      </c>
      <c r="B111" t="s">
        <v>42</v>
      </c>
      <c r="C111">
        <v>2025</v>
      </c>
      <c r="D111">
        <v>29</v>
      </c>
      <c r="E111" t="s">
        <v>19</v>
      </c>
      <c r="F111" t="s">
        <v>53</v>
      </c>
      <c r="G111" t="s">
        <v>32</v>
      </c>
      <c r="H111" t="s">
        <v>33</v>
      </c>
      <c r="I111">
        <v>39.950000000000003</v>
      </c>
      <c r="J111">
        <v>40</v>
      </c>
      <c r="K111" t="s">
        <v>30</v>
      </c>
      <c r="L111">
        <v>2</v>
      </c>
      <c r="M111">
        <v>3600</v>
      </c>
      <c r="N111">
        <v>2</v>
      </c>
      <c r="O111">
        <v>38</v>
      </c>
      <c r="P111">
        <v>0</v>
      </c>
      <c r="Q111" t="s">
        <v>44</v>
      </c>
    </row>
    <row r="112" spans="1:17">
      <c r="A112" t="s">
        <v>17</v>
      </c>
      <c r="B112" t="s">
        <v>42</v>
      </c>
      <c r="C112">
        <v>2025</v>
      </c>
      <c r="D112">
        <v>29</v>
      </c>
      <c r="E112" t="s">
        <v>19</v>
      </c>
      <c r="F112" t="s">
        <v>53</v>
      </c>
      <c r="G112" t="s">
        <v>25</v>
      </c>
      <c r="H112" t="s">
        <v>45</v>
      </c>
      <c r="I112">
        <v>50</v>
      </c>
      <c r="J112">
        <v>50</v>
      </c>
      <c r="K112" t="s">
        <v>30</v>
      </c>
      <c r="L112">
        <v>2</v>
      </c>
      <c r="M112">
        <v>3600</v>
      </c>
      <c r="N112">
        <v>2</v>
      </c>
      <c r="O112">
        <v>48</v>
      </c>
      <c r="P112">
        <v>0</v>
      </c>
      <c r="Q112" t="s">
        <v>44</v>
      </c>
    </row>
    <row r="113" spans="1:17">
      <c r="A113" t="s">
        <v>17</v>
      </c>
      <c r="B113" t="s">
        <v>42</v>
      </c>
      <c r="C113">
        <v>2025</v>
      </c>
      <c r="D113">
        <v>29</v>
      </c>
      <c r="E113" t="s">
        <v>19</v>
      </c>
      <c r="F113" t="s">
        <v>53</v>
      </c>
      <c r="G113" t="s">
        <v>25</v>
      </c>
      <c r="H113" t="s">
        <v>26</v>
      </c>
      <c r="I113">
        <v>0</v>
      </c>
      <c r="J113">
        <v>0</v>
      </c>
      <c r="K113" t="s">
        <v>42</v>
      </c>
      <c r="L113">
        <v>0</v>
      </c>
      <c r="M113">
        <v>3600</v>
      </c>
      <c r="N113">
        <v>0</v>
      </c>
      <c r="O113">
        <v>0</v>
      </c>
      <c r="P113">
        <v>0</v>
      </c>
      <c r="Q113" t="s">
        <v>44</v>
      </c>
    </row>
    <row r="114" spans="1:17">
      <c r="A114" t="s">
        <v>17</v>
      </c>
      <c r="B114" t="s">
        <v>42</v>
      </c>
      <c r="C114">
        <v>2025</v>
      </c>
      <c r="D114">
        <v>29</v>
      </c>
      <c r="E114" t="s">
        <v>19</v>
      </c>
      <c r="F114" t="s">
        <v>54</v>
      </c>
      <c r="G114" t="s">
        <v>28</v>
      </c>
      <c r="H114" t="s">
        <v>38</v>
      </c>
      <c r="I114">
        <v>37.79</v>
      </c>
      <c r="J114">
        <v>38</v>
      </c>
      <c r="K114" t="s">
        <v>30</v>
      </c>
      <c r="L114">
        <v>1</v>
      </c>
      <c r="M114">
        <v>3600</v>
      </c>
      <c r="N114">
        <v>1</v>
      </c>
      <c r="O114">
        <v>37</v>
      </c>
      <c r="P114">
        <v>0</v>
      </c>
      <c r="Q114" t="s">
        <v>44</v>
      </c>
    </row>
    <row r="115" spans="1:17">
      <c r="A115" t="s">
        <v>17</v>
      </c>
      <c r="B115" t="s">
        <v>42</v>
      </c>
      <c r="C115">
        <v>2025</v>
      </c>
      <c r="D115">
        <v>29</v>
      </c>
      <c r="E115" t="s">
        <v>19</v>
      </c>
      <c r="F115" t="s">
        <v>54</v>
      </c>
      <c r="G115" t="s">
        <v>21</v>
      </c>
      <c r="H115" t="s">
        <v>24</v>
      </c>
      <c r="I115">
        <v>24.45</v>
      </c>
      <c r="J115">
        <v>24</v>
      </c>
      <c r="K115" t="s">
        <v>30</v>
      </c>
      <c r="L115">
        <v>1</v>
      </c>
      <c r="M115">
        <v>3600</v>
      </c>
      <c r="N115">
        <v>1</v>
      </c>
      <c r="O115">
        <v>23</v>
      </c>
      <c r="P115">
        <v>0</v>
      </c>
      <c r="Q115" t="s">
        <v>44</v>
      </c>
    </row>
    <row r="116" spans="1:17">
      <c r="A116" t="s">
        <v>17</v>
      </c>
      <c r="B116" t="s">
        <v>42</v>
      </c>
      <c r="C116">
        <v>2025</v>
      </c>
      <c r="D116">
        <v>29</v>
      </c>
      <c r="E116" t="s">
        <v>19</v>
      </c>
      <c r="F116" t="s">
        <v>54</v>
      </c>
      <c r="G116" t="s">
        <v>32</v>
      </c>
      <c r="H116" t="s">
        <v>47</v>
      </c>
      <c r="I116">
        <v>15.78</v>
      </c>
      <c r="J116">
        <v>16</v>
      </c>
      <c r="K116" t="s">
        <v>42</v>
      </c>
      <c r="L116">
        <v>0</v>
      </c>
      <c r="M116">
        <v>3600</v>
      </c>
      <c r="N116">
        <v>0</v>
      </c>
      <c r="O116">
        <v>16</v>
      </c>
      <c r="P116">
        <v>0</v>
      </c>
      <c r="Q116" t="s">
        <v>44</v>
      </c>
    </row>
    <row r="117" spans="1:17">
      <c r="A117" t="s">
        <v>17</v>
      </c>
      <c r="B117" t="s">
        <v>42</v>
      </c>
      <c r="C117">
        <v>2025</v>
      </c>
      <c r="D117">
        <v>29</v>
      </c>
      <c r="E117" t="s">
        <v>19</v>
      </c>
      <c r="F117" t="s">
        <v>54</v>
      </c>
      <c r="G117" t="s">
        <v>32</v>
      </c>
      <c r="H117" t="s">
        <v>33</v>
      </c>
      <c r="I117">
        <v>39.07</v>
      </c>
      <c r="J117">
        <v>39</v>
      </c>
      <c r="K117" t="s">
        <v>30</v>
      </c>
      <c r="L117">
        <v>1</v>
      </c>
      <c r="M117">
        <v>3600</v>
      </c>
      <c r="N117">
        <v>1</v>
      </c>
      <c r="O117">
        <v>38</v>
      </c>
      <c r="P117">
        <v>0</v>
      </c>
      <c r="Q117" t="s">
        <v>44</v>
      </c>
    </row>
    <row r="118" spans="1:17">
      <c r="A118" t="s">
        <v>17</v>
      </c>
      <c r="B118" t="s">
        <v>42</v>
      </c>
      <c r="C118">
        <v>2025</v>
      </c>
      <c r="D118">
        <v>29</v>
      </c>
      <c r="E118" t="s">
        <v>19</v>
      </c>
      <c r="F118" t="s">
        <v>54</v>
      </c>
      <c r="G118" t="s">
        <v>25</v>
      </c>
      <c r="H118" t="s">
        <v>34</v>
      </c>
      <c r="I118">
        <v>50</v>
      </c>
      <c r="J118">
        <v>50</v>
      </c>
      <c r="K118" t="s">
        <v>30</v>
      </c>
      <c r="L118">
        <v>1</v>
      </c>
      <c r="M118">
        <v>3600</v>
      </c>
      <c r="N118">
        <v>1</v>
      </c>
      <c r="O118">
        <v>49</v>
      </c>
      <c r="P118">
        <v>0</v>
      </c>
      <c r="Q118" t="s">
        <v>44</v>
      </c>
    </row>
    <row r="119" spans="1:17">
      <c r="A119" t="s">
        <v>17</v>
      </c>
      <c r="B119" t="s">
        <v>42</v>
      </c>
      <c r="C119">
        <v>2025</v>
      </c>
      <c r="D119">
        <v>29</v>
      </c>
      <c r="E119" t="s">
        <v>19</v>
      </c>
      <c r="F119" t="s">
        <v>54</v>
      </c>
      <c r="G119" t="s">
        <v>25</v>
      </c>
      <c r="H119" t="s">
        <v>26</v>
      </c>
      <c r="I119">
        <v>0</v>
      </c>
      <c r="J119">
        <v>0</v>
      </c>
      <c r="K119" t="s">
        <v>42</v>
      </c>
      <c r="L119">
        <v>0</v>
      </c>
      <c r="M119">
        <v>3600</v>
      </c>
      <c r="N119">
        <v>0</v>
      </c>
      <c r="O119">
        <v>0</v>
      </c>
      <c r="P119">
        <v>0</v>
      </c>
      <c r="Q119" t="s">
        <v>44</v>
      </c>
    </row>
    <row r="120" spans="1:17">
      <c r="A120" t="s">
        <v>17</v>
      </c>
      <c r="B120" t="s">
        <v>42</v>
      </c>
      <c r="C120">
        <v>2025</v>
      </c>
      <c r="D120">
        <v>29</v>
      </c>
      <c r="E120" t="s">
        <v>19</v>
      </c>
      <c r="F120" t="s">
        <v>55</v>
      </c>
      <c r="G120" t="s">
        <v>28</v>
      </c>
      <c r="H120" t="s">
        <v>29</v>
      </c>
      <c r="I120">
        <v>11.2</v>
      </c>
      <c r="J120">
        <v>11</v>
      </c>
      <c r="K120" t="s">
        <v>30</v>
      </c>
      <c r="L120">
        <v>2</v>
      </c>
      <c r="M120">
        <v>3600</v>
      </c>
      <c r="N120">
        <v>2</v>
      </c>
      <c r="O120">
        <v>9</v>
      </c>
      <c r="P120">
        <v>0</v>
      </c>
      <c r="Q120" t="s">
        <v>44</v>
      </c>
    </row>
    <row r="121" spans="1:17">
      <c r="A121" t="s">
        <v>17</v>
      </c>
      <c r="B121" t="s">
        <v>42</v>
      </c>
      <c r="C121">
        <v>2025</v>
      </c>
      <c r="D121">
        <v>29</v>
      </c>
      <c r="E121" t="s">
        <v>19</v>
      </c>
      <c r="F121" t="s">
        <v>55</v>
      </c>
      <c r="G121" t="s">
        <v>28</v>
      </c>
      <c r="H121" t="s">
        <v>56</v>
      </c>
      <c r="I121">
        <v>20.2</v>
      </c>
      <c r="J121">
        <v>20</v>
      </c>
      <c r="K121" t="s">
        <v>30</v>
      </c>
      <c r="L121">
        <v>1</v>
      </c>
      <c r="M121">
        <v>3600</v>
      </c>
      <c r="N121">
        <v>1</v>
      </c>
      <c r="O121">
        <v>19</v>
      </c>
      <c r="P121">
        <v>0</v>
      </c>
      <c r="Q121" t="s">
        <v>44</v>
      </c>
    </row>
    <row r="122" spans="1:17">
      <c r="A122" t="s">
        <v>17</v>
      </c>
      <c r="B122" t="s">
        <v>42</v>
      </c>
      <c r="C122">
        <v>2025</v>
      </c>
      <c r="D122">
        <v>29</v>
      </c>
      <c r="E122" t="s">
        <v>19</v>
      </c>
      <c r="F122" t="s">
        <v>55</v>
      </c>
      <c r="G122" t="s">
        <v>28</v>
      </c>
      <c r="H122" t="s">
        <v>38</v>
      </c>
      <c r="I122">
        <v>36.549999999999997</v>
      </c>
      <c r="J122">
        <v>37</v>
      </c>
      <c r="K122" t="s">
        <v>30</v>
      </c>
      <c r="L122">
        <v>2</v>
      </c>
      <c r="M122">
        <v>3600</v>
      </c>
      <c r="N122">
        <v>2</v>
      </c>
      <c r="O122">
        <v>35</v>
      </c>
      <c r="P122">
        <v>0</v>
      </c>
      <c r="Q122" t="s">
        <v>44</v>
      </c>
    </row>
    <row r="123" spans="1:17">
      <c r="A123" t="s">
        <v>17</v>
      </c>
      <c r="B123" t="s">
        <v>42</v>
      </c>
      <c r="C123">
        <v>2025</v>
      </c>
      <c r="D123">
        <v>29</v>
      </c>
      <c r="E123" t="s">
        <v>19</v>
      </c>
      <c r="F123" t="s">
        <v>55</v>
      </c>
      <c r="G123" t="s">
        <v>21</v>
      </c>
      <c r="H123" t="s">
        <v>22</v>
      </c>
      <c r="I123">
        <v>4.82</v>
      </c>
      <c r="J123">
        <v>5</v>
      </c>
      <c r="K123" t="s">
        <v>30</v>
      </c>
      <c r="L123">
        <v>1</v>
      </c>
      <c r="M123">
        <v>3600</v>
      </c>
      <c r="N123">
        <v>1</v>
      </c>
      <c r="O123">
        <v>4</v>
      </c>
      <c r="P123">
        <v>0</v>
      </c>
      <c r="Q123" t="s">
        <v>44</v>
      </c>
    </row>
    <row r="124" spans="1:17">
      <c r="A124" t="s">
        <v>17</v>
      </c>
      <c r="B124" t="s">
        <v>42</v>
      </c>
      <c r="C124">
        <v>2025</v>
      </c>
      <c r="D124">
        <v>29</v>
      </c>
      <c r="E124" t="s">
        <v>19</v>
      </c>
      <c r="F124" t="s">
        <v>55</v>
      </c>
      <c r="G124" t="s">
        <v>21</v>
      </c>
      <c r="H124" t="s">
        <v>24</v>
      </c>
      <c r="I124">
        <v>24.5</v>
      </c>
      <c r="J124">
        <v>25</v>
      </c>
      <c r="K124" t="s">
        <v>30</v>
      </c>
      <c r="L124">
        <v>2</v>
      </c>
      <c r="M124">
        <v>3600</v>
      </c>
      <c r="N124">
        <v>2</v>
      </c>
      <c r="O124">
        <v>23</v>
      </c>
      <c r="P124">
        <v>0</v>
      </c>
      <c r="Q124" t="s">
        <v>44</v>
      </c>
    </row>
    <row r="125" spans="1:17">
      <c r="A125" t="s">
        <v>17</v>
      </c>
      <c r="B125" t="s">
        <v>42</v>
      </c>
      <c r="C125">
        <v>2025</v>
      </c>
      <c r="D125">
        <v>29</v>
      </c>
      <c r="E125" t="s">
        <v>19</v>
      </c>
      <c r="F125" t="s">
        <v>55</v>
      </c>
      <c r="G125" t="s">
        <v>21</v>
      </c>
      <c r="H125" t="s">
        <v>31</v>
      </c>
      <c r="I125">
        <v>7.37</v>
      </c>
      <c r="J125">
        <v>7</v>
      </c>
      <c r="K125" t="s">
        <v>30</v>
      </c>
      <c r="L125">
        <v>1</v>
      </c>
      <c r="M125">
        <v>3600</v>
      </c>
      <c r="N125">
        <v>1</v>
      </c>
      <c r="O125">
        <v>6</v>
      </c>
      <c r="P125">
        <v>0</v>
      </c>
      <c r="Q125" t="s">
        <v>44</v>
      </c>
    </row>
    <row r="126" spans="1:17">
      <c r="A126" t="s">
        <v>17</v>
      </c>
      <c r="B126" t="s">
        <v>42</v>
      </c>
      <c r="C126">
        <v>2025</v>
      </c>
      <c r="D126">
        <v>29</v>
      </c>
      <c r="E126" t="s">
        <v>19</v>
      </c>
      <c r="F126" t="s">
        <v>55</v>
      </c>
      <c r="G126" t="s">
        <v>21</v>
      </c>
      <c r="H126" t="s">
        <v>39</v>
      </c>
      <c r="I126">
        <v>50.57</v>
      </c>
      <c r="J126">
        <v>51</v>
      </c>
      <c r="K126" t="s">
        <v>30</v>
      </c>
      <c r="L126">
        <v>1</v>
      </c>
      <c r="M126">
        <v>3600</v>
      </c>
      <c r="N126">
        <v>1</v>
      </c>
      <c r="O126">
        <v>50</v>
      </c>
      <c r="P126">
        <v>0</v>
      </c>
      <c r="Q126" t="s">
        <v>44</v>
      </c>
    </row>
    <row r="127" spans="1:17">
      <c r="A127" t="s">
        <v>17</v>
      </c>
      <c r="B127" t="s">
        <v>42</v>
      </c>
      <c r="C127">
        <v>2025</v>
      </c>
      <c r="D127">
        <v>29</v>
      </c>
      <c r="E127" t="s">
        <v>19</v>
      </c>
      <c r="F127" t="s">
        <v>55</v>
      </c>
      <c r="G127" t="s">
        <v>32</v>
      </c>
      <c r="H127" t="s">
        <v>33</v>
      </c>
      <c r="I127">
        <v>39.22</v>
      </c>
      <c r="J127">
        <v>39</v>
      </c>
      <c r="K127" t="s">
        <v>30</v>
      </c>
      <c r="L127">
        <v>5</v>
      </c>
      <c r="M127">
        <v>3600</v>
      </c>
      <c r="N127">
        <v>5</v>
      </c>
      <c r="O127">
        <v>34</v>
      </c>
      <c r="P127">
        <v>0</v>
      </c>
      <c r="Q127" t="s">
        <v>44</v>
      </c>
    </row>
    <row r="128" spans="1:17">
      <c r="A128" t="s">
        <v>17</v>
      </c>
      <c r="B128" t="s">
        <v>42</v>
      </c>
      <c r="C128">
        <v>2025</v>
      </c>
      <c r="D128">
        <v>29</v>
      </c>
      <c r="E128" t="s">
        <v>19</v>
      </c>
      <c r="F128" t="s">
        <v>55</v>
      </c>
      <c r="G128" t="s">
        <v>25</v>
      </c>
      <c r="H128" t="s">
        <v>45</v>
      </c>
      <c r="I128">
        <v>50</v>
      </c>
      <c r="J128">
        <v>50</v>
      </c>
      <c r="K128" t="s">
        <v>30</v>
      </c>
      <c r="L128">
        <v>3</v>
      </c>
      <c r="M128">
        <v>3600</v>
      </c>
      <c r="N128">
        <v>3</v>
      </c>
      <c r="O128">
        <v>47</v>
      </c>
      <c r="P128">
        <v>0</v>
      </c>
      <c r="Q128" t="s">
        <v>44</v>
      </c>
    </row>
    <row r="129" spans="1:17">
      <c r="A129" t="s">
        <v>17</v>
      </c>
      <c r="B129" t="s">
        <v>42</v>
      </c>
      <c r="C129">
        <v>2025</v>
      </c>
      <c r="D129">
        <v>29</v>
      </c>
      <c r="E129" t="s">
        <v>19</v>
      </c>
      <c r="F129" t="s">
        <v>55</v>
      </c>
      <c r="G129" t="s">
        <v>25</v>
      </c>
      <c r="H129" t="s">
        <v>34</v>
      </c>
      <c r="I129">
        <v>50</v>
      </c>
      <c r="J129">
        <v>50</v>
      </c>
      <c r="K129" t="s">
        <v>30</v>
      </c>
      <c r="L129">
        <v>2</v>
      </c>
      <c r="M129">
        <v>3600</v>
      </c>
      <c r="N129">
        <v>2</v>
      </c>
      <c r="O129">
        <v>48</v>
      </c>
      <c r="P129">
        <v>0</v>
      </c>
      <c r="Q129" t="s">
        <v>44</v>
      </c>
    </row>
    <row r="130" spans="1:17">
      <c r="A130" t="s">
        <v>17</v>
      </c>
      <c r="B130" t="s">
        <v>42</v>
      </c>
      <c r="C130">
        <v>2025</v>
      </c>
      <c r="D130">
        <v>29</v>
      </c>
      <c r="E130" t="s">
        <v>19</v>
      </c>
      <c r="F130" t="s">
        <v>55</v>
      </c>
      <c r="G130" t="s">
        <v>25</v>
      </c>
      <c r="H130" t="s">
        <v>26</v>
      </c>
      <c r="I130">
        <v>0</v>
      </c>
      <c r="J130">
        <v>0</v>
      </c>
      <c r="K130" t="s">
        <v>42</v>
      </c>
      <c r="L130">
        <v>0</v>
      </c>
      <c r="M130">
        <v>3600</v>
      </c>
      <c r="N130">
        <v>0</v>
      </c>
      <c r="O130">
        <v>0</v>
      </c>
      <c r="P130">
        <v>0</v>
      </c>
      <c r="Q130" t="s">
        <v>44</v>
      </c>
    </row>
    <row r="182" spans="1:17">
      <c r="A182">
        <f>setup!C18</f>
        <v>3768</v>
      </c>
    </row>
    <row r="183" spans="1:17">
      <c r="A183" t="str">
        <f>setup!D18</f>
        <v>Retest WISC-6 Standardization - Paper</v>
      </c>
    </row>
    <row r="184" spans="1:17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t="s">
        <v>7</v>
      </c>
      <c r="I184" t="s">
        <v>8</v>
      </c>
      <c r="J184" t="s">
        <v>9</v>
      </c>
      <c r="K184" t="s">
        <v>10</v>
      </c>
      <c r="L184" t="s">
        <v>11</v>
      </c>
      <c r="M184" t="s">
        <v>12</v>
      </c>
      <c r="N184" t="s">
        <v>13</v>
      </c>
      <c r="O184" t="s">
        <v>14</v>
      </c>
      <c r="P184" t="s">
        <v>15</v>
      </c>
      <c r="Q184" t="s">
        <v>16</v>
      </c>
    </row>
    <row r="185" spans="1:17">
      <c r="A185" t="s">
        <v>17</v>
      </c>
      <c r="B185" t="s">
        <v>42</v>
      </c>
      <c r="C185">
        <v>2025</v>
      </c>
      <c r="D185">
        <v>29</v>
      </c>
      <c r="E185" t="s">
        <v>19</v>
      </c>
      <c r="F185" t="s">
        <v>57</v>
      </c>
      <c r="H185" t="s">
        <v>58</v>
      </c>
      <c r="I185">
        <v>1</v>
      </c>
      <c r="J185">
        <v>1</v>
      </c>
      <c r="K185" t="s">
        <v>42</v>
      </c>
      <c r="L185">
        <v>0</v>
      </c>
      <c r="M185">
        <v>32</v>
      </c>
      <c r="N185">
        <v>0</v>
      </c>
      <c r="O185">
        <v>1</v>
      </c>
      <c r="P185">
        <v>0</v>
      </c>
      <c r="Q185" t="s">
        <v>44</v>
      </c>
    </row>
    <row r="186" spans="1:17">
      <c r="A186" t="s">
        <v>17</v>
      </c>
      <c r="B186" t="s">
        <v>42</v>
      </c>
      <c r="C186">
        <v>2025</v>
      </c>
      <c r="D186">
        <v>29</v>
      </c>
      <c r="E186" t="s">
        <v>19</v>
      </c>
      <c r="F186" t="s">
        <v>57</v>
      </c>
      <c r="G186" t="s">
        <v>28</v>
      </c>
      <c r="H186" t="s">
        <v>29</v>
      </c>
      <c r="I186">
        <v>1</v>
      </c>
      <c r="J186">
        <v>1</v>
      </c>
      <c r="K186" t="s">
        <v>42</v>
      </c>
      <c r="L186">
        <v>0</v>
      </c>
      <c r="M186">
        <v>32</v>
      </c>
      <c r="N186">
        <v>0</v>
      </c>
      <c r="O186">
        <v>1</v>
      </c>
      <c r="P186">
        <v>0</v>
      </c>
      <c r="Q186" t="s">
        <v>44</v>
      </c>
    </row>
    <row r="187" spans="1:17">
      <c r="A187" t="s">
        <v>17</v>
      </c>
      <c r="B187" t="s">
        <v>42</v>
      </c>
      <c r="C187">
        <v>2025</v>
      </c>
      <c r="D187">
        <v>29</v>
      </c>
      <c r="E187" t="s">
        <v>19</v>
      </c>
      <c r="F187" t="s">
        <v>57</v>
      </c>
      <c r="G187" t="s">
        <v>28</v>
      </c>
      <c r="H187" t="s">
        <v>56</v>
      </c>
      <c r="I187">
        <v>1</v>
      </c>
      <c r="J187">
        <v>1</v>
      </c>
      <c r="K187" t="s">
        <v>42</v>
      </c>
      <c r="L187">
        <v>0</v>
      </c>
      <c r="M187">
        <v>32</v>
      </c>
      <c r="N187">
        <v>0</v>
      </c>
      <c r="O187">
        <v>1</v>
      </c>
      <c r="P187">
        <v>0</v>
      </c>
      <c r="Q187" t="s">
        <v>44</v>
      </c>
    </row>
    <row r="188" spans="1:17">
      <c r="A188" t="s">
        <v>17</v>
      </c>
      <c r="B188" t="s">
        <v>42</v>
      </c>
      <c r="C188">
        <v>2025</v>
      </c>
      <c r="D188">
        <v>29</v>
      </c>
      <c r="E188" t="s">
        <v>19</v>
      </c>
      <c r="F188" t="s">
        <v>57</v>
      </c>
      <c r="G188" t="s">
        <v>28</v>
      </c>
      <c r="H188" t="s">
        <v>50</v>
      </c>
      <c r="I188">
        <v>1</v>
      </c>
      <c r="J188">
        <v>1</v>
      </c>
      <c r="K188" t="s">
        <v>42</v>
      </c>
      <c r="L188">
        <v>0</v>
      </c>
      <c r="M188">
        <v>32</v>
      </c>
      <c r="N188">
        <v>0</v>
      </c>
      <c r="O188">
        <v>1</v>
      </c>
      <c r="P188">
        <v>0</v>
      </c>
      <c r="Q188" t="s">
        <v>44</v>
      </c>
    </row>
    <row r="189" spans="1:17">
      <c r="A189" t="s">
        <v>17</v>
      </c>
      <c r="B189" t="s">
        <v>42</v>
      </c>
      <c r="C189">
        <v>2025</v>
      </c>
      <c r="D189">
        <v>29</v>
      </c>
      <c r="E189" t="s">
        <v>19</v>
      </c>
      <c r="F189" t="s">
        <v>57</v>
      </c>
      <c r="G189" t="s">
        <v>28</v>
      </c>
      <c r="H189" t="s">
        <v>38</v>
      </c>
      <c r="I189">
        <v>1</v>
      </c>
      <c r="J189">
        <v>1</v>
      </c>
      <c r="K189" t="s">
        <v>42</v>
      </c>
      <c r="L189">
        <v>0</v>
      </c>
      <c r="M189">
        <v>32</v>
      </c>
      <c r="N189">
        <v>0</v>
      </c>
      <c r="O189">
        <v>1</v>
      </c>
      <c r="P189">
        <v>0</v>
      </c>
      <c r="Q189" t="s">
        <v>44</v>
      </c>
    </row>
    <row r="190" spans="1:17">
      <c r="A190" t="s">
        <v>17</v>
      </c>
      <c r="B190" t="s">
        <v>42</v>
      </c>
      <c r="C190">
        <v>2025</v>
      </c>
      <c r="D190">
        <v>29</v>
      </c>
      <c r="E190" t="s">
        <v>19</v>
      </c>
      <c r="F190" t="s">
        <v>57</v>
      </c>
      <c r="G190" t="s">
        <v>21</v>
      </c>
      <c r="H190" t="s">
        <v>22</v>
      </c>
      <c r="I190">
        <v>1</v>
      </c>
      <c r="J190">
        <v>1</v>
      </c>
      <c r="K190" t="s">
        <v>42</v>
      </c>
      <c r="L190">
        <v>0</v>
      </c>
      <c r="M190">
        <v>32</v>
      </c>
      <c r="N190">
        <v>0</v>
      </c>
      <c r="O190">
        <v>1</v>
      </c>
      <c r="P190">
        <v>0</v>
      </c>
      <c r="Q190" t="s">
        <v>44</v>
      </c>
    </row>
    <row r="191" spans="1:17">
      <c r="A191" t="s">
        <v>17</v>
      </c>
      <c r="B191" t="s">
        <v>42</v>
      </c>
      <c r="C191">
        <v>2025</v>
      </c>
      <c r="D191">
        <v>29</v>
      </c>
      <c r="E191" t="s">
        <v>19</v>
      </c>
      <c r="F191" t="s">
        <v>57</v>
      </c>
      <c r="G191" t="s">
        <v>21</v>
      </c>
      <c r="H191" t="s">
        <v>36</v>
      </c>
      <c r="I191">
        <v>1</v>
      </c>
      <c r="J191">
        <v>1</v>
      </c>
      <c r="K191" t="s">
        <v>42</v>
      </c>
      <c r="L191">
        <v>0</v>
      </c>
      <c r="M191">
        <v>32</v>
      </c>
      <c r="N191">
        <v>0</v>
      </c>
      <c r="O191">
        <v>1</v>
      </c>
      <c r="P191">
        <v>0</v>
      </c>
      <c r="Q191" t="s">
        <v>44</v>
      </c>
    </row>
    <row r="192" spans="1:17">
      <c r="A192" t="s">
        <v>17</v>
      </c>
      <c r="B192" t="s">
        <v>42</v>
      </c>
      <c r="C192">
        <v>2025</v>
      </c>
      <c r="D192">
        <v>29</v>
      </c>
      <c r="E192" t="s">
        <v>19</v>
      </c>
      <c r="F192" t="s">
        <v>57</v>
      </c>
      <c r="G192" t="s">
        <v>21</v>
      </c>
      <c r="H192" t="s">
        <v>24</v>
      </c>
      <c r="I192">
        <v>1</v>
      </c>
      <c r="J192">
        <v>1</v>
      </c>
      <c r="K192" t="s">
        <v>42</v>
      </c>
      <c r="L192">
        <v>0</v>
      </c>
      <c r="M192">
        <v>32</v>
      </c>
      <c r="N192">
        <v>0</v>
      </c>
      <c r="O192">
        <v>1</v>
      </c>
      <c r="P192">
        <v>0</v>
      </c>
      <c r="Q192" t="s">
        <v>44</v>
      </c>
    </row>
    <row r="193" spans="1:17">
      <c r="A193" t="s">
        <v>17</v>
      </c>
      <c r="B193" t="s">
        <v>42</v>
      </c>
      <c r="C193">
        <v>2025</v>
      </c>
      <c r="D193">
        <v>29</v>
      </c>
      <c r="E193" t="s">
        <v>19</v>
      </c>
      <c r="F193" t="s">
        <v>57</v>
      </c>
      <c r="G193" t="s">
        <v>21</v>
      </c>
      <c r="H193" t="s">
        <v>31</v>
      </c>
      <c r="I193">
        <v>1</v>
      </c>
      <c r="J193">
        <v>1</v>
      </c>
      <c r="K193" t="s">
        <v>42</v>
      </c>
      <c r="L193">
        <v>0</v>
      </c>
      <c r="M193">
        <v>32</v>
      </c>
      <c r="N193">
        <v>0</v>
      </c>
      <c r="O193">
        <v>1</v>
      </c>
      <c r="P193">
        <v>0</v>
      </c>
      <c r="Q193" t="s">
        <v>44</v>
      </c>
    </row>
    <row r="194" spans="1:17">
      <c r="A194" t="s">
        <v>17</v>
      </c>
      <c r="B194" t="s">
        <v>42</v>
      </c>
      <c r="C194">
        <v>2025</v>
      </c>
      <c r="D194">
        <v>29</v>
      </c>
      <c r="E194" t="s">
        <v>19</v>
      </c>
      <c r="F194" t="s">
        <v>57</v>
      </c>
      <c r="G194" t="s">
        <v>21</v>
      </c>
      <c r="H194" t="s">
        <v>39</v>
      </c>
      <c r="I194">
        <v>1</v>
      </c>
      <c r="J194">
        <v>1</v>
      </c>
      <c r="K194" t="s">
        <v>42</v>
      </c>
      <c r="L194">
        <v>0</v>
      </c>
      <c r="M194">
        <v>32</v>
      </c>
      <c r="N194">
        <v>0</v>
      </c>
      <c r="O194">
        <v>1</v>
      </c>
      <c r="P194">
        <v>0</v>
      </c>
      <c r="Q194" t="s">
        <v>44</v>
      </c>
    </row>
    <row r="195" spans="1:17">
      <c r="A195" t="s">
        <v>17</v>
      </c>
      <c r="B195" t="s">
        <v>42</v>
      </c>
      <c r="C195">
        <v>2025</v>
      </c>
      <c r="D195">
        <v>29</v>
      </c>
      <c r="E195" t="s">
        <v>19</v>
      </c>
      <c r="F195" t="s">
        <v>57</v>
      </c>
      <c r="G195" t="s">
        <v>32</v>
      </c>
      <c r="H195" t="s">
        <v>59</v>
      </c>
      <c r="I195">
        <v>1</v>
      </c>
      <c r="J195">
        <v>1</v>
      </c>
      <c r="K195" t="s">
        <v>42</v>
      </c>
      <c r="L195">
        <v>0</v>
      </c>
      <c r="M195">
        <v>32</v>
      </c>
      <c r="N195">
        <v>0</v>
      </c>
      <c r="O195">
        <v>1</v>
      </c>
      <c r="P195">
        <v>0</v>
      </c>
      <c r="Q195" t="s">
        <v>44</v>
      </c>
    </row>
    <row r="196" spans="1:17">
      <c r="A196" t="s">
        <v>17</v>
      </c>
      <c r="B196" t="s">
        <v>42</v>
      </c>
      <c r="C196">
        <v>2025</v>
      </c>
      <c r="D196">
        <v>29</v>
      </c>
      <c r="E196" t="s">
        <v>19</v>
      </c>
      <c r="F196" t="s">
        <v>57</v>
      </c>
      <c r="G196" t="s">
        <v>32</v>
      </c>
      <c r="H196" t="s">
        <v>47</v>
      </c>
      <c r="I196">
        <v>1</v>
      </c>
      <c r="J196">
        <v>1</v>
      </c>
      <c r="K196" t="s">
        <v>42</v>
      </c>
      <c r="L196">
        <v>0</v>
      </c>
      <c r="M196">
        <v>32</v>
      </c>
      <c r="N196">
        <v>0</v>
      </c>
      <c r="O196">
        <v>1</v>
      </c>
      <c r="P196">
        <v>0</v>
      </c>
      <c r="Q196" t="s">
        <v>44</v>
      </c>
    </row>
    <row r="197" spans="1:17">
      <c r="A197" t="s">
        <v>17</v>
      </c>
      <c r="B197" t="s">
        <v>42</v>
      </c>
      <c r="C197">
        <v>2025</v>
      </c>
      <c r="D197">
        <v>29</v>
      </c>
      <c r="E197" t="s">
        <v>19</v>
      </c>
      <c r="F197" t="s">
        <v>57</v>
      </c>
      <c r="G197" t="s">
        <v>32</v>
      </c>
      <c r="H197" t="s">
        <v>33</v>
      </c>
      <c r="I197">
        <v>1</v>
      </c>
      <c r="J197">
        <v>1</v>
      </c>
      <c r="K197" t="s">
        <v>42</v>
      </c>
      <c r="L197">
        <v>0</v>
      </c>
      <c r="M197">
        <v>32</v>
      </c>
      <c r="N197">
        <v>0</v>
      </c>
      <c r="O197">
        <v>1</v>
      </c>
      <c r="P197">
        <v>0</v>
      </c>
      <c r="Q197" t="s">
        <v>44</v>
      </c>
    </row>
    <row r="198" spans="1:17">
      <c r="A198" t="s">
        <v>17</v>
      </c>
      <c r="B198" t="s">
        <v>42</v>
      </c>
      <c r="C198">
        <v>2025</v>
      </c>
      <c r="D198">
        <v>29</v>
      </c>
      <c r="E198" t="s">
        <v>19</v>
      </c>
      <c r="F198" t="s">
        <v>57</v>
      </c>
      <c r="G198" t="s">
        <v>32</v>
      </c>
      <c r="H198" t="s">
        <v>60</v>
      </c>
      <c r="I198">
        <v>1</v>
      </c>
      <c r="J198">
        <v>1</v>
      </c>
      <c r="K198" t="s">
        <v>42</v>
      </c>
      <c r="L198">
        <v>0</v>
      </c>
      <c r="M198">
        <v>32</v>
      </c>
      <c r="N198">
        <v>0</v>
      </c>
      <c r="O198">
        <v>1</v>
      </c>
      <c r="P198">
        <v>0</v>
      </c>
      <c r="Q198" t="s">
        <v>44</v>
      </c>
    </row>
    <row r="199" spans="1:17">
      <c r="A199" t="s">
        <v>17</v>
      </c>
      <c r="B199" t="s">
        <v>42</v>
      </c>
      <c r="C199">
        <v>2025</v>
      </c>
      <c r="D199">
        <v>29</v>
      </c>
      <c r="E199" t="s">
        <v>19</v>
      </c>
      <c r="F199" t="s">
        <v>57</v>
      </c>
      <c r="G199" t="s">
        <v>25</v>
      </c>
      <c r="H199" t="s">
        <v>45</v>
      </c>
      <c r="I199">
        <v>1</v>
      </c>
      <c r="J199">
        <v>1</v>
      </c>
      <c r="K199" t="s">
        <v>42</v>
      </c>
      <c r="L199">
        <v>0</v>
      </c>
      <c r="M199">
        <v>32</v>
      </c>
      <c r="N199">
        <v>0</v>
      </c>
      <c r="O199">
        <v>1</v>
      </c>
      <c r="P199">
        <v>0</v>
      </c>
      <c r="Q199" t="s">
        <v>44</v>
      </c>
    </row>
    <row r="200" spans="1:17">
      <c r="A200" t="s">
        <v>17</v>
      </c>
      <c r="B200" t="s">
        <v>42</v>
      </c>
      <c r="C200">
        <v>2025</v>
      </c>
      <c r="D200">
        <v>29</v>
      </c>
      <c r="E200" t="s">
        <v>19</v>
      </c>
      <c r="F200" t="s">
        <v>57</v>
      </c>
      <c r="G200" t="s">
        <v>25</v>
      </c>
      <c r="H200" t="s">
        <v>34</v>
      </c>
      <c r="I200">
        <v>1</v>
      </c>
      <c r="J200">
        <v>1</v>
      </c>
      <c r="K200" t="s">
        <v>42</v>
      </c>
      <c r="L200">
        <v>0</v>
      </c>
      <c r="M200">
        <v>32</v>
      </c>
      <c r="N200">
        <v>0</v>
      </c>
      <c r="O200">
        <v>1</v>
      </c>
      <c r="P200">
        <v>0</v>
      </c>
      <c r="Q200" t="s">
        <v>44</v>
      </c>
    </row>
    <row r="201" spans="1:17">
      <c r="A201" t="s">
        <v>17</v>
      </c>
      <c r="B201" t="s">
        <v>42</v>
      </c>
      <c r="C201">
        <v>2025</v>
      </c>
      <c r="D201">
        <v>29</v>
      </c>
      <c r="E201" t="s">
        <v>19</v>
      </c>
      <c r="F201" t="s">
        <v>57</v>
      </c>
      <c r="G201" t="s">
        <v>25</v>
      </c>
      <c r="H201" t="s">
        <v>26</v>
      </c>
      <c r="I201">
        <v>0</v>
      </c>
      <c r="J201">
        <v>0</v>
      </c>
      <c r="K201" t="s">
        <v>42</v>
      </c>
      <c r="L201">
        <v>0</v>
      </c>
      <c r="M201">
        <v>32</v>
      </c>
      <c r="N201">
        <v>0</v>
      </c>
      <c r="O201">
        <v>0</v>
      </c>
      <c r="P201">
        <v>0</v>
      </c>
      <c r="Q201" t="s">
        <v>44</v>
      </c>
    </row>
    <row r="202" spans="1:17">
      <c r="A202" t="s">
        <v>17</v>
      </c>
      <c r="B202" t="s">
        <v>42</v>
      </c>
      <c r="C202">
        <v>2025</v>
      </c>
      <c r="D202">
        <v>29</v>
      </c>
      <c r="E202" t="s">
        <v>19</v>
      </c>
      <c r="F202" t="s">
        <v>61</v>
      </c>
      <c r="H202" t="s">
        <v>58</v>
      </c>
      <c r="I202">
        <v>1</v>
      </c>
      <c r="J202">
        <v>1</v>
      </c>
      <c r="K202" t="s">
        <v>42</v>
      </c>
      <c r="L202">
        <v>0</v>
      </c>
      <c r="M202">
        <v>32</v>
      </c>
      <c r="N202">
        <v>0</v>
      </c>
      <c r="O202">
        <v>1</v>
      </c>
      <c r="P202">
        <v>0</v>
      </c>
      <c r="Q202" t="s">
        <v>44</v>
      </c>
    </row>
    <row r="203" spans="1:17">
      <c r="A203" t="s">
        <v>17</v>
      </c>
      <c r="B203" t="s">
        <v>42</v>
      </c>
      <c r="C203">
        <v>2025</v>
      </c>
      <c r="D203">
        <v>29</v>
      </c>
      <c r="E203" t="s">
        <v>19</v>
      </c>
      <c r="F203" t="s">
        <v>61</v>
      </c>
      <c r="G203" t="s">
        <v>28</v>
      </c>
      <c r="H203" t="s">
        <v>29</v>
      </c>
      <c r="I203">
        <v>1</v>
      </c>
      <c r="J203">
        <v>1</v>
      </c>
      <c r="K203" t="s">
        <v>42</v>
      </c>
      <c r="L203">
        <v>0</v>
      </c>
      <c r="M203">
        <v>32</v>
      </c>
      <c r="N203">
        <v>0</v>
      </c>
      <c r="O203">
        <v>1</v>
      </c>
      <c r="P203">
        <v>0</v>
      </c>
      <c r="Q203" t="s">
        <v>44</v>
      </c>
    </row>
    <row r="204" spans="1:17">
      <c r="A204" t="s">
        <v>17</v>
      </c>
      <c r="B204" t="s">
        <v>42</v>
      </c>
      <c r="C204">
        <v>2025</v>
      </c>
      <c r="D204">
        <v>29</v>
      </c>
      <c r="E204" t="s">
        <v>19</v>
      </c>
      <c r="F204" t="s">
        <v>61</v>
      </c>
      <c r="G204" t="s">
        <v>28</v>
      </c>
      <c r="H204" t="s">
        <v>56</v>
      </c>
      <c r="I204">
        <v>1</v>
      </c>
      <c r="J204">
        <v>1</v>
      </c>
      <c r="K204" t="s">
        <v>42</v>
      </c>
      <c r="L204">
        <v>0</v>
      </c>
      <c r="M204">
        <v>32</v>
      </c>
      <c r="N204">
        <v>0</v>
      </c>
      <c r="O204">
        <v>1</v>
      </c>
      <c r="P204">
        <v>0</v>
      </c>
      <c r="Q204" t="s">
        <v>44</v>
      </c>
    </row>
    <row r="205" spans="1:17">
      <c r="A205" t="s">
        <v>17</v>
      </c>
      <c r="B205" t="s">
        <v>42</v>
      </c>
      <c r="C205">
        <v>2025</v>
      </c>
      <c r="D205">
        <v>29</v>
      </c>
      <c r="E205" t="s">
        <v>19</v>
      </c>
      <c r="F205" t="s">
        <v>61</v>
      </c>
      <c r="G205" t="s">
        <v>28</v>
      </c>
      <c r="H205" t="s">
        <v>50</v>
      </c>
      <c r="I205">
        <v>1</v>
      </c>
      <c r="J205">
        <v>1</v>
      </c>
      <c r="K205" t="s">
        <v>42</v>
      </c>
      <c r="L205">
        <v>0</v>
      </c>
      <c r="M205">
        <v>32</v>
      </c>
      <c r="N205">
        <v>0</v>
      </c>
      <c r="O205">
        <v>1</v>
      </c>
      <c r="P205">
        <v>0</v>
      </c>
      <c r="Q205" t="s">
        <v>44</v>
      </c>
    </row>
    <row r="206" spans="1:17">
      <c r="A206" t="s">
        <v>17</v>
      </c>
      <c r="B206" t="s">
        <v>42</v>
      </c>
      <c r="C206">
        <v>2025</v>
      </c>
      <c r="D206">
        <v>29</v>
      </c>
      <c r="E206" t="s">
        <v>19</v>
      </c>
      <c r="F206" t="s">
        <v>61</v>
      </c>
      <c r="G206" t="s">
        <v>28</v>
      </c>
      <c r="H206" t="s">
        <v>38</v>
      </c>
      <c r="I206">
        <v>1</v>
      </c>
      <c r="J206">
        <v>1</v>
      </c>
      <c r="K206" t="s">
        <v>42</v>
      </c>
      <c r="L206">
        <v>0</v>
      </c>
      <c r="M206">
        <v>32</v>
      </c>
      <c r="N206">
        <v>0</v>
      </c>
      <c r="O206">
        <v>1</v>
      </c>
      <c r="P206">
        <v>0</v>
      </c>
      <c r="Q206" t="s">
        <v>44</v>
      </c>
    </row>
    <row r="207" spans="1:17">
      <c r="A207" t="s">
        <v>17</v>
      </c>
      <c r="B207" t="s">
        <v>42</v>
      </c>
      <c r="C207">
        <v>2025</v>
      </c>
      <c r="D207">
        <v>29</v>
      </c>
      <c r="E207" t="s">
        <v>19</v>
      </c>
      <c r="F207" t="s">
        <v>61</v>
      </c>
      <c r="G207" t="s">
        <v>21</v>
      </c>
      <c r="H207" t="s">
        <v>22</v>
      </c>
      <c r="I207">
        <v>1</v>
      </c>
      <c r="J207">
        <v>1</v>
      </c>
      <c r="K207" t="s">
        <v>42</v>
      </c>
      <c r="L207">
        <v>0</v>
      </c>
      <c r="M207">
        <v>32</v>
      </c>
      <c r="N207">
        <v>0</v>
      </c>
      <c r="O207">
        <v>1</v>
      </c>
      <c r="P207">
        <v>0</v>
      </c>
      <c r="Q207" t="s">
        <v>44</v>
      </c>
    </row>
    <row r="208" spans="1:17">
      <c r="A208" t="s">
        <v>17</v>
      </c>
      <c r="B208" t="s">
        <v>42</v>
      </c>
      <c r="C208">
        <v>2025</v>
      </c>
      <c r="D208">
        <v>29</v>
      </c>
      <c r="E208" t="s">
        <v>19</v>
      </c>
      <c r="F208" t="s">
        <v>61</v>
      </c>
      <c r="G208" t="s">
        <v>21</v>
      </c>
      <c r="H208" t="s">
        <v>36</v>
      </c>
      <c r="I208">
        <v>1</v>
      </c>
      <c r="J208">
        <v>1</v>
      </c>
      <c r="K208" t="s">
        <v>42</v>
      </c>
      <c r="L208">
        <v>0</v>
      </c>
      <c r="M208">
        <v>32</v>
      </c>
      <c r="N208">
        <v>0</v>
      </c>
      <c r="O208">
        <v>1</v>
      </c>
      <c r="P208">
        <v>0</v>
      </c>
      <c r="Q208" t="s">
        <v>44</v>
      </c>
    </row>
    <row r="209" spans="1:17">
      <c r="A209" t="s">
        <v>17</v>
      </c>
      <c r="B209" t="s">
        <v>42</v>
      </c>
      <c r="C209">
        <v>2025</v>
      </c>
      <c r="D209">
        <v>29</v>
      </c>
      <c r="E209" t="s">
        <v>19</v>
      </c>
      <c r="F209" t="s">
        <v>61</v>
      </c>
      <c r="G209" t="s">
        <v>21</v>
      </c>
      <c r="H209" t="s">
        <v>24</v>
      </c>
      <c r="I209">
        <v>1</v>
      </c>
      <c r="J209">
        <v>1</v>
      </c>
      <c r="K209" t="s">
        <v>42</v>
      </c>
      <c r="L209">
        <v>0</v>
      </c>
      <c r="M209">
        <v>32</v>
      </c>
      <c r="N209">
        <v>0</v>
      </c>
      <c r="O209">
        <v>1</v>
      </c>
      <c r="P209">
        <v>0</v>
      </c>
      <c r="Q209" t="s">
        <v>44</v>
      </c>
    </row>
    <row r="210" spans="1:17">
      <c r="A210" t="s">
        <v>17</v>
      </c>
      <c r="B210" t="s">
        <v>42</v>
      </c>
      <c r="C210">
        <v>2025</v>
      </c>
      <c r="D210">
        <v>29</v>
      </c>
      <c r="E210" t="s">
        <v>19</v>
      </c>
      <c r="F210" t="s">
        <v>61</v>
      </c>
      <c r="G210" t="s">
        <v>21</v>
      </c>
      <c r="H210" t="s">
        <v>31</v>
      </c>
      <c r="I210">
        <v>1</v>
      </c>
      <c r="J210">
        <v>1</v>
      </c>
      <c r="K210" t="s">
        <v>42</v>
      </c>
      <c r="L210">
        <v>0</v>
      </c>
      <c r="M210">
        <v>32</v>
      </c>
      <c r="N210">
        <v>0</v>
      </c>
      <c r="O210">
        <v>1</v>
      </c>
      <c r="P210">
        <v>0</v>
      </c>
      <c r="Q210" t="s">
        <v>44</v>
      </c>
    </row>
    <row r="211" spans="1:17">
      <c r="A211" t="s">
        <v>17</v>
      </c>
      <c r="B211" t="s">
        <v>42</v>
      </c>
      <c r="C211">
        <v>2025</v>
      </c>
      <c r="D211">
        <v>29</v>
      </c>
      <c r="E211" t="s">
        <v>19</v>
      </c>
      <c r="F211" t="s">
        <v>61</v>
      </c>
      <c r="G211" t="s">
        <v>21</v>
      </c>
      <c r="H211" t="s">
        <v>39</v>
      </c>
      <c r="I211">
        <v>1</v>
      </c>
      <c r="J211">
        <v>1</v>
      </c>
      <c r="K211" t="s">
        <v>42</v>
      </c>
      <c r="L211">
        <v>0</v>
      </c>
      <c r="M211">
        <v>32</v>
      </c>
      <c r="N211">
        <v>0</v>
      </c>
      <c r="O211">
        <v>1</v>
      </c>
      <c r="P211">
        <v>0</v>
      </c>
      <c r="Q211" t="s">
        <v>44</v>
      </c>
    </row>
    <row r="212" spans="1:17">
      <c r="A212" t="s">
        <v>17</v>
      </c>
      <c r="B212" t="s">
        <v>42</v>
      </c>
      <c r="C212">
        <v>2025</v>
      </c>
      <c r="D212">
        <v>29</v>
      </c>
      <c r="E212" t="s">
        <v>19</v>
      </c>
      <c r="F212" t="s">
        <v>61</v>
      </c>
      <c r="G212" t="s">
        <v>32</v>
      </c>
      <c r="H212" t="s">
        <v>59</v>
      </c>
      <c r="I212">
        <v>1</v>
      </c>
      <c r="J212">
        <v>1</v>
      </c>
      <c r="K212" t="s">
        <v>42</v>
      </c>
      <c r="L212">
        <v>0</v>
      </c>
      <c r="M212">
        <v>32</v>
      </c>
      <c r="N212">
        <v>0</v>
      </c>
      <c r="O212">
        <v>1</v>
      </c>
      <c r="P212">
        <v>0</v>
      </c>
      <c r="Q212" t="s">
        <v>44</v>
      </c>
    </row>
    <row r="213" spans="1:17">
      <c r="A213" t="s">
        <v>17</v>
      </c>
      <c r="B213" t="s">
        <v>42</v>
      </c>
      <c r="C213">
        <v>2025</v>
      </c>
      <c r="D213">
        <v>29</v>
      </c>
      <c r="E213" t="s">
        <v>19</v>
      </c>
      <c r="F213" t="s">
        <v>61</v>
      </c>
      <c r="G213" t="s">
        <v>32</v>
      </c>
      <c r="H213" t="s">
        <v>47</v>
      </c>
      <c r="I213">
        <v>1</v>
      </c>
      <c r="J213">
        <v>1</v>
      </c>
      <c r="K213" t="s">
        <v>42</v>
      </c>
      <c r="L213">
        <v>0</v>
      </c>
      <c r="M213">
        <v>32</v>
      </c>
      <c r="N213">
        <v>0</v>
      </c>
      <c r="O213">
        <v>1</v>
      </c>
      <c r="P213">
        <v>0</v>
      </c>
      <c r="Q213" t="s">
        <v>44</v>
      </c>
    </row>
    <row r="214" spans="1:17">
      <c r="A214" t="s">
        <v>17</v>
      </c>
      <c r="B214" t="s">
        <v>42</v>
      </c>
      <c r="C214">
        <v>2025</v>
      </c>
      <c r="D214">
        <v>29</v>
      </c>
      <c r="E214" t="s">
        <v>19</v>
      </c>
      <c r="F214" t="s">
        <v>61</v>
      </c>
      <c r="G214" t="s">
        <v>32</v>
      </c>
      <c r="H214" t="s">
        <v>33</v>
      </c>
      <c r="I214">
        <v>1</v>
      </c>
      <c r="J214">
        <v>1</v>
      </c>
      <c r="K214" t="s">
        <v>42</v>
      </c>
      <c r="L214">
        <v>0</v>
      </c>
      <c r="M214">
        <v>32</v>
      </c>
      <c r="N214">
        <v>0</v>
      </c>
      <c r="O214">
        <v>1</v>
      </c>
      <c r="P214">
        <v>0</v>
      </c>
      <c r="Q214" t="s">
        <v>44</v>
      </c>
    </row>
    <row r="215" spans="1:17">
      <c r="A215" t="s">
        <v>17</v>
      </c>
      <c r="B215" t="s">
        <v>42</v>
      </c>
      <c r="C215">
        <v>2025</v>
      </c>
      <c r="D215">
        <v>29</v>
      </c>
      <c r="E215" t="s">
        <v>19</v>
      </c>
      <c r="F215" t="s">
        <v>61</v>
      </c>
      <c r="G215" t="s">
        <v>32</v>
      </c>
      <c r="H215" t="s">
        <v>60</v>
      </c>
      <c r="I215">
        <v>1</v>
      </c>
      <c r="J215">
        <v>1</v>
      </c>
      <c r="K215" t="s">
        <v>42</v>
      </c>
      <c r="L215">
        <v>0</v>
      </c>
      <c r="M215">
        <v>32</v>
      </c>
      <c r="N215">
        <v>0</v>
      </c>
      <c r="O215">
        <v>1</v>
      </c>
      <c r="P215">
        <v>0</v>
      </c>
      <c r="Q215" t="s">
        <v>44</v>
      </c>
    </row>
    <row r="216" spans="1:17">
      <c r="A216" t="s">
        <v>17</v>
      </c>
      <c r="B216" t="s">
        <v>42</v>
      </c>
      <c r="C216">
        <v>2025</v>
      </c>
      <c r="D216">
        <v>29</v>
      </c>
      <c r="E216" t="s">
        <v>19</v>
      </c>
      <c r="F216" t="s">
        <v>61</v>
      </c>
      <c r="G216" t="s">
        <v>25</v>
      </c>
      <c r="H216" t="s">
        <v>45</v>
      </c>
      <c r="I216">
        <v>1</v>
      </c>
      <c r="J216">
        <v>1</v>
      </c>
      <c r="K216" t="s">
        <v>42</v>
      </c>
      <c r="L216">
        <v>0</v>
      </c>
      <c r="M216">
        <v>32</v>
      </c>
      <c r="N216">
        <v>0</v>
      </c>
      <c r="O216">
        <v>1</v>
      </c>
      <c r="P216">
        <v>0</v>
      </c>
      <c r="Q216" t="s">
        <v>44</v>
      </c>
    </row>
    <row r="217" spans="1:17">
      <c r="A217" t="s">
        <v>17</v>
      </c>
      <c r="B217" t="s">
        <v>42</v>
      </c>
      <c r="C217">
        <v>2025</v>
      </c>
      <c r="D217">
        <v>29</v>
      </c>
      <c r="E217" t="s">
        <v>19</v>
      </c>
      <c r="F217" t="s">
        <v>61</v>
      </c>
      <c r="G217" t="s">
        <v>25</v>
      </c>
      <c r="H217" t="s">
        <v>34</v>
      </c>
      <c r="I217">
        <v>1</v>
      </c>
      <c r="J217">
        <v>1</v>
      </c>
      <c r="K217" t="s">
        <v>42</v>
      </c>
      <c r="L217">
        <v>0</v>
      </c>
      <c r="M217">
        <v>32</v>
      </c>
      <c r="N217">
        <v>0</v>
      </c>
      <c r="O217">
        <v>1</v>
      </c>
      <c r="P217">
        <v>0</v>
      </c>
      <c r="Q217" t="s">
        <v>44</v>
      </c>
    </row>
    <row r="218" spans="1:17">
      <c r="A218" t="s">
        <v>17</v>
      </c>
      <c r="B218" t="s">
        <v>42</v>
      </c>
      <c r="C218">
        <v>2025</v>
      </c>
      <c r="D218">
        <v>29</v>
      </c>
      <c r="E218" t="s">
        <v>19</v>
      </c>
      <c r="F218" t="s">
        <v>61</v>
      </c>
      <c r="G218" t="s">
        <v>25</v>
      </c>
      <c r="H218" t="s">
        <v>26</v>
      </c>
      <c r="I218">
        <v>0</v>
      </c>
      <c r="J218">
        <v>0</v>
      </c>
      <c r="K218" t="s">
        <v>42</v>
      </c>
      <c r="L218">
        <v>0</v>
      </c>
      <c r="M218">
        <v>32</v>
      </c>
      <c r="N218">
        <v>0</v>
      </c>
      <c r="O218">
        <v>0</v>
      </c>
      <c r="P218">
        <v>0</v>
      </c>
      <c r="Q218" t="s">
        <v>44</v>
      </c>
    </row>
    <row r="236" spans="1:17">
      <c r="A236">
        <f>setup!C19</f>
        <v>3769</v>
      </c>
    </row>
    <row r="237" spans="1:17">
      <c r="A237" t="str">
        <f>setup!D19</f>
        <v>Retest WISC-6 Standardization Digital</v>
      </c>
    </row>
    <row r="238" spans="1:17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7</v>
      </c>
      <c r="I238" t="s">
        <v>8</v>
      </c>
      <c r="J238" t="s">
        <v>9</v>
      </c>
      <c r="K238" t="s">
        <v>10</v>
      </c>
      <c r="L238" t="s">
        <v>11</v>
      </c>
      <c r="M238" t="s">
        <v>12</v>
      </c>
      <c r="N238" t="s">
        <v>13</v>
      </c>
      <c r="O238" t="s">
        <v>14</v>
      </c>
      <c r="P238" t="s">
        <v>15</v>
      </c>
      <c r="Q238" t="s">
        <v>16</v>
      </c>
    </row>
    <row r="239" spans="1:17">
      <c r="A239" t="s">
        <v>17</v>
      </c>
      <c r="B239" t="s">
        <v>42</v>
      </c>
      <c r="C239">
        <v>2025</v>
      </c>
      <c r="D239">
        <v>29</v>
      </c>
      <c r="E239" t="s">
        <v>19</v>
      </c>
      <c r="F239" t="s">
        <v>62</v>
      </c>
      <c r="H239" t="s">
        <v>58</v>
      </c>
      <c r="I239">
        <v>1</v>
      </c>
      <c r="J239">
        <v>1</v>
      </c>
      <c r="K239" t="s">
        <v>42</v>
      </c>
      <c r="L239">
        <v>0</v>
      </c>
      <c r="M239">
        <v>32</v>
      </c>
      <c r="N239">
        <v>0</v>
      </c>
      <c r="O239">
        <v>1</v>
      </c>
      <c r="P239">
        <v>0</v>
      </c>
      <c r="Q239" t="s">
        <v>44</v>
      </c>
    </row>
    <row r="240" spans="1:17">
      <c r="A240" t="s">
        <v>17</v>
      </c>
      <c r="B240" t="s">
        <v>42</v>
      </c>
      <c r="C240">
        <v>2025</v>
      </c>
      <c r="D240">
        <v>29</v>
      </c>
      <c r="E240" t="s">
        <v>19</v>
      </c>
      <c r="F240" t="s">
        <v>62</v>
      </c>
      <c r="G240" t="s">
        <v>28</v>
      </c>
      <c r="H240" t="s">
        <v>29</v>
      </c>
      <c r="I240">
        <v>1</v>
      </c>
      <c r="J240">
        <v>1</v>
      </c>
      <c r="K240" t="s">
        <v>42</v>
      </c>
      <c r="L240">
        <v>0</v>
      </c>
      <c r="M240">
        <v>32</v>
      </c>
      <c r="N240">
        <v>0</v>
      </c>
      <c r="O240">
        <v>1</v>
      </c>
      <c r="P240">
        <v>0</v>
      </c>
      <c r="Q240" t="s">
        <v>44</v>
      </c>
    </row>
    <row r="241" spans="1:17">
      <c r="A241" t="s">
        <v>17</v>
      </c>
      <c r="B241" t="s">
        <v>42</v>
      </c>
      <c r="C241">
        <v>2025</v>
      </c>
      <c r="D241">
        <v>29</v>
      </c>
      <c r="E241" t="s">
        <v>19</v>
      </c>
      <c r="F241" t="s">
        <v>62</v>
      </c>
      <c r="G241" t="s">
        <v>28</v>
      </c>
      <c r="H241" t="s">
        <v>56</v>
      </c>
      <c r="I241">
        <v>1</v>
      </c>
      <c r="J241">
        <v>1</v>
      </c>
      <c r="K241" t="s">
        <v>42</v>
      </c>
      <c r="L241">
        <v>0</v>
      </c>
      <c r="M241">
        <v>32</v>
      </c>
      <c r="N241">
        <v>0</v>
      </c>
      <c r="O241">
        <v>1</v>
      </c>
      <c r="P241">
        <v>0</v>
      </c>
      <c r="Q241" t="s">
        <v>44</v>
      </c>
    </row>
    <row r="242" spans="1:17">
      <c r="A242" t="s">
        <v>17</v>
      </c>
      <c r="B242" t="s">
        <v>42</v>
      </c>
      <c r="C242">
        <v>2025</v>
      </c>
      <c r="D242">
        <v>29</v>
      </c>
      <c r="E242" t="s">
        <v>19</v>
      </c>
      <c r="F242" t="s">
        <v>62</v>
      </c>
      <c r="G242" t="s">
        <v>28</v>
      </c>
      <c r="H242" t="s">
        <v>50</v>
      </c>
      <c r="I242">
        <v>1</v>
      </c>
      <c r="J242">
        <v>1</v>
      </c>
      <c r="K242" t="s">
        <v>42</v>
      </c>
      <c r="L242">
        <v>0</v>
      </c>
      <c r="M242">
        <v>32</v>
      </c>
      <c r="N242">
        <v>0</v>
      </c>
      <c r="O242">
        <v>1</v>
      </c>
      <c r="P242">
        <v>0</v>
      </c>
      <c r="Q242" t="s">
        <v>44</v>
      </c>
    </row>
    <row r="243" spans="1:17">
      <c r="A243" t="s">
        <v>17</v>
      </c>
      <c r="B243" t="s">
        <v>42</v>
      </c>
      <c r="C243">
        <v>2025</v>
      </c>
      <c r="D243">
        <v>29</v>
      </c>
      <c r="E243" t="s">
        <v>19</v>
      </c>
      <c r="F243" t="s">
        <v>62</v>
      </c>
      <c r="G243" t="s">
        <v>28</v>
      </c>
      <c r="H243" t="s">
        <v>38</v>
      </c>
      <c r="I243">
        <v>1</v>
      </c>
      <c r="J243">
        <v>1</v>
      </c>
      <c r="K243" t="s">
        <v>42</v>
      </c>
      <c r="L243">
        <v>0</v>
      </c>
      <c r="M243">
        <v>32</v>
      </c>
      <c r="N243">
        <v>0</v>
      </c>
      <c r="O243">
        <v>1</v>
      </c>
      <c r="P243">
        <v>0</v>
      </c>
      <c r="Q243" t="s">
        <v>44</v>
      </c>
    </row>
    <row r="244" spans="1:17">
      <c r="A244" t="s">
        <v>17</v>
      </c>
      <c r="B244" t="s">
        <v>42</v>
      </c>
      <c r="C244">
        <v>2025</v>
      </c>
      <c r="D244">
        <v>29</v>
      </c>
      <c r="E244" t="s">
        <v>19</v>
      </c>
      <c r="F244" t="s">
        <v>62</v>
      </c>
      <c r="G244" t="s">
        <v>21</v>
      </c>
      <c r="H244" t="s">
        <v>22</v>
      </c>
      <c r="I244">
        <v>1</v>
      </c>
      <c r="J244">
        <v>1</v>
      </c>
      <c r="K244" t="s">
        <v>42</v>
      </c>
      <c r="L244">
        <v>0</v>
      </c>
      <c r="M244">
        <v>32</v>
      </c>
      <c r="N244">
        <v>0</v>
      </c>
      <c r="O244">
        <v>1</v>
      </c>
      <c r="P244">
        <v>0</v>
      </c>
      <c r="Q244" t="s">
        <v>44</v>
      </c>
    </row>
    <row r="245" spans="1:17">
      <c r="A245" t="s">
        <v>17</v>
      </c>
      <c r="B245" t="s">
        <v>42</v>
      </c>
      <c r="C245">
        <v>2025</v>
      </c>
      <c r="D245">
        <v>29</v>
      </c>
      <c r="E245" t="s">
        <v>19</v>
      </c>
      <c r="F245" t="s">
        <v>62</v>
      </c>
      <c r="G245" t="s">
        <v>21</v>
      </c>
      <c r="H245" t="s">
        <v>36</v>
      </c>
      <c r="I245">
        <v>1</v>
      </c>
      <c r="J245">
        <v>1</v>
      </c>
      <c r="K245" t="s">
        <v>42</v>
      </c>
      <c r="L245">
        <v>0</v>
      </c>
      <c r="M245">
        <v>32</v>
      </c>
      <c r="N245">
        <v>0</v>
      </c>
      <c r="O245">
        <v>1</v>
      </c>
      <c r="P245">
        <v>0</v>
      </c>
      <c r="Q245" t="s">
        <v>44</v>
      </c>
    </row>
    <row r="246" spans="1:17">
      <c r="A246" t="s">
        <v>17</v>
      </c>
      <c r="B246" t="s">
        <v>42</v>
      </c>
      <c r="C246">
        <v>2025</v>
      </c>
      <c r="D246">
        <v>29</v>
      </c>
      <c r="E246" t="s">
        <v>19</v>
      </c>
      <c r="F246" t="s">
        <v>62</v>
      </c>
      <c r="G246" t="s">
        <v>21</v>
      </c>
      <c r="H246" t="s">
        <v>24</v>
      </c>
      <c r="I246">
        <v>1</v>
      </c>
      <c r="J246">
        <v>1</v>
      </c>
      <c r="K246" t="s">
        <v>42</v>
      </c>
      <c r="L246">
        <v>0</v>
      </c>
      <c r="M246">
        <v>32</v>
      </c>
      <c r="N246">
        <v>0</v>
      </c>
      <c r="O246">
        <v>1</v>
      </c>
      <c r="P246">
        <v>0</v>
      </c>
      <c r="Q246" t="s">
        <v>44</v>
      </c>
    </row>
    <row r="247" spans="1:17">
      <c r="A247" t="s">
        <v>17</v>
      </c>
      <c r="B247" t="s">
        <v>42</v>
      </c>
      <c r="C247">
        <v>2025</v>
      </c>
      <c r="D247">
        <v>29</v>
      </c>
      <c r="E247" t="s">
        <v>19</v>
      </c>
      <c r="F247" t="s">
        <v>62</v>
      </c>
      <c r="G247" t="s">
        <v>21</v>
      </c>
      <c r="H247" t="s">
        <v>31</v>
      </c>
      <c r="I247">
        <v>1</v>
      </c>
      <c r="J247">
        <v>1</v>
      </c>
      <c r="K247" t="s">
        <v>42</v>
      </c>
      <c r="L247">
        <v>0</v>
      </c>
      <c r="M247">
        <v>32</v>
      </c>
      <c r="N247">
        <v>0</v>
      </c>
      <c r="O247">
        <v>1</v>
      </c>
      <c r="P247">
        <v>0</v>
      </c>
      <c r="Q247" t="s">
        <v>44</v>
      </c>
    </row>
    <row r="248" spans="1:17">
      <c r="A248" t="s">
        <v>17</v>
      </c>
      <c r="B248" t="s">
        <v>42</v>
      </c>
      <c r="C248">
        <v>2025</v>
      </c>
      <c r="D248">
        <v>29</v>
      </c>
      <c r="E248" t="s">
        <v>19</v>
      </c>
      <c r="F248" t="s">
        <v>62</v>
      </c>
      <c r="G248" t="s">
        <v>21</v>
      </c>
      <c r="H248" t="s">
        <v>39</v>
      </c>
      <c r="I248">
        <v>1</v>
      </c>
      <c r="J248">
        <v>1</v>
      </c>
      <c r="K248" t="s">
        <v>42</v>
      </c>
      <c r="L248">
        <v>0</v>
      </c>
      <c r="M248">
        <v>32</v>
      </c>
      <c r="N248">
        <v>0</v>
      </c>
      <c r="O248">
        <v>1</v>
      </c>
      <c r="P248">
        <v>0</v>
      </c>
      <c r="Q248" t="s">
        <v>44</v>
      </c>
    </row>
    <row r="249" spans="1:17">
      <c r="A249" t="s">
        <v>17</v>
      </c>
      <c r="B249" t="s">
        <v>42</v>
      </c>
      <c r="C249">
        <v>2025</v>
      </c>
      <c r="D249">
        <v>29</v>
      </c>
      <c r="E249" t="s">
        <v>19</v>
      </c>
      <c r="F249" t="s">
        <v>62</v>
      </c>
      <c r="G249" t="s">
        <v>32</v>
      </c>
      <c r="H249" t="s">
        <v>59</v>
      </c>
      <c r="I249">
        <v>1</v>
      </c>
      <c r="J249">
        <v>1</v>
      </c>
      <c r="K249" t="s">
        <v>42</v>
      </c>
      <c r="L249">
        <v>0</v>
      </c>
      <c r="M249">
        <v>32</v>
      </c>
      <c r="N249">
        <v>0</v>
      </c>
      <c r="O249">
        <v>1</v>
      </c>
      <c r="P249">
        <v>0</v>
      </c>
      <c r="Q249" t="s">
        <v>44</v>
      </c>
    </row>
    <row r="250" spans="1:17">
      <c r="A250" t="s">
        <v>17</v>
      </c>
      <c r="B250" t="s">
        <v>42</v>
      </c>
      <c r="C250">
        <v>2025</v>
      </c>
      <c r="D250">
        <v>29</v>
      </c>
      <c r="E250" t="s">
        <v>19</v>
      </c>
      <c r="F250" t="s">
        <v>62</v>
      </c>
      <c r="G250" t="s">
        <v>32</v>
      </c>
      <c r="H250" t="s">
        <v>47</v>
      </c>
      <c r="I250">
        <v>1</v>
      </c>
      <c r="J250">
        <v>1</v>
      </c>
      <c r="K250" t="s">
        <v>42</v>
      </c>
      <c r="L250">
        <v>0</v>
      </c>
      <c r="M250">
        <v>32</v>
      </c>
      <c r="N250">
        <v>0</v>
      </c>
      <c r="O250">
        <v>1</v>
      </c>
      <c r="P250">
        <v>0</v>
      </c>
      <c r="Q250" t="s">
        <v>44</v>
      </c>
    </row>
    <row r="251" spans="1:17">
      <c r="A251" t="s">
        <v>17</v>
      </c>
      <c r="B251" t="s">
        <v>42</v>
      </c>
      <c r="C251">
        <v>2025</v>
      </c>
      <c r="D251">
        <v>29</v>
      </c>
      <c r="E251" t="s">
        <v>19</v>
      </c>
      <c r="F251" t="s">
        <v>62</v>
      </c>
      <c r="G251" t="s">
        <v>32</v>
      </c>
      <c r="H251" t="s">
        <v>33</v>
      </c>
      <c r="I251">
        <v>1</v>
      </c>
      <c r="J251">
        <v>1</v>
      </c>
      <c r="K251" t="s">
        <v>42</v>
      </c>
      <c r="L251">
        <v>0</v>
      </c>
      <c r="M251">
        <v>32</v>
      </c>
      <c r="N251">
        <v>0</v>
      </c>
      <c r="O251">
        <v>1</v>
      </c>
      <c r="P251">
        <v>0</v>
      </c>
      <c r="Q251" t="s">
        <v>44</v>
      </c>
    </row>
    <row r="252" spans="1:17">
      <c r="A252" t="s">
        <v>17</v>
      </c>
      <c r="B252" t="s">
        <v>42</v>
      </c>
      <c r="C252">
        <v>2025</v>
      </c>
      <c r="D252">
        <v>29</v>
      </c>
      <c r="E252" t="s">
        <v>19</v>
      </c>
      <c r="F252" t="s">
        <v>62</v>
      </c>
      <c r="G252" t="s">
        <v>32</v>
      </c>
      <c r="H252" t="s">
        <v>60</v>
      </c>
      <c r="I252">
        <v>1</v>
      </c>
      <c r="J252">
        <v>1</v>
      </c>
      <c r="K252" t="s">
        <v>42</v>
      </c>
      <c r="L252">
        <v>0</v>
      </c>
      <c r="M252">
        <v>32</v>
      </c>
      <c r="N252">
        <v>0</v>
      </c>
      <c r="O252">
        <v>1</v>
      </c>
      <c r="P252">
        <v>0</v>
      </c>
      <c r="Q252" t="s">
        <v>44</v>
      </c>
    </row>
    <row r="253" spans="1:17">
      <c r="A253" t="s">
        <v>17</v>
      </c>
      <c r="B253" t="s">
        <v>42</v>
      </c>
      <c r="C253">
        <v>2025</v>
      </c>
      <c r="D253">
        <v>29</v>
      </c>
      <c r="E253" t="s">
        <v>19</v>
      </c>
      <c r="F253" t="s">
        <v>62</v>
      </c>
      <c r="G253" t="s">
        <v>25</v>
      </c>
      <c r="H253" t="s">
        <v>45</v>
      </c>
      <c r="I253">
        <v>1</v>
      </c>
      <c r="J253">
        <v>1</v>
      </c>
      <c r="K253" t="s">
        <v>42</v>
      </c>
      <c r="L253">
        <v>0</v>
      </c>
      <c r="M253">
        <v>32</v>
      </c>
      <c r="N253">
        <v>0</v>
      </c>
      <c r="O253">
        <v>1</v>
      </c>
      <c r="P253">
        <v>0</v>
      </c>
      <c r="Q253" t="s">
        <v>44</v>
      </c>
    </row>
    <row r="254" spans="1:17">
      <c r="A254" t="s">
        <v>17</v>
      </c>
      <c r="B254" t="s">
        <v>42</v>
      </c>
      <c r="C254">
        <v>2025</v>
      </c>
      <c r="D254">
        <v>29</v>
      </c>
      <c r="E254" t="s">
        <v>19</v>
      </c>
      <c r="F254" t="s">
        <v>62</v>
      </c>
      <c r="G254" t="s">
        <v>25</v>
      </c>
      <c r="H254" t="s">
        <v>34</v>
      </c>
      <c r="I254">
        <v>1</v>
      </c>
      <c r="J254">
        <v>1</v>
      </c>
      <c r="K254" t="s">
        <v>42</v>
      </c>
      <c r="L254">
        <v>0</v>
      </c>
      <c r="M254">
        <v>32</v>
      </c>
      <c r="N254">
        <v>0</v>
      </c>
      <c r="O254">
        <v>1</v>
      </c>
      <c r="P254">
        <v>0</v>
      </c>
      <c r="Q254" t="s">
        <v>44</v>
      </c>
    </row>
    <row r="255" spans="1:17">
      <c r="A255" t="s">
        <v>17</v>
      </c>
      <c r="B255" t="s">
        <v>42</v>
      </c>
      <c r="C255">
        <v>2025</v>
      </c>
      <c r="D255">
        <v>29</v>
      </c>
      <c r="E255" t="s">
        <v>19</v>
      </c>
      <c r="F255" t="s">
        <v>62</v>
      </c>
      <c r="G255" t="s">
        <v>25</v>
      </c>
      <c r="H255" t="s">
        <v>26</v>
      </c>
      <c r="I255">
        <v>0</v>
      </c>
      <c r="J255">
        <v>0</v>
      </c>
      <c r="K255" t="s">
        <v>42</v>
      </c>
      <c r="L255">
        <v>0</v>
      </c>
      <c r="M255">
        <v>32</v>
      </c>
      <c r="N255">
        <v>0</v>
      </c>
      <c r="O255">
        <v>0</v>
      </c>
      <c r="P255">
        <v>0</v>
      </c>
      <c r="Q255" t="s">
        <v>44</v>
      </c>
    </row>
    <row r="256" spans="1:17">
      <c r="A256" t="s">
        <v>17</v>
      </c>
      <c r="B256" t="s">
        <v>42</v>
      </c>
      <c r="C256">
        <v>2025</v>
      </c>
      <c r="D256">
        <v>29</v>
      </c>
      <c r="E256" t="s">
        <v>19</v>
      </c>
      <c r="F256" t="s">
        <v>63</v>
      </c>
      <c r="H256" t="s">
        <v>58</v>
      </c>
      <c r="I256">
        <v>1</v>
      </c>
      <c r="J256">
        <v>1</v>
      </c>
      <c r="K256" t="s">
        <v>42</v>
      </c>
      <c r="L256">
        <v>0</v>
      </c>
      <c r="M256">
        <v>32</v>
      </c>
      <c r="N256">
        <v>0</v>
      </c>
      <c r="O256">
        <v>1</v>
      </c>
      <c r="P256">
        <v>0</v>
      </c>
      <c r="Q256" t="s">
        <v>44</v>
      </c>
    </row>
    <row r="257" spans="1:17">
      <c r="A257" t="s">
        <v>17</v>
      </c>
      <c r="B257" t="s">
        <v>42</v>
      </c>
      <c r="C257">
        <v>2025</v>
      </c>
      <c r="D257">
        <v>29</v>
      </c>
      <c r="E257" t="s">
        <v>19</v>
      </c>
      <c r="F257" t="s">
        <v>63</v>
      </c>
      <c r="G257" t="s">
        <v>28</v>
      </c>
      <c r="H257" t="s">
        <v>29</v>
      </c>
      <c r="I257">
        <v>1</v>
      </c>
      <c r="J257">
        <v>1</v>
      </c>
      <c r="K257" t="s">
        <v>42</v>
      </c>
      <c r="L257">
        <v>0</v>
      </c>
      <c r="M257">
        <v>32</v>
      </c>
      <c r="N257">
        <v>0</v>
      </c>
      <c r="O257">
        <v>1</v>
      </c>
      <c r="P257">
        <v>0</v>
      </c>
      <c r="Q257" t="s">
        <v>44</v>
      </c>
    </row>
    <row r="258" spans="1:17">
      <c r="A258" t="s">
        <v>17</v>
      </c>
      <c r="B258" t="s">
        <v>42</v>
      </c>
      <c r="C258">
        <v>2025</v>
      </c>
      <c r="D258">
        <v>29</v>
      </c>
      <c r="E258" t="s">
        <v>19</v>
      </c>
      <c r="F258" t="s">
        <v>63</v>
      </c>
      <c r="G258" t="s">
        <v>28</v>
      </c>
      <c r="H258" t="s">
        <v>56</v>
      </c>
      <c r="I258">
        <v>1</v>
      </c>
      <c r="J258">
        <v>1</v>
      </c>
      <c r="K258" t="s">
        <v>42</v>
      </c>
      <c r="L258">
        <v>0</v>
      </c>
      <c r="M258">
        <v>32</v>
      </c>
      <c r="N258">
        <v>0</v>
      </c>
      <c r="O258">
        <v>1</v>
      </c>
      <c r="P258">
        <v>0</v>
      </c>
      <c r="Q258" t="s">
        <v>44</v>
      </c>
    </row>
    <row r="259" spans="1:17">
      <c r="A259" t="s">
        <v>17</v>
      </c>
      <c r="B259" t="s">
        <v>42</v>
      </c>
      <c r="C259">
        <v>2025</v>
      </c>
      <c r="D259">
        <v>29</v>
      </c>
      <c r="E259" t="s">
        <v>19</v>
      </c>
      <c r="F259" t="s">
        <v>63</v>
      </c>
      <c r="G259" t="s">
        <v>28</v>
      </c>
      <c r="H259" t="s">
        <v>50</v>
      </c>
      <c r="I259">
        <v>1</v>
      </c>
      <c r="J259">
        <v>1</v>
      </c>
      <c r="K259" t="s">
        <v>42</v>
      </c>
      <c r="L259">
        <v>0</v>
      </c>
      <c r="M259">
        <v>32</v>
      </c>
      <c r="N259">
        <v>0</v>
      </c>
      <c r="O259">
        <v>1</v>
      </c>
      <c r="P259">
        <v>0</v>
      </c>
      <c r="Q259" t="s">
        <v>44</v>
      </c>
    </row>
    <row r="260" spans="1:17">
      <c r="A260" t="s">
        <v>17</v>
      </c>
      <c r="B260" t="s">
        <v>42</v>
      </c>
      <c r="C260">
        <v>2025</v>
      </c>
      <c r="D260">
        <v>29</v>
      </c>
      <c r="E260" t="s">
        <v>19</v>
      </c>
      <c r="F260" t="s">
        <v>63</v>
      </c>
      <c r="G260" t="s">
        <v>28</v>
      </c>
      <c r="H260" t="s">
        <v>38</v>
      </c>
      <c r="I260">
        <v>1</v>
      </c>
      <c r="J260">
        <v>1</v>
      </c>
      <c r="K260" t="s">
        <v>42</v>
      </c>
      <c r="L260">
        <v>0</v>
      </c>
      <c r="M260">
        <v>32</v>
      </c>
      <c r="N260">
        <v>0</v>
      </c>
      <c r="O260">
        <v>1</v>
      </c>
      <c r="P260">
        <v>0</v>
      </c>
      <c r="Q260" t="s">
        <v>44</v>
      </c>
    </row>
    <row r="261" spans="1:17">
      <c r="A261" t="s">
        <v>17</v>
      </c>
      <c r="B261" t="s">
        <v>42</v>
      </c>
      <c r="C261">
        <v>2025</v>
      </c>
      <c r="D261">
        <v>29</v>
      </c>
      <c r="E261" t="s">
        <v>19</v>
      </c>
      <c r="F261" t="s">
        <v>63</v>
      </c>
      <c r="G261" t="s">
        <v>21</v>
      </c>
      <c r="H261" t="s">
        <v>22</v>
      </c>
      <c r="I261">
        <v>1</v>
      </c>
      <c r="J261">
        <v>1</v>
      </c>
      <c r="K261" t="s">
        <v>42</v>
      </c>
      <c r="L261">
        <v>0</v>
      </c>
      <c r="M261">
        <v>32</v>
      </c>
      <c r="N261">
        <v>0</v>
      </c>
      <c r="O261">
        <v>1</v>
      </c>
      <c r="P261">
        <v>0</v>
      </c>
      <c r="Q261" t="s">
        <v>44</v>
      </c>
    </row>
    <row r="262" spans="1:17">
      <c r="A262" t="s">
        <v>17</v>
      </c>
      <c r="B262" t="s">
        <v>42</v>
      </c>
      <c r="C262">
        <v>2025</v>
      </c>
      <c r="D262">
        <v>29</v>
      </c>
      <c r="E262" t="s">
        <v>19</v>
      </c>
      <c r="F262" t="s">
        <v>63</v>
      </c>
      <c r="G262" t="s">
        <v>21</v>
      </c>
      <c r="H262" t="s">
        <v>36</v>
      </c>
      <c r="I262">
        <v>1</v>
      </c>
      <c r="J262">
        <v>1</v>
      </c>
      <c r="K262" t="s">
        <v>42</v>
      </c>
      <c r="L262">
        <v>0</v>
      </c>
      <c r="M262">
        <v>32</v>
      </c>
      <c r="N262">
        <v>0</v>
      </c>
      <c r="O262">
        <v>1</v>
      </c>
      <c r="P262">
        <v>0</v>
      </c>
      <c r="Q262" t="s">
        <v>44</v>
      </c>
    </row>
    <row r="263" spans="1:17">
      <c r="A263" t="s">
        <v>17</v>
      </c>
      <c r="B263" t="s">
        <v>42</v>
      </c>
      <c r="C263">
        <v>2025</v>
      </c>
      <c r="D263">
        <v>29</v>
      </c>
      <c r="E263" t="s">
        <v>19</v>
      </c>
      <c r="F263" t="s">
        <v>63</v>
      </c>
      <c r="G263" t="s">
        <v>21</v>
      </c>
      <c r="H263" t="s">
        <v>24</v>
      </c>
      <c r="I263">
        <v>1</v>
      </c>
      <c r="J263">
        <v>1</v>
      </c>
      <c r="K263" t="s">
        <v>42</v>
      </c>
      <c r="L263">
        <v>0</v>
      </c>
      <c r="M263">
        <v>32</v>
      </c>
      <c r="N263">
        <v>0</v>
      </c>
      <c r="O263">
        <v>1</v>
      </c>
      <c r="P263">
        <v>0</v>
      </c>
      <c r="Q263" t="s">
        <v>44</v>
      </c>
    </row>
    <row r="264" spans="1:17">
      <c r="A264" t="s">
        <v>17</v>
      </c>
      <c r="B264" t="s">
        <v>42</v>
      </c>
      <c r="C264">
        <v>2025</v>
      </c>
      <c r="D264">
        <v>29</v>
      </c>
      <c r="E264" t="s">
        <v>19</v>
      </c>
      <c r="F264" t="s">
        <v>63</v>
      </c>
      <c r="G264" t="s">
        <v>21</v>
      </c>
      <c r="H264" t="s">
        <v>31</v>
      </c>
      <c r="I264">
        <v>1</v>
      </c>
      <c r="J264">
        <v>1</v>
      </c>
      <c r="K264" t="s">
        <v>30</v>
      </c>
      <c r="L264">
        <v>1</v>
      </c>
      <c r="M264">
        <v>32</v>
      </c>
      <c r="N264">
        <v>1</v>
      </c>
      <c r="O264">
        <v>0</v>
      </c>
      <c r="P264">
        <v>0</v>
      </c>
      <c r="Q264" t="s">
        <v>44</v>
      </c>
    </row>
    <row r="265" spans="1:17">
      <c r="A265" t="s">
        <v>17</v>
      </c>
      <c r="B265" t="s">
        <v>42</v>
      </c>
      <c r="C265">
        <v>2025</v>
      </c>
      <c r="D265">
        <v>29</v>
      </c>
      <c r="E265" t="s">
        <v>19</v>
      </c>
      <c r="F265" t="s">
        <v>63</v>
      </c>
      <c r="G265" t="s">
        <v>21</v>
      </c>
      <c r="H265" t="s">
        <v>39</v>
      </c>
      <c r="I265">
        <v>1</v>
      </c>
      <c r="J265">
        <v>1</v>
      </c>
      <c r="K265" t="s">
        <v>42</v>
      </c>
      <c r="L265">
        <v>0</v>
      </c>
      <c r="M265">
        <v>32</v>
      </c>
      <c r="N265">
        <v>0</v>
      </c>
      <c r="O265">
        <v>1</v>
      </c>
      <c r="P265">
        <v>0</v>
      </c>
      <c r="Q265" t="s">
        <v>44</v>
      </c>
    </row>
    <row r="266" spans="1:17">
      <c r="A266" t="s">
        <v>17</v>
      </c>
      <c r="B266" t="s">
        <v>42</v>
      </c>
      <c r="C266">
        <v>2025</v>
      </c>
      <c r="D266">
        <v>29</v>
      </c>
      <c r="E266" t="s">
        <v>19</v>
      </c>
      <c r="F266" t="s">
        <v>63</v>
      </c>
      <c r="G266" t="s">
        <v>32</v>
      </c>
      <c r="H266" t="s">
        <v>59</v>
      </c>
      <c r="I266">
        <v>1</v>
      </c>
      <c r="J266">
        <v>1</v>
      </c>
      <c r="K266" t="s">
        <v>42</v>
      </c>
      <c r="L266">
        <v>0</v>
      </c>
      <c r="M266">
        <v>32</v>
      </c>
      <c r="N266">
        <v>0</v>
      </c>
      <c r="O266">
        <v>1</v>
      </c>
      <c r="P266">
        <v>0</v>
      </c>
      <c r="Q266" t="s">
        <v>44</v>
      </c>
    </row>
    <row r="267" spans="1:17">
      <c r="A267" t="s">
        <v>17</v>
      </c>
      <c r="B267" t="s">
        <v>42</v>
      </c>
      <c r="C267">
        <v>2025</v>
      </c>
      <c r="D267">
        <v>29</v>
      </c>
      <c r="E267" t="s">
        <v>19</v>
      </c>
      <c r="F267" t="s">
        <v>63</v>
      </c>
      <c r="G267" t="s">
        <v>32</v>
      </c>
      <c r="H267" t="s">
        <v>47</v>
      </c>
      <c r="I267">
        <v>1</v>
      </c>
      <c r="J267">
        <v>1</v>
      </c>
      <c r="K267" t="s">
        <v>42</v>
      </c>
      <c r="L267">
        <v>0</v>
      </c>
      <c r="M267">
        <v>32</v>
      </c>
      <c r="N267">
        <v>0</v>
      </c>
      <c r="O267">
        <v>1</v>
      </c>
      <c r="P267">
        <v>0</v>
      </c>
      <c r="Q267" t="s">
        <v>44</v>
      </c>
    </row>
    <row r="268" spans="1:17">
      <c r="A268" t="s">
        <v>17</v>
      </c>
      <c r="B268" t="s">
        <v>42</v>
      </c>
      <c r="C268">
        <v>2025</v>
      </c>
      <c r="D268">
        <v>29</v>
      </c>
      <c r="E268" t="s">
        <v>19</v>
      </c>
      <c r="F268" t="s">
        <v>63</v>
      </c>
      <c r="G268" t="s">
        <v>32</v>
      </c>
      <c r="H268" t="s">
        <v>33</v>
      </c>
      <c r="I268">
        <v>1</v>
      </c>
      <c r="J268">
        <v>1</v>
      </c>
      <c r="K268" t="s">
        <v>30</v>
      </c>
      <c r="L268">
        <v>1</v>
      </c>
      <c r="M268">
        <v>32</v>
      </c>
      <c r="N268">
        <v>1</v>
      </c>
      <c r="O268">
        <v>0</v>
      </c>
      <c r="P268">
        <v>0</v>
      </c>
      <c r="Q268" t="s">
        <v>44</v>
      </c>
    </row>
    <row r="269" spans="1:17">
      <c r="A269" t="s">
        <v>17</v>
      </c>
      <c r="B269" t="s">
        <v>42</v>
      </c>
      <c r="C269">
        <v>2025</v>
      </c>
      <c r="D269">
        <v>29</v>
      </c>
      <c r="E269" t="s">
        <v>19</v>
      </c>
      <c r="F269" t="s">
        <v>63</v>
      </c>
      <c r="G269" t="s">
        <v>32</v>
      </c>
      <c r="H269" t="s">
        <v>60</v>
      </c>
      <c r="I269">
        <v>1</v>
      </c>
      <c r="J269">
        <v>1</v>
      </c>
      <c r="K269" t="s">
        <v>42</v>
      </c>
      <c r="L269">
        <v>0</v>
      </c>
      <c r="M269">
        <v>32</v>
      </c>
      <c r="N269">
        <v>0</v>
      </c>
      <c r="O269">
        <v>1</v>
      </c>
      <c r="P269">
        <v>0</v>
      </c>
      <c r="Q269" t="s">
        <v>44</v>
      </c>
    </row>
    <row r="270" spans="1:17">
      <c r="A270" t="s">
        <v>17</v>
      </c>
      <c r="B270" t="s">
        <v>42</v>
      </c>
      <c r="C270">
        <v>2025</v>
      </c>
      <c r="D270">
        <v>29</v>
      </c>
      <c r="E270" t="s">
        <v>19</v>
      </c>
      <c r="F270" t="s">
        <v>63</v>
      </c>
      <c r="G270" t="s">
        <v>25</v>
      </c>
      <c r="H270" t="s">
        <v>45</v>
      </c>
      <c r="I270">
        <v>1</v>
      </c>
      <c r="J270">
        <v>1</v>
      </c>
      <c r="K270" t="s">
        <v>30</v>
      </c>
      <c r="L270">
        <v>1</v>
      </c>
      <c r="M270">
        <v>32</v>
      </c>
      <c r="N270">
        <v>1</v>
      </c>
      <c r="O270">
        <v>0</v>
      </c>
      <c r="P270">
        <v>0</v>
      </c>
      <c r="Q270" t="s">
        <v>44</v>
      </c>
    </row>
    <row r="271" spans="1:17">
      <c r="A271" t="s">
        <v>17</v>
      </c>
      <c r="B271" t="s">
        <v>42</v>
      </c>
      <c r="C271">
        <v>2025</v>
      </c>
      <c r="D271">
        <v>29</v>
      </c>
      <c r="E271" t="s">
        <v>19</v>
      </c>
      <c r="F271" t="s">
        <v>63</v>
      </c>
      <c r="G271" t="s">
        <v>25</v>
      </c>
      <c r="H271" t="s">
        <v>34</v>
      </c>
      <c r="I271">
        <v>1</v>
      </c>
      <c r="J271">
        <v>1</v>
      </c>
      <c r="K271" t="s">
        <v>42</v>
      </c>
      <c r="L271">
        <v>0</v>
      </c>
      <c r="M271">
        <v>32</v>
      </c>
      <c r="N271">
        <v>0</v>
      </c>
      <c r="O271">
        <v>1</v>
      </c>
      <c r="P271">
        <v>0</v>
      </c>
      <c r="Q271" t="s">
        <v>44</v>
      </c>
    </row>
    <row r="272" spans="1:17">
      <c r="A272" t="s">
        <v>17</v>
      </c>
      <c r="B272" t="s">
        <v>42</v>
      </c>
      <c r="C272">
        <v>2025</v>
      </c>
      <c r="D272">
        <v>29</v>
      </c>
      <c r="E272" t="s">
        <v>19</v>
      </c>
      <c r="F272" t="s">
        <v>63</v>
      </c>
      <c r="G272" t="s">
        <v>25</v>
      </c>
      <c r="H272" t="s">
        <v>26</v>
      </c>
      <c r="I272">
        <v>0</v>
      </c>
      <c r="J272">
        <v>0</v>
      </c>
      <c r="K272" t="s">
        <v>42</v>
      </c>
      <c r="L272">
        <v>0</v>
      </c>
      <c r="M272">
        <v>32</v>
      </c>
      <c r="N272">
        <v>0</v>
      </c>
      <c r="O272">
        <v>0</v>
      </c>
      <c r="P272">
        <v>0</v>
      </c>
      <c r="Q272" t="s">
        <v>44</v>
      </c>
    </row>
    <row r="290" spans="1:17">
      <c r="A290">
        <f>setup!C20</f>
        <v>3770</v>
      </c>
    </row>
    <row r="291" spans="1:17">
      <c r="A291" t="str">
        <f>setup!D20</f>
        <v>Validity WISC-6/WISC-5 Plus - Paper</v>
      </c>
    </row>
    <row r="292" spans="1:17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</row>
    <row r="293" spans="1:17">
      <c r="A293" t="s">
        <v>17</v>
      </c>
      <c r="B293" t="s">
        <v>42</v>
      </c>
      <c r="C293">
        <v>2025</v>
      </c>
      <c r="D293">
        <v>29</v>
      </c>
      <c r="E293" t="s">
        <v>19</v>
      </c>
      <c r="F293" t="s">
        <v>64</v>
      </c>
      <c r="H293" t="s">
        <v>58</v>
      </c>
      <c r="I293">
        <v>1</v>
      </c>
      <c r="J293">
        <v>1</v>
      </c>
      <c r="K293" t="s">
        <v>42</v>
      </c>
      <c r="L293">
        <v>0</v>
      </c>
      <c r="M293">
        <v>32</v>
      </c>
      <c r="N293">
        <v>0</v>
      </c>
      <c r="O293">
        <v>1</v>
      </c>
      <c r="P293">
        <v>0</v>
      </c>
      <c r="Q293" t="s">
        <v>44</v>
      </c>
    </row>
    <row r="294" spans="1:17">
      <c r="A294" t="s">
        <v>17</v>
      </c>
      <c r="B294" t="s">
        <v>42</v>
      </c>
      <c r="C294">
        <v>2025</v>
      </c>
      <c r="D294">
        <v>29</v>
      </c>
      <c r="E294" t="s">
        <v>19</v>
      </c>
      <c r="F294" t="s">
        <v>64</v>
      </c>
      <c r="G294" t="s">
        <v>28</v>
      </c>
      <c r="H294" t="s">
        <v>29</v>
      </c>
      <c r="I294">
        <v>1</v>
      </c>
      <c r="J294">
        <v>1</v>
      </c>
      <c r="K294" t="s">
        <v>30</v>
      </c>
      <c r="L294">
        <v>1</v>
      </c>
      <c r="M294">
        <v>32</v>
      </c>
      <c r="N294">
        <v>1</v>
      </c>
      <c r="O294">
        <v>0</v>
      </c>
      <c r="P294">
        <v>0</v>
      </c>
      <c r="Q294" t="s">
        <v>44</v>
      </c>
    </row>
    <row r="295" spans="1:17">
      <c r="A295" t="s">
        <v>17</v>
      </c>
      <c r="B295" t="s">
        <v>42</v>
      </c>
      <c r="C295">
        <v>2025</v>
      </c>
      <c r="D295">
        <v>29</v>
      </c>
      <c r="E295" t="s">
        <v>19</v>
      </c>
      <c r="F295" t="s">
        <v>64</v>
      </c>
      <c r="G295" t="s">
        <v>28</v>
      </c>
      <c r="H295" t="s">
        <v>56</v>
      </c>
      <c r="I295">
        <v>1</v>
      </c>
      <c r="J295">
        <v>1</v>
      </c>
      <c r="K295" t="s">
        <v>42</v>
      </c>
      <c r="L295">
        <v>0</v>
      </c>
      <c r="M295">
        <v>32</v>
      </c>
      <c r="N295">
        <v>0</v>
      </c>
      <c r="O295">
        <v>1</v>
      </c>
      <c r="P295">
        <v>0</v>
      </c>
      <c r="Q295" t="s">
        <v>44</v>
      </c>
    </row>
    <row r="296" spans="1:17">
      <c r="A296" t="s">
        <v>17</v>
      </c>
      <c r="B296" t="s">
        <v>42</v>
      </c>
      <c r="C296">
        <v>2025</v>
      </c>
      <c r="D296">
        <v>29</v>
      </c>
      <c r="E296" t="s">
        <v>19</v>
      </c>
      <c r="F296" t="s">
        <v>64</v>
      </c>
      <c r="G296" t="s">
        <v>28</v>
      </c>
      <c r="H296" t="s">
        <v>50</v>
      </c>
      <c r="I296">
        <v>1</v>
      </c>
      <c r="J296">
        <v>1</v>
      </c>
      <c r="K296" t="s">
        <v>42</v>
      </c>
      <c r="L296">
        <v>0</v>
      </c>
      <c r="M296">
        <v>32</v>
      </c>
      <c r="N296">
        <v>0</v>
      </c>
      <c r="O296">
        <v>1</v>
      </c>
      <c r="P296">
        <v>0</v>
      </c>
      <c r="Q296" t="s">
        <v>44</v>
      </c>
    </row>
    <row r="297" spans="1:17">
      <c r="A297" t="s">
        <v>17</v>
      </c>
      <c r="B297" t="s">
        <v>42</v>
      </c>
      <c r="C297">
        <v>2025</v>
      </c>
      <c r="D297">
        <v>29</v>
      </c>
      <c r="E297" t="s">
        <v>19</v>
      </c>
      <c r="F297" t="s">
        <v>64</v>
      </c>
      <c r="G297" t="s">
        <v>28</v>
      </c>
      <c r="H297" t="s">
        <v>38</v>
      </c>
      <c r="I297">
        <v>1</v>
      </c>
      <c r="J297">
        <v>1</v>
      </c>
      <c r="K297" t="s">
        <v>42</v>
      </c>
      <c r="L297">
        <v>0</v>
      </c>
      <c r="M297">
        <v>32</v>
      </c>
      <c r="N297">
        <v>0</v>
      </c>
      <c r="O297">
        <v>1</v>
      </c>
      <c r="P297">
        <v>0</v>
      </c>
      <c r="Q297" t="s">
        <v>44</v>
      </c>
    </row>
    <row r="298" spans="1:17">
      <c r="A298" t="s">
        <v>17</v>
      </c>
      <c r="B298" t="s">
        <v>42</v>
      </c>
      <c r="C298">
        <v>2025</v>
      </c>
      <c r="D298">
        <v>29</v>
      </c>
      <c r="E298" t="s">
        <v>19</v>
      </c>
      <c r="F298" t="s">
        <v>64</v>
      </c>
      <c r="G298" t="s">
        <v>21</v>
      </c>
      <c r="H298" t="s">
        <v>22</v>
      </c>
      <c r="I298">
        <v>1</v>
      </c>
      <c r="J298">
        <v>1</v>
      </c>
      <c r="K298" t="s">
        <v>42</v>
      </c>
      <c r="L298">
        <v>0</v>
      </c>
      <c r="M298">
        <v>32</v>
      </c>
      <c r="N298">
        <v>0</v>
      </c>
      <c r="O298">
        <v>1</v>
      </c>
      <c r="P298">
        <v>0</v>
      </c>
      <c r="Q298" t="s">
        <v>44</v>
      </c>
    </row>
    <row r="299" spans="1:17">
      <c r="A299" t="s">
        <v>17</v>
      </c>
      <c r="B299" t="s">
        <v>42</v>
      </c>
      <c r="C299">
        <v>2025</v>
      </c>
      <c r="D299">
        <v>29</v>
      </c>
      <c r="E299" t="s">
        <v>19</v>
      </c>
      <c r="F299" t="s">
        <v>64</v>
      </c>
      <c r="G299" t="s">
        <v>21</v>
      </c>
      <c r="H299" t="s">
        <v>36</v>
      </c>
      <c r="I299">
        <v>1</v>
      </c>
      <c r="J299">
        <v>1</v>
      </c>
      <c r="K299" t="s">
        <v>42</v>
      </c>
      <c r="L299">
        <v>0</v>
      </c>
      <c r="M299">
        <v>32</v>
      </c>
      <c r="N299">
        <v>0</v>
      </c>
      <c r="O299">
        <v>1</v>
      </c>
      <c r="P299">
        <v>0</v>
      </c>
      <c r="Q299" t="s">
        <v>44</v>
      </c>
    </row>
    <row r="300" spans="1:17">
      <c r="A300" t="s">
        <v>17</v>
      </c>
      <c r="B300" t="s">
        <v>42</v>
      </c>
      <c r="C300">
        <v>2025</v>
      </c>
      <c r="D300">
        <v>29</v>
      </c>
      <c r="E300" t="s">
        <v>19</v>
      </c>
      <c r="F300" t="s">
        <v>64</v>
      </c>
      <c r="G300" t="s">
        <v>21</v>
      </c>
      <c r="H300" t="s">
        <v>24</v>
      </c>
      <c r="I300">
        <v>1</v>
      </c>
      <c r="J300">
        <v>1</v>
      </c>
      <c r="K300" t="s">
        <v>42</v>
      </c>
      <c r="L300">
        <v>0</v>
      </c>
      <c r="M300">
        <v>32</v>
      </c>
      <c r="N300">
        <v>0</v>
      </c>
      <c r="O300">
        <v>1</v>
      </c>
      <c r="P300">
        <v>0</v>
      </c>
      <c r="Q300" t="s">
        <v>44</v>
      </c>
    </row>
    <row r="301" spans="1:17">
      <c r="A301" t="s">
        <v>17</v>
      </c>
      <c r="B301" t="s">
        <v>42</v>
      </c>
      <c r="C301">
        <v>2025</v>
      </c>
      <c r="D301">
        <v>29</v>
      </c>
      <c r="E301" t="s">
        <v>19</v>
      </c>
      <c r="F301" t="s">
        <v>64</v>
      </c>
      <c r="G301" t="s">
        <v>21</v>
      </c>
      <c r="H301" t="s">
        <v>31</v>
      </c>
      <c r="I301">
        <v>1</v>
      </c>
      <c r="J301">
        <v>1</v>
      </c>
      <c r="K301" t="s">
        <v>30</v>
      </c>
      <c r="L301">
        <v>1</v>
      </c>
      <c r="M301">
        <v>32</v>
      </c>
      <c r="N301">
        <v>1</v>
      </c>
      <c r="O301">
        <v>0</v>
      </c>
      <c r="P301">
        <v>0</v>
      </c>
      <c r="Q301" t="s">
        <v>44</v>
      </c>
    </row>
    <row r="302" spans="1:17">
      <c r="A302" t="s">
        <v>17</v>
      </c>
      <c r="B302" t="s">
        <v>42</v>
      </c>
      <c r="C302">
        <v>2025</v>
      </c>
      <c r="D302">
        <v>29</v>
      </c>
      <c r="E302" t="s">
        <v>19</v>
      </c>
      <c r="F302" t="s">
        <v>64</v>
      </c>
      <c r="G302" t="s">
        <v>21</v>
      </c>
      <c r="H302" t="s">
        <v>39</v>
      </c>
      <c r="I302">
        <v>1</v>
      </c>
      <c r="J302">
        <v>1</v>
      </c>
      <c r="K302" t="s">
        <v>42</v>
      </c>
      <c r="L302">
        <v>0</v>
      </c>
      <c r="M302">
        <v>32</v>
      </c>
      <c r="N302">
        <v>0</v>
      </c>
      <c r="O302">
        <v>1</v>
      </c>
      <c r="P302">
        <v>0</v>
      </c>
      <c r="Q302" t="s">
        <v>44</v>
      </c>
    </row>
    <row r="303" spans="1:17">
      <c r="A303" t="s">
        <v>17</v>
      </c>
      <c r="B303" t="s">
        <v>42</v>
      </c>
      <c r="C303">
        <v>2025</v>
      </c>
      <c r="D303">
        <v>29</v>
      </c>
      <c r="E303" t="s">
        <v>19</v>
      </c>
      <c r="F303" t="s">
        <v>64</v>
      </c>
      <c r="G303" t="s">
        <v>32</v>
      </c>
      <c r="H303" t="s">
        <v>59</v>
      </c>
      <c r="I303">
        <v>1</v>
      </c>
      <c r="J303">
        <v>1</v>
      </c>
      <c r="K303" t="s">
        <v>42</v>
      </c>
      <c r="L303">
        <v>0</v>
      </c>
      <c r="M303">
        <v>32</v>
      </c>
      <c r="N303">
        <v>0</v>
      </c>
      <c r="O303">
        <v>1</v>
      </c>
      <c r="P303">
        <v>0</v>
      </c>
      <c r="Q303" t="s">
        <v>44</v>
      </c>
    </row>
    <row r="304" spans="1:17">
      <c r="A304" t="s">
        <v>17</v>
      </c>
      <c r="B304" t="s">
        <v>42</v>
      </c>
      <c r="C304">
        <v>2025</v>
      </c>
      <c r="D304">
        <v>29</v>
      </c>
      <c r="E304" t="s">
        <v>19</v>
      </c>
      <c r="F304" t="s">
        <v>64</v>
      </c>
      <c r="G304" t="s">
        <v>32</v>
      </c>
      <c r="H304" t="s">
        <v>47</v>
      </c>
      <c r="I304">
        <v>1</v>
      </c>
      <c r="J304">
        <v>1</v>
      </c>
      <c r="K304" t="s">
        <v>42</v>
      </c>
      <c r="L304">
        <v>0</v>
      </c>
      <c r="M304">
        <v>32</v>
      </c>
      <c r="N304">
        <v>0</v>
      </c>
      <c r="O304">
        <v>1</v>
      </c>
      <c r="P304">
        <v>0</v>
      </c>
      <c r="Q304" t="s">
        <v>44</v>
      </c>
    </row>
    <row r="305" spans="1:17">
      <c r="A305" t="s">
        <v>17</v>
      </c>
      <c r="B305" t="s">
        <v>42</v>
      </c>
      <c r="C305">
        <v>2025</v>
      </c>
      <c r="D305">
        <v>29</v>
      </c>
      <c r="E305" t="s">
        <v>19</v>
      </c>
      <c r="F305" t="s">
        <v>64</v>
      </c>
      <c r="G305" t="s">
        <v>32</v>
      </c>
      <c r="H305" t="s">
        <v>33</v>
      </c>
      <c r="I305">
        <v>1</v>
      </c>
      <c r="J305">
        <v>1</v>
      </c>
      <c r="K305" t="s">
        <v>30</v>
      </c>
      <c r="L305">
        <v>1</v>
      </c>
      <c r="M305">
        <v>32</v>
      </c>
      <c r="N305">
        <v>1</v>
      </c>
      <c r="O305">
        <v>0</v>
      </c>
      <c r="P305">
        <v>0</v>
      </c>
      <c r="Q305" t="s">
        <v>44</v>
      </c>
    </row>
    <row r="306" spans="1:17">
      <c r="A306" t="s">
        <v>17</v>
      </c>
      <c r="B306" t="s">
        <v>42</v>
      </c>
      <c r="C306">
        <v>2025</v>
      </c>
      <c r="D306">
        <v>29</v>
      </c>
      <c r="E306" t="s">
        <v>19</v>
      </c>
      <c r="F306" t="s">
        <v>64</v>
      </c>
      <c r="G306" t="s">
        <v>32</v>
      </c>
      <c r="H306" t="s">
        <v>60</v>
      </c>
      <c r="I306">
        <v>1</v>
      </c>
      <c r="J306">
        <v>1</v>
      </c>
      <c r="K306" t="s">
        <v>42</v>
      </c>
      <c r="L306">
        <v>0</v>
      </c>
      <c r="M306">
        <v>32</v>
      </c>
      <c r="N306">
        <v>0</v>
      </c>
      <c r="O306">
        <v>1</v>
      </c>
      <c r="P306">
        <v>0</v>
      </c>
      <c r="Q306" t="s">
        <v>44</v>
      </c>
    </row>
    <row r="307" spans="1:17">
      <c r="A307" t="s">
        <v>17</v>
      </c>
      <c r="B307" t="s">
        <v>42</v>
      </c>
      <c r="C307">
        <v>2025</v>
      </c>
      <c r="D307">
        <v>29</v>
      </c>
      <c r="E307" t="s">
        <v>19</v>
      </c>
      <c r="F307" t="s">
        <v>64</v>
      </c>
      <c r="G307" t="s">
        <v>25</v>
      </c>
      <c r="H307" t="s">
        <v>45</v>
      </c>
      <c r="I307">
        <v>1</v>
      </c>
      <c r="J307">
        <v>1</v>
      </c>
      <c r="K307" t="s">
        <v>42</v>
      </c>
      <c r="L307">
        <v>0</v>
      </c>
      <c r="M307">
        <v>32</v>
      </c>
      <c r="N307">
        <v>0</v>
      </c>
      <c r="O307">
        <v>1</v>
      </c>
      <c r="P307">
        <v>0</v>
      </c>
      <c r="Q307" t="s">
        <v>44</v>
      </c>
    </row>
    <row r="308" spans="1:17">
      <c r="A308" t="s">
        <v>17</v>
      </c>
      <c r="B308" t="s">
        <v>42</v>
      </c>
      <c r="C308">
        <v>2025</v>
      </c>
      <c r="D308">
        <v>29</v>
      </c>
      <c r="E308" t="s">
        <v>19</v>
      </c>
      <c r="F308" t="s">
        <v>64</v>
      </c>
      <c r="G308" t="s">
        <v>25</v>
      </c>
      <c r="H308" t="s">
        <v>34</v>
      </c>
      <c r="I308">
        <v>1</v>
      </c>
      <c r="J308">
        <v>1</v>
      </c>
      <c r="K308" t="s">
        <v>30</v>
      </c>
      <c r="L308">
        <v>1</v>
      </c>
      <c r="M308">
        <v>32</v>
      </c>
      <c r="N308">
        <v>1</v>
      </c>
      <c r="O308">
        <v>0</v>
      </c>
      <c r="P308">
        <v>0</v>
      </c>
      <c r="Q308" t="s">
        <v>44</v>
      </c>
    </row>
    <row r="309" spans="1:17">
      <c r="A309" t="s">
        <v>17</v>
      </c>
      <c r="B309" t="s">
        <v>42</v>
      </c>
      <c r="C309">
        <v>2025</v>
      </c>
      <c r="D309">
        <v>29</v>
      </c>
      <c r="E309" t="s">
        <v>19</v>
      </c>
      <c r="F309" t="s">
        <v>64</v>
      </c>
      <c r="G309" t="s">
        <v>25</v>
      </c>
      <c r="H309" t="s">
        <v>26</v>
      </c>
      <c r="I309">
        <v>0</v>
      </c>
      <c r="J309">
        <v>0</v>
      </c>
      <c r="K309" t="s">
        <v>42</v>
      </c>
      <c r="L309">
        <v>0</v>
      </c>
      <c r="M309">
        <v>32</v>
      </c>
      <c r="N309">
        <v>0</v>
      </c>
      <c r="O309">
        <v>0</v>
      </c>
      <c r="P309">
        <v>0</v>
      </c>
      <c r="Q309" t="s">
        <v>44</v>
      </c>
    </row>
    <row r="310" spans="1:17">
      <c r="A310" t="s">
        <v>17</v>
      </c>
      <c r="B310" t="s">
        <v>42</v>
      </c>
      <c r="C310">
        <v>2025</v>
      </c>
      <c r="D310">
        <v>29</v>
      </c>
      <c r="E310" t="s">
        <v>19</v>
      </c>
      <c r="F310" t="s">
        <v>65</v>
      </c>
      <c r="H310" t="s">
        <v>58</v>
      </c>
      <c r="I310">
        <v>1</v>
      </c>
      <c r="J310">
        <v>1</v>
      </c>
      <c r="K310" t="s">
        <v>42</v>
      </c>
      <c r="L310">
        <v>0</v>
      </c>
      <c r="M310">
        <v>32</v>
      </c>
      <c r="N310">
        <v>0</v>
      </c>
      <c r="O310">
        <v>1</v>
      </c>
      <c r="P310">
        <v>0</v>
      </c>
      <c r="Q310" t="s">
        <v>44</v>
      </c>
    </row>
    <row r="311" spans="1:17">
      <c r="A311" t="s">
        <v>17</v>
      </c>
      <c r="B311" t="s">
        <v>42</v>
      </c>
      <c r="C311">
        <v>2025</v>
      </c>
      <c r="D311">
        <v>29</v>
      </c>
      <c r="E311" t="s">
        <v>19</v>
      </c>
      <c r="F311" t="s">
        <v>65</v>
      </c>
      <c r="G311" t="s">
        <v>28</v>
      </c>
      <c r="H311" t="s">
        <v>29</v>
      </c>
      <c r="I311">
        <v>1</v>
      </c>
      <c r="J311">
        <v>1</v>
      </c>
      <c r="K311" t="s">
        <v>42</v>
      </c>
      <c r="L311">
        <v>0</v>
      </c>
      <c r="M311">
        <v>32</v>
      </c>
      <c r="N311">
        <v>0</v>
      </c>
      <c r="O311">
        <v>1</v>
      </c>
      <c r="P311">
        <v>0</v>
      </c>
      <c r="Q311" t="s">
        <v>44</v>
      </c>
    </row>
    <row r="312" spans="1:17">
      <c r="A312" t="s">
        <v>17</v>
      </c>
      <c r="B312" t="s">
        <v>42</v>
      </c>
      <c r="C312">
        <v>2025</v>
      </c>
      <c r="D312">
        <v>29</v>
      </c>
      <c r="E312" t="s">
        <v>19</v>
      </c>
      <c r="F312" t="s">
        <v>65</v>
      </c>
      <c r="G312" t="s">
        <v>28</v>
      </c>
      <c r="H312" t="s">
        <v>56</v>
      </c>
      <c r="I312">
        <v>1</v>
      </c>
      <c r="J312">
        <v>1</v>
      </c>
      <c r="K312" t="s">
        <v>42</v>
      </c>
      <c r="L312">
        <v>0</v>
      </c>
      <c r="M312">
        <v>32</v>
      </c>
      <c r="N312">
        <v>0</v>
      </c>
      <c r="O312">
        <v>1</v>
      </c>
      <c r="P312">
        <v>0</v>
      </c>
      <c r="Q312" t="s">
        <v>44</v>
      </c>
    </row>
    <row r="313" spans="1:17">
      <c r="A313" t="s">
        <v>17</v>
      </c>
      <c r="B313" t="s">
        <v>42</v>
      </c>
      <c r="C313">
        <v>2025</v>
      </c>
      <c r="D313">
        <v>29</v>
      </c>
      <c r="E313" t="s">
        <v>19</v>
      </c>
      <c r="F313" t="s">
        <v>65</v>
      </c>
      <c r="G313" t="s">
        <v>28</v>
      </c>
      <c r="H313" t="s">
        <v>50</v>
      </c>
      <c r="I313">
        <v>1</v>
      </c>
      <c r="J313">
        <v>1</v>
      </c>
      <c r="K313" t="s">
        <v>42</v>
      </c>
      <c r="L313">
        <v>0</v>
      </c>
      <c r="M313">
        <v>32</v>
      </c>
      <c r="N313">
        <v>0</v>
      </c>
      <c r="O313">
        <v>1</v>
      </c>
      <c r="P313">
        <v>0</v>
      </c>
      <c r="Q313" t="s">
        <v>44</v>
      </c>
    </row>
    <row r="314" spans="1:17">
      <c r="A314" t="s">
        <v>17</v>
      </c>
      <c r="B314" t="s">
        <v>42</v>
      </c>
      <c r="C314">
        <v>2025</v>
      </c>
      <c r="D314">
        <v>29</v>
      </c>
      <c r="E314" t="s">
        <v>19</v>
      </c>
      <c r="F314" t="s">
        <v>65</v>
      </c>
      <c r="G314" t="s">
        <v>28</v>
      </c>
      <c r="H314" t="s">
        <v>38</v>
      </c>
      <c r="I314">
        <v>1</v>
      </c>
      <c r="J314">
        <v>1</v>
      </c>
      <c r="K314" t="s">
        <v>42</v>
      </c>
      <c r="L314">
        <v>0</v>
      </c>
      <c r="M314">
        <v>32</v>
      </c>
      <c r="N314">
        <v>0</v>
      </c>
      <c r="O314">
        <v>1</v>
      </c>
      <c r="P314">
        <v>0</v>
      </c>
      <c r="Q314" t="s">
        <v>44</v>
      </c>
    </row>
    <row r="315" spans="1:17">
      <c r="A315" t="s">
        <v>17</v>
      </c>
      <c r="B315" t="s">
        <v>42</v>
      </c>
      <c r="C315">
        <v>2025</v>
      </c>
      <c r="D315">
        <v>29</v>
      </c>
      <c r="E315" t="s">
        <v>19</v>
      </c>
      <c r="F315" t="s">
        <v>65</v>
      </c>
      <c r="G315" t="s">
        <v>21</v>
      </c>
      <c r="H315" t="s">
        <v>22</v>
      </c>
      <c r="I315">
        <v>1</v>
      </c>
      <c r="J315">
        <v>1</v>
      </c>
      <c r="K315" t="s">
        <v>42</v>
      </c>
      <c r="L315">
        <v>0</v>
      </c>
      <c r="M315">
        <v>32</v>
      </c>
      <c r="N315">
        <v>0</v>
      </c>
      <c r="O315">
        <v>1</v>
      </c>
      <c r="P315">
        <v>0</v>
      </c>
      <c r="Q315" t="s">
        <v>44</v>
      </c>
    </row>
    <row r="316" spans="1:17">
      <c r="A316" t="s">
        <v>17</v>
      </c>
      <c r="B316" t="s">
        <v>42</v>
      </c>
      <c r="C316">
        <v>2025</v>
      </c>
      <c r="D316">
        <v>29</v>
      </c>
      <c r="E316" t="s">
        <v>19</v>
      </c>
      <c r="F316" t="s">
        <v>65</v>
      </c>
      <c r="G316" t="s">
        <v>21</v>
      </c>
      <c r="H316" t="s">
        <v>36</v>
      </c>
      <c r="I316">
        <v>1</v>
      </c>
      <c r="J316">
        <v>1</v>
      </c>
      <c r="K316" t="s">
        <v>42</v>
      </c>
      <c r="L316">
        <v>0</v>
      </c>
      <c r="M316">
        <v>32</v>
      </c>
      <c r="N316">
        <v>0</v>
      </c>
      <c r="O316">
        <v>1</v>
      </c>
      <c r="P316">
        <v>0</v>
      </c>
      <c r="Q316" t="s">
        <v>44</v>
      </c>
    </row>
    <row r="317" spans="1:17">
      <c r="A317" t="s">
        <v>17</v>
      </c>
      <c r="B317" t="s">
        <v>42</v>
      </c>
      <c r="C317">
        <v>2025</v>
      </c>
      <c r="D317">
        <v>29</v>
      </c>
      <c r="E317" t="s">
        <v>19</v>
      </c>
      <c r="F317" t="s">
        <v>65</v>
      </c>
      <c r="G317" t="s">
        <v>21</v>
      </c>
      <c r="H317" t="s">
        <v>24</v>
      </c>
      <c r="I317">
        <v>1</v>
      </c>
      <c r="J317">
        <v>1</v>
      </c>
      <c r="K317" t="s">
        <v>42</v>
      </c>
      <c r="L317">
        <v>0</v>
      </c>
      <c r="M317">
        <v>32</v>
      </c>
      <c r="N317">
        <v>0</v>
      </c>
      <c r="O317">
        <v>1</v>
      </c>
      <c r="P317">
        <v>0</v>
      </c>
      <c r="Q317" t="s">
        <v>44</v>
      </c>
    </row>
    <row r="318" spans="1:17">
      <c r="A318" t="s">
        <v>17</v>
      </c>
      <c r="B318" t="s">
        <v>42</v>
      </c>
      <c r="C318">
        <v>2025</v>
      </c>
      <c r="D318">
        <v>29</v>
      </c>
      <c r="E318" t="s">
        <v>19</v>
      </c>
      <c r="F318" t="s">
        <v>65</v>
      </c>
      <c r="G318" t="s">
        <v>21</v>
      </c>
      <c r="H318" t="s">
        <v>31</v>
      </c>
      <c r="I318">
        <v>1</v>
      </c>
      <c r="J318">
        <v>1</v>
      </c>
      <c r="K318" t="s">
        <v>42</v>
      </c>
      <c r="L318">
        <v>0</v>
      </c>
      <c r="M318">
        <v>32</v>
      </c>
      <c r="N318">
        <v>0</v>
      </c>
      <c r="O318">
        <v>1</v>
      </c>
      <c r="P318">
        <v>0</v>
      </c>
      <c r="Q318" t="s">
        <v>44</v>
      </c>
    </row>
    <row r="319" spans="1:17">
      <c r="A319" t="s">
        <v>17</v>
      </c>
      <c r="B319" t="s">
        <v>42</v>
      </c>
      <c r="C319">
        <v>2025</v>
      </c>
      <c r="D319">
        <v>29</v>
      </c>
      <c r="E319" t="s">
        <v>19</v>
      </c>
      <c r="F319" t="s">
        <v>65</v>
      </c>
      <c r="G319" t="s">
        <v>21</v>
      </c>
      <c r="H319" t="s">
        <v>39</v>
      </c>
      <c r="I319">
        <v>1</v>
      </c>
      <c r="J319">
        <v>1</v>
      </c>
      <c r="K319" t="s">
        <v>42</v>
      </c>
      <c r="L319">
        <v>0</v>
      </c>
      <c r="M319">
        <v>32</v>
      </c>
      <c r="N319">
        <v>0</v>
      </c>
      <c r="O319">
        <v>1</v>
      </c>
      <c r="P319">
        <v>0</v>
      </c>
      <c r="Q319" t="s">
        <v>44</v>
      </c>
    </row>
    <row r="320" spans="1:17">
      <c r="A320" t="s">
        <v>17</v>
      </c>
      <c r="B320" t="s">
        <v>42</v>
      </c>
      <c r="C320">
        <v>2025</v>
      </c>
      <c r="D320">
        <v>29</v>
      </c>
      <c r="E320" t="s">
        <v>19</v>
      </c>
      <c r="F320" t="s">
        <v>65</v>
      </c>
      <c r="G320" t="s">
        <v>32</v>
      </c>
      <c r="H320" t="s">
        <v>59</v>
      </c>
      <c r="I320">
        <v>1</v>
      </c>
      <c r="J320">
        <v>1</v>
      </c>
      <c r="K320" t="s">
        <v>42</v>
      </c>
      <c r="L320">
        <v>0</v>
      </c>
      <c r="M320">
        <v>32</v>
      </c>
      <c r="N320">
        <v>0</v>
      </c>
      <c r="O320">
        <v>1</v>
      </c>
      <c r="P320">
        <v>0</v>
      </c>
      <c r="Q320" t="s">
        <v>44</v>
      </c>
    </row>
    <row r="321" spans="1:17">
      <c r="A321" t="s">
        <v>17</v>
      </c>
      <c r="B321" t="s">
        <v>42</v>
      </c>
      <c r="C321">
        <v>2025</v>
      </c>
      <c r="D321">
        <v>29</v>
      </c>
      <c r="E321" t="s">
        <v>19</v>
      </c>
      <c r="F321" t="s">
        <v>65</v>
      </c>
      <c r="G321" t="s">
        <v>32</v>
      </c>
      <c r="H321" t="s">
        <v>47</v>
      </c>
      <c r="I321">
        <v>1</v>
      </c>
      <c r="J321">
        <v>1</v>
      </c>
      <c r="K321" t="s">
        <v>42</v>
      </c>
      <c r="L321">
        <v>0</v>
      </c>
      <c r="M321">
        <v>32</v>
      </c>
      <c r="N321">
        <v>0</v>
      </c>
      <c r="O321">
        <v>1</v>
      </c>
      <c r="P321">
        <v>0</v>
      </c>
      <c r="Q321" t="s">
        <v>44</v>
      </c>
    </row>
    <row r="322" spans="1:17">
      <c r="A322" t="s">
        <v>17</v>
      </c>
      <c r="B322" t="s">
        <v>42</v>
      </c>
      <c r="C322">
        <v>2025</v>
      </c>
      <c r="D322">
        <v>29</v>
      </c>
      <c r="E322" t="s">
        <v>19</v>
      </c>
      <c r="F322" t="s">
        <v>65</v>
      </c>
      <c r="G322" t="s">
        <v>32</v>
      </c>
      <c r="H322" t="s">
        <v>33</v>
      </c>
      <c r="I322">
        <v>1</v>
      </c>
      <c r="J322">
        <v>1</v>
      </c>
      <c r="K322" t="s">
        <v>42</v>
      </c>
      <c r="L322">
        <v>0</v>
      </c>
      <c r="M322">
        <v>32</v>
      </c>
      <c r="N322">
        <v>0</v>
      </c>
      <c r="O322">
        <v>1</v>
      </c>
      <c r="P322">
        <v>0</v>
      </c>
      <c r="Q322" t="s">
        <v>44</v>
      </c>
    </row>
    <row r="323" spans="1:17">
      <c r="A323" t="s">
        <v>17</v>
      </c>
      <c r="B323" t="s">
        <v>42</v>
      </c>
      <c r="C323">
        <v>2025</v>
      </c>
      <c r="D323">
        <v>29</v>
      </c>
      <c r="E323" t="s">
        <v>19</v>
      </c>
      <c r="F323" t="s">
        <v>65</v>
      </c>
      <c r="G323" t="s">
        <v>32</v>
      </c>
      <c r="H323" t="s">
        <v>60</v>
      </c>
      <c r="I323">
        <v>1</v>
      </c>
      <c r="J323">
        <v>1</v>
      </c>
      <c r="K323" t="s">
        <v>42</v>
      </c>
      <c r="L323">
        <v>0</v>
      </c>
      <c r="M323">
        <v>32</v>
      </c>
      <c r="N323">
        <v>0</v>
      </c>
      <c r="O323">
        <v>1</v>
      </c>
      <c r="P323">
        <v>0</v>
      </c>
      <c r="Q323" t="s">
        <v>44</v>
      </c>
    </row>
    <row r="324" spans="1:17">
      <c r="A324" t="s">
        <v>17</v>
      </c>
      <c r="B324" t="s">
        <v>42</v>
      </c>
      <c r="C324">
        <v>2025</v>
      </c>
      <c r="D324">
        <v>29</v>
      </c>
      <c r="E324" t="s">
        <v>19</v>
      </c>
      <c r="F324" t="s">
        <v>65</v>
      </c>
      <c r="G324" t="s">
        <v>25</v>
      </c>
      <c r="H324" t="s">
        <v>45</v>
      </c>
      <c r="I324">
        <v>1</v>
      </c>
      <c r="J324">
        <v>1</v>
      </c>
      <c r="K324" t="s">
        <v>42</v>
      </c>
      <c r="L324">
        <v>0</v>
      </c>
      <c r="M324">
        <v>32</v>
      </c>
      <c r="N324">
        <v>0</v>
      </c>
      <c r="O324">
        <v>1</v>
      </c>
      <c r="P324">
        <v>0</v>
      </c>
      <c r="Q324" t="s">
        <v>44</v>
      </c>
    </row>
    <row r="325" spans="1:17">
      <c r="A325" t="s">
        <v>17</v>
      </c>
      <c r="B325" t="s">
        <v>42</v>
      </c>
      <c r="C325">
        <v>2025</v>
      </c>
      <c r="D325">
        <v>29</v>
      </c>
      <c r="E325" t="s">
        <v>19</v>
      </c>
      <c r="F325" t="s">
        <v>65</v>
      </c>
      <c r="G325" t="s">
        <v>25</v>
      </c>
      <c r="H325" t="s">
        <v>34</v>
      </c>
      <c r="I325">
        <v>1</v>
      </c>
      <c r="J325">
        <v>1</v>
      </c>
      <c r="K325" t="s">
        <v>42</v>
      </c>
      <c r="L325">
        <v>0</v>
      </c>
      <c r="M325">
        <v>32</v>
      </c>
      <c r="N325">
        <v>0</v>
      </c>
      <c r="O325">
        <v>1</v>
      </c>
      <c r="P325">
        <v>0</v>
      </c>
      <c r="Q325" t="s">
        <v>44</v>
      </c>
    </row>
    <row r="326" spans="1:17">
      <c r="A326" t="s">
        <v>17</v>
      </c>
      <c r="B326" t="s">
        <v>42</v>
      </c>
      <c r="C326">
        <v>2025</v>
      </c>
      <c r="D326">
        <v>29</v>
      </c>
      <c r="E326" t="s">
        <v>19</v>
      </c>
      <c r="F326" t="s">
        <v>65</v>
      </c>
      <c r="G326" t="s">
        <v>25</v>
      </c>
      <c r="H326" t="s">
        <v>26</v>
      </c>
      <c r="I326">
        <v>0</v>
      </c>
      <c r="J326">
        <v>0</v>
      </c>
      <c r="K326" t="s">
        <v>42</v>
      </c>
      <c r="L326">
        <v>0</v>
      </c>
      <c r="M326">
        <v>32</v>
      </c>
      <c r="N326">
        <v>0</v>
      </c>
      <c r="O326">
        <v>0</v>
      </c>
      <c r="P326">
        <v>0</v>
      </c>
      <c r="Q326" t="s">
        <v>44</v>
      </c>
    </row>
    <row r="344" spans="1:17">
      <c r="A344">
        <f>setup!C21</f>
        <v>3771</v>
      </c>
    </row>
    <row r="345" spans="1:17">
      <c r="A345" t="str">
        <f>setup!D21</f>
        <v>Validity WISC-6/WPPSI-4 - Paper</v>
      </c>
    </row>
    <row r="346" spans="1:17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7</v>
      </c>
      <c r="I346" t="s">
        <v>8</v>
      </c>
      <c r="J346" t="s">
        <v>9</v>
      </c>
      <c r="K346" t="s">
        <v>10</v>
      </c>
      <c r="L346" t="s">
        <v>11</v>
      </c>
      <c r="M346" t="s">
        <v>12</v>
      </c>
      <c r="N346" t="s">
        <v>13</v>
      </c>
      <c r="O346" t="s">
        <v>14</v>
      </c>
      <c r="P346" t="s">
        <v>15</v>
      </c>
      <c r="Q346" t="s">
        <v>16</v>
      </c>
    </row>
    <row r="347" spans="1:17">
      <c r="A347" t="s">
        <v>17</v>
      </c>
      <c r="B347" t="s">
        <v>42</v>
      </c>
      <c r="C347">
        <v>2025</v>
      </c>
      <c r="D347">
        <v>29</v>
      </c>
      <c r="E347" t="s">
        <v>19</v>
      </c>
      <c r="F347" t="s">
        <v>66</v>
      </c>
      <c r="H347" t="s">
        <v>58</v>
      </c>
      <c r="I347">
        <v>1</v>
      </c>
      <c r="J347">
        <v>1</v>
      </c>
      <c r="K347" t="s">
        <v>42</v>
      </c>
      <c r="L347">
        <v>0</v>
      </c>
      <c r="M347">
        <v>16</v>
      </c>
      <c r="N347">
        <v>0</v>
      </c>
      <c r="O347">
        <v>1</v>
      </c>
      <c r="P347">
        <v>0</v>
      </c>
      <c r="Q347" t="s">
        <v>44</v>
      </c>
    </row>
    <row r="348" spans="1:17">
      <c r="A348" t="s">
        <v>17</v>
      </c>
      <c r="B348" t="s">
        <v>42</v>
      </c>
      <c r="C348">
        <v>2025</v>
      </c>
      <c r="D348">
        <v>29</v>
      </c>
      <c r="E348" t="s">
        <v>19</v>
      </c>
      <c r="F348" t="s">
        <v>66</v>
      </c>
      <c r="G348" t="s">
        <v>28</v>
      </c>
      <c r="H348" t="s">
        <v>29</v>
      </c>
      <c r="I348">
        <v>1</v>
      </c>
      <c r="J348">
        <v>1</v>
      </c>
      <c r="K348" t="s">
        <v>42</v>
      </c>
      <c r="L348">
        <v>0</v>
      </c>
      <c r="M348">
        <v>16</v>
      </c>
      <c r="N348">
        <v>0</v>
      </c>
      <c r="O348">
        <v>1</v>
      </c>
      <c r="P348">
        <v>0</v>
      </c>
      <c r="Q348" t="s">
        <v>44</v>
      </c>
    </row>
    <row r="349" spans="1:17">
      <c r="A349" t="s">
        <v>17</v>
      </c>
      <c r="B349" t="s">
        <v>42</v>
      </c>
      <c r="C349">
        <v>2025</v>
      </c>
      <c r="D349">
        <v>29</v>
      </c>
      <c r="E349" t="s">
        <v>19</v>
      </c>
      <c r="F349" t="s">
        <v>66</v>
      </c>
      <c r="G349" t="s">
        <v>28</v>
      </c>
      <c r="H349" t="s">
        <v>56</v>
      </c>
      <c r="I349">
        <v>1</v>
      </c>
      <c r="J349">
        <v>1</v>
      </c>
      <c r="K349" t="s">
        <v>42</v>
      </c>
      <c r="L349">
        <v>0</v>
      </c>
      <c r="M349">
        <v>16</v>
      </c>
      <c r="N349">
        <v>0</v>
      </c>
      <c r="O349">
        <v>1</v>
      </c>
      <c r="P349">
        <v>0</v>
      </c>
      <c r="Q349" t="s">
        <v>44</v>
      </c>
    </row>
    <row r="350" spans="1:17">
      <c r="A350" t="s">
        <v>17</v>
      </c>
      <c r="B350" t="s">
        <v>42</v>
      </c>
      <c r="C350">
        <v>2025</v>
      </c>
      <c r="D350">
        <v>29</v>
      </c>
      <c r="E350" t="s">
        <v>19</v>
      </c>
      <c r="F350" t="s">
        <v>66</v>
      </c>
      <c r="G350" t="s">
        <v>28</v>
      </c>
      <c r="H350" t="s">
        <v>50</v>
      </c>
      <c r="I350">
        <v>1</v>
      </c>
      <c r="J350">
        <v>1</v>
      </c>
      <c r="K350" t="s">
        <v>42</v>
      </c>
      <c r="L350">
        <v>0</v>
      </c>
      <c r="M350">
        <v>16</v>
      </c>
      <c r="N350">
        <v>0</v>
      </c>
      <c r="O350">
        <v>1</v>
      </c>
      <c r="P350">
        <v>0</v>
      </c>
      <c r="Q350" t="s">
        <v>44</v>
      </c>
    </row>
    <row r="351" spans="1:17">
      <c r="A351" t="s">
        <v>17</v>
      </c>
      <c r="B351" t="s">
        <v>42</v>
      </c>
      <c r="C351">
        <v>2025</v>
      </c>
      <c r="D351">
        <v>29</v>
      </c>
      <c r="E351" t="s">
        <v>19</v>
      </c>
      <c r="F351" t="s">
        <v>66</v>
      </c>
      <c r="G351" t="s">
        <v>28</v>
      </c>
      <c r="H351" t="s">
        <v>38</v>
      </c>
      <c r="I351">
        <v>1</v>
      </c>
      <c r="J351">
        <v>1</v>
      </c>
      <c r="K351" t="s">
        <v>42</v>
      </c>
      <c r="L351">
        <v>0</v>
      </c>
      <c r="M351">
        <v>16</v>
      </c>
      <c r="N351">
        <v>0</v>
      </c>
      <c r="O351">
        <v>1</v>
      </c>
      <c r="P351">
        <v>0</v>
      </c>
      <c r="Q351" t="s">
        <v>44</v>
      </c>
    </row>
    <row r="352" spans="1:17">
      <c r="A352" t="s">
        <v>17</v>
      </c>
      <c r="B352" t="s">
        <v>42</v>
      </c>
      <c r="C352">
        <v>2025</v>
      </c>
      <c r="D352">
        <v>29</v>
      </c>
      <c r="E352" t="s">
        <v>19</v>
      </c>
      <c r="F352" t="s">
        <v>66</v>
      </c>
      <c r="G352" t="s">
        <v>21</v>
      </c>
      <c r="H352" t="s">
        <v>22</v>
      </c>
      <c r="I352">
        <v>1</v>
      </c>
      <c r="J352">
        <v>1</v>
      </c>
      <c r="K352" t="s">
        <v>42</v>
      </c>
      <c r="L352">
        <v>0</v>
      </c>
      <c r="M352">
        <v>16</v>
      </c>
      <c r="N352">
        <v>0</v>
      </c>
      <c r="O352">
        <v>1</v>
      </c>
      <c r="P352">
        <v>0</v>
      </c>
      <c r="Q352" t="s">
        <v>44</v>
      </c>
    </row>
    <row r="353" spans="1:17">
      <c r="A353" t="s">
        <v>17</v>
      </c>
      <c r="B353" t="s">
        <v>42</v>
      </c>
      <c r="C353">
        <v>2025</v>
      </c>
      <c r="D353">
        <v>29</v>
      </c>
      <c r="E353" t="s">
        <v>19</v>
      </c>
      <c r="F353" t="s">
        <v>66</v>
      </c>
      <c r="G353" t="s">
        <v>21</v>
      </c>
      <c r="H353" t="s">
        <v>36</v>
      </c>
      <c r="I353">
        <v>1</v>
      </c>
      <c r="J353">
        <v>1</v>
      </c>
      <c r="K353" t="s">
        <v>42</v>
      </c>
      <c r="L353">
        <v>0</v>
      </c>
      <c r="M353">
        <v>16</v>
      </c>
      <c r="N353">
        <v>0</v>
      </c>
      <c r="O353">
        <v>1</v>
      </c>
      <c r="P353">
        <v>0</v>
      </c>
      <c r="Q353" t="s">
        <v>44</v>
      </c>
    </row>
    <row r="354" spans="1:17">
      <c r="A354" t="s">
        <v>17</v>
      </c>
      <c r="B354" t="s">
        <v>42</v>
      </c>
      <c r="C354">
        <v>2025</v>
      </c>
      <c r="D354">
        <v>29</v>
      </c>
      <c r="E354" t="s">
        <v>19</v>
      </c>
      <c r="F354" t="s">
        <v>66</v>
      </c>
      <c r="G354" t="s">
        <v>21</v>
      </c>
      <c r="H354" t="s">
        <v>24</v>
      </c>
      <c r="I354">
        <v>1</v>
      </c>
      <c r="J354">
        <v>1</v>
      </c>
      <c r="K354" t="s">
        <v>42</v>
      </c>
      <c r="L354">
        <v>0</v>
      </c>
      <c r="M354">
        <v>16</v>
      </c>
      <c r="N354">
        <v>0</v>
      </c>
      <c r="O354">
        <v>1</v>
      </c>
      <c r="P354">
        <v>0</v>
      </c>
      <c r="Q354" t="s">
        <v>44</v>
      </c>
    </row>
    <row r="355" spans="1:17">
      <c r="A355" t="s">
        <v>17</v>
      </c>
      <c r="B355" t="s">
        <v>42</v>
      </c>
      <c r="C355">
        <v>2025</v>
      </c>
      <c r="D355">
        <v>29</v>
      </c>
      <c r="E355" t="s">
        <v>19</v>
      </c>
      <c r="F355" t="s">
        <v>66</v>
      </c>
      <c r="G355" t="s">
        <v>21</v>
      </c>
      <c r="H355" t="s">
        <v>31</v>
      </c>
      <c r="I355">
        <v>1</v>
      </c>
      <c r="J355">
        <v>1</v>
      </c>
      <c r="K355" t="s">
        <v>42</v>
      </c>
      <c r="L355">
        <v>0</v>
      </c>
      <c r="M355">
        <v>16</v>
      </c>
      <c r="N355">
        <v>0</v>
      </c>
      <c r="O355">
        <v>1</v>
      </c>
      <c r="P355">
        <v>0</v>
      </c>
      <c r="Q355" t="s">
        <v>44</v>
      </c>
    </row>
    <row r="356" spans="1:17">
      <c r="A356" t="s">
        <v>17</v>
      </c>
      <c r="B356" t="s">
        <v>42</v>
      </c>
      <c r="C356">
        <v>2025</v>
      </c>
      <c r="D356">
        <v>29</v>
      </c>
      <c r="E356" t="s">
        <v>19</v>
      </c>
      <c r="F356" t="s">
        <v>66</v>
      </c>
      <c r="G356" t="s">
        <v>21</v>
      </c>
      <c r="H356" t="s">
        <v>39</v>
      </c>
      <c r="I356">
        <v>1</v>
      </c>
      <c r="J356">
        <v>1</v>
      </c>
      <c r="K356" t="s">
        <v>42</v>
      </c>
      <c r="L356">
        <v>0</v>
      </c>
      <c r="M356">
        <v>16</v>
      </c>
      <c r="N356">
        <v>0</v>
      </c>
      <c r="O356">
        <v>1</v>
      </c>
      <c r="P356">
        <v>0</v>
      </c>
      <c r="Q356" t="s">
        <v>44</v>
      </c>
    </row>
    <row r="357" spans="1:17">
      <c r="A357" t="s">
        <v>17</v>
      </c>
      <c r="B357" t="s">
        <v>42</v>
      </c>
      <c r="C357">
        <v>2025</v>
      </c>
      <c r="D357">
        <v>29</v>
      </c>
      <c r="E357" t="s">
        <v>19</v>
      </c>
      <c r="F357" t="s">
        <v>66</v>
      </c>
      <c r="G357" t="s">
        <v>32</v>
      </c>
      <c r="H357" t="s">
        <v>59</v>
      </c>
      <c r="I357">
        <v>1</v>
      </c>
      <c r="J357">
        <v>1</v>
      </c>
      <c r="K357" t="s">
        <v>42</v>
      </c>
      <c r="L357">
        <v>0</v>
      </c>
      <c r="M357">
        <v>16</v>
      </c>
      <c r="N357">
        <v>0</v>
      </c>
      <c r="O357">
        <v>1</v>
      </c>
      <c r="P357">
        <v>0</v>
      </c>
      <c r="Q357" t="s">
        <v>44</v>
      </c>
    </row>
    <row r="358" spans="1:17">
      <c r="A358" t="s">
        <v>17</v>
      </c>
      <c r="B358" t="s">
        <v>42</v>
      </c>
      <c r="C358">
        <v>2025</v>
      </c>
      <c r="D358">
        <v>29</v>
      </c>
      <c r="E358" t="s">
        <v>19</v>
      </c>
      <c r="F358" t="s">
        <v>66</v>
      </c>
      <c r="G358" t="s">
        <v>32</v>
      </c>
      <c r="H358" t="s">
        <v>47</v>
      </c>
      <c r="I358">
        <v>1</v>
      </c>
      <c r="J358">
        <v>1</v>
      </c>
      <c r="K358" t="s">
        <v>42</v>
      </c>
      <c r="L358">
        <v>0</v>
      </c>
      <c r="M358">
        <v>16</v>
      </c>
      <c r="N358">
        <v>0</v>
      </c>
      <c r="O358">
        <v>1</v>
      </c>
      <c r="P358">
        <v>0</v>
      </c>
      <c r="Q358" t="s">
        <v>44</v>
      </c>
    </row>
    <row r="359" spans="1:17">
      <c r="A359" t="s">
        <v>17</v>
      </c>
      <c r="B359" t="s">
        <v>42</v>
      </c>
      <c r="C359">
        <v>2025</v>
      </c>
      <c r="D359">
        <v>29</v>
      </c>
      <c r="E359" t="s">
        <v>19</v>
      </c>
      <c r="F359" t="s">
        <v>66</v>
      </c>
      <c r="G359" t="s">
        <v>32</v>
      </c>
      <c r="H359" t="s">
        <v>33</v>
      </c>
      <c r="I359">
        <v>1</v>
      </c>
      <c r="J359">
        <v>1</v>
      </c>
      <c r="K359" t="s">
        <v>42</v>
      </c>
      <c r="L359">
        <v>0</v>
      </c>
      <c r="M359">
        <v>16</v>
      </c>
      <c r="N359">
        <v>0</v>
      </c>
      <c r="O359">
        <v>1</v>
      </c>
      <c r="P359">
        <v>0</v>
      </c>
      <c r="Q359" t="s">
        <v>44</v>
      </c>
    </row>
    <row r="360" spans="1:17">
      <c r="A360" t="s">
        <v>17</v>
      </c>
      <c r="B360" t="s">
        <v>42</v>
      </c>
      <c r="C360">
        <v>2025</v>
      </c>
      <c r="D360">
        <v>29</v>
      </c>
      <c r="E360" t="s">
        <v>19</v>
      </c>
      <c r="F360" t="s">
        <v>66</v>
      </c>
      <c r="G360" t="s">
        <v>32</v>
      </c>
      <c r="H360" t="s">
        <v>60</v>
      </c>
      <c r="I360">
        <v>1</v>
      </c>
      <c r="J360">
        <v>1</v>
      </c>
      <c r="K360" t="s">
        <v>42</v>
      </c>
      <c r="L360">
        <v>0</v>
      </c>
      <c r="M360">
        <v>16</v>
      </c>
      <c r="N360">
        <v>0</v>
      </c>
      <c r="O360">
        <v>1</v>
      </c>
      <c r="P360">
        <v>0</v>
      </c>
      <c r="Q360" t="s">
        <v>44</v>
      </c>
    </row>
    <row r="361" spans="1:17">
      <c r="A361" t="s">
        <v>17</v>
      </c>
      <c r="B361" t="s">
        <v>42</v>
      </c>
      <c r="C361">
        <v>2025</v>
      </c>
      <c r="D361">
        <v>29</v>
      </c>
      <c r="E361" t="s">
        <v>19</v>
      </c>
      <c r="F361" t="s">
        <v>66</v>
      </c>
      <c r="G361" t="s">
        <v>25</v>
      </c>
      <c r="H361" t="s">
        <v>45</v>
      </c>
      <c r="I361">
        <v>1</v>
      </c>
      <c r="J361">
        <v>1</v>
      </c>
      <c r="K361" t="s">
        <v>42</v>
      </c>
      <c r="L361">
        <v>0</v>
      </c>
      <c r="M361">
        <v>16</v>
      </c>
      <c r="N361">
        <v>0</v>
      </c>
      <c r="O361">
        <v>1</v>
      </c>
      <c r="P361">
        <v>0</v>
      </c>
      <c r="Q361" t="s">
        <v>44</v>
      </c>
    </row>
    <row r="362" spans="1:17">
      <c r="A362" t="s">
        <v>17</v>
      </c>
      <c r="B362" t="s">
        <v>42</v>
      </c>
      <c r="C362">
        <v>2025</v>
      </c>
      <c r="D362">
        <v>29</v>
      </c>
      <c r="E362" t="s">
        <v>19</v>
      </c>
      <c r="F362" t="s">
        <v>66</v>
      </c>
      <c r="G362" t="s">
        <v>25</v>
      </c>
      <c r="H362" t="s">
        <v>34</v>
      </c>
      <c r="I362">
        <v>1</v>
      </c>
      <c r="J362">
        <v>1</v>
      </c>
      <c r="K362" t="s">
        <v>42</v>
      </c>
      <c r="L362">
        <v>0</v>
      </c>
      <c r="M362">
        <v>16</v>
      </c>
      <c r="N362">
        <v>0</v>
      </c>
      <c r="O362">
        <v>1</v>
      </c>
      <c r="P362">
        <v>0</v>
      </c>
      <c r="Q362" t="s">
        <v>44</v>
      </c>
    </row>
    <row r="363" spans="1:17">
      <c r="A363" t="s">
        <v>17</v>
      </c>
      <c r="B363" t="s">
        <v>42</v>
      </c>
      <c r="C363">
        <v>2025</v>
      </c>
      <c r="D363">
        <v>29</v>
      </c>
      <c r="E363" t="s">
        <v>19</v>
      </c>
      <c r="F363" t="s">
        <v>66</v>
      </c>
      <c r="G363" t="s">
        <v>25</v>
      </c>
      <c r="H363" t="s">
        <v>26</v>
      </c>
      <c r="I363">
        <v>0</v>
      </c>
      <c r="J363">
        <v>0</v>
      </c>
      <c r="K363" t="s">
        <v>42</v>
      </c>
      <c r="L363">
        <v>0</v>
      </c>
      <c r="M363">
        <v>16</v>
      </c>
      <c r="N363">
        <v>0</v>
      </c>
      <c r="O363">
        <v>0</v>
      </c>
      <c r="P363">
        <v>0</v>
      </c>
      <c r="Q363" t="s">
        <v>44</v>
      </c>
    </row>
    <row r="381" spans="1:17">
      <c r="A381">
        <f>setup!C22</f>
        <v>3772</v>
      </c>
    </row>
    <row r="382" spans="1:17">
      <c r="A382" t="str">
        <f>setup!D22</f>
        <v>Validity WISC-6/WAIS-5 - Paper</v>
      </c>
    </row>
    <row r="383" spans="1:17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7</v>
      </c>
      <c r="I383" t="s">
        <v>8</v>
      </c>
      <c r="J383" t="s">
        <v>9</v>
      </c>
      <c r="K383" t="s">
        <v>10</v>
      </c>
      <c r="L383" t="s">
        <v>11</v>
      </c>
      <c r="M383" t="s">
        <v>12</v>
      </c>
      <c r="N383" t="s">
        <v>13</v>
      </c>
      <c r="O383" t="s">
        <v>14</v>
      </c>
      <c r="P383" t="s">
        <v>15</v>
      </c>
      <c r="Q383" t="s">
        <v>16</v>
      </c>
    </row>
    <row r="384" spans="1:17">
      <c r="A384" t="s">
        <v>17</v>
      </c>
      <c r="B384" t="s">
        <v>42</v>
      </c>
      <c r="C384">
        <v>2025</v>
      </c>
      <c r="D384">
        <v>29</v>
      </c>
      <c r="E384" t="s">
        <v>19</v>
      </c>
      <c r="F384" t="s">
        <v>67</v>
      </c>
      <c r="H384" t="s">
        <v>58</v>
      </c>
      <c r="I384">
        <v>1</v>
      </c>
      <c r="J384">
        <v>1</v>
      </c>
      <c r="K384" t="s">
        <v>42</v>
      </c>
      <c r="L384">
        <v>0</v>
      </c>
      <c r="M384">
        <v>16</v>
      </c>
      <c r="N384">
        <v>0</v>
      </c>
      <c r="O384">
        <v>1</v>
      </c>
      <c r="P384">
        <v>0</v>
      </c>
      <c r="Q384" t="s">
        <v>44</v>
      </c>
    </row>
    <row r="385" spans="1:17">
      <c r="A385" t="s">
        <v>17</v>
      </c>
      <c r="B385" t="s">
        <v>42</v>
      </c>
      <c r="C385">
        <v>2025</v>
      </c>
      <c r="D385">
        <v>29</v>
      </c>
      <c r="E385" t="s">
        <v>19</v>
      </c>
      <c r="F385" t="s">
        <v>67</v>
      </c>
      <c r="G385" t="s">
        <v>28</v>
      </c>
      <c r="H385" t="s">
        <v>29</v>
      </c>
      <c r="I385">
        <v>1</v>
      </c>
      <c r="J385">
        <v>1</v>
      </c>
      <c r="K385" t="s">
        <v>42</v>
      </c>
      <c r="L385">
        <v>0</v>
      </c>
      <c r="M385">
        <v>16</v>
      </c>
      <c r="N385">
        <v>0</v>
      </c>
      <c r="O385">
        <v>1</v>
      </c>
      <c r="P385">
        <v>0</v>
      </c>
      <c r="Q385" t="s">
        <v>44</v>
      </c>
    </row>
    <row r="386" spans="1:17">
      <c r="A386" t="s">
        <v>17</v>
      </c>
      <c r="B386" t="s">
        <v>42</v>
      </c>
      <c r="C386">
        <v>2025</v>
      </c>
      <c r="D386">
        <v>29</v>
      </c>
      <c r="E386" t="s">
        <v>19</v>
      </c>
      <c r="F386" t="s">
        <v>67</v>
      </c>
      <c r="G386" t="s">
        <v>28</v>
      </c>
      <c r="H386" t="s">
        <v>56</v>
      </c>
      <c r="I386">
        <v>1</v>
      </c>
      <c r="J386">
        <v>1</v>
      </c>
      <c r="K386" t="s">
        <v>42</v>
      </c>
      <c r="L386">
        <v>0</v>
      </c>
      <c r="M386">
        <v>16</v>
      </c>
      <c r="N386">
        <v>0</v>
      </c>
      <c r="O386">
        <v>1</v>
      </c>
      <c r="P386">
        <v>0</v>
      </c>
      <c r="Q386" t="s">
        <v>44</v>
      </c>
    </row>
    <row r="387" spans="1:17">
      <c r="A387" t="s">
        <v>17</v>
      </c>
      <c r="B387" t="s">
        <v>42</v>
      </c>
      <c r="C387">
        <v>2025</v>
      </c>
      <c r="D387">
        <v>29</v>
      </c>
      <c r="E387" t="s">
        <v>19</v>
      </c>
      <c r="F387" t="s">
        <v>67</v>
      </c>
      <c r="G387" t="s">
        <v>28</v>
      </c>
      <c r="H387" t="s">
        <v>50</v>
      </c>
      <c r="I387">
        <v>1</v>
      </c>
      <c r="J387">
        <v>1</v>
      </c>
      <c r="K387" t="s">
        <v>42</v>
      </c>
      <c r="L387">
        <v>0</v>
      </c>
      <c r="M387">
        <v>16</v>
      </c>
      <c r="N387">
        <v>0</v>
      </c>
      <c r="O387">
        <v>1</v>
      </c>
      <c r="P387">
        <v>0</v>
      </c>
      <c r="Q387" t="s">
        <v>44</v>
      </c>
    </row>
    <row r="388" spans="1:17">
      <c r="A388" t="s">
        <v>17</v>
      </c>
      <c r="B388" t="s">
        <v>42</v>
      </c>
      <c r="C388">
        <v>2025</v>
      </c>
      <c r="D388">
        <v>29</v>
      </c>
      <c r="E388" t="s">
        <v>19</v>
      </c>
      <c r="F388" t="s">
        <v>67</v>
      </c>
      <c r="G388" t="s">
        <v>28</v>
      </c>
      <c r="H388" t="s">
        <v>38</v>
      </c>
      <c r="I388">
        <v>1</v>
      </c>
      <c r="J388">
        <v>1</v>
      </c>
      <c r="K388" t="s">
        <v>42</v>
      </c>
      <c r="L388">
        <v>0</v>
      </c>
      <c r="M388">
        <v>16</v>
      </c>
      <c r="N388">
        <v>0</v>
      </c>
      <c r="O388">
        <v>1</v>
      </c>
      <c r="P388">
        <v>0</v>
      </c>
      <c r="Q388" t="s">
        <v>44</v>
      </c>
    </row>
    <row r="389" spans="1:17">
      <c r="A389" t="s">
        <v>17</v>
      </c>
      <c r="B389" t="s">
        <v>42</v>
      </c>
      <c r="C389">
        <v>2025</v>
      </c>
      <c r="D389">
        <v>29</v>
      </c>
      <c r="E389" t="s">
        <v>19</v>
      </c>
      <c r="F389" t="s">
        <v>67</v>
      </c>
      <c r="G389" t="s">
        <v>21</v>
      </c>
      <c r="H389" t="s">
        <v>22</v>
      </c>
      <c r="I389">
        <v>1</v>
      </c>
      <c r="J389">
        <v>1</v>
      </c>
      <c r="K389" t="s">
        <v>42</v>
      </c>
      <c r="L389">
        <v>0</v>
      </c>
      <c r="M389">
        <v>16</v>
      </c>
      <c r="N389">
        <v>0</v>
      </c>
      <c r="O389">
        <v>1</v>
      </c>
      <c r="P389">
        <v>0</v>
      </c>
      <c r="Q389" t="s">
        <v>44</v>
      </c>
    </row>
    <row r="390" spans="1:17">
      <c r="A390" t="s">
        <v>17</v>
      </c>
      <c r="B390" t="s">
        <v>42</v>
      </c>
      <c r="C390">
        <v>2025</v>
      </c>
      <c r="D390">
        <v>29</v>
      </c>
      <c r="E390" t="s">
        <v>19</v>
      </c>
      <c r="F390" t="s">
        <v>67</v>
      </c>
      <c r="G390" t="s">
        <v>21</v>
      </c>
      <c r="H390" t="s">
        <v>36</v>
      </c>
      <c r="I390">
        <v>1</v>
      </c>
      <c r="J390">
        <v>1</v>
      </c>
      <c r="K390" t="s">
        <v>42</v>
      </c>
      <c r="L390">
        <v>0</v>
      </c>
      <c r="M390">
        <v>16</v>
      </c>
      <c r="N390">
        <v>0</v>
      </c>
      <c r="O390">
        <v>1</v>
      </c>
      <c r="P390">
        <v>0</v>
      </c>
      <c r="Q390" t="s">
        <v>44</v>
      </c>
    </row>
    <row r="391" spans="1:17">
      <c r="A391" t="s">
        <v>17</v>
      </c>
      <c r="B391" t="s">
        <v>42</v>
      </c>
      <c r="C391">
        <v>2025</v>
      </c>
      <c r="D391">
        <v>29</v>
      </c>
      <c r="E391" t="s">
        <v>19</v>
      </c>
      <c r="F391" t="s">
        <v>67</v>
      </c>
      <c r="G391" t="s">
        <v>21</v>
      </c>
      <c r="H391" t="s">
        <v>24</v>
      </c>
      <c r="I391">
        <v>1</v>
      </c>
      <c r="J391">
        <v>1</v>
      </c>
      <c r="K391" t="s">
        <v>42</v>
      </c>
      <c r="L391">
        <v>0</v>
      </c>
      <c r="M391">
        <v>16</v>
      </c>
      <c r="N391">
        <v>0</v>
      </c>
      <c r="O391">
        <v>1</v>
      </c>
      <c r="P391">
        <v>0</v>
      </c>
      <c r="Q391" t="s">
        <v>44</v>
      </c>
    </row>
    <row r="392" spans="1:17">
      <c r="A392" t="s">
        <v>17</v>
      </c>
      <c r="B392" t="s">
        <v>42</v>
      </c>
      <c r="C392">
        <v>2025</v>
      </c>
      <c r="D392">
        <v>29</v>
      </c>
      <c r="E392" t="s">
        <v>19</v>
      </c>
      <c r="F392" t="s">
        <v>67</v>
      </c>
      <c r="G392" t="s">
        <v>21</v>
      </c>
      <c r="H392" t="s">
        <v>31</v>
      </c>
      <c r="I392">
        <v>1</v>
      </c>
      <c r="J392">
        <v>1</v>
      </c>
      <c r="K392" t="s">
        <v>42</v>
      </c>
      <c r="L392">
        <v>0</v>
      </c>
      <c r="M392">
        <v>16</v>
      </c>
      <c r="N392">
        <v>0</v>
      </c>
      <c r="O392">
        <v>1</v>
      </c>
      <c r="P392">
        <v>0</v>
      </c>
      <c r="Q392" t="s">
        <v>44</v>
      </c>
    </row>
    <row r="393" spans="1:17">
      <c r="A393" t="s">
        <v>17</v>
      </c>
      <c r="B393" t="s">
        <v>42</v>
      </c>
      <c r="C393">
        <v>2025</v>
      </c>
      <c r="D393">
        <v>29</v>
      </c>
      <c r="E393" t="s">
        <v>19</v>
      </c>
      <c r="F393" t="s">
        <v>67</v>
      </c>
      <c r="G393" t="s">
        <v>21</v>
      </c>
      <c r="H393" t="s">
        <v>39</v>
      </c>
      <c r="I393">
        <v>1</v>
      </c>
      <c r="J393">
        <v>1</v>
      </c>
      <c r="K393" t="s">
        <v>42</v>
      </c>
      <c r="L393">
        <v>0</v>
      </c>
      <c r="M393">
        <v>16</v>
      </c>
      <c r="N393">
        <v>0</v>
      </c>
      <c r="O393">
        <v>1</v>
      </c>
      <c r="P393">
        <v>0</v>
      </c>
      <c r="Q393" t="s">
        <v>44</v>
      </c>
    </row>
    <row r="394" spans="1:17">
      <c r="A394" t="s">
        <v>17</v>
      </c>
      <c r="B394" t="s">
        <v>42</v>
      </c>
      <c r="C394">
        <v>2025</v>
      </c>
      <c r="D394">
        <v>29</v>
      </c>
      <c r="E394" t="s">
        <v>19</v>
      </c>
      <c r="F394" t="s">
        <v>67</v>
      </c>
      <c r="G394" t="s">
        <v>32</v>
      </c>
      <c r="H394" t="s">
        <v>59</v>
      </c>
      <c r="I394">
        <v>1</v>
      </c>
      <c r="J394">
        <v>1</v>
      </c>
      <c r="K394" t="s">
        <v>42</v>
      </c>
      <c r="L394">
        <v>0</v>
      </c>
      <c r="M394">
        <v>16</v>
      </c>
      <c r="N394">
        <v>0</v>
      </c>
      <c r="O394">
        <v>1</v>
      </c>
      <c r="P394">
        <v>0</v>
      </c>
      <c r="Q394" t="s">
        <v>44</v>
      </c>
    </row>
    <row r="395" spans="1:17">
      <c r="A395" t="s">
        <v>17</v>
      </c>
      <c r="B395" t="s">
        <v>42</v>
      </c>
      <c r="C395">
        <v>2025</v>
      </c>
      <c r="D395">
        <v>29</v>
      </c>
      <c r="E395" t="s">
        <v>19</v>
      </c>
      <c r="F395" t="s">
        <v>67</v>
      </c>
      <c r="G395" t="s">
        <v>32</v>
      </c>
      <c r="H395" t="s">
        <v>47</v>
      </c>
      <c r="I395">
        <v>1</v>
      </c>
      <c r="J395">
        <v>1</v>
      </c>
      <c r="K395" t="s">
        <v>42</v>
      </c>
      <c r="L395">
        <v>0</v>
      </c>
      <c r="M395">
        <v>16</v>
      </c>
      <c r="N395">
        <v>0</v>
      </c>
      <c r="O395">
        <v>1</v>
      </c>
      <c r="P395">
        <v>0</v>
      </c>
      <c r="Q395" t="s">
        <v>44</v>
      </c>
    </row>
    <row r="396" spans="1:17">
      <c r="A396" t="s">
        <v>17</v>
      </c>
      <c r="B396" t="s">
        <v>42</v>
      </c>
      <c r="C396">
        <v>2025</v>
      </c>
      <c r="D396">
        <v>29</v>
      </c>
      <c r="E396" t="s">
        <v>19</v>
      </c>
      <c r="F396" t="s">
        <v>67</v>
      </c>
      <c r="G396" t="s">
        <v>32</v>
      </c>
      <c r="H396" t="s">
        <v>33</v>
      </c>
      <c r="I396">
        <v>1</v>
      </c>
      <c r="J396">
        <v>1</v>
      </c>
      <c r="K396" t="s">
        <v>42</v>
      </c>
      <c r="L396">
        <v>0</v>
      </c>
      <c r="M396">
        <v>16</v>
      </c>
      <c r="N396">
        <v>0</v>
      </c>
      <c r="O396">
        <v>1</v>
      </c>
      <c r="P396">
        <v>0</v>
      </c>
      <c r="Q396" t="s">
        <v>44</v>
      </c>
    </row>
    <row r="397" spans="1:17">
      <c r="A397" t="s">
        <v>17</v>
      </c>
      <c r="B397" t="s">
        <v>42</v>
      </c>
      <c r="C397">
        <v>2025</v>
      </c>
      <c r="D397">
        <v>29</v>
      </c>
      <c r="E397" t="s">
        <v>19</v>
      </c>
      <c r="F397" t="s">
        <v>67</v>
      </c>
      <c r="G397" t="s">
        <v>32</v>
      </c>
      <c r="H397" t="s">
        <v>60</v>
      </c>
      <c r="I397">
        <v>1</v>
      </c>
      <c r="J397">
        <v>1</v>
      </c>
      <c r="K397" t="s">
        <v>42</v>
      </c>
      <c r="L397">
        <v>0</v>
      </c>
      <c r="M397">
        <v>16</v>
      </c>
      <c r="N397">
        <v>0</v>
      </c>
      <c r="O397">
        <v>1</v>
      </c>
      <c r="P397">
        <v>0</v>
      </c>
      <c r="Q397" t="s">
        <v>44</v>
      </c>
    </row>
    <row r="398" spans="1:17">
      <c r="A398" t="s">
        <v>17</v>
      </c>
      <c r="B398" t="s">
        <v>42</v>
      </c>
      <c r="C398">
        <v>2025</v>
      </c>
      <c r="D398">
        <v>29</v>
      </c>
      <c r="E398" t="s">
        <v>19</v>
      </c>
      <c r="F398" t="s">
        <v>67</v>
      </c>
      <c r="G398" t="s">
        <v>25</v>
      </c>
      <c r="H398" t="s">
        <v>45</v>
      </c>
      <c r="I398">
        <v>1</v>
      </c>
      <c r="J398">
        <v>1</v>
      </c>
      <c r="K398" t="s">
        <v>42</v>
      </c>
      <c r="L398">
        <v>0</v>
      </c>
      <c r="M398">
        <v>16</v>
      </c>
      <c r="N398">
        <v>0</v>
      </c>
      <c r="O398">
        <v>1</v>
      </c>
      <c r="P398">
        <v>0</v>
      </c>
      <c r="Q398" t="s">
        <v>44</v>
      </c>
    </row>
    <row r="399" spans="1:17">
      <c r="A399" t="s">
        <v>17</v>
      </c>
      <c r="B399" t="s">
        <v>42</v>
      </c>
      <c r="C399">
        <v>2025</v>
      </c>
      <c r="D399">
        <v>29</v>
      </c>
      <c r="E399" t="s">
        <v>19</v>
      </c>
      <c r="F399" t="s">
        <v>67</v>
      </c>
      <c r="G399" t="s">
        <v>25</v>
      </c>
      <c r="H399" t="s">
        <v>34</v>
      </c>
      <c r="I399">
        <v>1</v>
      </c>
      <c r="J399">
        <v>1</v>
      </c>
      <c r="K399" t="s">
        <v>42</v>
      </c>
      <c r="L399">
        <v>0</v>
      </c>
      <c r="M399">
        <v>16</v>
      </c>
      <c r="N399">
        <v>0</v>
      </c>
      <c r="O399">
        <v>1</v>
      </c>
      <c r="P399">
        <v>0</v>
      </c>
      <c r="Q399" t="s">
        <v>44</v>
      </c>
    </row>
    <row r="400" spans="1:17">
      <c r="A400" t="s">
        <v>17</v>
      </c>
      <c r="B400" t="s">
        <v>42</v>
      </c>
      <c r="C400">
        <v>2025</v>
      </c>
      <c r="D400">
        <v>29</v>
      </c>
      <c r="E400" t="s">
        <v>19</v>
      </c>
      <c r="F400" t="s">
        <v>67</v>
      </c>
      <c r="G400" t="s">
        <v>25</v>
      </c>
      <c r="H400" t="s">
        <v>26</v>
      </c>
      <c r="I400">
        <v>0</v>
      </c>
      <c r="J400">
        <v>0</v>
      </c>
      <c r="K400" t="s">
        <v>42</v>
      </c>
      <c r="L400">
        <v>0</v>
      </c>
      <c r="M400">
        <v>16</v>
      </c>
      <c r="N400">
        <v>0</v>
      </c>
      <c r="O400">
        <v>0</v>
      </c>
      <c r="P400">
        <v>0</v>
      </c>
      <c r="Q400" t="s">
        <v>44</v>
      </c>
    </row>
    <row r="418" spans="1:17">
      <c r="A418" t="e">
        <f>setup!#REF!</f>
        <v>#REF!</v>
      </c>
    </row>
    <row r="419" spans="1:17">
      <c r="A419" t="str">
        <f>setup!D23</f>
        <v>Validity WISC-6/WIAT-4 - Paper</v>
      </c>
    </row>
    <row r="420" spans="1:17">
      <c r="A420" t="s">
        <v>0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7</v>
      </c>
      <c r="I420" t="s">
        <v>8</v>
      </c>
      <c r="J420" t="s">
        <v>9</v>
      </c>
      <c r="K420" t="s">
        <v>10</v>
      </c>
      <c r="L420" t="s">
        <v>11</v>
      </c>
      <c r="M420" t="s">
        <v>12</v>
      </c>
      <c r="N420" t="s">
        <v>13</v>
      </c>
      <c r="O420" t="s">
        <v>14</v>
      </c>
      <c r="P420" t="s">
        <v>15</v>
      </c>
      <c r="Q420" t="s">
        <v>16</v>
      </c>
    </row>
    <row r="421" spans="1:17">
      <c r="A421" t="s">
        <v>17</v>
      </c>
      <c r="B421" t="s">
        <v>42</v>
      </c>
      <c r="C421">
        <v>2025</v>
      </c>
      <c r="D421">
        <v>29</v>
      </c>
      <c r="E421" t="s">
        <v>19</v>
      </c>
      <c r="F421" t="s">
        <v>67</v>
      </c>
      <c r="H421" t="s">
        <v>58</v>
      </c>
      <c r="I421">
        <v>1</v>
      </c>
      <c r="J421">
        <v>1</v>
      </c>
      <c r="K421" t="s">
        <v>42</v>
      </c>
      <c r="L421">
        <v>0</v>
      </c>
      <c r="M421">
        <v>32</v>
      </c>
      <c r="N421">
        <v>0</v>
      </c>
      <c r="O421">
        <v>1</v>
      </c>
      <c r="P421">
        <v>0</v>
      </c>
      <c r="Q421" t="s">
        <v>44</v>
      </c>
    </row>
    <row r="422" spans="1:17">
      <c r="A422" t="s">
        <v>17</v>
      </c>
      <c r="B422" t="s">
        <v>42</v>
      </c>
      <c r="C422">
        <v>2025</v>
      </c>
      <c r="D422">
        <v>29</v>
      </c>
      <c r="E422" t="s">
        <v>19</v>
      </c>
      <c r="F422" t="s">
        <v>67</v>
      </c>
      <c r="G422" t="s">
        <v>28</v>
      </c>
      <c r="H422" t="s">
        <v>29</v>
      </c>
      <c r="I422">
        <v>1</v>
      </c>
      <c r="J422">
        <v>1</v>
      </c>
      <c r="K422" t="s">
        <v>42</v>
      </c>
      <c r="L422">
        <v>0</v>
      </c>
      <c r="M422">
        <v>32</v>
      </c>
      <c r="N422">
        <v>0</v>
      </c>
      <c r="O422">
        <v>1</v>
      </c>
      <c r="P422">
        <v>0</v>
      </c>
      <c r="Q422" t="s">
        <v>44</v>
      </c>
    </row>
    <row r="423" spans="1:17">
      <c r="A423" t="s">
        <v>17</v>
      </c>
      <c r="B423" t="s">
        <v>42</v>
      </c>
      <c r="C423">
        <v>2025</v>
      </c>
      <c r="D423">
        <v>29</v>
      </c>
      <c r="E423" t="s">
        <v>19</v>
      </c>
      <c r="F423" t="s">
        <v>67</v>
      </c>
      <c r="G423" t="s">
        <v>28</v>
      </c>
      <c r="H423" t="s">
        <v>56</v>
      </c>
      <c r="I423">
        <v>1</v>
      </c>
      <c r="J423">
        <v>1</v>
      </c>
      <c r="K423" t="s">
        <v>42</v>
      </c>
      <c r="L423">
        <v>0</v>
      </c>
      <c r="M423">
        <v>32</v>
      </c>
      <c r="N423">
        <v>0</v>
      </c>
      <c r="O423">
        <v>1</v>
      </c>
      <c r="P423">
        <v>0</v>
      </c>
      <c r="Q423" t="s">
        <v>44</v>
      </c>
    </row>
    <row r="424" spans="1:17">
      <c r="A424" t="s">
        <v>17</v>
      </c>
      <c r="B424" t="s">
        <v>42</v>
      </c>
      <c r="C424">
        <v>2025</v>
      </c>
      <c r="D424">
        <v>29</v>
      </c>
      <c r="E424" t="s">
        <v>19</v>
      </c>
      <c r="F424" t="s">
        <v>67</v>
      </c>
      <c r="G424" t="s">
        <v>28</v>
      </c>
      <c r="H424" t="s">
        <v>50</v>
      </c>
      <c r="I424">
        <v>1</v>
      </c>
      <c r="J424">
        <v>1</v>
      </c>
      <c r="K424" t="s">
        <v>42</v>
      </c>
      <c r="L424">
        <v>0</v>
      </c>
      <c r="M424">
        <v>32</v>
      </c>
      <c r="N424">
        <v>0</v>
      </c>
      <c r="O424">
        <v>1</v>
      </c>
      <c r="P424">
        <v>0</v>
      </c>
      <c r="Q424" t="s">
        <v>44</v>
      </c>
    </row>
    <row r="425" spans="1:17">
      <c r="A425" t="s">
        <v>17</v>
      </c>
      <c r="B425" t="s">
        <v>42</v>
      </c>
      <c r="C425">
        <v>2025</v>
      </c>
      <c r="D425">
        <v>29</v>
      </c>
      <c r="E425" t="s">
        <v>19</v>
      </c>
      <c r="F425" t="s">
        <v>67</v>
      </c>
      <c r="G425" t="s">
        <v>28</v>
      </c>
      <c r="H425" t="s">
        <v>38</v>
      </c>
      <c r="I425">
        <v>1</v>
      </c>
      <c r="J425">
        <v>1</v>
      </c>
      <c r="K425" t="s">
        <v>42</v>
      </c>
      <c r="L425">
        <v>0</v>
      </c>
      <c r="M425">
        <v>32</v>
      </c>
      <c r="N425">
        <v>0</v>
      </c>
      <c r="O425">
        <v>1</v>
      </c>
      <c r="P425">
        <v>0</v>
      </c>
      <c r="Q425" t="s">
        <v>44</v>
      </c>
    </row>
    <row r="426" spans="1:17">
      <c r="A426" t="s">
        <v>17</v>
      </c>
      <c r="B426" t="s">
        <v>42</v>
      </c>
      <c r="C426">
        <v>2025</v>
      </c>
      <c r="D426">
        <v>29</v>
      </c>
      <c r="E426" t="s">
        <v>19</v>
      </c>
      <c r="F426" t="s">
        <v>67</v>
      </c>
      <c r="G426" t="s">
        <v>21</v>
      </c>
      <c r="H426" t="s">
        <v>22</v>
      </c>
      <c r="I426">
        <v>1</v>
      </c>
      <c r="J426">
        <v>1</v>
      </c>
      <c r="K426" t="s">
        <v>42</v>
      </c>
      <c r="L426">
        <v>0</v>
      </c>
      <c r="M426">
        <v>32</v>
      </c>
      <c r="N426">
        <v>0</v>
      </c>
      <c r="O426">
        <v>1</v>
      </c>
      <c r="P426">
        <v>0</v>
      </c>
      <c r="Q426" t="s">
        <v>44</v>
      </c>
    </row>
    <row r="427" spans="1:17">
      <c r="A427" t="s">
        <v>17</v>
      </c>
      <c r="B427" t="s">
        <v>42</v>
      </c>
      <c r="C427">
        <v>2025</v>
      </c>
      <c r="D427">
        <v>29</v>
      </c>
      <c r="E427" t="s">
        <v>19</v>
      </c>
      <c r="F427" t="s">
        <v>67</v>
      </c>
      <c r="G427" t="s">
        <v>21</v>
      </c>
      <c r="H427" t="s">
        <v>36</v>
      </c>
      <c r="I427">
        <v>1</v>
      </c>
      <c r="J427">
        <v>1</v>
      </c>
      <c r="K427" t="s">
        <v>42</v>
      </c>
      <c r="L427">
        <v>0</v>
      </c>
      <c r="M427">
        <v>32</v>
      </c>
      <c r="N427">
        <v>0</v>
      </c>
      <c r="O427">
        <v>1</v>
      </c>
      <c r="P427">
        <v>0</v>
      </c>
      <c r="Q427" t="s">
        <v>44</v>
      </c>
    </row>
    <row r="428" spans="1:17">
      <c r="A428" t="s">
        <v>17</v>
      </c>
      <c r="B428" t="s">
        <v>42</v>
      </c>
      <c r="C428">
        <v>2025</v>
      </c>
      <c r="D428">
        <v>29</v>
      </c>
      <c r="E428" t="s">
        <v>19</v>
      </c>
      <c r="F428" t="s">
        <v>67</v>
      </c>
      <c r="G428" t="s">
        <v>21</v>
      </c>
      <c r="H428" t="s">
        <v>24</v>
      </c>
      <c r="I428">
        <v>1</v>
      </c>
      <c r="J428">
        <v>1</v>
      </c>
      <c r="K428" t="s">
        <v>42</v>
      </c>
      <c r="L428">
        <v>0</v>
      </c>
      <c r="M428">
        <v>32</v>
      </c>
      <c r="N428">
        <v>0</v>
      </c>
      <c r="O428">
        <v>1</v>
      </c>
      <c r="P428">
        <v>0</v>
      </c>
      <c r="Q428" t="s">
        <v>44</v>
      </c>
    </row>
    <row r="429" spans="1:17">
      <c r="A429" t="s">
        <v>17</v>
      </c>
      <c r="B429" t="s">
        <v>42</v>
      </c>
      <c r="C429">
        <v>2025</v>
      </c>
      <c r="D429">
        <v>29</v>
      </c>
      <c r="E429" t="s">
        <v>19</v>
      </c>
      <c r="F429" t="s">
        <v>67</v>
      </c>
      <c r="G429" t="s">
        <v>21</v>
      </c>
      <c r="H429" t="s">
        <v>31</v>
      </c>
      <c r="I429">
        <v>1</v>
      </c>
      <c r="J429">
        <v>1</v>
      </c>
      <c r="K429" t="s">
        <v>42</v>
      </c>
      <c r="L429">
        <v>0</v>
      </c>
      <c r="M429">
        <v>32</v>
      </c>
      <c r="N429">
        <v>0</v>
      </c>
      <c r="O429">
        <v>1</v>
      </c>
      <c r="P429">
        <v>0</v>
      </c>
      <c r="Q429" t="s">
        <v>44</v>
      </c>
    </row>
    <row r="430" spans="1:17">
      <c r="A430" t="s">
        <v>17</v>
      </c>
      <c r="B430" t="s">
        <v>42</v>
      </c>
      <c r="C430">
        <v>2025</v>
      </c>
      <c r="D430">
        <v>29</v>
      </c>
      <c r="E430" t="s">
        <v>19</v>
      </c>
      <c r="F430" t="s">
        <v>67</v>
      </c>
      <c r="G430" t="s">
        <v>21</v>
      </c>
      <c r="H430" t="s">
        <v>39</v>
      </c>
      <c r="I430">
        <v>1</v>
      </c>
      <c r="J430">
        <v>1</v>
      </c>
      <c r="K430" t="s">
        <v>42</v>
      </c>
      <c r="L430">
        <v>0</v>
      </c>
      <c r="M430">
        <v>32</v>
      </c>
      <c r="N430">
        <v>0</v>
      </c>
      <c r="O430">
        <v>1</v>
      </c>
      <c r="P430">
        <v>0</v>
      </c>
      <c r="Q430" t="s">
        <v>44</v>
      </c>
    </row>
    <row r="431" spans="1:17">
      <c r="A431" t="s">
        <v>17</v>
      </c>
      <c r="B431" t="s">
        <v>42</v>
      </c>
      <c r="C431">
        <v>2025</v>
      </c>
      <c r="D431">
        <v>29</v>
      </c>
      <c r="E431" t="s">
        <v>19</v>
      </c>
      <c r="F431" t="s">
        <v>67</v>
      </c>
      <c r="G431" t="s">
        <v>32</v>
      </c>
      <c r="H431" t="s">
        <v>59</v>
      </c>
      <c r="I431">
        <v>1</v>
      </c>
      <c r="J431">
        <v>1</v>
      </c>
      <c r="K431" t="s">
        <v>42</v>
      </c>
      <c r="L431">
        <v>0</v>
      </c>
      <c r="M431">
        <v>32</v>
      </c>
      <c r="N431">
        <v>0</v>
      </c>
      <c r="O431">
        <v>1</v>
      </c>
      <c r="P431">
        <v>0</v>
      </c>
      <c r="Q431" t="s">
        <v>44</v>
      </c>
    </row>
    <row r="432" spans="1:17">
      <c r="A432" t="s">
        <v>17</v>
      </c>
      <c r="B432" t="s">
        <v>42</v>
      </c>
      <c r="C432">
        <v>2025</v>
      </c>
      <c r="D432">
        <v>29</v>
      </c>
      <c r="E432" t="s">
        <v>19</v>
      </c>
      <c r="F432" t="s">
        <v>67</v>
      </c>
      <c r="G432" t="s">
        <v>32</v>
      </c>
      <c r="H432" t="s">
        <v>47</v>
      </c>
      <c r="I432">
        <v>1</v>
      </c>
      <c r="J432">
        <v>1</v>
      </c>
      <c r="K432" t="s">
        <v>42</v>
      </c>
      <c r="L432">
        <v>0</v>
      </c>
      <c r="M432">
        <v>32</v>
      </c>
      <c r="N432">
        <v>0</v>
      </c>
      <c r="O432">
        <v>1</v>
      </c>
      <c r="P432">
        <v>0</v>
      </c>
      <c r="Q432" t="s">
        <v>44</v>
      </c>
    </row>
    <row r="433" spans="1:17">
      <c r="A433" t="s">
        <v>17</v>
      </c>
      <c r="B433" t="s">
        <v>42</v>
      </c>
      <c r="C433">
        <v>2025</v>
      </c>
      <c r="D433">
        <v>29</v>
      </c>
      <c r="E433" t="s">
        <v>19</v>
      </c>
      <c r="F433" t="s">
        <v>67</v>
      </c>
      <c r="G433" t="s">
        <v>32</v>
      </c>
      <c r="H433" t="s">
        <v>33</v>
      </c>
      <c r="I433">
        <v>1</v>
      </c>
      <c r="J433">
        <v>1</v>
      </c>
      <c r="K433" t="s">
        <v>42</v>
      </c>
      <c r="L433">
        <v>0</v>
      </c>
      <c r="M433">
        <v>32</v>
      </c>
      <c r="N433">
        <v>0</v>
      </c>
      <c r="O433">
        <v>1</v>
      </c>
      <c r="P433">
        <v>0</v>
      </c>
      <c r="Q433" t="s">
        <v>44</v>
      </c>
    </row>
    <row r="434" spans="1:17">
      <c r="A434" t="s">
        <v>17</v>
      </c>
      <c r="B434" t="s">
        <v>42</v>
      </c>
      <c r="C434">
        <v>2025</v>
      </c>
      <c r="D434">
        <v>29</v>
      </c>
      <c r="E434" t="s">
        <v>19</v>
      </c>
      <c r="F434" t="s">
        <v>67</v>
      </c>
      <c r="G434" t="s">
        <v>32</v>
      </c>
      <c r="H434" t="s">
        <v>60</v>
      </c>
      <c r="I434">
        <v>1</v>
      </c>
      <c r="J434">
        <v>1</v>
      </c>
      <c r="K434" t="s">
        <v>42</v>
      </c>
      <c r="L434">
        <v>0</v>
      </c>
      <c r="M434">
        <v>32</v>
      </c>
      <c r="N434">
        <v>0</v>
      </c>
      <c r="O434">
        <v>1</v>
      </c>
      <c r="P434">
        <v>0</v>
      </c>
      <c r="Q434" t="s">
        <v>44</v>
      </c>
    </row>
    <row r="435" spans="1:17">
      <c r="A435" t="s">
        <v>17</v>
      </c>
      <c r="B435" t="s">
        <v>42</v>
      </c>
      <c r="C435">
        <v>2025</v>
      </c>
      <c r="D435">
        <v>29</v>
      </c>
      <c r="E435" t="s">
        <v>19</v>
      </c>
      <c r="F435" t="s">
        <v>67</v>
      </c>
      <c r="G435" t="s">
        <v>25</v>
      </c>
      <c r="H435" t="s">
        <v>45</v>
      </c>
      <c r="I435">
        <v>1</v>
      </c>
      <c r="J435">
        <v>1</v>
      </c>
      <c r="K435" t="s">
        <v>42</v>
      </c>
      <c r="L435">
        <v>0</v>
      </c>
      <c r="M435">
        <v>32</v>
      </c>
      <c r="N435">
        <v>0</v>
      </c>
      <c r="O435">
        <v>1</v>
      </c>
      <c r="P435">
        <v>0</v>
      </c>
      <c r="Q435" t="s">
        <v>44</v>
      </c>
    </row>
    <row r="436" spans="1:17">
      <c r="A436" t="s">
        <v>17</v>
      </c>
      <c r="B436" t="s">
        <v>42</v>
      </c>
      <c r="C436">
        <v>2025</v>
      </c>
      <c r="D436">
        <v>29</v>
      </c>
      <c r="E436" t="s">
        <v>19</v>
      </c>
      <c r="F436" t="s">
        <v>67</v>
      </c>
      <c r="G436" t="s">
        <v>25</v>
      </c>
      <c r="H436" t="s">
        <v>34</v>
      </c>
      <c r="I436">
        <v>1</v>
      </c>
      <c r="J436">
        <v>1</v>
      </c>
      <c r="K436" t="s">
        <v>42</v>
      </c>
      <c r="L436">
        <v>0</v>
      </c>
      <c r="M436">
        <v>32</v>
      </c>
      <c r="N436">
        <v>0</v>
      </c>
      <c r="O436">
        <v>1</v>
      </c>
      <c r="P436">
        <v>0</v>
      </c>
      <c r="Q436" t="s">
        <v>44</v>
      </c>
    </row>
    <row r="437" spans="1:17">
      <c r="A437" t="s">
        <v>17</v>
      </c>
      <c r="B437" t="s">
        <v>42</v>
      </c>
      <c r="C437">
        <v>2025</v>
      </c>
      <c r="D437">
        <v>29</v>
      </c>
      <c r="E437" t="s">
        <v>19</v>
      </c>
      <c r="F437" t="s">
        <v>67</v>
      </c>
      <c r="G437" t="s">
        <v>25</v>
      </c>
      <c r="H437" t="s">
        <v>26</v>
      </c>
      <c r="I437">
        <v>0</v>
      </c>
      <c r="J437">
        <v>0</v>
      </c>
      <c r="K437" t="s">
        <v>42</v>
      </c>
      <c r="L437">
        <v>0</v>
      </c>
      <c r="M437">
        <v>32</v>
      </c>
      <c r="N437">
        <v>0</v>
      </c>
      <c r="O437">
        <v>0</v>
      </c>
      <c r="P437">
        <v>0</v>
      </c>
      <c r="Q437" t="s">
        <v>44</v>
      </c>
    </row>
    <row r="438" spans="1:17">
      <c r="A438" t="s">
        <v>17</v>
      </c>
      <c r="B438" t="s">
        <v>42</v>
      </c>
      <c r="C438">
        <v>2025</v>
      </c>
      <c r="D438">
        <v>29</v>
      </c>
      <c r="E438" t="s">
        <v>19</v>
      </c>
      <c r="F438" t="s">
        <v>55</v>
      </c>
      <c r="H438" t="s">
        <v>58</v>
      </c>
      <c r="I438">
        <v>1</v>
      </c>
      <c r="J438">
        <v>1</v>
      </c>
      <c r="K438" t="s">
        <v>42</v>
      </c>
      <c r="L438">
        <v>0</v>
      </c>
      <c r="M438">
        <v>32</v>
      </c>
      <c r="N438">
        <v>0</v>
      </c>
      <c r="O438">
        <v>1</v>
      </c>
      <c r="P438">
        <v>0</v>
      </c>
      <c r="Q438" t="s">
        <v>44</v>
      </c>
    </row>
    <row r="439" spans="1:17">
      <c r="A439" t="s">
        <v>17</v>
      </c>
      <c r="B439" t="s">
        <v>42</v>
      </c>
      <c r="C439">
        <v>2025</v>
      </c>
      <c r="D439">
        <v>29</v>
      </c>
      <c r="E439" t="s">
        <v>19</v>
      </c>
      <c r="F439" t="s">
        <v>55</v>
      </c>
      <c r="G439" t="s">
        <v>28</v>
      </c>
      <c r="H439" t="s">
        <v>29</v>
      </c>
      <c r="I439">
        <v>1</v>
      </c>
      <c r="J439">
        <v>1</v>
      </c>
      <c r="K439" t="s">
        <v>42</v>
      </c>
      <c r="L439">
        <v>0</v>
      </c>
      <c r="M439">
        <v>32</v>
      </c>
      <c r="N439">
        <v>0</v>
      </c>
      <c r="O439">
        <v>1</v>
      </c>
      <c r="P439">
        <v>0</v>
      </c>
      <c r="Q439" t="s">
        <v>44</v>
      </c>
    </row>
    <row r="440" spans="1:17">
      <c r="A440" t="s">
        <v>17</v>
      </c>
      <c r="B440" t="s">
        <v>42</v>
      </c>
      <c r="C440">
        <v>2025</v>
      </c>
      <c r="D440">
        <v>29</v>
      </c>
      <c r="E440" t="s">
        <v>19</v>
      </c>
      <c r="F440" t="s">
        <v>55</v>
      </c>
      <c r="G440" t="s">
        <v>28</v>
      </c>
      <c r="H440" t="s">
        <v>56</v>
      </c>
      <c r="I440">
        <v>1</v>
      </c>
      <c r="J440">
        <v>1</v>
      </c>
      <c r="K440" t="s">
        <v>42</v>
      </c>
      <c r="L440">
        <v>0</v>
      </c>
      <c r="M440">
        <v>32</v>
      </c>
      <c r="N440">
        <v>0</v>
      </c>
      <c r="O440">
        <v>1</v>
      </c>
      <c r="P440">
        <v>0</v>
      </c>
      <c r="Q440" t="s">
        <v>44</v>
      </c>
    </row>
    <row r="441" spans="1:17">
      <c r="A441" t="s">
        <v>17</v>
      </c>
      <c r="B441" t="s">
        <v>42</v>
      </c>
      <c r="C441">
        <v>2025</v>
      </c>
      <c r="D441">
        <v>29</v>
      </c>
      <c r="E441" t="s">
        <v>19</v>
      </c>
      <c r="F441" t="s">
        <v>55</v>
      </c>
      <c r="G441" t="s">
        <v>28</v>
      </c>
      <c r="H441" t="s">
        <v>50</v>
      </c>
      <c r="I441">
        <v>1</v>
      </c>
      <c r="J441">
        <v>1</v>
      </c>
      <c r="K441" t="s">
        <v>42</v>
      </c>
      <c r="L441">
        <v>0</v>
      </c>
      <c r="M441">
        <v>32</v>
      </c>
      <c r="N441">
        <v>0</v>
      </c>
      <c r="O441">
        <v>1</v>
      </c>
      <c r="P441">
        <v>0</v>
      </c>
      <c r="Q441" t="s">
        <v>44</v>
      </c>
    </row>
    <row r="442" spans="1:17">
      <c r="A442" t="s">
        <v>17</v>
      </c>
      <c r="B442" t="s">
        <v>42</v>
      </c>
      <c r="C442">
        <v>2025</v>
      </c>
      <c r="D442">
        <v>29</v>
      </c>
      <c r="E442" t="s">
        <v>19</v>
      </c>
      <c r="F442" t="s">
        <v>55</v>
      </c>
      <c r="G442" t="s">
        <v>28</v>
      </c>
      <c r="H442" t="s">
        <v>38</v>
      </c>
      <c r="I442">
        <v>1</v>
      </c>
      <c r="J442">
        <v>1</v>
      </c>
      <c r="K442" t="s">
        <v>30</v>
      </c>
      <c r="L442">
        <v>1</v>
      </c>
      <c r="M442">
        <v>32</v>
      </c>
      <c r="N442">
        <v>1</v>
      </c>
      <c r="O442">
        <v>0</v>
      </c>
      <c r="P442">
        <v>0</v>
      </c>
      <c r="Q442" t="s">
        <v>44</v>
      </c>
    </row>
    <row r="443" spans="1:17">
      <c r="A443" t="s">
        <v>17</v>
      </c>
      <c r="B443" t="s">
        <v>42</v>
      </c>
      <c r="C443">
        <v>2025</v>
      </c>
      <c r="D443">
        <v>29</v>
      </c>
      <c r="E443" t="s">
        <v>19</v>
      </c>
      <c r="F443" t="s">
        <v>55</v>
      </c>
      <c r="G443" t="s">
        <v>21</v>
      </c>
      <c r="H443" t="s">
        <v>22</v>
      </c>
      <c r="I443">
        <v>1</v>
      </c>
      <c r="J443">
        <v>1</v>
      </c>
      <c r="K443" t="s">
        <v>42</v>
      </c>
      <c r="L443">
        <v>0</v>
      </c>
      <c r="M443">
        <v>32</v>
      </c>
      <c r="N443">
        <v>0</v>
      </c>
      <c r="O443">
        <v>1</v>
      </c>
      <c r="P443">
        <v>0</v>
      </c>
      <c r="Q443" t="s">
        <v>44</v>
      </c>
    </row>
    <row r="444" spans="1:17">
      <c r="A444" t="s">
        <v>17</v>
      </c>
      <c r="B444" t="s">
        <v>42</v>
      </c>
      <c r="C444">
        <v>2025</v>
      </c>
      <c r="D444">
        <v>29</v>
      </c>
      <c r="E444" t="s">
        <v>19</v>
      </c>
      <c r="F444" t="s">
        <v>55</v>
      </c>
      <c r="G444" t="s">
        <v>21</v>
      </c>
      <c r="H444" t="s">
        <v>36</v>
      </c>
      <c r="I444">
        <v>1</v>
      </c>
      <c r="J444">
        <v>1</v>
      </c>
      <c r="K444" t="s">
        <v>42</v>
      </c>
      <c r="L444">
        <v>0</v>
      </c>
      <c r="M444">
        <v>32</v>
      </c>
      <c r="N444">
        <v>0</v>
      </c>
      <c r="O444">
        <v>1</v>
      </c>
      <c r="P444">
        <v>0</v>
      </c>
      <c r="Q444" t="s">
        <v>44</v>
      </c>
    </row>
    <row r="445" spans="1:17">
      <c r="A445" t="s">
        <v>17</v>
      </c>
      <c r="B445" t="s">
        <v>42</v>
      </c>
      <c r="C445">
        <v>2025</v>
      </c>
      <c r="D445">
        <v>29</v>
      </c>
      <c r="E445" t="s">
        <v>19</v>
      </c>
      <c r="F445" t="s">
        <v>55</v>
      </c>
      <c r="G445" t="s">
        <v>21</v>
      </c>
      <c r="H445" t="s">
        <v>24</v>
      </c>
      <c r="I445">
        <v>1</v>
      </c>
      <c r="J445">
        <v>1</v>
      </c>
      <c r="K445" t="s">
        <v>42</v>
      </c>
      <c r="L445">
        <v>0</v>
      </c>
      <c r="M445">
        <v>32</v>
      </c>
      <c r="N445">
        <v>0</v>
      </c>
      <c r="O445">
        <v>1</v>
      </c>
      <c r="P445">
        <v>0</v>
      </c>
      <c r="Q445" t="s">
        <v>44</v>
      </c>
    </row>
    <row r="446" spans="1:17">
      <c r="A446" t="s">
        <v>17</v>
      </c>
      <c r="B446" t="s">
        <v>42</v>
      </c>
      <c r="C446">
        <v>2025</v>
      </c>
      <c r="D446">
        <v>29</v>
      </c>
      <c r="E446" t="s">
        <v>19</v>
      </c>
      <c r="F446" t="s">
        <v>55</v>
      </c>
      <c r="G446" t="s">
        <v>21</v>
      </c>
      <c r="H446" t="s">
        <v>31</v>
      </c>
      <c r="I446">
        <v>1</v>
      </c>
      <c r="J446">
        <v>1</v>
      </c>
      <c r="K446" t="s">
        <v>42</v>
      </c>
      <c r="L446">
        <v>0</v>
      </c>
      <c r="M446">
        <v>32</v>
      </c>
      <c r="N446">
        <v>0</v>
      </c>
      <c r="O446">
        <v>1</v>
      </c>
      <c r="P446">
        <v>0</v>
      </c>
      <c r="Q446" t="s">
        <v>44</v>
      </c>
    </row>
    <row r="447" spans="1:17">
      <c r="A447" t="s">
        <v>17</v>
      </c>
      <c r="B447" t="s">
        <v>42</v>
      </c>
      <c r="C447">
        <v>2025</v>
      </c>
      <c r="D447">
        <v>29</v>
      </c>
      <c r="E447" t="s">
        <v>19</v>
      </c>
      <c r="F447" t="s">
        <v>55</v>
      </c>
      <c r="G447" t="s">
        <v>21</v>
      </c>
      <c r="H447" t="s">
        <v>39</v>
      </c>
      <c r="I447">
        <v>1</v>
      </c>
      <c r="J447">
        <v>1</v>
      </c>
      <c r="K447" t="s">
        <v>30</v>
      </c>
      <c r="L447">
        <v>1</v>
      </c>
      <c r="M447">
        <v>32</v>
      </c>
      <c r="N447">
        <v>1</v>
      </c>
      <c r="O447">
        <v>0</v>
      </c>
      <c r="P447">
        <v>0</v>
      </c>
      <c r="Q447" t="s">
        <v>44</v>
      </c>
    </row>
    <row r="448" spans="1:17">
      <c r="A448" t="s">
        <v>17</v>
      </c>
      <c r="B448" t="s">
        <v>42</v>
      </c>
      <c r="C448">
        <v>2025</v>
      </c>
      <c r="D448">
        <v>29</v>
      </c>
      <c r="E448" t="s">
        <v>19</v>
      </c>
      <c r="F448" t="s">
        <v>55</v>
      </c>
      <c r="G448" t="s">
        <v>32</v>
      </c>
      <c r="H448" t="s">
        <v>59</v>
      </c>
      <c r="I448">
        <v>1</v>
      </c>
      <c r="J448">
        <v>1</v>
      </c>
      <c r="K448" t="s">
        <v>42</v>
      </c>
      <c r="L448">
        <v>0</v>
      </c>
      <c r="M448">
        <v>32</v>
      </c>
      <c r="N448">
        <v>0</v>
      </c>
      <c r="O448">
        <v>1</v>
      </c>
      <c r="P448">
        <v>0</v>
      </c>
      <c r="Q448" t="s">
        <v>44</v>
      </c>
    </row>
    <row r="449" spans="1:17">
      <c r="A449" t="s">
        <v>17</v>
      </c>
      <c r="B449" t="s">
        <v>42</v>
      </c>
      <c r="C449">
        <v>2025</v>
      </c>
      <c r="D449">
        <v>29</v>
      </c>
      <c r="E449" t="s">
        <v>19</v>
      </c>
      <c r="F449" t="s">
        <v>55</v>
      </c>
      <c r="G449" t="s">
        <v>32</v>
      </c>
      <c r="H449" t="s">
        <v>47</v>
      </c>
      <c r="I449">
        <v>1</v>
      </c>
      <c r="J449">
        <v>1</v>
      </c>
      <c r="K449" t="s">
        <v>42</v>
      </c>
      <c r="L449">
        <v>0</v>
      </c>
      <c r="M449">
        <v>32</v>
      </c>
      <c r="N449">
        <v>0</v>
      </c>
      <c r="O449">
        <v>1</v>
      </c>
      <c r="P449">
        <v>0</v>
      </c>
      <c r="Q449" t="s">
        <v>44</v>
      </c>
    </row>
    <row r="450" spans="1:17">
      <c r="A450" t="s">
        <v>17</v>
      </c>
      <c r="B450" t="s">
        <v>42</v>
      </c>
      <c r="C450">
        <v>2025</v>
      </c>
      <c r="D450">
        <v>29</v>
      </c>
      <c r="E450" t="s">
        <v>19</v>
      </c>
      <c r="F450" t="s">
        <v>55</v>
      </c>
      <c r="G450" t="s">
        <v>32</v>
      </c>
      <c r="H450" t="s">
        <v>33</v>
      </c>
      <c r="I450">
        <v>1</v>
      </c>
      <c r="J450">
        <v>1</v>
      </c>
      <c r="K450" t="s">
        <v>30</v>
      </c>
      <c r="L450">
        <v>1</v>
      </c>
      <c r="M450">
        <v>32</v>
      </c>
      <c r="N450">
        <v>1</v>
      </c>
      <c r="O450">
        <v>0</v>
      </c>
      <c r="P450">
        <v>0</v>
      </c>
      <c r="Q450" t="s">
        <v>44</v>
      </c>
    </row>
    <row r="451" spans="1:17">
      <c r="A451" t="s">
        <v>17</v>
      </c>
      <c r="B451" t="s">
        <v>42</v>
      </c>
      <c r="C451">
        <v>2025</v>
      </c>
      <c r="D451">
        <v>29</v>
      </c>
      <c r="E451" t="s">
        <v>19</v>
      </c>
      <c r="F451" t="s">
        <v>55</v>
      </c>
      <c r="G451" t="s">
        <v>32</v>
      </c>
      <c r="H451" t="s">
        <v>60</v>
      </c>
      <c r="I451">
        <v>1</v>
      </c>
      <c r="J451">
        <v>1</v>
      </c>
      <c r="K451" t="s">
        <v>42</v>
      </c>
      <c r="L451">
        <v>0</v>
      </c>
      <c r="M451">
        <v>32</v>
      </c>
      <c r="N451">
        <v>0</v>
      </c>
      <c r="O451">
        <v>1</v>
      </c>
      <c r="P451">
        <v>0</v>
      </c>
      <c r="Q451" t="s">
        <v>44</v>
      </c>
    </row>
    <row r="452" spans="1:17">
      <c r="A452" t="s">
        <v>17</v>
      </c>
      <c r="B452" t="s">
        <v>42</v>
      </c>
      <c r="C452">
        <v>2025</v>
      </c>
      <c r="D452">
        <v>29</v>
      </c>
      <c r="E452" t="s">
        <v>19</v>
      </c>
      <c r="F452" t="s">
        <v>55</v>
      </c>
      <c r="G452" t="s">
        <v>25</v>
      </c>
      <c r="H452" t="s">
        <v>45</v>
      </c>
      <c r="I452">
        <v>1</v>
      </c>
      <c r="J452">
        <v>1</v>
      </c>
      <c r="K452" t="s">
        <v>30</v>
      </c>
      <c r="L452">
        <v>1</v>
      </c>
      <c r="M452">
        <v>32</v>
      </c>
      <c r="N452">
        <v>1</v>
      </c>
      <c r="O452">
        <v>0</v>
      </c>
      <c r="P452">
        <v>0</v>
      </c>
      <c r="Q452" t="s">
        <v>44</v>
      </c>
    </row>
    <row r="453" spans="1:17">
      <c r="A453" t="s">
        <v>17</v>
      </c>
      <c r="B453" t="s">
        <v>42</v>
      </c>
      <c r="C453">
        <v>2025</v>
      </c>
      <c r="D453">
        <v>29</v>
      </c>
      <c r="E453" t="s">
        <v>19</v>
      </c>
      <c r="F453" t="s">
        <v>55</v>
      </c>
      <c r="G453" t="s">
        <v>25</v>
      </c>
      <c r="H453" t="s">
        <v>34</v>
      </c>
      <c r="I453">
        <v>1</v>
      </c>
      <c r="J453">
        <v>1</v>
      </c>
      <c r="K453" t="s">
        <v>42</v>
      </c>
      <c r="L453">
        <v>0</v>
      </c>
      <c r="M453">
        <v>32</v>
      </c>
      <c r="N453">
        <v>0</v>
      </c>
      <c r="O453">
        <v>1</v>
      </c>
      <c r="P453">
        <v>0</v>
      </c>
      <c r="Q453" t="s">
        <v>44</v>
      </c>
    </row>
    <row r="454" spans="1:17">
      <c r="A454" t="s">
        <v>17</v>
      </c>
      <c r="B454" t="s">
        <v>42</v>
      </c>
      <c r="C454">
        <v>2025</v>
      </c>
      <c r="D454">
        <v>29</v>
      </c>
      <c r="E454" t="s">
        <v>19</v>
      </c>
      <c r="F454" t="s">
        <v>55</v>
      </c>
      <c r="G454" t="s">
        <v>25</v>
      </c>
      <c r="H454" t="s">
        <v>26</v>
      </c>
      <c r="I454">
        <v>0</v>
      </c>
      <c r="J454">
        <v>0</v>
      </c>
      <c r="K454" t="s">
        <v>42</v>
      </c>
      <c r="L454">
        <v>0</v>
      </c>
      <c r="M454">
        <v>32</v>
      </c>
      <c r="N454">
        <v>0</v>
      </c>
      <c r="O454">
        <v>0</v>
      </c>
      <c r="P454">
        <v>0</v>
      </c>
      <c r="Q454" t="s">
        <v>44</v>
      </c>
    </row>
    <row r="472" spans="1:17">
      <c r="A472" t="e">
        <f>setup!#REF!</f>
        <v>#REF!</v>
      </c>
    </row>
    <row r="473" spans="1:17">
      <c r="A473" t="str">
        <f>setup!D24</f>
        <v>Validity WISC-6/KTEA-3 – Paper Form A</v>
      </c>
    </row>
    <row r="474" spans="1:17">
      <c r="A474" t="s">
        <v>0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t="s">
        <v>7</v>
      </c>
      <c r="I474" t="s">
        <v>8</v>
      </c>
      <c r="J474" t="s">
        <v>9</v>
      </c>
      <c r="K474" t="s">
        <v>10</v>
      </c>
      <c r="L474" t="s">
        <v>11</v>
      </c>
      <c r="M474" t="s">
        <v>12</v>
      </c>
      <c r="N474" t="s">
        <v>13</v>
      </c>
      <c r="O474" t="s">
        <v>14</v>
      </c>
      <c r="P474" t="s">
        <v>15</v>
      </c>
      <c r="Q474" t="s">
        <v>16</v>
      </c>
    </row>
    <row r="475" spans="1:17">
      <c r="A475" t="s">
        <v>17</v>
      </c>
      <c r="B475" t="s">
        <v>42</v>
      </c>
      <c r="C475">
        <v>2025</v>
      </c>
      <c r="D475">
        <v>29</v>
      </c>
      <c r="E475" t="s">
        <v>19</v>
      </c>
      <c r="F475" t="s">
        <v>66</v>
      </c>
      <c r="H475" t="s">
        <v>58</v>
      </c>
      <c r="I475">
        <v>1</v>
      </c>
      <c r="J475">
        <v>1</v>
      </c>
      <c r="K475" t="s">
        <v>42</v>
      </c>
      <c r="L475">
        <v>0</v>
      </c>
      <c r="M475">
        <v>16</v>
      </c>
      <c r="N475">
        <v>0</v>
      </c>
      <c r="O475">
        <v>1</v>
      </c>
      <c r="P475">
        <v>0</v>
      </c>
      <c r="Q475" t="s">
        <v>44</v>
      </c>
    </row>
    <row r="476" spans="1:17">
      <c r="A476" t="s">
        <v>17</v>
      </c>
      <c r="B476" t="s">
        <v>42</v>
      </c>
      <c r="C476">
        <v>2025</v>
      </c>
      <c r="D476">
        <v>29</v>
      </c>
      <c r="E476" t="s">
        <v>19</v>
      </c>
      <c r="F476" t="s">
        <v>66</v>
      </c>
      <c r="G476" t="s">
        <v>28</v>
      </c>
      <c r="H476" t="s">
        <v>29</v>
      </c>
      <c r="I476">
        <v>1</v>
      </c>
      <c r="J476">
        <v>1</v>
      </c>
      <c r="K476" t="s">
        <v>30</v>
      </c>
      <c r="L476">
        <v>1</v>
      </c>
      <c r="M476">
        <v>16</v>
      </c>
      <c r="N476">
        <v>1</v>
      </c>
      <c r="O476">
        <v>0</v>
      </c>
      <c r="P476">
        <v>0</v>
      </c>
      <c r="Q476" t="s">
        <v>44</v>
      </c>
    </row>
    <row r="477" spans="1:17">
      <c r="A477" t="s">
        <v>17</v>
      </c>
      <c r="B477" t="s">
        <v>42</v>
      </c>
      <c r="C477">
        <v>2025</v>
      </c>
      <c r="D477">
        <v>29</v>
      </c>
      <c r="E477" t="s">
        <v>19</v>
      </c>
      <c r="F477" t="s">
        <v>66</v>
      </c>
      <c r="G477" t="s">
        <v>28</v>
      </c>
      <c r="H477" t="s">
        <v>56</v>
      </c>
      <c r="I477">
        <v>1</v>
      </c>
      <c r="J477">
        <v>1</v>
      </c>
      <c r="K477" t="s">
        <v>42</v>
      </c>
      <c r="L477">
        <v>0</v>
      </c>
      <c r="M477">
        <v>16</v>
      </c>
      <c r="N477">
        <v>0</v>
      </c>
      <c r="O477">
        <v>1</v>
      </c>
      <c r="P477">
        <v>0</v>
      </c>
      <c r="Q477" t="s">
        <v>44</v>
      </c>
    </row>
    <row r="478" spans="1:17">
      <c r="A478" t="s">
        <v>17</v>
      </c>
      <c r="B478" t="s">
        <v>42</v>
      </c>
      <c r="C478">
        <v>2025</v>
      </c>
      <c r="D478">
        <v>29</v>
      </c>
      <c r="E478" t="s">
        <v>19</v>
      </c>
      <c r="F478" t="s">
        <v>66</v>
      </c>
      <c r="G478" t="s">
        <v>28</v>
      </c>
      <c r="H478" t="s">
        <v>50</v>
      </c>
      <c r="I478">
        <v>1</v>
      </c>
      <c r="J478">
        <v>1</v>
      </c>
      <c r="K478" t="s">
        <v>42</v>
      </c>
      <c r="L478">
        <v>0</v>
      </c>
      <c r="M478">
        <v>16</v>
      </c>
      <c r="N478">
        <v>0</v>
      </c>
      <c r="O478">
        <v>1</v>
      </c>
      <c r="P478">
        <v>0</v>
      </c>
      <c r="Q478" t="s">
        <v>44</v>
      </c>
    </row>
    <row r="479" spans="1:17">
      <c r="A479" t="s">
        <v>17</v>
      </c>
      <c r="B479" t="s">
        <v>42</v>
      </c>
      <c r="C479">
        <v>2025</v>
      </c>
      <c r="D479">
        <v>29</v>
      </c>
      <c r="E479" t="s">
        <v>19</v>
      </c>
      <c r="F479" t="s">
        <v>66</v>
      </c>
      <c r="G479" t="s">
        <v>28</v>
      </c>
      <c r="H479" t="s">
        <v>38</v>
      </c>
      <c r="I479">
        <v>1</v>
      </c>
      <c r="J479">
        <v>1</v>
      </c>
      <c r="K479" t="s">
        <v>42</v>
      </c>
      <c r="L479">
        <v>0</v>
      </c>
      <c r="M479">
        <v>16</v>
      </c>
      <c r="N479">
        <v>0</v>
      </c>
      <c r="O479">
        <v>1</v>
      </c>
      <c r="P479">
        <v>0</v>
      </c>
      <c r="Q479" t="s">
        <v>44</v>
      </c>
    </row>
    <row r="480" spans="1:17">
      <c r="A480" t="s">
        <v>17</v>
      </c>
      <c r="B480" t="s">
        <v>42</v>
      </c>
      <c r="C480">
        <v>2025</v>
      </c>
      <c r="D480">
        <v>29</v>
      </c>
      <c r="E480" t="s">
        <v>19</v>
      </c>
      <c r="F480" t="s">
        <v>66</v>
      </c>
      <c r="G480" t="s">
        <v>21</v>
      </c>
      <c r="H480" t="s">
        <v>22</v>
      </c>
      <c r="I480">
        <v>1</v>
      </c>
      <c r="J480">
        <v>1</v>
      </c>
      <c r="K480" t="s">
        <v>42</v>
      </c>
      <c r="L480">
        <v>0</v>
      </c>
      <c r="M480">
        <v>16</v>
      </c>
      <c r="N480">
        <v>0</v>
      </c>
      <c r="O480">
        <v>1</v>
      </c>
      <c r="P480">
        <v>0</v>
      </c>
      <c r="Q480" t="s">
        <v>44</v>
      </c>
    </row>
    <row r="481" spans="1:17">
      <c r="A481" t="s">
        <v>17</v>
      </c>
      <c r="B481" t="s">
        <v>42</v>
      </c>
      <c r="C481">
        <v>2025</v>
      </c>
      <c r="D481">
        <v>29</v>
      </c>
      <c r="E481" t="s">
        <v>19</v>
      </c>
      <c r="F481" t="s">
        <v>66</v>
      </c>
      <c r="G481" t="s">
        <v>21</v>
      </c>
      <c r="H481" t="s">
        <v>36</v>
      </c>
      <c r="I481">
        <v>1</v>
      </c>
      <c r="J481">
        <v>1</v>
      </c>
      <c r="K481" t="s">
        <v>42</v>
      </c>
      <c r="L481">
        <v>0</v>
      </c>
      <c r="M481">
        <v>16</v>
      </c>
      <c r="N481">
        <v>0</v>
      </c>
      <c r="O481">
        <v>1</v>
      </c>
      <c r="P481">
        <v>0</v>
      </c>
      <c r="Q481" t="s">
        <v>44</v>
      </c>
    </row>
    <row r="482" spans="1:17">
      <c r="A482" t="s">
        <v>17</v>
      </c>
      <c r="B482" t="s">
        <v>42</v>
      </c>
      <c r="C482">
        <v>2025</v>
      </c>
      <c r="D482">
        <v>29</v>
      </c>
      <c r="E482" t="s">
        <v>19</v>
      </c>
      <c r="F482" t="s">
        <v>66</v>
      </c>
      <c r="G482" t="s">
        <v>21</v>
      </c>
      <c r="H482" t="s">
        <v>24</v>
      </c>
      <c r="I482">
        <v>1</v>
      </c>
      <c r="J482">
        <v>1</v>
      </c>
      <c r="K482" t="s">
        <v>30</v>
      </c>
      <c r="L482">
        <v>1</v>
      </c>
      <c r="M482">
        <v>16</v>
      </c>
      <c r="N482">
        <v>1</v>
      </c>
      <c r="O482">
        <v>0</v>
      </c>
      <c r="P482">
        <v>0</v>
      </c>
      <c r="Q482" t="s">
        <v>44</v>
      </c>
    </row>
    <row r="483" spans="1:17">
      <c r="A483" t="s">
        <v>17</v>
      </c>
      <c r="B483" t="s">
        <v>42</v>
      </c>
      <c r="C483">
        <v>2025</v>
      </c>
      <c r="D483">
        <v>29</v>
      </c>
      <c r="E483" t="s">
        <v>19</v>
      </c>
      <c r="F483" t="s">
        <v>66</v>
      </c>
      <c r="G483" t="s">
        <v>21</v>
      </c>
      <c r="H483" t="s">
        <v>31</v>
      </c>
      <c r="I483">
        <v>1</v>
      </c>
      <c r="J483">
        <v>1</v>
      </c>
      <c r="K483" t="s">
        <v>42</v>
      </c>
      <c r="L483">
        <v>0</v>
      </c>
      <c r="M483">
        <v>16</v>
      </c>
      <c r="N483">
        <v>0</v>
      </c>
      <c r="O483">
        <v>1</v>
      </c>
      <c r="P483">
        <v>0</v>
      </c>
      <c r="Q483" t="s">
        <v>44</v>
      </c>
    </row>
    <row r="484" spans="1:17">
      <c r="A484" t="s">
        <v>17</v>
      </c>
      <c r="B484" t="s">
        <v>42</v>
      </c>
      <c r="C484">
        <v>2025</v>
      </c>
      <c r="D484">
        <v>29</v>
      </c>
      <c r="E484" t="s">
        <v>19</v>
      </c>
      <c r="F484" t="s">
        <v>66</v>
      </c>
      <c r="G484" t="s">
        <v>21</v>
      </c>
      <c r="H484" t="s">
        <v>39</v>
      </c>
      <c r="I484">
        <v>1</v>
      </c>
      <c r="J484">
        <v>1</v>
      </c>
      <c r="K484" t="s">
        <v>42</v>
      </c>
      <c r="L484">
        <v>0</v>
      </c>
      <c r="M484">
        <v>16</v>
      </c>
      <c r="N484">
        <v>0</v>
      </c>
      <c r="O484">
        <v>1</v>
      </c>
      <c r="P484">
        <v>0</v>
      </c>
      <c r="Q484" t="s">
        <v>44</v>
      </c>
    </row>
    <row r="485" spans="1:17">
      <c r="A485" t="s">
        <v>17</v>
      </c>
      <c r="B485" t="s">
        <v>42</v>
      </c>
      <c r="C485">
        <v>2025</v>
      </c>
      <c r="D485">
        <v>29</v>
      </c>
      <c r="E485" t="s">
        <v>19</v>
      </c>
      <c r="F485" t="s">
        <v>66</v>
      </c>
      <c r="G485" t="s">
        <v>32</v>
      </c>
      <c r="H485" t="s">
        <v>59</v>
      </c>
      <c r="I485">
        <v>1</v>
      </c>
      <c r="J485">
        <v>1</v>
      </c>
      <c r="K485" t="s">
        <v>42</v>
      </c>
      <c r="L485">
        <v>0</v>
      </c>
      <c r="M485">
        <v>16</v>
      </c>
      <c r="N485">
        <v>0</v>
      </c>
      <c r="O485">
        <v>1</v>
      </c>
      <c r="P485">
        <v>0</v>
      </c>
      <c r="Q485" t="s">
        <v>44</v>
      </c>
    </row>
    <row r="486" spans="1:17">
      <c r="A486" t="s">
        <v>17</v>
      </c>
      <c r="B486" t="s">
        <v>42</v>
      </c>
      <c r="C486">
        <v>2025</v>
      </c>
      <c r="D486">
        <v>29</v>
      </c>
      <c r="E486" t="s">
        <v>19</v>
      </c>
      <c r="F486" t="s">
        <v>66</v>
      </c>
      <c r="G486" t="s">
        <v>32</v>
      </c>
      <c r="H486" t="s">
        <v>47</v>
      </c>
      <c r="I486">
        <v>1</v>
      </c>
      <c r="J486">
        <v>1</v>
      </c>
      <c r="K486" t="s">
        <v>42</v>
      </c>
      <c r="L486">
        <v>0</v>
      </c>
      <c r="M486">
        <v>16</v>
      </c>
      <c r="N486">
        <v>0</v>
      </c>
      <c r="O486">
        <v>1</v>
      </c>
      <c r="P486">
        <v>0</v>
      </c>
      <c r="Q486" t="s">
        <v>44</v>
      </c>
    </row>
    <row r="487" spans="1:17">
      <c r="A487" t="s">
        <v>17</v>
      </c>
      <c r="B487" t="s">
        <v>42</v>
      </c>
      <c r="C487">
        <v>2025</v>
      </c>
      <c r="D487">
        <v>29</v>
      </c>
      <c r="E487" t="s">
        <v>19</v>
      </c>
      <c r="F487" t="s">
        <v>66</v>
      </c>
      <c r="G487" t="s">
        <v>32</v>
      </c>
      <c r="H487" t="s">
        <v>33</v>
      </c>
      <c r="I487">
        <v>1</v>
      </c>
      <c r="J487">
        <v>1</v>
      </c>
      <c r="K487" t="s">
        <v>30</v>
      </c>
      <c r="L487">
        <v>1</v>
      </c>
      <c r="M487">
        <v>16</v>
      </c>
      <c r="N487">
        <v>1</v>
      </c>
      <c r="O487">
        <v>0</v>
      </c>
      <c r="P487">
        <v>0</v>
      </c>
      <c r="Q487" t="s">
        <v>44</v>
      </c>
    </row>
    <row r="488" spans="1:17">
      <c r="A488" t="s">
        <v>17</v>
      </c>
      <c r="B488" t="s">
        <v>42</v>
      </c>
      <c r="C488">
        <v>2025</v>
      </c>
      <c r="D488">
        <v>29</v>
      </c>
      <c r="E488" t="s">
        <v>19</v>
      </c>
      <c r="F488" t="s">
        <v>66</v>
      </c>
      <c r="G488" t="s">
        <v>32</v>
      </c>
      <c r="H488" t="s">
        <v>60</v>
      </c>
      <c r="I488">
        <v>1</v>
      </c>
      <c r="J488">
        <v>1</v>
      </c>
      <c r="K488" t="s">
        <v>42</v>
      </c>
      <c r="L488">
        <v>0</v>
      </c>
      <c r="M488">
        <v>16</v>
      </c>
      <c r="N488">
        <v>0</v>
      </c>
      <c r="O488">
        <v>1</v>
      </c>
      <c r="P488">
        <v>0</v>
      </c>
      <c r="Q488" t="s">
        <v>44</v>
      </c>
    </row>
    <row r="489" spans="1:17">
      <c r="A489" t="s">
        <v>17</v>
      </c>
      <c r="B489" t="s">
        <v>42</v>
      </c>
      <c r="C489">
        <v>2025</v>
      </c>
      <c r="D489">
        <v>29</v>
      </c>
      <c r="E489" t="s">
        <v>19</v>
      </c>
      <c r="F489" t="s">
        <v>66</v>
      </c>
      <c r="G489" t="s">
        <v>25</v>
      </c>
      <c r="H489" t="s">
        <v>45</v>
      </c>
      <c r="I489">
        <v>1</v>
      </c>
      <c r="J489">
        <v>1</v>
      </c>
      <c r="K489" t="s">
        <v>42</v>
      </c>
      <c r="L489">
        <v>0</v>
      </c>
      <c r="M489">
        <v>16</v>
      </c>
      <c r="N489">
        <v>0</v>
      </c>
      <c r="O489">
        <v>1</v>
      </c>
      <c r="P489">
        <v>0</v>
      </c>
      <c r="Q489" t="s">
        <v>44</v>
      </c>
    </row>
    <row r="490" spans="1:17">
      <c r="A490" t="s">
        <v>17</v>
      </c>
      <c r="B490" t="s">
        <v>42</v>
      </c>
      <c r="C490">
        <v>2025</v>
      </c>
      <c r="D490">
        <v>29</v>
      </c>
      <c r="E490" t="s">
        <v>19</v>
      </c>
      <c r="F490" t="s">
        <v>66</v>
      </c>
      <c r="G490" t="s">
        <v>25</v>
      </c>
      <c r="H490" t="s">
        <v>34</v>
      </c>
      <c r="I490">
        <v>1</v>
      </c>
      <c r="J490">
        <v>1</v>
      </c>
      <c r="K490" t="s">
        <v>30</v>
      </c>
      <c r="L490">
        <v>1</v>
      </c>
      <c r="M490">
        <v>16</v>
      </c>
      <c r="N490">
        <v>1</v>
      </c>
      <c r="O490">
        <v>0</v>
      </c>
      <c r="P490">
        <v>0</v>
      </c>
      <c r="Q490" t="s">
        <v>44</v>
      </c>
    </row>
    <row r="491" spans="1:17">
      <c r="A491" t="s">
        <v>17</v>
      </c>
      <c r="B491" t="s">
        <v>42</v>
      </c>
      <c r="C491">
        <v>2025</v>
      </c>
      <c r="D491">
        <v>29</v>
      </c>
      <c r="E491" t="s">
        <v>19</v>
      </c>
      <c r="F491" t="s">
        <v>66</v>
      </c>
      <c r="G491" t="s">
        <v>25</v>
      </c>
      <c r="H491" t="s">
        <v>26</v>
      </c>
      <c r="I491">
        <v>0</v>
      </c>
      <c r="J491">
        <v>0</v>
      </c>
      <c r="K491" t="s">
        <v>42</v>
      </c>
      <c r="L491">
        <v>0</v>
      </c>
      <c r="M491">
        <v>16</v>
      </c>
      <c r="N491">
        <v>0</v>
      </c>
      <c r="O491">
        <v>0</v>
      </c>
      <c r="P491">
        <v>0</v>
      </c>
      <c r="Q491" t="s">
        <v>44</v>
      </c>
    </row>
    <row r="509" spans="1:17">
      <c r="A509" t="e">
        <f>setup!#REF!</f>
        <v>#REF!</v>
      </c>
    </row>
    <row r="510" spans="1:17">
      <c r="A510" t="e">
        <f>setup!#REF!</f>
        <v>#REF!</v>
      </c>
    </row>
    <row r="511" spans="1:17">
      <c r="A511" t="s">
        <v>0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8</v>
      </c>
      <c r="J511" t="s">
        <v>9</v>
      </c>
      <c r="K511" t="s">
        <v>10</v>
      </c>
      <c r="L511" t="s">
        <v>11</v>
      </c>
      <c r="M511" t="s">
        <v>12</v>
      </c>
      <c r="N511" t="s">
        <v>13</v>
      </c>
      <c r="O511" t="s">
        <v>14</v>
      </c>
      <c r="P511" t="s">
        <v>15</v>
      </c>
      <c r="Q511" t="s">
        <v>16</v>
      </c>
    </row>
    <row r="512" spans="1:17">
      <c r="A512" t="s">
        <v>17</v>
      </c>
      <c r="B512" t="s">
        <v>42</v>
      </c>
      <c r="C512">
        <v>2025</v>
      </c>
      <c r="D512">
        <v>29</v>
      </c>
      <c r="E512" t="s">
        <v>19</v>
      </c>
      <c r="F512" t="s">
        <v>67</v>
      </c>
      <c r="H512" t="s">
        <v>58</v>
      </c>
      <c r="I512">
        <v>1</v>
      </c>
      <c r="J512">
        <v>1</v>
      </c>
      <c r="K512" t="s">
        <v>42</v>
      </c>
      <c r="L512">
        <v>0</v>
      </c>
      <c r="M512">
        <v>16</v>
      </c>
      <c r="N512">
        <v>0</v>
      </c>
      <c r="O512">
        <v>1</v>
      </c>
      <c r="P512">
        <v>0</v>
      </c>
      <c r="Q512" t="s">
        <v>44</v>
      </c>
    </row>
    <row r="513" spans="1:17">
      <c r="A513" t="s">
        <v>17</v>
      </c>
      <c r="B513" t="s">
        <v>42</v>
      </c>
      <c r="C513">
        <v>2025</v>
      </c>
      <c r="D513">
        <v>29</v>
      </c>
      <c r="E513" t="s">
        <v>19</v>
      </c>
      <c r="F513" t="s">
        <v>67</v>
      </c>
      <c r="G513" t="s">
        <v>28</v>
      </c>
      <c r="H513" t="s">
        <v>29</v>
      </c>
      <c r="I513">
        <v>1</v>
      </c>
      <c r="J513">
        <v>1</v>
      </c>
      <c r="K513" t="s">
        <v>42</v>
      </c>
      <c r="L513">
        <v>0</v>
      </c>
      <c r="M513">
        <v>16</v>
      </c>
      <c r="N513">
        <v>0</v>
      </c>
      <c r="O513">
        <v>1</v>
      </c>
      <c r="P513">
        <v>0</v>
      </c>
      <c r="Q513" t="s">
        <v>44</v>
      </c>
    </row>
    <row r="514" spans="1:17">
      <c r="A514" t="s">
        <v>17</v>
      </c>
      <c r="B514" t="s">
        <v>42</v>
      </c>
      <c r="C514">
        <v>2025</v>
      </c>
      <c r="D514">
        <v>29</v>
      </c>
      <c r="E514" t="s">
        <v>19</v>
      </c>
      <c r="F514" t="s">
        <v>67</v>
      </c>
      <c r="G514" t="s">
        <v>28</v>
      </c>
      <c r="H514" t="s">
        <v>56</v>
      </c>
      <c r="I514">
        <v>1</v>
      </c>
      <c r="J514">
        <v>1</v>
      </c>
      <c r="K514" t="s">
        <v>42</v>
      </c>
      <c r="L514">
        <v>0</v>
      </c>
      <c r="M514">
        <v>16</v>
      </c>
      <c r="N514">
        <v>0</v>
      </c>
      <c r="O514">
        <v>1</v>
      </c>
      <c r="P514">
        <v>0</v>
      </c>
      <c r="Q514" t="s">
        <v>44</v>
      </c>
    </row>
    <row r="515" spans="1:17">
      <c r="A515" t="s">
        <v>17</v>
      </c>
      <c r="B515" t="s">
        <v>42</v>
      </c>
      <c r="C515">
        <v>2025</v>
      </c>
      <c r="D515">
        <v>29</v>
      </c>
      <c r="E515" t="s">
        <v>19</v>
      </c>
      <c r="F515" t="s">
        <v>67</v>
      </c>
      <c r="G515" t="s">
        <v>28</v>
      </c>
      <c r="H515" t="s">
        <v>50</v>
      </c>
      <c r="I515">
        <v>1</v>
      </c>
      <c r="J515">
        <v>1</v>
      </c>
      <c r="K515" t="s">
        <v>42</v>
      </c>
      <c r="L515">
        <v>0</v>
      </c>
      <c r="M515">
        <v>16</v>
      </c>
      <c r="N515">
        <v>0</v>
      </c>
      <c r="O515">
        <v>1</v>
      </c>
      <c r="P515">
        <v>0</v>
      </c>
      <c r="Q515" t="s">
        <v>44</v>
      </c>
    </row>
    <row r="516" spans="1:17">
      <c r="A516" t="s">
        <v>17</v>
      </c>
      <c r="B516" t="s">
        <v>42</v>
      </c>
      <c r="C516">
        <v>2025</v>
      </c>
      <c r="D516">
        <v>29</v>
      </c>
      <c r="E516" t="s">
        <v>19</v>
      </c>
      <c r="F516" t="s">
        <v>67</v>
      </c>
      <c r="G516" t="s">
        <v>28</v>
      </c>
      <c r="H516" t="s">
        <v>38</v>
      </c>
      <c r="I516">
        <v>1</v>
      </c>
      <c r="J516">
        <v>1</v>
      </c>
      <c r="K516" t="s">
        <v>42</v>
      </c>
      <c r="L516">
        <v>0</v>
      </c>
      <c r="M516">
        <v>16</v>
      </c>
      <c r="N516">
        <v>0</v>
      </c>
      <c r="O516">
        <v>1</v>
      </c>
      <c r="P516">
        <v>0</v>
      </c>
      <c r="Q516" t="s">
        <v>44</v>
      </c>
    </row>
    <row r="517" spans="1:17">
      <c r="A517" t="s">
        <v>17</v>
      </c>
      <c r="B517" t="s">
        <v>42</v>
      </c>
      <c r="C517">
        <v>2025</v>
      </c>
      <c r="D517">
        <v>29</v>
      </c>
      <c r="E517" t="s">
        <v>19</v>
      </c>
      <c r="F517" t="s">
        <v>67</v>
      </c>
      <c r="G517" t="s">
        <v>21</v>
      </c>
      <c r="H517" t="s">
        <v>22</v>
      </c>
      <c r="I517">
        <v>1</v>
      </c>
      <c r="J517">
        <v>1</v>
      </c>
      <c r="K517" t="s">
        <v>42</v>
      </c>
      <c r="L517">
        <v>0</v>
      </c>
      <c r="M517">
        <v>16</v>
      </c>
      <c r="N517">
        <v>0</v>
      </c>
      <c r="O517">
        <v>1</v>
      </c>
      <c r="P517">
        <v>0</v>
      </c>
      <c r="Q517" t="s">
        <v>44</v>
      </c>
    </row>
    <row r="518" spans="1:17">
      <c r="A518" t="s">
        <v>17</v>
      </c>
      <c r="B518" t="s">
        <v>42</v>
      </c>
      <c r="C518">
        <v>2025</v>
      </c>
      <c r="D518">
        <v>29</v>
      </c>
      <c r="E518" t="s">
        <v>19</v>
      </c>
      <c r="F518" t="s">
        <v>67</v>
      </c>
      <c r="G518" t="s">
        <v>21</v>
      </c>
      <c r="H518" t="s">
        <v>36</v>
      </c>
      <c r="I518">
        <v>1</v>
      </c>
      <c r="J518">
        <v>1</v>
      </c>
      <c r="K518" t="s">
        <v>42</v>
      </c>
      <c r="L518">
        <v>0</v>
      </c>
      <c r="M518">
        <v>16</v>
      </c>
      <c r="N518">
        <v>0</v>
      </c>
      <c r="O518">
        <v>1</v>
      </c>
      <c r="P518">
        <v>0</v>
      </c>
      <c r="Q518" t="s">
        <v>44</v>
      </c>
    </row>
    <row r="519" spans="1:17">
      <c r="A519" t="s">
        <v>17</v>
      </c>
      <c r="B519" t="s">
        <v>42</v>
      </c>
      <c r="C519">
        <v>2025</v>
      </c>
      <c r="D519">
        <v>29</v>
      </c>
      <c r="E519" t="s">
        <v>19</v>
      </c>
      <c r="F519" t="s">
        <v>67</v>
      </c>
      <c r="G519" t="s">
        <v>21</v>
      </c>
      <c r="H519" t="s">
        <v>24</v>
      </c>
      <c r="I519">
        <v>1</v>
      </c>
      <c r="J519">
        <v>1</v>
      </c>
      <c r="K519" t="s">
        <v>42</v>
      </c>
      <c r="L519">
        <v>0</v>
      </c>
      <c r="M519">
        <v>16</v>
      </c>
      <c r="N519">
        <v>0</v>
      </c>
      <c r="O519">
        <v>1</v>
      </c>
      <c r="P519">
        <v>0</v>
      </c>
      <c r="Q519" t="s">
        <v>44</v>
      </c>
    </row>
    <row r="520" spans="1:17">
      <c r="A520" t="s">
        <v>17</v>
      </c>
      <c r="B520" t="s">
        <v>42</v>
      </c>
      <c r="C520">
        <v>2025</v>
      </c>
      <c r="D520">
        <v>29</v>
      </c>
      <c r="E520" t="s">
        <v>19</v>
      </c>
      <c r="F520" t="s">
        <v>67</v>
      </c>
      <c r="G520" t="s">
        <v>21</v>
      </c>
      <c r="H520" t="s">
        <v>31</v>
      </c>
      <c r="I520">
        <v>1</v>
      </c>
      <c r="J520">
        <v>1</v>
      </c>
      <c r="K520" t="s">
        <v>42</v>
      </c>
      <c r="L520">
        <v>0</v>
      </c>
      <c r="M520">
        <v>16</v>
      </c>
      <c r="N520">
        <v>0</v>
      </c>
      <c r="O520">
        <v>1</v>
      </c>
      <c r="P520">
        <v>0</v>
      </c>
      <c r="Q520" t="s">
        <v>44</v>
      </c>
    </row>
    <row r="521" spans="1:17">
      <c r="A521" t="s">
        <v>17</v>
      </c>
      <c r="B521" t="s">
        <v>42</v>
      </c>
      <c r="C521">
        <v>2025</v>
      </c>
      <c r="D521">
        <v>29</v>
      </c>
      <c r="E521" t="s">
        <v>19</v>
      </c>
      <c r="F521" t="s">
        <v>67</v>
      </c>
      <c r="G521" t="s">
        <v>21</v>
      </c>
      <c r="H521" t="s">
        <v>39</v>
      </c>
      <c r="I521">
        <v>1</v>
      </c>
      <c r="J521">
        <v>1</v>
      </c>
      <c r="K521" t="s">
        <v>42</v>
      </c>
      <c r="L521">
        <v>0</v>
      </c>
      <c r="M521">
        <v>16</v>
      </c>
      <c r="N521">
        <v>0</v>
      </c>
      <c r="O521">
        <v>1</v>
      </c>
      <c r="P521">
        <v>0</v>
      </c>
      <c r="Q521" t="s">
        <v>44</v>
      </c>
    </row>
    <row r="522" spans="1:17">
      <c r="A522" t="s">
        <v>17</v>
      </c>
      <c r="B522" t="s">
        <v>42</v>
      </c>
      <c r="C522">
        <v>2025</v>
      </c>
      <c r="D522">
        <v>29</v>
      </c>
      <c r="E522" t="s">
        <v>19</v>
      </c>
      <c r="F522" t="s">
        <v>67</v>
      </c>
      <c r="G522" t="s">
        <v>32</v>
      </c>
      <c r="H522" t="s">
        <v>59</v>
      </c>
      <c r="I522">
        <v>1</v>
      </c>
      <c r="J522">
        <v>1</v>
      </c>
      <c r="K522" t="s">
        <v>42</v>
      </c>
      <c r="L522">
        <v>0</v>
      </c>
      <c r="M522">
        <v>16</v>
      </c>
      <c r="N522">
        <v>0</v>
      </c>
      <c r="O522">
        <v>1</v>
      </c>
      <c r="P522">
        <v>0</v>
      </c>
      <c r="Q522" t="s">
        <v>44</v>
      </c>
    </row>
    <row r="523" spans="1:17">
      <c r="A523" t="s">
        <v>17</v>
      </c>
      <c r="B523" t="s">
        <v>42</v>
      </c>
      <c r="C523">
        <v>2025</v>
      </c>
      <c r="D523">
        <v>29</v>
      </c>
      <c r="E523" t="s">
        <v>19</v>
      </c>
      <c r="F523" t="s">
        <v>67</v>
      </c>
      <c r="G523" t="s">
        <v>32</v>
      </c>
      <c r="H523" t="s">
        <v>47</v>
      </c>
      <c r="I523">
        <v>1</v>
      </c>
      <c r="J523">
        <v>1</v>
      </c>
      <c r="K523" t="s">
        <v>42</v>
      </c>
      <c r="L523">
        <v>0</v>
      </c>
      <c r="M523">
        <v>16</v>
      </c>
      <c r="N523">
        <v>0</v>
      </c>
      <c r="O523">
        <v>1</v>
      </c>
      <c r="P523">
        <v>0</v>
      </c>
      <c r="Q523" t="s">
        <v>44</v>
      </c>
    </row>
    <row r="524" spans="1:17">
      <c r="A524" t="s">
        <v>17</v>
      </c>
      <c r="B524" t="s">
        <v>42</v>
      </c>
      <c r="C524">
        <v>2025</v>
      </c>
      <c r="D524">
        <v>29</v>
      </c>
      <c r="E524" t="s">
        <v>19</v>
      </c>
      <c r="F524" t="s">
        <v>67</v>
      </c>
      <c r="G524" t="s">
        <v>32</v>
      </c>
      <c r="H524" t="s">
        <v>33</v>
      </c>
      <c r="I524">
        <v>1</v>
      </c>
      <c r="J524">
        <v>1</v>
      </c>
      <c r="K524" t="s">
        <v>42</v>
      </c>
      <c r="L524">
        <v>0</v>
      </c>
      <c r="M524">
        <v>16</v>
      </c>
      <c r="N524">
        <v>0</v>
      </c>
      <c r="O524">
        <v>1</v>
      </c>
      <c r="P524">
        <v>0</v>
      </c>
      <c r="Q524" t="s">
        <v>44</v>
      </c>
    </row>
    <row r="525" spans="1:17">
      <c r="A525" t="s">
        <v>17</v>
      </c>
      <c r="B525" t="s">
        <v>42</v>
      </c>
      <c r="C525">
        <v>2025</v>
      </c>
      <c r="D525">
        <v>29</v>
      </c>
      <c r="E525" t="s">
        <v>19</v>
      </c>
      <c r="F525" t="s">
        <v>67</v>
      </c>
      <c r="G525" t="s">
        <v>32</v>
      </c>
      <c r="H525" t="s">
        <v>60</v>
      </c>
      <c r="I525">
        <v>1</v>
      </c>
      <c r="J525">
        <v>1</v>
      </c>
      <c r="K525" t="s">
        <v>42</v>
      </c>
      <c r="L525">
        <v>0</v>
      </c>
      <c r="M525">
        <v>16</v>
      </c>
      <c r="N525">
        <v>0</v>
      </c>
      <c r="O525">
        <v>1</v>
      </c>
      <c r="P525">
        <v>0</v>
      </c>
      <c r="Q525" t="s">
        <v>44</v>
      </c>
    </row>
    <row r="526" spans="1:17">
      <c r="A526" t="s">
        <v>17</v>
      </c>
      <c r="B526" t="s">
        <v>42</v>
      </c>
      <c r="C526">
        <v>2025</v>
      </c>
      <c r="D526">
        <v>29</v>
      </c>
      <c r="E526" t="s">
        <v>19</v>
      </c>
      <c r="F526" t="s">
        <v>67</v>
      </c>
      <c r="G526" t="s">
        <v>25</v>
      </c>
      <c r="H526" t="s">
        <v>45</v>
      </c>
      <c r="I526">
        <v>1</v>
      </c>
      <c r="J526">
        <v>1</v>
      </c>
      <c r="K526" t="s">
        <v>42</v>
      </c>
      <c r="L526">
        <v>0</v>
      </c>
      <c r="M526">
        <v>16</v>
      </c>
      <c r="N526">
        <v>0</v>
      </c>
      <c r="O526">
        <v>1</v>
      </c>
      <c r="P526">
        <v>0</v>
      </c>
      <c r="Q526" t="s">
        <v>44</v>
      </c>
    </row>
    <row r="527" spans="1:17">
      <c r="A527" t="s">
        <v>17</v>
      </c>
      <c r="B527" t="s">
        <v>42</v>
      </c>
      <c r="C527">
        <v>2025</v>
      </c>
      <c r="D527">
        <v>29</v>
      </c>
      <c r="E527" t="s">
        <v>19</v>
      </c>
      <c r="F527" t="s">
        <v>67</v>
      </c>
      <c r="G527" t="s">
        <v>25</v>
      </c>
      <c r="H527" t="s">
        <v>34</v>
      </c>
      <c r="I527">
        <v>1</v>
      </c>
      <c r="J527">
        <v>1</v>
      </c>
      <c r="K527" t="s">
        <v>42</v>
      </c>
      <c r="L527">
        <v>0</v>
      </c>
      <c r="M527">
        <v>16</v>
      </c>
      <c r="N527">
        <v>0</v>
      </c>
      <c r="O527">
        <v>1</v>
      </c>
      <c r="P527">
        <v>0</v>
      </c>
      <c r="Q527" t="s">
        <v>44</v>
      </c>
    </row>
    <row r="528" spans="1:17">
      <c r="A528" t="s">
        <v>17</v>
      </c>
      <c r="B528" t="s">
        <v>42</v>
      </c>
      <c r="C528">
        <v>2025</v>
      </c>
      <c r="D528">
        <v>29</v>
      </c>
      <c r="E528" t="s">
        <v>19</v>
      </c>
      <c r="F528" t="s">
        <v>67</v>
      </c>
      <c r="G528" t="s">
        <v>25</v>
      </c>
      <c r="H528" t="s">
        <v>26</v>
      </c>
      <c r="I528">
        <v>0</v>
      </c>
      <c r="J528">
        <v>0</v>
      </c>
      <c r="K528" t="s">
        <v>42</v>
      </c>
      <c r="L528">
        <v>0</v>
      </c>
      <c r="M528">
        <v>16</v>
      </c>
      <c r="N528">
        <v>0</v>
      </c>
      <c r="O528">
        <v>0</v>
      </c>
      <c r="P528">
        <v>0</v>
      </c>
      <c r="Q528" t="s">
        <v>44</v>
      </c>
    </row>
    <row r="546" spans="1:17">
      <c r="A546" t="e">
        <f>setup!#REF!</f>
        <v>#REF!</v>
      </c>
    </row>
    <row r="547" spans="1:17">
      <c r="A547">
        <f>setup!D29</f>
        <v>0</v>
      </c>
    </row>
    <row r="548" spans="1:17">
      <c r="A548" t="s">
        <v>0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t="s">
        <v>7</v>
      </c>
      <c r="I548" t="s">
        <v>8</v>
      </c>
      <c r="J548" t="s">
        <v>9</v>
      </c>
      <c r="K548" t="s">
        <v>10</v>
      </c>
      <c r="L548" t="s">
        <v>11</v>
      </c>
      <c r="M548" t="s">
        <v>12</v>
      </c>
      <c r="N548" t="s">
        <v>13</v>
      </c>
      <c r="O548" t="s">
        <v>14</v>
      </c>
      <c r="P548" t="s">
        <v>15</v>
      </c>
      <c r="Q548" t="s">
        <v>16</v>
      </c>
    </row>
    <row r="549" spans="1:17">
      <c r="A549" t="s">
        <v>17</v>
      </c>
      <c r="B549" t="s">
        <v>42</v>
      </c>
      <c r="C549">
        <v>2025</v>
      </c>
      <c r="D549">
        <v>29</v>
      </c>
      <c r="E549" t="s">
        <v>19</v>
      </c>
      <c r="F549" t="s">
        <v>66</v>
      </c>
      <c r="H549" t="s">
        <v>58</v>
      </c>
      <c r="I549">
        <v>1</v>
      </c>
      <c r="J549">
        <v>1</v>
      </c>
      <c r="K549" t="s">
        <v>42</v>
      </c>
      <c r="L549">
        <v>0</v>
      </c>
      <c r="M549">
        <v>16</v>
      </c>
      <c r="N549">
        <v>0</v>
      </c>
      <c r="O549">
        <v>1</v>
      </c>
      <c r="P549">
        <v>0</v>
      </c>
      <c r="Q549" t="s">
        <v>44</v>
      </c>
    </row>
    <row r="550" spans="1:17">
      <c r="A550" t="s">
        <v>17</v>
      </c>
      <c r="B550" t="s">
        <v>42</v>
      </c>
      <c r="C550">
        <v>2025</v>
      </c>
      <c r="D550">
        <v>29</v>
      </c>
      <c r="E550" t="s">
        <v>19</v>
      </c>
      <c r="F550" t="s">
        <v>66</v>
      </c>
      <c r="G550" t="s">
        <v>28</v>
      </c>
      <c r="H550" t="s">
        <v>29</v>
      </c>
      <c r="I550">
        <v>1</v>
      </c>
      <c r="J550">
        <v>1</v>
      </c>
      <c r="K550" t="s">
        <v>30</v>
      </c>
      <c r="L550">
        <v>1</v>
      </c>
      <c r="M550">
        <v>16</v>
      </c>
      <c r="N550">
        <v>1</v>
      </c>
      <c r="O550">
        <v>0</v>
      </c>
      <c r="P550">
        <v>0</v>
      </c>
      <c r="Q550" t="s">
        <v>44</v>
      </c>
    </row>
    <row r="551" spans="1:17">
      <c r="A551" t="s">
        <v>17</v>
      </c>
      <c r="B551" t="s">
        <v>42</v>
      </c>
      <c r="C551">
        <v>2025</v>
      </c>
      <c r="D551">
        <v>29</v>
      </c>
      <c r="E551" t="s">
        <v>19</v>
      </c>
      <c r="F551" t="s">
        <v>66</v>
      </c>
      <c r="G551" t="s">
        <v>28</v>
      </c>
      <c r="H551" t="s">
        <v>56</v>
      </c>
      <c r="I551">
        <v>1</v>
      </c>
      <c r="J551">
        <v>1</v>
      </c>
      <c r="K551" t="s">
        <v>42</v>
      </c>
      <c r="L551">
        <v>0</v>
      </c>
      <c r="M551">
        <v>16</v>
      </c>
      <c r="N551">
        <v>0</v>
      </c>
      <c r="O551">
        <v>1</v>
      </c>
      <c r="P551">
        <v>0</v>
      </c>
      <c r="Q551" t="s">
        <v>44</v>
      </c>
    </row>
    <row r="552" spans="1:17">
      <c r="A552" t="s">
        <v>17</v>
      </c>
      <c r="B552" t="s">
        <v>42</v>
      </c>
      <c r="C552">
        <v>2025</v>
      </c>
      <c r="D552">
        <v>29</v>
      </c>
      <c r="E552" t="s">
        <v>19</v>
      </c>
      <c r="F552" t="s">
        <v>66</v>
      </c>
      <c r="G552" t="s">
        <v>28</v>
      </c>
      <c r="H552" t="s">
        <v>50</v>
      </c>
      <c r="I552">
        <v>1</v>
      </c>
      <c r="J552">
        <v>1</v>
      </c>
      <c r="K552" t="s">
        <v>42</v>
      </c>
      <c r="L552">
        <v>0</v>
      </c>
      <c r="M552">
        <v>16</v>
      </c>
      <c r="N552">
        <v>0</v>
      </c>
      <c r="O552">
        <v>1</v>
      </c>
      <c r="P552">
        <v>0</v>
      </c>
      <c r="Q552" t="s">
        <v>44</v>
      </c>
    </row>
    <row r="553" spans="1:17">
      <c r="A553" t="s">
        <v>17</v>
      </c>
      <c r="B553" t="s">
        <v>42</v>
      </c>
      <c r="C553">
        <v>2025</v>
      </c>
      <c r="D553">
        <v>29</v>
      </c>
      <c r="E553" t="s">
        <v>19</v>
      </c>
      <c r="F553" t="s">
        <v>66</v>
      </c>
      <c r="G553" t="s">
        <v>28</v>
      </c>
      <c r="H553" t="s">
        <v>38</v>
      </c>
      <c r="I553">
        <v>1</v>
      </c>
      <c r="J553">
        <v>1</v>
      </c>
      <c r="K553" t="s">
        <v>42</v>
      </c>
      <c r="L553">
        <v>0</v>
      </c>
      <c r="M553">
        <v>16</v>
      </c>
      <c r="N553">
        <v>0</v>
      </c>
      <c r="O553">
        <v>1</v>
      </c>
      <c r="P553">
        <v>0</v>
      </c>
      <c r="Q553" t="s">
        <v>44</v>
      </c>
    </row>
    <row r="554" spans="1:17">
      <c r="A554" t="s">
        <v>17</v>
      </c>
      <c r="B554" t="s">
        <v>42</v>
      </c>
      <c r="C554">
        <v>2025</v>
      </c>
      <c r="D554">
        <v>29</v>
      </c>
      <c r="E554" t="s">
        <v>19</v>
      </c>
      <c r="F554" t="s">
        <v>66</v>
      </c>
      <c r="G554" t="s">
        <v>21</v>
      </c>
      <c r="H554" t="s">
        <v>22</v>
      </c>
      <c r="I554">
        <v>1</v>
      </c>
      <c r="J554">
        <v>1</v>
      </c>
      <c r="K554" t="s">
        <v>42</v>
      </c>
      <c r="L554">
        <v>0</v>
      </c>
      <c r="M554">
        <v>16</v>
      </c>
      <c r="N554">
        <v>0</v>
      </c>
      <c r="O554">
        <v>1</v>
      </c>
      <c r="P554">
        <v>0</v>
      </c>
      <c r="Q554" t="s">
        <v>44</v>
      </c>
    </row>
    <row r="555" spans="1:17">
      <c r="A555" t="s">
        <v>17</v>
      </c>
      <c r="B555" t="s">
        <v>42</v>
      </c>
      <c r="C555">
        <v>2025</v>
      </c>
      <c r="D555">
        <v>29</v>
      </c>
      <c r="E555" t="s">
        <v>19</v>
      </c>
      <c r="F555" t="s">
        <v>66</v>
      </c>
      <c r="G555" t="s">
        <v>21</v>
      </c>
      <c r="H555" t="s">
        <v>36</v>
      </c>
      <c r="I555">
        <v>1</v>
      </c>
      <c r="J555">
        <v>1</v>
      </c>
      <c r="K555" t="s">
        <v>42</v>
      </c>
      <c r="L555">
        <v>0</v>
      </c>
      <c r="M555">
        <v>16</v>
      </c>
      <c r="N555">
        <v>0</v>
      </c>
      <c r="O555">
        <v>1</v>
      </c>
      <c r="P555">
        <v>0</v>
      </c>
      <c r="Q555" t="s">
        <v>44</v>
      </c>
    </row>
    <row r="556" spans="1:17">
      <c r="A556" t="s">
        <v>17</v>
      </c>
      <c r="B556" t="s">
        <v>42</v>
      </c>
      <c r="C556">
        <v>2025</v>
      </c>
      <c r="D556">
        <v>29</v>
      </c>
      <c r="E556" t="s">
        <v>19</v>
      </c>
      <c r="F556" t="s">
        <v>66</v>
      </c>
      <c r="G556" t="s">
        <v>21</v>
      </c>
      <c r="H556" t="s">
        <v>24</v>
      </c>
      <c r="I556">
        <v>1</v>
      </c>
      <c r="J556">
        <v>1</v>
      </c>
      <c r="K556" t="s">
        <v>30</v>
      </c>
      <c r="L556">
        <v>1</v>
      </c>
      <c r="M556">
        <v>16</v>
      </c>
      <c r="N556">
        <v>1</v>
      </c>
      <c r="O556">
        <v>0</v>
      </c>
      <c r="P556">
        <v>0</v>
      </c>
      <c r="Q556" t="s">
        <v>44</v>
      </c>
    </row>
    <row r="557" spans="1:17">
      <c r="A557" t="s">
        <v>17</v>
      </c>
      <c r="B557" t="s">
        <v>42</v>
      </c>
      <c r="C557">
        <v>2025</v>
      </c>
      <c r="D557">
        <v>29</v>
      </c>
      <c r="E557" t="s">
        <v>19</v>
      </c>
      <c r="F557" t="s">
        <v>66</v>
      </c>
      <c r="G557" t="s">
        <v>21</v>
      </c>
      <c r="H557" t="s">
        <v>31</v>
      </c>
      <c r="I557">
        <v>1</v>
      </c>
      <c r="J557">
        <v>1</v>
      </c>
      <c r="K557" t="s">
        <v>42</v>
      </c>
      <c r="L557">
        <v>0</v>
      </c>
      <c r="M557">
        <v>16</v>
      </c>
      <c r="N557">
        <v>0</v>
      </c>
      <c r="O557">
        <v>1</v>
      </c>
      <c r="P557">
        <v>0</v>
      </c>
      <c r="Q557" t="s">
        <v>44</v>
      </c>
    </row>
    <row r="558" spans="1:17">
      <c r="A558" t="s">
        <v>17</v>
      </c>
      <c r="B558" t="s">
        <v>42</v>
      </c>
      <c r="C558">
        <v>2025</v>
      </c>
      <c r="D558">
        <v>29</v>
      </c>
      <c r="E558" t="s">
        <v>19</v>
      </c>
      <c r="F558" t="s">
        <v>66</v>
      </c>
      <c r="G558" t="s">
        <v>21</v>
      </c>
      <c r="H558" t="s">
        <v>39</v>
      </c>
      <c r="I558">
        <v>1</v>
      </c>
      <c r="J558">
        <v>1</v>
      </c>
      <c r="K558" t="s">
        <v>42</v>
      </c>
      <c r="L558">
        <v>0</v>
      </c>
      <c r="M558">
        <v>16</v>
      </c>
      <c r="N558">
        <v>0</v>
      </c>
      <c r="O558">
        <v>1</v>
      </c>
      <c r="P558">
        <v>0</v>
      </c>
      <c r="Q558" t="s">
        <v>44</v>
      </c>
    </row>
    <row r="559" spans="1:17">
      <c r="A559" t="s">
        <v>17</v>
      </c>
      <c r="B559" t="s">
        <v>42</v>
      </c>
      <c r="C559">
        <v>2025</v>
      </c>
      <c r="D559">
        <v>29</v>
      </c>
      <c r="E559" t="s">
        <v>19</v>
      </c>
      <c r="F559" t="s">
        <v>66</v>
      </c>
      <c r="G559" t="s">
        <v>32</v>
      </c>
      <c r="H559" t="s">
        <v>59</v>
      </c>
      <c r="I559">
        <v>1</v>
      </c>
      <c r="J559">
        <v>1</v>
      </c>
      <c r="K559" t="s">
        <v>42</v>
      </c>
      <c r="L559">
        <v>0</v>
      </c>
      <c r="M559">
        <v>16</v>
      </c>
      <c r="N559">
        <v>0</v>
      </c>
      <c r="O559">
        <v>1</v>
      </c>
      <c r="P559">
        <v>0</v>
      </c>
      <c r="Q559" t="s">
        <v>44</v>
      </c>
    </row>
    <row r="560" spans="1:17">
      <c r="A560" t="s">
        <v>17</v>
      </c>
      <c r="B560" t="s">
        <v>42</v>
      </c>
      <c r="C560">
        <v>2025</v>
      </c>
      <c r="D560">
        <v>29</v>
      </c>
      <c r="E560" t="s">
        <v>19</v>
      </c>
      <c r="F560" t="s">
        <v>66</v>
      </c>
      <c r="G560" t="s">
        <v>32</v>
      </c>
      <c r="H560" t="s">
        <v>47</v>
      </c>
      <c r="I560">
        <v>1</v>
      </c>
      <c r="J560">
        <v>1</v>
      </c>
      <c r="K560" t="s">
        <v>42</v>
      </c>
      <c r="L560">
        <v>0</v>
      </c>
      <c r="M560">
        <v>16</v>
      </c>
      <c r="N560">
        <v>0</v>
      </c>
      <c r="O560">
        <v>1</v>
      </c>
      <c r="P560">
        <v>0</v>
      </c>
      <c r="Q560" t="s">
        <v>44</v>
      </c>
    </row>
    <row r="561" spans="1:17">
      <c r="A561" t="s">
        <v>17</v>
      </c>
      <c r="B561" t="s">
        <v>42</v>
      </c>
      <c r="C561">
        <v>2025</v>
      </c>
      <c r="D561">
        <v>29</v>
      </c>
      <c r="E561" t="s">
        <v>19</v>
      </c>
      <c r="F561" t="s">
        <v>66</v>
      </c>
      <c r="G561" t="s">
        <v>32</v>
      </c>
      <c r="H561" t="s">
        <v>33</v>
      </c>
      <c r="I561">
        <v>1</v>
      </c>
      <c r="J561">
        <v>1</v>
      </c>
      <c r="K561" t="s">
        <v>30</v>
      </c>
      <c r="L561">
        <v>1</v>
      </c>
      <c r="M561">
        <v>16</v>
      </c>
      <c r="N561">
        <v>1</v>
      </c>
      <c r="O561">
        <v>0</v>
      </c>
      <c r="P561">
        <v>0</v>
      </c>
      <c r="Q561" t="s">
        <v>44</v>
      </c>
    </row>
    <row r="562" spans="1:17">
      <c r="A562" t="s">
        <v>17</v>
      </c>
      <c r="B562" t="s">
        <v>42</v>
      </c>
      <c r="C562">
        <v>2025</v>
      </c>
      <c r="D562">
        <v>29</v>
      </c>
      <c r="E562" t="s">
        <v>19</v>
      </c>
      <c r="F562" t="s">
        <v>66</v>
      </c>
      <c r="G562" t="s">
        <v>32</v>
      </c>
      <c r="H562" t="s">
        <v>60</v>
      </c>
      <c r="I562">
        <v>1</v>
      </c>
      <c r="J562">
        <v>1</v>
      </c>
      <c r="K562" t="s">
        <v>42</v>
      </c>
      <c r="L562">
        <v>0</v>
      </c>
      <c r="M562">
        <v>16</v>
      </c>
      <c r="N562">
        <v>0</v>
      </c>
      <c r="O562">
        <v>1</v>
      </c>
      <c r="P562">
        <v>0</v>
      </c>
      <c r="Q562" t="s">
        <v>44</v>
      </c>
    </row>
    <row r="563" spans="1:17">
      <c r="A563" t="s">
        <v>17</v>
      </c>
      <c r="B563" t="s">
        <v>42</v>
      </c>
      <c r="C563">
        <v>2025</v>
      </c>
      <c r="D563">
        <v>29</v>
      </c>
      <c r="E563" t="s">
        <v>19</v>
      </c>
      <c r="F563" t="s">
        <v>66</v>
      </c>
      <c r="G563" t="s">
        <v>25</v>
      </c>
      <c r="H563" t="s">
        <v>45</v>
      </c>
      <c r="I563">
        <v>1</v>
      </c>
      <c r="J563">
        <v>1</v>
      </c>
      <c r="K563" t="s">
        <v>42</v>
      </c>
      <c r="L563">
        <v>0</v>
      </c>
      <c r="M563">
        <v>16</v>
      </c>
      <c r="N563">
        <v>0</v>
      </c>
      <c r="O563">
        <v>1</v>
      </c>
      <c r="P563">
        <v>0</v>
      </c>
      <c r="Q563" t="s">
        <v>44</v>
      </c>
    </row>
    <row r="564" spans="1:17">
      <c r="A564" t="s">
        <v>17</v>
      </c>
      <c r="B564" t="s">
        <v>42</v>
      </c>
      <c r="C564">
        <v>2025</v>
      </c>
      <c r="D564">
        <v>29</v>
      </c>
      <c r="E564" t="s">
        <v>19</v>
      </c>
      <c r="F564" t="s">
        <v>66</v>
      </c>
      <c r="G564" t="s">
        <v>25</v>
      </c>
      <c r="H564" t="s">
        <v>34</v>
      </c>
      <c r="I564">
        <v>1</v>
      </c>
      <c r="J564">
        <v>1</v>
      </c>
      <c r="K564" t="s">
        <v>30</v>
      </c>
      <c r="L564">
        <v>1</v>
      </c>
      <c r="M564">
        <v>16</v>
      </c>
      <c r="N564">
        <v>1</v>
      </c>
      <c r="O564">
        <v>0</v>
      </c>
      <c r="P564">
        <v>0</v>
      </c>
      <c r="Q564" t="s">
        <v>44</v>
      </c>
    </row>
    <row r="565" spans="1:17">
      <c r="A565" t="s">
        <v>17</v>
      </c>
      <c r="B565" t="s">
        <v>42</v>
      </c>
      <c r="C565">
        <v>2025</v>
      </c>
      <c r="D565">
        <v>29</v>
      </c>
      <c r="E565" t="s">
        <v>19</v>
      </c>
      <c r="F565" t="s">
        <v>66</v>
      </c>
      <c r="G565" t="s">
        <v>25</v>
      </c>
      <c r="H565" t="s">
        <v>26</v>
      </c>
      <c r="I565">
        <v>0</v>
      </c>
      <c r="J565">
        <v>0</v>
      </c>
      <c r="K565" t="s">
        <v>42</v>
      </c>
      <c r="L565">
        <v>0</v>
      </c>
      <c r="M565">
        <v>16</v>
      </c>
      <c r="N565">
        <v>0</v>
      </c>
      <c r="O565">
        <v>0</v>
      </c>
      <c r="P565">
        <v>0</v>
      </c>
      <c r="Q565" t="s">
        <v>44</v>
      </c>
    </row>
    <row r="583" spans="1:17">
      <c r="A583" t="e">
        <f>setup!#REF!</f>
        <v>#REF!</v>
      </c>
    </row>
    <row r="584" spans="1:17">
      <c r="A584">
        <f>setup!D30</f>
        <v>0</v>
      </c>
    </row>
    <row r="585" spans="1:17">
      <c r="A585" t="s">
        <v>0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t="s">
        <v>7</v>
      </c>
      <c r="I585" t="s">
        <v>8</v>
      </c>
      <c r="J585" t="s">
        <v>9</v>
      </c>
      <c r="K585" t="s">
        <v>10</v>
      </c>
      <c r="L585" t="s">
        <v>11</v>
      </c>
      <c r="M585" t="s">
        <v>12</v>
      </c>
      <c r="N585" t="s">
        <v>13</v>
      </c>
      <c r="O585" t="s">
        <v>14</v>
      </c>
      <c r="P585" t="s">
        <v>15</v>
      </c>
      <c r="Q585" t="s">
        <v>16</v>
      </c>
    </row>
    <row r="586" spans="1:17">
      <c r="A586" t="s">
        <v>17</v>
      </c>
      <c r="B586" t="s">
        <v>42</v>
      </c>
      <c r="C586">
        <v>2025</v>
      </c>
      <c r="D586">
        <v>29</v>
      </c>
      <c r="E586" t="s">
        <v>19</v>
      </c>
      <c r="F586" t="s">
        <v>62</v>
      </c>
      <c r="H586" t="s">
        <v>58</v>
      </c>
      <c r="I586">
        <v>1</v>
      </c>
      <c r="J586">
        <v>1</v>
      </c>
      <c r="K586" t="s">
        <v>42</v>
      </c>
      <c r="L586">
        <v>0</v>
      </c>
      <c r="M586">
        <v>16</v>
      </c>
      <c r="N586">
        <v>0</v>
      </c>
      <c r="O586">
        <v>1</v>
      </c>
      <c r="P586">
        <v>0</v>
      </c>
      <c r="Q586" t="s">
        <v>68</v>
      </c>
    </row>
    <row r="587" spans="1:17">
      <c r="A587" t="s">
        <v>17</v>
      </c>
      <c r="B587" t="s">
        <v>42</v>
      </c>
      <c r="C587">
        <v>2025</v>
      </c>
      <c r="D587">
        <v>29</v>
      </c>
      <c r="E587" t="s">
        <v>19</v>
      </c>
      <c r="F587" t="s">
        <v>62</v>
      </c>
      <c r="G587" t="s">
        <v>28</v>
      </c>
      <c r="H587" t="s">
        <v>29</v>
      </c>
      <c r="I587">
        <v>1</v>
      </c>
      <c r="J587">
        <v>1</v>
      </c>
      <c r="K587" t="s">
        <v>30</v>
      </c>
      <c r="L587">
        <v>2</v>
      </c>
      <c r="M587">
        <v>16</v>
      </c>
      <c r="N587">
        <v>2</v>
      </c>
      <c r="O587">
        <v>0</v>
      </c>
      <c r="P587">
        <v>0</v>
      </c>
      <c r="Q587" t="s">
        <v>68</v>
      </c>
    </row>
    <row r="588" spans="1:17">
      <c r="A588" t="s">
        <v>17</v>
      </c>
      <c r="B588" t="s">
        <v>42</v>
      </c>
      <c r="C588">
        <v>2025</v>
      </c>
      <c r="D588">
        <v>29</v>
      </c>
      <c r="E588" t="s">
        <v>19</v>
      </c>
      <c r="F588" t="s">
        <v>62</v>
      </c>
      <c r="G588" t="s">
        <v>28</v>
      </c>
      <c r="H588" t="s">
        <v>56</v>
      </c>
      <c r="I588">
        <v>1</v>
      </c>
      <c r="J588">
        <v>1</v>
      </c>
      <c r="K588" t="s">
        <v>42</v>
      </c>
      <c r="L588">
        <v>0</v>
      </c>
      <c r="M588">
        <v>16</v>
      </c>
      <c r="N588">
        <v>0</v>
      </c>
      <c r="O588">
        <v>1</v>
      </c>
      <c r="P588">
        <v>0</v>
      </c>
      <c r="Q588" t="s">
        <v>68</v>
      </c>
    </row>
    <row r="589" spans="1:17">
      <c r="A589" t="s">
        <v>17</v>
      </c>
      <c r="B589" t="s">
        <v>42</v>
      </c>
      <c r="C589">
        <v>2025</v>
      </c>
      <c r="D589">
        <v>29</v>
      </c>
      <c r="E589" t="s">
        <v>19</v>
      </c>
      <c r="F589" t="s">
        <v>62</v>
      </c>
      <c r="G589" t="s">
        <v>28</v>
      </c>
      <c r="H589" t="s">
        <v>50</v>
      </c>
      <c r="I589">
        <v>1</v>
      </c>
      <c r="J589">
        <v>1</v>
      </c>
      <c r="K589" t="s">
        <v>42</v>
      </c>
      <c r="L589">
        <v>0</v>
      </c>
      <c r="M589">
        <v>16</v>
      </c>
      <c r="N589">
        <v>0</v>
      </c>
      <c r="O589">
        <v>1</v>
      </c>
      <c r="P589">
        <v>0</v>
      </c>
      <c r="Q589" t="s">
        <v>68</v>
      </c>
    </row>
    <row r="590" spans="1:17">
      <c r="A590" t="s">
        <v>17</v>
      </c>
      <c r="B590" t="s">
        <v>42</v>
      </c>
      <c r="C590">
        <v>2025</v>
      </c>
      <c r="D590">
        <v>29</v>
      </c>
      <c r="E590" t="s">
        <v>19</v>
      </c>
      <c r="F590" t="s">
        <v>62</v>
      </c>
      <c r="G590" t="s">
        <v>28</v>
      </c>
      <c r="H590" t="s">
        <v>38</v>
      </c>
      <c r="I590">
        <v>1</v>
      </c>
      <c r="J590">
        <v>1</v>
      </c>
      <c r="K590" t="s">
        <v>42</v>
      </c>
      <c r="L590">
        <v>0</v>
      </c>
      <c r="M590">
        <v>16</v>
      </c>
      <c r="N590">
        <v>0</v>
      </c>
      <c r="O590">
        <v>1</v>
      </c>
      <c r="P590">
        <v>0</v>
      </c>
      <c r="Q590" t="s">
        <v>68</v>
      </c>
    </row>
    <row r="591" spans="1:17">
      <c r="A591" t="s">
        <v>17</v>
      </c>
      <c r="B591" t="s">
        <v>42</v>
      </c>
      <c r="C591">
        <v>2025</v>
      </c>
      <c r="D591">
        <v>29</v>
      </c>
      <c r="E591" t="s">
        <v>19</v>
      </c>
      <c r="F591" t="s">
        <v>62</v>
      </c>
      <c r="G591" t="s">
        <v>21</v>
      </c>
      <c r="H591" t="s">
        <v>22</v>
      </c>
      <c r="I591">
        <v>1</v>
      </c>
      <c r="J591">
        <v>1</v>
      </c>
      <c r="K591" t="s">
        <v>42</v>
      </c>
      <c r="L591">
        <v>0</v>
      </c>
      <c r="M591">
        <v>16</v>
      </c>
      <c r="N591">
        <v>0</v>
      </c>
      <c r="O591">
        <v>1</v>
      </c>
      <c r="P591">
        <v>0</v>
      </c>
      <c r="Q591" t="s">
        <v>68</v>
      </c>
    </row>
    <row r="592" spans="1:17">
      <c r="A592" t="s">
        <v>17</v>
      </c>
      <c r="B592" t="s">
        <v>42</v>
      </c>
      <c r="C592">
        <v>2025</v>
      </c>
      <c r="D592">
        <v>29</v>
      </c>
      <c r="E592" t="s">
        <v>19</v>
      </c>
      <c r="F592" t="s">
        <v>62</v>
      </c>
      <c r="G592" t="s">
        <v>21</v>
      </c>
      <c r="H592" t="s">
        <v>36</v>
      </c>
      <c r="I592">
        <v>1</v>
      </c>
      <c r="J592">
        <v>1</v>
      </c>
      <c r="K592" t="s">
        <v>42</v>
      </c>
      <c r="L592">
        <v>0</v>
      </c>
      <c r="M592">
        <v>16</v>
      </c>
      <c r="N592">
        <v>0</v>
      </c>
      <c r="O592">
        <v>1</v>
      </c>
      <c r="P592">
        <v>0</v>
      </c>
      <c r="Q592" t="s">
        <v>68</v>
      </c>
    </row>
    <row r="593" spans="1:17">
      <c r="A593" t="s">
        <v>17</v>
      </c>
      <c r="B593" t="s">
        <v>42</v>
      </c>
      <c r="C593">
        <v>2025</v>
      </c>
      <c r="D593">
        <v>29</v>
      </c>
      <c r="E593" t="s">
        <v>19</v>
      </c>
      <c r="F593" t="s">
        <v>62</v>
      </c>
      <c r="G593" t="s">
        <v>21</v>
      </c>
      <c r="H593" t="s">
        <v>24</v>
      </c>
      <c r="I593">
        <v>1</v>
      </c>
      <c r="J593">
        <v>1</v>
      </c>
      <c r="K593" t="s">
        <v>42</v>
      </c>
      <c r="L593">
        <v>0</v>
      </c>
      <c r="M593">
        <v>16</v>
      </c>
      <c r="N593">
        <v>0</v>
      </c>
      <c r="O593">
        <v>1</v>
      </c>
      <c r="P593">
        <v>0</v>
      </c>
      <c r="Q593" t="s">
        <v>68</v>
      </c>
    </row>
    <row r="594" spans="1:17">
      <c r="A594" t="s">
        <v>17</v>
      </c>
      <c r="B594" t="s">
        <v>42</v>
      </c>
      <c r="C594">
        <v>2025</v>
      </c>
      <c r="D594">
        <v>29</v>
      </c>
      <c r="E594" t="s">
        <v>19</v>
      </c>
      <c r="F594" t="s">
        <v>62</v>
      </c>
      <c r="G594" t="s">
        <v>21</v>
      </c>
      <c r="H594" t="s">
        <v>31</v>
      </c>
      <c r="I594">
        <v>1</v>
      </c>
      <c r="J594">
        <v>1</v>
      </c>
      <c r="K594" t="s">
        <v>30</v>
      </c>
      <c r="L594">
        <v>2</v>
      </c>
      <c r="M594">
        <v>16</v>
      </c>
      <c r="N594">
        <v>2</v>
      </c>
      <c r="O594">
        <v>0</v>
      </c>
      <c r="P594">
        <v>0</v>
      </c>
      <c r="Q594" t="s">
        <v>68</v>
      </c>
    </row>
    <row r="595" spans="1:17">
      <c r="A595" t="s">
        <v>17</v>
      </c>
      <c r="B595" t="s">
        <v>42</v>
      </c>
      <c r="C595">
        <v>2025</v>
      </c>
      <c r="D595">
        <v>29</v>
      </c>
      <c r="E595" t="s">
        <v>19</v>
      </c>
      <c r="F595" t="s">
        <v>62</v>
      </c>
      <c r="G595" t="s">
        <v>21</v>
      </c>
      <c r="H595" t="s">
        <v>39</v>
      </c>
      <c r="I595">
        <v>1</v>
      </c>
      <c r="J595">
        <v>1</v>
      </c>
      <c r="K595" t="s">
        <v>42</v>
      </c>
      <c r="L595">
        <v>0</v>
      </c>
      <c r="M595">
        <v>16</v>
      </c>
      <c r="N595">
        <v>0</v>
      </c>
      <c r="O595">
        <v>1</v>
      </c>
      <c r="P595">
        <v>0</v>
      </c>
      <c r="Q595" t="s">
        <v>68</v>
      </c>
    </row>
    <row r="596" spans="1:17">
      <c r="A596" t="s">
        <v>17</v>
      </c>
      <c r="B596" t="s">
        <v>42</v>
      </c>
      <c r="C596">
        <v>2025</v>
      </c>
      <c r="D596">
        <v>29</v>
      </c>
      <c r="E596" t="s">
        <v>19</v>
      </c>
      <c r="F596" t="s">
        <v>62</v>
      </c>
      <c r="G596" t="s">
        <v>32</v>
      </c>
      <c r="H596" t="s">
        <v>59</v>
      </c>
      <c r="I596">
        <v>1</v>
      </c>
      <c r="J596">
        <v>1</v>
      </c>
      <c r="K596" t="s">
        <v>42</v>
      </c>
      <c r="L596">
        <v>0</v>
      </c>
      <c r="M596">
        <v>16</v>
      </c>
      <c r="N596">
        <v>0</v>
      </c>
      <c r="O596">
        <v>1</v>
      </c>
      <c r="P596">
        <v>0</v>
      </c>
      <c r="Q596" t="s">
        <v>68</v>
      </c>
    </row>
    <row r="597" spans="1:17">
      <c r="A597" t="s">
        <v>17</v>
      </c>
      <c r="B597" t="s">
        <v>42</v>
      </c>
      <c r="C597">
        <v>2025</v>
      </c>
      <c r="D597">
        <v>29</v>
      </c>
      <c r="E597" t="s">
        <v>19</v>
      </c>
      <c r="F597" t="s">
        <v>62</v>
      </c>
      <c r="G597" t="s">
        <v>32</v>
      </c>
      <c r="H597" t="s">
        <v>47</v>
      </c>
      <c r="I597">
        <v>1</v>
      </c>
      <c r="J597">
        <v>1</v>
      </c>
      <c r="K597" t="s">
        <v>42</v>
      </c>
      <c r="L597">
        <v>0</v>
      </c>
      <c r="M597">
        <v>16</v>
      </c>
      <c r="N597">
        <v>0</v>
      </c>
      <c r="O597">
        <v>1</v>
      </c>
      <c r="P597">
        <v>0</v>
      </c>
      <c r="Q597" t="s">
        <v>68</v>
      </c>
    </row>
    <row r="598" spans="1:17">
      <c r="A598" t="s">
        <v>17</v>
      </c>
      <c r="B598" t="s">
        <v>42</v>
      </c>
      <c r="C598">
        <v>2025</v>
      </c>
      <c r="D598">
        <v>29</v>
      </c>
      <c r="E598" t="s">
        <v>19</v>
      </c>
      <c r="F598" t="s">
        <v>62</v>
      </c>
      <c r="G598" t="s">
        <v>32</v>
      </c>
      <c r="H598" t="s">
        <v>33</v>
      </c>
      <c r="I598">
        <v>1</v>
      </c>
      <c r="J598">
        <v>1</v>
      </c>
      <c r="K598" t="s">
        <v>30</v>
      </c>
      <c r="L598">
        <v>1</v>
      </c>
      <c r="M598">
        <v>16</v>
      </c>
      <c r="N598">
        <v>1</v>
      </c>
      <c r="O598">
        <v>0</v>
      </c>
      <c r="P598">
        <v>0</v>
      </c>
      <c r="Q598" t="s">
        <v>68</v>
      </c>
    </row>
    <row r="599" spans="1:17">
      <c r="A599" t="s">
        <v>17</v>
      </c>
      <c r="B599" t="s">
        <v>42</v>
      </c>
      <c r="C599">
        <v>2025</v>
      </c>
      <c r="D599">
        <v>29</v>
      </c>
      <c r="E599" t="s">
        <v>19</v>
      </c>
      <c r="F599" t="s">
        <v>62</v>
      </c>
      <c r="G599" t="s">
        <v>32</v>
      </c>
      <c r="H599" t="s">
        <v>60</v>
      </c>
      <c r="I599">
        <v>1</v>
      </c>
      <c r="J599">
        <v>1</v>
      </c>
      <c r="K599" t="s">
        <v>30</v>
      </c>
      <c r="L599">
        <v>1</v>
      </c>
      <c r="M599">
        <v>16</v>
      </c>
      <c r="N599">
        <v>1</v>
      </c>
      <c r="O599">
        <v>0</v>
      </c>
      <c r="P599">
        <v>0</v>
      </c>
      <c r="Q599" t="s">
        <v>68</v>
      </c>
    </row>
    <row r="600" spans="1:17">
      <c r="A600" t="s">
        <v>17</v>
      </c>
      <c r="B600" t="s">
        <v>42</v>
      </c>
      <c r="C600">
        <v>2025</v>
      </c>
      <c r="D600">
        <v>29</v>
      </c>
      <c r="E600" t="s">
        <v>19</v>
      </c>
      <c r="F600" t="s">
        <v>62</v>
      </c>
      <c r="G600" t="s">
        <v>25</v>
      </c>
      <c r="H600" t="s">
        <v>45</v>
      </c>
      <c r="I600">
        <v>1</v>
      </c>
      <c r="J600">
        <v>1</v>
      </c>
      <c r="K600" t="s">
        <v>30</v>
      </c>
      <c r="L600">
        <v>1</v>
      </c>
      <c r="M600">
        <v>16</v>
      </c>
      <c r="N600">
        <v>1</v>
      </c>
      <c r="O600">
        <v>0</v>
      </c>
      <c r="P600">
        <v>0</v>
      </c>
      <c r="Q600" t="s">
        <v>68</v>
      </c>
    </row>
    <row r="601" spans="1:17">
      <c r="A601" t="s">
        <v>17</v>
      </c>
      <c r="B601" t="s">
        <v>42</v>
      </c>
      <c r="C601">
        <v>2025</v>
      </c>
      <c r="D601">
        <v>29</v>
      </c>
      <c r="E601" t="s">
        <v>19</v>
      </c>
      <c r="F601" t="s">
        <v>62</v>
      </c>
      <c r="G601" t="s">
        <v>25</v>
      </c>
      <c r="H601" t="s">
        <v>34</v>
      </c>
      <c r="I601">
        <v>1</v>
      </c>
      <c r="J601">
        <v>1</v>
      </c>
      <c r="K601" t="s">
        <v>30</v>
      </c>
      <c r="L601">
        <v>1</v>
      </c>
      <c r="M601">
        <v>16</v>
      </c>
      <c r="N601">
        <v>1</v>
      </c>
      <c r="O601">
        <v>0</v>
      </c>
      <c r="P601">
        <v>0</v>
      </c>
      <c r="Q601" t="s">
        <v>68</v>
      </c>
    </row>
    <row r="602" spans="1:17">
      <c r="A602" t="s">
        <v>17</v>
      </c>
      <c r="B602" t="s">
        <v>42</v>
      </c>
      <c r="C602">
        <v>2025</v>
      </c>
      <c r="D602">
        <v>29</v>
      </c>
      <c r="E602" t="s">
        <v>19</v>
      </c>
      <c r="F602" t="s">
        <v>62</v>
      </c>
      <c r="G602" t="s">
        <v>25</v>
      </c>
      <c r="H602" t="s">
        <v>26</v>
      </c>
      <c r="I602">
        <v>0</v>
      </c>
      <c r="J602">
        <v>0</v>
      </c>
      <c r="K602" t="s">
        <v>42</v>
      </c>
      <c r="L602">
        <v>0</v>
      </c>
      <c r="M602">
        <v>16</v>
      </c>
      <c r="N602">
        <v>0</v>
      </c>
      <c r="O602">
        <v>0</v>
      </c>
      <c r="P602">
        <v>0</v>
      </c>
      <c r="Q602" t="s">
        <v>68</v>
      </c>
    </row>
    <row r="620" spans="1:17">
      <c r="A620" t="e">
        <f>setup!#REF!</f>
        <v>#REF!</v>
      </c>
    </row>
    <row r="621" spans="1:17">
      <c r="A621">
        <f>setup!D31</f>
        <v>0</v>
      </c>
    </row>
    <row r="622" spans="1:17">
      <c r="A622" t="s">
        <v>0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t="s">
        <v>14</v>
      </c>
      <c r="P622" t="s">
        <v>15</v>
      </c>
      <c r="Q622" t="s">
        <v>16</v>
      </c>
    </row>
    <row r="623" spans="1:17">
      <c r="A623" t="s">
        <v>17</v>
      </c>
      <c r="B623" t="s">
        <v>42</v>
      </c>
      <c r="C623">
        <v>2025</v>
      </c>
      <c r="D623">
        <v>29</v>
      </c>
      <c r="E623" t="s">
        <v>19</v>
      </c>
      <c r="F623" t="s">
        <v>67</v>
      </c>
      <c r="H623" t="s">
        <v>58</v>
      </c>
      <c r="I623">
        <v>1</v>
      </c>
      <c r="J623">
        <v>1</v>
      </c>
      <c r="K623" t="s">
        <v>42</v>
      </c>
      <c r="L623">
        <v>0</v>
      </c>
      <c r="M623">
        <v>32</v>
      </c>
      <c r="N623">
        <v>0</v>
      </c>
      <c r="O623">
        <v>1</v>
      </c>
      <c r="P623">
        <v>0</v>
      </c>
      <c r="Q623" t="s">
        <v>68</v>
      </c>
    </row>
    <row r="624" spans="1:17">
      <c r="A624" t="s">
        <v>17</v>
      </c>
      <c r="B624" t="s">
        <v>42</v>
      </c>
      <c r="C624">
        <v>2025</v>
      </c>
      <c r="D624">
        <v>29</v>
      </c>
      <c r="E624" t="s">
        <v>19</v>
      </c>
      <c r="F624" t="s">
        <v>67</v>
      </c>
      <c r="G624" t="s">
        <v>28</v>
      </c>
      <c r="H624" t="s">
        <v>29</v>
      </c>
      <c r="I624">
        <v>1</v>
      </c>
      <c r="J624">
        <v>1</v>
      </c>
      <c r="K624" t="s">
        <v>30</v>
      </c>
      <c r="L624">
        <v>1</v>
      </c>
      <c r="M624">
        <v>32</v>
      </c>
      <c r="N624">
        <v>1</v>
      </c>
      <c r="O624">
        <v>0</v>
      </c>
      <c r="P624">
        <v>0</v>
      </c>
      <c r="Q624" t="s">
        <v>68</v>
      </c>
    </row>
    <row r="625" spans="1:17">
      <c r="A625" t="s">
        <v>17</v>
      </c>
      <c r="B625" t="s">
        <v>42</v>
      </c>
      <c r="C625">
        <v>2025</v>
      </c>
      <c r="D625">
        <v>29</v>
      </c>
      <c r="E625" t="s">
        <v>19</v>
      </c>
      <c r="F625" t="s">
        <v>67</v>
      </c>
      <c r="G625" t="s">
        <v>28</v>
      </c>
      <c r="H625" t="s">
        <v>56</v>
      </c>
      <c r="I625">
        <v>1</v>
      </c>
      <c r="J625">
        <v>1</v>
      </c>
      <c r="K625" t="s">
        <v>42</v>
      </c>
      <c r="L625">
        <v>0</v>
      </c>
      <c r="M625">
        <v>32</v>
      </c>
      <c r="N625">
        <v>0</v>
      </c>
      <c r="O625">
        <v>1</v>
      </c>
      <c r="P625">
        <v>0</v>
      </c>
      <c r="Q625" t="s">
        <v>68</v>
      </c>
    </row>
    <row r="626" spans="1:17">
      <c r="A626" t="s">
        <v>17</v>
      </c>
      <c r="B626" t="s">
        <v>42</v>
      </c>
      <c r="C626">
        <v>2025</v>
      </c>
      <c r="D626">
        <v>29</v>
      </c>
      <c r="E626" t="s">
        <v>19</v>
      </c>
      <c r="F626" t="s">
        <v>67</v>
      </c>
      <c r="G626" t="s">
        <v>28</v>
      </c>
      <c r="H626" t="s">
        <v>50</v>
      </c>
      <c r="I626">
        <v>1</v>
      </c>
      <c r="J626">
        <v>1</v>
      </c>
      <c r="K626" t="s">
        <v>42</v>
      </c>
      <c r="L626">
        <v>0</v>
      </c>
      <c r="M626">
        <v>32</v>
      </c>
      <c r="N626">
        <v>0</v>
      </c>
      <c r="O626">
        <v>1</v>
      </c>
      <c r="P626">
        <v>0</v>
      </c>
      <c r="Q626" t="s">
        <v>68</v>
      </c>
    </row>
    <row r="627" spans="1:17">
      <c r="A627" t="s">
        <v>17</v>
      </c>
      <c r="B627" t="s">
        <v>42</v>
      </c>
      <c r="C627">
        <v>2025</v>
      </c>
      <c r="D627">
        <v>29</v>
      </c>
      <c r="E627" t="s">
        <v>19</v>
      </c>
      <c r="F627" t="s">
        <v>67</v>
      </c>
      <c r="G627" t="s">
        <v>28</v>
      </c>
      <c r="H627" t="s">
        <v>38</v>
      </c>
      <c r="I627">
        <v>1</v>
      </c>
      <c r="J627">
        <v>1</v>
      </c>
      <c r="K627" t="s">
        <v>42</v>
      </c>
      <c r="L627">
        <v>0</v>
      </c>
      <c r="M627">
        <v>32</v>
      </c>
      <c r="N627">
        <v>0</v>
      </c>
      <c r="O627">
        <v>1</v>
      </c>
      <c r="P627">
        <v>0</v>
      </c>
      <c r="Q627" t="s">
        <v>68</v>
      </c>
    </row>
    <row r="628" spans="1:17">
      <c r="A628" t="s">
        <v>17</v>
      </c>
      <c r="B628" t="s">
        <v>42</v>
      </c>
      <c r="C628">
        <v>2025</v>
      </c>
      <c r="D628">
        <v>29</v>
      </c>
      <c r="E628" t="s">
        <v>19</v>
      </c>
      <c r="F628" t="s">
        <v>67</v>
      </c>
      <c r="G628" t="s">
        <v>21</v>
      </c>
      <c r="H628" t="s">
        <v>22</v>
      </c>
      <c r="I628">
        <v>1</v>
      </c>
      <c r="J628">
        <v>1</v>
      </c>
      <c r="K628" t="s">
        <v>42</v>
      </c>
      <c r="L628">
        <v>0</v>
      </c>
      <c r="M628">
        <v>32</v>
      </c>
      <c r="N628">
        <v>0</v>
      </c>
      <c r="O628">
        <v>1</v>
      </c>
      <c r="P628">
        <v>0</v>
      </c>
      <c r="Q628" t="s">
        <v>68</v>
      </c>
    </row>
    <row r="629" spans="1:17">
      <c r="A629" t="s">
        <v>17</v>
      </c>
      <c r="B629" t="s">
        <v>42</v>
      </c>
      <c r="C629">
        <v>2025</v>
      </c>
      <c r="D629">
        <v>29</v>
      </c>
      <c r="E629" t="s">
        <v>19</v>
      </c>
      <c r="F629" t="s">
        <v>67</v>
      </c>
      <c r="G629" t="s">
        <v>21</v>
      </c>
      <c r="H629" t="s">
        <v>36</v>
      </c>
      <c r="I629">
        <v>1</v>
      </c>
      <c r="J629">
        <v>1</v>
      </c>
      <c r="K629" t="s">
        <v>42</v>
      </c>
      <c r="L629">
        <v>0</v>
      </c>
      <c r="M629">
        <v>32</v>
      </c>
      <c r="N629">
        <v>0</v>
      </c>
      <c r="O629">
        <v>1</v>
      </c>
      <c r="P629">
        <v>0</v>
      </c>
      <c r="Q629" t="s">
        <v>68</v>
      </c>
    </row>
    <row r="630" spans="1:17">
      <c r="A630" t="s">
        <v>17</v>
      </c>
      <c r="B630" t="s">
        <v>42</v>
      </c>
      <c r="C630">
        <v>2025</v>
      </c>
      <c r="D630">
        <v>29</v>
      </c>
      <c r="E630" t="s">
        <v>19</v>
      </c>
      <c r="F630" t="s">
        <v>67</v>
      </c>
      <c r="G630" t="s">
        <v>21</v>
      </c>
      <c r="H630" t="s">
        <v>24</v>
      </c>
      <c r="I630">
        <v>1</v>
      </c>
      <c r="J630">
        <v>1</v>
      </c>
      <c r="K630" t="s">
        <v>42</v>
      </c>
      <c r="L630">
        <v>0</v>
      </c>
      <c r="M630">
        <v>32</v>
      </c>
      <c r="N630">
        <v>0</v>
      </c>
      <c r="O630">
        <v>1</v>
      </c>
      <c r="P630">
        <v>0</v>
      </c>
      <c r="Q630" t="s">
        <v>68</v>
      </c>
    </row>
    <row r="631" spans="1:17">
      <c r="A631" t="s">
        <v>17</v>
      </c>
      <c r="B631" t="s">
        <v>42</v>
      </c>
      <c r="C631">
        <v>2025</v>
      </c>
      <c r="D631">
        <v>29</v>
      </c>
      <c r="E631" t="s">
        <v>19</v>
      </c>
      <c r="F631" t="s">
        <v>67</v>
      </c>
      <c r="G631" t="s">
        <v>21</v>
      </c>
      <c r="H631" t="s">
        <v>31</v>
      </c>
      <c r="I631">
        <v>1</v>
      </c>
      <c r="J631">
        <v>1</v>
      </c>
      <c r="K631" t="s">
        <v>30</v>
      </c>
      <c r="L631">
        <v>1</v>
      </c>
      <c r="M631">
        <v>32</v>
      </c>
      <c r="N631">
        <v>1</v>
      </c>
      <c r="O631">
        <v>0</v>
      </c>
      <c r="P631">
        <v>0</v>
      </c>
      <c r="Q631" t="s">
        <v>68</v>
      </c>
    </row>
    <row r="632" spans="1:17">
      <c r="A632" t="s">
        <v>17</v>
      </c>
      <c r="B632" t="s">
        <v>42</v>
      </c>
      <c r="C632">
        <v>2025</v>
      </c>
      <c r="D632">
        <v>29</v>
      </c>
      <c r="E632" t="s">
        <v>19</v>
      </c>
      <c r="F632" t="s">
        <v>67</v>
      </c>
      <c r="G632" t="s">
        <v>21</v>
      </c>
      <c r="H632" t="s">
        <v>39</v>
      </c>
      <c r="I632">
        <v>1</v>
      </c>
      <c r="J632">
        <v>1</v>
      </c>
      <c r="K632" t="s">
        <v>42</v>
      </c>
      <c r="L632">
        <v>0</v>
      </c>
      <c r="M632">
        <v>32</v>
      </c>
      <c r="N632">
        <v>0</v>
      </c>
      <c r="O632">
        <v>1</v>
      </c>
      <c r="P632">
        <v>0</v>
      </c>
      <c r="Q632" t="s">
        <v>68</v>
      </c>
    </row>
    <row r="633" spans="1:17">
      <c r="A633" t="s">
        <v>17</v>
      </c>
      <c r="B633" t="s">
        <v>42</v>
      </c>
      <c r="C633">
        <v>2025</v>
      </c>
      <c r="D633">
        <v>29</v>
      </c>
      <c r="E633" t="s">
        <v>19</v>
      </c>
      <c r="F633" t="s">
        <v>67</v>
      </c>
      <c r="G633" t="s">
        <v>32</v>
      </c>
      <c r="H633" t="s">
        <v>59</v>
      </c>
      <c r="I633">
        <v>1</v>
      </c>
      <c r="J633">
        <v>1</v>
      </c>
      <c r="K633" t="s">
        <v>42</v>
      </c>
      <c r="L633">
        <v>0</v>
      </c>
      <c r="M633">
        <v>32</v>
      </c>
      <c r="N633">
        <v>0</v>
      </c>
      <c r="O633">
        <v>1</v>
      </c>
      <c r="P633">
        <v>0</v>
      </c>
      <c r="Q633" t="s">
        <v>68</v>
      </c>
    </row>
    <row r="634" spans="1:17">
      <c r="A634" t="s">
        <v>17</v>
      </c>
      <c r="B634" t="s">
        <v>42</v>
      </c>
      <c r="C634">
        <v>2025</v>
      </c>
      <c r="D634">
        <v>29</v>
      </c>
      <c r="E634" t="s">
        <v>19</v>
      </c>
      <c r="F634" t="s">
        <v>67</v>
      </c>
      <c r="G634" t="s">
        <v>32</v>
      </c>
      <c r="H634" t="s">
        <v>47</v>
      </c>
      <c r="I634">
        <v>1</v>
      </c>
      <c r="J634">
        <v>1</v>
      </c>
      <c r="K634" t="s">
        <v>42</v>
      </c>
      <c r="L634">
        <v>0</v>
      </c>
      <c r="M634">
        <v>32</v>
      </c>
      <c r="N634">
        <v>0</v>
      </c>
      <c r="O634">
        <v>1</v>
      </c>
      <c r="P634">
        <v>0</v>
      </c>
      <c r="Q634" t="s">
        <v>68</v>
      </c>
    </row>
    <row r="635" spans="1:17">
      <c r="A635" t="s">
        <v>17</v>
      </c>
      <c r="B635" t="s">
        <v>42</v>
      </c>
      <c r="C635">
        <v>2025</v>
      </c>
      <c r="D635">
        <v>29</v>
      </c>
      <c r="E635" t="s">
        <v>19</v>
      </c>
      <c r="F635" t="s">
        <v>67</v>
      </c>
      <c r="G635" t="s">
        <v>32</v>
      </c>
      <c r="H635" t="s">
        <v>33</v>
      </c>
      <c r="I635">
        <v>1</v>
      </c>
      <c r="J635">
        <v>1</v>
      </c>
      <c r="K635" t="s">
        <v>30</v>
      </c>
      <c r="L635">
        <v>1</v>
      </c>
      <c r="M635">
        <v>32</v>
      </c>
      <c r="N635">
        <v>1</v>
      </c>
      <c r="O635">
        <v>0</v>
      </c>
      <c r="P635">
        <v>0</v>
      </c>
      <c r="Q635" t="s">
        <v>68</v>
      </c>
    </row>
    <row r="636" spans="1:17">
      <c r="A636" t="s">
        <v>17</v>
      </c>
      <c r="B636" t="s">
        <v>42</v>
      </c>
      <c r="C636">
        <v>2025</v>
      </c>
      <c r="D636">
        <v>29</v>
      </c>
      <c r="E636" t="s">
        <v>19</v>
      </c>
      <c r="F636" t="s">
        <v>67</v>
      </c>
      <c r="G636" t="s">
        <v>32</v>
      </c>
      <c r="H636" t="s">
        <v>60</v>
      </c>
      <c r="I636">
        <v>1</v>
      </c>
      <c r="J636">
        <v>1</v>
      </c>
      <c r="K636" t="s">
        <v>42</v>
      </c>
      <c r="L636">
        <v>0</v>
      </c>
      <c r="M636">
        <v>32</v>
      </c>
      <c r="N636">
        <v>0</v>
      </c>
      <c r="O636">
        <v>1</v>
      </c>
      <c r="P636">
        <v>0</v>
      </c>
      <c r="Q636" t="s">
        <v>68</v>
      </c>
    </row>
    <row r="637" spans="1:17">
      <c r="A637" t="s">
        <v>17</v>
      </c>
      <c r="B637" t="s">
        <v>42</v>
      </c>
      <c r="C637">
        <v>2025</v>
      </c>
      <c r="D637">
        <v>29</v>
      </c>
      <c r="E637" t="s">
        <v>19</v>
      </c>
      <c r="F637" t="s">
        <v>67</v>
      </c>
      <c r="G637" t="s">
        <v>25</v>
      </c>
      <c r="H637" t="s">
        <v>45</v>
      </c>
      <c r="I637">
        <v>1</v>
      </c>
      <c r="J637">
        <v>1</v>
      </c>
      <c r="K637" t="s">
        <v>42</v>
      </c>
      <c r="L637">
        <v>0</v>
      </c>
      <c r="M637">
        <v>32</v>
      </c>
      <c r="N637">
        <v>0</v>
      </c>
      <c r="O637">
        <v>1</v>
      </c>
      <c r="P637">
        <v>0</v>
      </c>
      <c r="Q637" t="s">
        <v>68</v>
      </c>
    </row>
    <row r="638" spans="1:17">
      <c r="A638" t="s">
        <v>17</v>
      </c>
      <c r="B638" t="s">
        <v>42</v>
      </c>
      <c r="C638">
        <v>2025</v>
      </c>
      <c r="D638">
        <v>29</v>
      </c>
      <c r="E638" t="s">
        <v>19</v>
      </c>
      <c r="F638" t="s">
        <v>67</v>
      </c>
      <c r="G638" t="s">
        <v>25</v>
      </c>
      <c r="H638" t="s">
        <v>34</v>
      </c>
      <c r="I638">
        <v>1</v>
      </c>
      <c r="J638">
        <v>1</v>
      </c>
      <c r="K638" t="s">
        <v>30</v>
      </c>
      <c r="L638">
        <v>1</v>
      </c>
      <c r="M638">
        <v>32</v>
      </c>
      <c r="N638">
        <v>1</v>
      </c>
      <c r="O638">
        <v>0</v>
      </c>
      <c r="P638">
        <v>0</v>
      </c>
      <c r="Q638" t="s">
        <v>68</v>
      </c>
    </row>
    <row r="639" spans="1:17">
      <c r="A639" t="s">
        <v>17</v>
      </c>
      <c r="B639" t="s">
        <v>42</v>
      </c>
      <c r="C639">
        <v>2025</v>
      </c>
      <c r="D639">
        <v>29</v>
      </c>
      <c r="E639" t="s">
        <v>19</v>
      </c>
      <c r="F639" t="s">
        <v>67</v>
      </c>
      <c r="G639" t="s">
        <v>25</v>
      </c>
      <c r="H639" t="s">
        <v>26</v>
      </c>
      <c r="I639">
        <v>0</v>
      </c>
      <c r="J639">
        <v>0</v>
      </c>
      <c r="K639" t="s">
        <v>42</v>
      </c>
      <c r="L639">
        <v>0</v>
      </c>
      <c r="M639">
        <v>32</v>
      </c>
      <c r="N639">
        <v>0</v>
      </c>
      <c r="O639">
        <v>0</v>
      </c>
      <c r="P639">
        <v>0</v>
      </c>
      <c r="Q639" t="s">
        <v>68</v>
      </c>
    </row>
    <row r="640" spans="1:17">
      <c r="A640" t="s">
        <v>17</v>
      </c>
      <c r="B640" t="s">
        <v>42</v>
      </c>
      <c r="C640">
        <v>2025</v>
      </c>
      <c r="D640">
        <v>29</v>
      </c>
      <c r="E640" t="s">
        <v>19</v>
      </c>
      <c r="F640" t="s">
        <v>55</v>
      </c>
      <c r="H640" t="s">
        <v>58</v>
      </c>
      <c r="I640">
        <v>1</v>
      </c>
      <c r="J640">
        <v>1</v>
      </c>
      <c r="K640" t="s">
        <v>42</v>
      </c>
      <c r="L640">
        <v>0</v>
      </c>
      <c r="M640">
        <v>32</v>
      </c>
      <c r="N640">
        <v>0</v>
      </c>
      <c r="O640">
        <v>1</v>
      </c>
      <c r="P640">
        <v>0</v>
      </c>
      <c r="Q640" t="s">
        <v>68</v>
      </c>
    </row>
    <row r="641" spans="1:17">
      <c r="A641" t="s">
        <v>17</v>
      </c>
      <c r="B641" t="s">
        <v>42</v>
      </c>
      <c r="C641">
        <v>2025</v>
      </c>
      <c r="D641">
        <v>29</v>
      </c>
      <c r="E641" t="s">
        <v>19</v>
      </c>
      <c r="F641" t="s">
        <v>55</v>
      </c>
      <c r="G641" t="s">
        <v>28</v>
      </c>
      <c r="H641" t="s">
        <v>29</v>
      </c>
      <c r="I641">
        <v>1</v>
      </c>
      <c r="J641">
        <v>1</v>
      </c>
      <c r="K641" t="s">
        <v>42</v>
      </c>
      <c r="L641">
        <v>0</v>
      </c>
      <c r="M641">
        <v>32</v>
      </c>
      <c r="N641">
        <v>0</v>
      </c>
      <c r="O641">
        <v>1</v>
      </c>
      <c r="P641">
        <v>0</v>
      </c>
      <c r="Q641" t="s">
        <v>68</v>
      </c>
    </row>
    <row r="642" spans="1:17">
      <c r="A642" t="s">
        <v>17</v>
      </c>
      <c r="B642" t="s">
        <v>42</v>
      </c>
      <c r="C642">
        <v>2025</v>
      </c>
      <c r="D642">
        <v>29</v>
      </c>
      <c r="E642" t="s">
        <v>19</v>
      </c>
      <c r="F642" t="s">
        <v>55</v>
      </c>
      <c r="G642" t="s">
        <v>28</v>
      </c>
      <c r="H642" t="s">
        <v>56</v>
      </c>
      <c r="I642">
        <v>1</v>
      </c>
      <c r="J642">
        <v>1</v>
      </c>
      <c r="K642" t="s">
        <v>42</v>
      </c>
      <c r="L642">
        <v>0</v>
      </c>
      <c r="M642">
        <v>32</v>
      </c>
      <c r="N642">
        <v>0</v>
      </c>
      <c r="O642">
        <v>1</v>
      </c>
      <c r="P642">
        <v>0</v>
      </c>
      <c r="Q642" t="s">
        <v>68</v>
      </c>
    </row>
    <row r="643" spans="1:17">
      <c r="A643" t="s">
        <v>17</v>
      </c>
      <c r="B643" t="s">
        <v>42</v>
      </c>
      <c r="C643">
        <v>2025</v>
      </c>
      <c r="D643">
        <v>29</v>
      </c>
      <c r="E643" t="s">
        <v>19</v>
      </c>
      <c r="F643" t="s">
        <v>55</v>
      </c>
      <c r="G643" t="s">
        <v>28</v>
      </c>
      <c r="H643" t="s">
        <v>50</v>
      </c>
      <c r="I643">
        <v>1</v>
      </c>
      <c r="J643">
        <v>1</v>
      </c>
      <c r="K643" t="s">
        <v>42</v>
      </c>
      <c r="L643">
        <v>0</v>
      </c>
      <c r="M643">
        <v>32</v>
      </c>
      <c r="N643">
        <v>0</v>
      </c>
      <c r="O643">
        <v>1</v>
      </c>
      <c r="P643">
        <v>0</v>
      </c>
      <c r="Q643" t="s">
        <v>68</v>
      </c>
    </row>
    <row r="644" spans="1:17">
      <c r="A644" t="s">
        <v>17</v>
      </c>
      <c r="B644" t="s">
        <v>42</v>
      </c>
      <c r="C644">
        <v>2025</v>
      </c>
      <c r="D644">
        <v>29</v>
      </c>
      <c r="E644" t="s">
        <v>19</v>
      </c>
      <c r="F644" t="s">
        <v>55</v>
      </c>
      <c r="G644" t="s">
        <v>28</v>
      </c>
      <c r="H644" t="s">
        <v>38</v>
      </c>
      <c r="I644">
        <v>1</v>
      </c>
      <c r="J644">
        <v>1</v>
      </c>
      <c r="K644" t="s">
        <v>42</v>
      </c>
      <c r="L644">
        <v>0</v>
      </c>
      <c r="M644">
        <v>32</v>
      </c>
      <c r="N644">
        <v>0</v>
      </c>
      <c r="O644">
        <v>1</v>
      </c>
      <c r="P644">
        <v>0</v>
      </c>
      <c r="Q644" t="s">
        <v>68</v>
      </c>
    </row>
    <row r="645" spans="1:17">
      <c r="A645" t="s">
        <v>17</v>
      </c>
      <c r="B645" t="s">
        <v>42</v>
      </c>
      <c r="C645">
        <v>2025</v>
      </c>
      <c r="D645">
        <v>29</v>
      </c>
      <c r="E645" t="s">
        <v>19</v>
      </c>
      <c r="F645" t="s">
        <v>55</v>
      </c>
      <c r="G645" t="s">
        <v>21</v>
      </c>
      <c r="H645" t="s">
        <v>22</v>
      </c>
      <c r="I645">
        <v>1</v>
      </c>
      <c r="J645">
        <v>1</v>
      </c>
      <c r="K645" t="s">
        <v>42</v>
      </c>
      <c r="L645">
        <v>0</v>
      </c>
      <c r="M645">
        <v>32</v>
      </c>
      <c r="N645">
        <v>0</v>
      </c>
      <c r="O645">
        <v>1</v>
      </c>
      <c r="P645">
        <v>0</v>
      </c>
      <c r="Q645" t="s">
        <v>68</v>
      </c>
    </row>
    <row r="646" spans="1:17">
      <c r="A646" t="s">
        <v>17</v>
      </c>
      <c r="B646" t="s">
        <v>42</v>
      </c>
      <c r="C646">
        <v>2025</v>
      </c>
      <c r="D646">
        <v>29</v>
      </c>
      <c r="E646" t="s">
        <v>19</v>
      </c>
      <c r="F646" t="s">
        <v>55</v>
      </c>
      <c r="G646" t="s">
        <v>21</v>
      </c>
      <c r="H646" t="s">
        <v>36</v>
      </c>
      <c r="I646">
        <v>1</v>
      </c>
      <c r="J646">
        <v>1</v>
      </c>
      <c r="K646" t="s">
        <v>42</v>
      </c>
      <c r="L646">
        <v>0</v>
      </c>
      <c r="M646">
        <v>32</v>
      </c>
      <c r="N646">
        <v>0</v>
      </c>
      <c r="O646">
        <v>1</v>
      </c>
      <c r="P646">
        <v>0</v>
      </c>
      <c r="Q646" t="s">
        <v>68</v>
      </c>
    </row>
    <row r="647" spans="1:17">
      <c r="A647" t="s">
        <v>17</v>
      </c>
      <c r="B647" t="s">
        <v>42</v>
      </c>
      <c r="C647">
        <v>2025</v>
      </c>
      <c r="D647">
        <v>29</v>
      </c>
      <c r="E647" t="s">
        <v>19</v>
      </c>
      <c r="F647" t="s">
        <v>55</v>
      </c>
      <c r="G647" t="s">
        <v>21</v>
      </c>
      <c r="H647" t="s">
        <v>24</v>
      </c>
      <c r="I647">
        <v>1</v>
      </c>
      <c r="J647">
        <v>1</v>
      </c>
      <c r="K647" t="s">
        <v>42</v>
      </c>
      <c r="L647">
        <v>0</v>
      </c>
      <c r="M647">
        <v>32</v>
      </c>
      <c r="N647">
        <v>0</v>
      </c>
      <c r="O647">
        <v>1</v>
      </c>
      <c r="P647">
        <v>0</v>
      </c>
      <c r="Q647" t="s">
        <v>68</v>
      </c>
    </row>
    <row r="648" spans="1:17">
      <c r="A648" t="s">
        <v>17</v>
      </c>
      <c r="B648" t="s">
        <v>42</v>
      </c>
      <c r="C648">
        <v>2025</v>
      </c>
      <c r="D648">
        <v>29</v>
      </c>
      <c r="E648" t="s">
        <v>19</v>
      </c>
      <c r="F648" t="s">
        <v>55</v>
      </c>
      <c r="G648" t="s">
        <v>21</v>
      </c>
      <c r="H648" t="s">
        <v>31</v>
      </c>
      <c r="I648">
        <v>1</v>
      </c>
      <c r="J648">
        <v>1</v>
      </c>
      <c r="K648" t="s">
        <v>42</v>
      </c>
      <c r="L648">
        <v>0</v>
      </c>
      <c r="M648">
        <v>32</v>
      </c>
      <c r="N648">
        <v>0</v>
      </c>
      <c r="O648">
        <v>1</v>
      </c>
      <c r="P648">
        <v>0</v>
      </c>
      <c r="Q648" t="s">
        <v>68</v>
      </c>
    </row>
    <row r="649" spans="1:17">
      <c r="A649" t="s">
        <v>17</v>
      </c>
      <c r="B649" t="s">
        <v>42</v>
      </c>
      <c r="C649">
        <v>2025</v>
      </c>
      <c r="D649">
        <v>29</v>
      </c>
      <c r="E649" t="s">
        <v>19</v>
      </c>
      <c r="F649" t="s">
        <v>55</v>
      </c>
      <c r="G649" t="s">
        <v>21</v>
      </c>
      <c r="H649" t="s">
        <v>39</v>
      </c>
      <c r="I649">
        <v>1</v>
      </c>
      <c r="J649">
        <v>1</v>
      </c>
      <c r="K649" t="s">
        <v>42</v>
      </c>
      <c r="L649">
        <v>0</v>
      </c>
      <c r="M649">
        <v>32</v>
      </c>
      <c r="N649">
        <v>0</v>
      </c>
      <c r="O649">
        <v>1</v>
      </c>
      <c r="P649">
        <v>0</v>
      </c>
      <c r="Q649" t="s">
        <v>68</v>
      </c>
    </row>
    <row r="650" spans="1:17">
      <c r="A650" t="s">
        <v>17</v>
      </c>
      <c r="B650" t="s">
        <v>42</v>
      </c>
      <c r="C650">
        <v>2025</v>
      </c>
      <c r="D650">
        <v>29</v>
      </c>
      <c r="E650" t="s">
        <v>19</v>
      </c>
      <c r="F650" t="s">
        <v>55</v>
      </c>
      <c r="G650" t="s">
        <v>32</v>
      </c>
      <c r="H650" t="s">
        <v>59</v>
      </c>
      <c r="I650">
        <v>1</v>
      </c>
      <c r="J650">
        <v>1</v>
      </c>
      <c r="K650" t="s">
        <v>42</v>
      </c>
      <c r="L650">
        <v>0</v>
      </c>
      <c r="M650">
        <v>32</v>
      </c>
      <c r="N650">
        <v>0</v>
      </c>
      <c r="O650">
        <v>1</v>
      </c>
      <c r="P650">
        <v>0</v>
      </c>
      <c r="Q650" t="s">
        <v>68</v>
      </c>
    </row>
    <row r="651" spans="1:17">
      <c r="A651" t="s">
        <v>17</v>
      </c>
      <c r="B651" t="s">
        <v>42</v>
      </c>
      <c r="C651">
        <v>2025</v>
      </c>
      <c r="D651">
        <v>29</v>
      </c>
      <c r="E651" t="s">
        <v>19</v>
      </c>
      <c r="F651" t="s">
        <v>55</v>
      </c>
      <c r="G651" t="s">
        <v>32</v>
      </c>
      <c r="H651" t="s">
        <v>47</v>
      </c>
      <c r="I651">
        <v>1</v>
      </c>
      <c r="J651">
        <v>1</v>
      </c>
      <c r="K651" t="s">
        <v>42</v>
      </c>
      <c r="L651">
        <v>0</v>
      </c>
      <c r="M651">
        <v>32</v>
      </c>
      <c r="N651">
        <v>0</v>
      </c>
      <c r="O651">
        <v>1</v>
      </c>
      <c r="P651">
        <v>0</v>
      </c>
      <c r="Q651" t="s">
        <v>68</v>
      </c>
    </row>
    <row r="652" spans="1:17">
      <c r="A652" t="s">
        <v>17</v>
      </c>
      <c r="B652" t="s">
        <v>42</v>
      </c>
      <c r="C652">
        <v>2025</v>
      </c>
      <c r="D652">
        <v>29</v>
      </c>
      <c r="E652" t="s">
        <v>19</v>
      </c>
      <c r="F652" t="s">
        <v>55</v>
      </c>
      <c r="G652" t="s">
        <v>32</v>
      </c>
      <c r="H652" t="s">
        <v>33</v>
      </c>
      <c r="I652">
        <v>1</v>
      </c>
      <c r="J652">
        <v>1</v>
      </c>
      <c r="K652" t="s">
        <v>42</v>
      </c>
      <c r="L652">
        <v>0</v>
      </c>
      <c r="M652">
        <v>32</v>
      </c>
      <c r="N652">
        <v>0</v>
      </c>
      <c r="O652">
        <v>1</v>
      </c>
      <c r="P652">
        <v>0</v>
      </c>
      <c r="Q652" t="s">
        <v>68</v>
      </c>
    </row>
    <row r="653" spans="1:17">
      <c r="A653" t="s">
        <v>17</v>
      </c>
      <c r="B653" t="s">
        <v>42</v>
      </c>
      <c r="C653">
        <v>2025</v>
      </c>
      <c r="D653">
        <v>29</v>
      </c>
      <c r="E653" t="s">
        <v>19</v>
      </c>
      <c r="F653" t="s">
        <v>55</v>
      </c>
      <c r="G653" t="s">
        <v>32</v>
      </c>
      <c r="H653" t="s">
        <v>60</v>
      </c>
      <c r="I653">
        <v>1</v>
      </c>
      <c r="J653">
        <v>1</v>
      </c>
      <c r="K653" t="s">
        <v>42</v>
      </c>
      <c r="L653">
        <v>0</v>
      </c>
      <c r="M653">
        <v>32</v>
      </c>
      <c r="N653">
        <v>0</v>
      </c>
      <c r="O653">
        <v>1</v>
      </c>
      <c r="P653">
        <v>0</v>
      </c>
      <c r="Q653" t="s">
        <v>68</v>
      </c>
    </row>
    <row r="654" spans="1:17">
      <c r="A654" t="s">
        <v>17</v>
      </c>
      <c r="B654" t="s">
        <v>42</v>
      </c>
      <c r="C654">
        <v>2025</v>
      </c>
      <c r="D654">
        <v>29</v>
      </c>
      <c r="E654" t="s">
        <v>19</v>
      </c>
      <c r="F654" t="s">
        <v>55</v>
      </c>
      <c r="G654" t="s">
        <v>25</v>
      </c>
      <c r="H654" t="s">
        <v>45</v>
      </c>
      <c r="I654">
        <v>1</v>
      </c>
      <c r="J654">
        <v>1</v>
      </c>
      <c r="K654" t="s">
        <v>42</v>
      </c>
      <c r="L654">
        <v>0</v>
      </c>
      <c r="M654">
        <v>32</v>
      </c>
      <c r="N654">
        <v>0</v>
      </c>
      <c r="O654">
        <v>1</v>
      </c>
      <c r="P654">
        <v>0</v>
      </c>
      <c r="Q654" t="s">
        <v>68</v>
      </c>
    </row>
    <row r="655" spans="1:17">
      <c r="A655" t="s">
        <v>17</v>
      </c>
      <c r="B655" t="s">
        <v>42</v>
      </c>
      <c r="C655">
        <v>2025</v>
      </c>
      <c r="D655">
        <v>29</v>
      </c>
      <c r="E655" t="s">
        <v>19</v>
      </c>
      <c r="F655" t="s">
        <v>55</v>
      </c>
      <c r="G655" t="s">
        <v>25</v>
      </c>
      <c r="H655" t="s">
        <v>34</v>
      </c>
      <c r="I655">
        <v>1</v>
      </c>
      <c r="J655">
        <v>1</v>
      </c>
      <c r="K655" t="s">
        <v>42</v>
      </c>
      <c r="L655">
        <v>0</v>
      </c>
      <c r="M655">
        <v>32</v>
      </c>
      <c r="N655">
        <v>0</v>
      </c>
      <c r="O655">
        <v>1</v>
      </c>
      <c r="P655">
        <v>0</v>
      </c>
      <c r="Q655" t="s">
        <v>68</v>
      </c>
    </row>
    <row r="656" spans="1:17">
      <c r="A656" t="s">
        <v>17</v>
      </c>
      <c r="B656" t="s">
        <v>42</v>
      </c>
      <c r="C656">
        <v>2025</v>
      </c>
      <c r="D656">
        <v>29</v>
      </c>
      <c r="E656" t="s">
        <v>19</v>
      </c>
      <c r="F656" t="s">
        <v>55</v>
      </c>
      <c r="G656" t="s">
        <v>25</v>
      </c>
      <c r="H656" t="s">
        <v>26</v>
      </c>
      <c r="I656">
        <v>0</v>
      </c>
      <c r="J656">
        <v>0</v>
      </c>
      <c r="K656" t="s">
        <v>42</v>
      </c>
      <c r="L656">
        <v>0</v>
      </c>
      <c r="M656">
        <v>32</v>
      </c>
      <c r="N656">
        <v>0</v>
      </c>
      <c r="O656">
        <v>0</v>
      </c>
      <c r="P656">
        <v>0</v>
      </c>
      <c r="Q656" t="s">
        <v>68</v>
      </c>
    </row>
    <row r="674" spans="1:17">
      <c r="A674" t="e">
        <f>setup!#REF!</f>
        <v>#REF!</v>
      </c>
    </row>
    <row r="675" spans="1:17">
      <c r="A675">
        <f>setup!D32</f>
        <v>0</v>
      </c>
    </row>
    <row r="676" spans="1:17">
      <c r="A676" t="s">
        <v>0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t="s">
        <v>7</v>
      </c>
      <c r="I676" t="s">
        <v>8</v>
      </c>
      <c r="J676" t="s">
        <v>9</v>
      </c>
      <c r="K676" t="s">
        <v>10</v>
      </c>
      <c r="L676" t="s">
        <v>11</v>
      </c>
      <c r="M676" t="s">
        <v>12</v>
      </c>
      <c r="N676" t="s">
        <v>13</v>
      </c>
      <c r="O676" t="s">
        <v>14</v>
      </c>
      <c r="P676" t="s">
        <v>15</v>
      </c>
      <c r="Q676" t="s">
        <v>16</v>
      </c>
    </row>
    <row r="677" spans="1:17">
      <c r="A677" t="s">
        <v>17</v>
      </c>
      <c r="B677" t="s">
        <v>42</v>
      </c>
      <c r="C677">
        <v>2025</v>
      </c>
      <c r="D677">
        <v>29</v>
      </c>
      <c r="E677" t="s">
        <v>19</v>
      </c>
      <c r="F677" t="s">
        <v>64</v>
      </c>
      <c r="H677" t="s">
        <v>58</v>
      </c>
      <c r="I677">
        <v>1</v>
      </c>
      <c r="J677">
        <v>1</v>
      </c>
      <c r="K677" t="s">
        <v>42</v>
      </c>
      <c r="L677">
        <v>0</v>
      </c>
      <c r="M677">
        <v>32</v>
      </c>
      <c r="N677">
        <v>0</v>
      </c>
      <c r="O677">
        <v>1</v>
      </c>
      <c r="P677">
        <v>0</v>
      </c>
      <c r="Q677" t="s">
        <v>68</v>
      </c>
    </row>
    <row r="678" spans="1:17">
      <c r="A678" t="s">
        <v>17</v>
      </c>
      <c r="B678" t="s">
        <v>42</v>
      </c>
      <c r="C678">
        <v>2025</v>
      </c>
      <c r="D678">
        <v>29</v>
      </c>
      <c r="E678" t="s">
        <v>19</v>
      </c>
      <c r="F678" t="s">
        <v>64</v>
      </c>
      <c r="G678" t="s">
        <v>28</v>
      </c>
      <c r="H678" t="s">
        <v>29</v>
      </c>
      <c r="I678">
        <v>1</v>
      </c>
      <c r="J678">
        <v>1</v>
      </c>
      <c r="K678" t="s">
        <v>30</v>
      </c>
      <c r="L678">
        <v>1</v>
      </c>
      <c r="M678">
        <v>32</v>
      </c>
      <c r="N678">
        <v>1</v>
      </c>
      <c r="O678">
        <v>0</v>
      </c>
      <c r="P678">
        <v>0</v>
      </c>
      <c r="Q678" t="s">
        <v>68</v>
      </c>
    </row>
    <row r="679" spans="1:17">
      <c r="A679" t="s">
        <v>17</v>
      </c>
      <c r="B679" t="s">
        <v>42</v>
      </c>
      <c r="C679">
        <v>2025</v>
      </c>
      <c r="D679">
        <v>29</v>
      </c>
      <c r="E679" t="s">
        <v>19</v>
      </c>
      <c r="F679" t="s">
        <v>64</v>
      </c>
      <c r="G679" t="s">
        <v>28</v>
      </c>
      <c r="H679" t="s">
        <v>56</v>
      </c>
      <c r="I679">
        <v>1</v>
      </c>
      <c r="J679">
        <v>1</v>
      </c>
      <c r="K679" t="s">
        <v>42</v>
      </c>
      <c r="L679">
        <v>0</v>
      </c>
      <c r="M679">
        <v>32</v>
      </c>
      <c r="N679">
        <v>0</v>
      </c>
      <c r="O679">
        <v>1</v>
      </c>
      <c r="P679">
        <v>0</v>
      </c>
      <c r="Q679" t="s">
        <v>68</v>
      </c>
    </row>
    <row r="680" spans="1:17">
      <c r="A680" t="s">
        <v>17</v>
      </c>
      <c r="B680" t="s">
        <v>42</v>
      </c>
      <c r="C680">
        <v>2025</v>
      </c>
      <c r="D680">
        <v>29</v>
      </c>
      <c r="E680" t="s">
        <v>19</v>
      </c>
      <c r="F680" t="s">
        <v>64</v>
      </c>
      <c r="G680" t="s">
        <v>28</v>
      </c>
      <c r="H680" t="s">
        <v>50</v>
      </c>
      <c r="I680">
        <v>1</v>
      </c>
      <c r="J680">
        <v>1</v>
      </c>
      <c r="K680" t="s">
        <v>42</v>
      </c>
      <c r="L680">
        <v>0</v>
      </c>
      <c r="M680">
        <v>32</v>
      </c>
      <c r="N680">
        <v>0</v>
      </c>
      <c r="O680">
        <v>1</v>
      </c>
      <c r="P680">
        <v>0</v>
      </c>
      <c r="Q680" t="s">
        <v>68</v>
      </c>
    </row>
    <row r="681" spans="1:17">
      <c r="A681" t="s">
        <v>17</v>
      </c>
      <c r="B681" t="s">
        <v>42</v>
      </c>
      <c r="C681">
        <v>2025</v>
      </c>
      <c r="D681">
        <v>29</v>
      </c>
      <c r="E681" t="s">
        <v>19</v>
      </c>
      <c r="F681" t="s">
        <v>64</v>
      </c>
      <c r="G681" t="s">
        <v>28</v>
      </c>
      <c r="H681" t="s">
        <v>38</v>
      </c>
      <c r="I681">
        <v>1</v>
      </c>
      <c r="J681">
        <v>1</v>
      </c>
      <c r="K681" t="s">
        <v>42</v>
      </c>
      <c r="L681">
        <v>0</v>
      </c>
      <c r="M681">
        <v>32</v>
      </c>
      <c r="N681">
        <v>0</v>
      </c>
      <c r="O681">
        <v>1</v>
      </c>
      <c r="P681">
        <v>0</v>
      </c>
      <c r="Q681" t="s">
        <v>68</v>
      </c>
    </row>
    <row r="682" spans="1:17">
      <c r="A682" t="s">
        <v>17</v>
      </c>
      <c r="B682" t="s">
        <v>42</v>
      </c>
      <c r="C682">
        <v>2025</v>
      </c>
      <c r="D682">
        <v>29</v>
      </c>
      <c r="E682" t="s">
        <v>19</v>
      </c>
      <c r="F682" t="s">
        <v>64</v>
      </c>
      <c r="G682" t="s">
        <v>21</v>
      </c>
      <c r="H682" t="s">
        <v>22</v>
      </c>
      <c r="I682">
        <v>1</v>
      </c>
      <c r="J682">
        <v>1</v>
      </c>
      <c r="K682" t="s">
        <v>42</v>
      </c>
      <c r="L682">
        <v>0</v>
      </c>
      <c r="M682">
        <v>32</v>
      </c>
      <c r="N682">
        <v>0</v>
      </c>
      <c r="O682">
        <v>1</v>
      </c>
      <c r="P682">
        <v>0</v>
      </c>
      <c r="Q682" t="s">
        <v>68</v>
      </c>
    </row>
    <row r="683" spans="1:17">
      <c r="A683" t="s">
        <v>17</v>
      </c>
      <c r="B683" t="s">
        <v>42</v>
      </c>
      <c r="C683">
        <v>2025</v>
      </c>
      <c r="D683">
        <v>29</v>
      </c>
      <c r="E683" t="s">
        <v>19</v>
      </c>
      <c r="F683" t="s">
        <v>64</v>
      </c>
      <c r="G683" t="s">
        <v>21</v>
      </c>
      <c r="H683" t="s">
        <v>36</v>
      </c>
      <c r="I683">
        <v>1</v>
      </c>
      <c r="J683">
        <v>1</v>
      </c>
      <c r="K683" t="s">
        <v>42</v>
      </c>
      <c r="L683">
        <v>0</v>
      </c>
      <c r="M683">
        <v>32</v>
      </c>
      <c r="N683">
        <v>0</v>
      </c>
      <c r="O683">
        <v>1</v>
      </c>
      <c r="P683">
        <v>0</v>
      </c>
      <c r="Q683" t="s">
        <v>68</v>
      </c>
    </row>
    <row r="684" spans="1:17">
      <c r="A684" t="s">
        <v>17</v>
      </c>
      <c r="B684" t="s">
        <v>42</v>
      </c>
      <c r="C684">
        <v>2025</v>
      </c>
      <c r="D684">
        <v>29</v>
      </c>
      <c r="E684" t="s">
        <v>19</v>
      </c>
      <c r="F684" t="s">
        <v>64</v>
      </c>
      <c r="G684" t="s">
        <v>21</v>
      </c>
      <c r="H684" t="s">
        <v>24</v>
      </c>
      <c r="I684">
        <v>1</v>
      </c>
      <c r="J684">
        <v>1</v>
      </c>
      <c r="K684" t="s">
        <v>42</v>
      </c>
      <c r="L684">
        <v>0</v>
      </c>
      <c r="M684">
        <v>32</v>
      </c>
      <c r="N684">
        <v>0</v>
      </c>
      <c r="O684">
        <v>1</v>
      </c>
      <c r="P684">
        <v>0</v>
      </c>
      <c r="Q684" t="s">
        <v>68</v>
      </c>
    </row>
    <row r="685" spans="1:17">
      <c r="A685" t="s">
        <v>17</v>
      </c>
      <c r="B685" t="s">
        <v>42</v>
      </c>
      <c r="C685">
        <v>2025</v>
      </c>
      <c r="D685">
        <v>29</v>
      </c>
      <c r="E685" t="s">
        <v>19</v>
      </c>
      <c r="F685" t="s">
        <v>64</v>
      </c>
      <c r="G685" t="s">
        <v>21</v>
      </c>
      <c r="H685" t="s">
        <v>31</v>
      </c>
      <c r="I685">
        <v>1</v>
      </c>
      <c r="J685">
        <v>1</v>
      </c>
      <c r="K685" t="s">
        <v>30</v>
      </c>
      <c r="L685">
        <v>1</v>
      </c>
      <c r="M685">
        <v>32</v>
      </c>
      <c r="N685">
        <v>1</v>
      </c>
      <c r="O685">
        <v>0</v>
      </c>
      <c r="P685">
        <v>0</v>
      </c>
      <c r="Q685" t="s">
        <v>68</v>
      </c>
    </row>
    <row r="686" spans="1:17">
      <c r="A686" t="s">
        <v>17</v>
      </c>
      <c r="B686" t="s">
        <v>42</v>
      </c>
      <c r="C686">
        <v>2025</v>
      </c>
      <c r="D686">
        <v>29</v>
      </c>
      <c r="E686" t="s">
        <v>19</v>
      </c>
      <c r="F686" t="s">
        <v>64</v>
      </c>
      <c r="G686" t="s">
        <v>21</v>
      </c>
      <c r="H686" t="s">
        <v>39</v>
      </c>
      <c r="I686">
        <v>1</v>
      </c>
      <c r="J686">
        <v>1</v>
      </c>
      <c r="K686" t="s">
        <v>42</v>
      </c>
      <c r="L686">
        <v>0</v>
      </c>
      <c r="M686">
        <v>32</v>
      </c>
      <c r="N686">
        <v>0</v>
      </c>
      <c r="O686">
        <v>1</v>
      </c>
      <c r="P686">
        <v>0</v>
      </c>
      <c r="Q686" t="s">
        <v>68</v>
      </c>
    </row>
    <row r="687" spans="1:17">
      <c r="A687" t="s">
        <v>17</v>
      </c>
      <c r="B687" t="s">
        <v>42</v>
      </c>
      <c r="C687">
        <v>2025</v>
      </c>
      <c r="D687">
        <v>29</v>
      </c>
      <c r="E687" t="s">
        <v>19</v>
      </c>
      <c r="F687" t="s">
        <v>64</v>
      </c>
      <c r="G687" t="s">
        <v>32</v>
      </c>
      <c r="H687" t="s">
        <v>59</v>
      </c>
      <c r="I687">
        <v>1</v>
      </c>
      <c r="J687">
        <v>1</v>
      </c>
      <c r="K687" t="s">
        <v>42</v>
      </c>
      <c r="L687">
        <v>0</v>
      </c>
      <c r="M687">
        <v>32</v>
      </c>
      <c r="N687">
        <v>0</v>
      </c>
      <c r="O687">
        <v>1</v>
      </c>
      <c r="P687">
        <v>0</v>
      </c>
      <c r="Q687" t="s">
        <v>68</v>
      </c>
    </row>
    <row r="688" spans="1:17">
      <c r="A688" t="s">
        <v>17</v>
      </c>
      <c r="B688" t="s">
        <v>42</v>
      </c>
      <c r="C688">
        <v>2025</v>
      </c>
      <c r="D688">
        <v>29</v>
      </c>
      <c r="E688" t="s">
        <v>19</v>
      </c>
      <c r="F688" t="s">
        <v>64</v>
      </c>
      <c r="G688" t="s">
        <v>32</v>
      </c>
      <c r="H688" t="s">
        <v>47</v>
      </c>
      <c r="I688">
        <v>1</v>
      </c>
      <c r="J688">
        <v>1</v>
      </c>
      <c r="K688" t="s">
        <v>42</v>
      </c>
      <c r="L688">
        <v>0</v>
      </c>
      <c r="M688">
        <v>32</v>
      </c>
      <c r="N688">
        <v>0</v>
      </c>
      <c r="O688">
        <v>1</v>
      </c>
      <c r="P688">
        <v>0</v>
      </c>
      <c r="Q688" t="s">
        <v>68</v>
      </c>
    </row>
    <row r="689" spans="1:17">
      <c r="A689" t="s">
        <v>17</v>
      </c>
      <c r="B689" t="s">
        <v>42</v>
      </c>
      <c r="C689">
        <v>2025</v>
      </c>
      <c r="D689">
        <v>29</v>
      </c>
      <c r="E689" t="s">
        <v>19</v>
      </c>
      <c r="F689" t="s">
        <v>64</v>
      </c>
      <c r="G689" t="s">
        <v>32</v>
      </c>
      <c r="H689" t="s">
        <v>33</v>
      </c>
      <c r="I689">
        <v>1</v>
      </c>
      <c r="J689">
        <v>1</v>
      </c>
      <c r="K689" t="s">
        <v>30</v>
      </c>
      <c r="L689">
        <v>1</v>
      </c>
      <c r="M689">
        <v>32</v>
      </c>
      <c r="N689">
        <v>1</v>
      </c>
      <c r="O689">
        <v>0</v>
      </c>
      <c r="P689">
        <v>0</v>
      </c>
      <c r="Q689" t="s">
        <v>68</v>
      </c>
    </row>
    <row r="690" spans="1:17">
      <c r="A690" t="s">
        <v>17</v>
      </c>
      <c r="B690" t="s">
        <v>42</v>
      </c>
      <c r="C690">
        <v>2025</v>
      </c>
      <c r="D690">
        <v>29</v>
      </c>
      <c r="E690" t="s">
        <v>19</v>
      </c>
      <c r="F690" t="s">
        <v>64</v>
      </c>
      <c r="G690" t="s">
        <v>32</v>
      </c>
      <c r="H690" t="s">
        <v>60</v>
      </c>
      <c r="I690">
        <v>1</v>
      </c>
      <c r="J690">
        <v>1</v>
      </c>
      <c r="K690" t="s">
        <v>42</v>
      </c>
      <c r="L690">
        <v>0</v>
      </c>
      <c r="M690">
        <v>32</v>
      </c>
      <c r="N690">
        <v>0</v>
      </c>
      <c r="O690">
        <v>1</v>
      </c>
      <c r="P690">
        <v>0</v>
      </c>
      <c r="Q690" t="s">
        <v>68</v>
      </c>
    </row>
    <row r="691" spans="1:17">
      <c r="A691" t="s">
        <v>17</v>
      </c>
      <c r="B691" t="s">
        <v>42</v>
      </c>
      <c r="C691">
        <v>2025</v>
      </c>
      <c r="D691">
        <v>29</v>
      </c>
      <c r="E691" t="s">
        <v>19</v>
      </c>
      <c r="F691" t="s">
        <v>64</v>
      </c>
      <c r="G691" t="s">
        <v>25</v>
      </c>
      <c r="H691" t="s">
        <v>45</v>
      </c>
      <c r="I691">
        <v>1</v>
      </c>
      <c r="J691">
        <v>1</v>
      </c>
      <c r="K691" t="s">
        <v>42</v>
      </c>
      <c r="L691">
        <v>0</v>
      </c>
      <c r="M691">
        <v>32</v>
      </c>
      <c r="N691">
        <v>0</v>
      </c>
      <c r="O691">
        <v>1</v>
      </c>
      <c r="P691">
        <v>0</v>
      </c>
      <c r="Q691" t="s">
        <v>68</v>
      </c>
    </row>
    <row r="692" spans="1:17">
      <c r="A692" t="s">
        <v>17</v>
      </c>
      <c r="B692" t="s">
        <v>42</v>
      </c>
      <c r="C692">
        <v>2025</v>
      </c>
      <c r="D692">
        <v>29</v>
      </c>
      <c r="E692" t="s">
        <v>19</v>
      </c>
      <c r="F692" t="s">
        <v>64</v>
      </c>
      <c r="G692" t="s">
        <v>25</v>
      </c>
      <c r="H692" t="s">
        <v>34</v>
      </c>
      <c r="I692">
        <v>1</v>
      </c>
      <c r="J692">
        <v>1</v>
      </c>
      <c r="K692" t="s">
        <v>30</v>
      </c>
      <c r="L692">
        <v>1</v>
      </c>
      <c r="M692">
        <v>32</v>
      </c>
      <c r="N692">
        <v>1</v>
      </c>
      <c r="O692">
        <v>0</v>
      </c>
      <c r="P692">
        <v>0</v>
      </c>
      <c r="Q692" t="s">
        <v>68</v>
      </c>
    </row>
    <row r="693" spans="1:17">
      <c r="A693" t="s">
        <v>17</v>
      </c>
      <c r="B693" t="s">
        <v>42</v>
      </c>
      <c r="C693">
        <v>2025</v>
      </c>
      <c r="D693">
        <v>29</v>
      </c>
      <c r="E693" t="s">
        <v>19</v>
      </c>
      <c r="F693" t="s">
        <v>64</v>
      </c>
      <c r="G693" t="s">
        <v>25</v>
      </c>
      <c r="H693" t="s">
        <v>26</v>
      </c>
      <c r="I693">
        <v>0</v>
      </c>
      <c r="J693">
        <v>0</v>
      </c>
      <c r="K693" t="s">
        <v>42</v>
      </c>
      <c r="L693">
        <v>0</v>
      </c>
      <c r="M693">
        <v>32</v>
      </c>
      <c r="N693">
        <v>0</v>
      </c>
      <c r="O693">
        <v>0</v>
      </c>
      <c r="P693">
        <v>0</v>
      </c>
      <c r="Q693" t="s">
        <v>68</v>
      </c>
    </row>
    <row r="694" spans="1:17">
      <c r="A694" t="s">
        <v>17</v>
      </c>
      <c r="B694" t="s">
        <v>42</v>
      </c>
      <c r="C694">
        <v>2025</v>
      </c>
      <c r="D694">
        <v>29</v>
      </c>
      <c r="E694" t="s">
        <v>19</v>
      </c>
      <c r="F694" t="s">
        <v>65</v>
      </c>
      <c r="H694" t="s">
        <v>58</v>
      </c>
      <c r="I694">
        <v>1</v>
      </c>
      <c r="J694">
        <v>1</v>
      </c>
      <c r="K694" t="s">
        <v>42</v>
      </c>
      <c r="L694">
        <v>0</v>
      </c>
      <c r="M694">
        <v>32</v>
      </c>
      <c r="N694">
        <v>0</v>
      </c>
      <c r="O694">
        <v>1</v>
      </c>
      <c r="P694">
        <v>0</v>
      </c>
      <c r="Q694" t="s">
        <v>68</v>
      </c>
    </row>
    <row r="695" spans="1:17">
      <c r="A695" t="s">
        <v>17</v>
      </c>
      <c r="B695" t="s">
        <v>42</v>
      </c>
      <c r="C695">
        <v>2025</v>
      </c>
      <c r="D695">
        <v>29</v>
      </c>
      <c r="E695" t="s">
        <v>19</v>
      </c>
      <c r="F695" t="s">
        <v>65</v>
      </c>
      <c r="G695" t="s">
        <v>28</v>
      </c>
      <c r="H695" t="s">
        <v>29</v>
      </c>
      <c r="I695">
        <v>1</v>
      </c>
      <c r="J695">
        <v>1</v>
      </c>
      <c r="K695" t="s">
        <v>42</v>
      </c>
      <c r="L695">
        <v>0</v>
      </c>
      <c r="M695">
        <v>32</v>
      </c>
      <c r="N695">
        <v>0</v>
      </c>
      <c r="O695">
        <v>1</v>
      </c>
      <c r="P695">
        <v>0</v>
      </c>
      <c r="Q695" t="s">
        <v>68</v>
      </c>
    </row>
    <row r="696" spans="1:17">
      <c r="A696" t="s">
        <v>17</v>
      </c>
      <c r="B696" t="s">
        <v>42</v>
      </c>
      <c r="C696">
        <v>2025</v>
      </c>
      <c r="D696">
        <v>29</v>
      </c>
      <c r="E696" t="s">
        <v>19</v>
      </c>
      <c r="F696" t="s">
        <v>65</v>
      </c>
      <c r="G696" t="s">
        <v>28</v>
      </c>
      <c r="H696" t="s">
        <v>56</v>
      </c>
      <c r="I696">
        <v>1</v>
      </c>
      <c r="J696">
        <v>1</v>
      </c>
      <c r="K696" t="s">
        <v>42</v>
      </c>
      <c r="L696">
        <v>0</v>
      </c>
      <c r="M696">
        <v>32</v>
      </c>
      <c r="N696">
        <v>0</v>
      </c>
      <c r="O696">
        <v>1</v>
      </c>
      <c r="P696">
        <v>0</v>
      </c>
      <c r="Q696" t="s">
        <v>68</v>
      </c>
    </row>
    <row r="697" spans="1:17">
      <c r="A697" t="s">
        <v>17</v>
      </c>
      <c r="B697" t="s">
        <v>42</v>
      </c>
      <c r="C697">
        <v>2025</v>
      </c>
      <c r="D697">
        <v>29</v>
      </c>
      <c r="E697" t="s">
        <v>19</v>
      </c>
      <c r="F697" t="s">
        <v>65</v>
      </c>
      <c r="G697" t="s">
        <v>28</v>
      </c>
      <c r="H697" t="s">
        <v>50</v>
      </c>
      <c r="I697">
        <v>1</v>
      </c>
      <c r="J697">
        <v>1</v>
      </c>
      <c r="K697" t="s">
        <v>42</v>
      </c>
      <c r="L697">
        <v>0</v>
      </c>
      <c r="M697">
        <v>32</v>
      </c>
      <c r="N697">
        <v>0</v>
      </c>
      <c r="O697">
        <v>1</v>
      </c>
      <c r="P697">
        <v>0</v>
      </c>
      <c r="Q697" t="s">
        <v>68</v>
      </c>
    </row>
    <row r="698" spans="1:17">
      <c r="A698" t="s">
        <v>17</v>
      </c>
      <c r="B698" t="s">
        <v>42</v>
      </c>
      <c r="C698">
        <v>2025</v>
      </c>
      <c r="D698">
        <v>29</v>
      </c>
      <c r="E698" t="s">
        <v>19</v>
      </c>
      <c r="F698" t="s">
        <v>65</v>
      </c>
      <c r="G698" t="s">
        <v>28</v>
      </c>
      <c r="H698" t="s">
        <v>38</v>
      </c>
      <c r="I698">
        <v>1</v>
      </c>
      <c r="J698">
        <v>1</v>
      </c>
      <c r="K698" t="s">
        <v>42</v>
      </c>
      <c r="L698">
        <v>0</v>
      </c>
      <c r="M698">
        <v>32</v>
      </c>
      <c r="N698">
        <v>0</v>
      </c>
      <c r="O698">
        <v>1</v>
      </c>
      <c r="P698">
        <v>0</v>
      </c>
      <c r="Q698" t="s">
        <v>68</v>
      </c>
    </row>
    <row r="699" spans="1:17">
      <c r="A699" t="s">
        <v>17</v>
      </c>
      <c r="B699" t="s">
        <v>42</v>
      </c>
      <c r="C699">
        <v>2025</v>
      </c>
      <c r="D699">
        <v>29</v>
      </c>
      <c r="E699" t="s">
        <v>19</v>
      </c>
      <c r="F699" t="s">
        <v>65</v>
      </c>
      <c r="G699" t="s">
        <v>21</v>
      </c>
      <c r="H699" t="s">
        <v>22</v>
      </c>
      <c r="I699">
        <v>1</v>
      </c>
      <c r="J699">
        <v>1</v>
      </c>
      <c r="K699" t="s">
        <v>42</v>
      </c>
      <c r="L699">
        <v>0</v>
      </c>
      <c r="M699">
        <v>32</v>
      </c>
      <c r="N699">
        <v>0</v>
      </c>
      <c r="O699">
        <v>1</v>
      </c>
      <c r="P699">
        <v>0</v>
      </c>
      <c r="Q699" t="s">
        <v>68</v>
      </c>
    </row>
    <row r="700" spans="1:17">
      <c r="A700" t="s">
        <v>17</v>
      </c>
      <c r="B700" t="s">
        <v>42</v>
      </c>
      <c r="C700">
        <v>2025</v>
      </c>
      <c r="D700">
        <v>29</v>
      </c>
      <c r="E700" t="s">
        <v>19</v>
      </c>
      <c r="F700" t="s">
        <v>65</v>
      </c>
      <c r="G700" t="s">
        <v>21</v>
      </c>
      <c r="H700" t="s">
        <v>36</v>
      </c>
      <c r="I700">
        <v>1</v>
      </c>
      <c r="J700">
        <v>1</v>
      </c>
      <c r="K700" t="s">
        <v>42</v>
      </c>
      <c r="L700">
        <v>0</v>
      </c>
      <c r="M700">
        <v>32</v>
      </c>
      <c r="N700">
        <v>0</v>
      </c>
      <c r="O700">
        <v>1</v>
      </c>
      <c r="P700">
        <v>0</v>
      </c>
      <c r="Q700" t="s">
        <v>68</v>
      </c>
    </row>
    <row r="701" spans="1:17">
      <c r="A701" t="s">
        <v>17</v>
      </c>
      <c r="B701" t="s">
        <v>42</v>
      </c>
      <c r="C701">
        <v>2025</v>
      </c>
      <c r="D701">
        <v>29</v>
      </c>
      <c r="E701" t="s">
        <v>19</v>
      </c>
      <c r="F701" t="s">
        <v>65</v>
      </c>
      <c r="G701" t="s">
        <v>21</v>
      </c>
      <c r="H701" t="s">
        <v>24</v>
      </c>
      <c r="I701">
        <v>1</v>
      </c>
      <c r="J701">
        <v>1</v>
      </c>
      <c r="K701" t="s">
        <v>42</v>
      </c>
      <c r="L701">
        <v>0</v>
      </c>
      <c r="M701">
        <v>32</v>
      </c>
      <c r="N701">
        <v>0</v>
      </c>
      <c r="O701">
        <v>1</v>
      </c>
      <c r="P701">
        <v>0</v>
      </c>
      <c r="Q701" t="s">
        <v>68</v>
      </c>
    </row>
    <row r="702" spans="1:17">
      <c r="A702" t="s">
        <v>17</v>
      </c>
      <c r="B702" t="s">
        <v>42</v>
      </c>
      <c r="C702">
        <v>2025</v>
      </c>
      <c r="D702">
        <v>29</v>
      </c>
      <c r="E702" t="s">
        <v>19</v>
      </c>
      <c r="F702" t="s">
        <v>65</v>
      </c>
      <c r="G702" t="s">
        <v>21</v>
      </c>
      <c r="H702" t="s">
        <v>31</v>
      </c>
      <c r="I702">
        <v>1</v>
      </c>
      <c r="J702">
        <v>1</v>
      </c>
      <c r="K702" t="s">
        <v>42</v>
      </c>
      <c r="L702">
        <v>0</v>
      </c>
      <c r="M702">
        <v>32</v>
      </c>
      <c r="N702">
        <v>0</v>
      </c>
      <c r="O702">
        <v>1</v>
      </c>
      <c r="P702">
        <v>0</v>
      </c>
      <c r="Q702" t="s">
        <v>68</v>
      </c>
    </row>
    <row r="703" spans="1:17">
      <c r="A703" t="s">
        <v>17</v>
      </c>
      <c r="B703" t="s">
        <v>42</v>
      </c>
      <c r="C703">
        <v>2025</v>
      </c>
      <c r="D703">
        <v>29</v>
      </c>
      <c r="E703" t="s">
        <v>19</v>
      </c>
      <c r="F703" t="s">
        <v>65</v>
      </c>
      <c r="G703" t="s">
        <v>21</v>
      </c>
      <c r="H703" t="s">
        <v>39</v>
      </c>
      <c r="I703">
        <v>1</v>
      </c>
      <c r="J703">
        <v>1</v>
      </c>
      <c r="K703" t="s">
        <v>42</v>
      </c>
      <c r="L703">
        <v>0</v>
      </c>
      <c r="M703">
        <v>32</v>
      </c>
      <c r="N703">
        <v>0</v>
      </c>
      <c r="O703">
        <v>1</v>
      </c>
      <c r="P703">
        <v>0</v>
      </c>
      <c r="Q703" t="s">
        <v>68</v>
      </c>
    </row>
    <row r="704" spans="1:17">
      <c r="A704" t="s">
        <v>17</v>
      </c>
      <c r="B704" t="s">
        <v>42</v>
      </c>
      <c r="C704">
        <v>2025</v>
      </c>
      <c r="D704">
        <v>29</v>
      </c>
      <c r="E704" t="s">
        <v>19</v>
      </c>
      <c r="F704" t="s">
        <v>65</v>
      </c>
      <c r="G704" t="s">
        <v>32</v>
      </c>
      <c r="H704" t="s">
        <v>59</v>
      </c>
      <c r="I704">
        <v>1</v>
      </c>
      <c r="J704">
        <v>1</v>
      </c>
      <c r="K704" t="s">
        <v>42</v>
      </c>
      <c r="L704">
        <v>0</v>
      </c>
      <c r="M704">
        <v>32</v>
      </c>
      <c r="N704">
        <v>0</v>
      </c>
      <c r="O704">
        <v>1</v>
      </c>
      <c r="P704">
        <v>0</v>
      </c>
      <c r="Q704" t="s">
        <v>68</v>
      </c>
    </row>
    <row r="705" spans="1:17">
      <c r="A705" t="s">
        <v>17</v>
      </c>
      <c r="B705" t="s">
        <v>42</v>
      </c>
      <c r="C705">
        <v>2025</v>
      </c>
      <c r="D705">
        <v>29</v>
      </c>
      <c r="E705" t="s">
        <v>19</v>
      </c>
      <c r="F705" t="s">
        <v>65</v>
      </c>
      <c r="G705" t="s">
        <v>32</v>
      </c>
      <c r="H705" t="s">
        <v>47</v>
      </c>
      <c r="I705">
        <v>1</v>
      </c>
      <c r="J705">
        <v>1</v>
      </c>
      <c r="K705" t="s">
        <v>42</v>
      </c>
      <c r="L705">
        <v>0</v>
      </c>
      <c r="M705">
        <v>32</v>
      </c>
      <c r="N705">
        <v>0</v>
      </c>
      <c r="O705">
        <v>1</v>
      </c>
      <c r="P705">
        <v>0</v>
      </c>
      <c r="Q705" t="s">
        <v>68</v>
      </c>
    </row>
    <row r="706" spans="1:17">
      <c r="A706" t="s">
        <v>17</v>
      </c>
      <c r="B706" t="s">
        <v>42</v>
      </c>
      <c r="C706">
        <v>2025</v>
      </c>
      <c r="D706">
        <v>29</v>
      </c>
      <c r="E706" t="s">
        <v>19</v>
      </c>
      <c r="F706" t="s">
        <v>65</v>
      </c>
      <c r="G706" t="s">
        <v>32</v>
      </c>
      <c r="H706" t="s">
        <v>33</v>
      </c>
      <c r="I706">
        <v>1</v>
      </c>
      <c r="J706">
        <v>1</v>
      </c>
      <c r="K706" t="s">
        <v>42</v>
      </c>
      <c r="L706">
        <v>0</v>
      </c>
      <c r="M706">
        <v>32</v>
      </c>
      <c r="N706">
        <v>0</v>
      </c>
      <c r="O706">
        <v>1</v>
      </c>
      <c r="P706">
        <v>0</v>
      </c>
      <c r="Q706" t="s">
        <v>68</v>
      </c>
    </row>
    <row r="707" spans="1:17">
      <c r="A707" t="s">
        <v>17</v>
      </c>
      <c r="B707" t="s">
        <v>42</v>
      </c>
      <c r="C707">
        <v>2025</v>
      </c>
      <c r="D707">
        <v>29</v>
      </c>
      <c r="E707" t="s">
        <v>19</v>
      </c>
      <c r="F707" t="s">
        <v>65</v>
      </c>
      <c r="G707" t="s">
        <v>32</v>
      </c>
      <c r="H707" t="s">
        <v>60</v>
      </c>
      <c r="I707">
        <v>1</v>
      </c>
      <c r="J707">
        <v>1</v>
      </c>
      <c r="K707" t="s">
        <v>42</v>
      </c>
      <c r="L707">
        <v>0</v>
      </c>
      <c r="M707">
        <v>32</v>
      </c>
      <c r="N707">
        <v>0</v>
      </c>
      <c r="O707">
        <v>1</v>
      </c>
      <c r="P707">
        <v>0</v>
      </c>
      <c r="Q707" t="s">
        <v>68</v>
      </c>
    </row>
    <row r="708" spans="1:17">
      <c r="A708" t="s">
        <v>17</v>
      </c>
      <c r="B708" t="s">
        <v>42</v>
      </c>
      <c r="C708">
        <v>2025</v>
      </c>
      <c r="D708">
        <v>29</v>
      </c>
      <c r="E708" t="s">
        <v>19</v>
      </c>
      <c r="F708" t="s">
        <v>65</v>
      </c>
      <c r="G708" t="s">
        <v>25</v>
      </c>
      <c r="H708" t="s">
        <v>45</v>
      </c>
      <c r="I708">
        <v>1</v>
      </c>
      <c r="J708">
        <v>1</v>
      </c>
      <c r="K708" t="s">
        <v>42</v>
      </c>
      <c r="L708">
        <v>0</v>
      </c>
      <c r="M708">
        <v>32</v>
      </c>
      <c r="N708">
        <v>0</v>
      </c>
      <c r="O708">
        <v>1</v>
      </c>
      <c r="P708">
        <v>0</v>
      </c>
      <c r="Q708" t="s">
        <v>68</v>
      </c>
    </row>
    <row r="709" spans="1:17">
      <c r="A709" t="s">
        <v>17</v>
      </c>
      <c r="B709" t="s">
        <v>42</v>
      </c>
      <c r="C709">
        <v>2025</v>
      </c>
      <c r="D709">
        <v>29</v>
      </c>
      <c r="E709" t="s">
        <v>19</v>
      </c>
      <c r="F709" t="s">
        <v>65</v>
      </c>
      <c r="G709" t="s">
        <v>25</v>
      </c>
      <c r="H709" t="s">
        <v>34</v>
      </c>
      <c r="I709">
        <v>1</v>
      </c>
      <c r="J709">
        <v>1</v>
      </c>
      <c r="K709" t="s">
        <v>42</v>
      </c>
      <c r="L709">
        <v>0</v>
      </c>
      <c r="M709">
        <v>32</v>
      </c>
      <c r="N709">
        <v>0</v>
      </c>
      <c r="O709">
        <v>1</v>
      </c>
      <c r="P709">
        <v>0</v>
      </c>
      <c r="Q709" t="s">
        <v>68</v>
      </c>
    </row>
    <row r="710" spans="1:17">
      <c r="A710" t="s">
        <v>17</v>
      </c>
      <c r="B710" t="s">
        <v>42</v>
      </c>
      <c r="C710">
        <v>2025</v>
      </c>
      <c r="D710">
        <v>29</v>
      </c>
      <c r="E710" t="s">
        <v>19</v>
      </c>
      <c r="F710" t="s">
        <v>65</v>
      </c>
      <c r="G710" t="s">
        <v>25</v>
      </c>
      <c r="H710" t="s">
        <v>26</v>
      </c>
      <c r="I710">
        <v>0</v>
      </c>
      <c r="J710">
        <v>0</v>
      </c>
      <c r="K710" t="s">
        <v>42</v>
      </c>
      <c r="L710">
        <v>0</v>
      </c>
      <c r="M710">
        <v>32</v>
      </c>
      <c r="N710">
        <v>0</v>
      </c>
      <c r="O710">
        <v>0</v>
      </c>
      <c r="P710">
        <v>0</v>
      </c>
      <c r="Q710" t="s">
        <v>68</v>
      </c>
    </row>
  </sheetData>
  <phoneticPr fontId="7" type="noConversion"/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05117-5F2C-6547-A501-44AD618D4D1C}">
  <sheetPr codeName="Sheet1">
    <tabColor rgb="FFFFFF00"/>
  </sheetPr>
  <dimension ref="A1:V157"/>
  <sheetViews>
    <sheetView topLeftCell="B15" zoomScale="115" zoomScaleNormal="115" workbookViewId="0">
      <selection activeCell="F16" sqref="F16"/>
    </sheetView>
  </sheetViews>
  <sheetFormatPr defaultColWidth="11" defaultRowHeight="15.75"/>
  <cols>
    <col min="1" max="1" width="3.125" customWidth="1"/>
    <col min="2" max="2" width="15.625" style="5" customWidth="1"/>
    <col min="3" max="3" width="13.5" style="10" customWidth="1"/>
    <col min="4" max="4" width="52" style="10" customWidth="1"/>
    <col min="5" max="5" width="23.125" style="10" bestFit="1" customWidth="1"/>
    <col min="6" max="6" width="23.125" style="10" customWidth="1"/>
    <col min="7" max="7" width="3.5" style="2" customWidth="1"/>
    <col min="8" max="8" width="10.5" style="1" bestFit="1" customWidth="1"/>
    <col min="9" max="9" width="14" style="1" customWidth="1"/>
    <col min="10" max="10" width="0" style="1" hidden="1" customWidth="1"/>
    <col min="11" max="11" width="41.5" customWidth="1"/>
    <col min="12" max="12" width="37" bestFit="1" customWidth="1"/>
    <col min="13" max="13" width="9.125" customWidth="1"/>
    <col min="14" max="22" width="10.625" style="2"/>
  </cols>
  <sheetData>
    <row r="1" spans="1:22">
      <c r="B1" s="14"/>
      <c r="C1" s="15"/>
      <c r="D1" s="15"/>
      <c r="E1" s="15"/>
      <c r="F1" s="15"/>
      <c r="H1" s="4"/>
      <c r="I1" s="16"/>
      <c r="J1" s="4"/>
      <c r="K1" s="2"/>
      <c r="L1" s="2"/>
      <c r="M1" s="2"/>
    </row>
    <row r="2" spans="1:22">
      <c r="B2" s="14"/>
      <c r="C2" s="15"/>
      <c r="D2" s="15"/>
      <c r="E2" s="46"/>
      <c r="F2" s="15"/>
      <c r="G2" s="45"/>
      <c r="H2" s="47"/>
      <c r="I2" s="49"/>
      <c r="J2" s="4"/>
      <c r="K2" s="2"/>
      <c r="L2" s="55"/>
      <c r="M2" s="2"/>
      <c r="N2" s="52"/>
    </row>
    <row r="3" spans="1:22">
      <c r="B3" s="517" t="s">
        <v>69</v>
      </c>
      <c r="C3" s="517"/>
      <c r="D3" s="517"/>
      <c r="E3" s="517"/>
      <c r="F3" s="114"/>
      <c r="H3" s="42"/>
      <c r="I3" s="48"/>
      <c r="J3" s="4"/>
      <c r="K3" s="50"/>
      <c r="L3" s="45"/>
      <c r="M3" s="50"/>
      <c r="N3" s="51"/>
    </row>
    <row r="4" spans="1:22">
      <c r="B4" s="14" t="s">
        <v>70</v>
      </c>
      <c r="C4" s="518">
        <v>405</v>
      </c>
      <c r="D4" s="518"/>
      <c r="E4" s="518"/>
      <c r="F4" s="115"/>
      <c r="H4" s="58"/>
      <c r="I4" s="48"/>
      <c r="J4" s="4"/>
      <c r="K4" s="52"/>
      <c r="L4" s="53"/>
      <c r="M4" s="56"/>
      <c r="N4" s="54"/>
    </row>
    <row r="5" spans="1:22" ht="5.25" customHeight="1">
      <c r="B5" s="14"/>
      <c r="C5" s="15"/>
      <c r="D5" s="15"/>
      <c r="E5" s="15"/>
      <c r="F5" s="15"/>
      <c r="H5" s="4"/>
      <c r="I5" s="48"/>
      <c r="J5" s="4"/>
      <c r="K5" s="2"/>
      <c r="L5" s="45"/>
      <c r="M5" s="2"/>
    </row>
    <row r="6" spans="1:22">
      <c r="B6" s="517" t="s">
        <v>71</v>
      </c>
      <c r="C6" s="517"/>
      <c r="D6" s="517"/>
      <c r="E6" s="517"/>
      <c r="F6" s="114"/>
      <c r="H6" s="517" t="s">
        <v>72</v>
      </c>
      <c r="I6" s="517"/>
      <c r="J6" s="4"/>
      <c r="K6" s="519" t="s">
        <v>73</v>
      </c>
      <c r="L6" s="517"/>
      <c r="M6" s="2"/>
      <c r="N6" s="45"/>
    </row>
    <row r="7" spans="1:22">
      <c r="B7" s="13"/>
      <c r="C7" s="20" t="s">
        <v>74</v>
      </c>
      <c r="D7" s="13" t="s">
        <v>75</v>
      </c>
      <c r="E7" s="13" t="s">
        <v>76</v>
      </c>
      <c r="F7" s="13"/>
      <c r="H7" s="518" t="s">
        <v>77</v>
      </c>
      <c r="I7" s="518"/>
      <c r="J7" s="4"/>
      <c r="K7" s="520" t="s">
        <v>78</v>
      </c>
      <c r="L7" s="521"/>
      <c r="M7" s="2"/>
      <c r="N7" s="57"/>
    </row>
    <row r="8" spans="1:22">
      <c r="B8" s="19" t="s">
        <v>79</v>
      </c>
      <c r="C8" s="21">
        <v>50</v>
      </c>
      <c r="D8" s="22">
        <v>3037</v>
      </c>
      <c r="E8" s="23">
        <v>1</v>
      </c>
      <c r="F8" s="116"/>
      <c r="H8" s="518" t="s">
        <v>80</v>
      </c>
      <c r="I8" s="518"/>
      <c r="J8" s="4"/>
      <c r="K8" s="522"/>
      <c r="L8" s="518"/>
      <c r="M8" s="2"/>
      <c r="N8" s="57"/>
    </row>
    <row r="9" spans="1:22" ht="17.25" customHeight="1">
      <c r="B9" s="19" t="s">
        <v>81</v>
      </c>
      <c r="C9" s="21">
        <v>50</v>
      </c>
      <c r="D9" s="22">
        <v>3037</v>
      </c>
      <c r="E9" s="23">
        <v>2</v>
      </c>
      <c r="F9" s="116"/>
      <c r="H9" s="518" t="s">
        <v>82</v>
      </c>
      <c r="I9" s="518"/>
      <c r="J9" s="4"/>
      <c r="K9" s="522"/>
      <c r="L9" s="518"/>
      <c r="M9" s="2"/>
      <c r="N9" s="57"/>
    </row>
    <row r="10" spans="1:22" ht="17.25" customHeight="1">
      <c r="B10" s="19" t="s">
        <v>79</v>
      </c>
      <c r="C10" s="21">
        <v>100</v>
      </c>
      <c r="D10" s="22">
        <v>3037</v>
      </c>
      <c r="E10" s="23">
        <v>1</v>
      </c>
      <c r="F10" s="116"/>
      <c r="G10"/>
      <c r="H10"/>
      <c r="I10"/>
      <c r="J10"/>
      <c r="N10"/>
      <c r="O10"/>
      <c r="P10"/>
      <c r="Q10"/>
      <c r="R10"/>
      <c r="S10"/>
      <c r="T10"/>
      <c r="U10"/>
      <c r="V10"/>
    </row>
    <row r="11" spans="1:22" ht="17.25" customHeight="1">
      <c r="B11" s="19" t="s">
        <v>81</v>
      </c>
      <c r="C11" s="21">
        <v>100</v>
      </c>
      <c r="D11" s="22">
        <v>3037</v>
      </c>
      <c r="E11" s="23">
        <v>2</v>
      </c>
      <c r="F11" s="116"/>
      <c r="G11"/>
      <c r="H11"/>
      <c r="I11"/>
      <c r="J11"/>
      <c r="N11"/>
      <c r="O11"/>
      <c r="P11"/>
      <c r="Q11"/>
      <c r="R11"/>
      <c r="S11"/>
      <c r="T11"/>
      <c r="U11"/>
      <c r="V11"/>
    </row>
    <row r="12" spans="1:22" ht="24.75">
      <c r="B12" s="19" t="s">
        <v>83</v>
      </c>
      <c r="C12" s="21">
        <v>100</v>
      </c>
      <c r="D12" s="22">
        <v>3037</v>
      </c>
      <c r="E12" s="23">
        <v>3</v>
      </c>
      <c r="F12" s="116"/>
      <c r="H12" s="47"/>
      <c r="I12" s="16"/>
      <c r="J12" s="4"/>
      <c r="K12" s="2"/>
      <c r="L12" s="2"/>
      <c r="M12" s="2"/>
      <c r="N12" s="57"/>
    </row>
    <row r="13" spans="1:22">
      <c r="B13" s="517" t="s">
        <v>84</v>
      </c>
      <c r="C13" s="517"/>
      <c r="D13" s="517"/>
      <c r="E13" s="517"/>
      <c r="F13" s="114"/>
      <c r="G13" s="57"/>
      <c r="H13" s="137" t="s">
        <v>85</v>
      </c>
      <c r="I13" s="138"/>
      <c r="J13" s="4"/>
      <c r="K13" s="139">
        <f>COUNTIF(M:M, "Active") - COUNTIFS(L:L, "OSEP*",M:M, "Active") - COUNTIFS(L:L,"C_*",M:M, "Active") +2</f>
        <v>37</v>
      </c>
      <c r="L13" s="56"/>
      <c r="M13" s="56"/>
      <c r="N13" s="45"/>
    </row>
    <row r="14" spans="1:22" ht="33" customHeight="1">
      <c r="B14" s="515" t="s">
        <v>86</v>
      </c>
      <c r="C14" s="515"/>
      <c r="D14" s="515"/>
      <c r="E14" s="516"/>
      <c r="F14" s="117"/>
      <c r="G14" s="57"/>
      <c r="H14" s="514" t="s">
        <v>87</v>
      </c>
      <c r="I14" s="514"/>
      <c r="J14" s="514"/>
      <c r="K14" s="514"/>
      <c r="L14" s="514"/>
      <c r="M14" s="514"/>
      <c r="N14" s="45"/>
    </row>
    <row r="15" spans="1:22" ht="21">
      <c r="B15" s="9" t="s">
        <v>88</v>
      </c>
      <c r="C15" s="9" t="s">
        <v>89</v>
      </c>
      <c r="D15" s="9" t="s">
        <v>90</v>
      </c>
      <c r="E15" s="9" t="s">
        <v>91</v>
      </c>
      <c r="F15" s="9" t="s">
        <v>92</v>
      </c>
      <c r="H15" s="6" t="s">
        <v>93</v>
      </c>
      <c r="I15" s="6" t="s">
        <v>94</v>
      </c>
      <c r="J15" s="6" t="s">
        <v>95</v>
      </c>
      <c r="K15" s="6" t="s">
        <v>96</v>
      </c>
      <c r="L15" s="6" t="s">
        <v>97</v>
      </c>
      <c r="M15" s="6" t="s">
        <v>98</v>
      </c>
    </row>
    <row r="16" spans="1:22">
      <c r="A16">
        <f>LEN(C16) - LEN(SUBSTITUTE(C16, "!", "")) + 1</f>
        <v>1</v>
      </c>
      <c r="B16" s="7">
        <v>1</v>
      </c>
      <c r="C16" s="306">
        <v>3766</v>
      </c>
      <c r="D16" s="307" t="s">
        <v>99</v>
      </c>
      <c r="E16" s="307" t="s">
        <v>100</v>
      </c>
      <c r="F16" s="7">
        <f>aurora_data!AJ98</f>
        <v>2523</v>
      </c>
      <c r="H16" s="8">
        <v>3767</v>
      </c>
      <c r="I16" s="8" t="s">
        <v>101</v>
      </c>
      <c r="J16" s="8">
        <v>1</v>
      </c>
      <c r="K16" s="7" t="s">
        <v>102</v>
      </c>
      <c r="L16" s="7" t="s">
        <v>103</v>
      </c>
      <c r="M16" s="7" t="s">
        <v>104</v>
      </c>
    </row>
    <row r="17" spans="1:13">
      <c r="A17">
        <f t="shared" ref="A17:A27" si="0">LEN(C17) - LEN(SUBSTITUTE(C17, "!", "")) + 1</f>
        <v>1</v>
      </c>
      <c r="B17" s="7">
        <v>2</v>
      </c>
      <c r="C17" s="306">
        <v>3767</v>
      </c>
      <c r="D17" s="307" t="s">
        <v>102</v>
      </c>
      <c r="E17" s="307" t="s">
        <v>103</v>
      </c>
      <c r="F17" s="7">
        <f>aurora_data!AJ226</f>
        <v>568</v>
      </c>
      <c r="H17" s="8">
        <v>3766</v>
      </c>
      <c r="I17" s="8" t="s">
        <v>101</v>
      </c>
      <c r="J17" s="8">
        <v>1</v>
      </c>
      <c r="K17" s="7" t="s">
        <v>99</v>
      </c>
      <c r="L17" s="7" t="s">
        <v>100</v>
      </c>
      <c r="M17" s="7" t="s">
        <v>104</v>
      </c>
    </row>
    <row r="18" spans="1:13">
      <c r="A18">
        <f t="shared" si="0"/>
        <v>1</v>
      </c>
      <c r="B18" s="7">
        <v>3</v>
      </c>
      <c r="C18" s="306">
        <v>3768</v>
      </c>
      <c r="D18" s="307" t="s">
        <v>105</v>
      </c>
      <c r="E18" s="307" t="s">
        <v>106</v>
      </c>
      <c r="F18" s="7">
        <f>aurora_data!U438</f>
        <v>235</v>
      </c>
      <c r="H18" s="8">
        <v>3814</v>
      </c>
      <c r="I18" s="8" t="s">
        <v>107</v>
      </c>
      <c r="J18" s="8">
        <v>2</v>
      </c>
      <c r="K18" s="7" t="s">
        <v>108</v>
      </c>
      <c r="L18" s="7" t="s">
        <v>109</v>
      </c>
      <c r="M18" s="7" t="s">
        <v>104</v>
      </c>
    </row>
    <row r="19" spans="1:13">
      <c r="A19">
        <f t="shared" si="0"/>
        <v>1</v>
      </c>
      <c r="B19" s="7">
        <v>4</v>
      </c>
      <c r="C19" s="306">
        <v>3769</v>
      </c>
      <c r="D19" s="307" t="s">
        <v>110</v>
      </c>
      <c r="E19" s="307" t="s">
        <v>111</v>
      </c>
      <c r="F19" s="7">
        <f>aurora_data!U566</f>
        <v>93</v>
      </c>
      <c r="H19" s="8">
        <v>3822</v>
      </c>
      <c r="I19" s="8" t="s">
        <v>107</v>
      </c>
      <c r="J19" s="8">
        <v>2</v>
      </c>
      <c r="K19" s="7" t="s">
        <v>112</v>
      </c>
      <c r="L19" s="7" t="s">
        <v>113</v>
      </c>
      <c r="M19" s="7" t="s">
        <v>104</v>
      </c>
    </row>
    <row r="20" spans="1:13">
      <c r="A20">
        <f t="shared" si="0"/>
        <v>1</v>
      </c>
      <c r="B20" s="7">
        <v>5</v>
      </c>
      <c r="C20" s="306">
        <v>3770</v>
      </c>
      <c r="D20" s="307" t="s">
        <v>114</v>
      </c>
      <c r="E20" s="307" t="s">
        <v>115</v>
      </c>
      <c r="F20" s="7">
        <f>aurora_data!U838</f>
        <v>137</v>
      </c>
      <c r="H20" s="8">
        <v>3821</v>
      </c>
      <c r="I20" s="8" t="s">
        <v>107</v>
      </c>
      <c r="J20" s="8">
        <v>2</v>
      </c>
      <c r="K20" s="7" t="s">
        <v>116</v>
      </c>
      <c r="L20" s="7" t="s">
        <v>117</v>
      </c>
      <c r="M20" s="7" t="s">
        <v>104</v>
      </c>
    </row>
    <row r="21" spans="1:13">
      <c r="A21">
        <f t="shared" si="0"/>
        <v>1</v>
      </c>
      <c r="B21" s="7">
        <v>6</v>
      </c>
      <c r="C21" s="306">
        <v>3771</v>
      </c>
      <c r="D21" s="307" t="s">
        <v>118</v>
      </c>
      <c r="E21" s="307" t="s">
        <v>119</v>
      </c>
      <c r="F21" s="7">
        <f>aurora_data!U957</f>
        <v>56</v>
      </c>
      <c r="H21" s="8">
        <v>3820</v>
      </c>
      <c r="I21" s="8" t="s">
        <v>107</v>
      </c>
      <c r="J21" s="8">
        <v>2</v>
      </c>
      <c r="K21" s="7" t="s">
        <v>120</v>
      </c>
      <c r="L21" s="7" t="s">
        <v>121</v>
      </c>
      <c r="M21" s="7" t="s">
        <v>104</v>
      </c>
    </row>
    <row r="22" spans="1:13">
      <c r="A22">
        <f t="shared" si="0"/>
        <v>1</v>
      </c>
      <c r="B22" s="7">
        <v>7</v>
      </c>
      <c r="C22" s="306">
        <v>3772</v>
      </c>
      <c r="D22" s="307" t="s">
        <v>122</v>
      </c>
      <c r="E22" s="307" t="s">
        <v>123</v>
      </c>
      <c r="F22" s="7">
        <f>aurora_data!U1148</f>
        <v>51</v>
      </c>
      <c r="H22" s="8">
        <v>3819</v>
      </c>
      <c r="I22" s="8" t="s">
        <v>107</v>
      </c>
      <c r="J22" s="8">
        <v>2</v>
      </c>
      <c r="K22" s="7" t="s">
        <v>124</v>
      </c>
      <c r="L22" s="7" t="s">
        <v>125</v>
      </c>
      <c r="M22" s="7" t="s">
        <v>104</v>
      </c>
    </row>
    <row r="23" spans="1:13">
      <c r="A23">
        <f t="shared" si="0"/>
        <v>1</v>
      </c>
      <c r="B23" s="7">
        <v>8</v>
      </c>
      <c r="C23" s="306">
        <v>3773</v>
      </c>
      <c r="D23" s="307" t="s">
        <v>126</v>
      </c>
      <c r="E23" s="307" t="s">
        <v>127</v>
      </c>
      <c r="F23" s="7">
        <f>aurora_data!U1438</f>
        <v>224</v>
      </c>
      <c r="H23" s="8">
        <v>3818</v>
      </c>
      <c r="I23" s="8" t="s">
        <v>107</v>
      </c>
      <c r="J23" s="8">
        <v>2</v>
      </c>
      <c r="K23" s="7" t="s">
        <v>128</v>
      </c>
      <c r="L23" s="7" t="s">
        <v>129</v>
      </c>
      <c r="M23" s="7" t="s">
        <v>104</v>
      </c>
    </row>
    <row r="24" spans="1:13">
      <c r="A24">
        <f t="shared" si="0"/>
        <v>1</v>
      </c>
      <c r="B24" s="7">
        <v>9</v>
      </c>
      <c r="C24" s="306">
        <v>3774</v>
      </c>
      <c r="D24" s="307" t="s">
        <v>130</v>
      </c>
      <c r="E24" s="307" t="s">
        <v>131</v>
      </c>
      <c r="F24" s="7">
        <f>aurora_data!U1638</f>
        <v>221</v>
      </c>
      <c r="H24" s="8">
        <v>3817</v>
      </c>
      <c r="I24" s="8" t="s">
        <v>107</v>
      </c>
      <c r="J24" s="8">
        <v>2</v>
      </c>
      <c r="K24" s="7" t="s">
        <v>132</v>
      </c>
      <c r="L24" s="7" t="s">
        <v>133</v>
      </c>
      <c r="M24" s="7" t="s">
        <v>104</v>
      </c>
    </row>
    <row r="25" spans="1:13">
      <c r="A25">
        <f t="shared" si="0"/>
        <v>1</v>
      </c>
      <c r="B25" s="7">
        <v>10</v>
      </c>
      <c r="C25" s="306">
        <v>3775</v>
      </c>
      <c r="D25" s="307" t="s">
        <v>134</v>
      </c>
      <c r="E25" s="307" t="s">
        <v>135</v>
      </c>
      <c r="F25" s="140">
        <f>aurora_data!U1838</f>
        <v>136</v>
      </c>
      <c r="H25" s="8">
        <v>3816</v>
      </c>
      <c r="I25" s="8" t="s">
        <v>107</v>
      </c>
      <c r="J25" s="8">
        <v>2</v>
      </c>
      <c r="K25" s="7" t="s">
        <v>136</v>
      </c>
      <c r="L25" s="7" t="s">
        <v>137</v>
      </c>
      <c r="M25" s="7" t="s">
        <v>104</v>
      </c>
    </row>
    <row r="26" spans="1:13">
      <c r="A26">
        <f t="shared" si="0"/>
        <v>1</v>
      </c>
      <c r="B26" s="7">
        <v>11</v>
      </c>
      <c r="C26" s="306">
        <v>3777</v>
      </c>
      <c r="D26" s="307" t="s">
        <v>138</v>
      </c>
      <c r="E26" s="307" t="s">
        <v>139</v>
      </c>
      <c r="F26" s="140">
        <f>aurora_data!U1957</f>
        <v>56</v>
      </c>
      <c r="H26" s="8">
        <v>3815</v>
      </c>
      <c r="I26" s="8" t="s">
        <v>107</v>
      </c>
      <c r="J26" s="8">
        <v>2</v>
      </c>
      <c r="K26" s="7" t="s">
        <v>140</v>
      </c>
      <c r="L26" s="7" t="s">
        <v>141</v>
      </c>
      <c r="M26" s="7" t="s">
        <v>104</v>
      </c>
    </row>
    <row r="27" spans="1:13">
      <c r="A27">
        <f t="shared" si="0"/>
        <v>1</v>
      </c>
      <c r="B27" s="7">
        <v>12</v>
      </c>
      <c r="C27" s="306">
        <v>3778</v>
      </c>
      <c r="D27" s="307" t="s">
        <v>142</v>
      </c>
      <c r="E27" s="307" t="s">
        <v>143</v>
      </c>
      <c r="F27" s="140">
        <f>aurora_data!U2048</f>
        <v>59</v>
      </c>
      <c r="H27" s="8">
        <v>3823</v>
      </c>
      <c r="I27" s="8" t="s">
        <v>107</v>
      </c>
      <c r="J27" s="8">
        <v>2</v>
      </c>
      <c r="K27" s="7" t="s">
        <v>144</v>
      </c>
      <c r="L27" s="7" t="s">
        <v>145</v>
      </c>
      <c r="M27" s="7" t="s">
        <v>104</v>
      </c>
    </row>
    <row r="28" spans="1:13">
      <c r="B28" s="7"/>
      <c r="C28" s="5"/>
      <c r="D28" s="5"/>
      <c r="E28" s="5"/>
      <c r="H28" s="8">
        <v>3813</v>
      </c>
      <c r="I28" s="8" t="s">
        <v>107</v>
      </c>
      <c r="J28" s="8">
        <v>2</v>
      </c>
      <c r="K28" s="7" t="s">
        <v>146</v>
      </c>
      <c r="L28" s="7" t="s">
        <v>147</v>
      </c>
      <c r="M28" s="7" t="s">
        <v>104</v>
      </c>
    </row>
    <row r="29" spans="1:13">
      <c r="C29" s="5"/>
      <c r="D29" s="5"/>
      <c r="E29" s="5"/>
      <c r="F29" s="7"/>
      <c r="H29" s="8">
        <v>3812</v>
      </c>
      <c r="I29" s="8" t="s">
        <v>107</v>
      </c>
      <c r="J29" s="8">
        <v>2</v>
      </c>
      <c r="K29" s="7" t="s">
        <v>148</v>
      </c>
      <c r="L29" s="7" t="s">
        <v>149</v>
      </c>
      <c r="M29" s="7" t="s">
        <v>104</v>
      </c>
    </row>
    <row r="30" spans="1:13">
      <c r="B30" s="146" t="s">
        <v>150</v>
      </c>
      <c r="C30" s="179">
        <f>SUM(A16:A36)</f>
        <v>12</v>
      </c>
      <c r="D30" s="5"/>
      <c r="E30" s="5"/>
      <c r="F30" s="7"/>
      <c r="H30" s="8">
        <v>3811</v>
      </c>
      <c r="I30" s="8" t="s">
        <v>107</v>
      </c>
      <c r="J30" s="8">
        <v>2</v>
      </c>
      <c r="K30" s="7" t="s">
        <v>151</v>
      </c>
      <c r="L30" s="7" t="s">
        <v>152</v>
      </c>
      <c r="M30" s="7" t="s">
        <v>104</v>
      </c>
    </row>
    <row r="31" spans="1:13">
      <c r="C31" s="5"/>
      <c r="D31" s="5"/>
      <c r="E31" s="5"/>
      <c r="F31" s="7"/>
      <c r="H31" s="8">
        <v>3810</v>
      </c>
      <c r="I31" s="8" t="s">
        <v>107</v>
      </c>
      <c r="J31" s="8">
        <v>2</v>
      </c>
      <c r="K31" s="7" t="s">
        <v>153</v>
      </c>
      <c r="L31" s="7" t="s">
        <v>154</v>
      </c>
      <c r="M31" s="7" t="s">
        <v>104</v>
      </c>
    </row>
    <row r="32" spans="1:13">
      <c r="C32" s="5"/>
      <c r="D32" s="5"/>
      <c r="E32" s="5"/>
      <c r="F32" s="140"/>
      <c r="H32" s="8">
        <v>3809</v>
      </c>
      <c r="I32" s="8" t="s">
        <v>107</v>
      </c>
      <c r="J32" s="8">
        <v>2</v>
      </c>
      <c r="K32" s="7" t="s">
        <v>155</v>
      </c>
      <c r="L32" s="7" t="s">
        <v>156</v>
      </c>
      <c r="M32" s="7" t="s">
        <v>104</v>
      </c>
    </row>
    <row r="33" spans="3:13">
      <c r="C33" s="5"/>
      <c r="D33" s="5"/>
      <c r="E33" s="5"/>
      <c r="F33" s="140"/>
      <c r="H33" s="8">
        <v>3808</v>
      </c>
      <c r="I33" s="8" t="s">
        <v>107</v>
      </c>
      <c r="J33" s="8">
        <v>2</v>
      </c>
      <c r="K33" s="7" t="s">
        <v>157</v>
      </c>
      <c r="L33" s="7" t="s">
        <v>158</v>
      </c>
      <c r="M33" s="7" t="s">
        <v>104</v>
      </c>
    </row>
    <row r="34" spans="3:13">
      <c r="D34" s="5"/>
      <c r="E34" s="5"/>
      <c r="F34" s="140"/>
      <c r="H34" s="8">
        <v>3807</v>
      </c>
      <c r="I34" s="8" t="s">
        <v>107</v>
      </c>
      <c r="J34" s="8">
        <v>2</v>
      </c>
      <c r="K34" s="7" t="s">
        <v>159</v>
      </c>
      <c r="L34" s="7" t="s">
        <v>160</v>
      </c>
      <c r="M34" s="7" t="s">
        <v>104</v>
      </c>
    </row>
    <row r="35" spans="3:13">
      <c r="C35" s="5"/>
      <c r="D35" s="5"/>
      <c r="E35" s="5"/>
      <c r="F35" s="140"/>
      <c r="H35" s="8">
        <v>3806</v>
      </c>
      <c r="I35" s="8" t="s">
        <v>107</v>
      </c>
      <c r="J35" s="8">
        <v>2</v>
      </c>
      <c r="K35" s="7" t="s">
        <v>161</v>
      </c>
      <c r="L35" s="7" t="s">
        <v>162</v>
      </c>
      <c r="M35" s="7" t="s">
        <v>104</v>
      </c>
    </row>
    <row r="36" spans="3:13">
      <c r="C36" s="5"/>
      <c r="D36" s="5"/>
      <c r="E36" s="5"/>
      <c r="F36" s="140"/>
      <c r="H36" s="8">
        <v>3834</v>
      </c>
      <c r="I36" s="8" t="s">
        <v>107</v>
      </c>
      <c r="J36" s="8">
        <v>2</v>
      </c>
      <c r="K36" s="7" t="s">
        <v>163</v>
      </c>
      <c r="L36" s="7" t="s">
        <v>164</v>
      </c>
      <c r="M36" s="7" t="s">
        <v>104</v>
      </c>
    </row>
    <row r="37" spans="3:13">
      <c r="C37" s="5"/>
      <c r="D37" s="5"/>
      <c r="E37" s="5"/>
      <c r="H37" s="8">
        <v>3842</v>
      </c>
      <c r="I37" s="8" t="s">
        <v>107</v>
      </c>
      <c r="J37" s="8">
        <v>2</v>
      </c>
      <c r="K37" s="7" t="s">
        <v>165</v>
      </c>
      <c r="L37" s="7" t="s">
        <v>166</v>
      </c>
      <c r="M37" s="7" t="s">
        <v>104</v>
      </c>
    </row>
    <row r="38" spans="3:13">
      <c r="H38" s="8">
        <v>3841</v>
      </c>
      <c r="I38" s="8" t="s">
        <v>107</v>
      </c>
      <c r="J38" s="8">
        <v>2</v>
      </c>
      <c r="K38" s="7" t="s">
        <v>167</v>
      </c>
      <c r="L38" s="7" t="s">
        <v>168</v>
      </c>
      <c r="M38" s="7" t="s">
        <v>104</v>
      </c>
    </row>
    <row r="39" spans="3:13">
      <c r="H39" s="8">
        <v>3840</v>
      </c>
      <c r="I39" s="8" t="s">
        <v>107</v>
      </c>
      <c r="J39" s="8">
        <v>2</v>
      </c>
      <c r="K39" s="7" t="s">
        <v>169</v>
      </c>
      <c r="L39" s="7" t="s">
        <v>170</v>
      </c>
      <c r="M39" s="7" t="s">
        <v>104</v>
      </c>
    </row>
    <row r="40" spans="3:13">
      <c r="H40" s="8">
        <v>3839</v>
      </c>
      <c r="I40" s="8" t="s">
        <v>107</v>
      </c>
      <c r="J40" s="8">
        <v>2</v>
      </c>
      <c r="K40" s="7" t="s">
        <v>171</v>
      </c>
      <c r="L40" s="7" t="s">
        <v>172</v>
      </c>
      <c r="M40" s="7" t="s">
        <v>104</v>
      </c>
    </row>
    <row r="41" spans="3:13">
      <c r="H41" s="8">
        <v>3838</v>
      </c>
      <c r="I41" s="8" t="s">
        <v>107</v>
      </c>
      <c r="J41" s="8">
        <v>2</v>
      </c>
      <c r="K41" s="7" t="s">
        <v>173</v>
      </c>
      <c r="L41" s="7" t="s">
        <v>174</v>
      </c>
      <c r="M41" s="7" t="s">
        <v>104</v>
      </c>
    </row>
    <row r="42" spans="3:13">
      <c r="H42" s="8">
        <v>3837</v>
      </c>
      <c r="I42" s="8" t="s">
        <v>107</v>
      </c>
      <c r="J42" s="8">
        <v>2</v>
      </c>
      <c r="K42" s="7" t="s">
        <v>175</v>
      </c>
      <c r="L42" s="7" t="s">
        <v>176</v>
      </c>
      <c r="M42" s="7" t="s">
        <v>104</v>
      </c>
    </row>
    <row r="43" spans="3:13">
      <c r="H43" s="8">
        <v>3836</v>
      </c>
      <c r="I43" s="8" t="s">
        <v>107</v>
      </c>
      <c r="J43" s="8">
        <v>2</v>
      </c>
      <c r="K43" s="7" t="s">
        <v>177</v>
      </c>
      <c r="L43" s="7" t="s">
        <v>178</v>
      </c>
      <c r="M43" s="7" t="s">
        <v>104</v>
      </c>
    </row>
    <row r="44" spans="3:13">
      <c r="H44" s="8">
        <v>3835</v>
      </c>
      <c r="I44" s="8" t="s">
        <v>107</v>
      </c>
      <c r="J44" s="8">
        <v>2</v>
      </c>
      <c r="K44" s="7" t="s">
        <v>179</v>
      </c>
      <c r="L44" s="7" t="s">
        <v>180</v>
      </c>
      <c r="M44" s="7" t="s">
        <v>104</v>
      </c>
    </row>
    <row r="45" spans="3:13">
      <c r="H45" s="8">
        <v>3843</v>
      </c>
      <c r="I45" s="8" t="s">
        <v>107</v>
      </c>
      <c r="J45" s="8">
        <v>2</v>
      </c>
      <c r="K45" s="7" t="s">
        <v>181</v>
      </c>
      <c r="L45" s="7" t="s">
        <v>182</v>
      </c>
      <c r="M45" s="7" t="s">
        <v>104</v>
      </c>
    </row>
    <row r="46" spans="3:13">
      <c r="H46" s="8">
        <v>3833</v>
      </c>
      <c r="I46" s="8" t="s">
        <v>107</v>
      </c>
      <c r="J46" s="8">
        <v>2</v>
      </c>
      <c r="K46" s="7" t="s">
        <v>183</v>
      </c>
      <c r="L46" s="7" t="s">
        <v>184</v>
      </c>
      <c r="M46" s="7" t="s">
        <v>104</v>
      </c>
    </row>
    <row r="47" spans="3:13">
      <c r="H47" s="8">
        <v>3832</v>
      </c>
      <c r="I47" s="8" t="s">
        <v>107</v>
      </c>
      <c r="J47" s="8">
        <v>2</v>
      </c>
      <c r="K47" s="7" t="s">
        <v>185</v>
      </c>
      <c r="L47" s="7" t="s">
        <v>186</v>
      </c>
      <c r="M47" s="7" t="s">
        <v>104</v>
      </c>
    </row>
    <row r="48" spans="3:13">
      <c r="H48" s="8">
        <v>3831</v>
      </c>
      <c r="I48" s="8" t="s">
        <v>107</v>
      </c>
      <c r="J48" s="8">
        <v>2</v>
      </c>
      <c r="K48" s="7" t="s">
        <v>187</v>
      </c>
      <c r="L48" s="7" t="s">
        <v>188</v>
      </c>
      <c r="M48" s="7" t="s">
        <v>104</v>
      </c>
    </row>
    <row r="49" spans="8:13">
      <c r="H49" s="8">
        <v>3830</v>
      </c>
      <c r="I49" s="8" t="s">
        <v>107</v>
      </c>
      <c r="J49" s="8">
        <v>2</v>
      </c>
      <c r="K49" s="7" t="s">
        <v>189</v>
      </c>
      <c r="L49" s="7" t="s">
        <v>190</v>
      </c>
      <c r="M49" s="7" t="s">
        <v>104</v>
      </c>
    </row>
    <row r="50" spans="8:13">
      <c r="H50" s="8">
        <v>3829</v>
      </c>
      <c r="I50" s="8" t="s">
        <v>107</v>
      </c>
      <c r="J50" s="8">
        <v>2</v>
      </c>
      <c r="K50" s="7" t="s">
        <v>191</v>
      </c>
      <c r="L50" s="7" t="s">
        <v>192</v>
      </c>
      <c r="M50" s="7" t="s">
        <v>104</v>
      </c>
    </row>
    <row r="51" spans="8:13">
      <c r="H51" s="8">
        <v>3827</v>
      </c>
      <c r="I51" s="8" t="s">
        <v>107</v>
      </c>
      <c r="J51" s="8">
        <v>2</v>
      </c>
      <c r="K51" s="7" t="s">
        <v>193</v>
      </c>
      <c r="L51" s="7" t="s">
        <v>194</v>
      </c>
      <c r="M51" s="7" t="s">
        <v>104</v>
      </c>
    </row>
    <row r="52" spans="8:13">
      <c r="H52" s="8">
        <v>3825</v>
      </c>
      <c r="I52" s="8" t="s">
        <v>107</v>
      </c>
      <c r="J52" s="8">
        <v>2</v>
      </c>
      <c r="K52" s="7" t="s">
        <v>195</v>
      </c>
      <c r="L52" s="7" t="s">
        <v>196</v>
      </c>
      <c r="M52" s="7" t="s">
        <v>104</v>
      </c>
    </row>
    <row r="53" spans="8:13">
      <c r="H53" s="8">
        <v>3824</v>
      </c>
      <c r="I53" s="8" t="s">
        <v>107</v>
      </c>
      <c r="J53" s="8">
        <v>2</v>
      </c>
      <c r="K53" s="7" t="s">
        <v>197</v>
      </c>
      <c r="L53" s="7" t="s">
        <v>198</v>
      </c>
      <c r="M53" s="7" t="s">
        <v>104</v>
      </c>
    </row>
    <row r="54" spans="8:13">
      <c r="H54" s="8">
        <v>3804</v>
      </c>
      <c r="I54" s="8" t="s">
        <v>107</v>
      </c>
      <c r="J54" s="8">
        <v>2</v>
      </c>
      <c r="K54" s="7" t="s">
        <v>199</v>
      </c>
      <c r="L54" s="7" t="s">
        <v>200</v>
      </c>
      <c r="M54" s="7" t="s">
        <v>104</v>
      </c>
    </row>
    <row r="55" spans="8:13">
      <c r="H55" s="8">
        <v>3779</v>
      </c>
      <c r="I55" s="8" t="s">
        <v>107</v>
      </c>
      <c r="J55" s="8">
        <v>2</v>
      </c>
      <c r="K55" s="7" t="s">
        <v>201</v>
      </c>
      <c r="L55" s="7" t="s">
        <v>202</v>
      </c>
      <c r="M55" s="7" t="s">
        <v>104</v>
      </c>
    </row>
    <row r="56" spans="8:13">
      <c r="H56" s="8">
        <v>3780</v>
      </c>
      <c r="I56" s="8" t="s">
        <v>107</v>
      </c>
      <c r="J56" s="8">
        <v>2</v>
      </c>
      <c r="K56" s="7" t="s">
        <v>203</v>
      </c>
      <c r="L56" s="7" t="s">
        <v>204</v>
      </c>
      <c r="M56" s="7" t="s">
        <v>104</v>
      </c>
    </row>
    <row r="57" spans="8:13">
      <c r="H57" s="8">
        <v>3781</v>
      </c>
      <c r="I57" s="8" t="s">
        <v>107</v>
      </c>
      <c r="J57" s="8">
        <v>2</v>
      </c>
      <c r="K57" s="7" t="s">
        <v>205</v>
      </c>
      <c r="L57" s="7" t="s">
        <v>206</v>
      </c>
      <c r="M57" s="7" t="s">
        <v>104</v>
      </c>
    </row>
    <row r="58" spans="8:13">
      <c r="H58" s="8">
        <v>3783</v>
      </c>
      <c r="I58" s="8" t="s">
        <v>107</v>
      </c>
      <c r="J58" s="8">
        <v>2</v>
      </c>
      <c r="K58" s="7" t="s">
        <v>207</v>
      </c>
      <c r="L58" s="7" t="s">
        <v>208</v>
      </c>
      <c r="M58" s="7" t="s">
        <v>104</v>
      </c>
    </row>
    <row r="59" spans="8:13">
      <c r="H59" s="8">
        <v>3784</v>
      </c>
      <c r="I59" s="8" t="s">
        <v>107</v>
      </c>
      <c r="J59" s="8">
        <v>2</v>
      </c>
      <c r="K59" s="7" t="s">
        <v>209</v>
      </c>
      <c r="L59" s="7" t="s">
        <v>210</v>
      </c>
      <c r="M59" s="7" t="s">
        <v>104</v>
      </c>
    </row>
    <row r="60" spans="8:13">
      <c r="H60" s="8">
        <v>3785</v>
      </c>
      <c r="I60" s="8" t="s">
        <v>107</v>
      </c>
      <c r="J60" s="8">
        <v>2</v>
      </c>
      <c r="K60" s="7" t="s">
        <v>211</v>
      </c>
      <c r="L60" s="7" t="s">
        <v>212</v>
      </c>
      <c r="M60" s="7" t="s">
        <v>104</v>
      </c>
    </row>
    <row r="61" spans="8:13">
      <c r="H61" s="8">
        <v>3786</v>
      </c>
      <c r="I61" s="8" t="s">
        <v>107</v>
      </c>
      <c r="J61" s="8">
        <v>2</v>
      </c>
      <c r="K61" s="7" t="s">
        <v>213</v>
      </c>
      <c r="L61" s="7" t="s">
        <v>214</v>
      </c>
      <c r="M61" s="7" t="s">
        <v>104</v>
      </c>
    </row>
    <row r="62" spans="8:13">
      <c r="H62" s="8">
        <v>3787</v>
      </c>
      <c r="I62" s="8" t="s">
        <v>107</v>
      </c>
      <c r="J62" s="8">
        <v>2</v>
      </c>
      <c r="K62" s="7" t="s">
        <v>215</v>
      </c>
      <c r="L62" s="7" t="s">
        <v>216</v>
      </c>
      <c r="M62" s="7" t="s">
        <v>104</v>
      </c>
    </row>
    <row r="63" spans="8:13">
      <c r="H63" s="8">
        <v>3788</v>
      </c>
      <c r="I63" s="8" t="s">
        <v>107</v>
      </c>
      <c r="J63" s="8">
        <v>2</v>
      </c>
      <c r="K63" s="7" t="s">
        <v>217</v>
      </c>
      <c r="L63" s="7" t="s">
        <v>218</v>
      </c>
      <c r="M63" s="7" t="s">
        <v>104</v>
      </c>
    </row>
    <row r="64" spans="8:13">
      <c r="H64" s="8">
        <v>3789</v>
      </c>
      <c r="I64" s="8" t="s">
        <v>107</v>
      </c>
      <c r="J64" s="8">
        <v>2</v>
      </c>
      <c r="K64" s="7" t="s">
        <v>219</v>
      </c>
      <c r="L64" s="7" t="s">
        <v>220</v>
      </c>
      <c r="M64" s="7" t="s">
        <v>104</v>
      </c>
    </row>
    <row r="65" spans="8:13">
      <c r="H65" s="8">
        <v>3790</v>
      </c>
      <c r="I65" s="8" t="s">
        <v>107</v>
      </c>
      <c r="J65" s="8">
        <v>2</v>
      </c>
      <c r="K65" s="7" t="s">
        <v>221</v>
      </c>
      <c r="L65" s="7" t="s">
        <v>222</v>
      </c>
      <c r="M65" s="7" t="s">
        <v>104</v>
      </c>
    </row>
    <row r="66" spans="8:13">
      <c r="H66" s="8">
        <v>3791</v>
      </c>
      <c r="I66" s="8" t="s">
        <v>107</v>
      </c>
      <c r="J66" s="8">
        <v>2</v>
      </c>
      <c r="K66" s="7" t="s">
        <v>223</v>
      </c>
      <c r="L66" s="7" t="s">
        <v>224</v>
      </c>
      <c r="M66" s="7" t="s">
        <v>104</v>
      </c>
    </row>
    <row r="67" spans="8:13">
      <c r="H67" s="8">
        <v>3793</v>
      </c>
      <c r="I67" s="8" t="s">
        <v>107</v>
      </c>
      <c r="J67" s="8">
        <v>2</v>
      </c>
      <c r="K67" s="7" t="s">
        <v>225</v>
      </c>
      <c r="L67" s="7" t="s">
        <v>226</v>
      </c>
      <c r="M67" s="7" t="s">
        <v>104</v>
      </c>
    </row>
    <row r="68" spans="8:13">
      <c r="H68" s="8">
        <v>3805</v>
      </c>
      <c r="I68" s="8" t="s">
        <v>107</v>
      </c>
      <c r="J68" s="8">
        <v>2</v>
      </c>
      <c r="K68" s="7" t="s">
        <v>227</v>
      </c>
      <c r="L68" s="7" t="s">
        <v>228</v>
      </c>
      <c r="M68" s="7" t="s">
        <v>104</v>
      </c>
    </row>
    <row r="69" spans="8:13">
      <c r="H69" s="8">
        <v>3803</v>
      </c>
      <c r="I69" s="8" t="s">
        <v>107</v>
      </c>
      <c r="J69" s="8">
        <v>2</v>
      </c>
      <c r="K69" s="7" t="s">
        <v>229</v>
      </c>
      <c r="L69" s="7" t="s">
        <v>230</v>
      </c>
      <c r="M69" s="7" t="s">
        <v>104</v>
      </c>
    </row>
    <row r="70" spans="8:13">
      <c r="H70" s="8">
        <v>3802</v>
      </c>
      <c r="I70" s="8" t="s">
        <v>107</v>
      </c>
      <c r="J70" s="8">
        <v>2</v>
      </c>
      <c r="K70" s="7" t="s">
        <v>231</v>
      </c>
      <c r="L70" s="7" t="s">
        <v>232</v>
      </c>
      <c r="M70" s="7" t="s">
        <v>104</v>
      </c>
    </row>
    <row r="71" spans="8:13">
      <c r="H71" s="8">
        <v>3801</v>
      </c>
      <c r="I71" s="8" t="s">
        <v>107</v>
      </c>
      <c r="J71" s="8">
        <v>2</v>
      </c>
      <c r="K71" s="7" t="s">
        <v>233</v>
      </c>
      <c r="L71" s="7" t="s">
        <v>234</v>
      </c>
      <c r="M71" s="7" t="s">
        <v>104</v>
      </c>
    </row>
    <row r="72" spans="8:13">
      <c r="H72" s="8">
        <v>3800</v>
      </c>
      <c r="I72" s="8" t="s">
        <v>107</v>
      </c>
      <c r="J72" s="8">
        <v>2</v>
      </c>
      <c r="K72" s="7" t="s">
        <v>235</v>
      </c>
      <c r="L72" s="7" t="s">
        <v>236</v>
      </c>
      <c r="M72" s="7" t="s">
        <v>104</v>
      </c>
    </row>
    <row r="73" spans="8:13">
      <c r="H73" s="8">
        <v>3799</v>
      </c>
      <c r="I73" s="8" t="s">
        <v>107</v>
      </c>
      <c r="J73" s="8">
        <v>2</v>
      </c>
      <c r="K73" s="7" t="s">
        <v>237</v>
      </c>
      <c r="L73" s="7" t="s">
        <v>238</v>
      </c>
      <c r="M73" s="7" t="s">
        <v>104</v>
      </c>
    </row>
    <row r="74" spans="8:13">
      <c r="H74" s="8">
        <v>3797</v>
      </c>
      <c r="I74" s="8" t="s">
        <v>107</v>
      </c>
      <c r="J74" s="8">
        <v>2</v>
      </c>
      <c r="K74" s="7" t="s">
        <v>239</v>
      </c>
      <c r="L74" s="7" t="s">
        <v>240</v>
      </c>
      <c r="M74" s="7" t="s">
        <v>104</v>
      </c>
    </row>
    <row r="75" spans="8:13">
      <c r="H75" s="8">
        <v>3796</v>
      </c>
      <c r="I75" s="8" t="s">
        <v>107</v>
      </c>
      <c r="J75" s="8">
        <v>2</v>
      </c>
      <c r="K75" s="7" t="s">
        <v>241</v>
      </c>
      <c r="L75" s="7" t="s">
        <v>242</v>
      </c>
      <c r="M75" s="7" t="s">
        <v>104</v>
      </c>
    </row>
    <row r="76" spans="8:13">
      <c r="H76" s="8">
        <v>3795</v>
      </c>
      <c r="I76" s="8" t="s">
        <v>107</v>
      </c>
      <c r="J76" s="8">
        <v>2</v>
      </c>
      <c r="K76" s="7" t="s">
        <v>243</v>
      </c>
      <c r="L76" s="7" t="s">
        <v>244</v>
      </c>
      <c r="M76" s="7" t="s">
        <v>104</v>
      </c>
    </row>
    <row r="77" spans="8:13">
      <c r="H77" s="8">
        <v>3794</v>
      </c>
      <c r="I77" s="8" t="s">
        <v>107</v>
      </c>
      <c r="J77" s="8">
        <v>2</v>
      </c>
      <c r="K77" s="7" t="s">
        <v>245</v>
      </c>
      <c r="L77" s="7" t="s">
        <v>246</v>
      </c>
      <c r="M77" s="7" t="s">
        <v>104</v>
      </c>
    </row>
    <row r="78" spans="8:13">
      <c r="H78" s="8">
        <v>3792</v>
      </c>
      <c r="I78" s="8" t="s">
        <v>107</v>
      </c>
      <c r="J78" s="8">
        <v>2</v>
      </c>
      <c r="K78" s="7" t="s">
        <v>247</v>
      </c>
      <c r="L78" s="7" t="s">
        <v>248</v>
      </c>
      <c r="M78" s="7" t="s">
        <v>104</v>
      </c>
    </row>
    <row r="79" spans="8:13">
      <c r="H79" s="8">
        <v>3798</v>
      </c>
      <c r="I79" s="8" t="s">
        <v>107</v>
      </c>
      <c r="J79" s="8">
        <v>2</v>
      </c>
      <c r="K79" s="7" t="s">
        <v>249</v>
      </c>
      <c r="L79" s="7" t="s">
        <v>250</v>
      </c>
      <c r="M79" s="7" t="s">
        <v>104</v>
      </c>
    </row>
    <row r="80" spans="8:13">
      <c r="H80" s="8">
        <v>3768</v>
      </c>
      <c r="I80" s="8" t="s">
        <v>251</v>
      </c>
      <c r="J80" s="8">
        <v>3</v>
      </c>
      <c r="K80" s="7" t="s">
        <v>105</v>
      </c>
      <c r="L80" s="7" t="s">
        <v>106</v>
      </c>
      <c r="M80" s="7" t="s">
        <v>104</v>
      </c>
    </row>
    <row r="81" spans="8:13">
      <c r="H81" s="8">
        <v>3769</v>
      </c>
      <c r="I81" s="8" t="s">
        <v>251</v>
      </c>
      <c r="J81" s="8">
        <v>3</v>
      </c>
      <c r="K81" s="7" t="s">
        <v>110</v>
      </c>
      <c r="L81" s="7" t="s">
        <v>111</v>
      </c>
      <c r="M81" s="7" t="s">
        <v>104</v>
      </c>
    </row>
    <row r="82" spans="8:13">
      <c r="H82" s="8">
        <v>3774</v>
      </c>
      <c r="I82" s="8" t="s">
        <v>252</v>
      </c>
      <c r="J82" s="8">
        <v>4</v>
      </c>
      <c r="K82" s="7" t="s">
        <v>130</v>
      </c>
      <c r="L82" s="7" t="s">
        <v>131</v>
      </c>
      <c r="M82" s="7" t="s">
        <v>104</v>
      </c>
    </row>
    <row r="83" spans="8:13">
      <c r="H83" s="8">
        <v>3770</v>
      </c>
      <c r="I83" s="8" t="s">
        <v>252</v>
      </c>
      <c r="J83" s="8">
        <v>4</v>
      </c>
      <c r="K83" s="7" t="s">
        <v>114</v>
      </c>
      <c r="L83" s="7" t="s">
        <v>115</v>
      </c>
      <c r="M83" s="7" t="s">
        <v>104</v>
      </c>
    </row>
    <row r="84" spans="8:13">
      <c r="H84" s="8">
        <v>3771</v>
      </c>
      <c r="I84" s="8" t="s">
        <v>252</v>
      </c>
      <c r="J84" s="8">
        <v>4</v>
      </c>
      <c r="K84" s="7" t="s">
        <v>118</v>
      </c>
      <c r="L84" s="7" t="s">
        <v>119</v>
      </c>
      <c r="M84" s="7" t="s">
        <v>104</v>
      </c>
    </row>
    <row r="85" spans="8:13">
      <c r="H85" s="8">
        <v>3772</v>
      </c>
      <c r="I85" s="8" t="s">
        <v>252</v>
      </c>
      <c r="J85" s="8">
        <v>4</v>
      </c>
      <c r="K85" s="7" t="s">
        <v>122</v>
      </c>
      <c r="L85" s="7" t="s">
        <v>123</v>
      </c>
      <c r="M85" s="7" t="s">
        <v>104</v>
      </c>
    </row>
    <row r="86" spans="8:13">
      <c r="H86" s="8">
        <v>3773</v>
      </c>
      <c r="I86" s="8" t="s">
        <v>252</v>
      </c>
      <c r="J86" s="8">
        <v>4</v>
      </c>
      <c r="K86" s="7" t="s">
        <v>126</v>
      </c>
      <c r="L86" s="7" t="s">
        <v>127</v>
      </c>
      <c r="M86" s="7" t="s">
        <v>104</v>
      </c>
    </row>
    <row r="87" spans="8:13">
      <c r="H87" s="8">
        <v>3775</v>
      </c>
      <c r="I87" s="8" t="s">
        <v>252</v>
      </c>
      <c r="J87" s="8">
        <v>4</v>
      </c>
      <c r="K87" s="7" t="s">
        <v>134</v>
      </c>
      <c r="L87" s="7" t="s">
        <v>135</v>
      </c>
      <c r="M87" s="7" t="s">
        <v>104</v>
      </c>
    </row>
    <row r="88" spans="8:13">
      <c r="H88" s="8">
        <v>3777</v>
      </c>
      <c r="I88" s="8" t="s">
        <v>252</v>
      </c>
      <c r="J88" s="8">
        <v>4</v>
      </c>
      <c r="K88" s="7" t="s">
        <v>138</v>
      </c>
      <c r="L88" s="7" t="s">
        <v>139</v>
      </c>
      <c r="M88" s="7" t="s">
        <v>104</v>
      </c>
    </row>
    <row r="89" spans="8:13">
      <c r="H89" s="8">
        <v>3778</v>
      </c>
      <c r="I89" s="8" t="s">
        <v>252</v>
      </c>
      <c r="J89" s="8">
        <v>4</v>
      </c>
      <c r="K89" s="7" t="s">
        <v>142</v>
      </c>
      <c r="L89" s="7" t="s">
        <v>143</v>
      </c>
      <c r="M89" s="7" t="s">
        <v>104</v>
      </c>
    </row>
    <row r="90" spans="8:13">
      <c r="H90" s="8">
        <v>3845</v>
      </c>
      <c r="I90" s="8" t="s">
        <v>253</v>
      </c>
      <c r="J90" s="8">
        <v>7</v>
      </c>
      <c r="K90" s="7" t="s">
        <v>254</v>
      </c>
      <c r="L90" s="7" t="s">
        <v>255</v>
      </c>
      <c r="M90" s="7" t="s">
        <v>104</v>
      </c>
    </row>
    <row r="91" spans="8:13">
      <c r="H91" s="8">
        <v>3844</v>
      </c>
      <c r="I91" s="8" t="s">
        <v>253</v>
      </c>
      <c r="J91" s="8">
        <v>7</v>
      </c>
      <c r="K91" s="7" t="s">
        <v>256</v>
      </c>
      <c r="L91" s="7" t="s">
        <v>257</v>
      </c>
      <c r="M91" s="7" t="s">
        <v>258</v>
      </c>
    </row>
    <row r="92" spans="8:13">
      <c r="H92" s="8"/>
      <c r="I92" s="8"/>
      <c r="J92" s="8"/>
      <c r="K92" s="7"/>
      <c r="L92" s="7"/>
      <c r="M92" s="7"/>
    </row>
    <row r="93" spans="8:13">
      <c r="H93" s="8"/>
      <c r="I93" s="8"/>
      <c r="J93" s="8"/>
      <c r="K93" s="7"/>
      <c r="L93" s="7"/>
      <c r="M93" s="7"/>
    </row>
    <row r="94" spans="8:13">
      <c r="H94" s="8"/>
      <c r="I94" s="8"/>
      <c r="J94" s="8"/>
      <c r="K94" s="7"/>
      <c r="L94" s="7"/>
      <c r="M94" s="7"/>
    </row>
    <row r="95" spans="8:13">
      <c r="H95" s="8"/>
      <c r="I95" s="8"/>
      <c r="J95" s="8"/>
      <c r="K95" s="7"/>
      <c r="L95" s="7"/>
      <c r="M95" s="7"/>
    </row>
    <row r="96" spans="8:13">
      <c r="H96" s="8"/>
      <c r="I96" s="8"/>
      <c r="J96" s="8"/>
      <c r="K96" s="7"/>
      <c r="L96" s="7"/>
      <c r="M96" s="7"/>
    </row>
    <row r="97" spans="8:13">
      <c r="H97" s="8"/>
      <c r="I97" s="8"/>
      <c r="J97" s="8"/>
      <c r="K97" s="7"/>
      <c r="L97" s="7"/>
      <c r="M97" s="7"/>
    </row>
    <row r="98" spans="8:13">
      <c r="H98" s="8"/>
      <c r="I98" s="8"/>
      <c r="J98" s="8"/>
      <c r="K98" s="7"/>
      <c r="L98" s="7"/>
      <c r="M98" s="7"/>
    </row>
    <row r="99" spans="8:13">
      <c r="H99" s="8"/>
      <c r="I99" s="8"/>
      <c r="J99" s="8"/>
      <c r="K99" s="7"/>
      <c r="L99" s="7"/>
      <c r="M99" s="7"/>
    </row>
    <row r="100" spans="8:13">
      <c r="H100" s="8"/>
      <c r="I100" s="8"/>
      <c r="J100" s="8"/>
      <c r="K100" s="7"/>
      <c r="L100" s="7"/>
      <c r="M100" s="7"/>
    </row>
    <row r="101" spans="8:13">
      <c r="H101" s="8"/>
      <c r="I101" s="8"/>
      <c r="J101" s="8"/>
      <c r="K101" s="7"/>
      <c r="L101" s="7"/>
      <c r="M101" s="7"/>
    </row>
    <row r="102" spans="8:13">
      <c r="H102" s="8"/>
      <c r="I102" s="8"/>
      <c r="J102" s="8"/>
      <c r="K102" s="7"/>
      <c r="L102" s="7"/>
      <c r="M102" s="7"/>
    </row>
    <row r="103" spans="8:13">
      <c r="H103" s="8"/>
      <c r="I103" s="8"/>
      <c r="J103" s="8"/>
      <c r="K103" s="7"/>
      <c r="L103" s="7"/>
      <c r="M103" s="7"/>
    </row>
    <row r="104" spans="8:13">
      <c r="H104" s="8"/>
      <c r="I104" s="8"/>
      <c r="J104" s="8"/>
      <c r="K104" s="7"/>
      <c r="L104" s="7"/>
      <c r="M104" s="7"/>
    </row>
    <row r="105" spans="8:13">
      <c r="H105" s="8"/>
      <c r="I105" s="8"/>
      <c r="J105" s="8"/>
      <c r="K105" s="7"/>
      <c r="L105" s="7"/>
      <c r="M105" s="7"/>
    </row>
    <row r="106" spans="8:13">
      <c r="H106" s="8"/>
      <c r="I106" s="8"/>
      <c r="J106" s="8"/>
      <c r="K106" s="7"/>
      <c r="L106" s="7"/>
      <c r="M106" s="7"/>
    </row>
    <row r="107" spans="8:13">
      <c r="H107" s="8"/>
      <c r="I107" s="8"/>
      <c r="J107" s="8"/>
      <c r="K107" s="7"/>
      <c r="L107" s="7"/>
      <c r="M107" s="7"/>
    </row>
    <row r="108" spans="8:13">
      <c r="H108" s="8"/>
      <c r="I108" s="8"/>
      <c r="J108" s="8"/>
      <c r="K108" s="7"/>
      <c r="L108" s="7"/>
      <c r="M108" s="7"/>
    </row>
    <row r="109" spans="8:13">
      <c r="H109" s="8"/>
      <c r="I109" s="8"/>
      <c r="J109" s="8"/>
      <c r="K109" s="7"/>
      <c r="L109" s="7"/>
      <c r="M109" s="7"/>
    </row>
    <row r="110" spans="8:13">
      <c r="H110" s="8"/>
      <c r="I110" s="8"/>
      <c r="J110" s="8"/>
      <c r="K110" s="7"/>
      <c r="L110" s="7"/>
      <c r="M110" s="7"/>
    </row>
    <row r="111" spans="8:13">
      <c r="H111" s="8"/>
      <c r="I111" s="8"/>
      <c r="J111" s="8"/>
      <c r="K111" s="7"/>
      <c r="L111" s="7"/>
      <c r="M111" s="7"/>
    </row>
    <row r="112" spans="8:13">
      <c r="H112" s="8"/>
      <c r="I112" s="8"/>
      <c r="J112" s="8"/>
      <c r="K112" s="7"/>
      <c r="L112" s="7"/>
      <c r="M112" s="7"/>
    </row>
    <row r="113" spans="8:13">
      <c r="H113" s="8"/>
      <c r="I113" s="8"/>
      <c r="J113" s="8"/>
      <c r="K113" s="7"/>
      <c r="L113" s="7"/>
      <c r="M113" s="7"/>
    </row>
    <row r="114" spans="8:13">
      <c r="H114" s="8"/>
      <c r="I114" s="8"/>
      <c r="J114" s="8"/>
      <c r="K114" s="7"/>
      <c r="L114" s="7"/>
      <c r="M114" s="7"/>
    </row>
    <row r="115" spans="8:13">
      <c r="H115" s="8"/>
      <c r="I115" s="8"/>
      <c r="J115" s="8"/>
      <c r="K115" s="7"/>
      <c r="L115" s="7"/>
      <c r="M115" s="7"/>
    </row>
    <row r="116" spans="8:13">
      <c r="H116" s="8"/>
      <c r="I116" s="8"/>
      <c r="J116" s="8"/>
      <c r="K116" s="7"/>
      <c r="L116" s="7"/>
      <c r="M116" s="7"/>
    </row>
    <row r="117" spans="8:13">
      <c r="H117" s="8"/>
      <c r="I117" s="8"/>
      <c r="J117" s="8"/>
      <c r="K117" s="7"/>
      <c r="L117" s="7"/>
      <c r="M117" s="7"/>
    </row>
    <row r="118" spans="8:13">
      <c r="H118" s="8"/>
      <c r="I118" s="8"/>
      <c r="J118" s="8"/>
      <c r="K118" s="7"/>
      <c r="L118" s="7"/>
      <c r="M118" s="7"/>
    </row>
    <row r="119" spans="8:13">
      <c r="H119" s="8"/>
      <c r="I119" s="8"/>
      <c r="J119" s="8"/>
      <c r="K119" s="7"/>
      <c r="L119" s="7"/>
      <c r="M119" s="7"/>
    </row>
    <row r="120" spans="8:13">
      <c r="H120" s="8"/>
      <c r="I120" s="8"/>
      <c r="J120" s="8"/>
      <c r="K120" s="7"/>
      <c r="L120" s="7"/>
      <c r="M120" s="7"/>
    </row>
    <row r="121" spans="8:13">
      <c r="H121" s="8"/>
      <c r="I121" s="8"/>
      <c r="J121" s="8"/>
      <c r="K121" s="7"/>
      <c r="L121" s="7"/>
      <c r="M121" s="7"/>
    </row>
    <row r="122" spans="8:13">
      <c r="H122" s="8"/>
      <c r="I122" s="8"/>
      <c r="J122" s="8"/>
      <c r="K122" s="7"/>
      <c r="L122" s="7"/>
      <c r="M122" s="7"/>
    </row>
    <row r="123" spans="8:13">
      <c r="H123" s="8"/>
      <c r="I123" s="8"/>
      <c r="J123" s="8"/>
      <c r="K123" s="7"/>
      <c r="L123" s="7"/>
      <c r="M123" s="7"/>
    </row>
    <row r="124" spans="8:13">
      <c r="H124" s="8"/>
      <c r="I124" s="8"/>
      <c r="J124" s="8"/>
      <c r="K124" s="7"/>
      <c r="L124" s="7"/>
      <c r="M124" s="7"/>
    </row>
    <row r="125" spans="8:13">
      <c r="H125" s="8"/>
      <c r="I125" s="8"/>
      <c r="J125" s="8"/>
      <c r="K125" s="7"/>
      <c r="L125" s="7"/>
      <c r="M125" s="7"/>
    </row>
    <row r="126" spans="8:13">
      <c r="H126" s="8"/>
      <c r="I126" s="8"/>
      <c r="J126" s="8"/>
      <c r="K126" s="7"/>
      <c r="L126" s="7"/>
      <c r="M126" s="7"/>
    </row>
    <row r="127" spans="8:13">
      <c r="H127" s="8"/>
      <c r="I127" s="8"/>
      <c r="J127" s="8"/>
      <c r="K127" s="7"/>
      <c r="L127" s="7"/>
      <c r="M127" s="7"/>
    </row>
    <row r="128" spans="8:13">
      <c r="H128" s="8"/>
      <c r="I128" s="8"/>
      <c r="J128" s="8"/>
      <c r="K128" s="7"/>
      <c r="L128" s="7"/>
      <c r="M128" s="7"/>
    </row>
    <row r="129" spans="8:13">
      <c r="H129" s="8"/>
      <c r="I129" s="8"/>
      <c r="J129" s="8"/>
      <c r="K129" s="7"/>
      <c r="L129" s="7"/>
      <c r="M129" s="7"/>
    </row>
    <row r="130" spans="8:13">
      <c r="H130" s="8"/>
      <c r="I130" s="8"/>
      <c r="J130" s="8"/>
      <c r="K130" s="7"/>
      <c r="L130" s="7"/>
      <c r="M130" s="7"/>
    </row>
    <row r="131" spans="8:13">
      <c r="H131" s="8"/>
      <c r="I131" s="8"/>
      <c r="J131" s="8"/>
      <c r="K131" s="7"/>
      <c r="L131" s="7"/>
      <c r="M131" s="7"/>
    </row>
    <row r="132" spans="8:13">
      <c r="H132" s="8"/>
      <c r="I132" s="8"/>
      <c r="J132" s="8"/>
      <c r="K132" s="7"/>
      <c r="L132" s="7"/>
      <c r="M132" s="7"/>
    </row>
    <row r="133" spans="8:13">
      <c r="H133" s="8"/>
      <c r="I133" s="8"/>
      <c r="J133" s="8"/>
      <c r="K133" s="7"/>
      <c r="L133" s="7"/>
      <c r="M133" s="7"/>
    </row>
    <row r="134" spans="8:13">
      <c r="H134" s="8"/>
      <c r="I134" s="8"/>
      <c r="J134" s="8"/>
      <c r="K134" s="7"/>
      <c r="L134" s="7"/>
      <c r="M134" s="7"/>
    </row>
    <row r="135" spans="8:13">
      <c r="H135" s="8"/>
      <c r="I135" s="8"/>
      <c r="J135" s="8"/>
      <c r="K135" s="7"/>
      <c r="L135" s="7"/>
      <c r="M135" s="7"/>
    </row>
    <row r="136" spans="8:13">
      <c r="H136" s="8"/>
      <c r="I136" s="8"/>
      <c r="J136" s="8"/>
      <c r="K136" s="7"/>
      <c r="L136" s="7"/>
      <c r="M136" s="7"/>
    </row>
    <row r="137" spans="8:13">
      <c r="H137" s="8"/>
      <c r="I137" s="8"/>
      <c r="J137" s="8"/>
      <c r="K137" s="7"/>
      <c r="L137" s="7"/>
      <c r="M137" s="7"/>
    </row>
    <row r="138" spans="8:13">
      <c r="H138" s="8"/>
      <c r="I138" s="8"/>
      <c r="J138" s="8"/>
      <c r="K138" s="7"/>
      <c r="L138" s="7"/>
      <c r="M138" s="7"/>
    </row>
    <row r="139" spans="8:13">
      <c r="H139" s="8"/>
      <c r="I139" s="8"/>
      <c r="J139" s="8"/>
      <c r="K139" s="7"/>
      <c r="L139" s="7"/>
      <c r="M139" s="7"/>
    </row>
    <row r="140" spans="8:13">
      <c r="H140" s="8"/>
      <c r="I140" s="8"/>
      <c r="J140" s="8"/>
      <c r="K140" s="7"/>
      <c r="L140" s="7"/>
      <c r="M140" s="7"/>
    </row>
    <row r="141" spans="8:13">
      <c r="H141" s="8"/>
      <c r="I141" s="8"/>
      <c r="J141" s="8"/>
      <c r="K141" s="7"/>
      <c r="L141" s="7"/>
      <c r="M141" s="7"/>
    </row>
    <row r="142" spans="8:13">
      <c r="H142" s="8"/>
      <c r="I142" s="8"/>
      <c r="J142" s="8"/>
      <c r="K142" s="7"/>
      <c r="L142" s="7"/>
      <c r="M142" s="7"/>
    </row>
    <row r="143" spans="8:13">
      <c r="H143" s="8"/>
      <c r="I143" s="8"/>
      <c r="J143" s="8"/>
      <c r="K143" s="7"/>
      <c r="L143" s="7"/>
      <c r="M143" s="7"/>
    </row>
    <row r="144" spans="8:13">
      <c r="H144" s="8"/>
      <c r="I144" s="8"/>
      <c r="J144" s="8"/>
      <c r="K144" s="7"/>
      <c r="L144" s="7"/>
      <c r="M144" s="7"/>
    </row>
    <row r="145" spans="8:13">
      <c r="H145" s="8"/>
      <c r="I145" s="8"/>
      <c r="J145" s="8"/>
      <c r="K145" s="7"/>
      <c r="L145" s="7"/>
      <c r="M145" s="7"/>
    </row>
    <row r="146" spans="8:13">
      <c r="H146" s="8"/>
      <c r="I146" s="8"/>
      <c r="J146" s="8"/>
      <c r="K146" s="7"/>
      <c r="L146" s="7"/>
      <c r="M146" s="7"/>
    </row>
    <row r="147" spans="8:13">
      <c r="H147" s="8"/>
      <c r="I147" s="8"/>
      <c r="J147" s="8"/>
      <c r="K147" s="7"/>
      <c r="L147" s="7"/>
      <c r="M147" s="7"/>
    </row>
    <row r="148" spans="8:13">
      <c r="H148" s="8"/>
      <c r="I148" s="8"/>
      <c r="J148" s="8"/>
      <c r="K148" s="7"/>
      <c r="L148" s="7"/>
      <c r="M148" s="7"/>
    </row>
    <row r="149" spans="8:13">
      <c r="H149" s="8"/>
      <c r="I149" s="8"/>
      <c r="J149" s="8"/>
      <c r="K149" s="7"/>
      <c r="L149" s="7"/>
      <c r="M149" s="7"/>
    </row>
    <row r="150" spans="8:13">
      <c r="H150" s="8"/>
      <c r="I150" s="8"/>
      <c r="J150" s="8"/>
      <c r="K150" s="7"/>
      <c r="L150" s="7"/>
      <c r="M150" s="7"/>
    </row>
    <row r="151" spans="8:13">
      <c r="H151" s="8"/>
      <c r="I151" s="8"/>
      <c r="J151" s="8"/>
      <c r="K151" s="7"/>
      <c r="L151" s="7"/>
      <c r="M151" s="7"/>
    </row>
    <row r="152" spans="8:13">
      <c r="H152" s="8"/>
      <c r="I152" s="8"/>
      <c r="J152" s="8"/>
      <c r="K152" s="7"/>
      <c r="L152" s="7"/>
      <c r="M152" s="7"/>
    </row>
    <row r="153" spans="8:13">
      <c r="H153" s="8"/>
      <c r="I153" s="8"/>
      <c r="J153" s="8"/>
      <c r="K153" s="7"/>
      <c r="L153" s="7"/>
      <c r="M153" s="7"/>
    </row>
    <row r="154" spans="8:13">
      <c r="H154" s="8"/>
      <c r="I154" s="8"/>
      <c r="J154" s="8"/>
      <c r="K154" s="7"/>
      <c r="L154" s="7"/>
      <c r="M154" s="7"/>
    </row>
    <row r="155" spans="8:13">
      <c r="H155" s="8"/>
      <c r="I155" s="8"/>
      <c r="J155" s="8"/>
      <c r="K155" s="7"/>
      <c r="L155" s="7"/>
      <c r="M155" s="7"/>
    </row>
    <row r="156" spans="8:13">
      <c r="H156" s="8"/>
      <c r="I156" s="8"/>
      <c r="J156" s="8"/>
      <c r="K156" s="7"/>
      <c r="L156" s="7"/>
      <c r="M156" s="7"/>
    </row>
    <row r="157" spans="8:13">
      <c r="H157" s="8"/>
      <c r="I157" s="8"/>
      <c r="J157" s="8"/>
      <c r="K157" s="7"/>
      <c r="L157" s="7"/>
      <c r="M157" s="7"/>
    </row>
  </sheetData>
  <mergeCells count="14">
    <mergeCell ref="H14:M14"/>
    <mergeCell ref="B14:E14"/>
    <mergeCell ref="B6:E6"/>
    <mergeCell ref="B13:E13"/>
    <mergeCell ref="B3:E3"/>
    <mergeCell ref="C4:E4"/>
    <mergeCell ref="H6:I6"/>
    <mergeCell ref="H7:I7"/>
    <mergeCell ref="H8:I8"/>
    <mergeCell ref="H9:I9"/>
    <mergeCell ref="K6:L6"/>
    <mergeCell ref="K7:L7"/>
    <mergeCell ref="K8:L8"/>
    <mergeCell ref="K9:L9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4495-84A9-2F40-A7E5-8706789887FC}">
  <sheetPr codeName="Sheet2">
    <tabColor rgb="FFFF0000"/>
  </sheetPr>
  <dimension ref="A1:FU2058"/>
  <sheetViews>
    <sheetView topLeftCell="A316" zoomScaleNormal="100" workbookViewId="0">
      <selection activeCell="A341" sqref="A341"/>
    </sheetView>
  </sheetViews>
  <sheetFormatPr defaultColWidth="25.125" defaultRowHeight="15.75"/>
  <cols>
    <col min="1" max="1" width="15.625" bestFit="1" customWidth="1"/>
    <col min="2" max="2" width="13.5" bestFit="1" customWidth="1"/>
    <col min="3" max="3" width="19.625" bestFit="1" customWidth="1"/>
    <col min="4" max="4" width="11" bestFit="1" customWidth="1"/>
    <col min="5" max="6" width="9.625" bestFit="1" customWidth="1"/>
    <col min="7" max="7" width="10.125" bestFit="1" customWidth="1"/>
    <col min="8" max="8" width="11" bestFit="1" customWidth="1"/>
    <col min="9" max="10" width="9.625" bestFit="1" customWidth="1"/>
    <col min="11" max="11" width="10.125" bestFit="1" customWidth="1"/>
    <col min="12" max="12" width="11" bestFit="1" customWidth="1"/>
    <col min="13" max="14" width="9.625" bestFit="1" customWidth="1"/>
    <col min="15" max="15" width="10.125" bestFit="1" customWidth="1"/>
    <col min="16" max="16" width="11" bestFit="1" customWidth="1"/>
    <col min="17" max="18" width="9.625" bestFit="1" customWidth="1"/>
    <col min="19" max="19" width="10.125" bestFit="1" customWidth="1"/>
    <col min="20" max="20" width="11" bestFit="1" customWidth="1"/>
    <col min="21" max="22" width="9.625" bestFit="1" customWidth="1"/>
    <col min="23" max="23" width="10.125" bestFit="1" customWidth="1"/>
    <col min="24" max="24" width="11" bestFit="1" customWidth="1"/>
    <col min="25" max="26" width="9.5" bestFit="1" customWidth="1"/>
    <col min="27" max="27" width="10.125" bestFit="1" customWidth="1"/>
    <col min="28" max="28" width="11" bestFit="1" customWidth="1"/>
    <col min="29" max="30" width="9.5" bestFit="1" customWidth="1"/>
    <col min="31" max="31" width="10.125" bestFit="1" customWidth="1"/>
    <col min="32" max="32" width="11" bestFit="1" customWidth="1"/>
    <col min="33" max="34" width="9.5" bestFit="1" customWidth="1"/>
    <col min="35" max="35" width="10.125" bestFit="1" customWidth="1"/>
    <col min="36" max="36" width="11" bestFit="1" customWidth="1"/>
    <col min="37" max="38" width="9.5" bestFit="1" customWidth="1"/>
    <col min="39" max="39" width="10.125" bestFit="1" customWidth="1"/>
    <col min="40" max="40" width="11" bestFit="1" customWidth="1"/>
    <col min="41" max="41" width="9.5" bestFit="1" customWidth="1"/>
    <col min="42" max="51" width="9.5" customWidth="1"/>
    <col min="52" max="52" width="9.5" bestFit="1" customWidth="1"/>
    <col min="53" max="53" width="18.625" customWidth="1"/>
    <col min="54" max="54" width="10.625" bestFit="1" customWidth="1"/>
    <col min="55" max="55" width="28.125" customWidth="1"/>
    <col min="56" max="56" width="9.5" bestFit="1" customWidth="1"/>
    <col min="57" max="57" width="10" bestFit="1" customWidth="1"/>
    <col min="58" max="58" width="10.625" bestFit="1" customWidth="1"/>
    <col min="59" max="60" width="9.5" bestFit="1" customWidth="1"/>
    <col min="61" max="61" width="10" bestFit="1" customWidth="1"/>
    <col min="62" max="62" width="10.625" bestFit="1" customWidth="1"/>
    <col min="63" max="64" width="9.5" bestFit="1" customWidth="1"/>
    <col min="65" max="65" width="10" bestFit="1" customWidth="1"/>
    <col min="66" max="66" width="10.625" bestFit="1" customWidth="1"/>
    <col min="67" max="68" width="9.5" bestFit="1" customWidth="1"/>
    <col min="69" max="69" width="10" bestFit="1" customWidth="1"/>
    <col min="70" max="70" width="10.625" bestFit="1" customWidth="1"/>
    <col min="71" max="72" width="9.5" bestFit="1" customWidth="1"/>
    <col min="73" max="73" width="10" bestFit="1" customWidth="1"/>
    <col min="74" max="74" width="11.125" bestFit="1" customWidth="1"/>
    <col min="75" max="76" width="10" bestFit="1" customWidth="1"/>
    <col min="77" max="77" width="10.5" bestFit="1" customWidth="1"/>
    <col min="78" max="78" width="11.125" bestFit="1" customWidth="1"/>
    <col min="79" max="80" width="10" bestFit="1" customWidth="1"/>
    <col min="81" max="81" width="10.5" bestFit="1" customWidth="1"/>
    <col min="82" max="82" width="11.125" bestFit="1" customWidth="1"/>
    <col min="83" max="84" width="10" bestFit="1" customWidth="1"/>
    <col min="85" max="85" width="10.5" bestFit="1" customWidth="1"/>
    <col min="86" max="86" width="11.125" bestFit="1" customWidth="1"/>
    <col min="87" max="88" width="10" bestFit="1" customWidth="1"/>
    <col min="89" max="89" width="10.5" bestFit="1" customWidth="1"/>
    <col min="90" max="90" width="11.125" bestFit="1" customWidth="1"/>
    <col min="91" max="92" width="10" bestFit="1" customWidth="1"/>
    <col min="93" max="93" width="10.5" bestFit="1" customWidth="1"/>
    <col min="94" max="94" width="12" bestFit="1" customWidth="1"/>
    <col min="95" max="96" width="10.625" bestFit="1" customWidth="1"/>
    <col min="97" max="97" width="11.125" bestFit="1" customWidth="1"/>
    <col min="98" max="98" width="12" bestFit="1" customWidth="1"/>
    <col min="99" max="100" width="10.625" bestFit="1" customWidth="1"/>
    <col min="101" max="101" width="11.125" bestFit="1" customWidth="1"/>
    <col min="102" max="102" width="12" bestFit="1" customWidth="1"/>
    <col min="103" max="104" width="10.625" bestFit="1" customWidth="1"/>
    <col min="105" max="105" width="11.125" bestFit="1" customWidth="1"/>
    <col min="106" max="106" width="12" bestFit="1" customWidth="1"/>
    <col min="107" max="108" width="10.625" bestFit="1" customWidth="1"/>
    <col min="109" max="109" width="11.125" bestFit="1" customWidth="1"/>
    <col min="110" max="110" width="12" bestFit="1" customWidth="1"/>
    <col min="111" max="112" width="10.625" bestFit="1" customWidth="1"/>
    <col min="113" max="113" width="11.125" bestFit="1" customWidth="1"/>
    <col min="114" max="114" width="5.125" bestFit="1" customWidth="1"/>
    <col min="115" max="115" width="15.625" bestFit="1" customWidth="1"/>
    <col min="116" max="116" width="13.5" bestFit="1" customWidth="1"/>
    <col min="117" max="117" width="19.625" bestFit="1" customWidth="1"/>
    <col min="118" max="120" width="6.125" bestFit="1" customWidth="1"/>
    <col min="121" max="121" width="6.625" bestFit="1" customWidth="1"/>
    <col min="122" max="122" width="6.125" bestFit="1" customWidth="1"/>
    <col min="123" max="127" width="7" bestFit="1" customWidth="1"/>
    <col min="128" max="132" width="11" bestFit="1" customWidth="1"/>
    <col min="133" max="133" width="6.5" bestFit="1" customWidth="1"/>
    <col min="134" max="134" width="6.125" bestFit="1" customWidth="1"/>
    <col min="135" max="136" width="6.625" bestFit="1" customWidth="1"/>
    <col min="137" max="137" width="7.5" bestFit="1" customWidth="1"/>
    <col min="138" max="138" width="8" bestFit="1" customWidth="1"/>
    <col min="139" max="140" width="6.625" bestFit="1" customWidth="1"/>
    <col min="141" max="141" width="7.125" bestFit="1" customWidth="1"/>
    <col min="142" max="142" width="8.5" bestFit="1" customWidth="1"/>
    <col min="143" max="143" width="20" bestFit="1" customWidth="1"/>
    <col min="144" max="144" width="11.125" bestFit="1" customWidth="1"/>
    <col min="145" max="145" width="11.625" bestFit="1" customWidth="1"/>
    <col min="146" max="146" width="12.5" bestFit="1" customWidth="1"/>
    <col min="147" max="148" width="11.125" bestFit="1" customWidth="1"/>
    <col min="149" max="149" width="11.625" bestFit="1" customWidth="1"/>
    <col min="150" max="150" width="12.5" bestFit="1" customWidth="1"/>
    <col min="151" max="152" width="11.125" bestFit="1" customWidth="1"/>
    <col min="153" max="153" width="11.625" bestFit="1" customWidth="1"/>
    <col min="154" max="154" width="12.5" bestFit="1" customWidth="1"/>
    <col min="155" max="156" width="11.125" bestFit="1" customWidth="1"/>
    <col min="157" max="157" width="11.625" bestFit="1" customWidth="1"/>
    <col min="158" max="158" width="12.5" bestFit="1" customWidth="1"/>
    <col min="159" max="160" width="11.125" bestFit="1" customWidth="1"/>
    <col min="161" max="161" width="11.625" bestFit="1" customWidth="1"/>
    <col min="162" max="162" width="12.5" bestFit="1" customWidth="1"/>
    <col min="163" max="164" width="11.125" bestFit="1" customWidth="1"/>
    <col min="165" max="165" width="11.625" bestFit="1" customWidth="1"/>
    <col min="166" max="166" width="12.5" bestFit="1" customWidth="1"/>
    <col min="167" max="167" width="15.625" bestFit="1" customWidth="1"/>
    <col min="168" max="168" width="13.5" bestFit="1" customWidth="1"/>
    <col min="169" max="169" width="19.625" bestFit="1" customWidth="1"/>
    <col min="170" max="171" width="5.625" bestFit="1" customWidth="1"/>
    <col min="172" max="173" width="6.625" bestFit="1" customWidth="1"/>
    <col min="174" max="174" width="5.125" bestFit="1" customWidth="1"/>
    <col min="175" max="175" width="10" bestFit="1" customWidth="1"/>
    <col min="176" max="177" width="8.625" bestFit="1" customWidth="1"/>
    <col min="178" max="178" width="9.125" bestFit="1" customWidth="1"/>
    <col min="179" max="179" width="10" bestFit="1" customWidth="1"/>
    <col min="180" max="181" width="8.5" bestFit="1" customWidth="1"/>
    <col min="182" max="182" width="9.125" bestFit="1" customWidth="1"/>
    <col min="183" max="183" width="9.625" bestFit="1" customWidth="1"/>
    <col min="184" max="185" width="8.5" bestFit="1" customWidth="1"/>
    <col min="186" max="186" width="9" bestFit="1" customWidth="1"/>
    <col min="187" max="187" width="10.125" bestFit="1" customWidth="1"/>
    <col min="188" max="189" width="9" bestFit="1" customWidth="1"/>
    <col min="190" max="190" width="9.5" bestFit="1" customWidth="1"/>
    <col min="191" max="191" width="11" bestFit="1" customWidth="1"/>
    <col min="192" max="193" width="9.625" bestFit="1" customWidth="1"/>
    <col min="194" max="194" width="10.125" bestFit="1" customWidth="1"/>
    <col min="195" max="195" width="5.125" bestFit="1" customWidth="1"/>
    <col min="196" max="196" width="6" bestFit="1" customWidth="1"/>
    <col min="197" max="197" width="10" bestFit="1" customWidth="1"/>
    <col min="198" max="198" width="8.5" bestFit="1" customWidth="1"/>
    <col min="199" max="199" width="20" bestFit="1" customWidth="1"/>
    <col min="200" max="200" width="12.5" bestFit="1" customWidth="1"/>
    <col min="201" max="201" width="13" bestFit="1" customWidth="1"/>
    <col min="202" max="202" width="13.625" bestFit="1" customWidth="1"/>
    <col min="203" max="204" width="12.5" bestFit="1" customWidth="1"/>
    <col min="205" max="205" width="13" bestFit="1" customWidth="1"/>
    <col min="206" max="206" width="13.625" bestFit="1" customWidth="1"/>
    <col min="207" max="208" width="12.5" bestFit="1" customWidth="1"/>
    <col min="209" max="209" width="13" bestFit="1" customWidth="1"/>
    <col min="210" max="210" width="13.625" bestFit="1" customWidth="1"/>
    <col min="211" max="212" width="12.5" bestFit="1" customWidth="1"/>
    <col min="213" max="213" width="13" bestFit="1" customWidth="1"/>
    <col min="214" max="214" width="8.5" bestFit="1" customWidth="1"/>
    <col min="215" max="215" width="20" bestFit="1" customWidth="1"/>
  </cols>
  <sheetData>
    <row r="1" spans="1:74">
      <c r="A1" s="43">
        <f>setup!C16</f>
        <v>3766</v>
      </c>
      <c r="BA1" s="43">
        <f>A1</f>
        <v>3766</v>
      </c>
    </row>
    <row r="2" spans="1:74" s="43" customFormat="1">
      <c r="A2" s="43" t="str">
        <f>_xlfn.CONCAT(setup!D16, " - ",setup!E16)</f>
        <v>WISC-6 Standardization - Paper - WISC6_STDZ_P</v>
      </c>
      <c r="BA2" s="43" t="str">
        <f>A2</f>
        <v>WISC-6 Standardization - Paper - WISC6_STDZ_P</v>
      </c>
    </row>
    <row r="3" spans="1:74">
      <c r="A3" t="s">
        <v>5</v>
      </c>
      <c r="B3" t="s">
        <v>259</v>
      </c>
      <c r="C3" t="s">
        <v>260</v>
      </c>
      <c r="D3" t="s">
        <v>261</v>
      </c>
      <c r="E3" t="s">
        <v>262</v>
      </c>
      <c r="F3" t="s">
        <v>263</v>
      </c>
      <c r="G3" t="s">
        <v>264</v>
      </c>
      <c r="H3" t="s">
        <v>265</v>
      </c>
      <c r="I3" t="s">
        <v>266</v>
      </c>
      <c r="J3" t="s">
        <v>267</v>
      </c>
      <c r="K3" t="s">
        <v>268</v>
      </c>
      <c r="L3" t="s">
        <v>269</v>
      </c>
      <c r="M3" t="s">
        <v>270</v>
      </c>
      <c r="N3" t="s">
        <v>271</v>
      </c>
      <c r="O3" t="s">
        <v>272</v>
      </c>
      <c r="P3" t="s">
        <v>273</v>
      </c>
      <c r="Q3" t="s">
        <v>274</v>
      </c>
      <c r="R3" t="s">
        <v>275</v>
      </c>
      <c r="S3" t="s">
        <v>276</v>
      </c>
      <c r="T3" t="s">
        <v>277</v>
      </c>
      <c r="U3" t="s">
        <v>278</v>
      </c>
      <c r="V3" t="s">
        <v>279</v>
      </c>
      <c r="W3" t="s">
        <v>280</v>
      </c>
      <c r="X3" t="s">
        <v>281</v>
      </c>
      <c r="Y3" t="s">
        <v>282</v>
      </c>
      <c r="Z3" t="s">
        <v>283</v>
      </c>
      <c r="AA3" t="s">
        <v>284</v>
      </c>
      <c r="AB3" t="s">
        <v>285</v>
      </c>
      <c r="AC3" t="s">
        <v>59</v>
      </c>
      <c r="AD3" t="s">
        <v>47</v>
      </c>
      <c r="AE3" t="s">
        <v>33</v>
      </c>
      <c r="AF3" t="s">
        <v>60</v>
      </c>
      <c r="AG3" t="s">
        <v>45</v>
      </c>
      <c r="AH3" t="s">
        <v>34</v>
      </c>
      <c r="AI3" t="s">
        <v>26</v>
      </c>
      <c r="AJ3" t="s">
        <v>150</v>
      </c>
      <c r="AK3" t="s">
        <v>286</v>
      </c>
      <c r="BA3" t="s">
        <v>5</v>
      </c>
      <c r="BB3" t="s">
        <v>259</v>
      </c>
      <c r="BC3" t="s">
        <v>260</v>
      </c>
      <c r="BD3" s="1" t="s">
        <v>29</v>
      </c>
      <c r="BE3" s="1" t="s">
        <v>56</v>
      </c>
      <c r="BF3" s="1" t="s">
        <v>50</v>
      </c>
      <c r="BG3" s="1" t="s">
        <v>38</v>
      </c>
      <c r="BH3" s="1" t="s">
        <v>58</v>
      </c>
      <c r="BI3" s="1" t="s">
        <v>22</v>
      </c>
      <c r="BJ3" s="1" t="s">
        <v>36</v>
      </c>
      <c r="BK3" s="1" t="s">
        <v>24</v>
      </c>
      <c r="BL3" s="1" t="s">
        <v>31</v>
      </c>
      <c r="BM3" s="1" t="s">
        <v>39</v>
      </c>
      <c r="BN3" s="1" t="s">
        <v>59</v>
      </c>
      <c r="BO3" s="1" t="s">
        <v>47</v>
      </c>
      <c r="BP3" s="1" t="s">
        <v>33</v>
      </c>
      <c r="BQ3" s="1" t="s">
        <v>60</v>
      </c>
      <c r="BR3" s="1" t="s">
        <v>45</v>
      </c>
      <c r="BS3" s="1" t="s">
        <v>34</v>
      </c>
      <c r="BT3" t="s">
        <v>26</v>
      </c>
      <c r="BU3" s="1" t="s">
        <v>150</v>
      </c>
      <c r="BV3" t="s">
        <v>286</v>
      </c>
    </row>
    <row r="4" spans="1:74">
      <c r="A4" t="s">
        <v>65</v>
      </c>
      <c r="B4" t="s">
        <v>287</v>
      </c>
      <c r="C4" t="s">
        <v>288</v>
      </c>
      <c r="D4">
        <v>0.41</v>
      </c>
      <c r="E4">
        <v>0.42</v>
      </c>
      <c r="F4">
        <v>0.98</v>
      </c>
      <c r="G4">
        <v>1.8</v>
      </c>
      <c r="H4">
        <v>6.7</v>
      </c>
      <c r="I4">
        <v>0.39</v>
      </c>
      <c r="J4">
        <v>1.48</v>
      </c>
      <c r="K4">
        <v>7.01</v>
      </c>
      <c r="L4">
        <v>9.06</v>
      </c>
      <c r="M4">
        <v>6.58</v>
      </c>
      <c r="N4">
        <v>2.9</v>
      </c>
      <c r="O4">
        <v>5.43</v>
      </c>
      <c r="P4">
        <v>13.3</v>
      </c>
      <c r="Q4">
        <v>15.73</v>
      </c>
      <c r="R4">
        <v>11</v>
      </c>
      <c r="S4">
        <v>0.42</v>
      </c>
      <c r="T4">
        <v>0.82</v>
      </c>
      <c r="U4">
        <v>3.66</v>
      </c>
      <c r="V4">
        <v>6.65</v>
      </c>
      <c r="W4">
        <v>8.6300000000000008</v>
      </c>
      <c r="X4">
        <v>1.1200000000000001</v>
      </c>
      <c r="Y4">
        <v>1.76</v>
      </c>
      <c r="Z4">
        <v>14.7</v>
      </c>
      <c r="AA4">
        <v>31.08</v>
      </c>
      <c r="AB4">
        <v>47.97</v>
      </c>
      <c r="AC4">
        <v>44.3</v>
      </c>
      <c r="AD4">
        <v>30.53</v>
      </c>
      <c r="AE4">
        <v>80</v>
      </c>
      <c r="AF4">
        <v>45.17</v>
      </c>
      <c r="AG4">
        <v>100</v>
      </c>
      <c r="AH4">
        <v>100</v>
      </c>
      <c r="AI4">
        <v>0</v>
      </c>
      <c r="AJ4">
        <v>200</v>
      </c>
      <c r="AK4" t="s">
        <v>289</v>
      </c>
      <c r="BA4" t="s">
        <v>65</v>
      </c>
      <c r="BB4" t="s">
        <v>287</v>
      </c>
      <c r="BC4" t="s">
        <v>288</v>
      </c>
      <c r="BD4">
        <v>5.24</v>
      </c>
      <c r="BE4">
        <v>9.9</v>
      </c>
      <c r="BF4">
        <v>39.65</v>
      </c>
      <c r="BG4">
        <v>64.319999999999993</v>
      </c>
      <c r="BH4">
        <v>80.88</v>
      </c>
      <c r="BI4">
        <v>10.31</v>
      </c>
      <c r="BJ4">
        <v>24.51</v>
      </c>
      <c r="BK4">
        <v>48.37</v>
      </c>
      <c r="BL4">
        <v>20.18</v>
      </c>
      <c r="BM4">
        <v>96.64</v>
      </c>
      <c r="BN4">
        <v>44.3</v>
      </c>
      <c r="BO4">
        <v>30.53</v>
      </c>
      <c r="BP4">
        <v>80</v>
      </c>
      <c r="BQ4">
        <v>45.17</v>
      </c>
      <c r="BR4">
        <v>100</v>
      </c>
      <c r="BS4">
        <v>100</v>
      </c>
      <c r="BT4">
        <v>0</v>
      </c>
      <c r="BU4">
        <v>200</v>
      </c>
      <c r="BV4" t="s">
        <v>289</v>
      </c>
    </row>
    <row r="5" spans="1:74">
      <c r="A5" t="s">
        <v>65</v>
      </c>
      <c r="B5" t="s">
        <v>287</v>
      </c>
      <c r="C5" t="s">
        <v>290</v>
      </c>
      <c r="D5">
        <v>0</v>
      </c>
      <c r="E5">
        <v>0</v>
      </c>
      <c r="F5">
        <v>0</v>
      </c>
      <c r="G5">
        <v>2</v>
      </c>
      <c r="H5">
        <v>7</v>
      </c>
      <c r="I5">
        <v>0</v>
      </c>
      <c r="J5">
        <v>1</v>
      </c>
      <c r="K5">
        <v>7</v>
      </c>
      <c r="L5">
        <v>9</v>
      </c>
      <c r="M5">
        <v>7</v>
      </c>
      <c r="N5">
        <v>3</v>
      </c>
      <c r="O5">
        <v>4</v>
      </c>
      <c r="P5">
        <v>13</v>
      </c>
      <c r="Q5">
        <v>16</v>
      </c>
      <c r="R5">
        <v>10</v>
      </c>
      <c r="S5">
        <v>1</v>
      </c>
      <c r="T5">
        <v>1</v>
      </c>
      <c r="U5">
        <v>3</v>
      </c>
      <c r="V5">
        <v>7</v>
      </c>
      <c r="W5">
        <v>8</v>
      </c>
      <c r="X5">
        <v>0</v>
      </c>
      <c r="Y5">
        <v>0</v>
      </c>
      <c r="Z5">
        <v>13</v>
      </c>
      <c r="AA5">
        <v>31</v>
      </c>
      <c r="AB5">
        <v>48</v>
      </c>
      <c r="AC5">
        <v>49</v>
      </c>
      <c r="AD5">
        <v>33</v>
      </c>
      <c r="AE5">
        <v>75</v>
      </c>
      <c r="AF5">
        <v>34</v>
      </c>
      <c r="AG5">
        <v>98</v>
      </c>
      <c r="AH5">
        <v>93</v>
      </c>
      <c r="AI5">
        <v>0</v>
      </c>
      <c r="AJ5">
        <v>191</v>
      </c>
      <c r="AK5" t="s">
        <v>289</v>
      </c>
      <c r="BA5" t="s">
        <v>65</v>
      </c>
      <c r="BB5" t="s">
        <v>287</v>
      </c>
      <c r="BC5" t="s">
        <v>290</v>
      </c>
      <c r="BD5">
        <v>4</v>
      </c>
      <c r="BE5">
        <v>6</v>
      </c>
      <c r="BF5">
        <v>36</v>
      </c>
      <c r="BG5">
        <v>65</v>
      </c>
      <c r="BH5">
        <v>80</v>
      </c>
      <c r="BI5">
        <v>9</v>
      </c>
      <c r="BJ5">
        <v>24</v>
      </c>
      <c r="BK5">
        <v>46</v>
      </c>
      <c r="BL5">
        <v>20</v>
      </c>
      <c r="BM5">
        <v>92</v>
      </c>
      <c r="BN5">
        <v>49</v>
      </c>
      <c r="BO5">
        <v>33</v>
      </c>
      <c r="BP5">
        <v>75</v>
      </c>
      <c r="BQ5">
        <v>34</v>
      </c>
      <c r="BR5">
        <v>98</v>
      </c>
      <c r="BS5">
        <v>93</v>
      </c>
      <c r="BT5">
        <v>0</v>
      </c>
      <c r="BU5">
        <v>191</v>
      </c>
      <c r="BV5" t="s">
        <v>289</v>
      </c>
    </row>
    <row r="6" spans="1:74">
      <c r="A6" t="s">
        <v>65</v>
      </c>
      <c r="B6" t="s">
        <v>287</v>
      </c>
      <c r="C6" t="s">
        <v>291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  <c r="M6">
        <v>0</v>
      </c>
      <c r="N6">
        <v>2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15</v>
      </c>
      <c r="AC6">
        <v>15</v>
      </c>
      <c r="AD6">
        <v>6</v>
      </c>
      <c r="AE6">
        <v>3</v>
      </c>
      <c r="AF6">
        <v>1</v>
      </c>
      <c r="AG6">
        <v>10</v>
      </c>
      <c r="AH6">
        <v>15</v>
      </c>
      <c r="AI6">
        <v>0</v>
      </c>
      <c r="AJ6">
        <v>25</v>
      </c>
      <c r="AK6" t="s">
        <v>289</v>
      </c>
      <c r="BA6" t="s">
        <v>65</v>
      </c>
      <c r="BB6" t="s">
        <v>287</v>
      </c>
      <c r="BC6" t="s">
        <v>291</v>
      </c>
      <c r="BD6">
        <v>2</v>
      </c>
      <c r="BE6">
        <v>0</v>
      </c>
      <c r="BF6">
        <v>1</v>
      </c>
      <c r="BG6">
        <v>7</v>
      </c>
      <c r="BH6">
        <v>15</v>
      </c>
      <c r="BI6">
        <v>0</v>
      </c>
      <c r="BJ6">
        <v>4</v>
      </c>
      <c r="BK6">
        <v>3</v>
      </c>
      <c r="BL6">
        <v>3</v>
      </c>
      <c r="BM6">
        <v>15</v>
      </c>
      <c r="BN6">
        <v>15</v>
      </c>
      <c r="BO6">
        <v>6</v>
      </c>
      <c r="BP6">
        <v>3</v>
      </c>
      <c r="BQ6">
        <v>1</v>
      </c>
      <c r="BR6">
        <v>10</v>
      </c>
      <c r="BS6">
        <v>15</v>
      </c>
      <c r="BT6">
        <v>0</v>
      </c>
      <c r="BU6">
        <v>25</v>
      </c>
      <c r="BV6" t="s">
        <v>289</v>
      </c>
    </row>
    <row r="7" spans="1:74">
      <c r="A7" t="s">
        <v>65</v>
      </c>
      <c r="B7" t="s">
        <v>287</v>
      </c>
      <c r="C7" t="s">
        <v>292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289</v>
      </c>
      <c r="BA7" t="s">
        <v>65</v>
      </c>
      <c r="BB7" t="s">
        <v>287</v>
      </c>
      <c r="BC7" t="s">
        <v>292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289</v>
      </c>
    </row>
    <row r="8" spans="1:74">
      <c r="A8" t="s">
        <v>65</v>
      </c>
      <c r="B8" t="s">
        <v>287</v>
      </c>
      <c r="C8" t="s">
        <v>293</v>
      </c>
      <c r="D8">
        <v>0</v>
      </c>
      <c r="E8">
        <v>0</v>
      </c>
      <c r="F8">
        <v>1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3</v>
      </c>
      <c r="Z8">
        <v>0</v>
      </c>
      <c r="AA8">
        <v>0</v>
      </c>
      <c r="AB8">
        <v>1</v>
      </c>
      <c r="AC8">
        <v>3</v>
      </c>
      <c r="AD8">
        <v>1</v>
      </c>
      <c r="AE8">
        <v>3</v>
      </c>
      <c r="AF8">
        <v>3</v>
      </c>
      <c r="AG8">
        <v>5</v>
      </c>
      <c r="AH8">
        <v>5</v>
      </c>
      <c r="AI8">
        <v>0</v>
      </c>
      <c r="AJ8">
        <v>10</v>
      </c>
      <c r="AK8" t="s">
        <v>289</v>
      </c>
      <c r="BA8" t="s">
        <v>65</v>
      </c>
      <c r="BB8" t="s">
        <v>287</v>
      </c>
      <c r="BC8" t="s">
        <v>293</v>
      </c>
      <c r="BD8">
        <v>4</v>
      </c>
      <c r="BE8">
        <v>3</v>
      </c>
      <c r="BF8">
        <v>1</v>
      </c>
      <c r="BG8">
        <v>0</v>
      </c>
      <c r="BH8">
        <v>2</v>
      </c>
      <c r="BI8">
        <v>1</v>
      </c>
      <c r="BJ8">
        <v>2</v>
      </c>
      <c r="BK8">
        <v>2</v>
      </c>
      <c r="BL8">
        <v>0</v>
      </c>
      <c r="BM8">
        <v>5</v>
      </c>
      <c r="BN8">
        <v>3</v>
      </c>
      <c r="BO8">
        <v>1</v>
      </c>
      <c r="BP8">
        <v>3</v>
      </c>
      <c r="BQ8">
        <v>3</v>
      </c>
      <c r="BR8">
        <v>5</v>
      </c>
      <c r="BS8">
        <v>5</v>
      </c>
      <c r="BT8">
        <v>0</v>
      </c>
      <c r="BU8">
        <v>10</v>
      </c>
      <c r="BV8" t="s">
        <v>289</v>
      </c>
    </row>
    <row r="9" spans="1:74">
      <c r="A9" t="s">
        <v>65</v>
      </c>
      <c r="B9" t="s">
        <v>287</v>
      </c>
      <c r="C9" t="s">
        <v>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1</v>
      </c>
      <c r="AF9">
        <v>1</v>
      </c>
      <c r="AG9">
        <v>0</v>
      </c>
      <c r="AH9">
        <v>3</v>
      </c>
      <c r="AI9">
        <v>0</v>
      </c>
      <c r="AJ9">
        <v>3</v>
      </c>
      <c r="AK9" t="s">
        <v>289</v>
      </c>
      <c r="BA9" t="s">
        <v>65</v>
      </c>
      <c r="BB9" t="s">
        <v>287</v>
      </c>
      <c r="BC9" t="s">
        <v>294</v>
      </c>
      <c r="BD9">
        <v>0</v>
      </c>
      <c r="BE9">
        <v>0</v>
      </c>
      <c r="BF9">
        <v>1</v>
      </c>
      <c r="BG9">
        <v>0</v>
      </c>
      <c r="BH9">
        <v>2</v>
      </c>
      <c r="BI9">
        <v>0</v>
      </c>
      <c r="BJ9">
        <v>0</v>
      </c>
      <c r="BK9">
        <v>1</v>
      </c>
      <c r="BL9">
        <v>2</v>
      </c>
      <c r="BM9">
        <v>0</v>
      </c>
      <c r="BN9">
        <v>1</v>
      </c>
      <c r="BO9">
        <v>0</v>
      </c>
      <c r="BP9">
        <v>1</v>
      </c>
      <c r="BQ9">
        <v>1</v>
      </c>
      <c r="BR9">
        <v>0</v>
      </c>
      <c r="BS9">
        <v>3</v>
      </c>
      <c r="BT9">
        <v>0</v>
      </c>
      <c r="BU9">
        <v>3</v>
      </c>
      <c r="BV9" t="s">
        <v>289</v>
      </c>
    </row>
    <row r="10" spans="1:74">
      <c r="A10" t="s">
        <v>65</v>
      </c>
      <c r="B10" t="s">
        <v>287</v>
      </c>
      <c r="C10" t="s">
        <v>17</v>
      </c>
      <c r="D10">
        <v>0</v>
      </c>
      <c r="E10">
        <v>0</v>
      </c>
      <c r="F10">
        <v>1</v>
      </c>
      <c r="G10">
        <v>2</v>
      </c>
      <c r="H10">
        <v>7</v>
      </c>
      <c r="I10">
        <v>2</v>
      </c>
      <c r="J10">
        <v>1</v>
      </c>
      <c r="K10">
        <v>7</v>
      </c>
      <c r="L10">
        <v>13</v>
      </c>
      <c r="M10">
        <v>7</v>
      </c>
      <c r="N10">
        <v>6</v>
      </c>
      <c r="O10">
        <v>4</v>
      </c>
      <c r="P10">
        <v>14</v>
      </c>
      <c r="Q10">
        <v>16</v>
      </c>
      <c r="R10">
        <v>12</v>
      </c>
      <c r="S10">
        <v>1</v>
      </c>
      <c r="T10">
        <v>1</v>
      </c>
      <c r="U10">
        <v>4</v>
      </c>
      <c r="V10">
        <v>10</v>
      </c>
      <c r="W10">
        <v>9</v>
      </c>
      <c r="X10">
        <v>1</v>
      </c>
      <c r="Y10">
        <v>3</v>
      </c>
      <c r="Z10">
        <v>13</v>
      </c>
      <c r="AA10">
        <v>31</v>
      </c>
      <c r="AB10">
        <v>64</v>
      </c>
      <c r="AC10">
        <v>68</v>
      </c>
      <c r="AD10">
        <v>40</v>
      </c>
      <c r="AE10">
        <v>82</v>
      </c>
      <c r="AF10">
        <v>39</v>
      </c>
      <c r="AG10">
        <v>113</v>
      </c>
      <c r="AH10">
        <v>116</v>
      </c>
      <c r="AI10">
        <v>0</v>
      </c>
      <c r="AJ10">
        <v>229</v>
      </c>
      <c r="AK10" t="s">
        <v>289</v>
      </c>
      <c r="BA10" t="s">
        <v>65</v>
      </c>
      <c r="BB10" t="s">
        <v>287</v>
      </c>
      <c r="BC10" t="s">
        <v>17</v>
      </c>
      <c r="BD10">
        <v>10</v>
      </c>
      <c r="BE10">
        <v>9</v>
      </c>
      <c r="BF10">
        <v>39</v>
      </c>
      <c r="BG10">
        <v>72</v>
      </c>
      <c r="BH10">
        <v>99</v>
      </c>
      <c r="BI10">
        <v>10</v>
      </c>
      <c r="BJ10">
        <v>30</v>
      </c>
      <c r="BK10">
        <v>52</v>
      </c>
      <c r="BL10">
        <v>25</v>
      </c>
      <c r="BM10">
        <v>112</v>
      </c>
      <c r="BN10">
        <v>68</v>
      </c>
      <c r="BO10">
        <v>40</v>
      </c>
      <c r="BP10">
        <v>82</v>
      </c>
      <c r="BQ10">
        <v>39</v>
      </c>
      <c r="BR10">
        <v>113</v>
      </c>
      <c r="BS10">
        <v>116</v>
      </c>
      <c r="BT10">
        <v>0</v>
      </c>
      <c r="BU10">
        <v>229</v>
      </c>
      <c r="BV10" t="s">
        <v>289</v>
      </c>
    </row>
    <row r="11" spans="1:74">
      <c r="A11" t="s">
        <v>65</v>
      </c>
      <c r="B11" t="s">
        <v>287</v>
      </c>
      <c r="C11" t="s">
        <v>295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2</v>
      </c>
      <c r="R11">
        <v>1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3</v>
      </c>
      <c r="AA11">
        <v>1</v>
      </c>
      <c r="AB11">
        <v>2</v>
      </c>
      <c r="AC11">
        <v>4</v>
      </c>
      <c r="AD11">
        <v>1</v>
      </c>
      <c r="AE11">
        <v>5</v>
      </c>
      <c r="AF11">
        <v>1</v>
      </c>
      <c r="AG11">
        <v>6</v>
      </c>
      <c r="AH11">
        <v>5</v>
      </c>
      <c r="AI11">
        <v>0</v>
      </c>
      <c r="AJ11">
        <v>11</v>
      </c>
      <c r="AK11" t="s">
        <v>289</v>
      </c>
      <c r="BA11" t="s">
        <v>65</v>
      </c>
      <c r="BB11" t="s">
        <v>287</v>
      </c>
      <c r="BC11" t="s">
        <v>295</v>
      </c>
      <c r="BD11">
        <v>0</v>
      </c>
      <c r="BE11">
        <v>0</v>
      </c>
      <c r="BF11">
        <v>4</v>
      </c>
      <c r="BG11">
        <v>3</v>
      </c>
      <c r="BH11">
        <v>4</v>
      </c>
      <c r="BI11">
        <v>0</v>
      </c>
      <c r="BJ11">
        <v>0</v>
      </c>
      <c r="BK11">
        <v>4</v>
      </c>
      <c r="BL11">
        <v>1</v>
      </c>
      <c r="BM11">
        <v>6</v>
      </c>
      <c r="BN11">
        <v>4</v>
      </c>
      <c r="BO11">
        <v>1</v>
      </c>
      <c r="BP11">
        <v>5</v>
      </c>
      <c r="BQ11">
        <v>1</v>
      </c>
      <c r="BR11">
        <v>6</v>
      </c>
      <c r="BS11">
        <v>5</v>
      </c>
      <c r="BT11">
        <v>0</v>
      </c>
      <c r="BU11">
        <v>11</v>
      </c>
      <c r="BV11" t="s">
        <v>289</v>
      </c>
    </row>
    <row r="12" spans="1:74">
      <c r="A12" t="s">
        <v>40</v>
      </c>
      <c r="B12" t="s">
        <v>287</v>
      </c>
      <c r="C12" t="s">
        <v>288</v>
      </c>
      <c r="D12">
        <v>0.28000000000000003</v>
      </c>
      <c r="E12">
        <v>0.32</v>
      </c>
      <c r="F12">
        <v>0.94</v>
      </c>
      <c r="G12">
        <v>1.53</v>
      </c>
      <c r="H12">
        <v>6.48</v>
      </c>
      <c r="I12">
        <v>0.47</v>
      </c>
      <c r="J12">
        <v>1.61</v>
      </c>
      <c r="K12">
        <v>7.13</v>
      </c>
      <c r="L12">
        <v>9.0299999999999994</v>
      </c>
      <c r="M12">
        <v>6.62</v>
      </c>
      <c r="N12">
        <v>3.25</v>
      </c>
      <c r="O12">
        <v>5.82</v>
      </c>
      <c r="P12">
        <v>13.94</v>
      </c>
      <c r="Q12">
        <v>15.76</v>
      </c>
      <c r="R12">
        <v>10.37</v>
      </c>
      <c r="S12">
        <v>0.4</v>
      </c>
      <c r="T12">
        <v>0.74</v>
      </c>
      <c r="U12">
        <v>3.2</v>
      </c>
      <c r="V12">
        <v>6.91</v>
      </c>
      <c r="W12">
        <v>8.07</v>
      </c>
      <c r="X12">
        <v>1.02</v>
      </c>
      <c r="Y12">
        <v>2.08</v>
      </c>
      <c r="Z12">
        <v>13.98</v>
      </c>
      <c r="AA12">
        <v>31.83</v>
      </c>
      <c r="AB12">
        <v>48.22</v>
      </c>
      <c r="AC12">
        <v>41.68</v>
      </c>
      <c r="AD12">
        <v>30.61</v>
      </c>
      <c r="AE12">
        <v>81</v>
      </c>
      <c r="AF12">
        <v>46.71</v>
      </c>
      <c r="AG12">
        <v>100</v>
      </c>
      <c r="AH12">
        <v>100</v>
      </c>
      <c r="AI12">
        <v>0</v>
      </c>
      <c r="AJ12">
        <v>200</v>
      </c>
      <c r="AK12" t="s">
        <v>289</v>
      </c>
      <c r="BA12" t="s">
        <v>40</v>
      </c>
      <c r="BB12" t="s">
        <v>287</v>
      </c>
      <c r="BC12" t="s">
        <v>288</v>
      </c>
      <c r="BD12">
        <v>5.42</v>
      </c>
      <c r="BE12">
        <v>10.57</v>
      </c>
      <c r="BF12">
        <v>39.18</v>
      </c>
      <c r="BG12">
        <v>65.06</v>
      </c>
      <c r="BH12">
        <v>79.760000000000005</v>
      </c>
      <c r="BI12">
        <v>9.56</v>
      </c>
      <c r="BJ12">
        <v>24.86</v>
      </c>
      <c r="BK12">
        <v>49.13</v>
      </c>
      <c r="BL12">
        <v>19.329999999999998</v>
      </c>
      <c r="BM12">
        <v>97.11</v>
      </c>
      <c r="BN12">
        <v>41.68</v>
      </c>
      <c r="BO12">
        <v>30.61</v>
      </c>
      <c r="BP12">
        <v>81</v>
      </c>
      <c r="BQ12">
        <v>46.71</v>
      </c>
      <c r="BR12">
        <v>100</v>
      </c>
      <c r="BS12">
        <v>100</v>
      </c>
      <c r="BT12">
        <v>0</v>
      </c>
      <c r="BU12">
        <v>200</v>
      </c>
      <c r="BV12" t="s">
        <v>289</v>
      </c>
    </row>
    <row r="13" spans="1:74">
      <c r="A13" t="s">
        <v>40</v>
      </c>
      <c r="B13" t="s">
        <v>287</v>
      </c>
      <c r="C13" t="s">
        <v>290</v>
      </c>
      <c r="D13">
        <v>0</v>
      </c>
      <c r="E13">
        <v>0</v>
      </c>
      <c r="F13">
        <v>2</v>
      </c>
      <c r="G13">
        <v>2</v>
      </c>
      <c r="H13">
        <v>6</v>
      </c>
      <c r="I13">
        <v>0</v>
      </c>
      <c r="J13">
        <v>2</v>
      </c>
      <c r="K13">
        <v>7</v>
      </c>
      <c r="L13">
        <v>9</v>
      </c>
      <c r="M13">
        <v>7</v>
      </c>
      <c r="N13">
        <v>3</v>
      </c>
      <c r="O13">
        <v>6</v>
      </c>
      <c r="P13">
        <v>12</v>
      </c>
      <c r="Q13">
        <v>16</v>
      </c>
      <c r="R13">
        <v>10</v>
      </c>
      <c r="S13">
        <v>1</v>
      </c>
      <c r="T13">
        <v>1</v>
      </c>
      <c r="U13">
        <v>3</v>
      </c>
      <c r="V13">
        <v>7</v>
      </c>
      <c r="W13">
        <v>8</v>
      </c>
      <c r="X13">
        <v>1</v>
      </c>
      <c r="Y13">
        <v>0</v>
      </c>
      <c r="Z13">
        <v>14</v>
      </c>
      <c r="AA13">
        <v>32</v>
      </c>
      <c r="AB13">
        <v>48</v>
      </c>
      <c r="AC13">
        <v>45</v>
      </c>
      <c r="AD13">
        <v>27</v>
      </c>
      <c r="AE13">
        <v>88</v>
      </c>
      <c r="AF13">
        <v>37</v>
      </c>
      <c r="AG13">
        <v>100</v>
      </c>
      <c r="AH13">
        <v>97</v>
      </c>
      <c r="AI13">
        <v>0</v>
      </c>
      <c r="AJ13">
        <v>197</v>
      </c>
      <c r="AK13" t="s">
        <v>289</v>
      </c>
      <c r="BA13" t="s">
        <v>40</v>
      </c>
      <c r="BB13" t="s">
        <v>287</v>
      </c>
      <c r="BC13" t="s">
        <v>290</v>
      </c>
      <c r="BD13">
        <v>5</v>
      </c>
      <c r="BE13">
        <v>9</v>
      </c>
      <c r="BF13">
        <v>38</v>
      </c>
      <c r="BG13">
        <v>66</v>
      </c>
      <c r="BH13">
        <v>79</v>
      </c>
      <c r="BI13">
        <v>10</v>
      </c>
      <c r="BJ13">
        <v>25</v>
      </c>
      <c r="BK13">
        <v>47</v>
      </c>
      <c r="BL13">
        <v>20</v>
      </c>
      <c r="BM13">
        <v>95</v>
      </c>
      <c r="BN13">
        <v>45</v>
      </c>
      <c r="BO13">
        <v>27</v>
      </c>
      <c r="BP13">
        <v>88</v>
      </c>
      <c r="BQ13">
        <v>37</v>
      </c>
      <c r="BR13">
        <v>100</v>
      </c>
      <c r="BS13">
        <v>97</v>
      </c>
      <c r="BT13">
        <v>0</v>
      </c>
      <c r="BU13">
        <v>197</v>
      </c>
      <c r="BV13" t="s">
        <v>289</v>
      </c>
    </row>
    <row r="14" spans="1:74">
      <c r="A14" t="s">
        <v>40</v>
      </c>
      <c r="B14" t="s">
        <v>287</v>
      </c>
      <c r="C14" t="s">
        <v>291</v>
      </c>
      <c r="D14">
        <v>0</v>
      </c>
      <c r="E14">
        <v>0</v>
      </c>
      <c r="F14">
        <v>0</v>
      </c>
      <c r="G14">
        <v>0</v>
      </c>
      <c r="H14">
        <v>0</v>
      </c>
      <c r="I14">
        <v>2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6</v>
      </c>
      <c r="R14">
        <v>1</v>
      </c>
      <c r="S14">
        <v>0</v>
      </c>
      <c r="T14">
        <v>0</v>
      </c>
      <c r="U14">
        <v>4</v>
      </c>
      <c r="V14">
        <v>0</v>
      </c>
      <c r="W14">
        <v>5</v>
      </c>
      <c r="X14">
        <v>0</v>
      </c>
      <c r="Y14">
        <v>0</v>
      </c>
      <c r="Z14">
        <v>0</v>
      </c>
      <c r="AA14">
        <v>1</v>
      </c>
      <c r="AB14">
        <v>8</v>
      </c>
      <c r="AC14">
        <v>26</v>
      </c>
      <c r="AD14">
        <v>1</v>
      </c>
      <c r="AE14">
        <v>3</v>
      </c>
      <c r="AF14">
        <v>0</v>
      </c>
      <c r="AG14">
        <v>25</v>
      </c>
      <c r="AH14">
        <v>5</v>
      </c>
      <c r="AI14">
        <v>0</v>
      </c>
      <c r="AJ14">
        <v>30</v>
      </c>
      <c r="AK14" t="s">
        <v>289</v>
      </c>
      <c r="BA14" t="s">
        <v>40</v>
      </c>
      <c r="BB14" t="s">
        <v>287</v>
      </c>
      <c r="BC14" t="s">
        <v>291</v>
      </c>
      <c r="BD14">
        <v>2</v>
      </c>
      <c r="BE14">
        <v>0</v>
      </c>
      <c r="BF14">
        <v>6</v>
      </c>
      <c r="BG14">
        <v>8</v>
      </c>
      <c r="BH14">
        <v>14</v>
      </c>
      <c r="BI14">
        <v>0</v>
      </c>
      <c r="BJ14">
        <v>5</v>
      </c>
      <c r="BK14">
        <v>7</v>
      </c>
      <c r="BL14">
        <v>9</v>
      </c>
      <c r="BM14">
        <v>9</v>
      </c>
      <c r="BN14">
        <v>26</v>
      </c>
      <c r="BO14">
        <v>1</v>
      </c>
      <c r="BP14">
        <v>3</v>
      </c>
      <c r="BQ14">
        <v>0</v>
      </c>
      <c r="BR14">
        <v>25</v>
      </c>
      <c r="BS14">
        <v>5</v>
      </c>
      <c r="BT14">
        <v>0</v>
      </c>
      <c r="BU14">
        <v>30</v>
      </c>
      <c r="BV14" t="s">
        <v>289</v>
      </c>
    </row>
    <row r="15" spans="1:74">
      <c r="A15" t="s">
        <v>40</v>
      </c>
      <c r="B15" t="s">
        <v>287</v>
      </c>
      <c r="C15" t="s">
        <v>292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289</v>
      </c>
      <c r="BA15" t="s">
        <v>40</v>
      </c>
      <c r="BB15" t="s">
        <v>287</v>
      </c>
      <c r="BC15" t="s">
        <v>292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289</v>
      </c>
    </row>
    <row r="16" spans="1:74">
      <c r="A16" t="s">
        <v>40</v>
      </c>
      <c r="B16" t="s">
        <v>287</v>
      </c>
      <c r="C16" t="s">
        <v>293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1</v>
      </c>
      <c r="AA16">
        <v>0</v>
      </c>
      <c r="AB16">
        <v>0</v>
      </c>
      <c r="AC16">
        <v>2</v>
      </c>
      <c r="AD16">
        <v>1</v>
      </c>
      <c r="AE16">
        <v>2</v>
      </c>
      <c r="AF16">
        <v>2</v>
      </c>
      <c r="AG16">
        <v>4</v>
      </c>
      <c r="AH16">
        <v>3</v>
      </c>
      <c r="AI16">
        <v>0</v>
      </c>
      <c r="AJ16">
        <v>7</v>
      </c>
      <c r="AK16" t="s">
        <v>289</v>
      </c>
      <c r="BA16" t="s">
        <v>40</v>
      </c>
      <c r="BB16" t="s">
        <v>287</v>
      </c>
      <c r="BC16" t="s">
        <v>293</v>
      </c>
      <c r="BD16">
        <v>1</v>
      </c>
      <c r="BE16">
        <v>0</v>
      </c>
      <c r="BF16">
        <v>5</v>
      </c>
      <c r="BG16">
        <v>1</v>
      </c>
      <c r="BH16">
        <v>0</v>
      </c>
      <c r="BI16">
        <v>0</v>
      </c>
      <c r="BJ16">
        <v>0</v>
      </c>
      <c r="BK16">
        <v>4</v>
      </c>
      <c r="BL16">
        <v>1</v>
      </c>
      <c r="BM16">
        <v>2</v>
      </c>
      <c r="BN16">
        <v>2</v>
      </c>
      <c r="BO16">
        <v>1</v>
      </c>
      <c r="BP16">
        <v>2</v>
      </c>
      <c r="BQ16">
        <v>2</v>
      </c>
      <c r="BR16">
        <v>4</v>
      </c>
      <c r="BS16">
        <v>3</v>
      </c>
      <c r="BT16">
        <v>0</v>
      </c>
      <c r="BU16">
        <v>7</v>
      </c>
      <c r="BV16" t="s">
        <v>289</v>
      </c>
    </row>
    <row r="17" spans="1:74">
      <c r="A17" t="s">
        <v>40</v>
      </c>
      <c r="B17" t="s">
        <v>287</v>
      </c>
      <c r="C17" t="s">
        <v>294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289</v>
      </c>
      <c r="BA17" t="s">
        <v>40</v>
      </c>
      <c r="BB17" t="s">
        <v>287</v>
      </c>
      <c r="BC17" t="s">
        <v>294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289</v>
      </c>
    </row>
    <row r="18" spans="1:74">
      <c r="A18" t="s">
        <v>40</v>
      </c>
      <c r="B18" t="s">
        <v>287</v>
      </c>
      <c r="C18" t="s">
        <v>17</v>
      </c>
      <c r="D18">
        <v>0</v>
      </c>
      <c r="E18">
        <v>0</v>
      </c>
      <c r="F18">
        <v>2</v>
      </c>
      <c r="G18">
        <v>2</v>
      </c>
      <c r="H18">
        <v>6</v>
      </c>
      <c r="I18">
        <v>2</v>
      </c>
      <c r="J18">
        <v>2</v>
      </c>
      <c r="K18">
        <v>9</v>
      </c>
      <c r="L18">
        <v>10</v>
      </c>
      <c r="M18">
        <v>7</v>
      </c>
      <c r="N18">
        <v>3</v>
      </c>
      <c r="O18">
        <v>6</v>
      </c>
      <c r="P18">
        <v>15</v>
      </c>
      <c r="Q18">
        <v>23</v>
      </c>
      <c r="R18">
        <v>11</v>
      </c>
      <c r="S18">
        <v>1</v>
      </c>
      <c r="T18">
        <v>1</v>
      </c>
      <c r="U18">
        <v>8</v>
      </c>
      <c r="V18">
        <v>7</v>
      </c>
      <c r="W18">
        <v>13</v>
      </c>
      <c r="X18">
        <v>2</v>
      </c>
      <c r="Y18">
        <v>0</v>
      </c>
      <c r="Z18">
        <v>15</v>
      </c>
      <c r="AA18">
        <v>33</v>
      </c>
      <c r="AB18">
        <v>56</v>
      </c>
      <c r="AC18">
        <v>73</v>
      </c>
      <c r="AD18">
        <v>29</v>
      </c>
      <c r="AE18">
        <v>93</v>
      </c>
      <c r="AF18">
        <v>39</v>
      </c>
      <c r="AG18">
        <v>129</v>
      </c>
      <c r="AH18">
        <v>105</v>
      </c>
      <c r="AI18">
        <v>0</v>
      </c>
      <c r="AJ18">
        <v>234</v>
      </c>
      <c r="AK18" t="s">
        <v>289</v>
      </c>
      <c r="BA18" t="s">
        <v>40</v>
      </c>
      <c r="BB18" t="s">
        <v>287</v>
      </c>
      <c r="BC18" t="s">
        <v>17</v>
      </c>
      <c r="BD18">
        <v>8</v>
      </c>
      <c r="BE18">
        <v>9</v>
      </c>
      <c r="BF18">
        <v>49</v>
      </c>
      <c r="BG18">
        <v>75</v>
      </c>
      <c r="BH18">
        <v>93</v>
      </c>
      <c r="BI18">
        <v>10</v>
      </c>
      <c r="BJ18">
        <v>30</v>
      </c>
      <c r="BK18">
        <v>58</v>
      </c>
      <c r="BL18">
        <v>30</v>
      </c>
      <c r="BM18">
        <v>106</v>
      </c>
      <c r="BN18">
        <v>73</v>
      </c>
      <c r="BO18">
        <v>29</v>
      </c>
      <c r="BP18">
        <v>93</v>
      </c>
      <c r="BQ18">
        <v>39</v>
      </c>
      <c r="BR18">
        <v>129</v>
      </c>
      <c r="BS18">
        <v>105</v>
      </c>
      <c r="BT18">
        <v>0</v>
      </c>
      <c r="BU18">
        <v>234</v>
      </c>
      <c r="BV18" t="s">
        <v>289</v>
      </c>
    </row>
    <row r="19" spans="1:74">
      <c r="A19" t="s">
        <v>40</v>
      </c>
      <c r="B19" t="s">
        <v>287</v>
      </c>
      <c r="C19" t="s">
        <v>295</v>
      </c>
      <c r="D19">
        <v>0</v>
      </c>
      <c r="E19">
        <v>0</v>
      </c>
      <c r="F19">
        <v>0</v>
      </c>
      <c r="G19">
        <v>0</v>
      </c>
      <c r="H19">
        <v>2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3</v>
      </c>
      <c r="AC19">
        <v>0</v>
      </c>
      <c r="AD19">
        <v>6</v>
      </c>
      <c r="AE19">
        <v>4</v>
      </c>
      <c r="AF19">
        <v>2</v>
      </c>
      <c r="AG19">
        <v>6</v>
      </c>
      <c r="AH19">
        <v>6</v>
      </c>
      <c r="AI19">
        <v>0</v>
      </c>
      <c r="AJ19">
        <v>12</v>
      </c>
      <c r="AK19" t="s">
        <v>289</v>
      </c>
      <c r="BA19" t="s">
        <v>40</v>
      </c>
      <c r="BB19" t="s">
        <v>287</v>
      </c>
      <c r="BC19" t="s">
        <v>295</v>
      </c>
      <c r="BD19">
        <v>0</v>
      </c>
      <c r="BE19">
        <v>1</v>
      </c>
      <c r="BF19">
        <v>2</v>
      </c>
      <c r="BG19">
        <v>3</v>
      </c>
      <c r="BH19">
        <v>6</v>
      </c>
      <c r="BI19">
        <v>2</v>
      </c>
      <c r="BJ19">
        <v>1</v>
      </c>
      <c r="BK19">
        <v>2</v>
      </c>
      <c r="BL19">
        <v>3</v>
      </c>
      <c r="BM19">
        <v>4</v>
      </c>
      <c r="BN19">
        <v>0</v>
      </c>
      <c r="BO19">
        <v>6</v>
      </c>
      <c r="BP19">
        <v>4</v>
      </c>
      <c r="BQ19">
        <v>2</v>
      </c>
      <c r="BR19">
        <v>6</v>
      </c>
      <c r="BS19">
        <v>6</v>
      </c>
      <c r="BT19">
        <v>0</v>
      </c>
      <c r="BU19">
        <v>12</v>
      </c>
      <c r="BV19" t="s">
        <v>289</v>
      </c>
    </row>
    <row r="20" spans="1:74">
      <c r="A20" t="s">
        <v>41</v>
      </c>
      <c r="B20" t="s">
        <v>287</v>
      </c>
      <c r="C20" t="s">
        <v>288</v>
      </c>
      <c r="D20">
        <v>0.31</v>
      </c>
      <c r="E20">
        <v>0.31</v>
      </c>
      <c r="F20">
        <v>1.18</v>
      </c>
      <c r="G20">
        <v>1.45</v>
      </c>
      <c r="H20">
        <v>6.38</v>
      </c>
      <c r="I20">
        <v>0.37</v>
      </c>
      <c r="J20">
        <v>1.72</v>
      </c>
      <c r="K20">
        <v>6.47</v>
      </c>
      <c r="L20">
        <v>10.14</v>
      </c>
      <c r="M20">
        <v>6.73</v>
      </c>
      <c r="N20">
        <v>3.42</v>
      </c>
      <c r="O20">
        <v>5.75</v>
      </c>
      <c r="P20">
        <v>13.39</v>
      </c>
      <c r="Q20">
        <v>15.77</v>
      </c>
      <c r="R20">
        <v>10.66</v>
      </c>
      <c r="S20">
        <v>0.3</v>
      </c>
      <c r="T20">
        <v>1</v>
      </c>
      <c r="U20">
        <v>3.32</v>
      </c>
      <c r="V20">
        <v>6.95</v>
      </c>
      <c r="W20">
        <v>8.4</v>
      </c>
      <c r="X20">
        <v>1.1100000000000001</v>
      </c>
      <c r="Y20">
        <v>2.0499999999999998</v>
      </c>
      <c r="Z20">
        <v>15.23</v>
      </c>
      <c r="AA20">
        <v>30.25</v>
      </c>
      <c r="AB20">
        <v>47.32</v>
      </c>
      <c r="AC20">
        <v>41.81</v>
      </c>
      <c r="AD20">
        <v>30.62</v>
      </c>
      <c r="AE20">
        <v>80.180000000000007</v>
      </c>
      <c r="AF20">
        <v>47.38</v>
      </c>
      <c r="AG20">
        <v>100</v>
      </c>
      <c r="AH20">
        <v>100</v>
      </c>
      <c r="AI20">
        <v>0</v>
      </c>
      <c r="AJ20">
        <v>200</v>
      </c>
      <c r="AK20" t="s">
        <v>289</v>
      </c>
      <c r="BA20" t="s">
        <v>41</v>
      </c>
      <c r="BB20" t="s">
        <v>287</v>
      </c>
      <c r="BC20" t="s">
        <v>288</v>
      </c>
      <c r="BD20">
        <v>5.52</v>
      </c>
      <c r="BE20">
        <v>10.84</v>
      </c>
      <c r="BF20">
        <v>39.590000000000003</v>
      </c>
      <c r="BG20">
        <v>64.569999999999993</v>
      </c>
      <c r="BH20">
        <v>79.489999999999995</v>
      </c>
      <c r="BI20">
        <v>9.6300000000000008</v>
      </c>
      <c r="BJ20">
        <v>25.43</v>
      </c>
      <c r="BK20">
        <v>48.99</v>
      </c>
      <c r="BL20">
        <v>19.98</v>
      </c>
      <c r="BM20">
        <v>95.96</v>
      </c>
      <c r="BN20">
        <v>41.81</v>
      </c>
      <c r="BO20">
        <v>30.62</v>
      </c>
      <c r="BP20">
        <v>80.180000000000007</v>
      </c>
      <c r="BQ20">
        <v>47.38</v>
      </c>
      <c r="BR20">
        <v>100</v>
      </c>
      <c r="BS20">
        <v>100</v>
      </c>
      <c r="BT20">
        <v>0</v>
      </c>
      <c r="BU20">
        <v>200</v>
      </c>
      <c r="BV20" t="s">
        <v>289</v>
      </c>
    </row>
    <row r="21" spans="1:74">
      <c r="A21" t="s">
        <v>41</v>
      </c>
      <c r="B21" t="s">
        <v>287</v>
      </c>
      <c r="C21" t="s">
        <v>290</v>
      </c>
      <c r="D21">
        <v>0</v>
      </c>
      <c r="E21">
        <v>0</v>
      </c>
      <c r="F21">
        <v>2</v>
      </c>
      <c r="G21">
        <v>1</v>
      </c>
      <c r="H21">
        <v>6</v>
      </c>
      <c r="I21">
        <v>1</v>
      </c>
      <c r="J21">
        <v>2</v>
      </c>
      <c r="K21">
        <v>6</v>
      </c>
      <c r="L21">
        <v>9</v>
      </c>
      <c r="M21">
        <v>7</v>
      </c>
      <c r="N21">
        <v>2</v>
      </c>
      <c r="O21">
        <v>6</v>
      </c>
      <c r="P21">
        <v>13</v>
      </c>
      <c r="Q21">
        <v>16</v>
      </c>
      <c r="R21">
        <v>11</v>
      </c>
      <c r="S21">
        <v>0</v>
      </c>
      <c r="T21">
        <v>1</v>
      </c>
      <c r="U21">
        <v>2</v>
      </c>
      <c r="V21">
        <v>7</v>
      </c>
      <c r="W21">
        <v>8</v>
      </c>
      <c r="X21">
        <v>2</v>
      </c>
      <c r="Y21">
        <v>1</v>
      </c>
      <c r="Z21">
        <v>14</v>
      </c>
      <c r="AA21">
        <v>30</v>
      </c>
      <c r="AB21">
        <v>48</v>
      </c>
      <c r="AC21">
        <v>49</v>
      </c>
      <c r="AD21">
        <v>36</v>
      </c>
      <c r="AE21">
        <v>65</v>
      </c>
      <c r="AF21">
        <v>45</v>
      </c>
      <c r="AG21">
        <v>96</v>
      </c>
      <c r="AH21">
        <v>99</v>
      </c>
      <c r="AI21">
        <v>0</v>
      </c>
      <c r="AJ21">
        <v>195</v>
      </c>
      <c r="AK21" t="s">
        <v>289</v>
      </c>
      <c r="BA21" t="s">
        <v>41</v>
      </c>
      <c r="BB21" t="s">
        <v>287</v>
      </c>
      <c r="BC21" t="s">
        <v>290</v>
      </c>
      <c r="BD21">
        <v>5</v>
      </c>
      <c r="BE21">
        <v>10</v>
      </c>
      <c r="BF21">
        <v>37</v>
      </c>
      <c r="BG21">
        <v>63</v>
      </c>
      <c r="BH21">
        <v>80</v>
      </c>
      <c r="BI21">
        <v>9</v>
      </c>
      <c r="BJ21">
        <v>25</v>
      </c>
      <c r="BK21">
        <v>48</v>
      </c>
      <c r="BL21">
        <v>18</v>
      </c>
      <c r="BM21">
        <v>95</v>
      </c>
      <c r="BN21">
        <v>49</v>
      </c>
      <c r="BO21">
        <v>36</v>
      </c>
      <c r="BP21">
        <v>65</v>
      </c>
      <c r="BQ21">
        <v>45</v>
      </c>
      <c r="BR21">
        <v>96</v>
      </c>
      <c r="BS21">
        <v>99</v>
      </c>
      <c r="BT21">
        <v>0</v>
      </c>
      <c r="BU21">
        <v>195</v>
      </c>
      <c r="BV21" t="s">
        <v>289</v>
      </c>
    </row>
    <row r="22" spans="1:74">
      <c r="A22" t="s">
        <v>41</v>
      </c>
      <c r="B22" t="s">
        <v>287</v>
      </c>
      <c r="C22" t="s">
        <v>291</v>
      </c>
      <c r="D22">
        <v>0</v>
      </c>
      <c r="E22">
        <v>0</v>
      </c>
      <c r="F22">
        <v>0</v>
      </c>
      <c r="G22">
        <v>3</v>
      </c>
      <c r="H22">
        <v>0</v>
      </c>
      <c r="I22">
        <v>0</v>
      </c>
      <c r="J22">
        <v>1</v>
      </c>
      <c r="K22">
        <v>3</v>
      </c>
      <c r="L22">
        <v>0</v>
      </c>
      <c r="M22">
        <v>0</v>
      </c>
      <c r="N22">
        <v>0</v>
      </c>
      <c r="O22">
        <v>0</v>
      </c>
      <c r="P22">
        <v>2</v>
      </c>
      <c r="Q22">
        <v>1</v>
      </c>
      <c r="R22">
        <v>2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0</v>
      </c>
      <c r="Z22">
        <v>0</v>
      </c>
      <c r="AA22">
        <v>2</v>
      </c>
      <c r="AB22">
        <v>4</v>
      </c>
      <c r="AC22">
        <v>8</v>
      </c>
      <c r="AD22">
        <v>9</v>
      </c>
      <c r="AE22">
        <v>2</v>
      </c>
      <c r="AF22">
        <v>1</v>
      </c>
      <c r="AG22">
        <v>12</v>
      </c>
      <c r="AH22">
        <v>8</v>
      </c>
      <c r="AI22">
        <v>0</v>
      </c>
      <c r="AJ22">
        <v>20</v>
      </c>
      <c r="AK22" t="s">
        <v>289</v>
      </c>
      <c r="BA22" t="s">
        <v>41</v>
      </c>
      <c r="BB22" t="s">
        <v>287</v>
      </c>
      <c r="BC22" t="s">
        <v>291</v>
      </c>
      <c r="BD22">
        <v>0</v>
      </c>
      <c r="BE22">
        <v>1</v>
      </c>
      <c r="BF22">
        <v>5</v>
      </c>
      <c r="BG22">
        <v>7</v>
      </c>
      <c r="BH22">
        <v>7</v>
      </c>
      <c r="BI22">
        <v>3</v>
      </c>
      <c r="BJ22">
        <v>4</v>
      </c>
      <c r="BK22">
        <v>5</v>
      </c>
      <c r="BL22">
        <v>2</v>
      </c>
      <c r="BM22">
        <v>6</v>
      </c>
      <c r="BN22">
        <v>8</v>
      </c>
      <c r="BO22">
        <v>9</v>
      </c>
      <c r="BP22">
        <v>2</v>
      </c>
      <c r="BQ22">
        <v>1</v>
      </c>
      <c r="BR22">
        <v>12</v>
      </c>
      <c r="BS22">
        <v>8</v>
      </c>
      <c r="BT22">
        <v>0</v>
      </c>
      <c r="BU22">
        <v>20</v>
      </c>
      <c r="BV22" t="s">
        <v>289</v>
      </c>
    </row>
    <row r="23" spans="1:74">
      <c r="A23" t="s">
        <v>41</v>
      </c>
      <c r="B23" t="s">
        <v>287</v>
      </c>
      <c r="C23" t="s">
        <v>292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289</v>
      </c>
      <c r="BA23" t="s">
        <v>41</v>
      </c>
      <c r="BB23" t="s">
        <v>287</v>
      </c>
      <c r="BC23" t="s">
        <v>292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289</v>
      </c>
    </row>
    <row r="24" spans="1:74">
      <c r="A24" t="s">
        <v>41</v>
      </c>
      <c r="B24" t="s">
        <v>287</v>
      </c>
      <c r="C24" t="s">
        <v>293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0</v>
      </c>
      <c r="N24">
        <v>1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2</v>
      </c>
      <c r="V24">
        <v>0</v>
      </c>
      <c r="W24">
        <v>0</v>
      </c>
      <c r="X24">
        <v>0</v>
      </c>
      <c r="Y24">
        <v>1</v>
      </c>
      <c r="Z24">
        <v>2</v>
      </c>
      <c r="AA24">
        <v>1</v>
      </c>
      <c r="AB24">
        <v>0</v>
      </c>
      <c r="AC24">
        <v>2</v>
      </c>
      <c r="AD24">
        <v>3</v>
      </c>
      <c r="AE24">
        <v>6</v>
      </c>
      <c r="AF24">
        <v>0</v>
      </c>
      <c r="AG24">
        <v>6</v>
      </c>
      <c r="AH24">
        <v>5</v>
      </c>
      <c r="AI24">
        <v>0</v>
      </c>
      <c r="AJ24">
        <v>11</v>
      </c>
      <c r="AK24" t="s">
        <v>289</v>
      </c>
      <c r="BA24" t="s">
        <v>41</v>
      </c>
      <c r="BB24" t="s">
        <v>287</v>
      </c>
      <c r="BC24" t="s">
        <v>293</v>
      </c>
      <c r="BD24">
        <v>1</v>
      </c>
      <c r="BE24">
        <v>2</v>
      </c>
      <c r="BF24">
        <v>5</v>
      </c>
      <c r="BG24">
        <v>3</v>
      </c>
      <c r="BH24">
        <v>0</v>
      </c>
      <c r="BI24">
        <v>1</v>
      </c>
      <c r="BJ24">
        <v>2</v>
      </c>
      <c r="BK24">
        <v>2</v>
      </c>
      <c r="BL24">
        <v>2</v>
      </c>
      <c r="BM24">
        <v>4</v>
      </c>
      <c r="BN24">
        <v>2</v>
      </c>
      <c r="BO24">
        <v>3</v>
      </c>
      <c r="BP24">
        <v>6</v>
      </c>
      <c r="BQ24">
        <v>0</v>
      </c>
      <c r="BR24">
        <v>6</v>
      </c>
      <c r="BS24">
        <v>5</v>
      </c>
      <c r="BT24">
        <v>0</v>
      </c>
      <c r="BU24">
        <v>11</v>
      </c>
      <c r="BV24" t="s">
        <v>289</v>
      </c>
    </row>
    <row r="25" spans="1:74">
      <c r="A25" t="s">
        <v>41</v>
      </c>
      <c r="B25" t="s">
        <v>287</v>
      </c>
      <c r="C25" t="s">
        <v>294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289</v>
      </c>
      <c r="BA25" t="s">
        <v>41</v>
      </c>
      <c r="BB25" t="s">
        <v>287</v>
      </c>
      <c r="BC25" t="s">
        <v>294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289</v>
      </c>
    </row>
    <row r="26" spans="1:74">
      <c r="A26" t="s">
        <v>41</v>
      </c>
      <c r="B26" t="s">
        <v>287</v>
      </c>
      <c r="C26" t="s">
        <v>17</v>
      </c>
      <c r="D26">
        <v>0</v>
      </c>
      <c r="E26">
        <v>1</v>
      </c>
      <c r="F26">
        <v>2</v>
      </c>
      <c r="G26">
        <v>4</v>
      </c>
      <c r="H26">
        <v>6</v>
      </c>
      <c r="I26">
        <v>1</v>
      </c>
      <c r="J26">
        <v>3</v>
      </c>
      <c r="K26">
        <v>9</v>
      </c>
      <c r="L26">
        <v>11</v>
      </c>
      <c r="M26">
        <v>7</v>
      </c>
      <c r="N26">
        <v>3</v>
      </c>
      <c r="O26">
        <v>6</v>
      </c>
      <c r="P26">
        <v>16</v>
      </c>
      <c r="Q26">
        <v>17</v>
      </c>
      <c r="R26">
        <v>13</v>
      </c>
      <c r="S26">
        <v>0</v>
      </c>
      <c r="T26">
        <v>1</v>
      </c>
      <c r="U26">
        <v>4</v>
      </c>
      <c r="V26">
        <v>8</v>
      </c>
      <c r="W26">
        <v>9</v>
      </c>
      <c r="X26">
        <v>2</v>
      </c>
      <c r="Y26">
        <v>2</v>
      </c>
      <c r="Z26">
        <v>16</v>
      </c>
      <c r="AA26">
        <v>33</v>
      </c>
      <c r="AB26">
        <v>52</v>
      </c>
      <c r="AC26">
        <v>59</v>
      </c>
      <c r="AD26">
        <v>48</v>
      </c>
      <c r="AE26">
        <v>73</v>
      </c>
      <c r="AF26">
        <v>46</v>
      </c>
      <c r="AG26">
        <v>114</v>
      </c>
      <c r="AH26">
        <v>112</v>
      </c>
      <c r="AI26">
        <v>0</v>
      </c>
      <c r="AJ26">
        <v>226</v>
      </c>
      <c r="AK26" t="s">
        <v>289</v>
      </c>
      <c r="BA26" t="s">
        <v>41</v>
      </c>
      <c r="BB26" t="s">
        <v>287</v>
      </c>
      <c r="BC26" t="s">
        <v>17</v>
      </c>
      <c r="BD26">
        <v>6</v>
      </c>
      <c r="BE26">
        <v>13</v>
      </c>
      <c r="BF26">
        <v>47</v>
      </c>
      <c r="BG26">
        <v>73</v>
      </c>
      <c r="BH26">
        <v>87</v>
      </c>
      <c r="BI26">
        <v>13</v>
      </c>
      <c r="BJ26">
        <v>31</v>
      </c>
      <c r="BK26">
        <v>55</v>
      </c>
      <c r="BL26">
        <v>22</v>
      </c>
      <c r="BM26">
        <v>105</v>
      </c>
      <c r="BN26">
        <v>59</v>
      </c>
      <c r="BO26">
        <v>48</v>
      </c>
      <c r="BP26">
        <v>73</v>
      </c>
      <c r="BQ26">
        <v>46</v>
      </c>
      <c r="BR26">
        <v>114</v>
      </c>
      <c r="BS26">
        <v>112</v>
      </c>
      <c r="BT26">
        <v>0</v>
      </c>
      <c r="BU26">
        <v>226</v>
      </c>
      <c r="BV26" t="s">
        <v>289</v>
      </c>
    </row>
    <row r="27" spans="1:74">
      <c r="A27" t="s">
        <v>41</v>
      </c>
      <c r="B27" t="s">
        <v>287</v>
      </c>
      <c r="C27" t="s">
        <v>295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2</v>
      </c>
      <c r="AH27">
        <v>1</v>
      </c>
      <c r="AI27">
        <v>0</v>
      </c>
      <c r="AJ27">
        <v>3</v>
      </c>
      <c r="AK27" t="s">
        <v>289</v>
      </c>
      <c r="BA27" t="s">
        <v>41</v>
      </c>
      <c r="BB27" t="s">
        <v>287</v>
      </c>
      <c r="BC27" t="s">
        <v>295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1</v>
      </c>
      <c r="BL27">
        <v>0</v>
      </c>
      <c r="BM27">
        <v>2</v>
      </c>
      <c r="BN27">
        <v>1</v>
      </c>
      <c r="BO27">
        <v>1</v>
      </c>
      <c r="BP27">
        <v>1</v>
      </c>
      <c r="BQ27">
        <v>0</v>
      </c>
      <c r="BR27">
        <v>2</v>
      </c>
      <c r="BS27">
        <v>1</v>
      </c>
      <c r="BT27">
        <v>0</v>
      </c>
      <c r="BU27">
        <v>3</v>
      </c>
      <c r="BV27" t="s">
        <v>289</v>
      </c>
    </row>
    <row r="28" spans="1:74">
      <c r="A28" t="s">
        <v>43</v>
      </c>
      <c r="B28" t="s">
        <v>287</v>
      </c>
      <c r="C28" t="s">
        <v>288</v>
      </c>
      <c r="D28">
        <v>0.36</v>
      </c>
      <c r="E28">
        <v>0.35</v>
      </c>
      <c r="F28">
        <v>1.21</v>
      </c>
      <c r="G28">
        <v>1.66</v>
      </c>
      <c r="H28">
        <v>6.58</v>
      </c>
      <c r="I28">
        <v>0.53</v>
      </c>
      <c r="J28">
        <v>1.58</v>
      </c>
      <c r="K28">
        <v>7.47</v>
      </c>
      <c r="L28">
        <v>9.58</v>
      </c>
      <c r="M28">
        <v>6.17</v>
      </c>
      <c r="N28">
        <v>3.27</v>
      </c>
      <c r="O28">
        <v>6.29</v>
      </c>
      <c r="P28">
        <v>13.47</v>
      </c>
      <c r="Q28">
        <v>14.66</v>
      </c>
      <c r="R28">
        <v>10.31</v>
      </c>
      <c r="S28">
        <v>0.34</v>
      </c>
      <c r="T28">
        <v>0.75</v>
      </c>
      <c r="U28">
        <v>3.69</v>
      </c>
      <c r="V28">
        <v>7.05</v>
      </c>
      <c r="W28">
        <v>8.01</v>
      </c>
      <c r="X28">
        <v>0.97</v>
      </c>
      <c r="Y28">
        <v>2.15</v>
      </c>
      <c r="Z28">
        <v>14.44</v>
      </c>
      <c r="AA28">
        <v>30.92</v>
      </c>
      <c r="AB28">
        <v>48.2</v>
      </c>
      <c r="AC28">
        <v>43.22</v>
      </c>
      <c r="AD28">
        <v>31.08</v>
      </c>
      <c r="AE28">
        <v>79.400000000000006</v>
      </c>
      <c r="AF28">
        <v>46.31</v>
      </c>
      <c r="AG28">
        <v>100</v>
      </c>
      <c r="AH28">
        <v>100</v>
      </c>
      <c r="AI28">
        <v>0</v>
      </c>
      <c r="AJ28">
        <v>200</v>
      </c>
      <c r="AK28" t="s">
        <v>289</v>
      </c>
      <c r="BA28" t="s">
        <v>43</v>
      </c>
      <c r="BB28" t="s">
        <v>287</v>
      </c>
      <c r="BC28" t="s">
        <v>288</v>
      </c>
      <c r="BD28">
        <v>5.47</v>
      </c>
      <c r="BE28">
        <v>11.12</v>
      </c>
      <c r="BF28">
        <v>40.28</v>
      </c>
      <c r="BG28">
        <v>63.87</v>
      </c>
      <c r="BH28">
        <v>79.260000000000005</v>
      </c>
      <c r="BI28">
        <v>10.16</v>
      </c>
      <c r="BJ28">
        <v>25.32</v>
      </c>
      <c r="BK28">
        <v>47.99</v>
      </c>
      <c r="BL28">
        <v>19.84</v>
      </c>
      <c r="BM28">
        <v>96.68</v>
      </c>
      <c r="BN28">
        <v>43.22</v>
      </c>
      <c r="BO28">
        <v>31.08</v>
      </c>
      <c r="BP28">
        <v>79.400000000000006</v>
      </c>
      <c r="BQ28">
        <v>46.31</v>
      </c>
      <c r="BR28">
        <v>100</v>
      </c>
      <c r="BS28">
        <v>100</v>
      </c>
      <c r="BT28">
        <v>0</v>
      </c>
      <c r="BU28">
        <v>200</v>
      </c>
      <c r="BV28" t="s">
        <v>289</v>
      </c>
    </row>
    <row r="29" spans="1:74">
      <c r="A29" t="s">
        <v>43</v>
      </c>
      <c r="B29" t="s">
        <v>287</v>
      </c>
      <c r="C29" t="s">
        <v>290</v>
      </c>
      <c r="D29">
        <v>1</v>
      </c>
      <c r="E29">
        <v>0</v>
      </c>
      <c r="F29">
        <v>0</v>
      </c>
      <c r="G29">
        <v>2</v>
      </c>
      <c r="H29">
        <v>7</v>
      </c>
      <c r="I29">
        <v>1</v>
      </c>
      <c r="J29">
        <v>2</v>
      </c>
      <c r="K29">
        <v>7</v>
      </c>
      <c r="L29">
        <v>10</v>
      </c>
      <c r="M29">
        <v>6</v>
      </c>
      <c r="N29">
        <v>2</v>
      </c>
      <c r="O29">
        <v>6</v>
      </c>
      <c r="P29">
        <v>12</v>
      </c>
      <c r="Q29">
        <v>15</v>
      </c>
      <c r="R29">
        <v>10</v>
      </c>
      <c r="S29">
        <v>0</v>
      </c>
      <c r="T29">
        <v>1</v>
      </c>
      <c r="U29">
        <v>4</v>
      </c>
      <c r="V29">
        <v>7</v>
      </c>
      <c r="W29">
        <v>8</v>
      </c>
      <c r="X29">
        <v>1</v>
      </c>
      <c r="Y29">
        <v>2</v>
      </c>
      <c r="Z29">
        <v>14</v>
      </c>
      <c r="AA29">
        <v>31</v>
      </c>
      <c r="AB29">
        <v>48</v>
      </c>
      <c r="AC29">
        <v>44</v>
      </c>
      <c r="AD29">
        <v>31</v>
      </c>
      <c r="AE29">
        <v>76</v>
      </c>
      <c r="AF29">
        <v>46</v>
      </c>
      <c r="AG29">
        <v>97</v>
      </c>
      <c r="AH29">
        <v>100</v>
      </c>
      <c r="AI29">
        <v>0</v>
      </c>
      <c r="AJ29">
        <v>197</v>
      </c>
      <c r="AK29" t="s">
        <v>289</v>
      </c>
      <c r="BA29" t="s">
        <v>43</v>
      </c>
      <c r="BB29" t="s">
        <v>287</v>
      </c>
      <c r="BC29" t="s">
        <v>290</v>
      </c>
      <c r="BD29">
        <v>5</v>
      </c>
      <c r="BE29">
        <v>11</v>
      </c>
      <c r="BF29">
        <v>37</v>
      </c>
      <c r="BG29">
        <v>65</v>
      </c>
      <c r="BH29">
        <v>79</v>
      </c>
      <c r="BI29">
        <v>10</v>
      </c>
      <c r="BJ29">
        <v>26</v>
      </c>
      <c r="BK29">
        <v>45</v>
      </c>
      <c r="BL29">
        <v>20</v>
      </c>
      <c r="BM29">
        <v>96</v>
      </c>
      <c r="BN29">
        <v>44</v>
      </c>
      <c r="BO29">
        <v>31</v>
      </c>
      <c r="BP29">
        <v>76</v>
      </c>
      <c r="BQ29">
        <v>46</v>
      </c>
      <c r="BR29">
        <v>97</v>
      </c>
      <c r="BS29">
        <v>100</v>
      </c>
      <c r="BT29">
        <v>0</v>
      </c>
      <c r="BU29">
        <v>197</v>
      </c>
      <c r="BV29" t="s">
        <v>289</v>
      </c>
    </row>
    <row r="30" spans="1:74">
      <c r="A30" t="s">
        <v>43</v>
      </c>
      <c r="B30" t="s">
        <v>287</v>
      </c>
      <c r="C30" t="s">
        <v>291</v>
      </c>
      <c r="D30">
        <v>0</v>
      </c>
      <c r="E30">
        <v>0</v>
      </c>
      <c r="F30">
        <v>0</v>
      </c>
      <c r="G30">
        <v>2</v>
      </c>
      <c r="H30">
        <v>0</v>
      </c>
      <c r="I30">
        <v>1</v>
      </c>
      <c r="J30">
        <v>2</v>
      </c>
      <c r="K30">
        <v>1</v>
      </c>
      <c r="L30">
        <v>1</v>
      </c>
      <c r="M30">
        <v>1</v>
      </c>
      <c r="N30">
        <v>0</v>
      </c>
      <c r="O30">
        <v>3</v>
      </c>
      <c r="P30">
        <v>0</v>
      </c>
      <c r="Q30">
        <v>4</v>
      </c>
      <c r="R30">
        <v>3</v>
      </c>
      <c r="S30">
        <v>0</v>
      </c>
      <c r="T30">
        <v>0</v>
      </c>
      <c r="U30">
        <v>0</v>
      </c>
      <c r="V30">
        <v>3</v>
      </c>
      <c r="W30">
        <v>0</v>
      </c>
      <c r="X30">
        <v>4</v>
      </c>
      <c r="Y30">
        <v>0</v>
      </c>
      <c r="Z30">
        <v>0</v>
      </c>
      <c r="AA30">
        <v>4</v>
      </c>
      <c r="AB30">
        <v>3</v>
      </c>
      <c r="AC30">
        <v>13</v>
      </c>
      <c r="AD30">
        <v>5</v>
      </c>
      <c r="AE30">
        <v>3</v>
      </c>
      <c r="AF30">
        <v>11</v>
      </c>
      <c r="AG30">
        <v>18</v>
      </c>
      <c r="AH30">
        <v>14</v>
      </c>
      <c r="AI30">
        <v>0</v>
      </c>
      <c r="AJ30">
        <v>32</v>
      </c>
      <c r="AK30" t="s">
        <v>289</v>
      </c>
      <c r="BA30" t="s">
        <v>43</v>
      </c>
      <c r="BB30" t="s">
        <v>287</v>
      </c>
      <c r="BC30" t="s">
        <v>291</v>
      </c>
      <c r="BD30">
        <v>5</v>
      </c>
      <c r="BE30">
        <v>5</v>
      </c>
      <c r="BF30">
        <v>1</v>
      </c>
      <c r="BG30">
        <v>14</v>
      </c>
      <c r="BH30">
        <v>7</v>
      </c>
      <c r="BI30">
        <v>2</v>
      </c>
      <c r="BJ30">
        <v>6</v>
      </c>
      <c r="BK30">
        <v>10</v>
      </c>
      <c r="BL30">
        <v>3</v>
      </c>
      <c r="BM30">
        <v>11</v>
      </c>
      <c r="BN30">
        <v>13</v>
      </c>
      <c r="BO30">
        <v>5</v>
      </c>
      <c r="BP30">
        <v>3</v>
      </c>
      <c r="BQ30">
        <v>11</v>
      </c>
      <c r="BR30">
        <v>18</v>
      </c>
      <c r="BS30">
        <v>14</v>
      </c>
      <c r="BT30">
        <v>0</v>
      </c>
      <c r="BU30">
        <v>32</v>
      </c>
      <c r="BV30" t="s">
        <v>289</v>
      </c>
    </row>
    <row r="31" spans="1:74">
      <c r="A31" t="s">
        <v>43</v>
      </c>
      <c r="B31" t="s">
        <v>287</v>
      </c>
      <c r="C31" t="s">
        <v>292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 t="s">
        <v>289</v>
      </c>
      <c r="BA31" t="s">
        <v>43</v>
      </c>
      <c r="BB31" t="s">
        <v>287</v>
      </c>
      <c r="BC31" t="s">
        <v>292</v>
      </c>
      <c r="BD31">
        <v>1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1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1</v>
      </c>
      <c r="BV31" t="s">
        <v>289</v>
      </c>
    </row>
    <row r="32" spans="1:74">
      <c r="A32" t="s">
        <v>43</v>
      </c>
      <c r="B32" t="s">
        <v>287</v>
      </c>
      <c r="C32" t="s">
        <v>293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0</v>
      </c>
      <c r="AF32">
        <v>1</v>
      </c>
      <c r="AG32">
        <v>2</v>
      </c>
      <c r="AH32">
        <v>1</v>
      </c>
      <c r="AI32">
        <v>0</v>
      </c>
      <c r="AJ32">
        <v>3</v>
      </c>
      <c r="AK32" t="s">
        <v>289</v>
      </c>
      <c r="BA32" t="s">
        <v>43</v>
      </c>
      <c r="BB32" t="s">
        <v>287</v>
      </c>
      <c r="BC32" t="s">
        <v>293</v>
      </c>
      <c r="BD32">
        <v>0</v>
      </c>
      <c r="BE32">
        <v>0</v>
      </c>
      <c r="BF32">
        <v>3</v>
      </c>
      <c r="BG32">
        <v>0</v>
      </c>
      <c r="BH32">
        <v>0</v>
      </c>
      <c r="BI32">
        <v>1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2</v>
      </c>
      <c r="BP32">
        <v>0</v>
      </c>
      <c r="BQ32">
        <v>1</v>
      </c>
      <c r="BR32">
        <v>2</v>
      </c>
      <c r="BS32">
        <v>1</v>
      </c>
      <c r="BT32">
        <v>0</v>
      </c>
      <c r="BU32">
        <v>3</v>
      </c>
      <c r="BV32" t="s">
        <v>289</v>
      </c>
    </row>
    <row r="33" spans="1:74">
      <c r="A33" t="s">
        <v>43</v>
      </c>
      <c r="B33" t="s">
        <v>287</v>
      </c>
      <c r="C33" t="s">
        <v>294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</v>
      </c>
      <c r="X33">
        <v>0</v>
      </c>
      <c r="Y33">
        <v>0</v>
      </c>
      <c r="Z33">
        <v>1</v>
      </c>
      <c r="AA33">
        <v>1</v>
      </c>
      <c r="AB33">
        <v>0</v>
      </c>
      <c r="AC33">
        <v>3</v>
      </c>
      <c r="AD33">
        <v>0</v>
      </c>
      <c r="AE33">
        <v>0</v>
      </c>
      <c r="AF33">
        <v>1</v>
      </c>
      <c r="AG33">
        <v>2</v>
      </c>
      <c r="AH33">
        <v>2</v>
      </c>
      <c r="AI33">
        <v>0</v>
      </c>
      <c r="AJ33">
        <v>4</v>
      </c>
      <c r="AK33" t="s">
        <v>289</v>
      </c>
      <c r="BA33" t="s">
        <v>43</v>
      </c>
      <c r="BB33" t="s">
        <v>287</v>
      </c>
      <c r="BC33" t="s">
        <v>294</v>
      </c>
      <c r="BD33">
        <v>0</v>
      </c>
      <c r="BE33">
        <v>0</v>
      </c>
      <c r="BF33">
        <v>1</v>
      </c>
      <c r="BG33">
        <v>1</v>
      </c>
      <c r="BH33">
        <v>2</v>
      </c>
      <c r="BI33">
        <v>0</v>
      </c>
      <c r="BJ33">
        <v>0</v>
      </c>
      <c r="BK33">
        <v>0</v>
      </c>
      <c r="BL33">
        <v>2</v>
      </c>
      <c r="BM33">
        <v>2</v>
      </c>
      <c r="BN33">
        <v>3</v>
      </c>
      <c r="BO33">
        <v>0</v>
      </c>
      <c r="BP33">
        <v>0</v>
      </c>
      <c r="BQ33">
        <v>1</v>
      </c>
      <c r="BR33">
        <v>2</v>
      </c>
      <c r="BS33">
        <v>2</v>
      </c>
      <c r="BT33">
        <v>0</v>
      </c>
      <c r="BU33">
        <v>4</v>
      </c>
      <c r="BV33" t="s">
        <v>289</v>
      </c>
    </row>
    <row r="34" spans="1:74">
      <c r="A34" t="s">
        <v>43</v>
      </c>
      <c r="B34" t="s">
        <v>287</v>
      </c>
      <c r="C34" t="s">
        <v>17</v>
      </c>
      <c r="D34">
        <v>1</v>
      </c>
      <c r="E34">
        <v>0</v>
      </c>
      <c r="F34">
        <v>1</v>
      </c>
      <c r="G34">
        <v>4</v>
      </c>
      <c r="H34">
        <v>7</v>
      </c>
      <c r="I34">
        <v>2</v>
      </c>
      <c r="J34">
        <v>4</v>
      </c>
      <c r="K34">
        <v>8</v>
      </c>
      <c r="L34">
        <v>11</v>
      </c>
      <c r="M34">
        <v>7</v>
      </c>
      <c r="N34">
        <v>3</v>
      </c>
      <c r="O34">
        <v>9</v>
      </c>
      <c r="P34">
        <v>14</v>
      </c>
      <c r="Q34">
        <v>19</v>
      </c>
      <c r="R34">
        <v>13</v>
      </c>
      <c r="S34">
        <v>0</v>
      </c>
      <c r="T34">
        <v>1</v>
      </c>
      <c r="U34">
        <v>4</v>
      </c>
      <c r="V34">
        <v>10</v>
      </c>
      <c r="W34">
        <v>10</v>
      </c>
      <c r="X34">
        <v>5</v>
      </c>
      <c r="Y34">
        <v>2</v>
      </c>
      <c r="Z34">
        <v>15</v>
      </c>
      <c r="AA34">
        <v>36</v>
      </c>
      <c r="AB34">
        <v>51</v>
      </c>
      <c r="AC34">
        <v>60</v>
      </c>
      <c r="AD34">
        <v>39</v>
      </c>
      <c r="AE34">
        <v>79</v>
      </c>
      <c r="AF34">
        <v>59</v>
      </c>
      <c r="AG34">
        <v>119</v>
      </c>
      <c r="AH34">
        <v>118</v>
      </c>
      <c r="AI34">
        <v>0</v>
      </c>
      <c r="AJ34">
        <v>237</v>
      </c>
      <c r="AK34" t="s">
        <v>289</v>
      </c>
      <c r="BA34" t="s">
        <v>43</v>
      </c>
      <c r="BB34" t="s">
        <v>287</v>
      </c>
      <c r="BC34" t="s">
        <v>17</v>
      </c>
      <c r="BD34">
        <v>11</v>
      </c>
      <c r="BE34">
        <v>16</v>
      </c>
      <c r="BF34">
        <v>42</v>
      </c>
      <c r="BG34">
        <v>80</v>
      </c>
      <c r="BH34">
        <v>88</v>
      </c>
      <c r="BI34">
        <v>13</v>
      </c>
      <c r="BJ34">
        <v>32</v>
      </c>
      <c r="BK34">
        <v>58</v>
      </c>
      <c r="BL34">
        <v>25</v>
      </c>
      <c r="BM34">
        <v>109</v>
      </c>
      <c r="BN34">
        <v>60</v>
      </c>
      <c r="BO34">
        <v>39</v>
      </c>
      <c r="BP34">
        <v>79</v>
      </c>
      <c r="BQ34">
        <v>59</v>
      </c>
      <c r="BR34">
        <v>119</v>
      </c>
      <c r="BS34">
        <v>118</v>
      </c>
      <c r="BT34">
        <v>0</v>
      </c>
      <c r="BU34">
        <v>237</v>
      </c>
      <c r="BV34" t="s">
        <v>289</v>
      </c>
    </row>
    <row r="35" spans="1:74">
      <c r="A35" t="s">
        <v>43</v>
      </c>
      <c r="B35" t="s">
        <v>287</v>
      </c>
      <c r="C35" t="s">
        <v>295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</v>
      </c>
      <c r="AC35">
        <v>1</v>
      </c>
      <c r="AD35">
        <v>1</v>
      </c>
      <c r="AE35">
        <v>3</v>
      </c>
      <c r="AF35">
        <v>1</v>
      </c>
      <c r="AG35">
        <v>2</v>
      </c>
      <c r="AH35">
        <v>4</v>
      </c>
      <c r="AI35">
        <v>0</v>
      </c>
      <c r="AJ35">
        <v>6</v>
      </c>
      <c r="AK35" t="s">
        <v>289</v>
      </c>
      <c r="BA35" t="s">
        <v>43</v>
      </c>
      <c r="BB35" t="s">
        <v>287</v>
      </c>
      <c r="BC35" t="s">
        <v>295</v>
      </c>
      <c r="BD35">
        <v>0</v>
      </c>
      <c r="BE35">
        <v>2</v>
      </c>
      <c r="BF35">
        <v>1</v>
      </c>
      <c r="BG35">
        <v>1</v>
      </c>
      <c r="BH35">
        <v>2</v>
      </c>
      <c r="BI35">
        <v>0</v>
      </c>
      <c r="BJ35">
        <v>0</v>
      </c>
      <c r="BK35">
        <v>4</v>
      </c>
      <c r="BL35">
        <v>0</v>
      </c>
      <c r="BM35">
        <v>2</v>
      </c>
      <c r="BN35">
        <v>1</v>
      </c>
      <c r="BO35">
        <v>1</v>
      </c>
      <c r="BP35">
        <v>3</v>
      </c>
      <c r="BQ35">
        <v>1</v>
      </c>
      <c r="BR35">
        <v>2</v>
      </c>
      <c r="BS35">
        <v>4</v>
      </c>
      <c r="BT35">
        <v>0</v>
      </c>
      <c r="BU35">
        <v>6</v>
      </c>
      <c r="BV35" t="s">
        <v>289</v>
      </c>
    </row>
    <row r="36" spans="1:74">
      <c r="A36" t="s">
        <v>46</v>
      </c>
      <c r="B36" t="s">
        <v>287</v>
      </c>
      <c r="C36" t="s">
        <v>288</v>
      </c>
      <c r="D36">
        <v>0.28000000000000003</v>
      </c>
      <c r="E36">
        <v>0.51</v>
      </c>
      <c r="F36">
        <v>1.1499999999999999</v>
      </c>
      <c r="G36">
        <v>1.65</v>
      </c>
      <c r="H36">
        <v>6.75</v>
      </c>
      <c r="I36">
        <v>0.52</v>
      </c>
      <c r="J36">
        <v>1.85</v>
      </c>
      <c r="K36">
        <v>7.36</v>
      </c>
      <c r="L36">
        <v>9.39</v>
      </c>
      <c r="M36">
        <v>6.88</v>
      </c>
      <c r="N36">
        <v>3.96</v>
      </c>
      <c r="O36">
        <v>6.18</v>
      </c>
      <c r="P36">
        <v>13.52</v>
      </c>
      <c r="Q36">
        <v>14.73</v>
      </c>
      <c r="R36">
        <v>10.25</v>
      </c>
      <c r="S36">
        <v>0.28000000000000003</v>
      </c>
      <c r="T36">
        <v>0.82</v>
      </c>
      <c r="U36">
        <v>3.37</v>
      </c>
      <c r="V36">
        <v>6.81</v>
      </c>
      <c r="W36">
        <v>7.57</v>
      </c>
      <c r="X36">
        <v>1.08</v>
      </c>
      <c r="Y36">
        <v>2.2000000000000002</v>
      </c>
      <c r="Z36">
        <v>14.85</v>
      </c>
      <c r="AA36">
        <v>31.38</v>
      </c>
      <c r="AB36">
        <v>46.66</v>
      </c>
      <c r="AC36">
        <v>42.49</v>
      </c>
      <c r="AD36">
        <v>30.5</v>
      </c>
      <c r="AE36">
        <v>79.209999999999994</v>
      </c>
      <c r="AF36">
        <v>47.8</v>
      </c>
      <c r="AG36">
        <v>100</v>
      </c>
      <c r="AH36">
        <v>100</v>
      </c>
      <c r="AI36">
        <v>0</v>
      </c>
      <c r="AJ36">
        <v>200</v>
      </c>
      <c r="AK36" t="s">
        <v>289</v>
      </c>
      <c r="BA36" t="s">
        <v>46</v>
      </c>
      <c r="BB36" t="s">
        <v>287</v>
      </c>
      <c r="BC36" t="s">
        <v>288</v>
      </c>
      <c r="BD36">
        <v>6.13</v>
      </c>
      <c r="BE36">
        <v>11.57</v>
      </c>
      <c r="BF36">
        <v>40.25</v>
      </c>
      <c r="BG36">
        <v>63.95</v>
      </c>
      <c r="BH36">
        <v>78.11</v>
      </c>
      <c r="BI36">
        <v>10.34</v>
      </c>
      <c r="BJ36">
        <v>25.99</v>
      </c>
      <c r="BK36">
        <v>48.63</v>
      </c>
      <c r="BL36">
        <v>18.86</v>
      </c>
      <c r="BM36">
        <v>96.18</v>
      </c>
      <c r="BN36">
        <v>42.49</v>
      </c>
      <c r="BO36">
        <v>30.5</v>
      </c>
      <c r="BP36">
        <v>79.209999999999994</v>
      </c>
      <c r="BQ36">
        <v>47.8</v>
      </c>
      <c r="BR36">
        <v>100</v>
      </c>
      <c r="BS36">
        <v>100</v>
      </c>
      <c r="BT36">
        <v>0</v>
      </c>
      <c r="BU36">
        <v>200</v>
      </c>
      <c r="BV36" t="s">
        <v>289</v>
      </c>
    </row>
    <row r="37" spans="1:74">
      <c r="A37" t="s">
        <v>46</v>
      </c>
      <c r="B37" t="s">
        <v>287</v>
      </c>
      <c r="C37" t="s">
        <v>290</v>
      </c>
      <c r="D37">
        <v>0</v>
      </c>
      <c r="E37">
        <v>0</v>
      </c>
      <c r="F37">
        <v>1</v>
      </c>
      <c r="G37">
        <v>2</v>
      </c>
      <c r="H37">
        <v>7</v>
      </c>
      <c r="I37">
        <v>1</v>
      </c>
      <c r="J37">
        <v>2</v>
      </c>
      <c r="K37">
        <v>7</v>
      </c>
      <c r="L37">
        <v>9</v>
      </c>
      <c r="M37">
        <v>7</v>
      </c>
      <c r="N37">
        <v>3</v>
      </c>
      <c r="O37">
        <v>6</v>
      </c>
      <c r="P37">
        <v>14</v>
      </c>
      <c r="Q37">
        <v>15</v>
      </c>
      <c r="R37">
        <v>10</v>
      </c>
      <c r="S37">
        <v>1</v>
      </c>
      <c r="T37">
        <v>1</v>
      </c>
      <c r="U37">
        <v>3</v>
      </c>
      <c r="V37">
        <v>7</v>
      </c>
      <c r="W37">
        <v>8</v>
      </c>
      <c r="X37">
        <v>1</v>
      </c>
      <c r="Y37">
        <v>2</v>
      </c>
      <c r="Z37">
        <v>15</v>
      </c>
      <c r="AA37">
        <v>31</v>
      </c>
      <c r="AB37">
        <v>43</v>
      </c>
      <c r="AC37">
        <v>53</v>
      </c>
      <c r="AD37">
        <v>40</v>
      </c>
      <c r="AE37">
        <v>67</v>
      </c>
      <c r="AF37">
        <v>36</v>
      </c>
      <c r="AG37">
        <v>100</v>
      </c>
      <c r="AH37">
        <v>96</v>
      </c>
      <c r="AI37">
        <v>0</v>
      </c>
      <c r="AJ37">
        <v>196</v>
      </c>
      <c r="AK37" t="s">
        <v>289</v>
      </c>
      <c r="BA37" t="s">
        <v>46</v>
      </c>
      <c r="BB37" t="s">
        <v>287</v>
      </c>
      <c r="BC37" t="s">
        <v>290</v>
      </c>
      <c r="BD37">
        <v>6</v>
      </c>
      <c r="BE37">
        <v>11</v>
      </c>
      <c r="BF37">
        <v>40</v>
      </c>
      <c r="BG37">
        <v>64</v>
      </c>
      <c r="BH37">
        <v>75</v>
      </c>
      <c r="BI37">
        <v>10</v>
      </c>
      <c r="BJ37">
        <v>26</v>
      </c>
      <c r="BK37">
        <v>48</v>
      </c>
      <c r="BL37">
        <v>20</v>
      </c>
      <c r="BM37">
        <v>92</v>
      </c>
      <c r="BN37">
        <v>53</v>
      </c>
      <c r="BO37">
        <v>40</v>
      </c>
      <c r="BP37">
        <v>67</v>
      </c>
      <c r="BQ37">
        <v>36</v>
      </c>
      <c r="BR37">
        <v>100</v>
      </c>
      <c r="BS37">
        <v>96</v>
      </c>
      <c r="BT37">
        <v>0</v>
      </c>
      <c r="BU37">
        <v>196</v>
      </c>
      <c r="BV37" t="s">
        <v>289</v>
      </c>
    </row>
    <row r="38" spans="1:74">
      <c r="A38" t="s">
        <v>46</v>
      </c>
      <c r="B38" t="s">
        <v>287</v>
      </c>
      <c r="C38" t="s">
        <v>291</v>
      </c>
      <c r="D38">
        <v>0</v>
      </c>
      <c r="E38">
        <v>0</v>
      </c>
      <c r="F38">
        <v>1</v>
      </c>
      <c r="G38">
        <v>1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5</v>
      </c>
      <c r="R38">
        <v>4</v>
      </c>
      <c r="S38">
        <v>0</v>
      </c>
      <c r="T38">
        <v>0</v>
      </c>
      <c r="U38">
        <v>0</v>
      </c>
      <c r="V38">
        <v>0</v>
      </c>
      <c r="W38">
        <v>7</v>
      </c>
      <c r="X38">
        <v>1</v>
      </c>
      <c r="Y38">
        <v>0</v>
      </c>
      <c r="Z38">
        <v>6</v>
      </c>
      <c r="AA38">
        <v>0</v>
      </c>
      <c r="AB38">
        <v>8</v>
      </c>
      <c r="AC38">
        <v>19</v>
      </c>
      <c r="AD38">
        <v>6</v>
      </c>
      <c r="AE38">
        <v>1</v>
      </c>
      <c r="AF38">
        <v>9</v>
      </c>
      <c r="AG38">
        <v>33</v>
      </c>
      <c r="AH38">
        <v>2</v>
      </c>
      <c r="AI38">
        <v>0</v>
      </c>
      <c r="AJ38">
        <v>35</v>
      </c>
      <c r="AK38" t="s">
        <v>289</v>
      </c>
      <c r="BA38" t="s">
        <v>46</v>
      </c>
      <c r="BB38" t="s">
        <v>287</v>
      </c>
      <c r="BC38" t="s">
        <v>291</v>
      </c>
      <c r="BD38">
        <v>2</v>
      </c>
      <c r="BE38">
        <v>0</v>
      </c>
      <c r="BF38">
        <v>8</v>
      </c>
      <c r="BG38">
        <v>6</v>
      </c>
      <c r="BH38">
        <v>19</v>
      </c>
      <c r="BI38">
        <v>2</v>
      </c>
      <c r="BJ38">
        <v>2</v>
      </c>
      <c r="BK38">
        <v>9</v>
      </c>
      <c r="BL38">
        <v>7</v>
      </c>
      <c r="BM38">
        <v>15</v>
      </c>
      <c r="BN38">
        <v>19</v>
      </c>
      <c r="BO38">
        <v>6</v>
      </c>
      <c r="BP38">
        <v>1</v>
      </c>
      <c r="BQ38">
        <v>9</v>
      </c>
      <c r="BR38">
        <v>33</v>
      </c>
      <c r="BS38">
        <v>2</v>
      </c>
      <c r="BT38">
        <v>0</v>
      </c>
      <c r="BU38">
        <v>35</v>
      </c>
      <c r="BV38" t="s">
        <v>289</v>
      </c>
    </row>
    <row r="39" spans="1:74">
      <c r="A39" t="s">
        <v>46</v>
      </c>
      <c r="B39" t="s">
        <v>287</v>
      </c>
      <c r="C39" t="s">
        <v>292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 t="s">
        <v>289</v>
      </c>
      <c r="BA39" t="s">
        <v>46</v>
      </c>
      <c r="BB39" t="s">
        <v>287</v>
      </c>
      <c r="BC39" t="s">
        <v>292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289</v>
      </c>
    </row>
    <row r="40" spans="1:74">
      <c r="A40" t="s">
        <v>46</v>
      </c>
      <c r="B40" t="s">
        <v>287</v>
      </c>
      <c r="C40" t="s">
        <v>293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1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3</v>
      </c>
      <c r="AF40">
        <v>0</v>
      </c>
      <c r="AG40">
        <v>1</v>
      </c>
      <c r="AH40">
        <v>3</v>
      </c>
      <c r="AI40">
        <v>0</v>
      </c>
      <c r="AJ40">
        <v>4</v>
      </c>
      <c r="AK40" t="s">
        <v>289</v>
      </c>
      <c r="BA40" t="s">
        <v>46</v>
      </c>
      <c r="BB40" t="s">
        <v>287</v>
      </c>
      <c r="BC40" t="s">
        <v>293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0</v>
      </c>
      <c r="BJ40">
        <v>0</v>
      </c>
      <c r="BK40">
        <v>3</v>
      </c>
      <c r="BL40">
        <v>1</v>
      </c>
      <c r="BM40">
        <v>0</v>
      </c>
      <c r="BN40">
        <v>0</v>
      </c>
      <c r="BO40">
        <v>1</v>
      </c>
      <c r="BP40">
        <v>3</v>
      </c>
      <c r="BQ40">
        <v>0</v>
      </c>
      <c r="BR40">
        <v>1</v>
      </c>
      <c r="BS40">
        <v>3</v>
      </c>
      <c r="BT40">
        <v>0</v>
      </c>
      <c r="BU40">
        <v>4</v>
      </c>
      <c r="BV40" t="s">
        <v>289</v>
      </c>
    </row>
    <row r="41" spans="1:74">
      <c r="A41" t="s">
        <v>46</v>
      </c>
      <c r="B41" t="s">
        <v>287</v>
      </c>
      <c r="C41" t="s">
        <v>294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289</v>
      </c>
      <c r="BA41" t="s">
        <v>46</v>
      </c>
      <c r="BB41" t="s">
        <v>287</v>
      </c>
      <c r="BC41" t="s">
        <v>294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289</v>
      </c>
    </row>
    <row r="42" spans="1:74">
      <c r="A42" t="s">
        <v>46</v>
      </c>
      <c r="B42" t="s">
        <v>287</v>
      </c>
      <c r="C42" t="s">
        <v>17</v>
      </c>
      <c r="D42">
        <v>0</v>
      </c>
      <c r="E42">
        <v>0</v>
      </c>
      <c r="F42">
        <v>2</v>
      </c>
      <c r="G42">
        <v>3</v>
      </c>
      <c r="H42">
        <v>7</v>
      </c>
      <c r="I42">
        <v>2</v>
      </c>
      <c r="J42">
        <v>2</v>
      </c>
      <c r="K42">
        <v>8</v>
      </c>
      <c r="L42">
        <v>9</v>
      </c>
      <c r="M42">
        <v>7</v>
      </c>
      <c r="N42">
        <v>4</v>
      </c>
      <c r="O42">
        <v>6</v>
      </c>
      <c r="P42">
        <v>15</v>
      </c>
      <c r="Q42">
        <v>21</v>
      </c>
      <c r="R42">
        <v>14</v>
      </c>
      <c r="S42">
        <v>1</v>
      </c>
      <c r="T42">
        <v>2</v>
      </c>
      <c r="U42">
        <v>3</v>
      </c>
      <c r="V42">
        <v>7</v>
      </c>
      <c r="W42">
        <v>15</v>
      </c>
      <c r="X42">
        <v>2</v>
      </c>
      <c r="Y42">
        <v>2</v>
      </c>
      <c r="Z42">
        <v>21</v>
      </c>
      <c r="AA42">
        <v>31</v>
      </c>
      <c r="AB42">
        <v>51</v>
      </c>
      <c r="AC42">
        <v>72</v>
      </c>
      <c r="AD42">
        <v>47</v>
      </c>
      <c r="AE42">
        <v>71</v>
      </c>
      <c r="AF42">
        <v>45</v>
      </c>
      <c r="AG42">
        <v>134</v>
      </c>
      <c r="AH42">
        <v>101</v>
      </c>
      <c r="AI42">
        <v>0</v>
      </c>
      <c r="AJ42">
        <v>235</v>
      </c>
      <c r="AK42" t="s">
        <v>289</v>
      </c>
      <c r="BA42" t="s">
        <v>46</v>
      </c>
      <c r="BB42" t="s">
        <v>287</v>
      </c>
      <c r="BC42" t="s">
        <v>17</v>
      </c>
      <c r="BD42">
        <v>9</v>
      </c>
      <c r="BE42">
        <v>12</v>
      </c>
      <c r="BF42">
        <v>49</v>
      </c>
      <c r="BG42">
        <v>71</v>
      </c>
      <c r="BH42">
        <v>94</v>
      </c>
      <c r="BI42">
        <v>12</v>
      </c>
      <c r="BJ42">
        <v>28</v>
      </c>
      <c r="BK42">
        <v>60</v>
      </c>
      <c r="BL42">
        <v>28</v>
      </c>
      <c r="BM42">
        <v>107</v>
      </c>
      <c r="BN42">
        <v>72</v>
      </c>
      <c r="BO42">
        <v>47</v>
      </c>
      <c r="BP42">
        <v>71</v>
      </c>
      <c r="BQ42">
        <v>45</v>
      </c>
      <c r="BR42">
        <v>134</v>
      </c>
      <c r="BS42">
        <v>101</v>
      </c>
      <c r="BT42">
        <v>0</v>
      </c>
      <c r="BU42">
        <v>235</v>
      </c>
      <c r="BV42" t="s">
        <v>289</v>
      </c>
    </row>
    <row r="43" spans="1:74">
      <c r="A43" t="s">
        <v>46</v>
      </c>
      <c r="B43" t="s">
        <v>287</v>
      </c>
      <c r="C43" t="s">
        <v>295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</v>
      </c>
      <c r="Z43">
        <v>1</v>
      </c>
      <c r="AA43">
        <v>0</v>
      </c>
      <c r="AB43">
        <v>1</v>
      </c>
      <c r="AC43">
        <v>1</v>
      </c>
      <c r="AD43">
        <v>2</v>
      </c>
      <c r="AE43">
        <v>3</v>
      </c>
      <c r="AF43">
        <v>1</v>
      </c>
      <c r="AG43">
        <v>4</v>
      </c>
      <c r="AH43">
        <v>3</v>
      </c>
      <c r="AI43">
        <v>0</v>
      </c>
      <c r="AJ43">
        <v>7</v>
      </c>
      <c r="AK43" t="s">
        <v>289</v>
      </c>
      <c r="BA43" t="s">
        <v>46</v>
      </c>
      <c r="BB43" t="s">
        <v>287</v>
      </c>
      <c r="BC43" t="s">
        <v>295</v>
      </c>
      <c r="BD43">
        <v>1</v>
      </c>
      <c r="BE43">
        <v>1</v>
      </c>
      <c r="BF43">
        <v>4</v>
      </c>
      <c r="BG43">
        <v>0</v>
      </c>
      <c r="BH43">
        <v>1</v>
      </c>
      <c r="BI43">
        <v>0</v>
      </c>
      <c r="BJ43">
        <v>0</v>
      </c>
      <c r="BK43">
        <v>4</v>
      </c>
      <c r="BL43">
        <v>0</v>
      </c>
      <c r="BM43">
        <v>3</v>
      </c>
      <c r="BN43">
        <v>1</v>
      </c>
      <c r="BO43">
        <v>2</v>
      </c>
      <c r="BP43">
        <v>3</v>
      </c>
      <c r="BQ43">
        <v>1</v>
      </c>
      <c r="BR43">
        <v>4</v>
      </c>
      <c r="BS43">
        <v>3</v>
      </c>
      <c r="BT43">
        <v>0</v>
      </c>
      <c r="BU43">
        <v>7</v>
      </c>
      <c r="BV43" t="s">
        <v>289</v>
      </c>
    </row>
    <row r="44" spans="1:74">
      <c r="A44" t="s">
        <v>48</v>
      </c>
      <c r="B44" t="s">
        <v>287</v>
      </c>
      <c r="C44" t="s">
        <v>288</v>
      </c>
      <c r="D44">
        <v>0.47</v>
      </c>
      <c r="E44">
        <v>0.5</v>
      </c>
      <c r="F44">
        <v>1.1499999999999999</v>
      </c>
      <c r="G44">
        <v>1.86</v>
      </c>
      <c r="H44">
        <v>6.87</v>
      </c>
      <c r="I44">
        <v>0.6</v>
      </c>
      <c r="J44">
        <v>1.85</v>
      </c>
      <c r="K44">
        <v>6.52</v>
      </c>
      <c r="L44">
        <v>9.7799999999999994</v>
      </c>
      <c r="M44">
        <v>6.49</v>
      </c>
      <c r="N44">
        <v>4.08</v>
      </c>
      <c r="O44">
        <v>6.61</v>
      </c>
      <c r="P44">
        <v>13.96</v>
      </c>
      <c r="Q44">
        <v>14.67</v>
      </c>
      <c r="R44">
        <v>10.09</v>
      </c>
      <c r="S44">
        <v>0.38</v>
      </c>
      <c r="T44">
        <v>0.8</v>
      </c>
      <c r="U44">
        <v>3.31</v>
      </c>
      <c r="V44">
        <v>6.51</v>
      </c>
      <c r="W44">
        <v>8.0500000000000007</v>
      </c>
      <c r="X44">
        <v>1.21</v>
      </c>
      <c r="Y44">
        <v>1.81</v>
      </c>
      <c r="Z44">
        <v>14.61</v>
      </c>
      <c r="AA44">
        <v>31.13</v>
      </c>
      <c r="AB44">
        <v>46.67</v>
      </c>
      <c r="AC44">
        <v>41.65</v>
      </c>
      <c r="AD44">
        <v>32.08</v>
      </c>
      <c r="AE44">
        <v>78.94</v>
      </c>
      <c r="AF44">
        <v>47.33</v>
      </c>
      <c r="AG44">
        <v>100</v>
      </c>
      <c r="AH44">
        <v>100</v>
      </c>
      <c r="AI44">
        <v>0</v>
      </c>
      <c r="AJ44">
        <v>200</v>
      </c>
      <c r="AK44" t="s">
        <v>289</v>
      </c>
      <c r="BA44" t="s">
        <v>48</v>
      </c>
      <c r="BB44" t="s">
        <v>287</v>
      </c>
      <c r="BC44" t="s">
        <v>288</v>
      </c>
      <c r="BD44">
        <v>6.75</v>
      </c>
      <c r="BE44">
        <v>11.57</v>
      </c>
      <c r="BF44">
        <v>39.56</v>
      </c>
      <c r="BG44">
        <v>63.95</v>
      </c>
      <c r="BH44">
        <v>78.17</v>
      </c>
      <c r="BI44">
        <v>10.85</v>
      </c>
      <c r="BJ44">
        <v>25.24</v>
      </c>
      <c r="BK44">
        <v>49.4</v>
      </c>
      <c r="BL44">
        <v>19.059999999999999</v>
      </c>
      <c r="BM44">
        <v>95.44</v>
      </c>
      <c r="BN44">
        <v>41.65</v>
      </c>
      <c r="BO44">
        <v>32.08</v>
      </c>
      <c r="BP44">
        <v>78.94</v>
      </c>
      <c r="BQ44">
        <v>47.33</v>
      </c>
      <c r="BR44">
        <v>100</v>
      </c>
      <c r="BS44">
        <v>100</v>
      </c>
      <c r="BT44">
        <v>0</v>
      </c>
      <c r="BU44">
        <v>200</v>
      </c>
      <c r="BV44" t="s">
        <v>289</v>
      </c>
    </row>
    <row r="45" spans="1:74">
      <c r="A45" t="s">
        <v>48</v>
      </c>
      <c r="B45" t="s">
        <v>287</v>
      </c>
      <c r="C45" t="s">
        <v>290</v>
      </c>
      <c r="D45">
        <v>1</v>
      </c>
      <c r="E45">
        <v>0</v>
      </c>
      <c r="F45">
        <v>1</v>
      </c>
      <c r="G45">
        <v>2</v>
      </c>
      <c r="H45">
        <v>6</v>
      </c>
      <c r="I45">
        <v>1</v>
      </c>
      <c r="J45">
        <v>2</v>
      </c>
      <c r="K45">
        <v>7</v>
      </c>
      <c r="L45">
        <v>10</v>
      </c>
      <c r="M45">
        <v>6</v>
      </c>
      <c r="N45">
        <v>4</v>
      </c>
      <c r="O45">
        <v>6</v>
      </c>
      <c r="P45">
        <v>14</v>
      </c>
      <c r="Q45">
        <v>15</v>
      </c>
      <c r="R45">
        <v>10</v>
      </c>
      <c r="S45">
        <v>0</v>
      </c>
      <c r="T45">
        <v>0</v>
      </c>
      <c r="U45">
        <v>3</v>
      </c>
      <c r="V45">
        <v>7</v>
      </c>
      <c r="W45">
        <v>8</v>
      </c>
      <c r="X45">
        <v>1</v>
      </c>
      <c r="Y45">
        <v>0</v>
      </c>
      <c r="Z45">
        <v>14</v>
      </c>
      <c r="AA45">
        <v>30</v>
      </c>
      <c r="AB45">
        <v>47</v>
      </c>
      <c r="AC45">
        <v>54</v>
      </c>
      <c r="AD45">
        <v>31</v>
      </c>
      <c r="AE45">
        <v>63</v>
      </c>
      <c r="AF45">
        <v>47</v>
      </c>
      <c r="AG45">
        <v>96</v>
      </c>
      <c r="AH45">
        <v>99</v>
      </c>
      <c r="AI45">
        <v>0</v>
      </c>
      <c r="AJ45">
        <v>195</v>
      </c>
      <c r="AK45" t="s">
        <v>289</v>
      </c>
      <c r="BA45" t="s">
        <v>48</v>
      </c>
      <c r="BB45" t="s">
        <v>287</v>
      </c>
      <c r="BC45" t="s">
        <v>290</v>
      </c>
      <c r="BD45">
        <v>7</v>
      </c>
      <c r="BE45">
        <v>8</v>
      </c>
      <c r="BF45">
        <v>39</v>
      </c>
      <c r="BG45">
        <v>64</v>
      </c>
      <c r="BH45">
        <v>77</v>
      </c>
      <c r="BI45">
        <v>10</v>
      </c>
      <c r="BJ45">
        <v>26</v>
      </c>
      <c r="BK45">
        <v>49</v>
      </c>
      <c r="BL45">
        <v>18</v>
      </c>
      <c r="BM45">
        <v>92</v>
      </c>
      <c r="BN45">
        <v>54</v>
      </c>
      <c r="BO45">
        <v>31</v>
      </c>
      <c r="BP45">
        <v>63</v>
      </c>
      <c r="BQ45">
        <v>47</v>
      </c>
      <c r="BR45">
        <v>96</v>
      </c>
      <c r="BS45">
        <v>99</v>
      </c>
      <c r="BT45">
        <v>0</v>
      </c>
      <c r="BU45">
        <v>195</v>
      </c>
      <c r="BV45" t="s">
        <v>289</v>
      </c>
    </row>
    <row r="46" spans="1:74">
      <c r="A46" t="s">
        <v>48</v>
      </c>
      <c r="B46" t="s">
        <v>287</v>
      </c>
      <c r="C46" t="s">
        <v>291</v>
      </c>
      <c r="D46">
        <v>0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1</v>
      </c>
      <c r="M46">
        <v>6</v>
      </c>
      <c r="N46">
        <v>0</v>
      </c>
      <c r="O46">
        <v>0</v>
      </c>
      <c r="P46">
        <v>0</v>
      </c>
      <c r="Q46">
        <v>4</v>
      </c>
      <c r="R46">
        <v>1</v>
      </c>
      <c r="S46">
        <v>0</v>
      </c>
      <c r="T46">
        <v>0</v>
      </c>
      <c r="U46">
        <v>0</v>
      </c>
      <c r="V46">
        <v>1</v>
      </c>
      <c r="W46">
        <v>5</v>
      </c>
      <c r="X46">
        <v>0</v>
      </c>
      <c r="Y46">
        <v>0</v>
      </c>
      <c r="Z46">
        <v>0</v>
      </c>
      <c r="AA46">
        <v>0</v>
      </c>
      <c r="AB46">
        <v>7</v>
      </c>
      <c r="AC46">
        <v>19</v>
      </c>
      <c r="AD46">
        <v>5</v>
      </c>
      <c r="AE46">
        <v>1</v>
      </c>
      <c r="AF46">
        <v>3</v>
      </c>
      <c r="AG46">
        <v>13</v>
      </c>
      <c r="AH46">
        <v>15</v>
      </c>
      <c r="AI46">
        <v>0</v>
      </c>
      <c r="AJ46">
        <v>28</v>
      </c>
      <c r="AK46" t="s">
        <v>289</v>
      </c>
      <c r="BA46" t="s">
        <v>48</v>
      </c>
      <c r="BB46" t="s">
        <v>287</v>
      </c>
      <c r="BC46" t="s">
        <v>291</v>
      </c>
      <c r="BD46">
        <v>1</v>
      </c>
      <c r="BE46">
        <v>1</v>
      </c>
      <c r="BF46">
        <v>1</v>
      </c>
      <c r="BG46">
        <v>6</v>
      </c>
      <c r="BH46">
        <v>19</v>
      </c>
      <c r="BI46">
        <v>1</v>
      </c>
      <c r="BJ46">
        <v>9</v>
      </c>
      <c r="BK46">
        <v>5</v>
      </c>
      <c r="BL46">
        <v>6</v>
      </c>
      <c r="BM46">
        <v>7</v>
      </c>
      <c r="BN46">
        <v>19</v>
      </c>
      <c r="BO46">
        <v>5</v>
      </c>
      <c r="BP46">
        <v>1</v>
      </c>
      <c r="BQ46">
        <v>3</v>
      </c>
      <c r="BR46">
        <v>13</v>
      </c>
      <c r="BS46">
        <v>15</v>
      </c>
      <c r="BT46">
        <v>0</v>
      </c>
      <c r="BU46">
        <v>28</v>
      </c>
      <c r="BV46" t="s">
        <v>289</v>
      </c>
    </row>
    <row r="47" spans="1:74">
      <c r="A47" t="s">
        <v>48</v>
      </c>
      <c r="B47" t="s">
        <v>287</v>
      </c>
      <c r="C47" t="s">
        <v>292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1</v>
      </c>
      <c r="AH47">
        <v>2</v>
      </c>
      <c r="AI47">
        <v>0</v>
      </c>
      <c r="AJ47">
        <v>3</v>
      </c>
      <c r="AK47" t="s">
        <v>289</v>
      </c>
      <c r="BA47" t="s">
        <v>48</v>
      </c>
      <c r="BB47" t="s">
        <v>287</v>
      </c>
      <c r="BC47" t="s">
        <v>292</v>
      </c>
      <c r="BD47">
        <v>0</v>
      </c>
      <c r="BE47">
        <v>0</v>
      </c>
      <c r="BF47">
        <v>2</v>
      </c>
      <c r="BG47">
        <v>0</v>
      </c>
      <c r="BH47">
        <v>1</v>
      </c>
      <c r="BI47">
        <v>1</v>
      </c>
      <c r="BJ47">
        <v>0</v>
      </c>
      <c r="BK47">
        <v>1</v>
      </c>
      <c r="BL47">
        <v>0</v>
      </c>
      <c r="BM47">
        <v>1</v>
      </c>
      <c r="BN47">
        <v>0</v>
      </c>
      <c r="BO47">
        <v>2</v>
      </c>
      <c r="BP47">
        <v>0</v>
      </c>
      <c r="BQ47">
        <v>1</v>
      </c>
      <c r="BR47">
        <v>1</v>
      </c>
      <c r="BS47">
        <v>2</v>
      </c>
      <c r="BT47">
        <v>0</v>
      </c>
      <c r="BU47">
        <v>3</v>
      </c>
      <c r="BV47" t="s">
        <v>289</v>
      </c>
    </row>
    <row r="48" spans="1:74">
      <c r="A48" t="s">
        <v>48</v>
      </c>
      <c r="B48" t="s">
        <v>287</v>
      </c>
      <c r="C48" t="s">
        <v>293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1</v>
      </c>
      <c r="AB48">
        <v>0</v>
      </c>
      <c r="AC48">
        <v>1</v>
      </c>
      <c r="AD48">
        <v>0</v>
      </c>
      <c r="AE48">
        <v>1</v>
      </c>
      <c r="AF48">
        <v>1</v>
      </c>
      <c r="AG48">
        <v>1</v>
      </c>
      <c r="AH48">
        <v>2</v>
      </c>
      <c r="AI48">
        <v>0</v>
      </c>
      <c r="AJ48">
        <v>3</v>
      </c>
      <c r="AK48" t="s">
        <v>289</v>
      </c>
      <c r="BA48" t="s">
        <v>48</v>
      </c>
      <c r="BB48" t="s">
        <v>287</v>
      </c>
      <c r="BC48" t="s">
        <v>293</v>
      </c>
      <c r="BD48">
        <v>0</v>
      </c>
      <c r="BE48">
        <v>2</v>
      </c>
      <c r="BF48">
        <v>0</v>
      </c>
      <c r="BG48">
        <v>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3</v>
      </c>
      <c r="BN48">
        <v>1</v>
      </c>
      <c r="BO48">
        <v>0</v>
      </c>
      <c r="BP48">
        <v>1</v>
      </c>
      <c r="BQ48">
        <v>1</v>
      </c>
      <c r="BR48">
        <v>1</v>
      </c>
      <c r="BS48">
        <v>2</v>
      </c>
      <c r="BT48">
        <v>0</v>
      </c>
      <c r="BU48">
        <v>3</v>
      </c>
      <c r="BV48" t="s">
        <v>289</v>
      </c>
    </row>
    <row r="49" spans="1:74">
      <c r="A49" t="s">
        <v>48</v>
      </c>
      <c r="B49" t="s">
        <v>287</v>
      </c>
      <c r="C49" t="s">
        <v>294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0</v>
      </c>
      <c r="AI49">
        <v>0</v>
      </c>
      <c r="AJ49">
        <v>1</v>
      </c>
      <c r="AK49" t="s">
        <v>289</v>
      </c>
      <c r="BA49" t="s">
        <v>48</v>
      </c>
      <c r="BB49" t="s">
        <v>287</v>
      </c>
      <c r="BC49" t="s">
        <v>294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0</v>
      </c>
      <c r="BU49">
        <v>1</v>
      </c>
      <c r="BV49" t="s">
        <v>289</v>
      </c>
    </row>
    <row r="50" spans="1:74">
      <c r="A50" t="s">
        <v>48</v>
      </c>
      <c r="B50" t="s">
        <v>287</v>
      </c>
      <c r="C50" t="s">
        <v>17</v>
      </c>
      <c r="D50">
        <v>1</v>
      </c>
      <c r="E50">
        <v>0</v>
      </c>
      <c r="F50">
        <v>2</v>
      </c>
      <c r="G50">
        <v>2</v>
      </c>
      <c r="H50">
        <v>7</v>
      </c>
      <c r="I50">
        <v>2</v>
      </c>
      <c r="J50">
        <v>3</v>
      </c>
      <c r="K50">
        <v>7</v>
      </c>
      <c r="L50">
        <v>11</v>
      </c>
      <c r="M50">
        <v>12</v>
      </c>
      <c r="N50">
        <v>4</v>
      </c>
      <c r="O50">
        <v>6</v>
      </c>
      <c r="P50">
        <v>15</v>
      </c>
      <c r="Q50">
        <v>19</v>
      </c>
      <c r="R50">
        <v>11</v>
      </c>
      <c r="S50">
        <v>0</v>
      </c>
      <c r="T50">
        <v>0</v>
      </c>
      <c r="U50">
        <v>3</v>
      </c>
      <c r="V50">
        <v>8</v>
      </c>
      <c r="W50">
        <v>13</v>
      </c>
      <c r="X50">
        <v>1</v>
      </c>
      <c r="Y50">
        <v>2</v>
      </c>
      <c r="Z50">
        <v>15</v>
      </c>
      <c r="AA50">
        <v>31</v>
      </c>
      <c r="AB50">
        <v>55</v>
      </c>
      <c r="AC50">
        <v>74</v>
      </c>
      <c r="AD50">
        <v>38</v>
      </c>
      <c r="AE50">
        <v>66</v>
      </c>
      <c r="AF50">
        <v>52</v>
      </c>
      <c r="AG50">
        <v>112</v>
      </c>
      <c r="AH50">
        <v>118</v>
      </c>
      <c r="AI50">
        <v>0</v>
      </c>
      <c r="AJ50">
        <v>230</v>
      </c>
      <c r="AK50" t="s">
        <v>289</v>
      </c>
      <c r="BA50" t="s">
        <v>48</v>
      </c>
      <c r="BB50" t="s">
        <v>287</v>
      </c>
      <c r="BC50" t="s">
        <v>17</v>
      </c>
      <c r="BD50">
        <v>8</v>
      </c>
      <c r="BE50">
        <v>11</v>
      </c>
      <c r="BF50">
        <v>42</v>
      </c>
      <c r="BG50">
        <v>71</v>
      </c>
      <c r="BH50">
        <v>98</v>
      </c>
      <c r="BI50">
        <v>12</v>
      </c>
      <c r="BJ50">
        <v>35</v>
      </c>
      <c r="BK50">
        <v>55</v>
      </c>
      <c r="BL50">
        <v>24</v>
      </c>
      <c r="BM50">
        <v>104</v>
      </c>
      <c r="BN50">
        <v>74</v>
      </c>
      <c r="BO50">
        <v>38</v>
      </c>
      <c r="BP50">
        <v>66</v>
      </c>
      <c r="BQ50">
        <v>52</v>
      </c>
      <c r="BR50">
        <v>112</v>
      </c>
      <c r="BS50">
        <v>118</v>
      </c>
      <c r="BT50">
        <v>0</v>
      </c>
      <c r="BU50">
        <v>230</v>
      </c>
      <c r="BV50" t="s">
        <v>289</v>
      </c>
    </row>
    <row r="51" spans="1:74">
      <c r="A51" t="s">
        <v>48</v>
      </c>
      <c r="B51" t="s">
        <v>287</v>
      </c>
      <c r="C51" t="s">
        <v>295</v>
      </c>
      <c r="D51">
        <v>0</v>
      </c>
      <c r="E51">
        <v>0</v>
      </c>
      <c r="F51">
        <v>0</v>
      </c>
      <c r="G51">
        <v>0</v>
      </c>
      <c r="H51">
        <v>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3</v>
      </c>
      <c r="AB51">
        <v>2</v>
      </c>
      <c r="AC51">
        <v>0</v>
      </c>
      <c r="AD51">
        <v>1</v>
      </c>
      <c r="AE51">
        <v>9</v>
      </c>
      <c r="AF51">
        <v>0</v>
      </c>
      <c r="AG51">
        <v>1</v>
      </c>
      <c r="AH51">
        <v>9</v>
      </c>
      <c r="AI51">
        <v>0</v>
      </c>
      <c r="AJ51">
        <v>10</v>
      </c>
      <c r="AK51" t="s">
        <v>289</v>
      </c>
      <c r="BA51" t="s">
        <v>48</v>
      </c>
      <c r="BB51" t="s">
        <v>287</v>
      </c>
      <c r="BC51" t="s">
        <v>295</v>
      </c>
      <c r="BD51">
        <v>1</v>
      </c>
      <c r="BE51">
        <v>0</v>
      </c>
      <c r="BF51">
        <v>2</v>
      </c>
      <c r="BG51">
        <v>3</v>
      </c>
      <c r="BH51">
        <v>4</v>
      </c>
      <c r="BI51">
        <v>2</v>
      </c>
      <c r="BJ51">
        <v>0</v>
      </c>
      <c r="BK51">
        <v>0</v>
      </c>
      <c r="BL51">
        <v>1</v>
      </c>
      <c r="BM51">
        <v>7</v>
      </c>
      <c r="BN51">
        <v>0</v>
      </c>
      <c r="BO51">
        <v>1</v>
      </c>
      <c r="BP51">
        <v>9</v>
      </c>
      <c r="BQ51">
        <v>0</v>
      </c>
      <c r="BR51">
        <v>1</v>
      </c>
      <c r="BS51">
        <v>9</v>
      </c>
      <c r="BT51">
        <v>0</v>
      </c>
      <c r="BU51">
        <v>10</v>
      </c>
      <c r="BV51" t="s">
        <v>289</v>
      </c>
    </row>
    <row r="52" spans="1:74">
      <c r="A52" t="s">
        <v>49</v>
      </c>
      <c r="B52" t="s">
        <v>287</v>
      </c>
      <c r="C52" t="s">
        <v>288</v>
      </c>
      <c r="D52">
        <v>0.35</v>
      </c>
      <c r="E52">
        <v>0.42</v>
      </c>
      <c r="F52">
        <v>1.23</v>
      </c>
      <c r="G52">
        <v>1.65</v>
      </c>
      <c r="H52">
        <v>6.07</v>
      </c>
      <c r="I52">
        <v>0.55000000000000004</v>
      </c>
      <c r="J52">
        <v>1.51</v>
      </c>
      <c r="K52">
        <v>6.43</v>
      </c>
      <c r="L52">
        <v>10.37</v>
      </c>
      <c r="M52">
        <v>6.96</v>
      </c>
      <c r="N52">
        <v>4.9400000000000004</v>
      </c>
      <c r="O52">
        <v>6.69</v>
      </c>
      <c r="P52">
        <v>13.89</v>
      </c>
      <c r="Q52">
        <v>14.8</v>
      </c>
      <c r="R52">
        <v>9.57</v>
      </c>
      <c r="S52">
        <v>0.41</v>
      </c>
      <c r="T52">
        <v>0.82</v>
      </c>
      <c r="U52">
        <v>3.71</v>
      </c>
      <c r="V52">
        <v>6.88</v>
      </c>
      <c r="W52">
        <v>7.41</v>
      </c>
      <c r="X52">
        <v>1.05</v>
      </c>
      <c r="Y52">
        <v>2.2999999999999998</v>
      </c>
      <c r="Z52">
        <v>14.65</v>
      </c>
      <c r="AA52">
        <v>30.93</v>
      </c>
      <c r="AB52">
        <v>46.39</v>
      </c>
      <c r="AC52">
        <v>42.42</v>
      </c>
      <c r="AD52">
        <v>31.5</v>
      </c>
      <c r="AE52">
        <v>78.260000000000005</v>
      </c>
      <c r="AF52">
        <v>47.82</v>
      </c>
      <c r="AG52">
        <v>100</v>
      </c>
      <c r="AH52">
        <v>100</v>
      </c>
      <c r="AI52">
        <v>0</v>
      </c>
      <c r="AJ52">
        <v>200</v>
      </c>
      <c r="AK52" t="s">
        <v>289</v>
      </c>
      <c r="BA52" t="s">
        <v>49</v>
      </c>
      <c r="BB52" t="s">
        <v>287</v>
      </c>
      <c r="BC52" t="s">
        <v>288</v>
      </c>
      <c r="BD52">
        <v>7.31</v>
      </c>
      <c r="BE52">
        <v>11.74</v>
      </c>
      <c r="BF52">
        <v>39.909999999999997</v>
      </c>
      <c r="BG52">
        <v>64.64</v>
      </c>
      <c r="BH52">
        <v>76.41</v>
      </c>
      <c r="BI52">
        <v>9.7200000000000006</v>
      </c>
      <c r="BJ52">
        <v>25.83</v>
      </c>
      <c r="BK52">
        <v>49.9</v>
      </c>
      <c r="BL52">
        <v>19.23</v>
      </c>
      <c r="BM52">
        <v>95.32</v>
      </c>
      <c r="BN52">
        <v>42.42</v>
      </c>
      <c r="BO52">
        <v>31.5</v>
      </c>
      <c r="BP52">
        <v>78.260000000000005</v>
      </c>
      <c r="BQ52">
        <v>47.82</v>
      </c>
      <c r="BR52">
        <v>100</v>
      </c>
      <c r="BS52">
        <v>100</v>
      </c>
      <c r="BT52">
        <v>0</v>
      </c>
      <c r="BU52">
        <v>200</v>
      </c>
      <c r="BV52" t="s">
        <v>289</v>
      </c>
    </row>
    <row r="53" spans="1:74">
      <c r="A53" t="s">
        <v>49</v>
      </c>
      <c r="B53" t="s">
        <v>287</v>
      </c>
      <c r="C53" t="s">
        <v>290</v>
      </c>
      <c r="D53">
        <v>0</v>
      </c>
      <c r="E53">
        <v>1</v>
      </c>
      <c r="F53">
        <v>1</v>
      </c>
      <c r="G53">
        <v>2</v>
      </c>
      <c r="H53">
        <v>6</v>
      </c>
      <c r="I53">
        <v>1</v>
      </c>
      <c r="J53">
        <v>2</v>
      </c>
      <c r="K53">
        <v>6</v>
      </c>
      <c r="L53">
        <v>10</v>
      </c>
      <c r="M53">
        <v>7</v>
      </c>
      <c r="N53">
        <v>5</v>
      </c>
      <c r="O53">
        <v>7</v>
      </c>
      <c r="P53">
        <v>14</v>
      </c>
      <c r="Q53">
        <v>15</v>
      </c>
      <c r="R53">
        <v>10</v>
      </c>
      <c r="S53">
        <v>0</v>
      </c>
      <c r="T53">
        <v>0</v>
      </c>
      <c r="U53">
        <v>3</v>
      </c>
      <c r="V53">
        <v>7</v>
      </c>
      <c r="W53">
        <v>7</v>
      </c>
      <c r="X53">
        <v>1</v>
      </c>
      <c r="Y53">
        <v>2</v>
      </c>
      <c r="Z53">
        <v>15</v>
      </c>
      <c r="AA53">
        <v>31</v>
      </c>
      <c r="AB53">
        <v>46</v>
      </c>
      <c r="AC53">
        <v>55</v>
      </c>
      <c r="AD53">
        <v>30</v>
      </c>
      <c r="AE53">
        <v>66</v>
      </c>
      <c r="AF53">
        <v>48</v>
      </c>
      <c r="AG53">
        <v>100</v>
      </c>
      <c r="AH53">
        <v>99</v>
      </c>
      <c r="AI53">
        <v>0</v>
      </c>
      <c r="AJ53">
        <v>199</v>
      </c>
      <c r="AK53" t="s">
        <v>289</v>
      </c>
      <c r="BA53" t="s">
        <v>49</v>
      </c>
      <c r="BB53" t="s">
        <v>287</v>
      </c>
      <c r="BC53" t="s">
        <v>290</v>
      </c>
      <c r="BD53">
        <v>7</v>
      </c>
      <c r="BE53">
        <v>12</v>
      </c>
      <c r="BF53">
        <v>39</v>
      </c>
      <c r="BG53">
        <v>65</v>
      </c>
      <c r="BH53">
        <v>76</v>
      </c>
      <c r="BI53">
        <v>10</v>
      </c>
      <c r="BJ53">
        <v>26</v>
      </c>
      <c r="BK53">
        <v>51</v>
      </c>
      <c r="BL53">
        <v>17</v>
      </c>
      <c r="BM53">
        <v>95</v>
      </c>
      <c r="BN53">
        <v>55</v>
      </c>
      <c r="BO53">
        <v>30</v>
      </c>
      <c r="BP53">
        <v>66</v>
      </c>
      <c r="BQ53">
        <v>48</v>
      </c>
      <c r="BR53">
        <v>100</v>
      </c>
      <c r="BS53">
        <v>99</v>
      </c>
      <c r="BT53">
        <v>0</v>
      </c>
      <c r="BU53">
        <v>199</v>
      </c>
      <c r="BV53" t="s">
        <v>289</v>
      </c>
    </row>
    <row r="54" spans="1:74">
      <c r="A54" t="s">
        <v>49</v>
      </c>
      <c r="B54" t="s">
        <v>287</v>
      </c>
      <c r="C54" t="s">
        <v>291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2</v>
      </c>
      <c r="K54">
        <v>0</v>
      </c>
      <c r="L54">
        <v>1</v>
      </c>
      <c r="M54">
        <v>0</v>
      </c>
      <c r="N54">
        <v>0</v>
      </c>
      <c r="O54">
        <v>0</v>
      </c>
      <c r="P54">
        <v>2</v>
      </c>
      <c r="Q54">
        <v>6</v>
      </c>
      <c r="R54">
        <v>0</v>
      </c>
      <c r="S54">
        <v>0</v>
      </c>
      <c r="T54">
        <v>0</v>
      </c>
      <c r="U54">
        <v>0</v>
      </c>
      <c r="V54">
        <v>0</v>
      </c>
      <c r="W54">
        <v>2</v>
      </c>
      <c r="X54">
        <v>0</v>
      </c>
      <c r="Y54">
        <v>1</v>
      </c>
      <c r="Z54">
        <v>0</v>
      </c>
      <c r="AA54">
        <v>0</v>
      </c>
      <c r="AB54">
        <v>6</v>
      </c>
      <c r="AC54">
        <v>13</v>
      </c>
      <c r="AD54">
        <v>3</v>
      </c>
      <c r="AE54">
        <v>1</v>
      </c>
      <c r="AF54">
        <v>7</v>
      </c>
      <c r="AG54">
        <v>18</v>
      </c>
      <c r="AH54">
        <v>6</v>
      </c>
      <c r="AI54">
        <v>0</v>
      </c>
      <c r="AJ54">
        <v>24</v>
      </c>
      <c r="AK54" t="s">
        <v>289</v>
      </c>
      <c r="BA54" t="s">
        <v>49</v>
      </c>
      <c r="BB54" t="s">
        <v>287</v>
      </c>
      <c r="BC54" t="s">
        <v>291</v>
      </c>
      <c r="BD54">
        <v>1</v>
      </c>
      <c r="BE54">
        <v>3</v>
      </c>
      <c r="BF54">
        <v>3</v>
      </c>
      <c r="BG54">
        <v>8</v>
      </c>
      <c r="BH54">
        <v>9</v>
      </c>
      <c r="BI54">
        <v>3</v>
      </c>
      <c r="BJ54">
        <v>4</v>
      </c>
      <c r="BK54">
        <v>8</v>
      </c>
      <c r="BL54">
        <v>2</v>
      </c>
      <c r="BM54">
        <v>7</v>
      </c>
      <c r="BN54">
        <v>13</v>
      </c>
      <c r="BO54">
        <v>3</v>
      </c>
      <c r="BP54">
        <v>1</v>
      </c>
      <c r="BQ54">
        <v>7</v>
      </c>
      <c r="BR54">
        <v>18</v>
      </c>
      <c r="BS54">
        <v>6</v>
      </c>
      <c r="BT54">
        <v>0</v>
      </c>
      <c r="BU54">
        <v>24</v>
      </c>
      <c r="BV54" t="s">
        <v>289</v>
      </c>
    </row>
    <row r="55" spans="1:74">
      <c r="A55" t="s">
        <v>49</v>
      </c>
      <c r="B55" t="s">
        <v>287</v>
      </c>
      <c r="C55" t="s">
        <v>292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 t="s">
        <v>289</v>
      </c>
      <c r="BA55" t="s">
        <v>49</v>
      </c>
      <c r="BB55" t="s">
        <v>287</v>
      </c>
      <c r="BC55" t="s">
        <v>292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289</v>
      </c>
    </row>
    <row r="56" spans="1:74">
      <c r="A56" t="s">
        <v>49</v>
      </c>
      <c r="B56" t="s">
        <v>287</v>
      </c>
      <c r="C56" t="s">
        <v>293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1</v>
      </c>
      <c r="AE56">
        <v>1</v>
      </c>
      <c r="AF56">
        <v>0</v>
      </c>
      <c r="AG56">
        <v>2</v>
      </c>
      <c r="AH56">
        <v>1</v>
      </c>
      <c r="AI56">
        <v>0</v>
      </c>
      <c r="AJ56">
        <v>3</v>
      </c>
      <c r="AK56" t="s">
        <v>289</v>
      </c>
      <c r="BA56" t="s">
        <v>49</v>
      </c>
      <c r="BB56" t="s">
        <v>287</v>
      </c>
      <c r="BC56" t="s">
        <v>293</v>
      </c>
      <c r="BD56">
        <v>1</v>
      </c>
      <c r="BE56">
        <v>0</v>
      </c>
      <c r="BF56">
        <v>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</v>
      </c>
      <c r="BM56">
        <v>1</v>
      </c>
      <c r="BN56">
        <v>1</v>
      </c>
      <c r="BO56">
        <v>1</v>
      </c>
      <c r="BP56">
        <v>1</v>
      </c>
      <c r="BQ56">
        <v>0</v>
      </c>
      <c r="BR56">
        <v>2</v>
      </c>
      <c r="BS56">
        <v>1</v>
      </c>
      <c r="BT56">
        <v>0</v>
      </c>
      <c r="BU56">
        <v>3</v>
      </c>
      <c r="BV56" t="s">
        <v>289</v>
      </c>
    </row>
    <row r="57" spans="1:74">
      <c r="A57" t="s">
        <v>49</v>
      </c>
      <c r="B57" t="s">
        <v>287</v>
      </c>
      <c r="C57" t="s">
        <v>294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289</v>
      </c>
      <c r="BA57" t="s">
        <v>49</v>
      </c>
      <c r="BB57" t="s">
        <v>287</v>
      </c>
      <c r="BC57" t="s">
        <v>294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289</v>
      </c>
    </row>
    <row r="58" spans="1:74">
      <c r="A58" t="s">
        <v>49</v>
      </c>
      <c r="B58" t="s">
        <v>287</v>
      </c>
      <c r="C58" t="s">
        <v>17</v>
      </c>
      <c r="D58">
        <v>0</v>
      </c>
      <c r="E58">
        <v>1</v>
      </c>
      <c r="F58">
        <v>2</v>
      </c>
      <c r="G58">
        <v>3</v>
      </c>
      <c r="H58">
        <v>7</v>
      </c>
      <c r="I58">
        <v>2</v>
      </c>
      <c r="J58">
        <v>4</v>
      </c>
      <c r="K58">
        <v>6</v>
      </c>
      <c r="L58">
        <v>11</v>
      </c>
      <c r="M58">
        <v>7</v>
      </c>
      <c r="N58">
        <v>5</v>
      </c>
      <c r="O58">
        <v>7</v>
      </c>
      <c r="P58">
        <v>16</v>
      </c>
      <c r="Q58">
        <v>21</v>
      </c>
      <c r="R58">
        <v>10</v>
      </c>
      <c r="S58">
        <v>0</v>
      </c>
      <c r="T58">
        <v>0</v>
      </c>
      <c r="U58">
        <v>5</v>
      </c>
      <c r="V58">
        <v>7</v>
      </c>
      <c r="W58">
        <v>9</v>
      </c>
      <c r="X58">
        <v>2</v>
      </c>
      <c r="Y58">
        <v>3</v>
      </c>
      <c r="Z58">
        <v>15</v>
      </c>
      <c r="AA58">
        <v>31</v>
      </c>
      <c r="AB58">
        <v>52</v>
      </c>
      <c r="AC58">
        <v>69</v>
      </c>
      <c r="AD58">
        <v>34</v>
      </c>
      <c r="AE58">
        <v>68</v>
      </c>
      <c r="AF58">
        <v>55</v>
      </c>
      <c r="AG58">
        <v>120</v>
      </c>
      <c r="AH58">
        <v>106</v>
      </c>
      <c r="AI58">
        <v>0</v>
      </c>
      <c r="AJ58">
        <v>226</v>
      </c>
      <c r="AK58" t="s">
        <v>289</v>
      </c>
      <c r="BA58" t="s">
        <v>49</v>
      </c>
      <c r="BB58" t="s">
        <v>287</v>
      </c>
      <c r="BC58" t="s">
        <v>17</v>
      </c>
      <c r="BD58">
        <v>9</v>
      </c>
      <c r="BE58">
        <v>15</v>
      </c>
      <c r="BF58">
        <v>44</v>
      </c>
      <c r="BG58">
        <v>73</v>
      </c>
      <c r="BH58">
        <v>85</v>
      </c>
      <c r="BI58">
        <v>13</v>
      </c>
      <c r="BJ58">
        <v>30</v>
      </c>
      <c r="BK58">
        <v>59</v>
      </c>
      <c r="BL58">
        <v>21</v>
      </c>
      <c r="BM58">
        <v>103</v>
      </c>
      <c r="BN58">
        <v>69</v>
      </c>
      <c r="BO58">
        <v>34</v>
      </c>
      <c r="BP58">
        <v>68</v>
      </c>
      <c r="BQ58">
        <v>55</v>
      </c>
      <c r="BR58">
        <v>120</v>
      </c>
      <c r="BS58">
        <v>106</v>
      </c>
      <c r="BT58">
        <v>0</v>
      </c>
      <c r="BU58">
        <v>226</v>
      </c>
      <c r="BV58" t="s">
        <v>289</v>
      </c>
    </row>
    <row r="59" spans="1:74">
      <c r="A59" t="s">
        <v>49</v>
      </c>
      <c r="B59" t="s">
        <v>287</v>
      </c>
      <c r="C59" t="s">
        <v>295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>
        <v>1</v>
      </c>
      <c r="AG59">
        <v>1</v>
      </c>
      <c r="AH59">
        <v>2</v>
      </c>
      <c r="AI59">
        <v>0</v>
      </c>
      <c r="AJ59">
        <v>3</v>
      </c>
      <c r="AK59" t="s">
        <v>289</v>
      </c>
      <c r="BA59" t="s">
        <v>49</v>
      </c>
      <c r="BB59" t="s">
        <v>287</v>
      </c>
      <c r="BC59" t="s">
        <v>295</v>
      </c>
      <c r="BD59">
        <v>0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2</v>
      </c>
      <c r="BK59">
        <v>0</v>
      </c>
      <c r="BL59">
        <v>1</v>
      </c>
      <c r="BM59">
        <v>0</v>
      </c>
      <c r="BN59">
        <v>0</v>
      </c>
      <c r="BO59">
        <v>1</v>
      </c>
      <c r="BP59">
        <v>1</v>
      </c>
      <c r="BQ59">
        <v>1</v>
      </c>
      <c r="BR59">
        <v>1</v>
      </c>
      <c r="BS59">
        <v>2</v>
      </c>
      <c r="BT59">
        <v>0</v>
      </c>
      <c r="BU59">
        <v>3</v>
      </c>
      <c r="BV59" t="s">
        <v>289</v>
      </c>
    </row>
    <row r="60" spans="1:74">
      <c r="A60" t="s">
        <v>51</v>
      </c>
      <c r="B60" t="s">
        <v>287</v>
      </c>
      <c r="C60" t="s">
        <v>288</v>
      </c>
      <c r="D60">
        <v>0.45</v>
      </c>
      <c r="E60">
        <v>0.54</v>
      </c>
      <c r="F60">
        <v>1.32</v>
      </c>
      <c r="G60">
        <v>1.68</v>
      </c>
      <c r="H60">
        <v>6.54</v>
      </c>
      <c r="I60">
        <v>0.44</v>
      </c>
      <c r="J60">
        <v>1.62</v>
      </c>
      <c r="K60">
        <v>7.31</v>
      </c>
      <c r="L60">
        <v>9.49</v>
      </c>
      <c r="M60">
        <v>6.75</v>
      </c>
      <c r="N60">
        <v>5.18</v>
      </c>
      <c r="O60">
        <v>7.42</v>
      </c>
      <c r="P60">
        <v>13.93</v>
      </c>
      <c r="Q60">
        <v>14.34</v>
      </c>
      <c r="R60">
        <v>10.029999999999999</v>
      </c>
      <c r="S60">
        <v>0.4</v>
      </c>
      <c r="T60">
        <v>0.94</v>
      </c>
      <c r="U60">
        <v>2.88</v>
      </c>
      <c r="V60">
        <v>6.7</v>
      </c>
      <c r="W60">
        <v>7.58</v>
      </c>
      <c r="X60">
        <v>1.18</v>
      </c>
      <c r="Y60">
        <v>2.0099999999999998</v>
      </c>
      <c r="Z60">
        <v>14.63</v>
      </c>
      <c r="AA60">
        <v>31.01</v>
      </c>
      <c r="AB60">
        <v>45.63</v>
      </c>
      <c r="AC60">
        <v>40.82</v>
      </c>
      <c r="AD60">
        <v>31.63</v>
      </c>
      <c r="AE60">
        <v>79.58</v>
      </c>
      <c r="AF60">
        <v>47.97</v>
      </c>
      <c r="AG60">
        <v>100</v>
      </c>
      <c r="AH60">
        <v>100</v>
      </c>
      <c r="AI60">
        <v>0</v>
      </c>
      <c r="AJ60">
        <v>200</v>
      </c>
      <c r="AK60" t="s">
        <v>289</v>
      </c>
      <c r="BA60" t="s">
        <v>51</v>
      </c>
      <c r="BB60" t="s">
        <v>287</v>
      </c>
      <c r="BC60" t="s">
        <v>288</v>
      </c>
      <c r="BD60">
        <v>7.65</v>
      </c>
      <c r="BE60">
        <v>12.54</v>
      </c>
      <c r="BF60">
        <v>40.07</v>
      </c>
      <c r="BG60">
        <v>63.22</v>
      </c>
      <c r="BH60">
        <v>76.52</v>
      </c>
      <c r="BI60">
        <v>10.52</v>
      </c>
      <c r="BJ60">
        <v>25.62</v>
      </c>
      <c r="BK60">
        <v>50.9</v>
      </c>
      <c r="BL60">
        <v>18.510000000000002</v>
      </c>
      <c r="BM60">
        <v>94.45</v>
      </c>
      <c r="BN60">
        <v>40.82</v>
      </c>
      <c r="BO60">
        <v>31.63</v>
      </c>
      <c r="BP60">
        <v>79.58</v>
      </c>
      <c r="BQ60">
        <v>47.97</v>
      </c>
      <c r="BR60">
        <v>100</v>
      </c>
      <c r="BS60">
        <v>100</v>
      </c>
      <c r="BT60">
        <v>0</v>
      </c>
      <c r="BU60">
        <v>200</v>
      </c>
      <c r="BV60" t="s">
        <v>289</v>
      </c>
    </row>
    <row r="61" spans="1:74">
      <c r="A61" t="s">
        <v>51</v>
      </c>
      <c r="B61" t="s">
        <v>287</v>
      </c>
      <c r="C61" t="s">
        <v>290</v>
      </c>
      <c r="D61">
        <v>0</v>
      </c>
      <c r="E61">
        <v>1</v>
      </c>
      <c r="F61">
        <v>1</v>
      </c>
      <c r="G61">
        <v>2</v>
      </c>
      <c r="H61">
        <v>7</v>
      </c>
      <c r="I61">
        <v>0</v>
      </c>
      <c r="J61">
        <v>2</v>
      </c>
      <c r="K61">
        <v>7</v>
      </c>
      <c r="L61">
        <v>9</v>
      </c>
      <c r="M61">
        <v>7</v>
      </c>
      <c r="N61">
        <v>5</v>
      </c>
      <c r="O61">
        <v>6</v>
      </c>
      <c r="P61">
        <v>12</v>
      </c>
      <c r="Q61">
        <v>14</v>
      </c>
      <c r="R61">
        <v>10</v>
      </c>
      <c r="S61">
        <v>0</v>
      </c>
      <c r="T61">
        <v>1</v>
      </c>
      <c r="U61">
        <v>3</v>
      </c>
      <c r="V61">
        <v>5</v>
      </c>
      <c r="W61">
        <v>8</v>
      </c>
      <c r="X61">
        <v>1</v>
      </c>
      <c r="Y61">
        <v>2</v>
      </c>
      <c r="Z61">
        <v>15</v>
      </c>
      <c r="AA61">
        <v>31</v>
      </c>
      <c r="AB61">
        <v>46</v>
      </c>
      <c r="AC61">
        <v>42</v>
      </c>
      <c r="AD61">
        <v>34</v>
      </c>
      <c r="AE61">
        <v>70</v>
      </c>
      <c r="AF61">
        <v>49</v>
      </c>
      <c r="AG61">
        <v>98</v>
      </c>
      <c r="AH61">
        <v>97</v>
      </c>
      <c r="AI61">
        <v>0</v>
      </c>
      <c r="AJ61">
        <v>195</v>
      </c>
      <c r="AK61" t="s">
        <v>289</v>
      </c>
      <c r="BA61" t="s">
        <v>51</v>
      </c>
      <c r="BB61" t="s">
        <v>287</v>
      </c>
      <c r="BC61" t="s">
        <v>290</v>
      </c>
      <c r="BD61">
        <v>6</v>
      </c>
      <c r="BE61">
        <v>12</v>
      </c>
      <c r="BF61">
        <v>38</v>
      </c>
      <c r="BG61">
        <v>61</v>
      </c>
      <c r="BH61">
        <v>78</v>
      </c>
      <c r="BI61">
        <v>11</v>
      </c>
      <c r="BJ61">
        <v>25</v>
      </c>
      <c r="BK61">
        <v>47</v>
      </c>
      <c r="BL61">
        <v>17</v>
      </c>
      <c r="BM61">
        <v>95</v>
      </c>
      <c r="BN61">
        <v>42</v>
      </c>
      <c r="BO61">
        <v>34</v>
      </c>
      <c r="BP61">
        <v>70</v>
      </c>
      <c r="BQ61">
        <v>49</v>
      </c>
      <c r="BR61">
        <v>98</v>
      </c>
      <c r="BS61">
        <v>97</v>
      </c>
      <c r="BT61">
        <v>0</v>
      </c>
      <c r="BU61">
        <v>195</v>
      </c>
      <c r="BV61" t="s">
        <v>289</v>
      </c>
    </row>
    <row r="62" spans="1:74">
      <c r="A62" t="s">
        <v>51</v>
      </c>
      <c r="B62" t="s">
        <v>287</v>
      </c>
      <c r="C62" t="s">
        <v>291</v>
      </c>
      <c r="D62">
        <v>1</v>
      </c>
      <c r="E62">
        <v>1</v>
      </c>
      <c r="F62">
        <v>1</v>
      </c>
      <c r="G62">
        <v>2</v>
      </c>
      <c r="H62">
        <v>0</v>
      </c>
      <c r="I62">
        <v>2</v>
      </c>
      <c r="J62">
        <v>1</v>
      </c>
      <c r="K62">
        <v>2</v>
      </c>
      <c r="L62">
        <v>1</v>
      </c>
      <c r="M62">
        <v>2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2</v>
      </c>
      <c r="Y62">
        <v>2</v>
      </c>
      <c r="Z62">
        <v>0</v>
      </c>
      <c r="AA62">
        <v>1</v>
      </c>
      <c r="AB62">
        <v>7</v>
      </c>
      <c r="AC62">
        <v>5</v>
      </c>
      <c r="AD62">
        <v>9</v>
      </c>
      <c r="AE62">
        <v>6</v>
      </c>
      <c r="AF62">
        <v>10</v>
      </c>
      <c r="AG62">
        <v>9</v>
      </c>
      <c r="AH62">
        <v>21</v>
      </c>
      <c r="AI62">
        <v>0</v>
      </c>
      <c r="AJ62">
        <v>30</v>
      </c>
      <c r="AK62" t="s">
        <v>289</v>
      </c>
      <c r="BA62" t="s">
        <v>51</v>
      </c>
      <c r="BB62" t="s">
        <v>287</v>
      </c>
      <c r="BC62" t="s">
        <v>291</v>
      </c>
      <c r="BD62">
        <v>5</v>
      </c>
      <c r="BE62">
        <v>4</v>
      </c>
      <c r="BF62">
        <v>4</v>
      </c>
      <c r="BG62">
        <v>7</v>
      </c>
      <c r="BH62">
        <v>10</v>
      </c>
      <c r="BI62">
        <v>5</v>
      </c>
      <c r="BJ62">
        <v>8</v>
      </c>
      <c r="BK62">
        <v>3</v>
      </c>
      <c r="BL62">
        <v>2</v>
      </c>
      <c r="BM62">
        <v>12</v>
      </c>
      <c r="BN62">
        <v>5</v>
      </c>
      <c r="BO62">
        <v>9</v>
      </c>
      <c r="BP62">
        <v>6</v>
      </c>
      <c r="BQ62">
        <v>10</v>
      </c>
      <c r="BR62">
        <v>9</v>
      </c>
      <c r="BS62">
        <v>21</v>
      </c>
      <c r="BT62">
        <v>0</v>
      </c>
      <c r="BU62">
        <v>30</v>
      </c>
      <c r="BV62" t="s">
        <v>289</v>
      </c>
    </row>
    <row r="63" spans="1:74">
      <c r="A63" t="s">
        <v>51</v>
      </c>
      <c r="B63" t="s">
        <v>287</v>
      </c>
      <c r="C63" t="s">
        <v>292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t="s">
        <v>289</v>
      </c>
      <c r="BA63" t="s">
        <v>51</v>
      </c>
      <c r="BB63" t="s">
        <v>287</v>
      </c>
      <c r="BC63" t="s">
        <v>292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289</v>
      </c>
    </row>
    <row r="64" spans="1:74">
      <c r="A64" t="s">
        <v>51</v>
      </c>
      <c r="B64" t="s">
        <v>287</v>
      </c>
      <c r="C64" t="s">
        <v>293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2</v>
      </c>
      <c r="AE64">
        <v>0</v>
      </c>
      <c r="AF64">
        <v>0</v>
      </c>
      <c r="AG64">
        <v>1</v>
      </c>
      <c r="AH64">
        <v>2</v>
      </c>
      <c r="AI64">
        <v>0</v>
      </c>
      <c r="AJ64">
        <v>3</v>
      </c>
      <c r="AK64" t="s">
        <v>289</v>
      </c>
      <c r="BA64" t="s">
        <v>51</v>
      </c>
      <c r="BB64" t="s">
        <v>287</v>
      </c>
      <c r="BC64" t="s">
        <v>293</v>
      </c>
      <c r="BD64">
        <v>0</v>
      </c>
      <c r="BE64">
        <v>1</v>
      </c>
      <c r="BF64">
        <v>1</v>
      </c>
      <c r="BG64">
        <v>1</v>
      </c>
      <c r="BH64">
        <v>0</v>
      </c>
      <c r="BI64">
        <v>0</v>
      </c>
      <c r="BJ64">
        <v>0</v>
      </c>
      <c r="BK64">
        <v>2</v>
      </c>
      <c r="BL64">
        <v>1</v>
      </c>
      <c r="BM64">
        <v>0</v>
      </c>
      <c r="BN64">
        <v>1</v>
      </c>
      <c r="BO64">
        <v>2</v>
      </c>
      <c r="BP64">
        <v>0</v>
      </c>
      <c r="BQ64">
        <v>0</v>
      </c>
      <c r="BR64">
        <v>1</v>
      </c>
      <c r="BS64">
        <v>2</v>
      </c>
      <c r="BT64">
        <v>0</v>
      </c>
      <c r="BU64">
        <v>3</v>
      </c>
      <c r="BV64" t="s">
        <v>289</v>
      </c>
    </row>
    <row r="65" spans="1:74">
      <c r="A65" t="s">
        <v>51</v>
      </c>
      <c r="B65" t="s">
        <v>287</v>
      </c>
      <c r="C65" t="s">
        <v>294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 t="s">
        <v>289</v>
      </c>
      <c r="BA65" t="s">
        <v>51</v>
      </c>
      <c r="BB65" t="s">
        <v>287</v>
      </c>
      <c r="BC65" t="s">
        <v>294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 t="s">
        <v>289</v>
      </c>
    </row>
    <row r="66" spans="1:74">
      <c r="A66" t="s">
        <v>51</v>
      </c>
      <c r="B66" t="s">
        <v>287</v>
      </c>
      <c r="C66" t="s">
        <v>17</v>
      </c>
      <c r="D66">
        <v>1</v>
      </c>
      <c r="E66">
        <v>2</v>
      </c>
      <c r="F66">
        <v>2</v>
      </c>
      <c r="G66">
        <v>4</v>
      </c>
      <c r="H66">
        <v>7</v>
      </c>
      <c r="I66">
        <v>2</v>
      </c>
      <c r="J66">
        <v>3</v>
      </c>
      <c r="K66">
        <v>9</v>
      </c>
      <c r="L66">
        <v>10</v>
      </c>
      <c r="M66">
        <v>9</v>
      </c>
      <c r="N66">
        <v>5</v>
      </c>
      <c r="O66">
        <v>7</v>
      </c>
      <c r="P66">
        <v>13</v>
      </c>
      <c r="Q66">
        <v>17</v>
      </c>
      <c r="R66">
        <v>10</v>
      </c>
      <c r="S66">
        <v>0</v>
      </c>
      <c r="T66">
        <v>1</v>
      </c>
      <c r="U66">
        <v>4</v>
      </c>
      <c r="V66">
        <v>6</v>
      </c>
      <c r="W66">
        <v>9</v>
      </c>
      <c r="X66">
        <v>3</v>
      </c>
      <c r="Y66">
        <v>4</v>
      </c>
      <c r="Z66">
        <v>15</v>
      </c>
      <c r="AA66">
        <v>32</v>
      </c>
      <c r="AB66">
        <v>53</v>
      </c>
      <c r="AC66">
        <v>48</v>
      </c>
      <c r="AD66">
        <v>45</v>
      </c>
      <c r="AE66">
        <v>76</v>
      </c>
      <c r="AF66">
        <v>59</v>
      </c>
      <c r="AG66">
        <v>108</v>
      </c>
      <c r="AH66">
        <v>120</v>
      </c>
      <c r="AI66">
        <v>0</v>
      </c>
      <c r="AJ66">
        <v>228</v>
      </c>
      <c r="AK66" t="s">
        <v>289</v>
      </c>
      <c r="BA66" t="s">
        <v>51</v>
      </c>
      <c r="BB66" t="s">
        <v>287</v>
      </c>
      <c r="BC66" t="s">
        <v>17</v>
      </c>
      <c r="BD66">
        <v>11</v>
      </c>
      <c r="BE66">
        <v>17</v>
      </c>
      <c r="BF66">
        <v>43</v>
      </c>
      <c r="BG66">
        <v>69</v>
      </c>
      <c r="BH66">
        <v>88</v>
      </c>
      <c r="BI66">
        <v>16</v>
      </c>
      <c r="BJ66">
        <v>33</v>
      </c>
      <c r="BK66">
        <v>52</v>
      </c>
      <c r="BL66">
        <v>20</v>
      </c>
      <c r="BM66">
        <v>107</v>
      </c>
      <c r="BN66">
        <v>48</v>
      </c>
      <c r="BO66">
        <v>45</v>
      </c>
      <c r="BP66">
        <v>76</v>
      </c>
      <c r="BQ66">
        <v>59</v>
      </c>
      <c r="BR66">
        <v>108</v>
      </c>
      <c r="BS66">
        <v>120</v>
      </c>
      <c r="BT66">
        <v>0</v>
      </c>
      <c r="BU66">
        <v>228</v>
      </c>
      <c r="BV66" t="s">
        <v>289</v>
      </c>
    </row>
    <row r="67" spans="1:74">
      <c r="A67" t="s">
        <v>51</v>
      </c>
      <c r="B67" t="s">
        <v>287</v>
      </c>
      <c r="C67" t="s">
        <v>295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0</v>
      </c>
      <c r="AB67">
        <v>1</v>
      </c>
      <c r="AC67">
        <v>2</v>
      </c>
      <c r="AD67">
        <v>1</v>
      </c>
      <c r="AE67">
        <v>2</v>
      </c>
      <c r="AF67">
        <v>1</v>
      </c>
      <c r="AG67">
        <v>3</v>
      </c>
      <c r="AH67">
        <v>3</v>
      </c>
      <c r="AI67">
        <v>0</v>
      </c>
      <c r="AJ67">
        <v>6</v>
      </c>
      <c r="AK67" t="s">
        <v>289</v>
      </c>
      <c r="BA67" t="s">
        <v>51</v>
      </c>
      <c r="BB67" t="s">
        <v>287</v>
      </c>
      <c r="BC67" t="s">
        <v>295</v>
      </c>
      <c r="BD67">
        <v>0</v>
      </c>
      <c r="BE67">
        <v>0</v>
      </c>
      <c r="BF67">
        <v>2</v>
      </c>
      <c r="BG67">
        <v>3</v>
      </c>
      <c r="BH67">
        <v>1</v>
      </c>
      <c r="BI67">
        <v>0</v>
      </c>
      <c r="BJ67">
        <v>1</v>
      </c>
      <c r="BK67">
        <v>2</v>
      </c>
      <c r="BL67">
        <v>1</v>
      </c>
      <c r="BM67">
        <v>2</v>
      </c>
      <c r="BN67">
        <v>2</v>
      </c>
      <c r="BO67">
        <v>1</v>
      </c>
      <c r="BP67">
        <v>2</v>
      </c>
      <c r="BQ67">
        <v>1</v>
      </c>
      <c r="BR67">
        <v>3</v>
      </c>
      <c r="BS67">
        <v>3</v>
      </c>
      <c r="BT67">
        <v>0</v>
      </c>
      <c r="BU67">
        <v>6</v>
      </c>
      <c r="BV67" t="s">
        <v>289</v>
      </c>
    </row>
    <row r="68" spans="1:74">
      <c r="A68" t="s">
        <v>52</v>
      </c>
      <c r="B68" t="s">
        <v>287</v>
      </c>
      <c r="C68" t="s">
        <v>288</v>
      </c>
      <c r="D68">
        <v>0.42</v>
      </c>
      <c r="E68">
        <v>0.54</v>
      </c>
      <c r="F68">
        <v>1.2</v>
      </c>
      <c r="G68">
        <v>1.82</v>
      </c>
      <c r="H68">
        <v>6.28</v>
      </c>
      <c r="I68">
        <v>0.47</v>
      </c>
      <c r="J68">
        <v>1.75</v>
      </c>
      <c r="K68">
        <v>7.01</v>
      </c>
      <c r="L68">
        <v>9.31</v>
      </c>
      <c r="M68">
        <v>6.74</v>
      </c>
      <c r="N68">
        <v>5.65</v>
      </c>
      <c r="O68">
        <v>8.1199999999999992</v>
      </c>
      <c r="P68">
        <v>14.18</v>
      </c>
      <c r="Q68">
        <v>15.01</v>
      </c>
      <c r="R68">
        <v>9.9700000000000006</v>
      </c>
      <c r="S68">
        <v>0.41</v>
      </c>
      <c r="T68">
        <v>0.89</v>
      </c>
      <c r="U68">
        <v>3.4</v>
      </c>
      <c r="V68">
        <v>6.77</v>
      </c>
      <c r="W68">
        <v>7.51</v>
      </c>
      <c r="X68">
        <v>1.1100000000000001</v>
      </c>
      <c r="Y68">
        <v>2.2599999999999998</v>
      </c>
      <c r="Z68">
        <v>14.49</v>
      </c>
      <c r="AA68">
        <v>30.13</v>
      </c>
      <c r="AB68">
        <v>44.55</v>
      </c>
      <c r="AC68">
        <v>41.33</v>
      </c>
      <c r="AD68">
        <v>30.67</v>
      </c>
      <c r="AE68">
        <v>79.31</v>
      </c>
      <c r="AF68">
        <v>48.69</v>
      </c>
      <c r="AG68">
        <v>100</v>
      </c>
      <c r="AH68">
        <v>100</v>
      </c>
      <c r="AI68">
        <v>0</v>
      </c>
      <c r="AJ68">
        <v>200</v>
      </c>
      <c r="AK68" t="s">
        <v>289</v>
      </c>
      <c r="BA68" t="s">
        <v>52</v>
      </c>
      <c r="BB68" t="s">
        <v>287</v>
      </c>
      <c r="BC68" t="s">
        <v>288</v>
      </c>
      <c r="BD68">
        <v>8.06</v>
      </c>
      <c r="BE68">
        <v>13.56</v>
      </c>
      <c r="BF68">
        <v>40.28</v>
      </c>
      <c r="BG68">
        <v>63.05</v>
      </c>
      <c r="BH68">
        <v>75.05</v>
      </c>
      <c r="BI68">
        <v>10.26</v>
      </c>
      <c r="BJ68">
        <v>25.29</v>
      </c>
      <c r="BK68">
        <v>52.93</v>
      </c>
      <c r="BL68">
        <v>18.98</v>
      </c>
      <c r="BM68">
        <v>92.54</v>
      </c>
      <c r="BN68">
        <v>41.33</v>
      </c>
      <c r="BO68">
        <v>30.67</v>
      </c>
      <c r="BP68">
        <v>79.31</v>
      </c>
      <c r="BQ68">
        <v>48.69</v>
      </c>
      <c r="BR68">
        <v>100</v>
      </c>
      <c r="BS68">
        <v>100</v>
      </c>
      <c r="BT68">
        <v>0</v>
      </c>
      <c r="BU68">
        <v>200</v>
      </c>
      <c r="BV68" t="s">
        <v>289</v>
      </c>
    </row>
    <row r="69" spans="1:74">
      <c r="A69" t="s">
        <v>52</v>
      </c>
      <c r="B69" t="s">
        <v>287</v>
      </c>
      <c r="C69" t="s">
        <v>290</v>
      </c>
      <c r="D69">
        <v>1</v>
      </c>
      <c r="E69">
        <v>1</v>
      </c>
      <c r="F69">
        <v>1</v>
      </c>
      <c r="G69">
        <v>2</v>
      </c>
      <c r="H69">
        <v>6</v>
      </c>
      <c r="I69">
        <v>0</v>
      </c>
      <c r="J69">
        <v>2</v>
      </c>
      <c r="K69">
        <v>7</v>
      </c>
      <c r="L69">
        <v>9</v>
      </c>
      <c r="M69">
        <v>7</v>
      </c>
      <c r="N69">
        <v>6</v>
      </c>
      <c r="O69">
        <v>7</v>
      </c>
      <c r="P69">
        <v>14</v>
      </c>
      <c r="Q69">
        <v>15</v>
      </c>
      <c r="R69">
        <v>10</v>
      </c>
      <c r="S69">
        <v>0</v>
      </c>
      <c r="T69">
        <v>1</v>
      </c>
      <c r="U69">
        <v>1</v>
      </c>
      <c r="V69">
        <v>7</v>
      </c>
      <c r="W69">
        <v>8</v>
      </c>
      <c r="X69">
        <v>0</v>
      </c>
      <c r="Y69">
        <v>2</v>
      </c>
      <c r="Z69">
        <v>12</v>
      </c>
      <c r="AA69">
        <v>30</v>
      </c>
      <c r="AB69">
        <v>45</v>
      </c>
      <c r="AC69">
        <v>45</v>
      </c>
      <c r="AD69">
        <v>33</v>
      </c>
      <c r="AE69">
        <v>69</v>
      </c>
      <c r="AF69">
        <v>47</v>
      </c>
      <c r="AG69">
        <v>100</v>
      </c>
      <c r="AH69">
        <v>94</v>
      </c>
      <c r="AI69">
        <v>0</v>
      </c>
      <c r="AJ69">
        <v>194</v>
      </c>
      <c r="AK69" t="s">
        <v>289</v>
      </c>
      <c r="BA69" t="s">
        <v>52</v>
      </c>
      <c r="BB69" t="s">
        <v>287</v>
      </c>
      <c r="BC69" t="s">
        <v>290</v>
      </c>
      <c r="BD69">
        <v>7</v>
      </c>
      <c r="BE69">
        <v>13</v>
      </c>
      <c r="BF69">
        <v>35</v>
      </c>
      <c r="BG69">
        <v>63</v>
      </c>
      <c r="BH69">
        <v>76</v>
      </c>
      <c r="BI69">
        <v>11</v>
      </c>
      <c r="BJ69">
        <v>25</v>
      </c>
      <c r="BK69">
        <v>52</v>
      </c>
      <c r="BL69">
        <v>17</v>
      </c>
      <c r="BM69">
        <v>89</v>
      </c>
      <c r="BN69">
        <v>45</v>
      </c>
      <c r="BO69">
        <v>33</v>
      </c>
      <c r="BP69">
        <v>69</v>
      </c>
      <c r="BQ69">
        <v>47</v>
      </c>
      <c r="BR69">
        <v>100</v>
      </c>
      <c r="BS69">
        <v>94</v>
      </c>
      <c r="BT69">
        <v>0</v>
      </c>
      <c r="BU69">
        <v>194</v>
      </c>
      <c r="BV69" t="s">
        <v>289</v>
      </c>
    </row>
    <row r="70" spans="1:74">
      <c r="A70" t="s">
        <v>52</v>
      </c>
      <c r="B70" t="s">
        <v>287</v>
      </c>
      <c r="C70" t="s">
        <v>291</v>
      </c>
      <c r="D70">
        <v>0</v>
      </c>
      <c r="E70">
        <v>0</v>
      </c>
      <c r="F70">
        <v>0</v>
      </c>
      <c r="G70">
        <v>0</v>
      </c>
      <c r="H70">
        <v>0</v>
      </c>
      <c r="I70">
        <v>2</v>
      </c>
      <c r="J70">
        <v>2</v>
      </c>
      <c r="K70">
        <v>4</v>
      </c>
      <c r="L70">
        <v>2</v>
      </c>
      <c r="M70">
        <v>1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2</v>
      </c>
      <c r="X70">
        <v>0</v>
      </c>
      <c r="Y70">
        <v>0</v>
      </c>
      <c r="Z70">
        <v>0</v>
      </c>
      <c r="AA70">
        <v>5</v>
      </c>
      <c r="AB70">
        <v>5</v>
      </c>
      <c r="AC70">
        <v>12</v>
      </c>
      <c r="AD70">
        <v>9</v>
      </c>
      <c r="AE70">
        <v>4</v>
      </c>
      <c r="AF70">
        <v>0</v>
      </c>
      <c r="AG70">
        <v>22</v>
      </c>
      <c r="AH70">
        <v>3</v>
      </c>
      <c r="AI70">
        <v>0</v>
      </c>
      <c r="AJ70">
        <v>25</v>
      </c>
      <c r="AK70" t="s">
        <v>289</v>
      </c>
      <c r="BA70" t="s">
        <v>52</v>
      </c>
      <c r="BB70" t="s">
        <v>287</v>
      </c>
      <c r="BC70" t="s">
        <v>291</v>
      </c>
      <c r="BD70">
        <v>2</v>
      </c>
      <c r="BE70">
        <v>2</v>
      </c>
      <c r="BF70">
        <v>5</v>
      </c>
      <c r="BG70">
        <v>8</v>
      </c>
      <c r="BH70">
        <v>8</v>
      </c>
      <c r="BI70">
        <v>0</v>
      </c>
      <c r="BJ70">
        <v>11</v>
      </c>
      <c r="BK70">
        <v>2</v>
      </c>
      <c r="BL70">
        <v>2</v>
      </c>
      <c r="BM70">
        <v>10</v>
      </c>
      <c r="BN70">
        <v>12</v>
      </c>
      <c r="BO70">
        <v>9</v>
      </c>
      <c r="BP70">
        <v>4</v>
      </c>
      <c r="BQ70">
        <v>0</v>
      </c>
      <c r="BR70">
        <v>22</v>
      </c>
      <c r="BS70">
        <v>3</v>
      </c>
      <c r="BT70">
        <v>0</v>
      </c>
      <c r="BU70">
        <v>25</v>
      </c>
      <c r="BV70" t="s">
        <v>289</v>
      </c>
    </row>
    <row r="71" spans="1:74">
      <c r="A71" t="s">
        <v>52</v>
      </c>
      <c r="B71" t="s">
        <v>287</v>
      </c>
      <c r="C71" t="s">
        <v>292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 t="s">
        <v>289</v>
      </c>
      <c r="BA71" t="s">
        <v>52</v>
      </c>
      <c r="BB71" t="s">
        <v>287</v>
      </c>
      <c r="BC71" t="s">
        <v>292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1</v>
      </c>
      <c r="BT71">
        <v>0</v>
      </c>
      <c r="BU71">
        <v>1</v>
      </c>
      <c r="BV71" t="s">
        <v>289</v>
      </c>
    </row>
    <row r="72" spans="1:74">
      <c r="A72" t="s">
        <v>52</v>
      </c>
      <c r="B72" t="s">
        <v>287</v>
      </c>
      <c r="C72" t="s">
        <v>293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3</v>
      </c>
      <c r="AA72">
        <v>1</v>
      </c>
      <c r="AB72">
        <v>0</v>
      </c>
      <c r="AC72">
        <v>1</v>
      </c>
      <c r="AD72">
        <v>2</v>
      </c>
      <c r="AE72">
        <v>1</v>
      </c>
      <c r="AF72">
        <v>2</v>
      </c>
      <c r="AG72">
        <v>2</v>
      </c>
      <c r="AH72">
        <v>4</v>
      </c>
      <c r="AI72">
        <v>0</v>
      </c>
      <c r="AJ72">
        <v>6</v>
      </c>
      <c r="AK72" t="s">
        <v>289</v>
      </c>
      <c r="BA72" t="s">
        <v>52</v>
      </c>
      <c r="BB72" t="s">
        <v>287</v>
      </c>
      <c r="BC72" t="s">
        <v>293</v>
      </c>
      <c r="BD72">
        <v>1</v>
      </c>
      <c r="BE72">
        <v>1</v>
      </c>
      <c r="BF72">
        <v>3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5</v>
      </c>
      <c r="BN72">
        <v>1</v>
      </c>
      <c r="BO72">
        <v>2</v>
      </c>
      <c r="BP72">
        <v>1</v>
      </c>
      <c r="BQ72">
        <v>2</v>
      </c>
      <c r="BR72">
        <v>2</v>
      </c>
      <c r="BS72">
        <v>4</v>
      </c>
      <c r="BT72">
        <v>0</v>
      </c>
      <c r="BU72">
        <v>6</v>
      </c>
      <c r="BV72" t="s">
        <v>289</v>
      </c>
    </row>
    <row r="73" spans="1:74">
      <c r="A73" t="s">
        <v>52</v>
      </c>
      <c r="B73" t="s">
        <v>287</v>
      </c>
      <c r="C73" t="s">
        <v>294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289</v>
      </c>
      <c r="BA73" t="s">
        <v>52</v>
      </c>
      <c r="BB73" t="s">
        <v>287</v>
      </c>
      <c r="BC73" t="s">
        <v>294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289</v>
      </c>
    </row>
    <row r="74" spans="1:74">
      <c r="A74" t="s">
        <v>52</v>
      </c>
      <c r="B74" t="s">
        <v>287</v>
      </c>
      <c r="C74" t="s">
        <v>17</v>
      </c>
      <c r="D74">
        <v>1</v>
      </c>
      <c r="E74">
        <v>1</v>
      </c>
      <c r="F74">
        <v>1</v>
      </c>
      <c r="G74">
        <v>2</v>
      </c>
      <c r="H74">
        <v>6</v>
      </c>
      <c r="I74">
        <v>2</v>
      </c>
      <c r="J74">
        <v>4</v>
      </c>
      <c r="K74">
        <v>11</v>
      </c>
      <c r="L74">
        <v>11</v>
      </c>
      <c r="M74">
        <v>8</v>
      </c>
      <c r="N74">
        <v>6</v>
      </c>
      <c r="O74">
        <v>8</v>
      </c>
      <c r="P74">
        <v>16</v>
      </c>
      <c r="Q74">
        <v>16</v>
      </c>
      <c r="R74">
        <v>10</v>
      </c>
      <c r="S74">
        <v>0</v>
      </c>
      <c r="T74">
        <v>1</v>
      </c>
      <c r="U74">
        <v>1</v>
      </c>
      <c r="V74">
        <v>7</v>
      </c>
      <c r="W74">
        <v>10</v>
      </c>
      <c r="X74">
        <v>1</v>
      </c>
      <c r="Y74">
        <v>2</v>
      </c>
      <c r="Z74">
        <v>15</v>
      </c>
      <c r="AA74">
        <v>36</v>
      </c>
      <c r="AB74">
        <v>50</v>
      </c>
      <c r="AC74">
        <v>59</v>
      </c>
      <c r="AD74">
        <v>44</v>
      </c>
      <c r="AE74">
        <v>74</v>
      </c>
      <c r="AF74">
        <v>49</v>
      </c>
      <c r="AG74">
        <v>124</v>
      </c>
      <c r="AH74">
        <v>102</v>
      </c>
      <c r="AI74">
        <v>0</v>
      </c>
      <c r="AJ74">
        <v>226</v>
      </c>
      <c r="AK74" t="s">
        <v>289</v>
      </c>
      <c r="BA74" t="s">
        <v>52</v>
      </c>
      <c r="BB74" t="s">
        <v>287</v>
      </c>
      <c r="BC74" t="s">
        <v>17</v>
      </c>
      <c r="BD74">
        <v>10</v>
      </c>
      <c r="BE74">
        <v>16</v>
      </c>
      <c r="BF74">
        <v>44</v>
      </c>
      <c r="BG74">
        <v>72</v>
      </c>
      <c r="BH74">
        <v>84</v>
      </c>
      <c r="BI74">
        <v>11</v>
      </c>
      <c r="BJ74">
        <v>36</v>
      </c>
      <c r="BK74">
        <v>56</v>
      </c>
      <c r="BL74">
        <v>19</v>
      </c>
      <c r="BM74">
        <v>104</v>
      </c>
      <c r="BN74">
        <v>59</v>
      </c>
      <c r="BO74">
        <v>44</v>
      </c>
      <c r="BP74">
        <v>74</v>
      </c>
      <c r="BQ74">
        <v>49</v>
      </c>
      <c r="BR74">
        <v>124</v>
      </c>
      <c r="BS74">
        <v>102</v>
      </c>
      <c r="BT74">
        <v>0</v>
      </c>
      <c r="BU74">
        <v>226</v>
      </c>
      <c r="BV74" t="s">
        <v>289</v>
      </c>
    </row>
    <row r="75" spans="1:74">
      <c r="A75" t="s">
        <v>52</v>
      </c>
      <c r="B75" t="s">
        <v>287</v>
      </c>
      <c r="C75" t="s">
        <v>295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3</v>
      </c>
      <c r="AC75">
        <v>0</v>
      </c>
      <c r="AD75">
        <v>2</v>
      </c>
      <c r="AE75">
        <v>5</v>
      </c>
      <c r="AF75">
        <v>1</v>
      </c>
      <c r="AG75">
        <v>6</v>
      </c>
      <c r="AH75">
        <v>2</v>
      </c>
      <c r="AI75">
        <v>0</v>
      </c>
      <c r="AJ75">
        <v>8</v>
      </c>
      <c r="AK75" t="s">
        <v>289</v>
      </c>
      <c r="BA75" t="s">
        <v>52</v>
      </c>
      <c r="BB75" t="s">
        <v>287</v>
      </c>
      <c r="BC75" t="s">
        <v>295</v>
      </c>
      <c r="BD75">
        <v>0</v>
      </c>
      <c r="BE75">
        <v>0</v>
      </c>
      <c r="BF75">
        <v>1</v>
      </c>
      <c r="BG75">
        <v>1</v>
      </c>
      <c r="BH75">
        <v>6</v>
      </c>
      <c r="BI75">
        <v>0</v>
      </c>
      <c r="BJ75">
        <v>2</v>
      </c>
      <c r="BK75">
        <v>1</v>
      </c>
      <c r="BL75">
        <v>1</v>
      </c>
      <c r="BM75">
        <v>4</v>
      </c>
      <c r="BN75">
        <v>0</v>
      </c>
      <c r="BO75">
        <v>2</v>
      </c>
      <c r="BP75">
        <v>5</v>
      </c>
      <c r="BQ75">
        <v>1</v>
      </c>
      <c r="BR75">
        <v>6</v>
      </c>
      <c r="BS75">
        <v>2</v>
      </c>
      <c r="BT75">
        <v>0</v>
      </c>
      <c r="BU75">
        <v>8</v>
      </c>
      <c r="BV75" t="s">
        <v>289</v>
      </c>
    </row>
    <row r="76" spans="1:74">
      <c r="A76" t="s">
        <v>53</v>
      </c>
      <c r="B76" t="s">
        <v>287</v>
      </c>
      <c r="C76" t="s">
        <v>288</v>
      </c>
      <c r="D76">
        <v>0.45</v>
      </c>
      <c r="E76">
        <v>0.6</v>
      </c>
      <c r="F76">
        <v>1.06</v>
      </c>
      <c r="G76">
        <v>1.95</v>
      </c>
      <c r="H76">
        <v>5.79</v>
      </c>
      <c r="I76">
        <v>0.61</v>
      </c>
      <c r="J76">
        <v>1.65</v>
      </c>
      <c r="K76">
        <v>6.81</v>
      </c>
      <c r="L76">
        <v>9.7899999999999991</v>
      </c>
      <c r="M76">
        <v>6.93</v>
      </c>
      <c r="N76">
        <v>5.28</v>
      </c>
      <c r="O76">
        <v>7.99</v>
      </c>
      <c r="P76">
        <v>13.54</v>
      </c>
      <c r="Q76">
        <v>13.39</v>
      </c>
      <c r="R76">
        <v>9.5500000000000007</v>
      </c>
      <c r="S76">
        <v>0.4</v>
      </c>
      <c r="T76">
        <v>0.8</v>
      </c>
      <c r="U76">
        <v>3.29</v>
      </c>
      <c r="V76">
        <v>6.26</v>
      </c>
      <c r="W76">
        <v>6.84</v>
      </c>
      <c r="X76">
        <v>1.1200000000000001</v>
      </c>
      <c r="Y76">
        <v>2.4700000000000002</v>
      </c>
      <c r="Z76">
        <v>15.08</v>
      </c>
      <c r="AA76">
        <v>31.3</v>
      </c>
      <c r="AB76">
        <v>47.04</v>
      </c>
      <c r="AC76">
        <v>42.15</v>
      </c>
      <c r="AD76">
        <v>31.3</v>
      </c>
      <c r="AE76">
        <v>79.900000000000006</v>
      </c>
      <c r="AF76">
        <v>46.65</v>
      </c>
      <c r="AG76">
        <v>100</v>
      </c>
      <c r="AH76">
        <v>100</v>
      </c>
      <c r="AI76">
        <v>0</v>
      </c>
      <c r="AJ76">
        <v>200</v>
      </c>
      <c r="AK76" t="s">
        <v>289</v>
      </c>
      <c r="BA76" t="s">
        <v>53</v>
      </c>
      <c r="BB76" t="s">
        <v>287</v>
      </c>
      <c r="BC76" t="s">
        <v>288</v>
      </c>
      <c r="BD76">
        <v>7.86</v>
      </c>
      <c r="BE76">
        <v>13.5</v>
      </c>
      <c r="BF76">
        <v>39.79</v>
      </c>
      <c r="BG76">
        <v>62.69</v>
      </c>
      <c r="BH76">
        <v>76.16</v>
      </c>
      <c r="BI76">
        <v>9.85</v>
      </c>
      <c r="BJ76">
        <v>25.79</v>
      </c>
      <c r="BK76">
        <v>49.75</v>
      </c>
      <c r="BL76">
        <v>17.59</v>
      </c>
      <c r="BM76">
        <v>97.02</v>
      </c>
      <c r="BN76">
        <v>42.15</v>
      </c>
      <c r="BO76">
        <v>31.3</v>
      </c>
      <c r="BP76">
        <v>79.900000000000006</v>
      </c>
      <c r="BQ76">
        <v>46.65</v>
      </c>
      <c r="BR76">
        <v>100</v>
      </c>
      <c r="BS76">
        <v>100</v>
      </c>
      <c r="BT76">
        <v>0</v>
      </c>
      <c r="BU76">
        <v>200</v>
      </c>
      <c r="BV76" t="s">
        <v>289</v>
      </c>
    </row>
    <row r="77" spans="1:74">
      <c r="A77" t="s">
        <v>53</v>
      </c>
      <c r="B77" t="s">
        <v>287</v>
      </c>
      <c r="C77" t="s">
        <v>290</v>
      </c>
      <c r="D77">
        <v>0</v>
      </c>
      <c r="E77">
        <v>0</v>
      </c>
      <c r="F77">
        <v>0</v>
      </c>
      <c r="G77">
        <v>2</v>
      </c>
      <c r="H77">
        <v>6</v>
      </c>
      <c r="I77">
        <v>1</v>
      </c>
      <c r="J77">
        <v>2</v>
      </c>
      <c r="K77">
        <v>7</v>
      </c>
      <c r="L77">
        <v>10</v>
      </c>
      <c r="M77">
        <v>7</v>
      </c>
      <c r="N77">
        <v>4</v>
      </c>
      <c r="O77">
        <v>8</v>
      </c>
      <c r="P77">
        <v>14</v>
      </c>
      <c r="Q77">
        <v>13</v>
      </c>
      <c r="R77">
        <v>10</v>
      </c>
      <c r="S77">
        <v>0</v>
      </c>
      <c r="T77">
        <v>1</v>
      </c>
      <c r="U77">
        <v>3</v>
      </c>
      <c r="V77">
        <v>6</v>
      </c>
      <c r="W77">
        <v>7</v>
      </c>
      <c r="X77">
        <v>1</v>
      </c>
      <c r="Y77">
        <v>2</v>
      </c>
      <c r="Z77">
        <v>14</v>
      </c>
      <c r="AA77">
        <v>31</v>
      </c>
      <c r="AB77">
        <v>47</v>
      </c>
      <c r="AC77">
        <v>49</v>
      </c>
      <c r="AD77">
        <v>42</v>
      </c>
      <c r="AE77">
        <v>59</v>
      </c>
      <c r="AF77">
        <v>46</v>
      </c>
      <c r="AG77">
        <v>99</v>
      </c>
      <c r="AH77">
        <v>97</v>
      </c>
      <c r="AI77">
        <v>0</v>
      </c>
      <c r="AJ77">
        <v>196</v>
      </c>
      <c r="AK77" t="s">
        <v>289</v>
      </c>
      <c r="BA77" t="s">
        <v>53</v>
      </c>
      <c r="BB77" t="s">
        <v>287</v>
      </c>
      <c r="BC77" t="s">
        <v>290</v>
      </c>
      <c r="BD77">
        <v>6</v>
      </c>
      <c r="BE77">
        <v>13</v>
      </c>
      <c r="BF77">
        <v>38</v>
      </c>
      <c r="BG77">
        <v>62</v>
      </c>
      <c r="BH77">
        <v>77</v>
      </c>
      <c r="BI77">
        <v>8</v>
      </c>
      <c r="BJ77">
        <v>27</v>
      </c>
      <c r="BK77">
        <v>49</v>
      </c>
      <c r="BL77">
        <v>17</v>
      </c>
      <c r="BM77">
        <v>95</v>
      </c>
      <c r="BN77">
        <v>49</v>
      </c>
      <c r="BO77">
        <v>42</v>
      </c>
      <c r="BP77">
        <v>59</v>
      </c>
      <c r="BQ77">
        <v>46</v>
      </c>
      <c r="BR77">
        <v>99</v>
      </c>
      <c r="BS77">
        <v>97</v>
      </c>
      <c r="BT77">
        <v>0</v>
      </c>
      <c r="BU77">
        <v>196</v>
      </c>
      <c r="BV77" t="s">
        <v>289</v>
      </c>
    </row>
    <row r="78" spans="1:74">
      <c r="A78" t="s">
        <v>53</v>
      </c>
      <c r="B78" t="s">
        <v>287</v>
      </c>
      <c r="C78" t="s">
        <v>291</v>
      </c>
      <c r="D78">
        <v>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</v>
      </c>
      <c r="M78">
        <v>3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1</v>
      </c>
      <c r="V78">
        <v>3</v>
      </c>
      <c r="W78">
        <v>0</v>
      </c>
      <c r="X78">
        <v>0</v>
      </c>
      <c r="Y78">
        <v>0</v>
      </c>
      <c r="Z78">
        <v>0</v>
      </c>
      <c r="AA78">
        <v>1</v>
      </c>
      <c r="AB78">
        <v>2</v>
      </c>
      <c r="AC78">
        <v>4</v>
      </c>
      <c r="AD78">
        <v>5</v>
      </c>
      <c r="AE78">
        <v>2</v>
      </c>
      <c r="AF78">
        <v>5</v>
      </c>
      <c r="AG78">
        <v>4</v>
      </c>
      <c r="AH78">
        <v>12</v>
      </c>
      <c r="AI78">
        <v>0</v>
      </c>
      <c r="AJ78">
        <v>16</v>
      </c>
      <c r="AK78" t="s">
        <v>289</v>
      </c>
      <c r="BA78" t="s">
        <v>53</v>
      </c>
      <c r="BB78" t="s">
        <v>287</v>
      </c>
      <c r="BC78" t="s">
        <v>291</v>
      </c>
      <c r="BD78">
        <v>2</v>
      </c>
      <c r="BE78">
        <v>2</v>
      </c>
      <c r="BF78">
        <v>1</v>
      </c>
      <c r="BG78">
        <v>6</v>
      </c>
      <c r="BH78">
        <v>5</v>
      </c>
      <c r="BI78">
        <v>2</v>
      </c>
      <c r="BJ78">
        <v>5</v>
      </c>
      <c r="BK78">
        <v>1</v>
      </c>
      <c r="BL78">
        <v>5</v>
      </c>
      <c r="BM78">
        <v>3</v>
      </c>
      <c r="BN78">
        <v>4</v>
      </c>
      <c r="BO78">
        <v>5</v>
      </c>
      <c r="BP78">
        <v>2</v>
      </c>
      <c r="BQ78">
        <v>5</v>
      </c>
      <c r="BR78">
        <v>4</v>
      </c>
      <c r="BS78">
        <v>12</v>
      </c>
      <c r="BT78">
        <v>0</v>
      </c>
      <c r="BU78">
        <v>16</v>
      </c>
      <c r="BV78" t="s">
        <v>289</v>
      </c>
    </row>
    <row r="79" spans="1:74">
      <c r="A79" t="s">
        <v>53</v>
      </c>
      <c r="B79" t="s">
        <v>287</v>
      </c>
      <c r="C79" t="s">
        <v>292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1</v>
      </c>
      <c r="AK79" t="s">
        <v>289</v>
      </c>
      <c r="BA79" t="s">
        <v>53</v>
      </c>
      <c r="BB79" t="s">
        <v>287</v>
      </c>
      <c r="BC79" t="s">
        <v>292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1</v>
      </c>
      <c r="BR79">
        <v>0</v>
      </c>
      <c r="BS79">
        <v>1</v>
      </c>
      <c r="BT79">
        <v>0</v>
      </c>
      <c r="BU79">
        <v>1</v>
      </c>
      <c r="BV79" t="s">
        <v>289</v>
      </c>
    </row>
    <row r="80" spans="1:74">
      <c r="A80" t="s">
        <v>53</v>
      </c>
      <c r="B80" t="s">
        <v>287</v>
      </c>
      <c r="C80" t="s">
        <v>293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1</v>
      </c>
      <c r="AH80">
        <v>2</v>
      </c>
      <c r="AI80">
        <v>0</v>
      </c>
      <c r="AJ80">
        <v>3</v>
      </c>
      <c r="AK80" t="s">
        <v>289</v>
      </c>
      <c r="BA80" t="s">
        <v>53</v>
      </c>
      <c r="BB80" t="s">
        <v>287</v>
      </c>
      <c r="BC80" t="s">
        <v>293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0</v>
      </c>
      <c r="BK80">
        <v>0</v>
      </c>
      <c r="BL80">
        <v>1</v>
      </c>
      <c r="BM80">
        <v>1</v>
      </c>
      <c r="BN80">
        <v>1</v>
      </c>
      <c r="BO80">
        <v>2</v>
      </c>
      <c r="BP80">
        <v>0</v>
      </c>
      <c r="BQ80">
        <v>0</v>
      </c>
      <c r="BR80">
        <v>1</v>
      </c>
      <c r="BS80">
        <v>2</v>
      </c>
      <c r="BT80">
        <v>0</v>
      </c>
      <c r="BU80">
        <v>3</v>
      </c>
      <c r="BV80" t="s">
        <v>289</v>
      </c>
    </row>
    <row r="81" spans="1:74">
      <c r="A81" t="s">
        <v>53</v>
      </c>
      <c r="B81" t="s">
        <v>287</v>
      </c>
      <c r="C81" t="s">
        <v>294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1</v>
      </c>
      <c r="AF81">
        <v>0</v>
      </c>
      <c r="AG81">
        <v>1</v>
      </c>
      <c r="AH81">
        <v>1</v>
      </c>
      <c r="AI81">
        <v>0</v>
      </c>
      <c r="AJ81">
        <v>2</v>
      </c>
      <c r="AK81" t="s">
        <v>289</v>
      </c>
      <c r="BA81" t="s">
        <v>53</v>
      </c>
      <c r="BB81" t="s">
        <v>287</v>
      </c>
      <c r="BC81" t="s">
        <v>294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2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1</v>
      </c>
      <c r="BQ81">
        <v>0</v>
      </c>
      <c r="BR81">
        <v>1</v>
      </c>
      <c r="BS81">
        <v>1</v>
      </c>
      <c r="BT81">
        <v>0</v>
      </c>
      <c r="BU81">
        <v>2</v>
      </c>
      <c r="BV81" t="s">
        <v>289</v>
      </c>
    </row>
    <row r="82" spans="1:74">
      <c r="A82" t="s">
        <v>53</v>
      </c>
      <c r="B82" t="s">
        <v>287</v>
      </c>
      <c r="C82" t="s">
        <v>17</v>
      </c>
      <c r="D82">
        <v>2</v>
      </c>
      <c r="E82">
        <v>1</v>
      </c>
      <c r="F82">
        <v>1</v>
      </c>
      <c r="G82">
        <v>2</v>
      </c>
      <c r="H82">
        <v>7</v>
      </c>
      <c r="I82">
        <v>1</v>
      </c>
      <c r="J82">
        <v>2</v>
      </c>
      <c r="K82">
        <v>7</v>
      </c>
      <c r="L82">
        <v>12</v>
      </c>
      <c r="M82">
        <v>10</v>
      </c>
      <c r="N82">
        <v>4</v>
      </c>
      <c r="O82">
        <v>9</v>
      </c>
      <c r="P82">
        <v>14</v>
      </c>
      <c r="Q82">
        <v>14</v>
      </c>
      <c r="R82">
        <v>10</v>
      </c>
      <c r="S82">
        <v>1</v>
      </c>
      <c r="T82">
        <v>2</v>
      </c>
      <c r="U82">
        <v>4</v>
      </c>
      <c r="V82">
        <v>9</v>
      </c>
      <c r="W82">
        <v>7</v>
      </c>
      <c r="X82">
        <v>1</v>
      </c>
      <c r="Y82">
        <v>2</v>
      </c>
      <c r="Z82">
        <v>15</v>
      </c>
      <c r="AA82">
        <v>32</v>
      </c>
      <c r="AB82">
        <v>49</v>
      </c>
      <c r="AC82">
        <v>54</v>
      </c>
      <c r="AD82">
        <v>50</v>
      </c>
      <c r="AE82">
        <v>62</v>
      </c>
      <c r="AF82">
        <v>52</v>
      </c>
      <c r="AG82">
        <v>105</v>
      </c>
      <c r="AH82">
        <v>113</v>
      </c>
      <c r="AI82">
        <v>0</v>
      </c>
      <c r="AJ82">
        <v>218</v>
      </c>
      <c r="AK82" t="s">
        <v>289</v>
      </c>
      <c r="BA82" t="s">
        <v>53</v>
      </c>
      <c r="BB82" t="s">
        <v>287</v>
      </c>
      <c r="BC82" t="s">
        <v>17</v>
      </c>
      <c r="BD82">
        <v>9</v>
      </c>
      <c r="BE82">
        <v>16</v>
      </c>
      <c r="BF82">
        <v>41</v>
      </c>
      <c r="BG82">
        <v>69</v>
      </c>
      <c r="BH82">
        <v>83</v>
      </c>
      <c r="BI82">
        <v>13</v>
      </c>
      <c r="BJ82">
        <v>32</v>
      </c>
      <c r="BK82">
        <v>51</v>
      </c>
      <c r="BL82">
        <v>23</v>
      </c>
      <c r="BM82">
        <v>99</v>
      </c>
      <c r="BN82">
        <v>54</v>
      </c>
      <c r="BO82">
        <v>50</v>
      </c>
      <c r="BP82">
        <v>62</v>
      </c>
      <c r="BQ82">
        <v>52</v>
      </c>
      <c r="BR82">
        <v>105</v>
      </c>
      <c r="BS82">
        <v>113</v>
      </c>
      <c r="BT82">
        <v>0</v>
      </c>
      <c r="BU82">
        <v>218</v>
      </c>
      <c r="BV82" t="s">
        <v>289</v>
      </c>
    </row>
    <row r="83" spans="1:74">
      <c r="A83" t="s">
        <v>53</v>
      </c>
      <c r="B83" t="s">
        <v>287</v>
      </c>
      <c r="C83" t="s">
        <v>295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2</v>
      </c>
      <c r="AB83">
        <v>1</v>
      </c>
      <c r="AC83">
        <v>2</v>
      </c>
      <c r="AD83">
        <v>2</v>
      </c>
      <c r="AE83">
        <v>1</v>
      </c>
      <c r="AF83">
        <v>0</v>
      </c>
      <c r="AG83">
        <v>1</v>
      </c>
      <c r="AH83">
        <v>4</v>
      </c>
      <c r="AI83">
        <v>0</v>
      </c>
      <c r="AJ83">
        <v>5</v>
      </c>
      <c r="AK83" t="s">
        <v>289</v>
      </c>
      <c r="BA83" t="s">
        <v>53</v>
      </c>
      <c r="BB83" t="s">
        <v>287</v>
      </c>
      <c r="BC83" t="s">
        <v>295</v>
      </c>
      <c r="BD83">
        <v>0</v>
      </c>
      <c r="BE83">
        <v>0</v>
      </c>
      <c r="BF83">
        <v>1</v>
      </c>
      <c r="BG83">
        <v>3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2</v>
      </c>
      <c r="BO83">
        <v>2</v>
      </c>
      <c r="BP83">
        <v>1</v>
      </c>
      <c r="BQ83">
        <v>0</v>
      </c>
      <c r="BR83">
        <v>1</v>
      </c>
      <c r="BS83">
        <v>4</v>
      </c>
      <c r="BT83">
        <v>0</v>
      </c>
      <c r="BU83">
        <v>5</v>
      </c>
      <c r="BV83" t="s">
        <v>289</v>
      </c>
    </row>
    <row r="84" spans="1:74">
      <c r="A84" t="s">
        <v>54</v>
      </c>
      <c r="B84" t="s">
        <v>287</v>
      </c>
      <c r="C84" t="s">
        <v>288</v>
      </c>
      <c r="D84">
        <v>0.46</v>
      </c>
      <c r="E84">
        <v>0.51</v>
      </c>
      <c r="F84">
        <v>1.23</v>
      </c>
      <c r="G84">
        <v>1.95</v>
      </c>
      <c r="H84">
        <v>5.32</v>
      </c>
      <c r="I84">
        <v>0.55000000000000004</v>
      </c>
      <c r="J84">
        <v>1.73</v>
      </c>
      <c r="K84">
        <v>6.84</v>
      </c>
      <c r="L84">
        <v>10.18</v>
      </c>
      <c r="M84">
        <v>6.87</v>
      </c>
      <c r="N84">
        <v>5.49</v>
      </c>
      <c r="O84">
        <v>7.39</v>
      </c>
      <c r="P84">
        <v>13.12</v>
      </c>
      <c r="Q84">
        <v>13.25</v>
      </c>
      <c r="R84">
        <v>9.66</v>
      </c>
      <c r="S84">
        <v>0.46</v>
      </c>
      <c r="T84">
        <v>0.87</v>
      </c>
      <c r="U84">
        <v>3.39</v>
      </c>
      <c r="V84">
        <v>5.76</v>
      </c>
      <c r="W84">
        <v>6.83</v>
      </c>
      <c r="X84">
        <v>1.0900000000000001</v>
      </c>
      <c r="Y84">
        <v>2.3199999999999998</v>
      </c>
      <c r="Z84">
        <v>15.86</v>
      </c>
      <c r="AA84">
        <v>31.97</v>
      </c>
      <c r="AB84">
        <v>46.89</v>
      </c>
      <c r="AC84">
        <v>42.59</v>
      </c>
      <c r="AD84">
        <v>31.57</v>
      </c>
      <c r="AE84">
        <v>78.150000000000006</v>
      </c>
      <c r="AF84">
        <v>47.7</v>
      </c>
      <c r="AG84">
        <v>100</v>
      </c>
      <c r="AH84">
        <v>100</v>
      </c>
      <c r="AI84">
        <v>0</v>
      </c>
      <c r="AJ84">
        <v>200</v>
      </c>
      <c r="AK84" t="s">
        <v>289</v>
      </c>
      <c r="BA84" t="s">
        <v>54</v>
      </c>
      <c r="BB84" t="s">
        <v>287</v>
      </c>
      <c r="BC84" t="s">
        <v>288</v>
      </c>
      <c r="BD84">
        <v>8.0500000000000007</v>
      </c>
      <c r="BE84">
        <v>12.82</v>
      </c>
      <c r="BF84">
        <v>40.450000000000003</v>
      </c>
      <c r="BG84">
        <v>63.11</v>
      </c>
      <c r="BH84">
        <v>75.569999999999993</v>
      </c>
      <c r="BI84">
        <v>9.48</v>
      </c>
      <c r="BJ84">
        <v>26.18</v>
      </c>
      <c r="BK84">
        <v>48.91</v>
      </c>
      <c r="BL84">
        <v>17.32</v>
      </c>
      <c r="BM84">
        <v>98.12</v>
      </c>
      <c r="BN84">
        <v>42.59</v>
      </c>
      <c r="BO84">
        <v>31.57</v>
      </c>
      <c r="BP84">
        <v>78.150000000000006</v>
      </c>
      <c r="BQ84">
        <v>47.7</v>
      </c>
      <c r="BR84">
        <v>100</v>
      </c>
      <c r="BS84">
        <v>100</v>
      </c>
      <c r="BT84">
        <v>0</v>
      </c>
      <c r="BU84">
        <v>200</v>
      </c>
      <c r="BV84" t="s">
        <v>289</v>
      </c>
    </row>
    <row r="85" spans="1:74">
      <c r="A85" t="s">
        <v>54</v>
      </c>
      <c r="B85" t="s">
        <v>287</v>
      </c>
      <c r="C85" t="s">
        <v>290</v>
      </c>
      <c r="D85">
        <v>1</v>
      </c>
      <c r="E85">
        <v>1</v>
      </c>
      <c r="F85">
        <v>0</v>
      </c>
      <c r="G85">
        <v>1</v>
      </c>
      <c r="H85">
        <v>5</v>
      </c>
      <c r="I85">
        <v>0</v>
      </c>
      <c r="J85">
        <v>2</v>
      </c>
      <c r="K85">
        <v>7</v>
      </c>
      <c r="L85">
        <v>10</v>
      </c>
      <c r="M85">
        <v>7</v>
      </c>
      <c r="N85">
        <v>5</v>
      </c>
      <c r="O85">
        <v>7</v>
      </c>
      <c r="P85">
        <v>13</v>
      </c>
      <c r="Q85">
        <v>13</v>
      </c>
      <c r="R85">
        <v>10</v>
      </c>
      <c r="S85">
        <v>1</v>
      </c>
      <c r="T85">
        <v>0</v>
      </c>
      <c r="U85">
        <v>3</v>
      </c>
      <c r="V85">
        <v>6</v>
      </c>
      <c r="W85">
        <v>7</v>
      </c>
      <c r="X85">
        <v>0</v>
      </c>
      <c r="Y85">
        <v>2</v>
      </c>
      <c r="Z85">
        <v>14</v>
      </c>
      <c r="AA85">
        <v>32</v>
      </c>
      <c r="AB85">
        <v>47</v>
      </c>
      <c r="AC85">
        <v>46</v>
      </c>
      <c r="AD85">
        <v>36</v>
      </c>
      <c r="AE85">
        <v>61</v>
      </c>
      <c r="AF85">
        <v>51</v>
      </c>
      <c r="AG85">
        <v>97</v>
      </c>
      <c r="AH85">
        <v>97</v>
      </c>
      <c r="AI85">
        <v>0</v>
      </c>
      <c r="AJ85">
        <v>194</v>
      </c>
      <c r="AK85" t="s">
        <v>289</v>
      </c>
      <c r="BA85" t="s">
        <v>54</v>
      </c>
      <c r="BB85" t="s">
        <v>287</v>
      </c>
      <c r="BC85" t="s">
        <v>290</v>
      </c>
      <c r="BD85">
        <v>7</v>
      </c>
      <c r="BE85">
        <v>12</v>
      </c>
      <c r="BF85">
        <v>37</v>
      </c>
      <c r="BG85">
        <v>62</v>
      </c>
      <c r="BH85">
        <v>76</v>
      </c>
      <c r="BI85">
        <v>8</v>
      </c>
      <c r="BJ85">
        <v>26</v>
      </c>
      <c r="BK85">
        <v>48</v>
      </c>
      <c r="BL85">
        <v>17</v>
      </c>
      <c r="BM85">
        <v>95</v>
      </c>
      <c r="BN85">
        <v>46</v>
      </c>
      <c r="BO85">
        <v>36</v>
      </c>
      <c r="BP85">
        <v>61</v>
      </c>
      <c r="BQ85">
        <v>51</v>
      </c>
      <c r="BR85">
        <v>97</v>
      </c>
      <c r="BS85">
        <v>97</v>
      </c>
      <c r="BT85">
        <v>0</v>
      </c>
      <c r="BU85">
        <v>194</v>
      </c>
      <c r="BV85" t="s">
        <v>289</v>
      </c>
    </row>
    <row r="86" spans="1:74">
      <c r="A86" t="s">
        <v>54</v>
      </c>
      <c r="B86" t="s">
        <v>287</v>
      </c>
      <c r="C86" t="s">
        <v>291</v>
      </c>
      <c r="D86">
        <v>0</v>
      </c>
      <c r="E86">
        <v>0</v>
      </c>
      <c r="F86">
        <v>0</v>
      </c>
      <c r="G86">
        <v>0</v>
      </c>
      <c r="H86">
        <v>4</v>
      </c>
      <c r="I86">
        <v>0</v>
      </c>
      <c r="J86">
        <v>1</v>
      </c>
      <c r="K86">
        <v>0</v>
      </c>
      <c r="L86">
        <v>0</v>
      </c>
      <c r="M86">
        <v>3</v>
      </c>
      <c r="N86">
        <v>2</v>
      </c>
      <c r="O86">
        <v>0</v>
      </c>
      <c r="P86">
        <v>2</v>
      </c>
      <c r="Q86">
        <v>2</v>
      </c>
      <c r="R86">
        <v>1</v>
      </c>
      <c r="S86">
        <v>0</v>
      </c>
      <c r="T86">
        <v>0</v>
      </c>
      <c r="U86">
        <v>1</v>
      </c>
      <c r="V86">
        <v>3</v>
      </c>
      <c r="W86">
        <v>0</v>
      </c>
      <c r="X86">
        <v>0</v>
      </c>
      <c r="Y86">
        <v>0</v>
      </c>
      <c r="Z86">
        <v>0</v>
      </c>
      <c r="AA86">
        <v>8</v>
      </c>
      <c r="AB86">
        <v>5</v>
      </c>
      <c r="AC86">
        <v>10</v>
      </c>
      <c r="AD86">
        <v>2</v>
      </c>
      <c r="AE86">
        <v>5</v>
      </c>
      <c r="AF86">
        <v>15</v>
      </c>
      <c r="AG86">
        <v>26</v>
      </c>
      <c r="AH86">
        <v>6</v>
      </c>
      <c r="AI86">
        <v>0</v>
      </c>
      <c r="AJ86">
        <v>32</v>
      </c>
      <c r="AK86" t="s">
        <v>289</v>
      </c>
      <c r="BA86" t="s">
        <v>54</v>
      </c>
      <c r="BB86" t="s">
        <v>287</v>
      </c>
      <c r="BC86" t="s">
        <v>291</v>
      </c>
      <c r="BD86">
        <v>2</v>
      </c>
      <c r="BE86">
        <v>1</v>
      </c>
      <c r="BF86">
        <v>3</v>
      </c>
      <c r="BG86">
        <v>13</v>
      </c>
      <c r="BH86">
        <v>13</v>
      </c>
      <c r="BI86">
        <v>4</v>
      </c>
      <c r="BJ86">
        <v>4</v>
      </c>
      <c r="BK86">
        <v>7</v>
      </c>
      <c r="BL86">
        <v>4</v>
      </c>
      <c r="BM86">
        <v>13</v>
      </c>
      <c r="BN86">
        <v>10</v>
      </c>
      <c r="BO86">
        <v>2</v>
      </c>
      <c r="BP86">
        <v>5</v>
      </c>
      <c r="BQ86">
        <v>15</v>
      </c>
      <c r="BR86">
        <v>26</v>
      </c>
      <c r="BS86">
        <v>6</v>
      </c>
      <c r="BT86">
        <v>0</v>
      </c>
      <c r="BU86">
        <v>32</v>
      </c>
      <c r="BV86" t="s">
        <v>289</v>
      </c>
    </row>
    <row r="87" spans="1:74">
      <c r="A87" t="s">
        <v>54</v>
      </c>
      <c r="B87" t="s">
        <v>287</v>
      </c>
      <c r="C87" t="s">
        <v>292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 t="s">
        <v>289</v>
      </c>
      <c r="BA87" t="s">
        <v>54</v>
      </c>
      <c r="BB87" t="s">
        <v>287</v>
      </c>
      <c r="BC87" t="s">
        <v>292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289</v>
      </c>
    </row>
    <row r="88" spans="1:74">
      <c r="A88" t="s">
        <v>54</v>
      </c>
      <c r="B88" t="s">
        <v>287</v>
      </c>
      <c r="C88" t="s">
        <v>293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2</v>
      </c>
      <c r="L88">
        <v>2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1</v>
      </c>
      <c r="AB88">
        <v>0</v>
      </c>
      <c r="AC88">
        <v>2</v>
      </c>
      <c r="AD88">
        <v>3</v>
      </c>
      <c r="AE88">
        <v>3</v>
      </c>
      <c r="AF88">
        <v>0</v>
      </c>
      <c r="AG88">
        <v>3</v>
      </c>
      <c r="AH88">
        <v>5</v>
      </c>
      <c r="AI88">
        <v>0</v>
      </c>
      <c r="AJ88">
        <v>8</v>
      </c>
      <c r="AK88" t="s">
        <v>289</v>
      </c>
      <c r="BA88" t="s">
        <v>54</v>
      </c>
      <c r="BB88" t="s">
        <v>287</v>
      </c>
      <c r="BC88" t="s">
        <v>293</v>
      </c>
      <c r="BD88">
        <v>1</v>
      </c>
      <c r="BE88">
        <v>0</v>
      </c>
      <c r="BF88">
        <v>4</v>
      </c>
      <c r="BG88">
        <v>3</v>
      </c>
      <c r="BH88">
        <v>0</v>
      </c>
      <c r="BI88">
        <v>0</v>
      </c>
      <c r="BJ88">
        <v>5</v>
      </c>
      <c r="BK88">
        <v>1</v>
      </c>
      <c r="BL88">
        <v>0</v>
      </c>
      <c r="BM88">
        <v>2</v>
      </c>
      <c r="BN88">
        <v>2</v>
      </c>
      <c r="BO88">
        <v>3</v>
      </c>
      <c r="BP88">
        <v>3</v>
      </c>
      <c r="BQ88">
        <v>0</v>
      </c>
      <c r="BR88">
        <v>3</v>
      </c>
      <c r="BS88">
        <v>5</v>
      </c>
      <c r="BT88">
        <v>0</v>
      </c>
      <c r="BU88">
        <v>8</v>
      </c>
      <c r="BV88" t="s">
        <v>289</v>
      </c>
    </row>
    <row r="89" spans="1:74">
      <c r="A89" t="s">
        <v>54</v>
      </c>
      <c r="B89" t="s">
        <v>287</v>
      </c>
      <c r="C89" t="s">
        <v>294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 t="s">
        <v>289</v>
      </c>
      <c r="BA89" t="s">
        <v>54</v>
      </c>
      <c r="BB89" t="s">
        <v>287</v>
      </c>
      <c r="BC89" t="s">
        <v>294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289</v>
      </c>
    </row>
    <row r="90" spans="1:74">
      <c r="A90" t="s">
        <v>54</v>
      </c>
      <c r="B90" t="s">
        <v>287</v>
      </c>
      <c r="C90" t="s">
        <v>17</v>
      </c>
      <c r="D90">
        <v>1</v>
      </c>
      <c r="E90">
        <v>1</v>
      </c>
      <c r="F90">
        <v>0</v>
      </c>
      <c r="G90">
        <v>1</v>
      </c>
      <c r="H90">
        <v>9</v>
      </c>
      <c r="I90">
        <v>1</v>
      </c>
      <c r="J90">
        <v>3</v>
      </c>
      <c r="K90">
        <v>9</v>
      </c>
      <c r="L90">
        <v>12</v>
      </c>
      <c r="M90">
        <v>10</v>
      </c>
      <c r="N90">
        <v>7</v>
      </c>
      <c r="O90">
        <v>7</v>
      </c>
      <c r="P90">
        <v>16</v>
      </c>
      <c r="Q90">
        <v>15</v>
      </c>
      <c r="R90">
        <v>11</v>
      </c>
      <c r="S90">
        <v>1</v>
      </c>
      <c r="T90">
        <v>0</v>
      </c>
      <c r="U90">
        <v>4</v>
      </c>
      <c r="V90">
        <v>9</v>
      </c>
      <c r="W90">
        <v>7</v>
      </c>
      <c r="X90">
        <v>0</v>
      </c>
      <c r="Y90">
        <v>2</v>
      </c>
      <c r="Z90">
        <v>15</v>
      </c>
      <c r="AA90">
        <v>41</v>
      </c>
      <c r="AB90">
        <v>52</v>
      </c>
      <c r="AC90">
        <v>58</v>
      </c>
      <c r="AD90">
        <v>41</v>
      </c>
      <c r="AE90">
        <v>69</v>
      </c>
      <c r="AF90">
        <v>66</v>
      </c>
      <c r="AG90">
        <v>126</v>
      </c>
      <c r="AH90">
        <v>108</v>
      </c>
      <c r="AI90">
        <v>0</v>
      </c>
      <c r="AJ90">
        <v>234</v>
      </c>
      <c r="AK90" t="s">
        <v>289</v>
      </c>
      <c r="BA90" t="s">
        <v>54</v>
      </c>
      <c r="BB90" t="s">
        <v>287</v>
      </c>
      <c r="BC90" t="s">
        <v>17</v>
      </c>
      <c r="BD90">
        <v>10</v>
      </c>
      <c r="BE90">
        <v>13</v>
      </c>
      <c r="BF90">
        <v>44</v>
      </c>
      <c r="BG90">
        <v>78</v>
      </c>
      <c r="BH90">
        <v>89</v>
      </c>
      <c r="BI90">
        <v>12</v>
      </c>
      <c r="BJ90">
        <v>35</v>
      </c>
      <c r="BK90">
        <v>56</v>
      </c>
      <c r="BL90">
        <v>21</v>
      </c>
      <c r="BM90">
        <v>110</v>
      </c>
      <c r="BN90">
        <v>58</v>
      </c>
      <c r="BO90">
        <v>41</v>
      </c>
      <c r="BP90">
        <v>69</v>
      </c>
      <c r="BQ90">
        <v>66</v>
      </c>
      <c r="BR90">
        <v>126</v>
      </c>
      <c r="BS90">
        <v>108</v>
      </c>
      <c r="BT90">
        <v>0</v>
      </c>
      <c r="BU90">
        <v>234</v>
      </c>
      <c r="BV90" t="s">
        <v>289</v>
      </c>
    </row>
    <row r="91" spans="1:74">
      <c r="A91" t="s">
        <v>54</v>
      </c>
      <c r="B91" t="s">
        <v>287</v>
      </c>
      <c r="C91" t="s">
        <v>295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5</v>
      </c>
      <c r="AB91">
        <v>1</v>
      </c>
      <c r="AC91">
        <v>2</v>
      </c>
      <c r="AD91">
        <v>3</v>
      </c>
      <c r="AE91">
        <v>3</v>
      </c>
      <c r="AF91">
        <v>0</v>
      </c>
      <c r="AG91">
        <v>4</v>
      </c>
      <c r="AH91">
        <v>4</v>
      </c>
      <c r="AI91">
        <v>0</v>
      </c>
      <c r="AJ91">
        <v>8</v>
      </c>
      <c r="AK91" t="s">
        <v>289</v>
      </c>
      <c r="BA91" t="s">
        <v>54</v>
      </c>
      <c r="BB91" t="s">
        <v>287</v>
      </c>
      <c r="BC91" t="s">
        <v>295</v>
      </c>
      <c r="BD91">
        <v>0</v>
      </c>
      <c r="BE91">
        <v>0</v>
      </c>
      <c r="BF91">
        <v>1</v>
      </c>
      <c r="BG91">
        <v>5</v>
      </c>
      <c r="BH91">
        <v>2</v>
      </c>
      <c r="BI91">
        <v>0</v>
      </c>
      <c r="BJ91">
        <v>1</v>
      </c>
      <c r="BK91">
        <v>0</v>
      </c>
      <c r="BL91">
        <v>1</v>
      </c>
      <c r="BM91">
        <v>6</v>
      </c>
      <c r="BN91">
        <v>2</v>
      </c>
      <c r="BO91">
        <v>3</v>
      </c>
      <c r="BP91">
        <v>3</v>
      </c>
      <c r="BQ91">
        <v>0</v>
      </c>
      <c r="BR91">
        <v>4</v>
      </c>
      <c r="BS91">
        <v>4</v>
      </c>
      <c r="BT91">
        <v>0</v>
      </c>
      <c r="BU91">
        <v>8</v>
      </c>
      <c r="BV91" t="s">
        <v>289</v>
      </c>
    </row>
    <row r="92" spans="1:74">
      <c r="A92" t="s">
        <v>150</v>
      </c>
      <c r="B92" t="s">
        <v>287</v>
      </c>
      <c r="C92" t="s">
        <v>288</v>
      </c>
      <c r="D92">
        <v>4.24</v>
      </c>
      <c r="E92">
        <v>5.0199999999999996</v>
      </c>
      <c r="F92">
        <v>12.65</v>
      </c>
      <c r="G92">
        <v>19</v>
      </c>
      <c r="H92">
        <v>69.760000000000005</v>
      </c>
      <c r="I92">
        <v>5.5</v>
      </c>
      <c r="J92">
        <v>18.350000000000001</v>
      </c>
      <c r="K92">
        <v>76.36</v>
      </c>
      <c r="L92">
        <v>106.12</v>
      </c>
      <c r="M92">
        <v>73.72</v>
      </c>
      <c r="N92">
        <v>47.42</v>
      </c>
      <c r="O92">
        <v>73.69</v>
      </c>
      <c r="P92">
        <v>150.24</v>
      </c>
      <c r="Q92">
        <v>162.11000000000001</v>
      </c>
      <c r="R92">
        <v>111.46</v>
      </c>
      <c r="S92">
        <v>4.2</v>
      </c>
      <c r="T92">
        <v>9.25</v>
      </c>
      <c r="U92">
        <v>37.22</v>
      </c>
      <c r="V92">
        <v>73.25</v>
      </c>
      <c r="W92">
        <v>84.9</v>
      </c>
      <c r="X92">
        <v>12.06</v>
      </c>
      <c r="Y92">
        <v>23.41</v>
      </c>
      <c r="Z92">
        <v>162.52000000000001</v>
      </c>
      <c r="AA92">
        <v>341.93</v>
      </c>
      <c r="AB92">
        <v>515.54</v>
      </c>
      <c r="AC92">
        <v>464.46</v>
      </c>
      <c r="AD92">
        <v>342.09</v>
      </c>
      <c r="AE92">
        <v>873.93</v>
      </c>
      <c r="AF92">
        <v>519.53</v>
      </c>
      <c r="AG92">
        <v>1100</v>
      </c>
      <c r="AH92">
        <v>1100</v>
      </c>
      <c r="AI92">
        <v>0</v>
      </c>
      <c r="AJ92">
        <v>2200</v>
      </c>
      <c r="AK92" t="s">
        <v>289</v>
      </c>
      <c r="BA92" t="s">
        <v>150</v>
      </c>
      <c r="BB92" t="s">
        <v>287</v>
      </c>
      <c r="BC92" t="s">
        <v>288</v>
      </c>
      <c r="BD92">
        <v>73.459999999999994</v>
      </c>
      <c r="BE92">
        <v>129.72999999999999</v>
      </c>
      <c r="BF92">
        <v>439.01</v>
      </c>
      <c r="BG92">
        <v>702.43</v>
      </c>
      <c r="BH92">
        <v>855.38</v>
      </c>
      <c r="BI92">
        <v>110.68</v>
      </c>
      <c r="BJ92">
        <v>280.06</v>
      </c>
      <c r="BK92">
        <v>544.9</v>
      </c>
      <c r="BL92">
        <v>208.88</v>
      </c>
      <c r="BM92">
        <v>1055.46</v>
      </c>
      <c r="BN92">
        <v>464.46</v>
      </c>
      <c r="BO92">
        <v>342.09</v>
      </c>
      <c r="BP92">
        <v>873.93</v>
      </c>
      <c r="BQ92">
        <v>519.53</v>
      </c>
      <c r="BR92">
        <v>1100</v>
      </c>
      <c r="BS92">
        <v>1100</v>
      </c>
      <c r="BT92">
        <v>0</v>
      </c>
      <c r="BU92">
        <v>2200</v>
      </c>
      <c r="BV92" t="s">
        <v>289</v>
      </c>
    </row>
    <row r="93" spans="1:74">
      <c r="A93" t="s">
        <v>150</v>
      </c>
      <c r="B93" t="s">
        <v>287</v>
      </c>
      <c r="C93" t="s">
        <v>290</v>
      </c>
      <c r="D93">
        <v>4</v>
      </c>
      <c r="E93">
        <v>4</v>
      </c>
      <c r="F93">
        <v>9</v>
      </c>
      <c r="G93">
        <v>20</v>
      </c>
      <c r="H93">
        <v>69</v>
      </c>
      <c r="I93">
        <v>6</v>
      </c>
      <c r="J93">
        <v>21</v>
      </c>
      <c r="K93">
        <v>75</v>
      </c>
      <c r="L93">
        <v>104</v>
      </c>
      <c r="M93">
        <v>75</v>
      </c>
      <c r="N93">
        <v>42</v>
      </c>
      <c r="O93">
        <v>69</v>
      </c>
      <c r="P93">
        <v>145</v>
      </c>
      <c r="Q93">
        <v>163</v>
      </c>
      <c r="R93">
        <v>111</v>
      </c>
      <c r="S93">
        <v>4</v>
      </c>
      <c r="T93">
        <v>8</v>
      </c>
      <c r="U93">
        <v>31</v>
      </c>
      <c r="V93">
        <v>73</v>
      </c>
      <c r="W93">
        <v>85</v>
      </c>
      <c r="X93">
        <v>9</v>
      </c>
      <c r="Y93">
        <v>15</v>
      </c>
      <c r="Z93">
        <v>154</v>
      </c>
      <c r="AA93">
        <v>340</v>
      </c>
      <c r="AB93">
        <v>513</v>
      </c>
      <c r="AC93">
        <v>531</v>
      </c>
      <c r="AD93">
        <v>373</v>
      </c>
      <c r="AE93">
        <v>759</v>
      </c>
      <c r="AF93">
        <v>486</v>
      </c>
      <c r="AG93">
        <v>1081</v>
      </c>
      <c r="AH93">
        <v>1068</v>
      </c>
      <c r="AI93">
        <v>0</v>
      </c>
      <c r="AJ93">
        <v>2149</v>
      </c>
      <c r="AK93" t="s">
        <v>289</v>
      </c>
      <c r="BA93" t="s">
        <v>150</v>
      </c>
      <c r="BB93" t="s">
        <v>287</v>
      </c>
      <c r="BC93" t="s">
        <v>290</v>
      </c>
      <c r="BD93">
        <v>65</v>
      </c>
      <c r="BE93">
        <v>117</v>
      </c>
      <c r="BF93">
        <v>414</v>
      </c>
      <c r="BG93">
        <v>700</v>
      </c>
      <c r="BH93">
        <v>853</v>
      </c>
      <c r="BI93">
        <v>106</v>
      </c>
      <c r="BJ93">
        <v>281</v>
      </c>
      <c r="BK93">
        <v>530</v>
      </c>
      <c r="BL93">
        <v>201</v>
      </c>
      <c r="BM93">
        <v>1031</v>
      </c>
      <c r="BN93">
        <v>531</v>
      </c>
      <c r="BO93">
        <v>373</v>
      </c>
      <c r="BP93">
        <v>759</v>
      </c>
      <c r="BQ93">
        <v>486</v>
      </c>
      <c r="BR93">
        <v>1081</v>
      </c>
      <c r="BS93">
        <v>1068</v>
      </c>
      <c r="BT93">
        <v>0</v>
      </c>
      <c r="BU93">
        <v>2149</v>
      </c>
      <c r="BV93" t="s">
        <v>289</v>
      </c>
    </row>
    <row r="94" spans="1:74">
      <c r="A94" t="s">
        <v>150</v>
      </c>
      <c r="B94" t="s">
        <v>287</v>
      </c>
      <c r="C94" t="s">
        <v>291</v>
      </c>
      <c r="D94">
        <v>3</v>
      </c>
      <c r="E94">
        <v>1</v>
      </c>
      <c r="F94">
        <v>4</v>
      </c>
      <c r="G94">
        <v>9</v>
      </c>
      <c r="H94">
        <v>5</v>
      </c>
      <c r="I94">
        <v>10</v>
      </c>
      <c r="J94">
        <v>10</v>
      </c>
      <c r="K94">
        <v>13</v>
      </c>
      <c r="L94">
        <v>13</v>
      </c>
      <c r="M94">
        <v>16</v>
      </c>
      <c r="N94">
        <v>4</v>
      </c>
      <c r="O94">
        <v>4</v>
      </c>
      <c r="P94">
        <v>8</v>
      </c>
      <c r="Q94">
        <v>32</v>
      </c>
      <c r="R94">
        <v>12</v>
      </c>
      <c r="S94">
        <v>0</v>
      </c>
      <c r="T94">
        <v>1</v>
      </c>
      <c r="U94">
        <v>7</v>
      </c>
      <c r="V94">
        <v>14</v>
      </c>
      <c r="W94">
        <v>23</v>
      </c>
      <c r="X94">
        <v>7</v>
      </c>
      <c r="Y94">
        <v>3</v>
      </c>
      <c r="Z94">
        <v>6</v>
      </c>
      <c r="AA94">
        <v>22</v>
      </c>
      <c r="AB94">
        <v>70</v>
      </c>
      <c r="AC94">
        <v>144</v>
      </c>
      <c r="AD94">
        <v>60</v>
      </c>
      <c r="AE94">
        <v>31</v>
      </c>
      <c r="AF94">
        <v>62</v>
      </c>
      <c r="AG94">
        <v>190</v>
      </c>
      <c r="AH94">
        <v>107</v>
      </c>
      <c r="AI94">
        <v>0</v>
      </c>
      <c r="AJ94">
        <v>297</v>
      </c>
      <c r="AK94" t="s">
        <v>289</v>
      </c>
      <c r="BA94" t="s">
        <v>150</v>
      </c>
      <c r="BB94" t="s">
        <v>287</v>
      </c>
      <c r="BC94" t="s">
        <v>291</v>
      </c>
      <c r="BD94">
        <v>24</v>
      </c>
      <c r="BE94">
        <v>19</v>
      </c>
      <c r="BF94">
        <v>38</v>
      </c>
      <c r="BG94">
        <v>90</v>
      </c>
      <c r="BH94">
        <v>126</v>
      </c>
      <c r="BI94">
        <v>22</v>
      </c>
      <c r="BJ94">
        <v>62</v>
      </c>
      <c r="BK94">
        <v>60</v>
      </c>
      <c r="BL94">
        <v>45</v>
      </c>
      <c r="BM94">
        <v>108</v>
      </c>
      <c r="BN94">
        <v>144</v>
      </c>
      <c r="BO94">
        <v>60</v>
      </c>
      <c r="BP94">
        <v>31</v>
      </c>
      <c r="BQ94">
        <v>62</v>
      </c>
      <c r="BR94">
        <v>190</v>
      </c>
      <c r="BS94">
        <v>107</v>
      </c>
      <c r="BT94">
        <v>0</v>
      </c>
      <c r="BU94">
        <v>297</v>
      </c>
      <c r="BV94" t="s">
        <v>289</v>
      </c>
    </row>
    <row r="95" spans="1:74">
      <c r="A95" t="s">
        <v>150</v>
      </c>
      <c r="B95" t="s">
        <v>287</v>
      </c>
      <c r="C95" t="s">
        <v>292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0</v>
      </c>
      <c r="P95">
        <v>2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  <c r="AA95">
        <v>0</v>
      </c>
      <c r="AB95">
        <v>0</v>
      </c>
      <c r="AC95">
        <v>1</v>
      </c>
      <c r="AD95">
        <v>3</v>
      </c>
      <c r="AE95">
        <v>0</v>
      </c>
      <c r="AF95">
        <v>2</v>
      </c>
      <c r="AG95">
        <v>1</v>
      </c>
      <c r="AH95">
        <v>5</v>
      </c>
      <c r="AI95">
        <v>0</v>
      </c>
      <c r="AJ95">
        <v>6</v>
      </c>
      <c r="AK95" t="s">
        <v>289</v>
      </c>
      <c r="BA95" t="s">
        <v>150</v>
      </c>
      <c r="BB95" t="s">
        <v>287</v>
      </c>
      <c r="BC95" t="s">
        <v>292</v>
      </c>
      <c r="BD95">
        <v>1</v>
      </c>
      <c r="BE95">
        <v>0</v>
      </c>
      <c r="BF95">
        <v>3</v>
      </c>
      <c r="BG95">
        <v>1</v>
      </c>
      <c r="BH95">
        <v>1</v>
      </c>
      <c r="BI95">
        <v>1</v>
      </c>
      <c r="BJ95">
        <v>0</v>
      </c>
      <c r="BK95">
        <v>4</v>
      </c>
      <c r="BL95">
        <v>0</v>
      </c>
      <c r="BM95">
        <v>1</v>
      </c>
      <c r="BN95">
        <v>1</v>
      </c>
      <c r="BO95">
        <v>3</v>
      </c>
      <c r="BP95">
        <v>0</v>
      </c>
      <c r="BQ95">
        <v>2</v>
      </c>
      <c r="BR95">
        <v>1</v>
      </c>
      <c r="BS95">
        <v>5</v>
      </c>
      <c r="BT95">
        <v>0</v>
      </c>
      <c r="BU95">
        <v>6</v>
      </c>
      <c r="BV95" t="s">
        <v>289</v>
      </c>
    </row>
    <row r="96" spans="1:74">
      <c r="A96" t="s">
        <v>150</v>
      </c>
      <c r="B96" t="s">
        <v>287</v>
      </c>
      <c r="C96" t="s">
        <v>293</v>
      </c>
      <c r="D96">
        <v>0</v>
      </c>
      <c r="E96">
        <v>1</v>
      </c>
      <c r="F96">
        <v>3</v>
      </c>
      <c r="G96">
        <v>0</v>
      </c>
      <c r="H96">
        <v>0</v>
      </c>
      <c r="I96">
        <v>3</v>
      </c>
      <c r="J96">
        <v>0</v>
      </c>
      <c r="K96">
        <v>2</v>
      </c>
      <c r="L96">
        <v>4</v>
      </c>
      <c r="M96">
        <v>0</v>
      </c>
      <c r="N96">
        <v>3</v>
      </c>
      <c r="O96">
        <v>2</v>
      </c>
      <c r="P96">
        <v>9</v>
      </c>
      <c r="Q96">
        <v>2</v>
      </c>
      <c r="R96">
        <v>1</v>
      </c>
      <c r="S96">
        <v>1</v>
      </c>
      <c r="T96">
        <v>1</v>
      </c>
      <c r="U96">
        <v>5</v>
      </c>
      <c r="V96">
        <v>1</v>
      </c>
      <c r="W96">
        <v>0</v>
      </c>
      <c r="X96">
        <v>4</v>
      </c>
      <c r="Y96">
        <v>6</v>
      </c>
      <c r="Z96">
        <v>8</v>
      </c>
      <c r="AA96">
        <v>4</v>
      </c>
      <c r="AB96">
        <v>1</v>
      </c>
      <c r="AC96">
        <v>14</v>
      </c>
      <c r="AD96">
        <v>18</v>
      </c>
      <c r="AE96">
        <v>20</v>
      </c>
      <c r="AF96">
        <v>9</v>
      </c>
      <c r="AG96">
        <v>28</v>
      </c>
      <c r="AH96">
        <v>33</v>
      </c>
      <c r="AI96">
        <v>0</v>
      </c>
      <c r="AJ96">
        <v>61</v>
      </c>
      <c r="AK96" t="s">
        <v>289</v>
      </c>
      <c r="BA96" t="s">
        <v>150</v>
      </c>
      <c r="BB96" t="s">
        <v>287</v>
      </c>
      <c r="BC96" t="s">
        <v>293</v>
      </c>
      <c r="BD96">
        <v>11</v>
      </c>
      <c r="BE96">
        <v>10</v>
      </c>
      <c r="BF96">
        <v>27</v>
      </c>
      <c r="BG96">
        <v>11</v>
      </c>
      <c r="BH96">
        <v>2</v>
      </c>
      <c r="BI96">
        <v>4</v>
      </c>
      <c r="BJ96">
        <v>9</v>
      </c>
      <c r="BK96">
        <v>17</v>
      </c>
      <c r="BL96">
        <v>8</v>
      </c>
      <c r="BM96">
        <v>23</v>
      </c>
      <c r="BN96">
        <v>14</v>
      </c>
      <c r="BO96">
        <v>18</v>
      </c>
      <c r="BP96">
        <v>20</v>
      </c>
      <c r="BQ96">
        <v>9</v>
      </c>
      <c r="BR96">
        <v>28</v>
      </c>
      <c r="BS96">
        <v>33</v>
      </c>
      <c r="BT96">
        <v>0</v>
      </c>
      <c r="BU96">
        <v>61</v>
      </c>
      <c r="BV96" t="s">
        <v>289</v>
      </c>
    </row>
    <row r="97" spans="1:74">
      <c r="A97" t="s">
        <v>150</v>
      </c>
      <c r="B97" t="s">
        <v>287</v>
      </c>
      <c r="C97" t="s">
        <v>294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3</v>
      </c>
      <c r="X97">
        <v>0</v>
      </c>
      <c r="Y97">
        <v>0</v>
      </c>
      <c r="Z97">
        <v>1</v>
      </c>
      <c r="AA97">
        <v>1</v>
      </c>
      <c r="AB97">
        <v>1</v>
      </c>
      <c r="AC97">
        <v>4</v>
      </c>
      <c r="AD97">
        <v>1</v>
      </c>
      <c r="AE97">
        <v>3</v>
      </c>
      <c r="AF97">
        <v>2</v>
      </c>
      <c r="AG97">
        <v>4</v>
      </c>
      <c r="AH97">
        <v>6</v>
      </c>
      <c r="AI97">
        <v>0</v>
      </c>
      <c r="AJ97">
        <v>10</v>
      </c>
      <c r="AK97" t="s">
        <v>289</v>
      </c>
      <c r="BA97" t="s">
        <v>150</v>
      </c>
      <c r="BB97" t="s">
        <v>287</v>
      </c>
      <c r="BC97" t="s">
        <v>294</v>
      </c>
      <c r="BD97">
        <v>0</v>
      </c>
      <c r="BE97">
        <v>1</v>
      </c>
      <c r="BF97">
        <v>2</v>
      </c>
      <c r="BG97">
        <v>1</v>
      </c>
      <c r="BH97">
        <v>6</v>
      </c>
      <c r="BI97">
        <v>2</v>
      </c>
      <c r="BJ97">
        <v>0</v>
      </c>
      <c r="BK97">
        <v>1</v>
      </c>
      <c r="BL97">
        <v>4</v>
      </c>
      <c r="BM97">
        <v>3</v>
      </c>
      <c r="BN97">
        <v>4</v>
      </c>
      <c r="BO97">
        <v>1</v>
      </c>
      <c r="BP97">
        <v>3</v>
      </c>
      <c r="BQ97">
        <v>2</v>
      </c>
      <c r="BR97">
        <v>4</v>
      </c>
      <c r="BS97">
        <v>6</v>
      </c>
      <c r="BT97">
        <v>0</v>
      </c>
      <c r="BU97">
        <v>10</v>
      </c>
      <c r="BV97" t="s">
        <v>289</v>
      </c>
    </row>
    <row r="98" spans="1:74">
      <c r="A98" t="s">
        <v>150</v>
      </c>
      <c r="B98" t="s">
        <v>287</v>
      </c>
      <c r="C98" t="s">
        <v>17</v>
      </c>
      <c r="D98">
        <v>7</v>
      </c>
      <c r="E98">
        <v>7</v>
      </c>
      <c r="F98">
        <v>16</v>
      </c>
      <c r="G98">
        <v>29</v>
      </c>
      <c r="H98">
        <v>76</v>
      </c>
      <c r="I98">
        <v>19</v>
      </c>
      <c r="J98">
        <v>31</v>
      </c>
      <c r="K98">
        <v>90</v>
      </c>
      <c r="L98">
        <v>121</v>
      </c>
      <c r="M98">
        <v>91</v>
      </c>
      <c r="N98">
        <v>50</v>
      </c>
      <c r="O98">
        <v>75</v>
      </c>
      <c r="P98">
        <v>164</v>
      </c>
      <c r="Q98">
        <v>198</v>
      </c>
      <c r="R98">
        <v>125</v>
      </c>
      <c r="S98">
        <v>5</v>
      </c>
      <c r="T98">
        <v>10</v>
      </c>
      <c r="U98">
        <v>44</v>
      </c>
      <c r="V98">
        <v>88</v>
      </c>
      <c r="W98">
        <v>111</v>
      </c>
      <c r="X98">
        <v>20</v>
      </c>
      <c r="Y98">
        <v>24</v>
      </c>
      <c r="Z98">
        <v>170</v>
      </c>
      <c r="AA98">
        <v>367</v>
      </c>
      <c r="AB98">
        <v>585</v>
      </c>
      <c r="AC98">
        <v>694</v>
      </c>
      <c r="AD98">
        <v>455</v>
      </c>
      <c r="AE98">
        <v>813</v>
      </c>
      <c r="AF98">
        <v>561</v>
      </c>
      <c r="AG98">
        <v>1304</v>
      </c>
      <c r="AH98">
        <v>1219</v>
      </c>
      <c r="AI98">
        <v>0</v>
      </c>
      <c r="AJ98">
        <v>2523</v>
      </c>
      <c r="AK98" t="s">
        <v>289</v>
      </c>
      <c r="BA98" t="s">
        <v>150</v>
      </c>
      <c r="BB98" t="s">
        <v>287</v>
      </c>
      <c r="BC98" t="s">
        <v>17</v>
      </c>
      <c r="BD98">
        <v>101</v>
      </c>
      <c r="BE98">
        <v>147</v>
      </c>
      <c r="BF98">
        <v>484</v>
      </c>
      <c r="BG98">
        <v>803</v>
      </c>
      <c r="BH98">
        <v>988</v>
      </c>
      <c r="BI98">
        <v>135</v>
      </c>
      <c r="BJ98">
        <v>352</v>
      </c>
      <c r="BK98">
        <v>612</v>
      </c>
      <c r="BL98">
        <v>258</v>
      </c>
      <c r="BM98">
        <v>1166</v>
      </c>
      <c r="BN98">
        <v>694</v>
      </c>
      <c r="BO98">
        <v>455</v>
      </c>
      <c r="BP98">
        <v>813</v>
      </c>
      <c r="BQ98">
        <v>561</v>
      </c>
      <c r="BR98">
        <v>1304</v>
      </c>
      <c r="BS98">
        <v>1219</v>
      </c>
      <c r="BT98">
        <v>0</v>
      </c>
      <c r="BU98">
        <v>2523</v>
      </c>
      <c r="BV98" t="s">
        <v>289</v>
      </c>
    </row>
    <row r="99" spans="1:74">
      <c r="A99" t="s">
        <v>150</v>
      </c>
      <c r="B99" t="s">
        <v>287</v>
      </c>
      <c r="C99" t="s">
        <v>295</v>
      </c>
      <c r="D99">
        <v>0</v>
      </c>
      <c r="E99">
        <v>0</v>
      </c>
      <c r="F99">
        <v>0</v>
      </c>
      <c r="G99">
        <v>0</v>
      </c>
      <c r="H99">
        <v>4</v>
      </c>
      <c r="I99">
        <v>0</v>
      </c>
      <c r="J99">
        <v>0</v>
      </c>
      <c r="K99">
        <v>1</v>
      </c>
      <c r="L99">
        <v>3</v>
      </c>
      <c r="M99">
        <v>3</v>
      </c>
      <c r="N99">
        <v>1</v>
      </c>
      <c r="O99">
        <v>2</v>
      </c>
      <c r="P99">
        <v>8</v>
      </c>
      <c r="Q99">
        <v>7</v>
      </c>
      <c r="R99">
        <v>1</v>
      </c>
      <c r="S99">
        <v>0</v>
      </c>
      <c r="T99">
        <v>2</v>
      </c>
      <c r="U99">
        <v>3</v>
      </c>
      <c r="V99">
        <v>1</v>
      </c>
      <c r="W99">
        <v>4</v>
      </c>
      <c r="X99">
        <v>1</v>
      </c>
      <c r="Y99">
        <v>1</v>
      </c>
      <c r="Z99">
        <v>7</v>
      </c>
      <c r="AA99">
        <v>13</v>
      </c>
      <c r="AB99">
        <v>17</v>
      </c>
      <c r="AC99">
        <v>13</v>
      </c>
      <c r="AD99">
        <v>21</v>
      </c>
      <c r="AE99">
        <v>37</v>
      </c>
      <c r="AF99">
        <v>8</v>
      </c>
      <c r="AG99">
        <v>36</v>
      </c>
      <c r="AH99">
        <v>43</v>
      </c>
      <c r="AI99">
        <v>0</v>
      </c>
      <c r="AJ99">
        <v>79</v>
      </c>
      <c r="AK99" t="s">
        <v>289</v>
      </c>
      <c r="BA99" t="s">
        <v>150</v>
      </c>
      <c r="BB99" t="s">
        <v>287</v>
      </c>
      <c r="BC99" t="s">
        <v>295</v>
      </c>
      <c r="BD99">
        <v>2</v>
      </c>
      <c r="BE99">
        <v>5</v>
      </c>
      <c r="BF99">
        <v>19</v>
      </c>
      <c r="BG99">
        <v>24</v>
      </c>
      <c r="BH99">
        <v>29</v>
      </c>
      <c r="BI99">
        <v>4</v>
      </c>
      <c r="BJ99">
        <v>7</v>
      </c>
      <c r="BK99">
        <v>19</v>
      </c>
      <c r="BL99">
        <v>10</v>
      </c>
      <c r="BM99">
        <v>39</v>
      </c>
      <c r="BN99">
        <v>13</v>
      </c>
      <c r="BO99">
        <v>21</v>
      </c>
      <c r="BP99">
        <v>37</v>
      </c>
      <c r="BQ99">
        <v>8</v>
      </c>
      <c r="BR99">
        <v>36</v>
      </c>
      <c r="BS99">
        <v>43</v>
      </c>
      <c r="BT99">
        <v>0</v>
      </c>
      <c r="BU99">
        <v>79</v>
      </c>
      <c r="BV99" t="s">
        <v>289</v>
      </c>
    </row>
    <row r="129" spans="1:74">
      <c r="A129" s="43">
        <f>setup!C17</f>
        <v>3767</v>
      </c>
      <c r="BA129" s="43">
        <f>A129</f>
        <v>3767</v>
      </c>
    </row>
    <row r="130" spans="1:74">
      <c r="A130" s="43" t="str">
        <f>_xlfn.CONCAT(setup!D17, " - ",setup!E17)</f>
        <v>WISC-6 Standardization - Digital - WISC6_STDZ_D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43"/>
      <c r="AI130" s="43"/>
      <c r="AJ130" s="43"/>
      <c r="AK130" s="43"/>
      <c r="BA130" s="43" t="str">
        <f>A130</f>
        <v>WISC-6 Standardization - Digital - WISC6_STDZ_D</v>
      </c>
      <c r="BB130" s="43"/>
      <c r="BC130" s="43"/>
      <c r="BD130" s="43"/>
      <c r="BE130" s="43"/>
      <c r="BF130" s="43"/>
      <c r="BG130" s="43"/>
      <c r="BH130" s="43"/>
      <c r="BI130" s="43"/>
      <c r="BJ130" s="43"/>
      <c r="BK130" s="43"/>
      <c r="BL130" s="43"/>
      <c r="BM130" s="43"/>
      <c r="BN130" s="43"/>
      <c r="BO130" s="43"/>
      <c r="BP130" s="43"/>
      <c r="BQ130" s="43"/>
      <c r="BR130" s="43"/>
      <c r="BS130" s="43"/>
      <c r="BT130" s="43"/>
      <c r="BU130" s="43"/>
      <c r="BV130" s="43"/>
    </row>
    <row r="131" spans="1:74">
      <c r="A131" t="s">
        <v>5</v>
      </c>
      <c r="B131" t="s">
        <v>259</v>
      </c>
      <c r="C131" t="s">
        <v>260</v>
      </c>
      <c r="D131" t="s">
        <v>261</v>
      </c>
      <c r="E131" t="s">
        <v>262</v>
      </c>
      <c r="F131" t="s">
        <v>263</v>
      </c>
      <c r="G131" t="s">
        <v>264</v>
      </c>
      <c r="H131" t="s">
        <v>265</v>
      </c>
      <c r="I131" t="s">
        <v>266</v>
      </c>
      <c r="J131" t="s">
        <v>267</v>
      </c>
      <c r="K131" t="s">
        <v>268</v>
      </c>
      <c r="L131" t="s">
        <v>269</v>
      </c>
      <c r="M131" t="s">
        <v>270</v>
      </c>
      <c r="N131" t="s">
        <v>271</v>
      </c>
      <c r="O131" t="s">
        <v>272</v>
      </c>
      <c r="P131" t="s">
        <v>273</v>
      </c>
      <c r="Q131" t="s">
        <v>274</v>
      </c>
      <c r="R131" t="s">
        <v>275</v>
      </c>
      <c r="S131" t="s">
        <v>276</v>
      </c>
      <c r="T131" t="s">
        <v>277</v>
      </c>
      <c r="U131" t="s">
        <v>278</v>
      </c>
      <c r="V131" t="s">
        <v>279</v>
      </c>
      <c r="W131" t="s">
        <v>280</v>
      </c>
      <c r="X131" t="s">
        <v>281</v>
      </c>
      <c r="Y131" t="s">
        <v>282</v>
      </c>
      <c r="Z131" t="s">
        <v>283</v>
      </c>
      <c r="AA131" t="s">
        <v>284</v>
      </c>
      <c r="AB131" t="s">
        <v>285</v>
      </c>
      <c r="AC131" t="s">
        <v>59</v>
      </c>
      <c r="AD131" t="s">
        <v>47</v>
      </c>
      <c r="AE131" t="s">
        <v>33</v>
      </c>
      <c r="AF131" t="s">
        <v>60</v>
      </c>
      <c r="AG131" t="s">
        <v>45</v>
      </c>
      <c r="AH131" t="s">
        <v>34</v>
      </c>
      <c r="AI131" t="s">
        <v>26</v>
      </c>
      <c r="AJ131" t="s">
        <v>150</v>
      </c>
      <c r="AK131" t="s">
        <v>286</v>
      </c>
      <c r="BA131" t="s">
        <v>5</v>
      </c>
      <c r="BB131" t="s">
        <v>259</v>
      </c>
      <c r="BC131" t="s">
        <v>260</v>
      </c>
      <c r="BD131" s="1" t="s">
        <v>29</v>
      </c>
      <c r="BE131" s="1" t="s">
        <v>56</v>
      </c>
      <c r="BF131" s="1" t="s">
        <v>50</v>
      </c>
      <c r="BG131" s="1" t="s">
        <v>38</v>
      </c>
      <c r="BH131" s="1" t="s">
        <v>58</v>
      </c>
      <c r="BI131" s="1" t="s">
        <v>22</v>
      </c>
      <c r="BJ131" s="1" t="s">
        <v>36</v>
      </c>
      <c r="BK131" s="1" t="s">
        <v>24</v>
      </c>
      <c r="BL131" s="1" t="s">
        <v>31</v>
      </c>
      <c r="BM131" s="1" t="s">
        <v>39</v>
      </c>
      <c r="BN131" s="1" t="s">
        <v>59</v>
      </c>
      <c r="BO131" s="1" t="s">
        <v>47</v>
      </c>
      <c r="BP131" s="1" t="s">
        <v>33</v>
      </c>
      <c r="BQ131" s="1" t="s">
        <v>60</v>
      </c>
      <c r="BR131" s="1" t="s">
        <v>45</v>
      </c>
      <c r="BS131" s="1" t="s">
        <v>34</v>
      </c>
      <c r="BT131" t="s">
        <v>26</v>
      </c>
      <c r="BU131" s="1" t="s">
        <v>150</v>
      </c>
      <c r="BV131" t="s">
        <v>286</v>
      </c>
    </row>
    <row r="132" spans="1:74">
      <c r="A132" t="s">
        <v>65</v>
      </c>
      <c r="B132" t="s">
        <v>287</v>
      </c>
      <c r="C132" t="s">
        <v>288</v>
      </c>
      <c r="D132">
        <v>0.1</v>
      </c>
      <c r="E132">
        <v>0.1</v>
      </c>
      <c r="F132">
        <v>0.25</v>
      </c>
      <c r="G132">
        <v>0.45</v>
      </c>
      <c r="H132">
        <v>1.68</v>
      </c>
      <c r="I132">
        <v>0.1</v>
      </c>
      <c r="J132">
        <v>0.37</v>
      </c>
      <c r="K132">
        <v>1.75</v>
      </c>
      <c r="L132">
        <v>2.2599999999999998</v>
      </c>
      <c r="M132">
        <v>1.64</v>
      </c>
      <c r="N132">
        <v>0.73</v>
      </c>
      <c r="O132">
        <v>1.36</v>
      </c>
      <c r="P132">
        <v>3.33</v>
      </c>
      <c r="Q132">
        <v>3.93</v>
      </c>
      <c r="R132">
        <v>2.75</v>
      </c>
      <c r="S132">
        <v>0.1</v>
      </c>
      <c r="T132">
        <v>0.2</v>
      </c>
      <c r="U132">
        <v>0.92</v>
      </c>
      <c r="V132">
        <v>1.66</v>
      </c>
      <c r="W132">
        <v>2.16</v>
      </c>
      <c r="X132">
        <v>0.28000000000000003</v>
      </c>
      <c r="Y132">
        <v>0.44</v>
      </c>
      <c r="Z132">
        <v>3.68</v>
      </c>
      <c r="AA132">
        <v>7.77</v>
      </c>
      <c r="AB132">
        <v>11.99</v>
      </c>
      <c r="AC132">
        <v>11.08</v>
      </c>
      <c r="AD132">
        <v>7.63</v>
      </c>
      <c r="AE132">
        <v>20</v>
      </c>
      <c r="AF132">
        <v>11.29</v>
      </c>
      <c r="AG132">
        <v>25</v>
      </c>
      <c r="AH132">
        <v>25</v>
      </c>
      <c r="AI132">
        <v>0</v>
      </c>
      <c r="AJ132">
        <v>50</v>
      </c>
      <c r="AK132" t="s">
        <v>289</v>
      </c>
      <c r="BA132" t="s">
        <v>65</v>
      </c>
      <c r="BB132" t="s">
        <v>287</v>
      </c>
      <c r="BC132" t="s">
        <v>288</v>
      </c>
      <c r="BD132">
        <v>1.31</v>
      </c>
      <c r="BE132">
        <v>2.48</v>
      </c>
      <c r="BF132">
        <v>9.91</v>
      </c>
      <c r="BG132">
        <v>16.079999999999998</v>
      </c>
      <c r="BH132">
        <v>20.22</v>
      </c>
      <c r="BI132">
        <v>2.58</v>
      </c>
      <c r="BJ132">
        <v>6.13</v>
      </c>
      <c r="BK132">
        <v>12.09</v>
      </c>
      <c r="BL132">
        <v>5.04</v>
      </c>
      <c r="BM132">
        <v>24.16</v>
      </c>
      <c r="BN132">
        <v>11.08</v>
      </c>
      <c r="BO132">
        <v>7.63</v>
      </c>
      <c r="BP132">
        <v>20</v>
      </c>
      <c r="BQ132">
        <v>11.29</v>
      </c>
      <c r="BR132">
        <v>25</v>
      </c>
      <c r="BS132">
        <v>25</v>
      </c>
      <c r="BT132">
        <v>0</v>
      </c>
      <c r="BU132">
        <v>50</v>
      </c>
      <c r="BV132" t="s">
        <v>296</v>
      </c>
    </row>
    <row r="133" spans="1:74">
      <c r="A133" t="s">
        <v>65</v>
      </c>
      <c r="B133" t="s">
        <v>287</v>
      </c>
      <c r="C133" t="s">
        <v>290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2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1</v>
      </c>
      <c r="V133">
        <v>1</v>
      </c>
      <c r="W133">
        <v>2</v>
      </c>
      <c r="X133">
        <v>0</v>
      </c>
      <c r="Y133">
        <v>0</v>
      </c>
      <c r="Z133">
        <v>4</v>
      </c>
      <c r="AA133">
        <v>9</v>
      </c>
      <c r="AB133">
        <v>12</v>
      </c>
      <c r="AC133">
        <v>10</v>
      </c>
      <c r="AD133">
        <v>7</v>
      </c>
      <c r="AE133">
        <v>14</v>
      </c>
      <c r="AF133">
        <v>10</v>
      </c>
      <c r="AG133">
        <v>20</v>
      </c>
      <c r="AH133">
        <v>21</v>
      </c>
      <c r="AI133">
        <v>0</v>
      </c>
      <c r="AJ133">
        <v>41</v>
      </c>
      <c r="AK133" t="s">
        <v>289</v>
      </c>
      <c r="BA133" t="s">
        <v>65</v>
      </c>
      <c r="BB133" t="s">
        <v>287</v>
      </c>
      <c r="BC133" t="s">
        <v>290</v>
      </c>
      <c r="BD133">
        <v>0</v>
      </c>
      <c r="BE133">
        <v>1</v>
      </c>
      <c r="BF133">
        <v>9</v>
      </c>
      <c r="BG133">
        <v>13</v>
      </c>
      <c r="BH133">
        <v>18</v>
      </c>
      <c r="BI133">
        <v>0</v>
      </c>
      <c r="BJ133">
        <v>4</v>
      </c>
      <c r="BK133">
        <v>8</v>
      </c>
      <c r="BL133">
        <v>4</v>
      </c>
      <c r="BM133">
        <v>25</v>
      </c>
      <c r="BN133">
        <v>10</v>
      </c>
      <c r="BO133">
        <v>7</v>
      </c>
      <c r="BP133">
        <v>14</v>
      </c>
      <c r="BQ133">
        <v>10</v>
      </c>
      <c r="BR133">
        <v>20</v>
      </c>
      <c r="BS133">
        <v>21</v>
      </c>
      <c r="BT133">
        <v>0</v>
      </c>
      <c r="BU133">
        <v>41</v>
      </c>
      <c r="BV133" t="s">
        <v>296</v>
      </c>
    </row>
    <row r="134" spans="1:74">
      <c r="A134" t="s">
        <v>65</v>
      </c>
      <c r="B134" t="s">
        <v>287</v>
      </c>
      <c r="C134" t="s">
        <v>291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0</v>
      </c>
      <c r="AE134">
        <v>2</v>
      </c>
      <c r="AF134">
        <v>0</v>
      </c>
      <c r="AG134">
        <v>3</v>
      </c>
      <c r="AH134">
        <v>1</v>
      </c>
      <c r="AI134">
        <v>0</v>
      </c>
      <c r="AJ134">
        <v>4</v>
      </c>
      <c r="AK134" t="s">
        <v>289</v>
      </c>
      <c r="BA134" t="s">
        <v>65</v>
      </c>
      <c r="BB134" t="s">
        <v>287</v>
      </c>
      <c r="BC134" t="s">
        <v>291</v>
      </c>
      <c r="BD134">
        <v>0</v>
      </c>
      <c r="BE134">
        <v>0</v>
      </c>
      <c r="BF134">
        <v>0</v>
      </c>
      <c r="BG134">
        <v>0</v>
      </c>
      <c r="BH134">
        <v>4</v>
      </c>
      <c r="BI134">
        <v>0</v>
      </c>
      <c r="BJ134">
        <v>3</v>
      </c>
      <c r="BK134">
        <v>0</v>
      </c>
      <c r="BL134">
        <v>1</v>
      </c>
      <c r="BM134">
        <v>0</v>
      </c>
      <c r="BN134">
        <v>2</v>
      </c>
      <c r="BO134">
        <v>0</v>
      </c>
      <c r="BP134">
        <v>2</v>
      </c>
      <c r="BQ134">
        <v>0</v>
      </c>
      <c r="BR134">
        <v>3</v>
      </c>
      <c r="BS134">
        <v>1</v>
      </c>
      <c r="BT134">
        <v>0</v>
      </c>
      <c r="BU134">
        <v>4</v>
      </c>
      <c r="BV134" t="s">
        <v>296</v>
      </c>
    </row>
    <row r="135" spans="1:74">
      <c r="A135" t="s">
        <v>65</v>
      </c>
      <c r="B135" t="s">
        <v>287</v>
      </c>
      <c r="C135" t="s">
        <v>292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1</v>
      </c>
      <c r="AK135" t="s">
        <v>289</v>
      </c>
      <c r="BA135" t="s">
        <v>65</v>
      </c>
      <c r="BB135" t="s">
        <v>287</v>
      </c>
      <c r="BC135" t="s">
        <v>292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1</v>
      </c>
      <c r="BV135" t="s">
        <v>296</v>
      </c>
    </row>
    <row r="136" spans="1:74">
      <c r="A136" t="s">
        <v>65</v>
      </c>
      <c r="B136" t="s">
        <v>287</v>
      </c>
      <c r="C136" t="s">
        <v>293</v>
      </c>
      <c r="D136">
        <v>0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2</v>
      </c>
      <c r="M136">
        <v>0</v>
      </c>
      <c r="N136">
        <v>0</v>
      </c>
      <c r="O136">
        <v>1</v>
      </c>
      <c r="P136">
        <v>0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3</v>
      </c>
      <c r="AE136">
        <v>5</v>
      </c>
      <c r="AF136">
        <v>0</v>
      </c>
      <c r="AG136">
        <v>1</v>
      </c>
      <c r="AH136">
        <v>7</v>
      </c>
      <c r="AI136">
        <v>0</v>
      </c>
      <c r="AJ136">
        <v>8</v>
      </c>
      <c r="AK136" t="s">
        <v>289</v>
      </c>
      <c r="BA136" t="s">
        <v>65</v>
      </c>
      <c r="BB136" t="s">
        <v>287</v>
      </c>
      <c r="BC136" t="s">
        <v>293</v>
      </c>
      <c r="BD136">
        <v>0</v>
      </c>
      <c r="BE136">
        <v>1</v>
      </c>
      <c r="BF136">
        <v>0</v>
      </c>
      <c r="BG136">
        <v>4</v>
      </c>
      <c r="BH136">
        <v>3</v>
      </c>
      <c r="BI136">
        <v>1</v>
      </c>
      <c r="BJ136">
        <v>2</v>
      </c>
      <c r="BK136">
        <v>3</v>
      </c>
      <c r="BL136">
        <v>1</v>
      </c>
      <c r="BM136">
        <v>1</v>
      </c>
      <c r="BN136">
        <v>0</v>
      </c>
      <c r="BO136">
        <v>3</v>
      </c>
      <c r="BP136">
        <v>5</v>
      </c>
      <c r="BQ136">
        <v>0</v>
      </c>
      <c r="BR136">
        <v>1</v>
      </c>
      <c r="BS136">
        <v>7</v>
      </c>
      <c r="BT136">
        <v>0</v>
      </c>
      <c r="BU136">
        <v>8</v>
      </c>
      <c r="BV136" t="s">
        <v>296</v>
      </c>
    </row>
    <row r="137" spans="1:74">
      <c r="A137" t="s">
        <v>65</v>
      </c>
      <c r="B137" t="s">
        <v>287</v>
      </c>
      <c r="C137" t="s">
        <v>294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 t="s">
        <v>289</v>
      </c>
      <c r="BA137" t="s">
        <v>65</v>
      </c>
      <c r="BB137" t="s">
        <v>287</v>
      </c>
      <c r="BC137" t="s">
        <v>294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296</v>
      </c>
    </row>
    <row r="138" spans="1:74">
      <c r="A138" t="s">
        <v>65</v>
      </c>
      <c r="B138" t="s">
        <v>287</v>
      </c>
      <c r="C138" t="s">
        <v>17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2</v>
      </c>
      <c r="L138">
        <v>2</v>
      </c>
      <c r="M138">
        <v>5</v>
      </c>
      <c r="N138">
        <v>0</v>
      </c>
      <c r="O138">
        <v>1</v>
      </c>
      <c r="P138">
        <v>3</v>
      </c>
      <c r="Q138">
        <v>4</v>
      </c>
      <c r="R138">
        <v>3</v>
      </c>
      <c r="S138">
        <v>0</v>
      </c>
      <c r="T138">
        <v>0</v>
      </c>
      <c r="U138">
        <v>1</v>
      </c>
      <c r="V138">
        <v>2</v>
      </c>
      <c r="W138">
        <v>3</v>
      </c>
      <c r="X138">
        <v>0</v>
      </c>
      <c r="Y138">
        <v>0</v>
      </c>
      <c r="Z138">
        <v>4</v>
      </c>
      <c r="AA138">
        <v>9</v>
      </c>
      <c r="AB138">
        <v>13</v>
      </c>
      <c r="AC138">
        <v>13</v>
      </c>
      <c r="AD138">
        <v>10</v>
      </c>
      <c r="AE138">
        <v>21</v>
      </c>
      <c r="AF138">
        <v>10</v>
      </c>
      <c r="AG138">
        <v>25</v>
      </c>
      <c r="AH138">
        <v>29</v>
      </c>
      <c r="AI138">
        <v>0</v>
      </c>
      <c r="AJ138">
        <v>54</v>
      </c>
      <c r="AK138" t="s">
        <v>289</v>
      </c>
      <c r="BA138" t="s">
        <v>65</v>
      </c>
      <c r="BB138" t="s">
        <v>287</v>
      </c>
      <c r="BC138" t="s">
        <v>17</v>
      </c>
      <c r="BD138">
        <v>0</v>
      </c>
      <c r="BE138">
        <v>2</v>
      </c>
      <c r="BF138">
        <v>10</v>
      </c>
      <c r="BG138">
        <v>17</v>
      </c>
      <c r="BH138">
        <v>25</v>
      </c>
      <c r="BI138">
        <v>1</v>
      </c>
      <c r="BJ138">
        <v>10</v>
      </c>
      <c r="BK138">
        <v>11</v>
      </c>
      <c r="BL138">
        <v>6</v>
      </c>
      <c r="BM138">
        <v>26</v>
      </c>
      <c r="BN138">
        <v>13</v>
      </c>
      <c r="BO138">
        <v>10</v>
      </c>
      <c r="BP138">
        <v>21</v>
      </c>
      <c r="BQ138">
        <v>10</v>
      </c>
      <c r="BR138">
        <v>25</v>
      </c>
      <c r="BS138">
        <v>29</v>
      </c>
      <c r="BT138">
        <v>0</v>
      </c>
      <c r="BU138">
        <v>54</v>
      </c>
      <c r="BV138" t="s">
        <v>296</v>
      </c>
    </row>
    <row r="139" spans="1:74">
      <c r="A139" t="s">
        <v>65</v>
      </c>
      <c r="B139" t="s">
        <v>287</v>
      </c>
      <c r="C139" t="s">
        <v>295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 t="s">
        <v>289</v>
      </c>
      <c r="BA139" t="s">
        <v>65</v>
      </c>
      <c r="BB139" t="s">
        <v>287</v>
      </c>
      <c r="BC139" t="s">
        <v>295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296</v>
      </c>
    </row>
    <row r="140" spans="1:74">
      <c r="A140" t="s">
        <v>40</v>
      </c>
      <c r="B140" t="s">
        <v>287</v>
      </c>
      <c r="C140" t="s">
        <v>288</v>
      </c>
      <c r="D140">
        <v>7.0000000000000007E-2</v>
      </c>
      <c r="E140">
        <v>0.08</v>
      </c>
      <c r="F140">
        <v>0.24</v>
      </c>
      <c r="G140">
        <v>0.38</v>
      </c>
      <c r="H140">
        <v>1.62</v>
      </c>
      <c r="I140">
        <v>0.12</v>
      </c>
      <c r="J140">
        <v>0.4</v>
      </c>
      <c r="K140">
        <v>1.78</v>
      </c>
      <c r="L140">
        <v>2.2599999999999998</v>
      </c>
      <c r="M140">
        <v>1.66</v>
      </c>
      <c r="N140">
        <v>0.81</v>
      </c>
      <c r="O140">
        <v>1.46</v>
      </c>
      <c r="P140">
        <v>3.48</v>
      </c>
      <c r="Q140">
        <v>3.94</v>
      </c>
      <c r="R140">
        <v>2.59</v>
      </c>
      <c r="S140">
        <v>0.1</v>
      </c>
      <c r="T140">
        <v>0.19</v>
      </c>
      <c r="U140">
        <v>0.8</v>
      </c>
      <c r="V140">
        <v>1.73</v>
      </c>
      <c r="W140">
        <v>2.02</v>
      </c>
      <c r="X140">
        <v>0.25</v>
      </c>
      <c r="Y140">
        <v>0.52</v>
      </c>
      <c r="Z140">
        <v>3.49</v>
      </c>
      <c r="AA140">
        <v>7.96</v>
      </c>
      <c r="AB140">
        <v>12.05</v>
      </c>
      <c r="AC140">
        <v>10.42</v>
      </c>
      <c r="AD140">
        <v>7.65</v>
      </c>
      <c r="AE140">
        <v>20.25</v>
      </c>
      <c r="AF140">
        <v>11.68</v>
      </c>
      <c r="AG140">
        <v>25</v>
      </c>
      <c r="AH140">
        <v>25</v>
      </c>
      <c r="AI140">
        <v>0</v>
      </c>
      <c r="AJ140">
        <v>50</v>
      </c>
      <c r="AK140" t="s">
        <v>289</v>
      </c>
      <c r="BA140" t="s">
        <v>40</v>
      </c>
      <c r="BB140" t="s">
        <v>287</v>
      </c>
      <c r="BC140" t="s">
        <v>288</v>
      </c>
      <c r="BD140">
        <v>1.36</v>
      </c>
      <c r="BE140">
        <v>2.64</v>
      </c>
      <c r="BF140">
        <v>9.8000000000000007</v>
      </c>
      <c r="BG140">
        <v>16.27</v>
      </c>
      <c r="BH140">
        <v>19.940000000000001</v>
      </c>
      <c r="BI140">
        <v>2.39</v>
      </c>
      <c r="BJ140">
        <v>6.22</v>
      </c>
      <c r="BK140">
        <v>12.28</v>
      </c>
      <c r="BL140">
        <v>4.83</v>
      </c>
      <c r="BM140">
        <v>24.28</v>
      </c>
      <c r="BN140">
        <v>10.42</v>
      </c>
      <c r="BO140">
        <v>7.65</v>
      </c>
      <c r="BP140">
        <v>20.25</v>
      </c>
      <c r="BQ140">
        <v>11.68</v>
      </c>
      <c r="BR140">
        <v>25</v>
      </c>
      <c r="BS140">
        <v>25</v>
      </c>
      <c r="BT140">
        <v>0</v>
      </c>
      <c r="BU140">
        <v>50</v>
      </c>
      <c r="BV140" t="s">
        <v>296</v>
      </c>
    </row>
    <row r="141" spans="1:74">
      <c r="A141" t="s">
        <v>40</v>
      </c>
      <c r="B141" t="s">
        <v>287</v>
      </c>
      <c r="C141" t="s">
        <v>290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</v>
      </c>
      <c r="L141">
        <v>1</v>
      </c>
      <c r="M141">
        <v>2</v>
      </c>
      <c r="N141">
        <v>0</v>
      </c>
      <c r="O141">
        <v>0</v>
      </c>
      <c r="P141">
        <v>1</v>
      </c>
      <c r="Q141">
        <v>4</v>
      </c>
      <c r="R141">
        <v>2</v>
      </c>
      <c r="S141">
        <v>0</v>
      </c>
      <c r="T141">
        <v>0</v>
      </c>
      <c r="U141">
        <v>0</v>
      </c>
      <c r="V141">
        <v>1</v>
      </c>
      <c r="W141">
        <v>2</v>
      </c>
      <c r="X141">
        <v>1</v>
      </c>
      <c r="Y141">
        <v>0</v>
      </c>
      <c r="Z141">
        <v>0</v>
      </c>
      <c r="AA141">
        <v>6</v>
      </c>
      <c r="AB141">
        <v>12</v>
      </c>
      <c r="AC141">
        <v>11</v>
      </c>
      <c r="AD141">
        <v>8</v>
      </c>
      <c r="AE141">
        <v>9</v>
      </c>
      <c r="AF141">
        <v>6</v>
      </c>
      <c r="AG141">
        <v>18</v>
      </c>
      <c r="AH141">
        <v>16</v>
      </c>
      <c r="AI141">
        <v>0</v>
      </c>
      <c r="AJ141">
        <v>34</v>
      </c>
      <c r="AK141" t="s">
        <v>289</v>
      </c>
      <c r="BA141" t="s">
        <v>40</v>
      </c>
      <c r="BB141" t="s">
        <v>287</v>
      </c>
      <c r="BC141" t="s">
        <v>290</v>
      </c>
      <c r="BD141">
        <v>1</v>
      </c>
      <c r="BE141">
        <v>0</v>
      </c>
      <c r="BF141">
        <v>3</v>
      </c>
      <c r="BG141">
        <v>12</v>
      </c>
      <c r="BH141">
        <v>18</v>
      </c>
      <c r="BI141">
        <v>0</v>
      </c>
      <c r="BJ141">
        <v>5</v>
      </c>
      <c r="BK141">
        <v>7</v>
      </c>
      <c r="BL141">
        <v>3</v>
      </c>
      <c r="BM141">
        <v>19</v>
      </c>
      <c r="BN141">
        <v>11</v>
      </c>
      <c r="BO141">
        <v>8</v>
      </c>
      <c r="BP141">
        <v>9</v>
      </c>
      <c r="BQ141">
        <v>6</v>
      </c>
      <c r="BR141">
        <v>18</v>
      </c>
      <c r="BS141">
        <v>16</v>
      </c>
      <c r="BT141">
        <v>0</v>
      </c>
      <c r="BU141">
        <v>34</v>
      </c>
      <c r="BV141" t="s">
        <v>296</v>
      </c>
    </row>
    <row r="142" spans="1:74">
      <c r="A142" t="s">
        <v>40</v>
      </c>
      <c r="B142" t="s">
        <v>287</v>
      </c>
      <c r="C142" t="s">
        <v>291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2</v>
      </c>
      <c r="AC142">
        <v>3</v>
      </c>
      <c r="AD142">
        <v>0</v>
      </c>
      <c r="AE142">
        <v>0</v>
      </c>
      <c r="AF142">
        <v>0</v>
      </c>
      <c r="AG142">
        <v>3</v>
      </c>
      <c r="AH142">
        <v>0</v>
      </c>
      <c r="AI142">
        <v>0</v>
      </c>
      <c r="AJ142">
        <v>3</v>
      </c>
      <c r="AK142" t="s">
        <v>289</v>
      </c>
      <c r="BA142" t="s">
        <v>40</v>
      </c>
      <c r="BB142" t="s">
        <v>287</v>
      </c>
      <c r="BC142" t="s">
        <v>291</v>
      </c>
      <c r="BD142">
        <v>0</v>
      </c>
      <c r="BE142">
        <v>0</v>
      </c>
      <c r="BF142">
        <v>0</v>
      </c>
      <c r="BG142">
        <v>0</v>
      </c>
      <c r="BH142">
        <v>3</v>
      </c>
      <c r="BI142">
        <v>0</v>
      </c>
      <c r="BJ142">
        <v>1</v>
      </c>
      <c r="BK142">
        <v>0</v>
      </c>
      <c r="BL142">
        <v>0</v>
      </c>
      <c r="BM142">
        <v>2</v>
      </c>
      <c r="BN142">
        <v>3</v>
      </c>
      <c r="BO142">
        <v>0</v>
      </c>
      <c r="BP142">
        <v>0</v>
      </c>
      <c r="BQ142">
        <v>0</v>
      </c>
      <c r="BR142">
        <v>3</v>
      </c>
      <c r="BS142">
        <v>0</v>
      </c>
      <c r="BT142">
        <v>0</v>
      </c>
      <c r="BU142">
        <v>3</v>
      </c>
      <c r="BV142" t="s">
        <v>296</v>
      </c>
    </row>
    <row r="143" spans="1:74">
      <c r="A143" t="s">
        <v>40</v>
      </c>
      <c r="B143" t="s">
        <v>287</v>
      </c>
      <c r="C143" t="s">
        <v>292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 t="s">
        <v>289</v>
      </c>
      <c r="BA143" t="s">
        <v>40</v>
      </c>
      <c r="BB143" t="s">
        <v>287</v>
      </c>
      <c r="BC143" t="s">
        <v>292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296</v>
      </c>
    </row>
    <row r="144" spans="1:74">
      <c r="A144" t="s">
        <v>40</v>
      </c>
      <c r="B144" t="s">
        <v>287</v>
      </c>
      <c r="C144" t="s">
        <v>293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2</v>
      </c>
      <c r="AB144">
        <v>0</v>
      </c>
      <c r="AC144">
        <v>1</v>
      </c>
      <c r="AD144">
        <v>0</v>
      </c>
      <c r="AE144">
        <v>2</v>
      </c>
      <c r="AF144">
        <v>1</v>
      </c>
      <c r="AG144">
        <v>2</v>
      </c>
      <c r="AH144">
        <v>2</v>
      </c>
      <c r="AI144">
        <v>0</v>
      </c>
      <c r="AJ144">
        <v>4</v>
      </c>
      <c r="AK144" t="s">
        <v>289</v>
      </c>
      <c r="BA144" t="s">
        <v>40</v>
      </c>
      <c r="BB144" t="s">
        <v>287</v>
      </c>
      <c r="BC144" t="s">
        <v>293</v>
      </c>
      <c r="BD144">
        <v>0</v>
      </c>
      <c r="BE144">
        <v>1</v>
      </c>
      <c r="BF144">
        <v>0</v>
      </c>
      <c r="BG144">
        <v>3</v>
      </c>
      <c r="BH144">
        <v>0</v>
      </c>
      <c r="BI144">
        <v>1</v>
      </c>
      <c r="BJ144">
        <v>0</v>
      </c>
      <c r="BK144">
        <v>0</v>
      </c>
      <c r="BL144">
        <v>1</v>
      </c>
      <c r="BM144">
        <v>2</v>
      </c>
      <c r="BN144">
        <v>1</v>
      </c>
      <c r="BO144">
        <v>0</v>
      </c>
      <c r="BP144">
        <v>2</v>
      </c>
      <c r="BQ144">
        <v>1</v>
      </c>
      <c r="BR144">
        <v>2</v>
      </c>
      <c r="BS144">
        <v>2</v>
      </c>
      <c r="BT144">
        <v>0</v>
      </c>
      <c r="BU144">
        <v>4</v>
      </c>
      <c r="BV144" t="s">
        <v>296</v>
      </c>
    </row>
    <row r="145" spans="1:74">
      <c r="A145" t="s">
        <v>40</v>
      </c>
      <c r="B145" t="s">
        <v>287</v>
      </c>
      <c r="C145" t="s">
        <v>294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 t="s">
        <v>289</v>
      </c>
      <c r="BA145" t="s">
        <v>40</v>
      </c>
      <c r="BB145" t="s">
        <v>287</v>
      </c>
      <c r="BC145" t="s">
        <v>294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296</v>
      </c>
    </row>
    <row r="146" spans="1:74">
      <c r="A146" t="s">
        <v>40</v>
      </c>
      <c r="B146" t="s">
        <v>287</v>
      </c>
      <c r="C146" t="s">
        <v>17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</v>
      </c>
      <c r="L146">
        <v>1</v>
      </c>
      <c r="M146">
        <v>3</v>
      </c>
      <c r="N146">
        <v>0</v>
      </c>
      <c r="O146">
        <v>0</v>
      </c>
      <c r="P146">
        <v>1</v>
      </c>
      <c r="Q146">
        <v>4</v>
      </c>
      <c r="R146">
        <v>2</v>
      </c>
      <c r="S146">
        <v>0</v>
      </c>
      <c r="T146">
        <v>0</v>
      </c>
      <c r="U146">
        <v>0</v>
      </c>
      <c r="V146">
        <v>2</v>
      </c>
      <c r="W146">
        <v>2</v>
      </c>
      <c r="X146">
        <v>1</v>
      </c>
      <c r="Y146">
        <v>0</v>
      </c>
      <c r="Z146">
        <v>0</v>
      </c>
      <c r="AA146">
        <v>8</v>
      </c>
      <c r="AB146">
        <v>14</v>
      </c>
      <c r="AC146">
        <v>15</v>
      </c>
      <c r="AD146">
        <v>8</v>
      </c>
      <c r="AE146">
        <v>11</v>
      </c>
      <c r="AF146">
        <v>7</v>
      </c>
      <c r="AG146">
        <v>23</v>
      </c>
      <c r="AH146">
        <v>18</v>
      </c>
      <c r="AI146">
        <v>0</v>
      </c>
      <c r="AJ146">
        <v>41</v>
      </c>
      <c r="AK146" t="s">
        <v>289</v>
      </c>
      <c r="BA146" t="s">
        <v>40</v>
      </c>
      <c r="BB146" t="s">
        <v>287</v>
      </c>
      <c r="BC146" t="s">
        <v>17</v>
      </c>
      <c r="BD146">
        <v>1</v>
      </c>
      <c r="BE146">
        <v>1</v>
      </c>
      <c r="BF146">
        <v>3</v>
      </c>
      <c r="BG146">
        <v>15</v>
      </c>
      <c r="BH146">
        <v>21</v>
      </c>
      <c r="BI146">
        <v>1</v>
      </c>
      <c r="BJ146">
        <v>6</v>
      </c>
      <c r="BK146">
        <v>7</v>
      </c>
      <c r="BL146">
        <v>4</v>
      </c>
      <c r="BM146">
        <v>23</v>
      </c>
      <c r="BN146">
        <v>15</v>
      </c>
      <c r="BO146">
        <v>8</v>
      </c>
      <c r="BP146">
        <v>11</v>
      </c>
      <c r="BQ146">
        <v>7</v>
      </c>
      <c r="BR146">
        <v>23</v>
      </c>
      <c r="BS146">
        <v>18</v>
      </c>
      <c r="BT146">
        <v>0</v>
      </c>
      <c r="BU146">
        <v>41</v>
      </c>
      <c r="BV146" t="s">
        <v>296</v>
      </c>
    </row>
    <row r="147" spans="1:74">
      <c r="A147" t="s">
        <v>40</v>
      </c>
      <c r="B147" t="s">
        <v>287</v>
      </c>
      <c r="C147" t="s">
        <v>295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 t="s">
        <v>289</v>
      </c>
      <c r="BA147" t="s">
        <v>40</v>
      </c>
      <c r="BB147" t="s">
        <v>287</v>
      </c>
      <c r="BC147" t="s">
        <v>295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296</v>
      </c>
    </row>
    <row r="148" spans="1:74">
      <c r="A148" t="s">
        <v>41</v>
      </c>
      <c r="B148" t="s">
        <v>287</v>
      </c>
      <c r="C148" t="s">
        <v>288</v>
      </c>
      <c r="D148">
        <v>0.08</v>
      </c>
      <c r="E148">
        <v>0.08</v>
      </c>
      <c r="F148">
        <v>0.3</v>
      </c>
      <c r="G148">
        <v>0.36</v>
      </c>
      <c r="H148">
        <v>1.6</v>
      </c>
      <c r="I148">
        <v>0.09</v>
      </c>
      <c r="J148">
        <v>0.43</v>
      </c>
      <c r="K148">
        <v>1.62</v>
      </c>
      <c r="L148">
        <v>2.5299999999999998</v>
      </c>
      <c r="M148">
        <v>1.68</v>
      </c>
      <c r="N148">
        <v>0.86</v>
      </c>
      <c r="O148">
        <v>1.44</v>
      </c>
      <c r="P148">
        <v>3.35</v>
      </c>
      <c r="Q148">
        <v>3.94</v>
      </c>
      <c r="R148">
        <v>2.67</v>
      </c>
      <c r="S148">
        <v>7.0000000000000007E-2</v>
      </c>
      <c r="T148">
        <v>0.25</v>
      </c>
      <c r="U148">
        <v>0.83</v>
      </c>
      <c r="V148">
        <v>1.74</v>
      </c>
      <c r="W148">
        <v>2.1</v>
      </c>
      <c r="X148">
        <v>0.28000000000000003</v>
      </c>
      <c r="Y148">
        <v>0.51</v>
      </c>
      <c r="Z148">
        <v>3.81</v>
      </c>
      <c r="AA148">
        <v>7.56</v>
      </c>
      <c r="AB148">
        <v>11.83</v>
      </c>
      <c r="AC148">
        <v>10.45</v>
      </c>
      <c r="AD148">
        <v>7.66</v>
      </c>
      <c r="AE148">
        <v>20.04</v>
      </c>
      <c r="AF148">
        <v>11.85</v>
      </c>
      <c r="AG148">
        <v>25</v>
      </c>
      <c r="AH148">
        <v>25</v>
      </c>
      <c r="AI148">
        <v>0</v>
      </c>
      <c r="AJ148">
        <v>50</v>
      </c>
      <c r="AK148" t="s">
        <v>289</v>
      </c>
      <c r="BA148" t="s">
        <v>41</v>
      </c>
      <c r="BB148" t="s">
        <v>287</v>
      </c>
      <c r="BC148" t="s">
        <v>288</v>
      </c>
      <c r="BD148">
        <v>1.38</v>
      </c>
      <c r="BE148">
        <v>2.71</v>
      </c>
      <c r="BF148">
        <v>9.9</v>
      </c>
      <c r="BG148">
        <v>16.14</v>
      </c>
      <c r="BH148">
        <v>19.87</v>
      </c>
      <c r="BI148">
        <v>2.41</v>
      </c>
      <c r="BJ148">
        <v>6.36</v>
      </c>
      <c r="BK148">
        <v>12.25</v>
      </c>
      <c r="BL148">
        <v>5</v>
      </c>
      <c r="BM148">
        <v>23.99</v>
      </c>
      <c r="BN148">
        <v>10.45</v>
      </c>
      <c r="BO148">
        <v>7.66</v>
      </c>
      <c r="BP148">
        <v>20.04</v>
      </c>
      <c r="BQ148">
        <v>11.85</v>
      </c>
      <c r="BR148">
        <v>25</v>
      </c>
      <c r="BS148">
        <v>25</v>
      </c>
      <c r="BT148">
        <v>0</v>
      </c>
      <c r="BU148">
        <v>50</v>
      </c>
      <c r="BV148" t="s">
        <v>296</v>
      </c>
    </row>
    <row r="149" spans="1:74">
      <c r="A149" t="s">
        <v>41</v>
      </c>
      <c r="B149" t="s">
        <v>287</v>
      </c>
      <c r="C149" t="s">
        <v>290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2</v>
      </c>
      <c r="L149">
        <v>1</v>
      </c>
      <c r="M149">
        <v>1</v>
      </c>
      <c r="N149">
        <v>0</v>
      </c>
      <c r="O149">
        <v>1</v>
      </c>
      <c r="P149">
        <v>3</v>
      </c>
      <c r="Q149">
        <v>4</v>
      </c>
      <c r="R149">
        <v>3</v>
      </c>
      <c r="S149">
        <v>1</v>
      </c>
      <c r="T149">
        <v>0</v>
      </c>
      <c r="U149">
        <v>0</v>
      </c>
      <c r="V149">
        <v>2</v>
      </c>
      <c r="W149">
        <v>2</v>
      </c>
      <c r="X149">
        <v>0</v>
      </c>
      <c r="Y149">
        <v>0</v>
      </c>
      <c r="Z149">
        <v>1</v>
      </c>
      <c r="AA149">
        <v>7</v>
      </c>
      <c r="AB149">
        <v>12</v>
      </c>
      <c r="AC149">
        <v>15</v>
      </c>
      <c r="AD149">
        <v>7</v>
      </c>
      <c r="AE149">
        <v>11</v>
      </c>
      <c r="AF149">
        <v>9</v>
      </c>
      <c r="AG149">
        <v>20</v>
      </c>
      <c r="AH149">
        <v>22</v>
      </c>
      <c r="AI149">
        <v>0</v>
      </c>
      <c r="AJ149">
        <v>42</v>
      </c>
      <c r="AK149" t="s">
        <v>289</v>
      </c>
      <c r="BA149" t="s">
        <v>41</v>
      </c>
      <c r="BB149" t="s">
        <v>287</v>
      </c>
      <c r="BC149" t="s">
        <v>290</v>
      </c>
      <c r="BD149">
        <v>1</v>
      </c>
      <c r="BE149">
        <v>1</v>
      </c>
      <c r="BF149">
        <v>6</v>
      </c>
      <c r="BG149">
        <v>14</v>
      </c>
      <c r="BH149">
        <v>20</v>
      </c>
      <c r="BI149">
        <v>2</v>
      </c>
      <c r="BJ149">
        <v>4</v>
      </c>
      <c r="BK149">
        <v>11</v>
      </c>
      <c r="BL149">
        <v>5</v>
      </c>
      <c r="BM149">
        <v>20</v>
      </c>
      <c r="BN149">
        <v>15</v>
      </c>
      <c r="BO149">
        <v>7</v>
      </c>
      <c r="BP149">
        <v>11</v>
      </c>
      <c r="BQ149">
        <v>9</v>
      </c>
      <c r="BR149">
        <v>20</v>
      </c>
      <c r="BS149">
        <v>22</v>
      </c>
      <c r="BT149">
        <v>0</v>
      </c>
      <c r="BU149">
        <v>42</v>
      </c>
      <c r="BV149" t="s">
        <v>296</v>
      </c>
    </row>
    <row r="150" spans="1:74">
      <c r="A150" t="s">
        <v>41</v>
      </c>
      <c r="B150" t="s">
        <v>287</v>
      </c>
      <c r="C150" t="s">
        <v>291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2</v>
      </c>
      <c r="AD150">
        <v>0</v>
      </c>
      <c r="AE150">
        <v>0</v>
      </c>
      <c r="AF150">
        <v>0</v>
      </c>
      <c r="AG150">
        <v>2</v>
      </c>
      <c r="AH150">
        <v>0</v>
      </c>
      <c r="AI150">
        <v>0</v>
      </c>
      <c r="AJ150">
        <v>2</v>
      </c>
      <c r="AK150" t="s">
        <v>289</v>
      </c>
      <c r="BA150" t="s">
        <v>41</v>
      </c>
      <c r="BB150" t="s">
        <v>287</v>
      </c>
      <c r="BC150" t="s">
        <v>291</v>
      </c>
      <c r="BD150">
        <v>0</v>
      </c>
      <c r="BE150">
        <v>0</v>
      </c>
      <c r="BF150">
        <v>1</v>
      </c>
      <c r="BG150">
        <v>0</v>
      </c>
      <c r="BH150">
        <v>1</v>
      </c>
      <c r="BI150">
        <v>0</v>
      </c>
      <c r="BJ150">
        <v>0</v>
      </c>
      <c r="BK150">
        <v>1</v>
      </c>
      <c r="BL150">
        <v>0</v>
      </c>
      <c r="BM150">
        <v>1</v>
      </c>
      <c r="BN150">
        <v>2</v>
      </c>
      <c r="BO150">
        <v>0</v>
      </c>
      <c r="BP150">
        <v>0</v>
      </c>
      <c r="BQ150">
        <v>0</v>
      </c>
      <c r="BR150">
        <v>2</v>
      </c>
      <c r="BS150">
        <v>0</v>
      </c>
      <c r="BT150">
        <v>0</v>
      </c>
      <c r="BU150">
        <v>2</v>
      </c>
      <c r="BV150" t="s">
        <v>296</v>
      </c>
    </row>
    <row r="151" spans="1:74">
      <c r="A151" t="s">
        <v>41</v>
      </c>
      <c r="B151" t="s">
        <v>287</v>
      </c>
      <c r="C151" t="s">
        <v>292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 t="s">
        <v>289</v>
      </c>
      <c r="BA151" t="s">
        <v>41</v>
      </c>
      <c r="BB151" t="s">
        <v>287</v>
      </c>
      <c r="BC151" t="s">
        <v>292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296</v>
      </c>
    </row>
    <row r="152" spans="1:74">
      <c r="A152" t="s">
        <v>41</v>
      </c>
      <c r="B152" t="s">
        <v>287</v>
      </c>
      <c r="C152" t="s">
        <v>293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2</v>
      </c>
      <c r="AB152">
        <v>0</v>
      </c>
      <c r="AC152">
        <v>1</v>
      </c>
      <c r="AD152">
        <v>2</v>
      </c>
      <c r="AE152">
        <v>1</v>
      </c>
      <c r="AF152">
        <v>1</v>
      </c>
      <c r="AG152">
        <v>3</v>
      </c>
      <c r="AH152">
        <v>2</v>
      </c>
      <c r="AI152">
        <v>0</v>
      </c>
      <c r="AJ152">
        <v>5</v>
      </c>
      <c r="AK152" t="s">
        <v>289</v>
      </c>
      <c r="BA152" t="s">
        <v>41</v>
      </c>
      <c r="BB152" t="s">
        <v>287</v>
      </c>
      <c r="BC152" t="s">
        <v>293</v>
      </c>
      <c r="BD152">
        <v>0</v>
      </c>
      <c r="BE152">
        <v>0</v>
      </c>
      <c r="BF152">
        <v>2</v>
      </c>
      <c r="BG152">
        <v>3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3</v>
      </c>
      <c r="BN152">
        <v>1</v>
      </c>
      <c r="BO152">
        <v>2</v>
      </c>
      <c r="BP152">
        <v>1</v>
      </c>
      <c r="BQ152">
        <v>1</v>
      </c>
      <c r="BR152">
        <v>3</v>
      </c>
      <c r="BS152">
        <v>2</v>
      </c>
      <c r="BT152">
        <v>0</v>
      </c>
      <c r="BU152">
        <v>5</v>
      </c>
      <c r="BV152" t="s">
        <v>296</v>
      </c>
    </row>
    <row r="153" spans="1:74">
      <c r="A153" t="s">
        <v>41</v>
      </c>
      <c r="B153" t="s">
        <v>287</v>
      </c>
      <c r="C153" t="s">
        <v>294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 t="s">
        <v>289</v>
      </c>
      <c r="BA153" t="s">
        <v>41</v>
      </c>
      <c r="BB153" t="s">
        <v>287</v>
      </c>
      <c r="BC153" t="s">
        <v>294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296</v>
      </c>
    </row>
    <row r="154" spans="1:74">
      <c r="A154" t="s">
        <v>41</v>
      </c>
      <c r="B154" t="s">
        <v>287</v>
      </c>
      <c r="C154" t="s">
        <v>17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2</v>
      </c>
      <c r="L154">
        <v>1</v>
      </c>
      <c r="M154">
        <v>1</v>
      </c>
      <c r="N154">
        <v>0</v>
      </c>
      <c r="O154">
        <v>1</v>
      </c>
      <c r="P154">
        <v>4</v>
      </c>
      <c r="Q154">
        <v>5</v>
      </c>
      <c r="R154">
        <v>3</v>
      </c>
      <c r="S154">
        <v>1</v>
      </c>
      <c r="T154">
        <v>0</v>
      </c>
      <c r="U154">
        <v>1</v>
      </c>
      <c r="V154">
        <v>2</v>
      </c>
      <c r="W154">
        <v>2</v>
      </c>
      <c r="X154">
        <v>0</v>
      </c>
      <c r="Y154">
        <v>0</v>
      </c>
      <c r="Z154">
        <v>2</v>
      </c>
      <c r="AA154">
        <v>9</v>
      </c>
      <c r="AB154">
        <v>13</v>
      </c>
      <c r="AC154">
        <v>18</v>
      </c>
      <c r="AD154">
        <v>9</v>
      </c>
      <c r="AE154">
        <v>12</v>
      </c>
      <c r="AF154">
        <v>10</v>
      </c>
      <c r="AG154">
        <v>25</v>
      </c>
      <c r="AH154">
        <v>24</v>
      </c>
      <c r="AI154">
        <v>0</v>
      </c>
      <c r="AJ154">
        <v>49</v>
      </c>
      <c r="AK154" t="s">
        <v>289</v>
      </c>
      <c r="BA154" t="s">
        <v>41</v>
      </c>
      <c r="BB154" t="s">
        <v>287</v>
      </c>
      <c r="BC154" t="s">
        <v>17</v>
      </c>
      <c r="BD154">
        <v>1</v>
      </c>
      <c r="BE154">
        <v>1</v>
      </c>
      <c r="BF154">
        <v>9</v>
      </c>
      <c r="BG154">
        <v>17</v>
      </c>
      <c r="BH154">
        <v>21</v>
      </c>
      <c r="BI154">
        <v>2</v>
      </c>
      <c r="BJ154">
        <v>4</v>
      </c>
      <c r="BK154">
        <v>13</v>
      </c>
      <c r="BL154">
        <v>6</v>
      </c>
      <c r="BM154">
        <v>24</v>
      </c>
      <c r="BN154">
        <v>18</v>
      </c>
      <c r="BO154">
        <v>9</v>
      </c>
      <c r="BP154">
        <v>12</v>
      </c>
      <c r="BQ154">
        <v>10</v>
      </c>
      <c r="BR154">
        <v>25</v>
      </c>
      <c r="BS154">
        <v>24</v>
      </c>
      <c r="BT154">
        <v>0</v>
      </c>
      <c r="BU154">
        <v>49</v>
      </c>
      <c r="BV154" t="s">
        <v>296</v>
      </c>
    </row>
    <row r="155" spans="1:74">
      <c r="A155" t="s">
        <v>41</v>
      </c>
      <c r="B155" t="s">
        <v>287</v>
      </c>
      <c r="C155" t="s">
        <v>295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 t="s">
        <v>289</v>
      </c>
      <c r="BA155" t="s">
        <v>41</v>
      </c>
      <c r="BB155" t="s">
        <v>287</v>
      </c>
      <c r="BC155" t="s">
        <v>295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296</v>
      </c>
    </row>
    <row r="156" spans="1:74">
      <c r="A156" t="s">
        <v>43</v>
      </c>
      <c r="B156" t="s">
        <v>287</v>
      </c>
      <c r="C156" t="s">
        <v>288</v>
      </c>
      <c r="D156">
        <v>0.09</v>
      </c>
      <c r="E156">
        <v>0.09</v>
      </c>
      <c r="F156">
        <v>0.3</v>
      </c>
      <c r="G156">
        <v>0.41</v>
      </c>
      <c r="H156">
        <v>1.64</v>
      </c>
      <c r="I156">
        <v>0.13</v>
      </c>
      <c r="J156">
        <v>0.39</v>
      </c>
      <c r="K156">
        <v>1.87</v>
      </c>
      <c r="L156">
        <v>2.4</v>
      </c>
      <c r="M156">
        <v>1.54</v>
      </c>
      <c r="N156">
        <v>0.82</v>
      </c>
      <c r="O156">
        <v>1.57</v>
      </c>
      <c r="P156">
        <v>3.37</v>
      </c>
      <c r="Q156">
        <v>3.66</v>
      </c>
      <c r="R156">
        <v>2.58</v>
      </c>
      <c r="S156">
        <v>0.08</v>
      </c>
      <c r="T156">
        <v>0.19</v>
      </c>
      <c r="U156">
        <v>0.92</v>
      </c>
      <c r="V156">
        <v>1.76</v>
      </c>
      <c r="W156">
        <v>2</v>
      </c>
      <c r="X156">
        <v>0.24</v>
      </c>
      <c r="Y156">
        <v>0.54</v>
      </c>
      <c r="Z156">
        <v>3.61</v>
      </c>
      <c r="AA156">
        <v>7.73</v>
      </c>
      <c r="AB156">
        <v>12.05</v>
      </c>
      <c r="AC156">
        <v>10.8</v>
      </c>
      <c r="AD156">
        <v>7.77</v>
      </c>
      <c r="AE156">
        <v>19.850000000000001</v>
      </c>
      <c r="AF156">
        <v>11.58</v>
      </c>
      <c r="AG156">
        <v>25</v>
      </c>
      <c r="AH156">
        <v>25</v>
      </c>
      <c r="AI156">
        <v>0</v>
      </c>
      <c r="AJ156">
        <v>50</v>
      </c>
      <c r="AK156" t="s">
        <v>289</v>
      </c>
      <c r="BA156" t="s">
        <v>43</v>
      </c>
      <c r="BB156" t="s">
        <v>287</v>
      </c>
      <c r="BC156" t="s">
        <v>288</v>
      </c>
      <c r="BD156">
        <v>1.37</v>
      </c>
      <c r="BE156">
        <v>2.78</v>
      </c>
      <c r="BF156">
        <v>10.07</v>
      </c>
      <c r="BG156">
        <v>15.97</v>
      </c>
      <c r="BH156">
        <v>19.809999999999999</v>
      </c>
      <c r="BI156">
        <v>2.54</v>
      </c>
      <c r="BJ156">
        <v>6.33</v>
      </c>
      <c r="BK156">
        <v>12</v>
      </c>
      <c r="BL156">
        <v>4.96</v>
      </c>
      <c r="BM156">
        <v>24.17</v>
      </c>
      <c r="BN156">
        <v>10.8</v>
      </c>
      <c r="BO156">
        <v>7.77</v>
      </c>
      <c r="BP156">
        <v>19.850000000000001</v>
      </c>
      <c r="BQ156">
        <v>11.58</v>
      </c>
      <c r="BR156">
        <v>25</v>
      </c>
      <c r="BS156">
        <v>25</v>
      </c>
      <c r="BT156">
        <v>0</v>
      </c>
      <c r="BU156">
        <v>50</v>
      </c>
      <c r="BV156" t="s">
        <v>296</v>
      </c>
    </row>
    <row r="157" spans="1:74">
      <c r="A157" t="s">
        <v>43</v>
      </c>
      <c r="B157" t="s">
        <v>287</v>
      </c>
      <c r="C157" t="s">
        <v>290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1</v>
      </c>
      <c r="L157">
        <v>2</v>
      </c>
      <c r="M157">
        <v>2</v>
      </c>
      <c r="N157">
        <v>1</v>
      </c>
      <c r="O157">
        <v>0</v>
      </c>
      <c r="P157">
        <v>1</v>
      </c>
      <c r="Q157">
        <v>3</v>
      </c>
      <c r="R157">
        <v>3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1</v>
      </c>
      <c r="AA157">
        <v>6</v>
      </c>
      <c r="AB157">
        <v>12</v>
      </c>
      <c r="AC157">
        <v>11</v>
      </c>
      <c r="AD157">
        <v>9</v>
      </c>
      <c r="AE157">
        <v>9</v>
      </c>
      <c r="AF157">
        <v>7</v>
      </c>
      <c r="AG157">
        <v>18</v>
      </c>
      <c r="AH157">
        <v>18</v>
      </c>
      <c r="AI157">
        <v>0</v>
      </c>
      <c r="AJ157">
        <v>36</v>
      </c>
      <c r="AK157" t="s">
        <v>289</v>
      </c>
      <c r="BA157" t="s">
        <v>43</v>
      </c>
      <c r="BB157" t="s">
        <v>287</v>
      </c>
      <c r="BC157" t="s">
        <v>290</v>
      </c>
      <c r="BD157">
        <v>1</v>
      </c>
      <c r="BE157">
        <v>0</v>
      </c>
      <c r="BF157">
        <v>3</v>
      </c>
      <c r="BG157">
        <v>11</v>
      </c>
      <c r="BH157">
        <v>21</v>
      </c>
      <c r="BI157">
        <v>2</v>
      </c>
      <c r="BJ157">
        <v>5</v>
      </c>
      <c r="BK157">
        <v>8</v>
      </c>
      <c r="BL157">
        <v>2</v>
      </c>
      <c r="BM157">
        <v>19</v>
      </c>
      <c r="BN157">
        <v>11</v>
      </c>
      <c r="BO157">
        <v>9</v>
      </c>
      <c r="BP157">
        <v>9</v>
      </c>
      <c r="BQ157">
        <v>7</v>
      </c>
      <c r="BR157">
        <v>18</v>
      </c>
      <c r="BS157">
        <v>18</v>
      </c>
      <c r="BT157">
        <v>0</v>
      </c>
      <c r="BU157">
        <v>36</v>
      </c>
      <c r="BV157" t="s">
        <v>296</v>
      </c>
    </row>
    <row r="158" spans="1:74">
      <c r="A158" t="s">
        <v>43</v>
      </c>
      <c r="B158" t="s">
        <v>287</v>
      </c>
      <c r="C158" t="s">
        <v>291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1</v>
      </c>
      <c r="AD158">
        <v>0</v>
      </c>
      <c r="AE158">
        <v>1</v>
      </c>
      <c r="AF158">
        <v>0</v>
      </c>
      <c r="AG158">
        <v>0</v>
      </c>
      <c r="AH158">
        <v>2</v>
      </c>
      <c r="AI158">
        <v>0</v>
      </c>
      <c r="AJ158">
        <v>2</v>
      </c>
      <c r="AK158" t="s">
        <v>289</v>
      </c>
      <c r="BA158" t="s">
        <v>43</v>
      </c>
      <c r="BB158" t="s">
        <v>287</v>
      </c>
      <c r="BC158" t="s">
        <v>291</v>
      </c>
      <c r="BD158">
        <v>0</v>
      </c>
      <c r="BE158">
        <v>0</v>
      </c>
      <c r="BF158">
        <v>0</v>
      </c>
      <c r="BG158">
        <v>0</v>
      </c>
      <c r="BH158">
        <v>2</v>
      </c>
      <c r="BI158">
        <v>0</v>
      </c>
      <c r="BJ158">
        <v>0</v>
      </c>
      <c r="BK158">
        <v>1</v>
      </c>
      <c r="BL158">
        <v>0</v>
      </c>
      <c r="BM158">
        <v>1</v>
      </c>
      <c r="BN158">
        <v>1</v>
      </c>
      <c r="BO158">
        <v>0</v>
      </c>
      <c r="BP158">
        <v>1</v>
      </c>
      <c r="BQ158">
        <v>0</v>
      </c>
      <c r="BR158">
        <v>0</v>
      </c>
      <c r="BS158">
        <v>2</v>
      </c>
      <c r="BT158">
        <v>0</v>
      </c>
      <c r="BU158">
        <v>2</v>
      </c>
      <c r="BV158" t="s">
        <v>296</v>
      </c>
    </row>
    <row r="159" spans="1:74">
      <c r="A159" t="s">
        <v>43</v>
      </c>
      <c r="B159" t="s">
        <v>287</v>
      </c>
      <c r="C159" t="s">
        <v>292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 t="s">
        <v>289</v>
      </c>
      <c r="BA159" t="s">
        <v>43</v>
      </c>
      <c r="BB159" t="s">
        <v>287</v>
      </c>
      <c r="BC159" t="s">
        <v>292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 t="s">
        <v>296</v>
      </c>
    </row>
    <row r="160" spans="1:74">
      <c r="A160" t="s">
        <v>43</v>
      </c>
      <c r="B160" t="s">
        <v>287</v>
      </c>
      <c r="C160" t="s">
        <v>293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2</v>
      </c>
      <c r="W160">
        <v>0</v>
      </c>
      <c r="X160">
        <v>0</v>
      </c>
      <c r="Y160">
        <v>1</v>
      </c>
      <c r="Z160">
        <v>1</v>
      </c>
      <c r="AA160">
        <v>2</v>
      </c>
      <c r="AB160">
        <v>0</v>
      </c>
      <c r="AC160">
        <v>5</v>
      </c>
      <c r="AD160">
        <v>1</v>
      </c>
      <c r="AE160">
        <v>2</v>
      </c>
      <c r="AF160">
        <v>1</v>
      </c>
      <c r="AG160">
        <v>4</v>
      </c>
      <c r="AH160">
        <v>5</v>
      </c>
      <c r="AI160">
        <v>0</v>
      </c>
      <c r="AJ160">
        <v>9</v>
      </c>
      <c r="AK160" t="s">
        <v>289</v>
      </c>
      <c r="BA160" t="s">
        <v>43</v>
      </c>
      <c r="BB160" t="s">
        <v>287</v>
      </c>
      <c r="BC160" t="s">
        <v>293</v>
      </c>
      <c r="BD160">
        <v>0</v>
      </c>
      <c r="BE160">
        <v>1</v>
      </c>
      <c r="BF160">
        <v>3</v>
      </c>
      <c r="BG160">
        <v>5</v>
      </c>
      <c r="BH160">
        <v>0</v>
      </c>
      <c r="BI160">
        <v>0</v>
      </c>
      <c r="BJ160">
        <v>0</v>
      </c>
      <c r="BK160">
        <v>2</v>
      </c>
      <c r="BL160">
        <v>3</v>
      </c>
      <c r="BM160">
        <v>4</v>
      </c>
      <c r="BN160">
        <v>5</v>
      </c>
      <c r="BO160">
        <v>1</v>
      </c>
      <c r="BP160">
        <v>2</v>
      </c>
      <c r="BQ160">
        <v>1</v>
      </c>
      <c r="BR160">
        <v>4</v>
      </c>
      <c r="BS160">
        <v>5</v>
      </c>
      <c r="BT160">
        <v>0</v>
      </c>
      <c r="BU160">
        <v>9</v>
      </c>
      <c r="BV160" t="s">
        <v>296</v>
      </c>
    </row>
    <row r="161" spans="1:74">
      <c r="A161" t="s">
        <v>43</v>
      </c>
      <c r="B161" t="s">
        <v>287</v>
      </c>
      <c r="C161" t="s">
        <v>294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 t="s">
        <v>289</v>
      </c>
      <c r="BA161" t="s">
        <v>43</v>
      </c>
      <c r="BB161" t="s">
        <v>287</v>
      </c>
      <c r="BC161" t="s">
        <v>294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 t="s">
        <v>296</v>
      </c>
    </row>
    <row r="162" spans="1:74">
      <c r="A162" t="s">
        <v>43</v>
      </c>
      <c r="B162" t="s">
        <v>287</v>
      </c>
      <c r="C162" t="s">
        <v>17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1</v>
      </c>
      <c r="L162">
        <v>2</v>
      </c>
      <c r="M162">
        <v>2</v>
      </c>
      <c r="N162">
        <v>1</v>
      </c>
      <c r="O162">
        <v>0</v>
      </c>
      <c r="P162">
        <v>2</v>
      </c>
      <c r="Q162">
        <v>4</v>
      </c>
      <c r="R162">
        <v>4</v>
      </c>
      <c r="S162">
        <v>0</v>
      </c>
      <c r="T162">
        <v>0</v>
      </c>
      <c r="U162">
        <v>1</v>
      </c>
      <c r="V162">
        <v>2</v>
      </c>
      <c r="W162">
        <v>2</v>
      </c>
      <c r="X162">
        <v>0</v>
      </c>
      <c r="Y162">
        <v>1</v>
      </c>
      <c r="Z162">
        <v>2</v>
      </c>
      <c r="AA162">
        <v>8</v>
      </c>
      <c r="AB162">
        <v>13</v>
      </c>
      <c r="AC162">
        <v>17</v>
      </c>
      <c r="AD162">
        <v>10</v>
      </c>
      <c r="AE162">
        <v>12</v>
      </c>
      <c r="AF162">
        <v>8</v>
      </c>
      <c r="AG162">
        <v>22</v>
      </c>
      <c r="AH162">
        <v>25</v>
      </c>
      <c r="AI162">
        <v>0</v>
      </c>
      <c r="AJ162">
        <v>47</v>
      </c>
      <c r="AK162" t="s">
        <v>289</v>
      </c>
      <c r="BA162" t="s">
        <v>43</v>
      </c>
      <c r="BB162" t="s">
        <v>287</v>
      </c>
      <c r="BC162" t="s">
        <v>17</v>
      </c>
      <c r="BD162">
        <v>1</v>
      </c>
      <c r="BE162">
        <v>1</v>
      </c>
      <c r="BF162">
        <v>6</v>
      </c>
      <c r="BG162">
        <v>16</v>
      </c>
      <c r="BH162">
        <v>23</v>
      </c>
      <c r="BI162">
        <v>2</v>
      </c>
      <c r="BJ162">
        <v>5</v>
      </c>
      <c r="BK162">
        <v>11</v>
      </c>
      <c r="BL162">
        <v>5</v>
      </c>
      <c r="BM162">
        <v>24</v>
      </c>
      <c r="BN162">
        <v>17</v>
      </c>
      <c r="BO162">
        <v>10</v>
      </c>
      <c r="BP162">
        <v>12</v>
      </c>
      <c r="BQ162">
        <v>8</v>
      </c>
      <c r="BR162">
        <v>22</v>
      </c>
      <c r="BS162">
        <v>25</v>
      </c>
      <c r="BT162">
        <v>0</v>
      </c>
      <c r="BU162">
        <v>47</v>
      </c>
      <c r="BV162" t="s">
        <v>296</v>
      </c>
    </row>
    <row r="163" spans="1:74">
      <c r="A163" t="s">
        <v>43</v>
      </c>
      <c r="B163" t="s">
        <v>287</v>
      </c>
      <c r="C163" t="s">
        <v>295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 t="s">
        <v>289</v>
      </c>
      <c r="BA163" t="s">
        <v>43</v>
      </c>
      <c r="BB163" t="s">
        <v>287</v>
      </c>
      <c r="BC163" t="s">
        <v>295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296</v>
      </c>
    </row>
    <row r="164" spans="1:74">
      <c r="A164" t="s">
        <v>46</v>
      </c>
      <c r="B164" t="s">
        <v>287</v>
      </c>
      <c r="C164" t="s">
        <v>288</v>
      </c>
      <c r="D164">
        <v>7.0000000000000007E-2</v>
      </c>
      <c r="E164">
        <v>0.13</v>
      </c>
      <c r="F164">
        <v>0.28999999999999998</v>
      </c>
      <c r="G164">
        <v>0.41</v>
      </c>
      <c r="H164">
        <v>1.69</v>
      </c>
      <c r="I164">
        <v>0.13</v>
      </c>
      <c r="J164">
        <v>0.46</v>
      </c>
      <c r="K164">
        <v>1.84</v>
      </c>
      <c r="L164">
        <v>2.35</v>
      </c>
      <c r="M164">
        <v>1.72</v>
      </c>
      <c r="N164">
        <v>0.99</v>
      </c>
      <c r="O164">
        <v>1.55</v>
      </c>
      <c r="P164">
        <v>3.38</v>
      </c>
      <c r="Q164">
        <v>3.68</v>
      </c>
      <c r="R164">
        <v>2.56</v>
      </c>
      <c r="S164">
        <v>7.0000000000000007E-2</v>
      </c>
      <c r="T164">
        <v>0.21</v>
      </c>
      <c r="U164">
        <v>0.84</v>
      </c>
      <c r="V164">
        <v>1.7</v>
      </c>
      <c r="W164">
        <v>1.89</v>
      </c>
      <c r="X164">
        <v>0.27</v>
      </c>
      <c r="Y164">
        <v>0.55000000000000004</v>
      </c>
      <c r="Z164">
        <v>3.71</v>
      </c>
      <c r="AA164">
        <v>7.84</v>
      </c>
      <c r="AB164">
        <v>11.67</v>
      </c>
      <c r="AC164">
        <v>10.62</v>
      </c>
      <c r="AD164">
        <v>7.63</v>
      </c>
      <c r="AE164">
        <v>19.8</v>
      </c>
      <c r="AF164">
        <v>11.95</v>
      </c>
      <c r="AG164">
        <v>25</v>
      </c>
      <c r="AH164">
        <v>25</v>
      </c>
      <c r="AI164">
        <v>0</v>
      </c>
      <c r="AJ164">
        <v>50</v>
      </c>
      <c r="AK164" t="s">
        <v>289</v>
      </c>
      <c r="BA164" t="s">
        <v>46</v>
      </c>
      <c r="BB164" t="s">
        <v>287</v>
      </c>
      <c r="BC164" t="s">
        <v>288</v>
      </c>
      <c r="BD164">
        <v>1.53</v>
      </c>
      <c r="BE164">
        <v>2.89</v>
      </c>
      <c r="BF164">
        <v>10.06</v>
      </c>
      <c r="BG164">
        <v>15.99</v>
      </c>
      <c r="BH164">
        <v>19.53</v>
      </c>
      <c r="BI164">
        <v>2.59</v>
      </c>
      <c r="BJ164">
        <v>6.5</v>
      </c>
      <c r="BK164">
        <v>12.16</v>
      </c>
      <c r="BL164">
        <v>4.71</v>
      </c>
      <c r="BM164">
        <v>24.04</v>
      </c>
      <c r="BN164">
        <v>10.62</v>
      </c>
      <c r="BO164">
        <v>7.63</v>
      </c>
      <c r="BP164">
        <v>19.8</v>
      </c>
      <c r="BQ164">
        <v>11.95</v>
      </c>
      <c r="BR164">
        <v>25</v>
      </c>
      <c r="BS164">
        <v>25</v>
      </c>
      <c r="BT164">
        <v>0</v>
      </c>
      <c r="BU164">
        <v>50</v>
      </c>
      <c r="BV164" t="s">
        <v>296</v>
      </c>
    </row>
    <row r="165" spans="1:74">
      <c r="A165" t="s">
        <v>46</v>
      </c>
      <c r="B165" t="s">
        <v>287</v>
      </c>
      <c r="C165" t="s">
        <v>290</v>
      </c>
      <c r="D165">
        <v>0</v>
      </c>
      <c r="E165">
        <v>0</v>
      </c>
      <c r="F165">
        <v>0</v>
      </c>
      <c r="G165">
        <v>1</v>
      </c>
      <c r="H165">
        <v>2</v>
      </c>
      <c r="I165">
        <v>0</v>
      </c>
      <c r="J165">
        <v>1</v>
      </c>
      <c r="K165">
        <v>1</v>
      </c>
      <c r="L165">
        <v>2</v>
      </c>
      <c r="M165">
        <v>2</v>
      </c>
      <c r="N165">
        <v>0</v>
      </c>
      <c r="O165">
        <v>0</v>
      </c>
      <c r="P165">
        <v>2</v>
      </c>
      <c r="Q165">
        <v>2</v>
      </c>
      <c r="R165">
        <v>2</v>
      </c>
      <c r="S165">
        <v>0</v>
      </c>
      <c r="T165">
        <v>0</v>
      </c>
      <c r="U165">
        <v>0</v>
      </c>
      <c r="V165">
        <v>2</v>
      </c>
      <c r="W165">
        <v>2</v>
      </c>
      <c r="X165">
        <v>0</v>
      </c>
      <c r="Y165">
        <v>0</v>
      </c>
      <c r="Z165">
        <v>2</v>
      </c>
      <c r="AA165">
        <v>7</v>
      </c>
      <c r="AB165">
        <v>12</v>
      </c>
      <c r="AC165">
        <v>11</v>
      </c>
      <c r="AD165">
        <v>6</v>
      </c>
      <c r="AE165">
        <v>16</v>
      </c>
      <c r="AF165">
        <v>7</v>
      </c>
      <c r="AG165">
        <v>21</v>
      </c>
      <c r="AH165">
        <v>19</v>
      </c>
      <c r="AI165">
        <v>0</v>
      </c>
      <c r="AJ165">
        <v>40</v>
      </c>
      <c r="AK165" t="s">
        <v>289</v>
      </c>
      <c r="BA165" t="s">
        <v>46</v>
      </c>
      <c r="BB165" t="s">
        <v>287</v>
      </c>
      <c r="BC165" t="s">
        <v>290</v>
      </c>
      <c r="BD165">
        <v>0</v>
      </c>
      <c r="BE165">
        <v>1</v>
      </c>
      <c r="BF165">
        <v>5</v>
      </c>
      <c r="BG165">
        <v>14</v>
      </c>
      <c r="BH165">
        <v>20</v>
      </c>
      <c r="BI165">
        <v>3</v>
      </c>
      <c r="BJ165">
        <v>6</v>
      </c>
      <c r="BK165">
        <v>6</v>
      </c>
      <c r="BL165">
        <v>4</v>
      </c>
      <c r="BM165">
        <v>21</v>
      </c>
      <c r="BN165">
        <v>11</v>
      </c>
      <c r="BO165">
        <v>6</v>
      </c>
      <c r="BP165">
        <v>16</v>
      </c>
      <c r="BQ165">
        <v>7</v>
      </c>
      <c r="BR165">
        <v>21</v>
      </c>
      <c r="BS165">
        <v>19</v>
      </c>
      <c r="BT165">
        <v>0</v>
      </c>
      <c r="BU165">
        <v>40</v>
      </c>
      <c r="BV165" t="s">
        <v>296</v>
      </c>
    </row>
    <row r="166" spans="1:74">
      <c r="A166" t="s">
        <v>46</v>
      </c>
      <c r="B166" t="s">
        <v>287</v>
      </c>
      <c r="C166" t="s">
        <v>291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</v>
      </c>
      <c r="X166">
        <v>0</v>
      </c>
      <c r="Y166">
        <v>0</v>
      </c>
      <c r="Z166">
        <v>0</v>
      </c>
      <c r="AA166">
        <v>0</v>
      </c>
      <c r="AB166">
        <v>2</v>
      </c>
      <c r="AC166">
        <v>5</v>
      </c>
      <c r="AD166">
        <v>0</v>
      </c>
      <c r="AE166">
        <v>1</v>
      </c>
      <c r="AF166">
        <v>0</v>
      </c>
      <c r="AG166">
        <v>4</v>
      </c>
      <c r="AH166">
        <v>2</v>
      </c>
      <c r="AI166">
        <v>0</v>
      </c>
      <c r="AJ166">
        <v>6</v>
      </c>
      <c r="AK166" t="s">
        <v>289</v>
      </c>
      <c r="BA166" t="s">
        <v>46</v>
      </c>
      <c r="BB166" t="s">
        <v>287</v>
      </c>
      <c r="BC166" t="s">
        <v>291</v>
      </c>
      <c r="BD166">
        <v>0</v>
      </c>
      <c r="BE166">
        <v>0</v>
      </c>
      <c r="BF166">
        <v>0</v>
      </c>
      <c r="BG166">
        <v>0</v>
      </c>
      <c r="BH166">
        <v>6</v>
      </c>
      <c r="BI166">
        <v>0</v>
      </c>
      <c r="BJ166">
        <v>1</v>
      </c>
      <c r="BK166">
        <v>0</v>
      </c>
      <c r="BL166">
        <v>3</v>
      </c>
      <c r="BM166">
        <v>2</v>
      </c>
      <c r="BN166">
        <v>5</v>
      </c>
      <c r="BO166">
        <v>0</v>
      </c>
      <c r="BP166">
        <v>1</v>
      </c>
      <c r="BQ166">
        <v>0</v>
      </c>
      <c r="BR166">
        <v>4</v>
      </c>
      <c r="BS166">
        <v>2</v>
      </c>
      <c r="BT166">
        <v>0</v>
      </c>
      <c r="BU166">
        <v>6</v>
      </c>
      <c r="BV166" t="s">
        <v>296</v>
      </c>
    </row>
    <row r="167" spans="1:74">
      <c r="A167" t="s">
        <v>46</v>
      </c>
      <c r="B167" t="s">
        <v>287</v>
      </c>
      <c r="C167" t="s">
        <v>292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 t="s">
        <v>289</v>
      </c>
      <c r="BA167" t="s">
        <v>46</v>
      </c>
      <c r="BB167" t="s">
        <v>287</v>
      </c>
      <c r="BC167" t="s">
        <v>292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296</v>
      </c>
    </row>
    <row r="168" spans="1:74">
      <c r="A168" t="s">
        <v>46</v>
      </c>
      <c r="B168" t="s">
        <v>287</v>
      </c>
      <c r="C168" t="s">
        <v>293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2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1</v>
      </c>
      <c r="AA168">
        <v>1</v>
      </c>
      <c r="AB168">
        <v>0</v>
      </c>
      <c r="AC168">
        <v>2</v>
      </c>
      <c r="AD168">
        <v>1</v>
      </c>
      <c r="AE168">
        <v>2</v>
      </c>
      <c r="AF168">
        <v>3</v>
      </c>
      <c r="AG168">
        <v>4</v>
      </c>
      <c r="AH168">
        <v>4</v>
      </c>
      <c r="AI168">
        <v>0</v>
      </c>
      <c r="AJ168">
        <v>8</v>
      </c>
      <c r="AK168" t="s">
        <v>289</v>
      </c>
      <c r="BA168" t="s">
        <v>46</v>
      </c>
      <c r="BB168" t="s">
        <v>287</v>
      </c>
      <c r="BC168" t="s">
        <v>293</v>
      </c>
      <c r="BD168">
        <v>0</v>
      </c>
      <c r="BE168">
        <v>0</v>
      </c>
      <c r="BF168">
        <v>3</v>
      </c>
      <c r="BG168">
        <v>4</v>
      </c>
      <c r="BH168">
        <v>1</v>
      </c>
      <c r="BI168">
        <v>0</v>
      </c>
      <c r="BJ168">
        <v>0</v>
      </c>
      <c r="BK168">
        <v>4</v>
      </c>
      <c r="BL168">
        <v>2</v>
      </c>
      <c r="BM168">
        <v>2</v>
      </c>
      <c r="BN168">
        <v>2</v>
      </c>
      <c r="BO168">
        <v>1</v>
      </c>
      <c r="BP168">
        <v>2</v>
      </c>
      <c r="BQ168">
        <v>3</v>
      </c>
      <c r="BR168">
        <v>4</v>
      </c>
      <c r="BS168">
        <v>4</v>
      </c>
      <c r="BT168">
        <v>0</v>
      </c>
      <c r="BU168">
        <v>8</v>
      </c>
      <c r="BV168" t="s">
        <v>296</v>
      </c>
    </row>
    <row r="169" spans="1:74">
      <c r="A169" t="s">
        <v>46</v>
      </c>
      <c r="B169" t="s">
        <v>287</v>
      </c>
      <c r="C169" t="s">
        <v>294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289</v>
      </c>
      <c r="BA169" t="s">
        <v>46</v>
      </c>
      <c r="BB169" t="s">
        <v>287</v>
      </c>
      <c r="BC169" t="s">
        <v>294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296</v>
      </c>
    </row>
    <row r="170" spans="1:74">
      <c r="A170" t="s">
        <v>46</v>
      </c>
      <c r="B170" t="s">
        <v>287</v>
      </c>
      <c r="C170" t="s">
        <v>17</v>
      </c>
      <c r="D170">
        <v>0</v>
      </c>
      <c r="E170">
        <v>0</v>
      </c>
      <c r="F170">
        <v>0</v>
      </c>
      <c r="G170">
        <v>1</v>
      </c>
      <c r="H170">
        <v>2</v>
      </c>
      <c r="I170">
        <v>0</v>
      </c>
      <c r="J170">
        <v>1</v>
      </c>
      <c r="K170">
        <v>1</v>
      </c>
      <c r="L170">
        <v>2</v>
      </c>
      <c r="M170">
        <v>3</v>
      </c>
      <c r="N170">
        <v>0</v>
      </c>
      <c r="O170">
        <v>0</v>
      </c>
      <c r="P170">
        <v>3</v>
      </c>
      <c r="Q170">
        <v>4</v>
      </c>
      <c r="R170">
        <v>3</v>
      </c>
      <c r="S170">
        <v>0</v>
      </c>
      <c r="T170">
        <v>0</v>
      </c>
      <c r="U170">
        <v>1</v>
      </c>
      <c r="V170">
        <v>3</v>
      </c>
      <c r="W170">
        <v>5</v>
      </c>
      <c r="X170">
        <v>0</v>
      </c>
      <c r="Y170">
        <v>0</v>
      </c>
      <c r="Z170">
        <v>3</v>
      </c>
      <c r="AA170">
        <v>8</v>
      </c>
      <c r="AB170">
        <v>14</v>
      </c>
      <c r="AC170">
        <v>18</v>
      </c>
      <c r="AD170">
        <v>7</v>
      </c>
      <c r="AE170">
        <v>19</v>
      </c>
      <c r="AF170">
        <v>10</v>
      </c>
      <c r="AG170">
        <v>29</v>
      </c>
      <c r="AH170">
        <v>25</v>
      </c>
      <c r="AI170">
        <v>0</v>
      </c>
      <c r="AJ170">
        <v>54</v>
      </c>
      <c r="AK170" t="s">
        <v>289</v>
      </c>
      <c r="BA170" t="s">
        <v>46</v>
      </c>
      <c r="BB170" t="s">
        <v>287</v>
      </c>
      <c r="BC170" t="s">
        <v>17</v>
      </c>
      <c r="BD170">
        <v>0</v>
      </c>
      <c r="BE170">
        <v>1</v>
      </c>
      <c r="BF170">
        <v>8</v>
      </c>
      <c r="BG170">
        <v>18</v>
      </c>
      <c r="BH170">
        <v>27</v>
      </c>
      <c r="BI170">
        <v>3</v>
      </c>
      <c r="BJ170">
        <v>7</v>
      </c>
      <c r="BK170">
        <v>10</v>
      </c>
      <c r="BL170">
        <v>9</v>
      </c>
      <c r="BM170">
        <v>25</v>
      </c>
      <c r="BN170">
        <v>18</v>
      </c>
      <c r="BO170">
        <v>7</v>
      </c>
      <c r="BP170">
        <v>19</v>
      </c>
      <c r="BQ170">
        <v>10</v>
      </c>
      <c r="BR170">
        <v>29</v>
      </c>
      <c r="BS170">
        <v>25</v>
      </c>
      <c r="BT170">
        <v>0</v>
      </c>
      <c r="BU170">
        <v>54</v>
      </c>
      <c r="BV170" t="s">
        <v>296</v>
      </c>
    </row>
    <row r="171" spans="1:74">
      <c r="A171" t="s">
        <v>46</v>
      </c>
      <c r="B171" t="s">
        <v>287</v>
      </c>
      <c r="C171" t="s">
        <v>295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 t="s">
        <v>289</v>
      </c>
      <c r="BA171" t="s">
        <v>46</v>
      </c>
      <c r="BB171" t="s">
        <v>287</v>
      </c>
      <c r="BC171" t="s">
        <v>295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296</v>
      </c>
    </row>
    <row r="172" spans="1:74">
      <c r="A172" t="s">
        <v>48</v>
      </c>
      <c r="B172" t="s">
        <v>287</v>
      </c>
      <c r="C172" t="s">
        <v>288</v>
      </c>
      <c r="D172">
        <v>0.12</v>
      </c>
      <c r="E172">
        <v>0.13</v>
      </c>
      <c r="F172">
        <v>0.28999999999999998</v>
      </c>
      <c r="G172">
        <v>0.46</v>
      </c>
      <c r="H172">
        <v>1.72</v>
      </c>
      <c r="I172">
        <v>0.15</v>
      </c>
      <c r="J172">
        <v>0.46</v>
      </c>
      <c r="K172">
        <v>1.63</v>
      </c>
      <c r="L172">
        <v>2.44</v>
      </c>
      <c r="M172">
        <v>1.62</v>
      </c>
      <c r="N172">
        <v>1.02</v>
      </c>
      <c r="O172">
        <v>1.65</v>
      </c>
      <c r="P172">
        <v>3.49</v>
      </c>
      <c r="Q172">
        <v>3.67</v>
      </c>
      <c r="R172">
        <v>2.52</v>
      </c>
      <c r="S172">
        <v>0.1</v>
      </c>
      <c r="T172">
        <v>0.2</v>
      </c>
      <c r="U172">
        <v>0.83</v>
      </c>
      <c r="V172">
        <v>1.63</v>
      </c>
      <c r="W172">
        <v>2.0099999999999998</v>
      </c>
      <c r="X172">
        <v>0.3</v>
      </c>
      <c r="Y172">
        <v>0.45</v>
      </c>
      <c r="Z172">
        <v>3.65</v>
      </c>
      <c r="AA172">
        <v>7.78</v>
      </c>
      <c r="AB172">
        <v>11.67</v>
      </c>
      <c r="AC172">
        <v>10.41</v>
      </c>
      <c r="AD172">
        <v>8.02</v>
      </c>
      <c r="AE172">
        <v>19.73</v>
      </c>
      <c r="AF172">
        <v>11.83</v>
      </c>
      <c r="AG172">
        <v>25</v>
      </c>
      <c r="AH172">
        <v>25</v>
      </c>
      <c r="AI172">
        <v>0</v>
      </c>
      <c r="AJ172">
        <v>50</v>
      </c>
      <c r="AK172" t="s">
        <v>289</v>
      </c>
      <c r="BA172" t="s">
        <v>48</v>
      </c>
      <c r="BB172" t="s">
        <v>287</v>
      </c>
      <c r="BC172" t="s">
        <v>288</v>
      </c>
      <c r="BD172">
        <v>1.69</v>
      </c>
      <c r="BE172">
        <v>2.89</v>
      </c>
      <c r="BF172">
        <v>9.89</v>
      </c>
      <c r="BG172">
        <v>15.99</v>
      </c>
      <c r="BH172">
        <v>19.54</v>
      </c>
      <c r="BI172">
        <v>2.71</v>
      </c>
      <c r="BJ172">
        <v>6.31</v>
      </c>
      <c r="BK172">
        <v>12.35</v>
      </c>
      <c r="BL172">
        <v>4.76</v>
      </c>
      <c r="BM172">
        <v>23.86</v>
      </c>
      <c r="BN172">
        <v>10.41</v>
      </c>
      <c r="BO172">
        <v>8.02</v>
      </c>
      <c r="BP172">
        <v>19.73</v>
      </c>
      <c r="BQ172">
        <v>11.83</v>
      </c>
      <c r="BR172">
        <v>25</v>
      </c>
      <c r="BS172">
        <v>25</v>
      </c>
      <c r="BT172">
        <v>0</v>
      </c>
      <c r="BU172">
        <v>50</v>
      </c>
      <c r="BV172" t="s">
        <v>296</v>
      </c>
    </row>
    <row r="173" spans="1:74">
      <c r="A173" t="s">
        <v>48</v>
      </c>
      <c r="B173" t="s">
        <v>287</v>
      </c>
      <c r="C173" t="s">
        <v>290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2</v>
      </c>
      <c r="L173">
        <v>1</v>
      </c>
      <c r="M173">
        <v>2</v>
      </c>
      <c r="N173">
        <v>0</v>
      </c>
      <c r="O173">
        <v>1</v>
      </c>
      <c r="P173">
        <v>2</v>
      </c>
      <c r="Q173">
        <v>2</v>
      </c>
      <c r="R173">
        <v>3</v>
      </c>
      <c r="S173">
        <v>0</v>
      </c>
      <c r="T173">
        <v>0</v>
      </c>
      <c r="U173">
        <v>0</v>
      </c>
      <c r="V173">
        <v>2</v>
      </c>
      <c r="W173">
        <v>2</v>
      </c>
      <c r="X173">
        <v>1</v>
      </c>
      <c r="Y173">
        <v>0</v>
      </c>
      <c r="Z173">
        <v>1</v>
      </c>
      <c r="AA173">
        <v>7</v>
      </c>
      <c r="AB173">
        <v>12</v>
      </c>
      <c r="AC173">
        <v>12</v>
      </c>
      <c r="AD173">
        <v>6</v>
      </c>
      <c r="AE173">
        <v>12</v>
      </c>
      <c r="AF173">
        <v>9</v>
      </c>
      <c r="AG173">
        <v>19</v>
      </c>
      <c r="AH173">
        <v>20</v>
      </c>
      <c r="AI173">
        <v>0</v>
      </c>
      <c r="AJ173">
        <v>39</v>
      </c>
      <c r="AK173" t="s">
        <v>289</v>
      </c>
      <c r="BA173" t="s">
        <v>48</v>
      </c>
      <c r="BB173" t="s">
        <v>287</v>
      </c>
      <c r="BC173" t="s">
        <v>290</v>
      </c>
      <c r="BD173">
        <v>1</v>
      </c>
      <c r="BE173">
        <v>1</v>
      </c>
      <c r="BF173">
        <v>5</v>
      </c>
      <c r="BG173">
        <v>12</v>
      </c>
      <c r="BH173">
        <v>20</v>
      </c>
      <c r="BI173">
        <v>1</v>
      </c>
      <c r="BJ173">
        <v>5</v>
      </c>
      <c r="BK173">
        <v>8</v>
      </c>
      <c r="BL173">
        <v>4</v>
      </c>
      <c r="BM173">
        <v>21</v>
      </c>
      <c r="BN173">
        <v>12</v>
      </c>
      <c r="BO173">
        <v>6</v>
      </c>
      <c r="BP173">
        <v>12</v>
      </c>
      <c r="BQ173">
        <v>9</v>
      </c>
      <c r="BR173">
        <v>19</v>
      </c>
      <c r="BS173">
        <v>20</v>
      </c>
      <c r="BT173">
        <v>0</v>
      </c>
      <c r="BU173">
        <v>39</v>
      </c>
      <c r="BV173" t="s">
        <v>296</v>
      </c>
    </row>
    <row r="174" spans="1:74">
      <c r="A174" t="s">
        <v>48</v>
      </c>
      <c r="B174" t="s">
        <v>287</v>
      </c>
      <c r="C174" t="s">
        <v>291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6</v>
      </c>
      <c r="AC174">
        <v>5</v>
      </c>
      <c r="AD174">
        <v>4</v>
      </c>
      <c r="AE174">
        <v>1</v>
      </c>
      <c r="AF174">
        <v>0</v>
      </c>
      <c r="AG174">
        <v>7</v>
      </c>
      <c r="AH174">
        <v>3</v>
      </c>
      <c r="AI174">
        <v>0</v>
      </c>
      <c r="AJ174">
        <v>10</v>
      </c>
      <c r="AK174" t="s">
        <v>289</v>
      </c>
      <c r="BA174" t="s">
        <v>48</v>
      </c>
      <c r="BB174" t="s">
        <v>287</v>
      </c>
      <c r="BC174" t="s">
        <v>291</v>
      </c>
      <c r="BD174">
        <v>0</v>
      </c>
      <c r="BE174">
        <v>0</v>
      </c>
      <c r="BF174">
        <v>1</v>
      </c>
      <c r="BG174">
        <v>1</v>
      </c>
      <c r="BH174">
        <v>8</v>
      </c>
      <c r="BI174">
        <v>0</v>
      </c>
      <c r="BJ174">
        <v>2</v>
      </c>
      <c r="BK174">
        <v>0</v>
      </c>
      <c r="BL174">
        <v>2</v>
      </c>
      <c r="BM174">
        <v>6</v>
      </c>
      <c r="BN174">
        <v>5</v>
      </c>
      <c r="BO174">
        <v>4</v>
      </c>
      <c r="BP174">
        <v>1</v>
      </c>
      <c r="BQ174">
        <v>0</v>
      </c>
      <c r="BR174">
        <v>7</v>
      </c>
      <c r="BS174">
        <v>3</v>
      </c>
      <c r="BT174">
        <v>0</v>
      </c>
      <c r="BU174">
        <v>10</v>
      </c>
      <c r="BV174" t="s">
        <v>296</v>
      </c>
    </row>
    <row r="175" spans="1:74">
      <c r="A175" t="s">
        <v>48</v>
      </c>
      <c r="B175" t="s">
        <v>287</v>
      </c>
      <c r="C175" t="s">
        <v>292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 t="s">
        <v>289</v>
      </c>
      <c r="BA175" t="s">
        <v>48</v>
      </c>
      <c r="BB175" t="s">
        <v>287</v>
      </c>
      <c r="BC175" t="s">
        <v>292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1</v>
      </c>
      <c r="BL175">
        <v>0</v>
      </c>
      <c r="BM175">
        <v>0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1</v>
      </c>
      <c r="BV175" t="s">
        <v>296</v>
      </c>
    </row>
    <row r="176" spans="1:74">
      <c r="A176" t="s">
        <v>48</v>
      </c>
      <c r="B176" t="s">
        <v>287</v>
      </c>
      <c r="C176" t="s">
        <v>293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1</v>
      </c>
      <c r="AB176">
        <v>0</v>
      </c>
      <c r="AC176">
        <v>3</v>
      </c>
      <c r="AD176">
        <v>0</v>
      </c>
      <c r="AE176">
        <v>2</v>
      </c>
      <c r="AF176">
        <v>0</v>
      </c>
      <c r="AG176">
        <v>2</v>
      </c>
      <c r="AH176">
        <v>3</v>
      </c>
      <c r="AI176">
        <v>0</v>
      </c>
      <c r="AJ176">
        <v>5</v>
      </c>
      <c r="AK176" t="s">
        <v>289</v>
      </c>
      <c r="BA176" t="s">
        <v>48</v>
      </c>
      <c r="BB176" t="s">
        <v>287</v>
      </c>
      <c r="BC176" t="s">
        <v>293</v>
      </c>
      <c r="BD176">
        <v>0</v>
      </c>
      <c r="BE176">
        <v>0</v>
      </c>
      <c r="BF176">
        <v>2</v>
      </c>
      <c r="BG176">
        <v>3</v>
      </c>
      <c r="BH176">
        <v>0</v>
      </c>
      <c r="BI176">
        <v>0</v>
      </c>
      <c r="BJ176">
        <v>0</v>
      </c>
      <c r="BK176">
        <v>3</v>
      </c>
      <c r="BL176">
        <v>0</v>
      </c>
      <c r="BM176">
        <v>2</v>
      </c>
      <c r="BN176">
        <v>3</v>
      </c>
      <c r="BO176">
        <v>0</v>
      </c>
      <c r="BP176">
        <v>2</v>
      </c>
      <c r="BQ176">
        <v>0</v>
      </c>
      <c r="BR176">
        <v>2</v>
      </c>
      <c r="BS176">
        <v>3</v>
      </c>
      <c r="BT176">
        <v>0</v>
      </c>
      <c r="BU176">
        <v>5</v>
      </c>
      <c r="BV176" t="s">
        <v>296</v>
      </c>
    </row>
    <row r="177" spans="1:74">
      <c r="A177" t="s">
        <v>48</v>
      </c>
      <c r="B177" t="s">
        <v>287</v>
      </c>
      <c r="C177" t="s">
        <v>294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 t="s">
        <v>289</v>
      </c>
      <c r="BA177" t="s">
        <v>48</v>
      </c>
      <c r="BB177" t="s">
        <v>287</v>
      </c>
      <c r="BC177" t="s">
        <v>294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296</v>
      </c>
    </row>
    <row r="178" spans="1:74">
      <c r="A178" t="s">
        <v>48</v>
      </c>
      <c r="B178" t="s">
        <v>287</v>
      </c>
      <c r="C178" t="s">
        <v>17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3</v>
      </c>
      <c r="L178">
        <v>1</v>
      </c>
      <c r="M178">
        <v>3</v>
      </c>
      <c r="N178">
        <v>0</v>
      </c>
      <c r="O178">
        <v>1</v>
      </c>
      <c r="P178">
        <v>3</v>
      </c>
      <c r="Q178">
        <v>5</v>
      </c>
      <c r="R178">
        <v>3</v>
      </c>
      <c r="S178">
        <v>0</v>
      </c>
      <c r="T178">
        <v>0</v>
      </c>
      <c r="U178">
        <v>0</v>
      </c>
      <c r="V178">
        <v>3</v>
      </c>
      <c r="W178">
        <v>3</v>
      </c>
      <c r="X178">
        <v>1</v>
      </c>
      <c r="Y178">
        <v>0</v>
      </c>
      <c r="Z178">
        <v>2</v>
      </c>
      <c r="AA178">
        <v>8</v>
      </c>
      <c r="AB178">
        <v>18</v>
      </c>
      <c r="AC178">
        <v>21</v>
      </c>
      <c r="AD178">
        <v>10</v>
      </c>
      <c r="AE178">
        <v>15</v>
      </c>
      <c r="AF178">
        <v>9</v>
      </c>
      <c r="AG178">
        <v>28</v>
      </c>
      <c r="AH178">
        <v>27</v>
      </c>
      <c r="AI178">
        <v>0</v>
      </c>
      <c r="AJ178">
        <v>55</v>
      </c>
      <c r="AK178" t="s">
        <v>289</v>
      </c>
      <c r="BA178" t="s">
        <v>48</v>
      </c>
      <c r="BB178" t="s">
        <v>287</v>
      </c>
      <c r="BC178" t="s">
        <v>17</v>
      </c>
      <c r="BD178">
        <v>1</v>
      </c>
      <c r="BE178">
        <v>1</v>
      </c>
      <c r="BF178">
        <v>8</v>
      </c>
      <c r="BG178">
        <v>17</v>
      </c>
      <c r="BH178">
        <v>28</v>
      </c>
      <c r="BI178">
        <v>1</v>
      </c>
      <c r="BJ178">
        <v>7</v>
      </c>
      <c r="BK178">
        <v>12</v>
      </c>
      <c r="BL178">
        <v>6</v>
      </c>
      <c r="BM178">
        <v>29</v>
      </c>
      <c r="BN178">
        <v>21</v>
      </c>
      <c r="BO178">
        <v>10</v>
      </c>
      <c r="BP178">
        <v>15</v>
      </c>
      <c r="BQ178">
        <v>9</v>
      </c>
      <c r="BR178">
        <v>28</v>
      </c>
      <c r="BS178">
        <v>27</v>
      </c>
      <c r="BT178">
        <v>0</v>
      </c>
      <c r="BU178">
        <v>55</v>
      </c>
      <c r="BV178" t="s">
        <v>296</v>
      </c>
    </row>
    <row r="179" spans="1:74">
      <c r="A179" t="s">
        <v>48</v>
      </c>
      <c r="B179" t="s">
        <v>287</v>
      </c>
      <c r="C179" t="s">
        <v>295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1</v>
      </c>
      <c r="AI179">
        <v>0</v>
      </c>
      <c r="AJ179">
        <v>1</v>
      </c>
      <c r="AK179" t="s">
        <v>289</v>
      </c>
      <c r="BA179" t="s">
        <v>48</v>
      </c>
      <c r="BB179" t="s">
        <v>287</v>
      </c>
      <c r="BC179" t="s">
        <v>295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1</v>
      </c>
      <c r="BQ179">
        <v>0</v>
      </c>
      <c r="BR179">
        <v>0</v>
      </c>
      <c r="BS179">
        <v>1</v>
      </c>
      <c r="BT179">
        <v>0</v>
      </c>
      <c r="BU179">
        <v>1</v>
      </c>
      <c r="BV179" t="s">
        <v>296</v>
      </c>
    </row>
    <row r="180" spans="1:74">
      <c r="A180" t="s">
        <v>49</v>
      </c>
      <c r="B180" t="s">
        <v>287</v>
      </c>
      <c r="C180" t="s">
        <v>288</v>
      </c>
      <c r="D180">
        <v>0.09</v>
      </c>
      <c r="E180">
        <v>0.1</v>
      </c>
      <c r="F180">
        <v>0.31</v>
      </c>
      <c r="G180">
        <v>0.41</v>
      </c>
      <c r="H180">
        <v>1.52</v>
      </c>
      <c r="I180">
        <v>0.14000000000000001</v>
      </c>
      <c r="J180">
        <v>0.38</v>
      </c>
      <c r="K180">
        <v>1.61</v>
      </c>
      <c r="L180">
        <v>2.59</v>
      </c>
      <c r="M180">
        <v>1.74</v>
      </c>
      <c r="N180">
        <v>1.24</v>
      </c>
      <c r="O180">
        <v>1.67</v>
      </c>
      <c r="P180">
        <v>3.47</v>
      </c>
      <c r="Q180">
        <v>3.7</v>
      </c>
      <c r="R180">
        <v>2.39</v>
      </c>
      <c r="S180">
        <v>0.1</v>
      </c>
      <c r="T180">
        <v>0.21</v>
      </c>
      <c r="U180">
        <v>0.93</v>
      </c>
      <c r="V180">
        <v>1.72</v>
      </c>
      <c r="W180">
        <v>1.85</v>
      </c>
      <c r="X180">
        <v>0.26</v>
      </c>
      <c r="Y180">
        <v>0.56999999999999995</v>
      </c>
      <c r="Z180">
        <v>3.66</v>
      </c>
      <c r="AA180">
        <v>7.73</v>
      </c>
      <c r="AB180">
        <v>11.6</v>
      </c>
      <c r="AC180">
        <v>10.61</v>
      </c>
      <c r="AD180">
        <v>7.87</v>
      </c>
      <c r="AE180">
        <v>19.559999999999999</v>
      </c>
      <c r="AF180">
        <v>11.96</v>
      </c>
      <c r="AG180">
        <v>25</v>
      </c>
      <c r="AH180">
        <v>25</v>
      </c>
      <c r="AI180">
        <v>0</v>
      </c>
      <c r="AJ180">
        <v>50</v>
      </c>
      <c r="AK180" t="s">
        <v>289</v>
      </c>
      <c r="BA180" t="s">
        <v>49</v>
      </c>
      <c r="BB180" t="s">
        <v>287</v>
      </c>
      <c r="BC180" t="s">
        <v>288</v>
      </c>
      <c r="BD180">
        <v>1.83</v>
      </c>
      <c r="BE180">
        <v>2.93</v>
      </c>
      <c r="BF180">
        <v>9.98</v>
      </c>
      <c r="BG180">
        <v>16.16</v>
      </c>
      <c r="BH180">
        <v>19.100000000000001</v>
      </c>
      <c r="BI180">
        <v>2.4300000000000002</v>
      </c>
      <c r="BJ180">
        <v>6.46</v>
      </c>
      <c r="BK180">
        <v>12.48</v>
      </c>
      <c r="BL180">
        <v>4.8099999999999996</v>
      </c>
      <c r="BM180">
        <v>23.83</v>
      </c>
      <c r="BN180">
        <v>10.61</v>
      </c>
      <c r="BO180">
        <v>7.87</v>
      </c>
      <c r="BP180">
        <v>19.559999999999999</v>
      </c>
      <c r="BQ180">
        <v>11.96</v>
      </c>
      <c r="BR180">
        <v>25</v>
      </c>
      <c r="BS180">
        <v>25</v>
      </c>
      <c r="BT180">
        <v>0</v>
      </c>
      <c r="BU180">
        <v>50</v>
      </c>
      <c r="BV180" t="s">
        <v>296</v>
      </c>
    </row>
    <row r="181" spans="1:74">
      <c r="A181" t="s">
        <v>49</v>
      </c>
      <c r="B181" t="s">
        <v>287</v>
      </c>
      <c r="C181" t="s">
        <v>290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2</v>
      </c>
      <c r="L181">
        <v>2</v>
      </c>
      <c r="M181">
        <v>2</v>
      </c>
      <c r="N181">
        <v>1</v>
      </c>
      <c r="O181">
        <v>1</v>
      </c>
      <c r="P181">
        <v>1</v>
      </c>
      <c r="Q181">
        <v>4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0</v>
      </c>
      <c r="Y181">
        <v>1</v>
      </c>
      <c r="Z181">
        <v>4</v>
      </c>
      <c r="AA181">
        <v>8</v>
      </c>
      <c r="AB181">
        <v>12</v>
      </c>
      <c r="AC181">
        <v>11</v>
      </c>
      <c r="AD181">
        <v>4</v>
      </c>
      <c r="AE181">
        <v>19</v>
      </c>
      <c r="AF181">
        <v>10</v>
      </c>
      <c r="AG181">
        <v>21</v>
      </c>
      <c r="AH181">
        <v>23</v>
      </c>
      <c r="AI181">
        <v>0</v>
      </c>
      <c r="AJ181">
        <v>44</v>
      </c>
      <c r="AK181" t="s">
        <v>289</v>
      </c>
      <c r="BA181" t="s">
        <v>49</v>
      </c>
      <c r="BB181" t="s">
        <v>287</v>
      </c>
      <c r="BC181" t="s">
        <v>290</v>
      </c>
      <c r="BD181">
        <v>2</v>
      </c>
      <c r="BE181">
        <v>2</v>
      </c>
      <c r="BF181">
        <v>7</v>
      </c>
      <c r="BG181">
        <v>14</v>
      </c>
      <c r="BH181">
        <v>19</v>
      </c>
      <c r="BI181">
        <v>1</v>
      </c>
      <c r="BJ181">
        <v>7</v>
      </c>
      <c r="BK181">
        <v>9</v>
      </c>
      <c r="BL181">
        <v>2</v>
      </c>
      <c r="BM181">
        <v>25</v>
      </c>
      <c r="BN181">
        <v>11</v>
      </c>
      <c r="BO181">
        <v>4</v>
      </c>
      <c r="BP181">
        <v>19</v>
      </c>
      <c r="BQ181">
        <v>10</v>
      </c>
      <c r="BR181">
        <v>21</v>
      </c>
      <c r="BS181">
        <v>23</v>
      </c>
      <c r="BT181">
        <v>0</v>
      </c>
      <c r="BU181">
        <v>44</v>
      </c>
      <c r="BV181" t="s">
        <v>296</v>
      </c>
    </row>
    <row r="182" spans="1:74">
      <c r="A182" t="s">
        <v>49</v>
      </c>
      <c r="B182" t="s">
        <v>287</v>
      </c>
      <c r="C182" t="s">
        <v>291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2</v>
      </c>
      <c r="AC182">
        <v>3</v>
      </c>
      <c r="AD182">
        <v>3</v>
      </c>
      <c r="AE182">
        <v>2</v>
      </c>
      <c r="AF182">
        <v>0</v>
      </c>
      <c r="AG182">
        <v>1</v>
      </c>
      <c r="AH182">
        <v>7</v>
      </c>
      <c r="AI182">
        <v>0</v>
      </c>
      <c r="AJ182">
        <v>8</v>
      </c>
      <c r="AK182" t="s">
        <v>289</v>
      </c>
      <c r="BA182" t="s">
        <v>49</v>
      </c>
      <c r="BB182" t="s">
        <v>287</v>
      </c>
      <c r="BC182" t="s">
        <v>291</v>
      </c>
      <c r="BD182">
        <v>1</v>
      </c>
      <c r="BE182">
        <v>0</v>
      </c>
      <c r="BF182">
        <v>2</v>
      </c>
      <c r="BG182">
        <v>3</v>
      </c>
      <c r="BH182">
        <v>2</v>
      </c>
      <c r="BI182">
        <v>0</v>
      </c>
      <c r="BJ182">
        <v>0</v>
      </c>
      <c r="BK182">
        <v>4</v>
      </c>
      <c r="BL182">
        <v>0</v>
      </c>
      <c r="BM182">
        <v>4</v>
      </c>
      <c r="BN182">
        <v>3</v>
      </c>
      <c r="BO182">
        <v>3</v>
      </c>
      <c r="BP182">
        <v>2</v>
      </c>
      <c r="BQ182">
        <v>0</v>
      </c>
      <c r="BR182">
        <v>1</v>
      </c>
      <c r="BS182">
        <v>7</v>
      </c>
      <c r="BT182">
        <v>0</v>
      </c>
      <c r="BU182">
        <v>8</v>
      </c>
      <c r="BV182" t="s">
        <v>296</v>
      </c>
    </row>
    <row r="183" spans="1:74">
      <c r="A183" t="s">
        <v>49</v>
      </c>
      <c r="B183" t="s">
        <v>287</v>
      </c>
      <c r="C183" t="s">
        <v>292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289</v>
      </c>
      <c r="BA183" t="s">
        <v>49</v>
      </c>
      <c r="BB183" t="s">
        <v>287</v>
      </c>
      <c r="BC183" t="s">
        <v>292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296</v>
      </c>
    </row>
    <row r="184" spans="1:74">
      <c r="A184" t="s">
        <v>49</v>
      </c>
      <c r="B184" t="s">
        <v>287</v>
      </c>
      <c r="C184" t="s">
        <v>293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2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3</v>
      </c>
      <c r="AF184">
        <v>4</v>
      </c>
      <c r="AG184">
        <v>5</v>
      </c>
      <c r="AH184">
        <v>3</v>
      </c>
      <c r="AI184">
        <v>0</v>
      </c>
      <c r="AJ184">
        <v>8</v>
      </c>
      <c r="AK184" t="s">
        <v>289</v>
      </c>
      <c r="BA184" t="s">
        <v>49</v>
      </c>
      <c r="BB184" t="s">
        <v>287</v>
      </c>
      <c r="BC184" t="s">
        <v>293</v>
      </c>
      <c r="BD184">
        <v>0</v>
      </c>
      <c r="BE184">
        <v>1</v>
      </c>
      <c r="BF184">
        <v>1</v>
      </c>
      <c r="BG184">
        <v>3</v>
      </c>
      <c r="BH184">
        <v>3</v>
      </c>
      <c r="BI184">
        <v>1</v>
      </c>
      <c r="BJ184">
        <v>1</v>
      </c>
      <c r="BK184">
        <v>2</v>
      </c>
      <c r="BL184">
        <v>4</v>
      </c>
      <c r="BM184">
        <v>0</v>
      </c>
      <c r="BN184">
        <v>1</v>
      </c>
      <c r="BO184">
        <v>0</v>
      </c>
      <c r="BP184">
        <v>3</v>
      </c>
      <c r="BQ184">
        <v>4</v>
      </c>
      <c r="BR184">
        <v>5</v>
      </c>
      <c r="BS184">
        <v>3</v>
      </c>
      <c r="BT184">
        <v>0</v>
      </c>
      <c r="BU184">
        <v>8</v>
      </c>
      <c r="BV184" t="s">
        <v>296</v>
      </c>
    </row>
    <row r="185" spans="1:74">
      <c r="A185" t="s">
        <v>49</v>
      </c>
      <c r="B185" t="s">
        <v>287</v>
      </c>
      <c r="C185" t="s">
        <v>294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 t="s">
        <v>289</v>
      </c>
      <c r="BA185" t="s">
        <v>49</v>
      </c>
      <c r="BB185" t="s">
        <v>287</v>
      </c>
      <c r="BC185" t="s">
        <v>294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296</v>
      </c>
    </row>
    <row r="186" spans="1:74">
      <c r="A186" t="s">
        <v>49</v>
      </c>
      <c r="B186" t="s">
        <v>287</v>
      </c>
      <c r="C186" t="s">
        <v>17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1</v>
      </c>
      <c r="J186">
        <v>0</v>
      </c>
      <c r="K186">
        <v>2</v>
      </c>
      <c r="L186">
        <v>3</v>
      </c>
      <c r="M186">
        <v>2</v>
      </c>
      <c r="N186">
        <v>2</v>
      </c>
      <c r="O186">
        <v>2</v>
      </c>
      <c r="P186">
        <v>2</v>
      </c>
      <c r="Q186">
        <v>7</v>
      </c>
      <c r="R186">
        <v>2</v>
      </c>
      <c r="S186">
        <v>0</v>
      </c>
      <c r="T186">
        <v>0</v>
      </c>
      <c r="U186">
        <v>0</v>
      </c>
      <c r="V186">
        <v>2</v>
      </c>
      <c r="W186">
        <v>4</v>
      </c>
      <c r="X186">
        <v>0</v>
      </c>
      <c r="Y186">
        <v>1</v>
      </c>
      <c r="Z186">
        <v>6</v>
      </c>
      <c r="AA186">
        <v>8</v>
      </c>
      <c r="AB186">
        <v>14</v>
      </c>
      <c r="AC186">
        <v>15</v>
      </c>
      <c r="AD186">
        <v>7</v>
      </c>
      <c r="AE186">
        <v>24</v>
      </c>
      <c r="AF186">
        <v>14</v>
      </c>
      <c r="AG186">
        <v>27</v>
      </c>
      <c r="AH186">
        <v>33</v>
      </c>
      <c r="AI186">
        <v>0</v>
      </c>
      <c r="AJ186">
        <v>60</v>
      </c>
      <c r="AK186" t="s">
        <v>289</v>
      </c>
      <c r="BA186" t="s">
        <v>49</v>
      </c>
      <c r="BB186" t="s">
        <v>287</v>
      </c>
      <c r="BC186" t="s">
        <v>17</v>
      </c>
      <c r="BD186">
        <v>3</v>
      </c>
      <c r="BE186">
        <v>3</v>
      </c>
      <c r="BF186">
        <v>10</v>
      </c>
      <c r="BG186">
        <v>20</v>
      </c>
      <c r="BH186">
        <v>24</v>
      </c>
      <c r="BI186">
        <v>2</v>
      </c>
      <c r="BJ186">
        <v>8</v>
      </c>
      <c r="BK186">
        <v>15</v>
      </c>
      <c r="BL186">
        <v>6</v>
      </c>
      <c r="BM186">
        <v>29</v>
      </c>
      <c r="BN186">
        <v>15</v>
      </c>
      <c r="BO186">
        <v>7</v>
      </c>
      <c r="BP186">
        <v>24</v>
      </c>
      <c r="BQ186">
        <v>14</v>
      </c>
      <c r="BR186">
        <v>27</v>
      </c>
      <c r="BS186">
        <v>33</v>
      </c>
      <c r="BT186">
        <v>0</v>
      </c>
      <c r="BU186">
        <v>60</v>
      </c>
      <c r="BV186" t="s">
        <v>296</v>
      </c>
    </row>
    <row r="187" spans="1:74">
      <c r="A187" t="s">
        <v>49</v>
      </c>
      <c r="B187" t="s">
        <v>287</v>
      </c>
      <c r="C187" t="s">
        <v>295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 t="s">
        <v>289</v>
      </c>
      <c r="BA187" t="s">
        <v>49</v>
      </c>
      <c r="BB187" t="s">
        <v>287</v>
      </c>
      <c r="BC187" t="s">
        <v>295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296</v>
      </c>
    </row>
    <row r="188" spans="1:74">
      <c r="A188" t="s">
        <v>51</v>
      </c>
      <c r="B188" t="s">
        <v>287</v>
      </c>
      <c r="C188" t="s">
        <v>288</v>
      </c>
      <c r="D188">
        <v>0.11</v>
      </c>
      <c r="E188">
        <v>0.14000000000000001</v>
      </c>
      <c r="F188">
        <v>0.33</v>
      </c>
      <c r="G188">
        <v>0.42</v>
      </c>
      <c r="H188">
        <v>1.63</v>
      </c>
      <c r="I188">
        <v>0.11</v>
      </c>
      <c r="J188">
        <v>0.41</v>
      </c>
      <c r="K188">
        <v>1.83</v>
      </c>
      <c r="L188">
        <v>2.37</v>
      </c>
      <c r="M188">
        <v>1.69</v>
      </c>
      <c r="N188">
        <v>1.3</v>
      </c>
      <c r="O188">
        <v>1.86</v>
      </c>
      <c r="P188">
        <v>3.48</v>
      </c>
      <c r="Q188">
        <v>3.59</v>
      </c>
      <c r="R188">
        <v>2.5099999999999998</v>
      </c>
      <c r="S188">
        <v>0.1</v>
      </c>
      <c r="T188">
        <v>0.24</v>
      </c>
      <c r="U188">
        <v>0.72</v>
      </c>
      <c r="V188">
        <v>1.68</v>
      </c>
      <c r="W188">
        <v>1.89</v>
      </c>
      <c r="X188">
        <v>0.28999999999999998</v>
      </c>
      <c r="Y188">
        <v>0.5</v>
      </c>
      <c r="Z188">
        <v>3.66</v>
      </c>
      <c r="AA188">
        <v>7.75</v>
      </c>
      <c r="AB188">
        <v>11.41</v>
      </c>
      <c r="AC188">
        <v>10.210000000000001</v>
      </c>
      <c r="AD188">
        <v>7.91</v>
      </c>
      <c r="AE188">
        <v>19.89</v>
      </c>
      <c r="AF188">
        <v>11.99</v>
      </c>
      <c r="AG188">
        <v>25</v>
      </c>
      <c r="AH188">
        <v>25</v>
      </c>
      <c r="AI188">
        <v>0</v>
      </c>
      <c r="AJ188">
        <v>50</v>
      </c>
      <c r="AK188" t="s">
        <v>289</v>
      </c>
      <c r="BA188" t="s">
        <v>51</v>
      </c>
      <c r="BB188" t="s">
        <v>287</v>
      </c>
      <c r="BC188" t="s">
        <v>288</v>
      </c>
      <c r="BD188">
        <v>1.91</v>
      </c>
      <c r="BE188">
        <v>3.13</v>
      </c>
      <c r="BF188">
        <v>10.02</v>
      </c>
      <c r="BG188">
        <v>15.8</v>
      </c>
      <c r="BH188">
        <v>19.13</v>
      </c>
      <c r="BI188">
        <v>2.63</v>
      </c>
      <c r="BJ188">
        <v>6.4</v>
      </c>
      <c r="BK188">
        <v>12.73</v>
      </c>
      <c r="BL188">
        <v>4.63</v>
      </c>
      <c r="BM188">
        <v>23.61</v>
      </c>
      <c r="BN188">
        <v>10.210000000000001</v>
      </c>
      <c r="BO188">
        <v>7.91</v>
      </c>
      <c r="BP188">
        <v>19.89</v>
      </c>
      <c r="BQ188">
        <v>11.99</v>
      </c>
      <c r="BR188">
        <v>25</v>
      </c>
      <c r="BS188">
        <v>25</v>
      </c>
      <c r="BT188">
        <v>0</v>
      </c>
      <c r="BU188">
        <v>50</v>
      </c>
      <c r="BV188" t="s">
        <v>296</v>
      </c>
    </row>
    <row r="189" spans="1:74">
      <c r="A189" t="s">
        <v>51</v>
      </c>
      <c r="B189" t="s">
        <v>287</v>
      </c>
      <c r="C189" t="s">
        <v>290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2</v>
      </c>
      <c r="M189">
        <v>2</v>
      </c>
      <c r="N189">
        <v>0</v>
      </c>
      <c r="O189">
        <v>1</v>
      </c>
      <c r="P189">
        <v>3</v>
      </c>
      <c r="Q189">
        <v>4</v>
      </c>
      <c r="R189">
        <v>3</v>
      </c>
      <c r="S189">
        <v>0</v>
      </c>
      <c r="T189">
        <v>0</v>
      </c>
      <c r="U189">
        <v>1</v>
      </c>
      <c r="V189">
        <v>1</v>
      </c>
      <c r="W189">
        <v>2</v>
      </c>
      <c r="X189">
        <v>0</v>
      </c>
      <c r="Y189">
        <v>1</v>
      </c>
      <c r="Z189">
        <v>4</v>
      </c>
      <c r="AA189">
        <v>6</v>
      </c>
      <c r="AB189">
        <v>11</v>
      </c>
      <c r="AC189">
        <v>9</v>
      </c>
      <c r="AD189">
        <v>6</v>
      </c>
      <c r="AE189">
        <v>17</v>
      </c>
      <c r="AF189">
        <v>11</v>
      </c>
      <c r="AG189">
        <v>22</v>
      </c>
      <c r="AH189">
        <v>22</v>
      </c>
      <c r="AI189">
        <v>0</v>
      </c>
      <c r="AJ189">
        <v>44</v>
      </c>
      <c r="AK189" t="s">
        <v>289</v>
      </c>
      <c r="BA189" t="s">
        <v>51</v>
      </c>
      <c r="BB189" t="s">
        <v>287</v>
      </c>
      <c r="BC189" t="s">
        <v>290</v>
      </c>
      <c r="BD189">
        <v>1</v>
      </c>
      <c r="BE189">
        <v>2</v>
      </c>
      <c r="BF189">
        <v>8</v>
      </c>
      <c r="BG189">
        <v>14</v>
      </c>
      <c r="BH189">
        <v>19</v>
      </c>
      <c r="BI189">
        <v>2</v>
      </c>
      <c r="BJ189">
        <v>5</v>
      </c>
      <c r="BK189">
        <v>11</v>
      </c>
      <c r="BL189">
        <v>4</v>
      </c>
      <c r="BM189">
        <v>22</v>
      </c>
      <c r="BN189">
        <v>9</v>
      </c>
      <c r="BO189">
        <v>6</v>
      </c>
      <c r="BP189">
        <v>17</v>
      </c>
      <c r="BQ189">
        <v>11</v>
      </c>
      <c r="BR189">
        <v>22</v>
      </c>
      <c r="BS189">
        <v>22</v>
      </c>
      <c r="BT189">
        <v>0</v>
      </c>
      <c r="BU189">
        <v>44</v>
      </c>
      <c r="BV189" t="s">
        <v>296</v>
      </c>
    </row>
    <row r="190" spans="1:74">
      <c r="A190" t="s">
        <v>51</v>
      </c>
      <c r="B190" t="s">
        <v>287</v>
      </c>
      <c r="C190" t="s">
        <v>291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2</v>
      </c>
      <c r="Z190">
        <v>0</v>
      </c>
      <c r="AA190">
        <v>0</v>
      </c>
      <c r="AB190">
        <v>4</v>
      </c>
      <c r="AC190">
        <v>4</v>
      </c>
      <c r="AD190">
        <v>3</v>
      </c>
      <c r="AE190">
        <v>1</v>
      </c>
      <c r="AF190">
        <v>3</v>
      </c>
      <c r="AG190">
        <v>8</v>
      </c>
      <c r="AH190">
        <v>3</v>
      </c>
      <c r="AI190">
        <v>0</v>
      </c>
      <c r="AJ190">
        <v>11</v>
      </c>
      <c r="AK190" t="s">
        <v>289</v>
      </c>
      <c r="BA190" t="s">
        <v>51</v>
      </c>
      <c r="BB190" t="s">
        <v>287</v>
      </c>
      <c r="BC190" t="s">
        <v>291</v>
      </c>
      <c r="BD190">
        <v>0</v>
      </c>
      <c r="BE190">
        <v>2</v>
      </c>
      <c r="BF190">
        <v>1</v>
      </c>
      <c r="BG190">
        <v>3</v>
      </c>
      <c r="BH190">
        <v>5</v>
      </c>
      <c r="BI190">
        <v>0</v>
      </c>
      <c r="BJ190">
        <v>0</v>
      </c>
      <c r="BK190">
        <v>4</v>
      </c>
      <c r="BL190">
        <v>1</v>
      </c>
      <c r="BM190">
        <v>6</v>
      </c>
      <c r="BN190">
        <v>4</v>
      </c>
      <c r="BO190">
        <v>3</v>
      </c>
      <c r="BP190">
        <v>1</v>
      </c>
      <c r="BQ190">
        <v>3</v>
      </c>
      <c r="BR190">
        <v>8</v>
      </c>
      <c r="BS190">
        <v>3</v>
      </c>
      <c r="BT190">
        <v>0</v>
      </c>
      <c r="BU190">
        <v>11</v>
      </c>
      <c r="BV190" t="s">
        <v>296</v>
      </c>
    </row>
    <row r="191" spans="1:74">
      <c r="A191" t="s">
        <v>51</v>
      </c>
      <c r="B191" t="s">
        <v>287</v>
      </c>
      <c r="C191" t="s">
        <v>292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 t="s">
        <v>289</v>
      </c>
      <c r="BA191" t="s">
        <v>51</v>
      </c>
      <c r="BB191" t="s">
        <v>287</v>
      </c>
      <c r="BC191" t="s">
        <v>292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296</v>
      </c>
    </row>
    <row r="192" spans="1:74">
      <c r="A192" t="s">
        <v>51</v>
      </c>
      <c r="B192" t="s">
        <v>287</v>
      </c>
      <c r="C192" t="s">
        <v>293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1</v>
      </c>
      <c r="AE192">
        <v>2</v>
      </c>
      <c r="AF192">
        <v>1</v>
      </c>
      <c r="AG192">
        <v>3</v>
      </c>
      <c r="AH192">
        <v>2</v>
      </c>
      <c r="AI192">
        <v>0</v>
      </c>
      <c r="AJ192">
        <v>5</v>
      </c>
      <c r="AK192" t="s">
        <v>289</v>
      </c>
      <c r="BA192" t="s">
        <v>51</v>
      </c>
      <c r="BB192" t="s">
        <v>287</v>
      </c>
      <c r="BC192" t="s">
        <v>293</v>
      </c>
      <c r="BD192">
        <v>0</v>
      </c>
      <c r="BE192">
        <v>0</v>
      </c>
      <c r="BF192">
        <v>3</v>
      </c>
      <c r="BG192">
        <v>1</v>
      </c>
      <c r="BH192">
        <v>1</v>
      </c>
      <c r="BI192">
        <v>1</v>
      </c>
      <c r="BJ192">
        <v>2</v>
      </c>
      <c r="BK192">
        <v>0</v>
      </c>
      <c r="BL192">
        <v>0</v>
      </c>
      <c r="BM192">
        <v>2</v>
      </c>
      <c r="BN192">
        <v>1</v>
      </c>
      <c r="BO192">
        <v>1</v>
      </c>
      <c r="BP192">
        <v>2</v>
      </c>
      <c r="BQ192">
        <v>1</v>
      </c>
      <c r="BR192">
        <v>3</v>
      </c>
      <c r="BS192">
        <v>2</v>
      </c>
      <c r="BT192">
        <v>0</v>
      </c>
      <c r="BU192">
        <v>5</v>
      </c>
      <c r="BV192" t="s">
        <v>296</v>
      </c>
    </row>
    <row r="193" spans="1:74">
      <c r="A193" t="s">
        <v>51</v>
      </c>
      <c r="B193" t="s">
        <v>287</v>
      </c>
      <c r="C193" t="s">
        <v>294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289</v>
      </c>
      <c r="BA193" t="s">
        <v>51</v>
      </c>
      <c r="BB193" t="s">
        <v>287</v>
      </c>
      <c r="BC193" t="s">
        <v>294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296</v>
      </c>
    </row>
    <row r="194" spans="1:74">
      <c r="A194" t="s">
        <v>51</v>
      </c>
      <c r="B194" t="s">
        <v>287</v>
      </c>
      <c r="C194" t="s">
        <v>17</v>
      </c>
      <c r="D194">
        <v>0</v>
      </c>
      <c r="E194">
        <v>0</v>
      </c>
      <c r="F194">
        <v>0</v>
      </c>
      <c r="G194">
        <v>1</v>
      </c>
      <c r="H194">
        <v>2</v>
      </c>
      <c r="I194">
        <v>1</v>
      </c>
      <c r="J194">
        <v>0</v>
      </c>
      <c r="K194">
        <v>2</v>
      </c>
      <c r="L194">
        <v>2</v>
      </c>
      <c r="M194">
        <v>2</v>
      </c>
      <c r="N194">
        <v>0</v>
      </c>
      <c r="O194">
        <v>1</v>
      </c>
      <c r="P194">
        <v>4</v>
      </c>
      <c r="Q194">
        <v>7</v>
      </c>
      <c r="R194">
        <v>3</v>
      </c>
      <c r="S194">
        <v>0</v>
      </c>
      <c r="T194">
        <v>0</v>
      </c>
      <c r="U194">
        <v>1</v>
      </c>
      <c r="V194">
        <v>1</v>
      </c>
      <c r="W194">
        <v>3</v>
      </c>
      <c r="X194">
        <v>0</v>
      </c>
      <c r="Y194">
        <v>3</v>
      </c>
      <c r="Z194">
        <v>5</v>
      </c>
      <c r="AA194">
        <v>7</v>
      </c>
      <c r="AB194">
        <v>15</v>
      </c>
      <c r="AC194">
        <v>14</v>
      </c>
      <c r="AD194">
        <v>10</v>
      </c>
      <c r="AE194">
        <v>20</v>
      </c>
      <c r="AF194">
        <v>15</v>
      </c>
      <c r="AG194">
        <v>33</v>
      </c>
      <c r="AH194">
        <v>27</v>
      </c>
      <c r="AI194">
        <v>0</v>
      </c>
      <c r="AJ194">
        <v>60</v>
      </c>
      <c r="AK194" t="s">
        <v>289</v>
      </c>
      <c r="BA194" t="s">
        <v>51</v>
      </c>
      <c r="BB194" t="s">
        <v>287</v>
      </c>
      <c r="BC194" t="s">
        <v>17</v>
      </c>
      <c r="BD194">
        <v>1</v>
      </c>
      <c r="BE194">
        <v>4</v>
      </c>
      <c r="BF194">
        <v>12</v>
      </c>
      <c r="BG194">
        <v>18</v>
      </c>
      <c r="BH194">
        <v>25</v>
      </c>
      <c r="BI194">
        <v>3</v>
      </c>
      <c r="BJ194">
        <v>7</v>
      </c>
      <c r="BK194">
        <v>15</v>
      </c>
      <c r="BL194">
        <v>5</v>
      </c>
      <c r="BM194">
        <v>30</v>
      </c>
      <c r="BN194">
        <v>14</v>
      </c>
      <c r="BO194">
        <v>10</v>
      </c>
      <c r="BP194">
        <v>20</v>
      </c>
      <c r="BQ194">
        <v>15</v>
      </c>
      <c r="BR194">
        <v>33</v>
      </c>
      <c r="BS194">
        <v>27</v>
      </c>
      <c r="BT194">
        <v>0</v>
      </c>
      <c r="BU194">
        <v>60</v>
      </c>
      <c r="BV194" t="s">
        <v>296</v>
      </c>
    </row>
    <row r="195" spans="1:74">
      <c r="A195" t="s">
        <v>51</v>
      </c>
      <c r="B195" t="s">
        <v>287</v>
      </c>
      <c r="C195" t="s">
        <v>295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 t="s">
        <v>289</v>
      </c>
      <c r="BA195" t="s">
        <v>51</v>
      </c>
      <c r="BB195" t="s">
        <v>287</v>
      </c>
      <c r="BC195" t="s">
        <v>295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296</v>
      </c>
    </row>
    <row r="196" spans="1:74">
      <c r="A196" t="s">
        <v>52</v>
      </c>
      <c r="B196" t="s">
        <v>287</v>
      </c>
      <c r="C196" t="s">
        <v>288</v>
      </c>
      <c r="D196">
        <v>0.1</v>
      </c>
      <c r="E196">
        <v>0.13</v>
      </c>
      <c r="F196">
        <v>0.3</v>
      </c>
      <c r="G196">
        <v>0.45</v>
      </c>
      <c r="H196">
        <v>1.57</v>
      </c>
      <c r="I196">
        <v>0.12</v>
      </c>
      <c r="J196">
        <v>0.44</v>
      </c>
      <c r="K196">
        <v>1.75</v>
      </c>
      <c r="L196">
        <v>2.33</v>
      </c>
      <c r="M196">
        <v>1.69</v>
      </c>
      <c r="N196">
        <v>1.41</v>
      </c>
      <c r="O196">
        <v>2.0299999999999998</v>
      </c>
      <c r="P196">
        <v>3.55</v>
      </c>
      <c r="Q196">
        <v>3.75</v>
      </c>
      <c r="R196">
        <v>2.4900000000000002</v>
      </c>
      <c r="S196">
        <v>0.1</v>
      </c>
      <c r="T196">
        <v>0.22</v>
      </c>
      <c r="U196">
        <v>0.85</v>
      </c>
      <c r="V196">
        <v>1.69</v>
      </c>
      <c r="W196">
        <v>1.88</v>
      </c>
      <c r="X196">
        <v>0.28000000000000003</v>
      </c>
      <c r="Y196">
        <v>0.56000000000000005</v>
      </c>
      <c r="Z196">
        <v>3.62</v>
      </c>
      <c r="AA196">
        <v>7.53</v>
      </c>
      <c r="AB196">
        <v>11.14</v>
      </c>
      <c r="AC196">
        <v>10.33</v>
      </c>
      <c r="AD196">
        <v>7.67</v>
      </c>
      <c r="AE196">
        <v>19.829999999999998</v>
      </c>
      <c r="AF196">
        <v>12.17</v>
      </c>
      <c r="AG196">
        <v>25</v>
      </c>
      <c r="AH196">
        <v>25</v>
      </c>
      <c r="AI196">
        <v>0</v>
      </c>
      <c r="AJ196">
        <v>50</v>
      </c>
      <c r="AK196" t="s">
        <v>289</v>
      </c>
      <c r="BA196" t="s">
        <v>52</v>
      </c>
      <c r="BB196" t="s">
        <v>287</v>
      </c>
      <c r="BC196" t="s">
        <v>288</v>
      </c>
      <c r="BD196">
        <v>2.02</v>
      </c>
      <c r="BE196">
        <v>3.39</v>
      </c>
      <c r="BF196">
        <v>10.07</v>
      </c>
      <c r="BG196">
        <v>15.76</v>
      </c>
      <c r="BH196">
        <v>18.760000000000002</v>
      </c>
      <c r="BI196">
        <v>2.56</v>
      </c>
      <c r="BJ196">
        <v>6.32</v>
      </c>
      <c r="BK196">
        <v>13.23</v>
      </c>
      <c r="BL196">
        <v>4.75</v>
      </c>
      <c r="BM196">
        <v>23.13</v>
      </c>
      <c r="BN196">
        <v>10.33</v>
      </c>
      <c r="BO196">
        <v>7.67</v>
      </c>
      <c r="BP196">
        <v>19.829999999999998</v>
      </c>
      <c r="BQ196">
        <v>12.17</v>
      </c>
      <c r="BR196">
        <v>25</v>
      </c>
      <c r="BS196">
        <v>25</v>
      </c>
      <c r="BT196">
        <v>0</v>
      </c>
      <c r="BU196">
        <v>50</v>
      </c>
      <c r="BV196" t="s">
        <v>296</v>
      </c>
    </row>
    <row r="197" spans="1:74">
      <c r="A197" t="s">
        <v>52</v>
      </c>
      <c r="B197" t="s">
        <v>287</v>
      </c>
      <c r="C197" t="s">
        <v>290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0</v>
      </c>
      <c r="J197">
        <v>0</v>
      </c>
      <c r="K197">
        <v>1</v>
      </c>
      <c r="L197">
        <v>2</v>
      </c>
      <c r="M197">
        <v>1</v>
      </c>
      <c r="N197">
        <v>1</v>
      </c>
      <c r="O197">
        <v>2</v>
      </c>
      <c r="P197">
        <v>1</v>
      </c>
      <c r="Q197">
        <v>3</v>
      </c>
      <c r="R197">
        <v>2</v>
      </c>
      <c r="S197">
        <v>0</v>
      </c>
      <c r="T197">
        <v>0</v>
      </c>
      <c r="U197">
        <v>0</v>
      </c>
      <c r="V197">
        <v>1</v>
      </c>
      <c r="W197">
        <v>2</v>
      </c>
      <c r="X197">
        <v>0</v>
      </c>
      <c r="Y197">
        <v>0</v>
      </c>
      <c r="Z197">
        <v>1</v>
      </c>
      <c r="AA197">
        <v>7</v>
      </c>
      <c r="AB197">
        <v>11</v>
      </c>
      <c r="AC197">
        <v>6</v>
      </c>
      <c r="AD197">
        <v>6</v>
      </c>
      <c r="AE197">
        <v>17</v>
      </c>
      <c r="AF197">
        <v>8</v>
      </c>
      <c r="AG197">
        <v>19</v>
      </c>
      <c r="AH197">
        <v>18</v>
      </c>
      <c r="AI197">
        <v>0</v>
      </c>
      <c r="AJ197">
        <v>37</v>
      </c>
      <c r="AK197" t="s">
        <v>289</v>
      </c>
      <c r="BA197" t="s">
        <v>52</v>
      </c>
      <c r="BB197" t="s">
        <v>287</v>
      </c>
      <c r="BC197" t="s">
        <v>290</v>
      </c>
      <c r="BD197">
        <v>1</v>
      </c>
      <c r="BE197">
        <v>2</v>
      </c>
      <c r="BF197">
        <v>3</v>
      </c>
      <c r="BG197">
        <v>13</v>
      </c>
      <c r="BH197">
        <v>18</v>
      </c>
      <c r="BI197">
        <v>2</v>
      </c>
      <c r="BJ197">
        <v>4</v>
      </c>
      <c r="BK197">
        <v>9</v>
      </c>
      <c r="BL197">
        <v>3</v>
      </c>
      <c r="BM197">
        <v>19</v>
      </c>
      <c r="BN197">
        <v>6</v>
      </c>
      <c r="BO197">
        <v>6</v>
      </c>
      <c r="BP197">
        <v>17</v>
      </c>
      <c r="BQ197">
        <v>8</v>
      </c>
      <c r="BR197">
        <v>19</v>
      </c>
      <c r="BS197">
        <v>18</v>
      </c>
      <c r="BT197">
        <v>0</v>
      </c>
      <c r="BU197">
        <v>37</v>
      </c>
      <c r="BV197" t="s">
        <v>296</v>
      </c>
    </row>
    <row r="198" spans="1:74">
      <c r="A198" t="s">
        <v>52</v>
      </c>
      <c r="B198" t="s">
        <v>287</v>
      </c>
      <c r="C198" t="s">
        <v>291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0</v>
      </c>
      <c r="P198">
        <v>0</v>
      </c>
      <c r="Q198">
        <v>0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</v>
      </c>
      <c r="AC198">
        <v>5</v>
      </c>
      <c r="AD198">
        <v>1</v>
      </c>
      <c r="AE198">
        <v>1</v>
      </c>
      <c r="AF198">
        <v>2</v>
      </c>
      <c r="AG198">
        <v>4</v>
      </c>
      <c r="AH198">
        <v>5</v>
      </c>
      <c r="AI198">
        <v>0</v>
      </c>
      <c r="AJ198">
        <v>9</v>
      </c>
      <c r="AK198" t="s">
        <v>289</v>
      </c>
      <c r="BA198" t="s">
        <v>52</v>
      </c>
      <c r="BB198" t="s">
        <v>287</v>
      </c>
      <c r="BC198" t="s">
        <v>291</v>
      </c>
      <c r="BD198">
        <v>2</v>
      </c>
      <c r="BE198">
        <v>0</v>
      </c>
      <c r="BF198">
        <v>0</v>
      </c>
      <c r="BG198">
        <v>0</v>
      </c>
      <c r="BH198">
        <v>7</v>
      </c>
      <c r="BI198">
        <v>0</v>
      </c>
      <c r="BJ198">
        <v>0</v>
      </c>
      <c r="BK198">
        <v>5</v>
      </c>
      <c r="BL198">
        <v>0</v>
      </c>
      <c r="BM198">
        <v>4</v>
      </c>
      <c r="BN198">
        <v>5</v>
      </c>
      <c r="BO198">
        <v>1</v>
      </c>
      <c r="BP198">
        <v>1</v>
      </c>
      <c r="BQ198">
        <v>2</v>
      </c>
      <c r="BR198">
        <v>4</v>
      </c>
      <c r="BS198">
        <v>5</v>
      </c>
      <c r="BT198">
        <v>0</v>
      </c>
      <c r="BU198">
        <v>9</v>
      </c>
      <c r="BV198" t="s">
        <v>296</v>
      </c>
    </row>
    <row r="199" spans="1:74">
      <c r="A199" t="s">
        <v>52</v>
      </c>
      <c r="B199" t="s">
        <v>287</v>
      </c>
      <c r="C199" t="s">
        <v>292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0</v>
      </c>
      <c r="AH199">
        <v>1</v>
      </c>
      <c r="AI199">
        <v>0</v>
      </c>
      <c r="AJ199">
        <v>1</v>
      </c>
      <c r="AK199" t="s">
        <v>289</v>
      </c>
      <c r="BA199" t="s">
        <v>52</v>
      </c>
      <c r="BB199" t="s">
        <v>287</v>
      </c>
      <c r="BC199" t="s">
        <v>292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1</v>
      </c>
      <c r="BN199">
        <v>0</v>
      </c>
      <c r="BO199">
        <v>0</v>
      </c>
      <c r="BP199">
        <v>1</v>
      </c>
      <c r="BQ199">
        <v>0</v>
      </c>
      <c r="BR199">
        <v>0</v>
      </c>
      <c r="BS199">
        <v>1</v>
      </c>
      <c r="BT199">
        <v>0</v>
      </c>
      <c r="BU199">
        <v>1</v>
      </c>
      <c r="BV199" t="s">
        <v>296</v>
      </c>
    </row>
    <row r="200" spans="1:74">
      <c r="A200" t="s">
        <v>52</v>
      </c>
      <c r="B200" t="s">
        <v>287</v>
      </c>
      <c r="C200" t="s">
        <v>293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1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3</v>
      </c>
      <c r="AD200">
        <v>0</v>
      </c>
      <c r="AE200">
        <v>2</v>
      </c>
      <c r="AF200">
        <v>1</v>
      </c>
      <c r="AG200">
        <v>4</v>
      </c>
      <c r="AH200">
        <v>2</v>
      </c>
      <c r="AI200">
        <v>0</v>
      </c>
      <c r="AJ200">
        <v>6</v>
      </c>
      <c r="AK200" t="s">
        <v>289</v>
      </c>
      <c r="BA200" t="s">
        <v>52</v>
      </c>
      <c r="BB200" t="s">
        <v>287</v>
      </c>
      <c r="BC200" t="s">
        <v>293</v>
      </c>
      <c r="BD200">
        <v>0</v>
      </c>
      <c r="BE200">
        <v>0</v>
      </c>
      <c r="BF200">
        <v>1</v>
      </c>
      <c r="BG200">
        <v>4</v>
      </c>
      <c r="BH200">
        <v>1</v>
      </c>
      <c r="BI200">
        <v>0</v>
      </c>
      <c r="BJ200">
        <v>3</v>
      </c>
      <c r="BK200">
        <v>0</v>
      </c>
      <c r="BL200">
        <v>2</v>
      </c>
      <c r="BM200">
        <v>1</v>
      </c>
      <c r="BN200">
        <v>3</v>
      </c>
      <c r="BO200">
        <v>0</v>
      </c>
      <c r="BP200">
        <v>2</v>
      </c>
      <c r="BQ200">
        <v>1</v>
      </c>
      <c r="BR200">
        <v>4</v>
      </c>
      <c r="BS200">
        <v>2</v>
      </c>
      <c r="BT200">
        <v>0</v>
      </c>
      <c r="BU200">
        <v>6</v>
      </c>
      <c r="BV200" t="s">
        <v>296</v>
      </c>
    </row>
    <row r="201" spans="1:74">
      <c r="A201" t="s">
        <v>52</v>
      </c>
      <c r="B201" t="s">
        <v>287</v>
      </c>
      <c r="C201" t="s">
        <v>294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 t="s">
        <v>289</v>
      </c>
      <c r="BA201" t="s">
        <v>52</v>
      </c>
      <c r="BB201" t="s">
        <v>287</v>
      </c>
      <c r="BC201" t="s">
        <v>294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296</v>
      </c>
    </row>
    <row r="202" spans="1:74">
      <c r="A202" t="s">
        <v>52</v>
      </c>
      <c r="B202" t="s">
        <v>287</v>
      </c>
      <c r="C202" t="s">
        <v>17</v>
      </c>
      <c r="D202">
        <v>0</v>
      </c>
      <c r="E202">
        <v>0</v>
      </c>
      <c r="F202">
        <v>0</v>
      </c>
      <c r="G202">
        <v>0</v>
      </c>
      <c r="H202">
        <v>2</v>
      </c>
      <c r="I202">
        <v>0</v>
      </c>
      <c r="J202">
        <v>0</v>
      </c>
      <c r="K202">
        <v>2</v>
      </c>
      <c r="L202">
        <v>3</v>
      </c>
      <c r="M202">
        <v>2</v>
      </c>
      <c r="N202">
        <v>3</v>
      </c>
      <c r="O202">
        <v>2</v>
      </c>
      <c r="P202">
        <v>1</v>
      </c>
      <c r="Q202">
        <v>3</v>
      </c>
      <c r="R202">
        <v>5</v>
      </c>
      <c r="S202">
        <v>0</v>
      </c>
      <c r="T202">
        <v>0</v>
      </c>
      <c r="U202">
        <v>0</v>
      </c>
      <c r="V202">
        <v>3</v>
      </c>
      <c r="W202">
        <v>2</v>
      </c>
      <c r="X202">
        <v>0</v>
      </c>
      <c r="Y202">
        <v>1</v>
      </c>
      <c r="Z202">
        <v>1</v>
      </c>
      <c r="AA202">
        <v>8</v>
      </c>
      <c r="AB202">
        <v>15</v>
      </c>
      <c r="AC202">
        <v>14</v>
      </c>
      <c r="AD202">
        <v>7</v>
      </c>
      <c r="AE202">
        <v>21</v>
      </c>
      <c r="AF202">
        <v>11</v>
      </c>
      <c r="AG202">
        <v>27</v>
      </c>
      <c r="AH202">
        <v>26</v>
      </c>
      <c r="AI202">
        <v>0</v>
      </c>
      <c r="AJ202">
        <v>53</v>
      </c>
      <c r="AK202" t="s">
        <v>289</v>
      </c>
      <c r="BA202" t="s">
        <v>52</v>
      </c>
      <c r="BB202" t="s">
        <v>287</v>
      </c>
      <c r="BC202" t="s">
        <v>17</v>
      </c>
      <c r="BD202">
        <v>3</v>
      </c>
      <c r="BE202">
        <v>3</v>
      </c>
      <c r="BF202">
        <v>4</v>
      </c>
      <c r="BG202">
        <v>17</v>
      </c>
      <c r="BH202">
        <v>26</v>
      </c>
      <c r="BI202">
        <v>2</v>
      </c>
      <c r="BJ202">
        <v>7</v>
      </c>
      <c r="BK202">
        <v>14</v>
      </c>
      <c r="BL202">
        <v>5</v>
      </c>
      <c r="BM202">
        <v>25</v>
      </c>
      <c r="BN202">
        <v>14</v>
      </c>
      <c r="BO202">
        <v>7</v>
      </c>
      <c r="BP202">
        <v>21</v>
      </c>
      <c r="BQ202">
        <v>11</v>
      </c>
      <c r="BR202">
        <v>27</v>
      </c>
      <c r="BS202">
        <v>26</v>
      </c>
      <c r="BT202">
        <v>0</v>
      </c>
      <c r="BU202">
        <v>53</v>
      </c>
      <c r="BV202" t="s">
        <v>296</v>
      </c>
    </row>
    <row r="203" spans="1:74">
      <c r="A203" t="s">
        <v>52</v>
      </c>
      <c r="B203" t="s">
        <v>287</v>
      </c>
      <c r="C203" t="s">
        <v>295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 t="s">
        <v>289</v>
      </c>
      <c r="BA203" t="s">
        <v>52</v>
      </c>
      <c r="BB203" t="s">
        <v>287</v>
      </c>
      <c r="BC203" t="s">
        <v>295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 t="s">
        <v>296</v>
      </c>
    </row>
    <row r="204" spans="1:74">
      <c r="A204" t="s">
        <v>53</v>
      </c>
      <c r="B204" t="s">
        <v>287</v>
      </c>
      <c r="C204" t="s">
        <v>288</v>
      </c>
      <c r="D204">
        <v>0.11</v>
      </c>
      <c r="E204">
        <v>0.15</v>
      </c>
      <c r="F204">
        <v>0.27</v>
      </c>
      <c r="G204">
        <v>0.49</v>
      </c>
      <c r="H204">
        <v>1.45</v>
      </c>
      <c r="I204">
        <v>0.15</v>
      </c>
      <c r="J204">
        <v>0.41</v>
      </c>
      <c r="K204">
        <v>1.7</v>
      </c>
      <c r="L204">
        <v>2.4500000000000002</v>
      </c>
      <c r="M204">
        <v>1.73</v>
      </c>
      <c r="N204">
        <v>1.32</v>
      </c>
      <c r="O204">
        <v>2</v>
      </c>
      <c r="P204">
        <v>3.39</v>
      </c>
      <c r="Q204">
        <v>3.35</v>
      </c>
      <c r="R204">
        <v>2.39</v>
      </c>
      <c r="S204">
        <v>0.1</v>
      </c>
      <c r="T204">
        <v>0.2</v>
      </c>
      <c r="U204">
        <v>0.82</v>
      </c>
      <c r="V204">
        <v>1.57</v>
      </c>
      <c r="W204">
        <v>1.71</v>
      </c>
      <c r="X204">
        <v>0.28000000000000003</v>
      </c>
      <c r="Y204">
        <v>0.62</v>
      </c>
      <c r="Z204">
        <v>3.77</v>
      </c>
      <c r="AA204">
        <v>7.82</v>
      </c>
      <c r="AB204">
        <v>11.76</v>
      </c>
      <c r="AC204">
        <v>10.54</v>
      </c>
      <c r="AD204">
        <v>7.82</v>
      </c>
      <c r="AE204">
        <v>19.98</v>
      </c>
      <c r="AF204">
        <v>11.66</v>
      </c>
      <c r="AG204">
        <v>25</v>
      </c>
      <c r="AH204">
        <v>25</v>
      </c>
      <c r="AI204">
        <v>0</v>
      </c>
      <c r="AJ204">
        <v>50</v>
      </c>
      <c r="AK204" t="s">
        <v>289</v>
      </c>
      <c r="BA204" t="s">
        <v>53</v>
      </c>
      <c r="BB204" t="s">
        <v>287</v>
      </c>
      <c r="BC204" t="s">
        <v>288</v>
      </c>
      <c r="BD204">
        <v>1.97</v>
      </c>
      <c r="BE204">
        <v>3.37</v>
      </c>
      <c r="BF204">
        <v>9.9499999999999993</v>
      </c>
      <c r="BG204">
        <v>15.67</v>
      </c>
      <c r="BH204">
        <v>19.04</v>
      </c>
      <c r="BI204">
        <v>2.46</v>
      </c>
      <c r="BJ204">
        <v>6.45</v>
      </c>
      <c r="BK204">
        <v>12.44</v>
      </c>
      <c r="BL204">
        <v>4.4000000000000004</v>
      </c>
      <c r="BM204">
        <v>24.25</v>
      </c>
      <c r="BN204">
        <v>10.54</v>
      </c>
      <c r="BO204">
        <v>7.82</v>
      </c>
      <c r="BP204">
        <v>19.98</v>
      </c>
      <c r="BQ204">
        <v>11.66</v>
      </c>
      <c r="BR204">
        <v>25</v>
      </c>
      <c r="BS204">
        <v>25</v>
      </c>
      <c r="BT204">
        <v>0</v>
      </c>
      <c r="BU204">
        <v>50</v>
      </c>
      <c r="BV204" t="s">
        <v>296</v>
      </c>
    </row>
    <row r="205" spans="1:74">
      <c r="A205" t="s">
        <v>53</v>
      </c>
      <c r="B205" t="s">
        <v>287</v>
      </c>
      <c r="C205" t="s">
        <v>290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2</v>
      </c>
      <c r="L205">
        <v>2</v>
      </c>
      <c r="M205">
        <v>2</v>
      </c>
      <c r="N205">
        <v>2</v>
      </c>
      <c r="O205">
        <v>1</v>
      </c>
      <c r="P205">
        <v>0</v>
      </c>
      <c r="Q205">
        <v>3</v>
      </c>
      <c r="R205">
        <v>2</v>
      </c>
      <c r="S205">
        <v>0</v>
      </c>
      <c r="T205">
        <v>0</v>
      </c>
      <c r="U205">
        <v>1</v>
      </c>
      <c r="V205">
        <v>2</v>
      </c>
      <c r="W205">
        <v>2</v>
      </c>
      <c r="X205">
        <v>0</v>
      </c>
      <c r="Y205">
        <v>0</v>
      </c>
      <c r="Z205">
        <v>1</v>
      </c>
      <c r="AA205">
        <v>6</v>
      </c>
      <c r="AB205">
        <v>12</v>
      </c>
      <c r="AC205">
        <v>5</v>
      </c>
      <c r="AD205">
        <v>10</v>
      </c>
      <c r="AE205">
        <v>16</v>
      </c>
      <c r="AF205">
        <v>9</v>
      </c>
      <c r="AG205">
        <v>19</v>
      </c>
      <c r="AH205">
        <v>21</v>
      </c>
      <c r="AI205">
        <v>0</v>
      </c>
      <c r="AJ205">
        <v>40</v>
      </c>
      <c r="AK205" t="s">
        <v>289</v>
      </c>
      <c r="BA205" t="s">
        <v>53</v>
      </c>
      <c r="BB205" t="s">
        <v>287</v>
      </c>
      <c r="BC205" t="s">
        <v>290</v>
      </c>
      <c r="BD205">
        <v>2</v>
      </c>
      <c r="BE205">
        <v>2</v>
      </c>
      <c r="BF205">
        <v>4</v>
      </c>
      <c r="BG205">
        <v>13</v>
      </c>
      <c r="BH205">
        <v>19</v>
      </c>
      <c r="BI205">
        <v>1</v>
      </c>
      <c r="BJ205">
        <v>7</v>
      </c>
      <c r="BK205">
        <v>8</v>
      </c>
      <c r="BL205">
        <v>5</v>
      </c>
      <c r="BM205">
        <v>19</v>
      </c>
      <c r="BN205">
        <v>5</v>
      </c>
      <c r="BO205">
        <v>10</v>
      </c>
      <c r="BP205">
        <v>16</v>
      </c>
      <c r="BQ205">
        <v>9</v>
      </c>
      <c r="BR205">
        <v>19</v>
      </c>
      <c r="BS205">
        <v>21</v>
      </c>
      <c r="BT205">
        <v>0</v>
      </c>
      <c r="BU205">
        <v>40</v>
      </c>
      <c r="BV205" t="s">
        <v>296</v>
      </c>
    </row>
    <row r="206" spans="1:74">
      <c r="A206" t="s">
        <v>53</v>
      </c>
      <c r="B206" t="s">
        <v>287</v>
      </c>
      <c r="C206" t="s">
        <v>291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0</v>
      </c>
      <c r="AD206">
        <v>3</v>
      </c>
      <c r="AE206">
        <v>3</v>
      </c>
      <c r="AF206">
        <v>0</v>
      </c>
      <c r="AG206">
        <v>2</v>
      </c>
      <c r="AH206">
        <v>4</v>
      </c>
      <c r="AI206">
        <v>0</v>
      </c>
      <c r="AJ206">
        <v>6</v>
      </c>
      <c r="AK206" t="s">
        <v>289</v>
      </c>
      <c r="BA206" t="s">
        <v>53</v>
      </c>
      <c r="BB206" t="s">
        <v>287</v>
      </c>
      <c r="BC206" t="s">
        <v>291</v>
      </c>
      <c r="BD206">
        <v>0</v>
      </c>
      <c r="BE206">
        <v>0</v>
      </c>
      <c r="BF206">
        <v>1</v>
      </c>
      <c r="BG206">
        <v>0</v>
      </c>
      <c r="BH206">
        <v>5</v>
      </c>
      <c r="BI206">
        <v>1</v>
      </c>
      <c r="BJ206">
        <v>1</v>
      </c>
      <c r="BK206">
        <v>0</v>
      </c>
      <c r="BL206">
        <v>2</v>
      </c>
      <c r="BM206">
        <v>2</v>
      </c>
      <c r="BN206">
        <v>0</v>
      </c>
      <c r="BO206">
        <v>3</v>
      </c>
      <c r="BP206">
        <v>3</v>
      </c>
      <c r="BQ206">
        <v>0</v>
      </c>
      <c r="BR206">
        <v>2</v>
      </c>
      <c r="BS206">
        <v>4</v>
      </c>
      <c r="BT206">
        <v>0</v>
      </c>
      <c r="BU206">
        <v>6</v>
      </c>
      <c r="BV206" t="s">
        <v>296</v>
      </c>
    </row>
    <row r="207" spans="1:74">
      <c r="A207" t="s">
        <v>53</v>
      </c>
      <c r="B207" t="s">
        <v>287</v>
      </c>
      <c r="C207" t="s">
        <v>292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 t="s">
        <v>289</v>
      </c>
      <c r="BA207" t="s">
        <v>53</v>
      </c>
      <c r="BB207" t="s">
        <v>287</v>
      </c>
      <c r="BC207" t="s">
        <v>292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296</v>
      </c>
    </row>
    <row r="208" spans="1:74">
      <c r="A208" t="s">
        <v>53</v>
      </c>
      <c r="B208" t="s">
        <v>287</v>
      </c>
      <c r="C208" t="s">
        <v>293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2</v>
      </c>
      <c r="AB208">
        <v>0</v>
      </c>
      <c r="AC208">
        <v>3</v>
      </c>
      <c r="AD208">
        <v>0</v>
      </c>
      <c r="AE208">
        <v>0</v>
      </c>
      <c r="AF208">
        <v>3</v>
      </c>
      <c r="AG208">
        <v>3</v>
      </c>
      <c r="AH208">
        <v>3</v>
      </c>
      <c r="AI208">
        <v>0</v>
      </c>
      <c r="AJ208">
        <v>6</v>
      </c>
      <c r="AK208" t="s">
        <v>289</v>
      </c>
      <c r="BA208" t="s">
        <v>53</v>
      </c>
      <c r="BB208" t="s">
        <v>287</v>
      </c>
      <c r="BC208" t="s">
        <v>293</v>
      </c>
      <c r="BD208">
        <v>0</v>
      </c>
      <c r="BE208">
        <v>2</v>
      </c>
      <c r="BF208">
        <v>0</v>
      </c>
      <c r="BG208">
        <v>4</v>
      </c>
      <c r="BH208">
        <v>0</v>
      </c>
      <c r="BI208">
        <v>0</v>
      </c>
      <c r="BJ208">
        <v>0</v>
      </c>
      <c r="BK208">
        <v>2</v>
      </c>
      <c r="BL208">
        <v>1</v>
      </c>
      <c r="BM208">
        <v>3</v>
      </c>
      <c r="BN208">
        <v>3</v>
      </c>
      <c r="BO208">
        <v>0</v>
      </c>
      <c r="BP208">
        <v>0</v>
      </c>
      <c r="BQ208">
        <v>3</v>
      </c>
      <c r="BR208">
        <v>3</v>
      </c>
      <c r="BS208">
        <v>3</v>
      </c>
      <c r="BT208">
        <v>0</v>
      </c>
      <c r="BU208">
        <v>6</v>
      </c>
      <c r="BV208" t="s">
        <v>296</v>
      </c>
    </row>
    <row r="209" spans="1:74">
      <c r="A209" t="s">
        <v>53</v>
      </c>
      <c r="B209" t="s">
        <v>287</v>
      </c>
      <c r="C209" t="s">
        <v>294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289</v>
      </c>
      <c r="BA209" t="s">
        <v>53</v>
      </c>
      <c r="BB209" t="s">
        <v>287</v>
      </c>
      <c r="BC209" t="s">
        <v>294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 t="s">
        <v>296</v>
      </c>
    </row>
    <row r="210" spans="1:74">
      <c r="A210" t="s">
        <v>53</v>
      </c>
      <c r="B210" t="s">
        <v>287</v>
      </c>
      <c r="C210" t="s">
        <v>17</v>
      </c>
      <c r="D210">
        <v>0</v>
      </c>
      <c r="E210">
        <v>0</v>
      </c>
      <c r="F210">
        <v>0</v>
      </c>
      <c r="G210">
        <v>0</v>
      </c>
      <c r="H210">
        <v>2</v>
      </c>
      <c r="I210">
        <v>0</v>
      </c>
      <c r="J210">
        <v>1</v>
      </c>
      <c r="K210">
        <v>3</v>
      </c>
      <c r="L210">
        <v>2</v>
      </c>
      <c r="M210">
        <v>2</v>
      </c>
      <c r="N210">
        <v>2</v>
      </c>
      <c r="O210">
        <v>1</v>
      </c>
      <c r="P210">
        <v>0</v>
      </c>
      <c r="Q210">
        <v>5</v>
      </c>
      <c r="R210">
        <v>2</v>
      </c>
      <c r="S210">
        <v>0</v>
      </c>
      <c r="T210">
        <v>1</v>
      </c>
      <c r="U210">
        <v>1</v>
      </c>
      <c r="V210">
        <v>2</v>
      </c>
      <c r="W210">
        <v>4</v>
      </c>
      <c r="X210">
        <v>0</v>
      </c>
      <c r="Y210">
        <v>1</v>
      </c>
      <c r="Z210">
        <v>1</v>
      </c>
      <c r="AA210">
        <v>8</v>
      </c>
      <c r="AB210">
        <v>14</v>
      </c>
      <c r="AC210">
        <v>8</v>
      </c>
      <c r="AD210">
        <v>13</v>
      </c>
      <c r="AE210">
        <v>19</v>
      </c>
      <c r="AF210">
        <v>12</v>
      </c>
      <c r="AG210">
        <v>24</v>
      </c>
      <c r="AH210">
        <v>28</v>
      </c>
      <c r="AI210">
        <v>0</v>
      </c>
      <c r="AJ210">
        <v>52</v>
      </c>
      <c r="AK210" t="s">
        <v>289</v>
      </c>
      <c r="BA210" t="s">
        <v>53</v>
      </c>
      <c r="BB210" t="s">
        <v>287</v>
      </c>
      <c r="BC210" t="s">
        <v>17</v>
      </c>
      <c r="BD210">
        <v>2</v>
      </c>
      <c r="BE210">
        <v>4</v>
      </c>
      <c r="BF210">
        <v>5</v>
      </c>
      <c r="BG210">
        <v>17</v>
      </c>
      <c r="BH210">
        <v>24</v>
      </c>
      <c r="BI210">
        <v>2</v>
      </c>
      <c r="BJ210">
        <v>8</v>
      </c>
      <c r="BK210">
        <v>10</v>
      </c>
      <c r="BL210">
        <v>8</v>
      </c>
      <c r="BM210">
        <v>24</v>
      </c>
      <c r="BN210">
        <v>8</v>
      </c>
      <c r="BO210">
        <v>13</v>
      </c>
      <c r="BP210">
        <v>19</v>
      </c>
      <c r="BQ210">
        <v>12</v>
      </c>
      <c r="BR210">
        <v>24</v>
      </c>
      <c r="BS210">
        <v>28</v>
      </c>
      <c r="BT210">
        <v>0</v>
      </c>
      <c r="BU210">
        <v>52</v>
      </c>
      <c r="BV210" t="s">
        <v>296</v>
      </c>
    </row>
    <row r="211" spans="1:74">
      <c r="A211" t="s">
        <v>53</v>
      </c>
      <c r="B211" t="s">
        <v>287</v>
      </c>
      <c r="C211" t="s">
        <v>295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 t="s">
        <v>289</v>
      </c>
      <c r="BA211" t="s">
        <v>53</v>
      </c>
      <c r="BB211" t="s">
        <v>287</v>
      </c>
      <c r="BC211" t="s">
        <v>295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296</v>
      </c>
    </row>
    <row r="212" spans="1:74">
      <c r="A212" t="s">
        <v>54</v>
      </c>
      <c r="B212" t="s">
        <v>287</v>
      </c>
      <c r="C212" t="s">
        <v>288</v>
      </c>
      <c r="D212">
        <v>0.12</v>
      </c>
      <c r="E212">
        <v>0.13</v>
      </c>
      <c r="F212">
        <v>0.31</v>
      </c>
      <c r="G212">
        <v>0.49</v>
      </c>
      <c r="H212">
        <v>1.33</v>
      </c>
      <c r="I212">
        <v>0.14000000000000001</v>
      </c>
      <c r="J212">
        <v>0.43</v>
      </c>
      <c r="K212">
        <v>1.71</v>
      </c>
      <c r="L212">
        <v>2.5499999999999998</v>
      </c>
      <c r="M212">
        <v>1.72</v>
      </c>
      <c r="N212">
        <v>1.37</v>
      </c>
      <c r="O212">
        <v>1.85</v>
      </c>
      <c r="P212">
        <v>3.28</v>
      </c>
      <c r="Q212">
        <v>3.31</v>
      </c>
      <c r="R212">
        <v>2.42</v>
      </c>
      <c r="S212">
        <v>0.12</v>
      </c>
      <c r="T212">
        <v>0.22</v>
      </c>
      <c r="U212">
        <v>0.85</v>
      </c>
      <c r="V212">
        <v>1.44</v>
      </c>
      <c r="W212">
        <v>1.71</v>
      </c>
      <c r="X212">
        <v>0.27</v>
      </c>
      <c r="Y212">
        <v>0.57999999999999996</v>
      </c>
      <c r="Z212">
        <v>3.97</v>
      </c>
      <c r="AA212">
        <v>7.99</v>
      </c>
      <c r="AB212">
        <v>11.72</v>
      </c>
      <c r="AC212">
        <v>10.65</v>
      </c>
      <c r="AD212">
        <v>7.89</v>
      </c>
      <c r="AE212">
        <v>19.54</v>
      </c>
      <c r="AF212">
        <v>11.92</v>
      </c>
      <c r="AG212">
        <v>25</v>
      </c>
      <c r="AH212">
        <v>25</v>
      </c>
      <c r="AI212">
        <v>0</v>
      </c>
      <c r="AJ212">
        <v>50</v>
      </c>
      <c r="AK212" t="s">
        <v>289</v>
      </c>
      <c r="BA212" t="s">
        <v>54</v>
      </c>
      <c r="BB212" t="s">
        <v>287</v>
      </c>
      <c r="BC212" t="s">
        <v>288</v>
      </c>
      <c r="BD212">
        <v>2.0099999999999998</v>
      </c>
      <c r="BE212">
        <v>3.21</v>
      </c>
      <c r="BF212">
        <v>10.11</v>
      </c>
      <c r="BG212">
        <v>15.78</v>
      </c>
      <c r="BH212">
        <v>18.89</v>
      </c>
      <c r="BI212">
        <v>2.37</v>
      </c>
      <c r="BJ212">
        <v>6.54</v>
      </c>
      <c r="BK212">
        <v>12.23</v>
      </c>
      <c r="BL212">
        <v>4.33</v>
      </c>
      <c r="BM212">
        <v>24.53</v>
      </c>
      <c r="BN212">
        <v>10.65</v>
      </c>
      <c r="BO212">
        <v>7.89</v>
      </c>
      <c r="BP212">
        <v>19.54</v>
      </c>
      <c r="BQ212">
        <v>11.92</v>
      </c>
      <c r="BR212">
        <v>25</v>
      </c>
      <c r="BS212">
        <v>25</v>
      </c>
      <c r="BT212">
        <v>0</v>
      </c>
      <c r="BU212">
        <v>50</v>
      </c>
      <c r="BV212" t="s">
        <v>296</v>
      </c>
    </row>
    <row r="213" spans="1:74">
      <c r="A213" t="s">
        <v>54</v>
      </c>
      <c r="B213" t="s">
        <v>287</v>
      </c>
      <c r="C213" t="s">
        <v>290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2</v>
      </c>
      <c r="M213">
        <v>3</v>
      </c>
      <c r="N213">
        <v>2</v>
      </c>
      <c r="O213">
        <v>2</v>
      </c>
      <c r="P213">
        <v>1</v>
      </c>
      <c r="Q213">
        <v>2</v>
      </c>
      <c r="R213">
        <v>2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9</v>
      </c>
      <c r="AB213">
        <v>12</v>
      </c>
      <c r="AC213">
        <v>11</v>
      </c>
      <c r="AD213">
        <v>9</v>
      </c>
      <c r="AE213">
        <v>15</v>
      </c>
      <c r="AF213">
        <v>5</v>
      </c>
      <c r="AG213">
        <v>22</v>
      </c>
      <c r="AH213">
        <v>18</v>
      </c>
      <c r="AI213">
        <v>0</v>
      </c>
      <c r="AJ213">
        <v>40</v>
      </c>
      <c r="AK213" t="s">
        <v>289</v>
      </c>
      <c r="BA213" t="s">
        <v>54</v>
      </c>
      <c r="BB213" t="s">
        <v>287</v>
      </c>
      <c r="BC213" t="s">
        <v>290</v>
      </c>
      <c r="BD213">
        <v>2</v>
      </c>
      <c r="BE213">
        <v>2</v>
      </c>
      <c r="BF213">
        <v>3</v>
      </c>
      <c r="BG213">
        <v>14</v>
      </c>
      <c r="BH213">
        <v>19</v>
      </c>
      <c r="BI213">
        <v>1</v>
      </c>
      <c r="BJ213">
        <v>6</v>
      </c>
      <c r="BK213">
        <v>9</v>
      </c>
      <c r="BL213">
        <v>2</v>
      </c>
      <c r="BM213">
        <v>22</v>
      </c>
      <c r="BN213">
        <v>11</v>
      </c>
      <c r="BO213">
        <v>9</v>
      </c>
      <c r="BP213">
        <v>15</v>
      </c>
      <c r="BQ213">
        <v>5</v>
      </c>
      <c r="BR213">
        <v>22</v>
      </c>
      <c r="BS213">
        <v>18</v>
      </c>
      <c r="BT213">
        <v>0</v>
      </c>
      <c r="BU213">
        <v>40</v>
      </c>
      <c r="BV213" t="s">
        <v>296</v>
      </c>
    </row>
    <row r="214" spans="1:74">
      <c r="A214" t="s">
        <v>54</v>
      </c>
      <c r="B214" t="s">
        <v>287</v>
      </c>
      <c r="C214" t="s">
        <v>291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 t="s">
        <v>289</v>
      </c>
      <c r="BA214" t="s">
        <v>54</v>
      </c>
      <c r="BB214" t="s">
        <v>287</v>
      </c>
      <c r="BC214" t="s">
        <v>291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296</v>
      </c>
    </row>
    <row r="215" spans="1:74">
      <c r="A215" t="s">
        <v>54</v>
      </c>
      <c r="B215" t="s">
        <v>287</v>
      </c>
      <c r="C215" t="s">
        <v>292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1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1</v>
      </c>
      <c r="AK215" t="s">
        <v>289</v>
      </c>
      <c r="BA215" t="s">
        <v>54</v>
      </c>
      <c r="BB215" t="s">
        <v>287</v>
      </c>
      <c r="BC215" t="s">
        <v>292</v>
      </c>
      <c r="BD215">
        <v>0</v>
      </c>
      <c r="BE215">
        <v>0</v>
      </c>
      <c r="BF215">
        <v>0</v>
      </c>
      <c r="BG215">
        <v>1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1</v>
      </c>
      <c r="BN215">
        <v>0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1</v>
      </c>
      <c r="BV215" t="s">
        <v>296</v>
      </c>
    </row>
    <row r="216" spans="1:74">
      <c r="A216" t="s">
        <v>54</v>
      </c>
      <c r="B216" t="s">
        <v>287</v>
      </c>
      <c r="C216" t="s">
        <v>293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1</v>
      </c>
      <c r="AE216">
        <v>0</v>
      </c>
      <c r="AF216">
        <v>0</v>
      </c>
      <c r="AG216">
        <v>1</v>
      </c>
      <c r="AH216">
        <v>1</v>
      </c>
      <c r="AI216">
        <v>0</v>
      </c>
      <c r="AJ216">
        <v>2</v>
      </c>
      <c r="AK216" t="s">
        <v>289</v>
      </c>
      <c r="BA216" t="s">
        <v>54</v>
      </c>
      <c r="BB216" t="s">
        <v>287</v>
      </c>
      <c r="BC216" t="s">
        <v>293</v>
      </c>
      <c r="BD216">
        <v>0</v>
      </c>
      <c r="BE216">
        <v>0</v>
      </c>
      <c r="BF216">
        <v>0</v>
      </c>
      <c r="BG216">
        <v>1</v>
      </c>
      <c r="BH216">
        <v>1</v>
      </c>
      <c r="BI216">
        <v>0</v>
      </c>
      <c r="BJ216">
        <v>0</v>
      </c>
      <c r="BK216">
        <v>1</v>
      </c>
      <c r="BL216">
        <v>1</v>
      </c>
      <c r="BM216">
        <v>0</v>
      </c>
      <c r="BN216">
        <v>1</v>
      </c>
      <c r="BO216">
        <v>1</v>
      </c>
      <c r="BP216">
        <v>0</v>
      </c>
      <c r="BQ216">
        <v>0</v>
      </c>
      <c r="BR216">
        <v>1</v>
      </c>
      <c r="BS216">
        <v>1</v>
      </c>
      <c r="BT216">
        <v>0</v>
      </c>
      <c r="BU216">
        <v>2</v>
      </c>
      <c r="BV216" t="s">
        <v>296</v>
      </c>
    </row>
    <row r="217" spans="1:74">
      <c r="A217" t="s">
        <v>54</v>
      </c>
      <c r="B217" t="s">
        <v>287</v>
      </c>
      <c r="C217" t="s">
        <v>294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 t="s">
        <v>289</v>
      </c>
      <c r="BA217" t="s">
        <v>54</v>
      </c>
      <c r="BB217" t="s">
        <v>287</v>
      </c>
      <c r="BC217" t="s">
        <v>294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296</v>
      </c>
    </row>
    <row r="218" spans="1:74">
      <c r="A218" t="s">
        <v>54</v>
      </c>
      <c r="B218" t="s">
        <v>287</v>
      </c>
      <c r="C218" t="s">
        <v>17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2</v>
      </c>
      <c r="M218">
        <v>3</v>
      </c>
      <c r="N218">
        <v>2</v>
      </c>
      <c r="O218">
        <v>2</v>
      </c>
      <c r="P218">
        <v>1</v>
      </c>
      <c r="Q218">
        <v>3</v>
      </c>
      <c r="R218">
        <v>2</v>
      </c>
      <c r="S218">
        <v>0</v>
      </c>
      <c r="T218">
        <v>0</v>
      </c>
      <c r="U218">
        <v>0</v>
      </c>
      <c r="V218">
        <v>1</v>
      </c>
      <c r="W218">
        <v>2</v>
      </c>
      <c r="X218">
        <v>0</v>
      </c>
      <c r="Y218">
        <v>0</v>
      </c>
      <c r="Z218">
        <v>1</v>
      </c>
      <c r="AA218">
        <v>10</v>
      </c>
      <c r="AB218">
        <v>12</v>
      </c>
      <c r="AC218">
        <v>12</v>
      </c>
      <c r="AD218">
        <v>11</v>
      </c>
      <c r="AE218">
        <v>15</v>
      </c>
      <c r="AF218">
        <v>5</v>
      </c>
      <c r="AG218">
        <v>24</v>
      </c>
      <c r="AH218">
        <v>19</v>
      </c>
      <c r="AI218">
        <v>0</v>
      </c>
      <c r="AJ218">
        <v>43</v>
      </c>
      <c r="AK218" t="s">
        <v>289</v>
      </c>
      <c r="BA218" t="s">
        <v>54</v>
      </c>
      <c r="BB218" t="s">
        <v>287</v>
      </c>
      <c r="BC218" t="s">
        <v>17</v>
      </c>
      <c r="BD218">
        <v>2</v>
      </c>
      <c r="BE218">
        <v>2</v>
      </c>
      <c r="BF218">
        <v>3</v>
      </c>
      <c r="BG218">
        <v>16</v>
      </c>
      <c r="BH218">
        <v>20</v>
      </c>
      <c r="BI218">
        <v>1</v>
      </c>
      <c r="BJ218">
        <v>6</v>
      </c>
      <c r="BK218">
        <v>10</v>
      </c>
      <c r="BL218">
        <v>3</v>
      </c>
      <c r="BM218">
        <v>23</v>
      </c>
      <c r="BN218">
        <v>12</v>
      </c>
      <c r="BO218">
        <v>11</v>
      </c>
      <c r="BP218">
        <v>15</v>
      </c>
      <c r="BQ218">
        <v>5</v>
      </c>
      <c r="BR218">
        <v>24</v>
      </c>
      <c r="BS218">
        <v>19</v>
      </c>
      <c r="BT218">
        <v>0</v>
      </c>
      <c r="BU218">
        <v>43</v>
      </c>
      <c r="BV218" t="s">
        <v>296</v>
      </c>
    </row>
    <row r="219" spans="1:74">
      <c r="A219" t="s">
        <v>54</v>
      </c>
      <c r="B219" t="s">
        <v>287</v>
      </c>
      <c r="C219" t="s">
        <v>295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1</v>
      </c>
      <c r="AF219">
        <v>0</v>
      </c>
      <c r="AG219">
        <v>0</v>
      </c>
      <c r="AH219">
        <v>2</v>
      </c>
      <c r="AI219">
        <v>0</v>
      </c>
      <c r="AJ219">
        <v>2</v>
      </c>
      <c r="AK219" t="s">
        <v>289</v>
      </c>
      <c r="BA219" t="s">
        <v>54</v>
      </c>
      <c r="BB219" t="s">
        <v>287</v>
      </c>
      <c r="BC219" t="s">
        <v>295</v>
      </c>
      <c r="BD219">
        <v>0</v>
      </c>
      <c r="BE219">
        <v>0</v>
      </c>
      <c r="BF219">
        <v>1</v>
      </c>
      <c r="BG219">
        <v>0</v>
      </c>
      <c r="BH219">
        <v>1</v>
      </c>
      <c r="BI219">
        <v>0</v>
      </c>
      <c r="BJ219">
        <v>2</v>
      </c>
      <c r="BK219">
        <v>0</v>
      </c>
      <c r="BL219">
        <v>0</v>
      </c>
      <c r="BM219">
        <v>0</v>
      </c>
      <c r="BN219">
        <v>1</v>
      </c>
      <c r="BO219">
        <v>0</v>
      </c>
      <c r="BP219">
        <v>1</v>
      </c>
      <c r="BQ219">
        <v>0</v>
      </c>
      <c r="BR219">
        <v>0</v>
      </c>
      <c r="BS219">
        <v>2</v>
      </c>
      <c r="BT219">
        <v>0</v>
      </c>
      <c r="BU219">
        <v>2</v>
      </c>
      <c r="BV219" t="s">
        <v>296</v>
      </c>
    </row>
    <row r="220" spans="1:74">
      <c r="A220" t="s">
        <v>150</v>
      </c>
      <c r="B220" t="s">
        <v>287</v>
      </c>
      <c r="C220" t="s">
        <v>288</v>
      </c>
      <c r="D220">
        <v>1.06</v>
      </c>
      <c r="E220">
        <v>1.26</v>
      </c>
      <c r="F220">
        <v>3.19</v>
      </c>
      <c r="G220">
        <v>4.7300000000000004</v>
      </c>
      <c r="H220">
        <v>17.45</v>
      </c>
      <c r="I220">
        <v>1.38</v>
      </c>
      <c r="J220">
        <v>4.58</v>
      </c>
      <c r="K220">
        <v>19.09</v>
      </c>
      <c r="L220">
        <v>26.53</v>
      </c>
      <c r="M220">
        <v>18.43</v>
      </c>
      <c r="N220">
        <v>11.87</v>
      </c>
      <c r="O220">
        <v>18.440000000000001</v>
      </c>
      <c r="P220">
        <v>37.57</v>
      </c>
      <c r="Q220">
        <v>40.520000000000003</v>
      </c>
      <c r="R220">
        <v>27.87</v>
      </c>
      <c r="S220">
        <v>1.04</v>
      </c>
      <c r="T220">
        <v>2.33</v>
      </c>
      <c r="U220">
        <v>9.31</v>
      </c>
      <c r="V220">
        <v>18.32</v>
      </c>
      <c r="W220">
        <v>21.22</v>
      </c>
      <c r="X220">
        <v>3</v>
      </c>
      <c r="Y220">
        <v>5.84</v>
      </c>
      <c r="Z220">
        <v>40.630000000000003</v>
      </c>
      <c r="AA220">
        <v>85.46</v>
      </c>
      <c r="AB220">
        <v>128.88999999999999</v>
      </c>
      <c r="AC220">
        <v>116.12</v>
      </c>
      <c r="AD220">
        <v>85.52</v>
      </c>
      <c r="AE220">
        <v>218.47</v>
      </c>
      <c r="AF220">
        <v>129.88</v>
      </c>
      <c r="AG220">
        <v>275</v>
      </c>
      <c r="AH220">
        <v>275</v>
      </c>
      <c r="AI220">
        <v>0</v>
      </c>
      <c r="AJ220">
        <v>550</v>
      </c>
      <c r="AK220" t="s">
        <v>289</v>
      </c>
      <c r="BA220" t="s">
        <v>150</v>
      </c>
      <c r="BB220" t="s">
        <v>287</v>
      </c>
      <c r="BC220" t="s">
        <v>288</v>
      </c>
      <c r="BD220">
        <v>18.38</v>
      </c>
      <c r="BE220">
        <v>32.42</v>
      </c>
      <c r="BF220">
        <v>109.76</v>
      </c>
      <c r="BG220">
        <v>175.61</v>
      </c>
      <c r="BH220">
        <v>213.83</v>
      </c>
      <c r="BI220">
        <v>27.67</v>
      </c>
      <c r="BJ220">
        <v>70.02</v>
      </c>
      <c r="BK220">
        <v>136.24</v>
      </c>
      <c r="BL220">
        <v>52.22</v>
      </c>
      <c r="BM220">
        <v>263.85000000000002</v>
      </c>
      <c r="BN220">
        <v>116.12</v>
      </c>
      <c r="BO220">
        <v>85.52</v>
      </c>
      <c r="BP220">
        <v>218.47</v>
      </c>
      <c r="BQ220">
        <v>129.88</v>
      </c>
      <c r="BR220">
        <v>275</v>
      </c>
      <c r="BS220">
        <v>275</v>
      </c>
      <c r="BT220">
        <v>0</v>
      </c>
      <c r="BU220">
        <v>550</v>
      </c>
      <c r="BV220" t="s">
        <v>296</v>
      </c>
    </row>
    <row r="221" spans="1:74">
      <c r="A221" t="s">
        <v>150</v>
      </c>
      <c r="B221" t="s">
        <v>287</v>
      </c>
      <c r="C221" t="s">
        <v>290</v>
      </c>
      <c r="D221">
        <v>0</v>
      </c>
      <c r="E221">
        <v>0</v>
      </c>
      <c r="F221">
        <v>0</v>
      </c>
      <c r="G221">
        <v>2</v>
      </c>
      <c r="H221">
        <v>13</v>
      </c>
      <c r="I221">
        <v>2</v>
      </c>
      <c r="J221">
        <v>3</v>
      </c>
      <c r="K221">
        <v>15</v>
      </c>
      <c r="L221">
        <v>17</v>
      </c>
      <c r="M221">
        <v>21</v>
      </c>
      <c r="N221">
        <v>7</v>
      </c>
      <c r="O221">
        <v>9</v>
      </c>
      <c r="P221">
        <v>18</v>
      </c>
      <c r="Q221">
        <v>34</v>
      </c>
      <c r="R221">
        <v>26</v>
      </c>
      <c r="S221">
        <v>1</v>
      </c>
      <c r="T221">
        <v>0</v>
      </c>
      <c r="U221">
        <v>3</v>
      </c>
      <c r="V221">
        <v>13</v>
      </c>
      <c r="W221">
        <v>21</v>
      </c>
      <c r="X221">
        <v>2</v>
      </c>
      <c r="Y221">
        <v>2</v>
      </c>
      <c r="Z221">
        <v>20</v>
      </c>
      <c r="AA221">
        <v>78</v>
      </c>
      <c r="AB221">
        <v>130</v>
      </c>
      <c r="AC221">
        <v>112</v>
      </c>
      <c r="AD221">
        <v>78</v>
      </c>
      <c r="AE221">
        <v>155</v>
      </c>
      <c r="AF221">
        <v>91</v>
      </c>
      <c r="AG221">
        <v>219</v>
      </c>
      <c r="AH221">
        <v>218</v>
      </c>
      <c r="AI221">
        <v>0</v>
      </c>
      <c r="AJ221">
        <v>437</v>
      </c>
      <c r="AK221" t="s">
        <v>289</v>
      </c>
      <c r="BA221" t="s">
        <v>150</v>
      </c>
      <c r="BB221" t="s">
        <v>287</v>
      </c>
      <c r="BC221" t="s">
        <v>290</v>
      </c>
      <c r="BD221">
        <v>12</v>
      </c>
      <c r="BE221">
        <v>14</v>
      </c>
      <c r="BF221">
        <v>56</v>
      </c>
      <c r="BG221">
        <v>144</v>
      </c>
      <c r="BH221">
        <v>211</v>
      </c>
      <c r="BI221">
        <v>15</v>
      </c>
      <c r="BJ221">
        <v>58</v>
      </c>
      <c r="BK221">
        <v>94</v>
      </c>
      <c r="BL221">
        <v>38</v>
      </c>
      <c r="BM221">
        <v>232</v>
      </c>
      <c r="BN221">
        <v>112</v>
      </c>
      <c r="BO221">
        <v>78</v>
      </c>
      <c r="BP221">
        <v>155</v>
      </c>
      <c r="BQ221">
        <v>91</v>
      </c>
      <c r="BR221">
        <v>219</v>
      </c>
      <c r="BS221">
        <v>218</v>
      </c>
      <c r="BT221">
        <v>0</v>
      </c>
      <c r="BU221">
        <v>437</v>
      </c>
      <c r="BV221" t="s">
        <v>296</v>
      </c>
    </row>
    <row r="222" spans="1:74">
      <c r="A222" t="s">
        <v>150</v>
      </c>
      <c r="B222" t="s">
        <v>287</v>
      </c>
      <c r="C222" t="s">
        <v>291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2</v>
      </c>
      <c r="L222">
        <v>0</v>
      </c>
      <c r="M222">
        <v>6</v>
      </c>
      <c r="N222">
        <v>3</v>
      </c>
      <c r="O222">
        <v>0</v>
      </c>
      <c r="P222">
        <v>2</v>
      </c>
      <c r="Q222">
        <v>6</v>
      </c>
      <c r="R222">
        <v>4</v>
      </c>
      <c r="S222">
        <v>0</v>
      </c>
      <c r="T222">
        <v>0</v>
      </c>
      <c r="U222">
        <v>0</v>
      </c>
      <c r="V222">
        <v>1</v>
      </c>
      <c r="W222">
        <v>8</v>
      </c>
      <c r="X222">
        <v>0</v>
      </c>
      <c r="Y222">
        <v>2</v>
      </c>
      <c r="Z222">
        <v>2</v>
      </c>
      <c r="AA222">
        <v>0</v>
      </c>
      <c r="AB222">
        <v>24</v>
      </c>
      <c r="AC222">
        <v>30</v>
      </c>
      <c r="AD222">
        <v>14</v>
      </c>
      <c r="AE222">
        <v>12</v>
      </c>
      <c r="AF222">
        <v>5</v>
      </c>
      <c r="AG222">
        <v>34</v>
      </c>
      <c r="AH222">
        <v>27</v>
      </c>
      <c r="AI222">
        <v>0</v>
      </c>
      <c r="AJ222">
        <v>61</v>
      </c>
      <c r="AK222" t="s">
        <v>289</v>
      </c>
      <c r="BA222" t="s">
        <v>150</v>
      </c>
      <c r="BB222" t="s">
        <v>287</v>
      </c>
      <c r="BC222" t="s">
        <v>291</v>
      </c>
      <c r="BD222">
        <v>3</v>
      </c>
      <c r="BE222">
        <v>2</v>
      </c>
      <c r="BF222">
        <v>6</v>
      </c>
      <c r="BG222">
        <v>7</v>
      </c>
      <c r="BH222">
        <v>43</v>
      </c>
      <c r="BI222">
        <v>1</v>
      </c>
      <c r="BJ222">
        <v>8</v>
      </c>
      <c r="BK222">
        <v>15</v>
      </c>
      <c r="BL222">
        <v>9</v>
      </c>
      <c r="BM222">
        <v>28</v>
      </c>
      <c r="BN222">
        <v>30</v>
      </c>
      <c r="BO222">
        <v>14</v>
      </c>
      <c r="BP222">
        <v>12</v>
      </c>
      <c r="BQ222">
        <v>5</v>
      </c>
      <c r="BR222">
        <v>34</v>
      </c>
      <c r="BS222">
        <v>27</v>
      </c>
      <c r="BT222">
        <v>0</v>
      </c>
      <c r="BU222">
        <v>61</v>
      </c>
      <c r="BV222" t="s">
        <v>296</v>
      </c>
    </row>
    <row r="223" spans="1:74">
      <c r="A223" t="s">
        <v>150</v>
      </c>
      <c r="B223" t="s">
        <v>287</v>
      </c>
      <c r="C223" t="s">
        <v>292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0</v>
      </c>
      <c r="AC223">
        <v>2</v>
      </c>
      <c r="AD223">
        <v>1</v>
      </c>
      <c r="AE223">
        <v>1</v>
      </c>
      <c r="AF223">
        <v>0</v>
      </c>
      <c r="AG223">
        <v>2</v>
      </c>
      <c r="AH223">
        <v>2</v>
      </c>
      <c r="AI223">
        <v>0</v>
      </c>
      <c r="AJ223">
        <v>4</v>
      </c>
      <c r="AK223" t="s">
        <v>289</v>
      </c>
      <c r="BA223" t="s">
        <v>150</v>
      </c>
      <c r="BB223" t="s">
        <v>287</v>
      </c>
      <c r="BC223" t="s">
        <v>292</v>
      </c>
      <c r="BD223">
        <v>0</v>
      </c>
      <c r="BE223">
        <v>1</v>
      </c>
      <c r="BF223">
        <v>1</v>
      </c>
      <c r="BG223">
        <v>2</v>
      </c>
      <c r="BH223">
        <v>0</v>
      </c>
      <c r="BI223">
        <v>0</v>
      </c>
      <c r="BJ223">
        <v>1</v>
      </c>
      <c r="BK223">
        <v>1</v>
      </c>
      <c r="BL223">
        <v>0</v>
      </c>
      <c r="BM223">
        <v>2</v>
      </c>
      <c r="BN223">
        <v>2</v>
      </c>
      <c r="BO223">
        <v>1</v>
      </c>
      <c r="BP223">
        <v>1</v>
      </c>
      <c r="BQ223">
        <v>0</v>
      </c>
      <c r="BR223">
        <v>2</v>
      </c>
      <c r="BS223">
        <v>2</v>
      </c>
      <c r="BT223">
        <v>0</v>
      </c>
      <c r="BU223">
        <v>4</v>
      </c>
      <c r="BV223" t="s">
        <v>296</v>
      </c>
    </row>
    <row r="224" spans="1:74">
      <c r="A224" t="s">
        <v>150</v>
      </c>
      <c r="B224" t="s">
        <v>287</v>
      </c>
      <c r="C224" t="s">
        <v>293</v>
      </c>
      <c r="D224">
        <v>0</v>
      </c>
      <c r="E224">
        <v>1</v>
      </c>
      <c r="F224">
        <v>0</v>
      </c>
      <c r="G224">
        <v>0</v>
      </c>
      <c r="H224">
        <v>3</v>
      </c>
      <c r="I224">
        <v>0</v>
      </c>
      <c r="J224">
        <v>0</v>
      </c>
      <c r="K224">
        <v>3</v>
      </c>
      <c r="L224">
        <v>4</v>
      </c>
      <c r="M224">
        <v>1</v>
      </c>
      <c r="N224">
        <v>0</v>
      </c>
      <c r="O224">
        <v>2</v>
      </c>
      <c r="P224">
        <v>4</v>
      </c>
      <c r="Q224">
        <v>10</v>
      </c>
      <c r="R224">
        <v>2</v>
      </c>
      <c r="S224">
        <v>0</v>
      </c>
      <c r="T224">
        <v>1</v>
      </c>
      <c r="U224">
        <v>3</v>
      </c>
      <c r="V224">
        <v>9</v>
      </c>
      <c r="W224">
        <v>3</v>
      </c>
      <c r="X224">
        <v>0</v>
      </c>
      <c r="Y224">
        <v>2</v>
      </c>
      <c r="Z224">
        <v>5</v>
      </c>
      <c r="AA224">
        <v>12</v>
      </c>
      <c r="AB224">
        <v>1</v>
      </c>
      <c r="AC224">
        <v>21</v>
      </c>
      <c r="AD224">
        <v>9</v>
      </c>
      <c r="AE224">
        <v>21</v>
      </c>
      <c r="AF224">
        <v>15</v>
      </c>
      <c r="AG224">
        <v>32</v>
      </c>
      <c r="AH224">
        <v>34</v>
      </c>
      <c r="AI224">
        <v>0</v>
      </c>
      <c r="AJ224">
        <v>66</v>
      </c>
      <c r="AK224" t="s">
        <v>289</v>
      </c>
      <c r="BA224" t="s">
        <v>150</v>
      </c>
      <c r="BB224" t="s">
        <v>287</v>
      </c>
      <c r="BC224" t="s">
        <v>293</v>
      </c>
      <c r="BD224">
        <v>0</v>
      </c>
      <c r="BE224">
        <v>6</v>
      </c>
      <c r="BF224">
        <v>15</v>
      </c>
      <c r="BG224">
        <v>35</v>
      </c>
      <c r="BH224">
        <v>10</v>
      </c>
      <c r="BI224">
        <v>4</v>
      </c>
      <c r="BJ224">
        <v>8</v>
      </c>
      <c r="BK224">
        <v>18</v>
      </c>
      <c r="BL224">
        <v>16</v>
      </c>
      <c r="BM224">
        <v>20</v>
      </c>
      <c r="BN224">
        <v>21</v>
      </c>
      <c r="BO224">
        <v>9</v>
      </c>
      <c r="BP224">
        <v>21</v>
      </c>
      <c r="BQ224">
        <v>15</v>
      </c>
      <c r="BR224">
        <v>32</v>
      </c>
      <c r="BS224">
        <v>34</v>
      </c>
      <c r="BT224">
        <v>0</v>
      </c>
      <c r="BU224">
        <v>66</v>
      </c>
      <c r="BV224" t="s">
        <v>296</v>
      </c>
    </row>
    <row r="225" spans="1:74">
      <c r="A225" t="s">
        <v>150</v>
      </c>
      <c r="B225" t="s">
        <v>287</v>
      </c>
      <c r="C225" t="s">
        <v>294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289</v>
      </c>
      <c r="BA225" t="s">
        <v>150</v>
      </c>
      <c r="BB225" t="s">
        <v>287</v>
      </c>
      <c r="BC225" t="s">
        <v>294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296</v>
      </c>
    </row>
    <row r="226" spans="1:74">
      <c r="A226" t="s">
        <v>150</v>
      </c>
      <c r="B226" t="s">
        <v>287</v>
      </c>
      <c r="C226" t="s">
        <v>17</v>
      </c>
      <c r="D226">
        <v>0</v>
      </c>
      <c r="E226">
        <v>1</v>
      </c>
      <c r="F226">
        <v>0</v>
      </c>
      <c r="G226">
        <v>2</v>
      </c>
      <c r="H226">
        <v>17</v>
      </c>
      <c r="I226">
        <v>2</v>
      </c>
      <c r="J226">
        <v>3</v>
      </c>
      <c r="K226">
        <v>21</v>
      </c>
      <c r="L226">
        <v>21</v>
      </c>
      <c r="M226">
        <v>28</v>
      </c>
      <c r="N226">
        <v>10</v>
      </c>
      <c r="O226">
        <v>11</v>
      </c>
      <c r="P226">
        <v>24</v>
      </c>
      <c r="Q226">
        <v>51</v>
      </c>
      <c r="R226">
        <v>32</v>
      </c>
      <c r="S226">
        <v>1</v>
      </c>
      <c r="T226">
        <v>1</v>
      </c>
      <c r="U226">
        <v>6</v>
      </c>
      <c r="V226">
        <v>23</v>
      </c>
      <c r="W226">
        <v>32</v>
      </c>
      <c r="X226">
        <v>2</v>
      </c>
      <c r="Y226">
        <v>7</v>
      </c>
      <c r="Z226">
        <v>27</v>
      </c>
      <c r="AA226">
        <v>91</v>
      </c>
      <c r="AB226">
        <v>155</v>
      </c>
      <c r="AC226">
        <v>165</v>
      </c>
      <c r="AD226">
        <v>102</v>
      </c>
      <c r="AE226">
        <v>189</v>
      </c>
      <c r="AF226">
        <v>111</v>
      </c>
      <c r="AG226">
        <v>287</v>
      </c>
      <c r="AH226">
        <v>281</v>
      </c>
      <c r="AI226">
        <v>0</v>
      </c>
      <c r="AJ226">
        <v>568</v>
      </c>
      <c r="AK226" t="s">
        <v>289</v>
      </c>
      <c r="BA226" t="s">
        <v>150</v>
      </c>
      <c r="BB226" t="s">
        <v>287</v>
      </c>
      <c r="BC226" t="s">
        <v>17</v>
      </c>
      <c r="BD226">
        <v>15</v>
      </c>
      <c r="BE226">
        <v>23</v>
      </c>
      <c r="BF226">
        <v>78</v>
      </c>
      <c r="BG226">
        <v>188</v>
      </c>
      <c r="BH226">
        <v>264</v>
      </c>
      <c r="BI226">
        <v>20</v>
      </c>
      <c r="BJ226">
        <v>75</v>
      </c>
      <c r="BK226">
        <v>128</v>
      </c>
      <c r="BL226">
        <v>63</v>
      </c>
      <c r="BM226">
        <v>282</v>
      </c>
      <c r="BN226">
        <v>165</v>
      </c>
      <c r="BO226">
        <v>102</v>
      </c>
      <c r="BP226">
        <v>189</v>
      </c>
      <c r="BQ226">
        <v>111</v>
      </c>
      <c r="BR226">
        <v>287</v>
      </c>
      <c r="BS226">
        <v>281</v>
      </c>
      <c r="BT226">
        <v>0</v>
      </c>
      <c r="BU226">
        <v>568</v>
      </c>
      <c r="BV226" t="s">
        <v>296</v>
      </c>
    </row>
    <row r="227" spans="1:74">
      <c r="A227" t="s">
        <v>150</v>
      </c>
      <c r="B227" t="s">
        <v>287</v>
      </c>
      <c r="C227" t="s">
        <v>295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2</v>
      </c>
      <c r="AF227">
        <v>0</v>
      </c>
      <c r="AG227">
        <v>0</v>
      </c>
      <c r="AH227">
        <v>3</v>
      </c>
      <c r="AI227">
        <v>0</v>
      </c>
      <c r="AJ227">
        <v>3</v>
      </c>
      <c r="AK227" t="s">
        <v>289</v>
      </c>
      <c r="BA227" t="s">
        <v>150</v>
      </c>
      <c r="BB227" t="s">
        <v>287</v>
      </c>
      <c r="BC227" t="s">
        <v>295</v>
      </c>
      <c r="BD227">
        <v>0</v>
      </c>
      <c r="BE227">
        <v>0</v>
      </c>
      <c r="BF227">
        <v>2</v>
      </c>
      <c r="BG227">
        <v>0</v>
      </c>
      <c r="BH227">
        <v>1</v>
      </c>
      <c r="BI227">
        <v>0</v>
      </c>
      <c r="BJ227">
        <v>3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2</v>
      </c>
      <c r="BQ227">
        <v>0</v>
      </c>
      <c r="BR227">
        <v>0</v>
      </c>
      <c r="BS227">
        <v>3</v>
      </c>
      <c r="BT227">
        <v>0</v>
      </c>
      <c r="BU227">
        <v>3</v>
      </c>
      <c r="BV227" t="s">
        <v>296</v>
      </c>
    </row>
    <row r="329" spans="1:177">
      <c r="A329" s="43">
        <f>setup!C18</f>
        <v>3768</v>
      </c>
      <c r="BA329" s="43">
        <f>A329</f>
        <v>3768</v>
      </c>
      <c r="DR329" s="43"/>
    </row>
    <row r="330" spans="1:177" s="43" customFormat="1">
      <c r="A330" s="43" t="str">
        <f>_xlfn.CONCAT(setup!D18," - ",setup!E18)</f>
        <v>Retest WISC-6 Standardization - Paper - R_WISC6_STDZ_P</v>
      </c>
      <c r="BA330" s="43" t="str">
        <f>A330</f>
        <v>Retest WISC-6 Standardization - Paper - R_WISC6_STDZ_P</v>
      </c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</row>
    <row r="331" spans="1:177">
      <c r="A331" t="s">
        <v>5</v>
      </c>
      <c r="B331" t="s">
        <v>259</v>
      </c>
      <c r="C331" t="s">
        <v>260</v>
      </c>
      <c r="D331" s="1" t="s">
        <v>29</v>
      </c>
      <c r="E331" s="1" t="s">
        <v>56</v>
      </c>
      <c r="F331" s="1" t="s">
        <v>50</v>
      </c>
      <c r="G331" s="1" t="s">
        <v>38</v>
      </c>
      <c r="H331" s="1" t="s">
        <v>58</v>
      </c>
      <c r="I331" s="1" t="s">
        <v>22</v>
      </c>
      <c r="J331" s="1" t="s">
        <v>36</v>
      </c>
      <c r="K331" s="1" t="s">
        <v>24</v>
      </c>
      <c r="L331" s="1" t="s">
        <v>31</v>
      </c>
      <c r="M331" s="1" t="s">
        <v>39</v>
      </c>
      <c r="N331" s="1" t="s">
        <v>59</v>
      </c>
      <c r="O331" s="1" t="s">
        <v>47</v>
      </c>
      <c r="P331" s="1" t="s">
        <v>33</v>
      </c>
      <c r="Q331" s="1" t="s">
        <v>60</v>
      </c>
      <c r="R331" s="1" t="s">
        <v>45</v>
      </c>
      <c r="S331" s="1" t="s">
        <v>34</v>
      </c>
      <c r="T331" t="s">
        <v>26</v>
      </c>
      <c r="U331" s="1" t="s">
        <v>150</v>
      </c>
      <c r="V331" t="s">
        <v>286</v>
      </c>
      <c r="BA331" t="s">
        <v>5</v>
      </c>
      <c r="BB331" t="s">
        <v>259</v>
      </c>
      <c r="BC331" t="s">
        <v>260</v>
      </c>
      <c r="BD331" s="1" t="s">
        <v>29</v>
      </c>
      <c r="BE331" s="1" t="s">
        <v>56</v>
      </c>
      <c r="BF331" s="1" t="s">
        <v>50</v>
      </c>
      <c r="BG331" s="1" t="s">
        <v>38</v>
      </c>
      <c r="BH331" s="1" t="s">
        <v>58</v>
      </c>
      <c r="BI331" s="1" t="s">
        <v>22</v>
      </c>
      <c r="BJ331" s="1" t="s">
        <v>36</v>
      </c>
      <c r="BK331" s="1" t="s">
        <v>24</v>
      </c>
      <c r="BL331" s="1" t="s">
        <v>31</v>
      </c>
      <c r="BM331" s="1" t="s">
        <v>39</v>
      </c>
      <c r="BN331" s="1" t="s">
        <v>59</v>
      </c>
      <c r="BO331" s="1" t="s">
        <v>47</v>
      </c>
      <c r="BP331" s="1" t="s">
        <v>33</v>
      </c>
      <c r="BQ331" s="1" t="s">
        <v>60</v>
      </c>
      <c r="BR331" s="1" t="s">
        <v>45</v>
      </c>
      <c r="BS331" s="1" t="s">
        <v>34</v>
      </c>
      <c r="BT331" t="s">
        <v>26</v>
      </c>
      <c r="BU331" s="1" t="s">
        <v>150</v>
      </c>
      <c r="BV331" t="s">
        <v>286</v>
      </c>
    </row>
    <row r="332" spans="1:177">
      <c r="A332" t="s">
        <v>65</v>
      </c>
      <c r="B332" t="s">
        <v>287</v>
      </c>
      <c r="C332" t="s">
        <v>288</v>
      </c>
      <c r="D332">
        <v>0.52</v>
      </c>
      <c r="E332">
        <v>0.99</v>
      </c>
      <c r="F332">
        <v>3.97</v>
      </c>
      <c r="G332">
        <v>6.43</v>
      </c>
      <c r="H332">
        <v>8.09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20</v>
      </c>
      <c r="V332" t="s">
        <v>297</v>
      </c>
      <c r="BA332" t="s">
        <v>65</v>
      </c>
      <c r="BB332" t="s">
        <v>287</v>
      </c>
      <c r="BC332" t="s">
        <v>288</v>
      </c>
      <c r="BD332">
        <v>0.52</v>
      </c>
      <c r="BE332">
        <v>0.99</v>
      </c>
      <c r="BF332">
        <v>3.97</v>
      </c>
      <c r="BG332">
        <v>6.43</v>
      </c>
      <c r="BH332">
        <v>8.09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0</v>
      </c>
      <c r="BU332">
        <v>20</v>
      </c>
      <c r="BV332" t="s">
        <v>296</v>
      </c>
    </row>
    <row r="333" spans="1:177">
      <c r="A333" t="s">
        <v>65</v>
      </c>
      <c r="B333" t="s">
        <v>287</v>
      </c>
      <c r="C333" t="s">
        <v>290</v>
      </c>
      <c r="D333">
        <v>0</v>
      </c>
      <c r="E333">
        <v>1</v>
      </c>
      <c r="F333">
        <v>4</v>
      </c>
      <c r="G333">
        <v>6</v>
      </c>
      <c r="H333">
        <v>8</v>
      </c>
      <c r="I333">
        <v>2</v>
      </c>
      <c r="J333">
        <v>2</v>
      </c>
      <c r="K333">
        <v>2</v>
      </c>
      <c r="L333">
        <v>2</v>
      </c>
      <c r="M333">
        <v>11</v>
      </c>
      <c r="N333">
        <v>5</v>
      </c>
      <c r="O333">
        <v>4</v>
      </c>
      <c r="P333">
        <v>8</v>
      </c>
      <c r="Q333">
        <v>2</v>
      </c>
      <c r="R333">
        <v>10</v>
      </c>
      <c r="S333">
        <v>9</v>
      </c>
      <c r="T333">
        <v>0</v>
      </c>
      <c r="U333">
        <v>19</v>
      </c>
      <c r="V333" t="s">
        <v>297</v>
      </c>
      <c r="BA333" t="s">
        <v>65</v>
      </c>
      <c r="BB333" t="s">
        <v>287</v>
      </c>
      <c r="BC333" t="s">
        <v>290</v>
      </c>
      <c r="BD333">
        <v>0</v>
      </c>
      <c r="BE333">
        <v>1</v>
      </c>
      <c r="BF333">
        <v>4</v>
      </c>
      <c r="BG333">
        <v>6</v>
      </c>
      <c r="BH333">
        <v>8</v>
      </c>
      <c r="BI333">
        <v>2</v>
      </c>
      <c r="BJ333">
        <v>2</v>
      </c>
      <c r="BK333">
        <v>2</v>
      </c>
      <c r="BL333">
        <v>2</v>
      </c>
      <c r="BM333">
        <v>11</v>
      </c>
      <c r="BN333">
        <v>5</v>
      </c>
      <c r="BO333">
        <v>4</v>
      </c>
      <c r="BP333">
        <v>8</v>
      </c>
      <c r="BQ333">
        <v>2</v>
      </c>
      <c r="BR333">
        <v>10</v>
      </c>
      <c r="BS333">
        <v>9</v>
      </c>
      <c r="BT333">
        <v>0</v>
      </c>
      <c r="BU333">
        <v>19</v>
      </c>
      <c r="BV333" t="s">
        <v>296</v>
      </c>
    </row>
    <row r="334" spans="1:177">
      <c r="A334" t="s">
        <v>65</v>
      </c>
      <c r="B334" t="s">
        <v>287</v>
      </c>
      <c r="C334" t="s">
        <v>291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">
        <v>297</v>
      </c>
      <c r="BA334" t="s">
        <v>65</v>
      </c>
      <c r="BB334" t="s">
        <v>287</v>
      </c>
      <c r="BC334" t="s">
        <v>291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296</v>
      </c>
    </row>
    <row r="335" spans="1:177">
      <c r="A335" t="s">
        <v>65</v>
      </c>
      <c r="B335" t="s">
        <v>287</v>
      </c>
      <c r="C335" t="s">
        <v>292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">
        <v>297</v>
      </c>
      <c r="BA335" t="s">
        <v>65</v>
      </c>
      <c r="BB335" t="s">
        <v>287</v>
      </c>
      <c r="BC335" t="s">
        <v>292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296</v>
      </c>
    </row>
    <row r="336" spans="1:177">
      <c r="A336" t="s">
        <v>65</v>
      </c>
      <c r="B336" t="s">
        <v>287</v>
      </c>
      <c r="C336" t="s">
        <v>298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">
        <v>297</v>
      </c>
      <c r="BA336" t="s">
        <v>65</v>
      </c>
      <c r="BB336" t="s">
        <v>287</v>
      </c>
      <c r="BC336" t="s">
        <v>298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296</v>
      </c>
    </row>
    <row r="337" spans="1:74">
      <c r="A337" t="s">
        <v>65</v>
      </c>
      <c r="B337" t="s">
        <v>287</v>
      </c>
      <c r="C337" t="s">
        <v>293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1</v>
      </c>
      <c r="T337">
        <v>0</v>
      </c>
      <c r="U337">
        <v>1</v>
      </c>
      <c r="V337" t="s">
        <v>297</v>
      </c>
      <c r="BA337" t="s">
        <v>65</v>
      </c>
      <c r="BB337" t="s">
        <v>287</v>
      </c>
      <c r="BC337" t="s">
        <v>293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1</v>
      </c>
      <c r="BQ337">
        <v>0</v>
      </c>
      <c r="BR337">
        <v>0</v>
      </c>
      <c r="BS337">
        <v>1</v>
      </c>
      <c r="BT337">
        <v>0</v>
      </c>
      <c r="BU337">
        <v>1</v>
      </c>
      <c r="BV337" t="s">
        <v>296</v>
      </c>
    </row>
    <row r="338" spans="1:74">
      <c r="A338" t="s">
        <v>65</v>
      </c>
      <c r="B338" t="s">
        <v>287</v>
      </c>
      <c r="C338" t="s">
        <v>294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">
        <v>297</v>
      </c>
      <c r="BA338" t="s">
        <v>65</v>
      </c>
      <c r="BB338" t="s">
        <v>287</v>
      </c>
      <c r="BC338" t="s">
        <v>294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296</v>
      </c>
    </row>
    <row r="339" spans="1:74">
      <c r="A339" t="s">
        <v>65</v>
      </c>
      <c r="B339" t="s">
        <v>287</v>
      </c>
      <c r="C339" t="s">
        <v>17</v>
      </c>
      <c r="D339">
        <v>1</v>
      </c>
      <c r="E339">
        <v>1</v>
      </c>
      <c r="F339">
        <v>4</v>
      </c>
      <c r="G339">
        <v>6</v>
      </c>
      <c r="H339">
        <v>8</v>
      </c>
      <c r="I339">
        <v>2</v>
      </c>
      <c r="J339">
        <v>3</v>
      </c>
      <c r="K339">
        <v>2</v>
      </c>
      <c r="L339">
        <v>2</v>
      </c>
      <c r="M339">
        <v>11</v>
      </c>
      <c r="N339">
        <v>5</v>
      </c>
      <c r="O339">
        <v>4</v>
      </c>
      <c r="P339">
        <v>9</v>
      </c>
      <c r="Q339">
        <v>2</v>
      </c>
      <c r="R339">
        <v>10</v>
      </c>
      <c r="S339">
        <v>10</v>
      </c>
      <c r="T339">
        <v>0</v>
      </c>
      <c r="U339">
        <v>20</v>
      </c>
      <c r="V339" t="s">
        <v>297</v>
      </c>
      <c r="BA339" t="s">
        <v>65</v>
      </c>
      <c r="BB339" t="s">
        <v>287</v>
      </c>
      <c r="BC339" t="s">
        <v>17</v>
      </c>
      <c r="BD339">
        <v>1</v>
      </c>
      <c r="BE339">
        <v>1</v>
      </c>
      <c r="BF339">
        <v>4</v>
      </c>
      <c r="BG339">
        <v>6</v>
      </c>
      <c r="BH339">
        <v>8</v>
      </c>
      <c r="BI339">
        <v>2</v>
      </c>
      <c r="BJ339">
        <v>3</v>
      </c>
      <c r="BK339">
        <v>2</v>
      </c>
      <c r="BL339">
        <v>2</v>
      </c>
      <c r="BM339">
        <v>11</v>
      </c>
      <c r="BN339">
        <v>5</v>
      </c>
      <c r="BO339">
        <v>4</v>
      </c>
      <c r="BP339">
        <v>9</v>
      </c>
      <c r="BQ339">
        <v>2</v>
      </c>
      <c r="BR339">
        <v>10</v>
      </c>
      <c r="BS339">
        <v>10</v>
      </c>
      <c r="BT339">
        <v>0</v>
      </c>
      <c r="BU339">
        <v>20</v>
      </c>
      <c r="BV339" t="s">
        <v>296</v>
      </c>
    </row>
    <row r="340" spans="1:74">
      <c r="A340" t="s">
        <v>65</v>
      </c>
      <c r="B340" t="s">
        <v>287</v>
      </c>
      <c r="C340" t="s">
        <v>295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297</v>
      </c>
      <c r="BA340" t="s">
        <v>65</v>
      </c>
      <c r="BB340" t="s">
        <v>287</v>
      </c>
      <c r="BC340" t="s">
        <v>295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296</v>
      </c>
    </row>
    <row r="341" spans="1:74">
      <c r="A341" t="s">
        <v>40</v>
      </c>
      <c r="B341" t="s">
        <v>287</v>
      </c>
      <c r="C341" t="s">
        <v>288</v>
      </c>
      <c r="D341">
        <v>0.54</v>
      </c>
      <c r="E341">
        <v>1.06</v>
      </c>
      <c r="F341">
        <v>3.92</v>
      </c>
      <c r="G341">
        <v>6.51</v>
      </c>
      <c r="H341">
        <v>7.98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20</v>
      </c>
      <c r="V341" t="s">
        <v>297</v>
      </c>
      <c r="BA341" t="s">
        <v>40</v>
      </c>
      <c r="BB341" t="s">
        <v>287</v>
      </c>
      <c r="BC341" t="s">
        <v>288</v>
      </c>
      <c r="BD341">
        <v>0.54</v>
      </c>
      <c r="BE341">
        <v>1.06</v>
      </c>
      <c r="BF341">
        <v>3.92</v>
      </c>
      <c r="BG341">
        <v>6.51</v>
      </c>
      <c r="BH341">
        <v>7.98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0</v>
      </c>
      <c r="BU341">
        <v>20</v>
      </c>
      <c r="BV341" t="s">
        <v>296</v>
      </c>
    </row>
    <row r="342" spans="1:74">
      <c r="A342" t="s">
        <v>40</v>
      </c>
      <c r="B342" t="s">
        <v>287</v>
      </c>
      <c r="C342" t="s">
        <v>290</v>
      </c>
      <c r="D342">
        <v>1</v>
      </c>
      <c r="E342">
        <v>2</v>
      </c>
      <c r="F342">
        <v>4</v>
      </c>
      <c r="G342">
        <v>6</v>
      </c>
      <c r="H342">
        <v>7</v>
      </c>
      <c r="I342">
        <v>1</v>
      </c>
      <c r="J342">
        <v>4</v>
      </c>
      <c r="K342">
        <v>4</v>
      </c>
      <c r="L342">
        <v>2</v>
      </c>
      <c r="M342">
        <v>9</v>
      </c>
      <c r="N342">
        <v>4</v>
      </c>
      <c r="O342">
        <v>2</v>
      </c>
      <c r="P342">
        <v>10</v>
      </c>
      <c r="Q342">
        <v>4</v>
      </c>
      <c r="R342">
        <v>12</v>
      </c>
      <c r="S342">
        <v>8</v>
      </c>
      <c r="T342">
        <v>0</v>
      </c>
      <c r="U342">
        <v>20</v>
      </c>
      <c r="V342" t="s">
        <v>297</v>
      </c>
      <c r="BA342" t="s">
        <v>40</v>
      </c>
      <c r="BB342" t="s">
        <v>287</v>
      </c>
      <c r="BC342" t="s">
        <v>290</v>
      </c>
      <c r="BD342">
        <v>1</v>
      </c>
      <c r="BE342">
        <v>2</v>
      </c>
      <c r="BF342">
        <v>4</v>
      </c>
      <c r="BG342">
        <v>6</v>
      </c>
      <c r="BH342">
        <v>7</v>
      </c>
      <c r="BI342">
        <v>1</v>
      </c>
      <c r="BJ342">
        <v>4</v>
      </c>
      <c r="BK342">
        <v>4</v>
      </c>
      <c r="BL342">
        <v>2</v>
      </c>
      <c r="BM342">
        <v>9</v>
      </c>
      <c r="BN342">
        <v>4</v>
      </c>
      <c r="BO342">
        <v>2</v>
      </c>
      <c r="BP342">
        <v>10</v>
      </c>
      <c r="BQ342">
        <v>4</v>
      </c>
      <c r="BR342">
        <v>12</v>
      </c>
      <c r="BS342">
        <v>8</v>
      </c>
      <c r="BT342">
        <v>0</v>
      </c>
      <c r="BU342">
        <v>20</v>
      </c>
      <c r="BV342" t="s">
        <v>296</v>
      </c>
    </row>
    <row r="343" spans="1:74">
      <c r="A343" t="s">
        <v>40</v>
      </c>
      <c r="B343" t="s">
        <v>287</v>
      </c>
      <c r="C343" t="s">
        <v>291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 t="s">
        <v>297</v>
      </c>
      <c r="BA343" t="s">
        <v>40</v>
      </c>
      <c r="BB343" t="s">
        <v>287</v>
      </c>
      <c r="BC343" t="s">
        <v>291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1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1</v>
      </c>
      <c r="BV343" t="s">
        <v>296</v>
      </c>
    </row>
    <row r="344" spans="1:74">
      <c r="A344" t="s">
        <v>40</v>
      </c>
      <c r="B344" t="s">
        <v>287</v>
      </c>
      <c r="C344" t="s">
        <v>292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">
        <v>297</v>
      </c>
      <c r="BA344" t="s">
        <v>40</v>
      </c>
      <c r="BB344" t="s">
        <v>287</v>
      </c>
      <c r="BC344" t="s">
        <v>292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296</v>
      </c>
    </row>
    <row r="345" spans="1:74">
      <c r="A345" t="s">
        <v>40</v>
      </c>
      <c r="B345" t="s">
        <v>287</v>
      </c>
      <c r="C345" t="s">
        <v>298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">
        <v>297</v>
      </c>
      <c r="BA345" t="s">
        <v>40</v>
      </c>
      <c r="BB345" t="s">
        <v>287</v>
      </c>
      <c r="BC345" t="s">
        <v>298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296</v>
      </c>
    </row>
    <row r="346" spans="1:74">
      <c r="A346" t="s">
        <v>40</v>
      </c>
      <c r="B346" t="s">
        <v>287</v>
      </c>
      <c r="C346" t="s">
        <v>293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">
        <v>297</v>
      </c>
      <c r="BA346" t="s">
        <v>40</v>
      </c>
      <c r="BB346" t="s">
        <v>287</v>
      </c>
      <c r="BC346" t="s">
        <v>293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296</v>
      </c>
    </row>
    <row r="347" spans="1:74">
      <c r="A347" t="s">
        <v>40</v>
      </c>
      <c r="B347" t="s">
        <v>287</v>
      </c>
      <c r="C347" t="s">
        <v>294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">
        <v>297</v>
      </c>
      <c r="BA347" t="s">
        <v>40</v>
      </c>
      <c r="BB347" t="s">
        <v>287</v>
      </c>
      <c r="BC347" t="s">
        <v>294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296</v>
      </c>
    </row>
    <row r="348" spans="1:74">
      <c r="A348" t="s">
        <v>40</v>
      </c>
      <c r="B348" t="s">
        <v>287</v>
      </c>
      <c r="C348" t="s">
        <v>17</v>
      </c>
      <c r="D348">
        <v>1</v>
      </c>
      <c r="E348">
        <v>2</v>
      </c>
      <c r="F348">
        <v>4</v>
      </c>
      <c r="G348">
        <v>6</v>
      </c>
      <c r="H348">
        <v>8</v>
      </c>
      <c r="I348">
        <v>1</v>
      </c>
      <c r="J348">
        <v>4</v>
      </c>
      <c r="K348">
        <v>4</v>
      </c>
      <c r="L348">
        <v>2</v>
      </c>
      <c r="M348">
        <v>10</v>
      </c>
      <c r="N348">
        <v>4</v>
      </c>
      <c r="O348">
        <v>3</v>
      </c>
      <c r="P348">
        <v>10</v>
      </c>
      <c r="Q348">
        <v>4</v>
      </c>
      <c r="R348">
        <v>12</v>
      </c>
      <c r="S348">
        <v>9</v>
      </c>
      <c r="T348">
        <v>0</v>
      </c>
      <c r="U348">
        <v>21</v>
      </c>
      <c r="V348" t="s">
        <v>297</v>
      </c>
      <c r="BA348" t="s">
        <v>40</v>
      </c>
      <c r="BB348" t="s">
        <v>287</v>
      </c>
      <c r="BC348" t="s">
        <v>17</v>
      </c>
      <c r="BD348">
        <v>1</v>
      </c>
      <c r="BE348">
        <v>2</v>
      </c>
      <c r="BF348">
        <v>4</v>
      </c>
      <c r="BG348">
        <v>6</v>
      </c>
      <c r="BH348">
        <v>8</v>
      </c>
      <c r="BI348">
        <v>1</v>
      </c>
      <c r="BJ348">
        <v>4</v>
      </c>
      <c r="BK348">
        <v>4</v>
      </c>
      <c r="BL348">
        <v>2</v>
      </c>
      <c r="BM348">
        <v>10</v>
      </c>
      <c r="BN348">
        <v>4</v>
      </c>
      <c r="BO348">
        <v>3</v>
      </c>
      <c r="BP348">
        <v>10</v>
      </c>
      <c r="BQ348">
        <v>4</v>
      </c>
      <c r="BR348">
        <v>12</v>
      </c>
      <c r="BS348">
        <v>9</v>
      </c>
      <c r="BT348">
        <v>0</v>
      </c>
      <c r="BU348">
        <v>21</v>
      </c>
      <c r="BV348" t="s">
        <v>296</v>
      </c>
    </row>
    <row r="349" spans="1:74">
      <c r="A349" t="s">
        <v>40</v>
      </c>
      <c r="B349" t="s">
        <v>287</v>
      </c>
      <c r="C349" t="s">
        <v>295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">
        <v>297</v>
      </c>
      <c r="BA349" t="s">
        <v>40</v>
      </c>
      <c r="BB349" t="s">
        <v>287</v>
      </c>
      <c r="BC349" t="s">
        <v>295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296</v>
      </c>
    </row>
    <row r="350" spans="1:74">
      <c r="A350" t="s">
        <v>41</v>
      </c>
      <c r="B350" t="s">
        <v>287</v>
      </c>
      <c r="C350" t="s">
        <v>288</v>
      </c>
      <c r="D350">
        <v>0.55000000000000004</v>
      </c>
      <c r="E350">
        <v>1.08</v>
      </c>
      <c r="F350">
        <v>3.96</v>
      </c>
      <c r="G350">
        <v>6.46</v>
      </c>
      <c r="H350">
        <v>7.95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20</v>
      </c>
      <c r="V350" t="s">
        <v>297</v>
      </c>
      <c r="BA350" t="s">
        <v>41</v>
      </c>
      <c r="BB350" t="s">
        <v>287</v>
      </c>
      <c r="BC350" t="s">
        <v>288</v>
      </c>
      <c r="BD350">
        <v>0.55000000000000004</v>
      </c>
      <c r="BE350">
        <v>1.08</v>
      </c>
      <c r="BF350">
        <v>3.96</v>
      </c>
      <c r="BG350">
        <v>6.46</v>
      </c>
      <c r="BH350">
        <v>7.95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0</v>
      </c>
      <c r="BU350">
        <v>20</v>
      </c>
      <c r="BV350" t="s">
        <v>296</v>
      </c>
    </row>
    <row r="351" spans="1:74">
      <c r="A351" t="s">
        <v>41</v>
      </c>
      <c r="B351" t="s">
        <v>287</v>
      </c>
      <c r="C351" t="s">
        <v>290</v>
      </c>
      <c r="D351">
        <v>1</v>
      </c>
      <c r="E351">
        <v>1</v>
      </c>
      <c r="F351">
        <v>4</v>
      </c>
      <c r="G351">
        <v>6</v>
      </c>
      <c r="H351">
        <v>8</v>
      </c>
      <c r="I351">
        <v>2</v>
      </c>
      <c r="J351">
        <v>1</v>
      </c>
      <c r="K351">
        <v>5</v>
      </c>
      <c r="L351">
        <v>2</v>
      </c>
      <c r="M351">
        <v>10</v>
      </c>
      <c r="N351">
        <v>7</v>
      </c>
      <c r="O351">
        <v>5</v>
      </c>
      <c r="P351">
        <v>4</v>
      </c>
      <c r="Q351">
        <v>4</v>
      </c>
      <c r="R351">
        <v>11</v>
      </c>
      <c r="S351">
        <v>9</v>
      </c>
      <c r="T351">
        <v>0</v>
      </c>
      <c r="U351">
        <v>20</v>
      </c>
      <c r="V351" t="s">
        <v>297</v>
      </c>
      <c r="BA351" t="s">
        <v>41</v>
      </c>
      <c r="BB351" t="s">
        <v>287</v>
      </c>
      <c r="BC351" t="s">
        <v>290</v>
      </c>
      <c r="BD351">
        <v>1</v>
      </c>
      <c r="BE351">
        <v>1</v>
      </c>
      <c r="BF351">
        <v>4</v>
      </c>
      <c r="BG351">
        <v>6</v>
      </c>
      <c r="BH351">
        <v>8</v>
      </c>
      <c r="BI351">
        <v>2</v>
      </c>
      <c r="BJ351">
        <v>1</v>
      </c>
      <c r="BK351">
        <v>5</v>
      </c>
      <c r="BL351">
        <v>2</v>
      </c>
      <c r="BM351">
        <v>10</v>
      </c>
      <c r="BN351">
        <v>7</v>
      </c>
      <c r="BO351">
        <v>5</v>
      </c>
      <c r="BP351">
        <v>4</v>
      </c>
      <c r="BQ351">
        <v>4</v>
      </c>
      <c r="BR351">
        <v>11</v>
      </c>
      <c r="BS351">
        <v>9</v>
      </c>
      <c r="BT351">
        <v>0</v>
      </c>
      <c r="BU351">
        <v>20</v>
      </c>
      <c r="BV351" t="s">
        <v>296</v>
      </c>
    </row>
    <row r="352" spans="1:74">
      <c r="A352" t="s">
        <v>41</v>
      </c>
      <c r="B352" t="s">
        <v>287</v>
      </c>
      <c r="C352" t="s">
        <v>291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">
        <v>297</v>
      </c>
      <c r="BA352" t="s">
        <v>41</v>
      </c>
      <c r="BB352" t="s">
        <v>287</v>
      </c>
      <c r="BC352" t="s">
        <v>291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296</v>
      </c>
    </row>
    <row r="353" spans="1:177">
      <c r="A353" t="s">
        <v>41</v>
      </c>
      <c r="B353" t="s">
        <v>287</v>
      </c>
      <c r="C353" t="s">
        <v>292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">
        <v>297</v>
      </c>
      <c r="BA353" t="s">
        <v>41</v>
      </c>
      <c r="BB353" t="s">
        <v>287</v>
      </c>
      <c r="BC353" t="s">
        <v>292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296</v>
      </c>
      <c r="CQ353" s="43"/>
      <c r="CR353" s="43"/>
      <c r="CS353" s="43"/>
      <c r="CT353" s="43"/>
      <c r="CU353" s="43"/>
      <c r="CV353" s="43"/>
      <c r="CW353" s="43"/>
      <c r="CX353" s="43"/>
      <c r="CY353" s="43"/>
      <c r="CZ353" s="43"/>
      <c r="DA353" s="43"/>
      <c r="DB353" s="43"/>
      <c r="DC353" s="43"/>
      <c r="DD353" s="43"/>
      <c r="DE353" s="43"/>
      <c r="DF353" s="43"/>
      <c r="DG353" s="43"/>
      <c r="DH353" s="43"/>
      <c r="DI353" s="43"/>
      <c r="DJ353" s="43"/>
      <c r="DK353" s="43"/>
      <c r="DL353" s="43"/>
      <c r="DM353" s="43"/>
      <c r="DN353" s="43"/>
      <c r="DO353" s="43"/>
      <c r="DP353" s="43"/>
      <c r="DQ353" s="43"/>
    </row>
    <row r="354" spans="1:177">
      <c r="A354" t="s">
        <v>41</v>
      </c>
      <c r="B354" t="s">
        <v>287</v>
      </c>
      <c r="C354" t="s">
        <v>298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297</v>
      </c>
      <c r="BA354" t="s">
        <v>41</v>
      </c>
      <c r="BB354" t="s">
        <v>287</v>
      </c>
      <c r="BC354" t="s">
        <v>298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296</v>
      </c>
      <c r="EO354" s="43"/>
      <c r="EP354" s="43"/>
      <c r="EQ354" s="43"/>
      <c r="ER354" s="43"/>
      <c r="ES354" s="43"/>
      <c r="ET354" s="43"/>
      <c r="EU354" s="43"/>
      <c r="EV354" s="43"/>
      <c r="EW354" s="43"/>
      <c r="EX354" s="43"/>
      <c r="EY354" s="43"/>
      <c r="EZ354" s="43"/>
      <c r="FA354" s="43"/>
      <c r="FB354" s="43"/>
      <c r="FC354" s="43"/>
      <c r="FD354" s="43"/>
      <c r="FE354" s="43"/>
      <c r="FF354" s="43"/>
      <c r="FG354" s="43"/>
      <c r="FH354" s="43"/>
      <c r="FI354" s="43"/>
      <c r="FJ354" s="43"/>
      <c r="FK354" s="43"/>
      <c r="FL354" s="43"/>
      <c r="FM354" s="43"/>
      <c r="FN354" s="43"/>
      <c r="FO354" s="43"/>
      <c r="FP354" s="43"/>
      <c r="FQ354" s="43"/>
      <c r="FR354" s="43"/>
      <c r="FS354" s="43"/>
      <c r="FT354" s="43"/>
      <c r="FU354" s="43"/>
    </row>
    <row r="355" spans="1:177">
      <c r="A355" t="s">
        <v>41</v>
      </c>
      <c r="B355" t="s">
        <v>287</v>
      </c>
      <c r="C355" t="s">
        <v>293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">
        <v>297</v>
      </c>
      <c r="BA355" t="s">
        <v>41</v>
      </c>
      <c r="BB355" t="s">
        <v>287</v>
      </c>
      <c r="BC355" t="s">
        <v>293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296</v>
      </c>
    </row>
    <row r="356" spans="1:177">
      <c r="A356" t="s">
        <v>41</v>
      </c>
      <c r="B356" t="s">
        <v>287</v>
      </c>
      <c r="C356" t="s">
        <v>294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">
        <v>297</v>
      </c>
      <c r="BA356" t="s">
        <v>41</v>
      </c>
      <c r="BB356" t="s">
        <v>287</v>
      </c>
      <c r="BC356" t="s">
        <v>294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296</v>
      </c>
    </row>
    <row r="357" spans="1:177">
      <c r="A357" t="s">
        <v>41</v>
      </c>
      <c r="B357" t="s">
        <v>287</v>
      </c>
      <c r="C357" t="s">
        <v>17</v>
      </c>
      <c r="D357">
        <v>1</v>
      </c>
      <c r="E357">
        <v>1</v>
      </c>
      <c r="F357">
        <v>4</v>
      </c>
      <c r="G357">
        <v>6</v>
      </c>
      <c r="H357">
        <v>8</v>
      </c>
      <c r="I357">
        <v>2</v>
      </c>
      <c r="J357">
        <v>1</v>
      </c>
      <c r="K357">
        <v>5</v>
      </c>
      <c r="L357">
        <v>2</v>
      </c>
      <c r="M357">
        <v>10</v>
      </c>
      <c r="N357">
        <v>7</v>
      </c>
      <c r="O357">
        <v>5</v>
      </c>
      <c r="P357">
        <v>4</v>
      </c>
      <c r="Q357">
        <v>4</v>
      </c>
      <c r="R357">
        <v>11</v>
      </c>
      <c r="S357">
        <v>9</v>
      </c>
      <c r="T357">
        <v>0</v>
      </c>
      <c r="U357">
        <v>20</v>
      </c>
      <c r="V357" t="s">
        <v>297</v>
      </c>
      <c r="BA357" t="s">
        <v>41</v>
      </c>
      <c r="BB357" t="s">
        <v>287</v>
      </c>
      <c r="BC357" t="s">
        <v>17</v>
      </c>
      <c r="BD357">
        <v>1</v>
      </c>
      <c r="BE357">
        <v>1</v>
      </c>
      <c r="BF357">
        <v>4</v>
      </c>
      <c r="BG357">
        <v>6</v>
      </c>
      <c r="BH357">
        <v>8</v>
      </c>
      <c r="BI357">
        <v>2</v>
      </c>
      <c r="BJ357">
        <v>1</v>
      </c>
      <c r="BK357">
        <v>5</v>
      </c>
      <c r="BL357">
        <v>2</v>
      </c>
      <c r="BM357">
        <v>10</v>
      </c>
      <c r="BN357">
        <v>7</v>
      </c>
      <c r="BO357">
        <v>5</v>
      </c>
      <c r="BP357">
        <v>4</v>
      </c>
      <c r="BQ357">
        <v>4</v>
      </c>
      <c r="BR357">
        <v>11</v>
      </c>
      <c r="BS357">
        <v>9</v>
      </c>
      <c r="BT357">
        <v>0</v>
      </c>
      <c r="BU357">
        <v>20</v>
      </c>
      <c r="BV357" t="s">
        <v>296</v>
      </c>
    </row>
    <row r="358" spans="1:177">
      <c r="A358" t="s">
        <v>41</v>
      </c>
      <c r="B358" t="s">
        <v>287</v>
      </c>
      <c r="C358" t="s">
        <v>295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">
        <v>297</v>
      </c>
      <c r="BA358" t="s">
        <v>41</v>
      </c>
      <c r="BB358" t="s">
        <v>287</v>
      </c>
      <c r="BC358" t="s">
        <v>295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296</v>
      </c>
    </row>
    <row r="359" spans="1:177">
      <c r="A359" t="s">
        <v>43</v>
      </c>
      <c r="B359" t="s">
        <v>287</v>
      </c>
      <c r="C359" t="s">
        <v>288</v>
      </c>
      <c r="D359">
        <v>0.55000000000000004</v>
      </c>
      <c r="E359">
        <v>1.1100000000000001</v>
      </c>
      <c r="F359">
        <v>4.03</v>
      </c>
      <c r="G359">
        <v>6.39</v>
      </c>
      <c r="H359">
        <v>7.92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20</v>
      </c>
      <c r="V359" t="s">
        <v>297</v>
      </c>
      <c r="BA359" t="s">
        <v>43</v>
      </c>
      <c r="BB359" t="s">
        <v>287</v>
      </c>
      <c r="BC359" t="s">
        <v>288</v>
      </c>
      <c r="BD359">
        <v>0.55000000000000004</v>
      </c>
      <c r="BE359">
        <v>1.1100000000000001</v>
      </c>
      <c r="BF359">
        <v>4.03</v>
      </c>
      <c r="BG359">
        <v>6.39</v>
      </c>
      <c r="BH359">
        <v>7.92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0</v>
      </c>
      <c r="BU359">
        <v>20</v>
      </c>
      <c r="BV359" t="s">
        <v>296</v>
      </c>
    </row>
    <row r="360" spans="1:177">
      <c r="A360" t="s">
        <v>43</v>
      </c>
      <c r="B360" t="s">
        <v>287</v>
      </c>
      <c r="C360" t="s">
        <v>290</v>
      </c>
      <c r="D360">
        <v>1</v>
      </c>
      <c r="E360">
        <v>1</v>
      </c>
      <c r="F360">
        <v>4</v>
      </c>
      <c r="G360">
        <v>7</v>
      </c>
      <c r="H360">
        <v>7</v>
      </c>
      <c r="I360">
        <v>3</v>
      </c>
      <c r="J360">
        <v>2</v>
      </c>
      <c r="K360">
        <v>5</v>
      </c>
      <c r="L360">
        <v>1</v>
      </c>
      <c r="M360">
        <v>9</v>
      </c>
      <c r="N360">
        <v>5</v>
      </c>
      <c r="O360">
        <v>2</v>
      </c>
      <c r="P360">
        <v>8</v>
      </c>
      <c r="Q360">
        <v>5</v>
      </c>
      <c r="R360">
        <v>11</v>
      </c>
      <c r="S360">
        <v>9</v>
      </c>
      <c r="T360">
        <v>0</v>
      </c>
      <c r="U360">
        <v>20</v>
      </c>
      <c r="V360" t="s">
        <v>297</v>
      </c>
      <c r="BA360" t="s">
        <v>43</v>
      </c>
      <c r="BB360" t="s">
        <v>287</v>
      </c>
      <c r="BC360" t="s">
        <v>290</v>
      </c>
      <c r="BD360">
        <v>1</v>
      </c>
      <c r="BE360">
        <v>1</v>
      </c>
      <c r="BF360">
        <v>4</v>
      </c>
      <c r="BG360">
        <v>7</v>
      </c>
      <c r="BH360">
        <v>7</v>
      </c>
      <c r="BI360">
        <v>3</v>
      </c>
      <c r="BJ360">
        <v>2</v>
      </c>
      <c r="BK360">
        <v>5</v>
      </c>
      <c r="BL360">
        <v>1</v>
      </c>
      <c r="BM360">
        <v>9</v>
      </c>
      <c r="BN360">
        <v>5</v>
      </c>
      <c r="BO360">
        <v>2</v>
      </c>
      <c r="BP360">
        <v>8</v>
      </c>
      <c r="BQ360">
        <v>5</v>
      </c>
      <c r="BR360">
        <v>11</v>
      </c>
      <c r="BS360">
        <v>9</v>
      </c>
      <c r="BT360">
        <v>0</v>
      </c>
      <c r="BU360">
        <v>20</v>
      </c>
      <c r="BV360" t="s">
        <v>296</v>
      </c>
    </row>
    <row r="361" spans="1:177">
      <c r="A361" t="s">
        <v>43</v>
      </c>
      <c r="B361" t="s">
        <v>287</v>
      </c>
      <c r="C361" t="s">
        <v>291</v>
      </c>
      <c r="D361">
        <v>1</v>
      </c>
      <c r="E361">
        <v>0</v>
      </c>
      <c r="F361">
        <v>0</v>
      </c>
      <c r="G361">
        <v>0</v>
      </c>
      <c r="H361">
        <v>2</v>
      </c>
      <c r="I361">
        <v>1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2</v>
      </c>
      <c r="Q361">
        <v>1</v>
      </c>
      <c r="R361">
        <v>2</v>
      </c>
      <c r="S361">
        <v>1</v>
      </c>
      <c r="T361">
        <v>0</v>
      </c>
      <c r="U361">
        <v>3</v>
      </c>
      <c r="V361" t="s">
        <v>297</v>
      </c>
      <c r="BA361" t="s">
        <v>43</v>
      </c>
      <c r="BB361" t="s">
        <v>287</v>
      </c>
      <c r="BC361" t="s">
        <v>291</v>
      </c>
      <c r="BD361">
        <v>1</v>
      </c>
      <c r="BE361">
        <v>0</v>
      </c>
      <c r="BF361">
        <v>0</v>
      </c>
      <c r="BG361">
        <v>0</v>
      </c>
      <c r="BH361">
        <v>2</v>
      </c>
      <c r="BI361">
        <v>1</v>
      </c>
      <c r="BJ361">
        <v>0</v>
      </c>
      <c r="BK361">
        <v>0</v>
      </c>
      <c r="BL361">
        <v>0</v>
      </c>
      <c r="BM361">
        <v>2</v>
      </c>
      <c r="BN361">
        <v>0</v>
      </c>
      <c r="BO361">
        <v>0</v>
      </c>
      <c r="BP361">
        <v>2</v>
      </c>
      <c r="BQ361">
        <v>1</v>
      </c>
      <c r="BR361">
        <v>2</v>
      </c>
      <c r="BS361">
        <v>1</v>
      </c>
      <c r="BT361">
        <v>0</v>
      </c>
      <c r="BU361">
        <v>3</v>
      </c>
      <c r="BV361" t="s">
        <v>296</v>
      </c>
    </row>
    <row r="362" spans="1:177">
      <c r="A362" t="s">
        <v>43</v>
      </c>
      <c r="B362" t="s">
        <v>287</v>
      </c>
      <c r="C362" t="s">
        <v>292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">
        <v>297</v>
      </c>
      <c r="BA362" t="s">
        <v>43</v>
      </c>
      <c r="BB362" t="s">
        <v>287</v>
      </c>
      <c r="BC362" t="s">
        <v>292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296</v>
      </c>
    </row>
    <row r="363" spans="1:177">
      <c r="A363" t="s">
        <v>43</v>
      </c>
      <c r="B363" t="s">
        <v>287</v>
      </c>
      <c r="C363" t="s">
        <v>298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">
        <v>297</v>
      </c>
      <c r="BA363" t="s">
        <v>43</v>
      </c>
      <c r="BB363" t="s">
        <v>287</v>
      </c>
      <c r="BC363" t="s">
        <v>298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296</v>
      </c>
    </row>
    <row r="364" spans="1:177">
      <c r="A364" t="s">
        <v>43</v>
      </c>
      <c r="B364" t="s">
        <v>287</v>
      </c>
      <c r="C364" t="s">
        <v>293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297</v>
      </c>
      <c r="BA364" t="s">
        <v>43</v>
      </c>
      <c r="BB364" t="s">
        <v>287</v>
      </c>
      <c r="BC364" t="s">
        <v>293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296</v>
      </c>
    </row>
    <row r="365" spans="1:177">
      <c r="A365" t="s">
        <v>43</v>
      </c>
      <c r="B365" t="s">
        <v>287</v>
      </c>
      <c r="C365" t="s">
        <v>294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">
        <v>297</v>
      </c>
      <c r="BA365" t="s">
        <v>43</v>
      </c>
      <c r="BB365" t="s">
        <v>287</v>
      </c>
      <c r="BC365" t="s">
        <v>294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296</v>
      </c>
    </row>
    <row r="366" spans="1:177">
      <c r="A366" t="s">
        <v>43</v>
      </c>
      <c r="B366" t="s">
        <v>287</v>
      </c>
      <c r="C366" t="s">
        <v>17</v>
      </c>
      <c r="D366">
        <v>2</v>
      </c>
      <c r="E366">
        <v>1</v>
      </c>
      <c r="F366">
        <v>4</v>
      </c>
      <c r="G366">
        <v>7</v>
      </c>
      <c r="H366">
        <v>9</v>
      </c>
      <c r="I366">
        <v>4</v>
      </c>
      <c r="J366">
        <v>2</v>
      </c>
      <c r="K366">
        <v>5</v>
      </c>
      <c r="L366">
        <v>1</v>
      </c>
      <c r="M366">
        <v>11</v>
      </c>
      <c r="N366">
        <v>5</v>
      </c>
      <c r="O366">
        <v>2</v>
      </c>
      <c r="P366">
        <v>10</v>
      </c>
      <c r="Q366">
        <v>6</v>
      </c>
      <c r="R366">
        <v>13</v>
      </c>
      <c r="S366">
        <v>10</v>
      </c>
      <c r="T366">
        <v>0</v>
      </c>
      <c r="U366">
        <v>23</v>
      </c>
      <c r="V366" t="s">
        <v>297</v>
      </c>
      <c r="BA366" t="s">
        <v>43</v>
      </c>
      <c r="BB366" t="s">
        <v>287</v>
      </c>
      <c r="BC366" t="s">
        <v>17</v>
      </c>
      <c r="BD366">
        <v>2</v>
      </c>
      <c r="BE366">
        <v>1</v>
      </c>
      <c r="BF366">
        <v>4</v>
      </c>
      <c r="BG366">
        <v>7</v>
      </c>
      <c r="BH366">
        <v>9</v>
      </c>
      <c r="BI366">
        <v>4</v>
      </c>
      <c r="BJ366">
        <v>2</v>
      </c>
      <c r="BK366">
        <v>5</v>
      </c>
      <c r="BL366">
        <v>1</v>
      </c>
      <c r="BM366">
        <v>11</v>
      </c>
      <c r="BN366">
        <v>5</v>
      </c>
      <c r="BO366">
        <v>2</v>
      </c>
      <c r="BP366">
        <v>10</v>
      </c>
      <c r="BQ366">
        <v>6</v>
      </c>
      <c r="BR366">
        <v>13</v>
      </c>
      <c r="BS366">
        <v>10</v>
      </c>
      <c r="BT366">
        <v>0</v>
      </c>
      <c r="BU366">
        <v>23</v>
      </c>
      <c r="BV366" t="s">
        <v>296</v>
      </c>
    </row>
    <row r="367" spans="1:177">
      <c r="A367" t="s">
        <v>43</v>
      </c>
      <c r="B367" t="s">
        <v>287</v>
      </c>
      <c r="C367" t="s">
        <v>295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">
        <v>297</v>
      </c>
      <c r="BA367" t="s">
        <v>43</v>
      </c>
      <c r="BB367" t="s">
        <v>287</v>
      </c>
      <c r="BC367" t="s">
        <v>295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296</v>
      </c>
    </row>
    <row r="368" spans="1:177">
      <c r="A368" t="s">
        <v>46</v>
      </c>
      <c r="B368" t="s">
        <v>287</v>
      </c>
      <c r="C368" t="s">
        <v>288</v>
      </c>
      <c r="D368">
        <v>0.61</v>
      </c>
      <c r="E368">
        <v>1.1599999999999999</v>
      </c>
      <c r="F368">
        <v>4.03</v>
      </c>
      <c r="G368">
        <v>6.39</v>
      </c>
      <c r="H368">
        <v>7.81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20</v>
      </c>
      <c r="V368" t="s">
        <v>297</v>
      </c>
      <c r="BA368" t="s">
        <v>46</v>
      </c>
      <c r="BB368" t="s">
        <v>287</v>
      </c>
      <c r="BC368" t="s">
        <v>288</v>
      </c>
      <c r="BD368">
        <v>0.61</v>
      </c>
      <c r="BE368">
        <v>1.1599999999999999</v>
      </c>
      <c r="BF368">
        <v>4.03</v>
      </c>
      <c r="BG368">
        <v>6.39</v>
      </c>
      <c r="BH368">
        <v>7.81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0</v>
      </c>
      <c r="BU368">
        <v>20</v>
      </c>
      <c r="BV368" t="s">
        <v>296</v>
      </c>
    </row>
    <row r="369" spans="1:74">
      <c r="A369" t="s">
        <v>46</v>
      </c>
      <c r="B369" t="s">
        <v>287</v>
      </c>
      <c r="C369" t="s">
        <v>290</v>
      </c>
      <c r="D369">
        <v>0</v>
      </c>
      <c r="E369">
        <v>2</v>
      </c>
      <c r="F369">
        <v>4</v>
      </c>
      <c r="G369">
        <v>7</v>
      </c>
      <c r="H369">
        <v>7</v>
      </c>
      <c r="I369">
        <v>2</v>
      </c>
      <c r="J369">
        <v>3</v>
      </c>
      <c r="K369">
        <v>2</v>
      </c>
      <c r="L369">
        <v>2</v>
      </c>
      <c r="M369">
        <v>11</v>
      </c>
      <c r="N369">
        <v>9</v>
      </c>
      <c r="O369">
        <v>2</v>
      </c>
      <c r="P369">
        <v>4</v>
      </c>
      <c r="Q369">
        <v>5</v>
      </c>
      <c r="R369">
        <v>12</v>
      </c>
      <c r="S369">
        <v>8</v>
      </c>
      <c r="T369">
        <v>0</v>
      </c>
      <c r="U369">
        <v>20</v>
      </c>
      <c r="V369" t="s">
        <v>297</v>
      </c>
      <c r="BA369" t="s">
        <v>46</v>
      </c>
      <c r="BB369" t="s">
        <v>287</v>
      </c>
      <c r="BC369" t="s">
        <v>290</v>
      </c>
      <c r="BD369">
        <v>0</v>
      </c>
      <c r="BE369">
        <v>2</v>
      </c>
      <c r="BF369">
        <v>4</v>
      </c>
      <c r="BG369">
        <v>7</v>
      </c>
      <c r="BH369">
        <v>7</v>
      </c>
      <c r="BI369">
        <v>2</v>
      </c>
      <c r="BJ369">
        <v>3</v>
      </c>
      <c r="BK369">
        <v>2</v>
      </c>
      <c r="BL369">
        <v>2</v>
      </c>
      <c r="BM369">
        <v>11</v>
      </c>
      <c r="BN369">
        <v>9</v>
      </c>
      <c r="BO369">
        <v>2</v>
      </c>
      <c r="BP369">
        <v>4</v>
      </c>
      <c r="BQ369">
        <v>5</v>
      </c>
      <c r="BR369">
        <v>12</v>
      </c>
      <c r="BS369">
        <v>8</v>
      </c>
      <c r="BT369">
        <v>0</v>
      </c>
      <c r="BU369">
        <v>20</v>
      </c>
      <c r="BV369" t="s">
        <v>296</v>
      </c>
    </row>
    <row r="370" spans="1:74">
      <c r="A370" t="s">
        <v>46</v>
      </c>
      <c r="B370" t="s">
        <v>287</v>
      </c>
      <c r="C370" t="s">
        <v>291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">
        <v>297</v>
      </c>
      <c r="BA370" t="s">
        <v>46</v>
      </c>
      <c r="BB370" t="s">
        <v>287</v>
      </c>
      <c r="BC370" t="s">
        <v>291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296</v>
      </c>
    </row>
    <row r="371" spans="1:74">
      <c r="A371" t="s">
        <v>46</v>
      </c>
      <c r="B371" t="s">
        <v>287</v>
      </c>
      <c r="C371" t="s">
        <v>292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">
        <v>297</v>
      </c>
      <c r="BA371" t="s">
        <v>46</v>
      </c>
      <c r="BB371" t="s">
        <v>287</v>
      </c>
      <c r="BC371" t="s">
        <v>292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296</v>
      </c>
    </row>
    <row r="372" spans="1:74">
      <c r="A372" t="s">
        <v>46</v>
      </c>
      <c r="B372" t="s">
        <v>287</v>
      </c>
      <c r="C372" t="s">
        <v>298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">
        <v>297</v>
      </c>
      <c r="BA372" t="s">
        <v>46</v>
      </c>
      <c r="BB372" t="s">
        <v>287</v>
      </c>
      <c r="BC372" t="s">
        <v>298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296</v>
      </c>
    </row>
    <row r="373" spans="1:74">
      <c r="A373" t="s">
        <v>46</v>
      </c>
      <c r="B373" t="s">
        <v>287</v>
      </c>
      <c r="C373" t="s">
        <v>293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297</v>
      </c>
      <c r="BA373" t="s">
        <v>46</v>
      </c>
      <c r="BB373" t="s">
        <v>287</v>
      </c>
      <c r="BC373" t="s">
        <v>293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296</v>
      </c>
    </row>
    <row r="374" spans="1:74">
      <c r="A374" t="s">
        <v>46</v>
      </c>
      <c r="B374" t="s">
        <v>287</v>
      </c>
      <c r="C374" t="s">
        <v>294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297</v>
      </c>
      <c r="BA374" t="s">
        <v>46</v>
      </c>
      <c r="BB374" t="s">
        <v>287</v>
      </c>
      <c r="BC374" t="s">
        <v>294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296</v>
      </c>
    </row>
    <row r="375" spans="1:74">
      <c r="A375" t="s">
        <v>46</v>
      </c>
      <c r="B375" t="s">
        <v>287</v>
      </c>
      <c r="C375" t="s">
        <v>17</v>
      </c>
      <c r="D375">
        <v>0</v>
      </c>
      <c r="E375">
        <v>2</v>
      </c>
      <c r="F375">
        <v>4</v>
      </c>
      <c r="G375">
        <v>7</v>
      </c>
      <c r="H375">
        <v>7</v>
      </c>
      <c r="I375">
        <v>2</v>
      </c>
      <c r="J375">
        <v>3</v>
      </c>
      <c r="K375">
        <v>2</v>
      </c>
      <c r="L375">
        <v>2</v>
      </c>
      <c r="M375">
        <v>11</v>
      </c>
      <c r="N375">
        <v>9</v>
      </c>
      <c r="O375">
        <v>2</v>
      </c>
      <c r="P375">
        <v>4</v>
      </c>
      <c r="Q375">
        <v>5</v>
      </c>
      <c r="R375">
        <v>12</v>
      </c>
      <c r="S375">
        <v>8</v>
      </c>
      <c r="T375">
        <v>0</v>
      </c>
      <c r="U375">
        <v>20</v>
      </c>
      <c r="V375" t="s">
        <v>297</v>
      </c>
      <c r="BA375" t="s">
        <v>46</v>
      </c>
      <c r="BB375" t="s">
        <v>287</v>
      </c>
      <c r="BC375" t="s">
        <v>17</v>
      </c>
      <c r="BD375">
        <v>0</v>
      </c>
      <c r="BE375">
        <v>2</v>
      </c>
      <c r="BF375">
        <v>4</v>
      </c>
      <c r="BG375">
        <v>7</v>
      </c>
      <c r="BH375">
        <v>7</v>
      </c>
      <c r="BI375">
        <v>2</v>
      </c>
      <c r="BJ375">
        <v>3</v>
      </c>
      <c r="BK375">
        <v>2</v>
      </c>
      <c r="BL375">
        <v>2</v>
      </c>
      <c r="BM375">
        <v>11</v>
      </c>
      <c r="BN375">
        <v>9</v>
      </c>
      <c r="BO375">
        <v>2</v>
      </c>
      <c r="BP375">
        <v>4</v>
      </c>
      <c r="BQ375">
        <v>5</v>
      </c>
      <c r="BR375">
        <v>12</v>
      </c>
      <c r="BS375">
        <v>8</v>
      </c>
      <c r="BT375">
        <v>0</v>
      </c>
      <c r="BU375">
        <v>20</v>
      </c>
      <c r="BV375" t="s">
        <v>296</v>
      </c>
    </row>
    <row r="376" spans="1:74">
      <c r="A376" t="s">
        <v>46</v>
      </c>
      <c r="B376" t="s">
        <v>287</v>
      </c>
      <c r="C376" t="s">
        <v>295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">
        <v>297</v>
      </c>
      <c r="BA376" t="s">
        <v>46</v>
      </c>
      <c r="BB376" t="s">
        <v>287</v>
      </c>
      <c r="BC376" t="s">
        <v>295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296</v>
      </c>
    </row>
    <row r="377" spans="1:74">
      <c r="A377" t="s">
        <v>48</v>
      </c>
      <c r="B377" t="s">
        <v>287</v>
      </c>
      <c r="C377" t="s">
        <v>288</v>
      </c>
      <c r="D377">
        <v>0.68</v>
      </c>
      <c r="E377">
        <v>1.1599999999999999</v>
      </c>
      <c r="F377">
        <v>3.96</v>
      </c>
      <c r="G377">
        <v>6.39</v>
      </c>
      <c r="H377">
        <v>7.82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20</v>
      </c>
      <c r="V377" t="s">
        <v>297</v>
      </c>
      <c r="BA377" t="s">
        <v>48</v>
      </c>
      <c r="BB377" t="s">
        <v>287</v>
      </c>
      <c r="BC377" t="s">
        <v>288</v>
      </c>
      <c r="BD377">
        <v>0.68</v>
      </c>
      <c r="BE377">
        <v>1.1599999999999999</v>
      </c>
      <c r="BF377">
        <v>3.96</v>
      </c>
      <c r="BG377">
        <v>6.39</v>
      </c>
      <c r="BH377">
        <v>7.82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0</v>
      </c>
      <c r="BU377">
        <v>20</v>
      </c>
      <c r="BV377" t="s">
        <v>296</v>
      </c>
    </row>
    <row r="378" spans="1:74">
      <c r="A378" t="s">
        <v>48</v>
      </c>
      <c r="B378" t="s">
        <v>287</v>
      </c>
      <c r="C378" t="s">
        <v>290</v>
      </c>
      <c r="D378">
        <v>1</v>
      </c>
      <c r="E378">
        <v>1</v>
      </c>
      <c r="F378">
        <v>4</v>
      </c>
      <c r="G378">
        <v>7</v>
      </c>
      <c r="H378">
        <v>7</v>
      </c>
      <c r="I378">
        <v>1</v>
      </c>
      <c r="J378">
        <v>4</v>
      </c>
      <c r="K378">
        <v>6</v>
      </c>
      <c r="L378">
        <v>1</v>
      </c>
      <c r="M378">
        <v>8</v>
      </c>
      <c r="N378">
        <v>5</v>
      </c>
      <c r="O378">
        <v>3</v>
      </c>
      <c r="P378">
        <v>7</v>
      </c>
      <c r="Q378">
        <v>5</v>
      </c>
      <c r="R378">
        <v>10</v>
      </c>
      <c r="S378">
        <v>10</v>
      </c>
      <c r="T378">
        <v>0</v>
      </c>
      <c r="U378">
        <v>20</v>
      </c>
      <c r="V378" t="s">
        <v>297</v>
      </c>
      <c r="BA378" t="s">
        <v>48</v>
      </c>
      <c r="BB378" t="s">
        <v>287</v>
      </c>
      <c r="BC378" t="s">
        <v>290</v>
      </c>
      <c r="BD378">
        <v>1</v>
      </c>
      <c r="BE378">
        <v>1</v>
      </c>
      <c r="BF378">
        <v>4</v>
      </c>
      <c r="BG378">
        <v>7</v>
      </c>
      <c r="BH378">
        <v>7</v>
      </c>
      <c r="BI378">
        <v>1</v>
      </c>
      <c r="BJ378">
        <v>4</v>
      </c>
      <c r="BK378">
        <v>6</v>
      </c>
      <c r="BL378">
        <v>1</v>
      </c>
      <c r="BM378">
        <v>8</v>
      </c>
      <c r="BN378">
        <v>5</v>
      </c>
      <c r="BO378">
        <v>3</v>
      </c>
      <c r="BP378">
        <v>7</v>
      </c>
      <c r="BQ378">
        <v>5</v>
      </c>
      <c r="BR378">
        <v>10</v>
      </c>
      <c r="BS378">
        <v>10</v>
      </c>
      <c r="BT378">
        <v>0</v>
      </c>
      <c r="BU378">
        <v>20</v>
      </c>
      <c r="BV378" t="s">
        <v>296</v>
      </c>
    </row>
    <row r="379" spans="1:74">
      <c r="A379" t="s">
        <v>48</v>
      </c>
      <c r="B379" t="s">
        <v>287</v>
      </c>
      <c r="C379" t="s">
        <v>291</v>
      </c>
      <c r="D379">
        <v>0</v>
      </c>
      <c r="E379">
        <v>0</v>
      </c>
      <c r="F379">
        <v>0</v>
      </c>
      <c r="G379">
        <v>5</v>
      </c>
      <c r="H379">
        <v>0</v>
      </c>
      <c r="I379">
        <v>0</v>
      </c>
      <c r="J379">
        <v>0</v>
      </c>
      <c r="K379">
        <v>4</v>
      </c>
      <c r="L379">
        <v>0</v>
      </c>
      <c r="M379">
        <v>1</v>
      </c>
      <c r="N379">
        <v>1</v>
      </c>
      <c r="O379">
        <v>0</v>
      </c>
      <c r="P379">
        <v>4</v>
      </c>
      <c r="Q379">
        <v>0</v>
      </c>
      <c r="R379">
        <v>2</v>
      </c>
      <c r="S379">
        <v>3</v>
      </c>
      <c r="T379">
        <v>0</v>
      </c>
      <c r="U379">
        <v>5</v>
      </c>
      <c r="V379" t="s">
        <v>297</v>
      </c>
      <c r="BA379" t="s">
        <v>48</v>
      </c>
      <c r="BB379" t="s">
        <v>287</v>
      </c>
      <c r="BC379" t="s">
        <v>291</v>
      </c>
      <c r="BD379">
        <v>0</v>
      </c>
      <c r="BE379">
        <v>0</v>
      </c>
      <c r="BF379">
        <v>0</v>
      </c>
      <c r="BG379">
        <v>5</v>
      </c>
      <c r="BH379">
        <v>0</v>
      </c>
      <c r="BI379">
        <v>0</v>
      </c>
      <c r="BJ379">
        <v>0</v>
      </c>
      <c r="BK379">
        <v>4</v>
      </c>
      <c r="BL379">
        <v>0</v>
      </c>
      <c r="BM379">
        <v>1</v>
      </c>
      <c r="BN379">
        <v>1</v>
      </c>
      <c r="BO379">
        <v>0</v>
      </c>
      <c r="BP379">
        <v>4</v>
      </c>
      <c r="BQ379">
        <v>0</v>
      </c>
      <c r="BR379">
        <v>2</v>
      </c>
      <c r="BS379">
        <v>3</v>
      </c>
      <c r="BT379">
        <v>0</v>
      </c>
      <c r="BU379">
        <v>5</v>
      </c>
      <c r="BV379" t="s">
        <v>296</v>
      </c>
    </row>
    <row r="380" spans="1:74">
      <c r="A380" t="s">
        <v>48</v>
      </c>
      <c r="B380" t="s">
        <v>287</v>
      </c>
      <c r="C380" t="s">
        <v>292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">
        <v>297</v>
      </c>
      <c r="BA380" t="s">
        <v>48</v>
      </c>
      <c r="BB380" t="s">
        <v>287</v>
      </c>
      <c r="BC380" t="s">
        <v>292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296</v>
      </c>
    </row>
    <row r="381" spans="1:74">
      <c r="A381" t="s">
        <v>48</v>
      </c>
      <c r="B381" t="s">
        <v>287</v>
      </c>
      <c r="C381" t="s">
        <v>298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">
        <v>297</v>
      </c>
      <c r="BA381" t="s">
        <v>48</v>
      </c>
      <c r="BB381" t="s">
        <v>287</v>
      </c>
      <c r="BC381" t="s">
        <v>298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296</v>
      </c>
    </row>
    <row r="382" spans="1:74">
      <c r="A382" t="s">
        <v>48</v>
      </c>
      <c r="B382" t="s">
        <v>287</v>
      </c>
      <c r="C382" t="s">
        <v>293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">
        <v>297</v>
      </c>
      <c r="BA382" t="s">
        <v>48</v>
      </c>
      <c r="BB382" t="s">
        <v>287</v>
      </c>
      <c r="BC382" t="s">
        <v>293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296</v>
      </c>
    </row>
    <row r="383" spans="1:74">
      <c r="A383" t="s">
        <v>48</v>
      </c>
      <c r="B383" t="s">
        <v>287</v>
      </c>
      <c r="C383" t="s">
        <v>294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">
        <v>297</v>
      </c>
      <c r="BA383" t="s">
        <v>48</v>
      </c>
      <c r="BB383" t="s">
        <v>287</v>
      </c>
      <c r="BC383" t="s">
        <v>294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296</v>
      </c>
    </row>
    <row r="384" spans="1:74">
      <c r="A384" t="s">
        <v>48</v>
      </c>
      <c r="B384" t="s">
        <v>287</v>
      </c>
      <c r="C384" t="s">
        <v>17</v>
      </c>
      <c r="D384">
        <v>1</v>
      </c>
      <c r="E384">
        <v>1</v>
      </c>
      <c r="F384">
        <v>4</v>
      </c>
      <c r="G384">
        <v>12</v>
      </c>
      <c r="H384">
        <v>7</v>
      </c>
      <c r="I384">
        <v>1</v>
      </c>
      <c r="J384">
        <v>4</v>
      </c>
      <c r="K384">
        <v>10</v>
      </c>
      <c r="L384">
        <v>1</v>
      </c>
      <c r="M384">
        <v>9</v>
      </c>
      <c r="N384">
        <v>6</v>
      </c>
      <c r="O384">
        <v>3</v>
      </c>
      <c r="P384">
        <v>11</v>
      </c>
      <c r="Q384">
        <v>5</v>
      </c>
      <c r="R384">
        <v>12</v>
      </c>
      <c r="S384">
        <v>13</v>
      </c>
      <c r="T384">
        <v>0</v>
      </c>
      <c r="U384">
        <v>25</v>
      </c>
      <c r="V384" t="s">
        <v>297</v>
      </c>
      <c r="BA384" t="s">
        <v>48</v>
      </c>
      <c r="BB384" t="s">
        <v>287</v>
      </c>
      <c r="BC384" t="s">
        <v>17</v>
      </c>
      <c r="BD384">
        <v>1</v>
      </c>
      <c r="BE384">
        <v>1</v>
      </c>
      <c r="BF384">
        <v>4</v>
      </c>
      <c r="BG384">
        <v>12</v>
      </c>
      <c r="BH384">
        <v>7</v>
      </c>
      <c r="BI384">
        <v>1</v>
      </c>
      <c r="BJ384">
        <v>4</v>
      </c>
      <c r="BK384">
        <v>10</v>
      </c>
      <c r="BL384">
        <v>1</v>
      </c>
      <c r="BM384">
        <v>9</v>
      </c>
      <c r="BN384">
        <v>6</v>
      </c>
      <c r="BO384">
        <v>3</v>
      </c>
      <c r="BP384">
        <v>11</v>
      </c>
      <c r="BQ384">
        <v>5</v>
      </c>
      <c r="BR384">
        <v>12</v>
      </c>
      <c r="BS384">
        <v>13</v>
      </c>
      <c r="BT384">
        <v>0</v>
      </c>
      <c r="BU384">
        <v>25</v>
      </c>
      <c r="BV384" t="s">
        <v>296</v>
      </c>
    </row>
    <row r="385" spans="1:74">
      <c r="A385" t="s">
        <v>48</v>
      </c>
      <c r="B385" t="s">
        <v>287</v>
      </c>
      <c r="C385" t="s">
        <v>295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">
        <v>297</v>
      </c>
      <c r="BA385" t="s">
        <v>48</v>
      </c>
      <c r="BB385" t="s">
        <v>287</v>
      </c>
      <c r="BC385" t="s">
        <v>295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 t="s">
        <v>296</v>
      </c>
    </row>
    <row r="386" spans="1:74">
      <c r="A386" t="s">
        <v>49</v>
      </c>
      <c r="B386" t="s">
        <v>287</v>
      </c>
      <c r="C386" t="s">
        <v>288</v>
      </c>
      <c r="D386">
        <v>0.73</v>
      </c>
      <c r="E386">
        <v>1.17</v>
      </c>
      <c r="F386">
        <v>3.99</v>
      </c>
      <c r="G386">
        <v>6.46</v>
      </c>
      <c r="H386">
        <v>7.64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20</v>
      </c>
      <c r="V386" t="s">
        <v>297</v>
      </c>
      <c r="BA386" t="s">
        <v>49</v>
      </c>
      <c r="BB386" t="s">
        <v>287</v>
      </c>
      <c r="BC386" t="s">
        <v>288</v>
      </c>
      <c r="BD386">
        <v>0.73</v>
      </c>
      <c r="BE386">
        <v>1.17</v>
      </c>
      <c r="BF386">
        <v>3.99</v>
      </c>
      <c r="BG386">
        <v>6.46</v>
      </c>
      <c r="BH386">
        <v>7.64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0</v>
      </c>
      <c r="BU386">
        <v>20</v>
      </c>
      <c r="BV386" t="s">
        <v>296</v>
      </c>
    </row>
    <row r="387" spans="1:74">
      <c r="A387" t="s">
        <v>49</v>
      </c>
      <c r="B387" t="s">
        <v>287</v>
      </c>
      <c r="C387" t="s">
        <v>290</v>
      </c>
      <c r="D387">
        <v>1</v>
      </c>
      <c r="E387">
        <v>1</v>
      </c>
      <c r="F387">
        <v>4</v>
      </c>
      <c r="G387">
        <v>6</v>
      </c>
      <c r="H387">
        <v>8</v>
      </c>
      <c r="I387">
        <v>1</v>
      </c>
      <c r="J387">
        <v>1</v>
      </c>
      <c r="K387">
        <v>7</v>
      </c>
      <c r="L387">
        <v>3</v>
      </c>
      <c r="M387">
        <v>8</v>
      </c>
      <c r="N387">
        <v>7</v>
      </c>
      <c r="O387">
        <v>1</v>
      </c>
      <c r="P387">
        <v>7</v>
      </c>
      <c r="Q387">
        <v>5</v>
      </c>
      <c r="R387">
        <v>8</v>
      </c>
      <c r="S387">
        <v>12</v>
      </c>
      <c r="T387">
        <v>0</v>
      </c>
      <c r="U387">
        <v>20</v>
      </c>
      <c r="V387" t="s">
        <v>297</v>
      </c>
      <c r="BA387" t="s">
        <v>49</v>
      </c>
      <c r="BB387" t="s">
        <v>287</v>
      </c>
      <c r="BC387" t="s">
        <v>290</v>
      </c>
      <c r="BD387">
        <v>1</v>
      </c>
      <c r="BE387">
        <v>1</v>
      </c>
      <c r="BF387">
        <v>4</v>
      </c>
      <c r="BG387">
        <v>6</v>
      </c>
      <c r="BH387">
        <v>8</v>
      </c>
      <c r="BI387">
        <v>1</v>
      </c>
      <c r="BJ387">
        <v>1</v>
      </c>
      <c r="BK387">
        <v>7</v>
      </c>
      <c r="BL387">
        <v>3</v>
      </c>
      <c r="BM387">
        <v>8</v>
      </c>
      <c r="BN387">
        <v>7</v>
      </c>
      <c r="BO387">
        <v>1</v>
      </c>
      <c r="BP387">
        <v>7</v>
      </c>
      <c r="BQ387">
        <v>5</v>
      </c>
      <c r="BR387">
        <v>8</v>
      </c>
      <c r="BS387">
        <v>12</v>
      </c>
      <c r="BT387">
        <v>0</v>
      </c>
      <c r="BU387">
        <v>20</v>
      </c>
      <c r="BV387" t="s">
        <v>296</v>
      </c>
    </row>
    <row r="388" spans="1:74">
      <c r="A388" t="s">
        <v>49</v>
      </c>
      <c r="B388" t="s">
        <v>287</v>
      </c>
      <c r="C388" t="s">
        <v>291</v>
      </c>
      <c r="D388">
        <v>0</v>
      </c>
      <c r="E388">
        <v>0</v>
      </c>
      <c r="F388">
        <v>0</v>
      </c>
      <c r="G388">
        <v>0</v>
      </c>
      <c r="H388">
        <v>2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1</v>
      </c>
      <c r="Q388">
        <v>0</v>
      </c>
      <c r="R388">
        <v>0</v>
      </c>
      <c r="S388">
        <v>2</v>
      </c>
      <c r="T388">
        <v>0</v>
      </c>
      <c r="U388">
        <v>2</v>
      </c>
      <c r="V388" t="s">
        <v>297</v>
      </c>
      <c r="BA388" t="s">
        <v>49</v>
      </c>
      <c r="BB388" t="s">
        <v>287</v>
      </c>
      <c r="BC388" t="s">
        <v>291</v>
      </c>
      <c r="BD388">
        <v>0</v>
      </c>
      <c r="BE388">
        <v>0</v>
      </c>
      <c r="BF388">
        <v>0</v>
      </c>
      <c r="BG388">
        <v>0</v>
      </c>
      <c r="BH388">
        <v>2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0</v>
      </c>
      <c r="BO388">
        <v>1</v>
      </c>
      <c r="BP388">
        <v>1</v>
      </c>
      <c r="BQ388">
        <v>0</v>
      </c>
      <c r="BR388">
        <v>0</v>
      </c>
      <c r="BS388">
        <v>2</v>
      </c>
      <c r="BT388">
        <v>0</v>
      </c>
      <c r="BU388">
        <v>2</v>
      </c>
      <c r="BV388" t="s">
        <v>296</v>
      </c>
    </row>
    <row r="389" spans="1:74">
      <c r="A389" t="s">
        <v>49</v>
      </c>
      <c r="B389" t="s">
        <v>287</v>
      </c>
      <c r="C389" t="s">
        <v>292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">
        <v>297</v>
      </c>
      <c r="BA389" t="s">
        <v>49</v>
      </c>
      <c r="BB389" t="s">
        <v>287</v>
      </c>
      <c r="BC389" t="s">
        <v>292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296</v>
      </c>
    </row>
    <row r="390" spans="1:74">
      <c r="A390" t="s">
        <v>49</v>
      </c>
      <c r="B390" t="s">
        <v>287</v>
      </c>
      <c r="C390" t="s">
        <v>298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297</v>
      </c>
      <c r="BA390" t="s">
        <v>49</v>
      </c>
      <c r="BB390" t="s">
        <v>287</v>
      </c>
      <c r="BC390" t="s">
        <v>298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 t="s">
        <v>296</v>
      </c>
    </row>
    <row r="391" spans="1:74">
      <c r="A391" t="s">
        <v>49</v>
      </c>
      <c r="B391" t="s">
        <v>287</v>
      </c>
      <c r="C391" t="s">
        <v>293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">
        <v>297</v>
      </c>
      <c r="BA391" t="s">
        <v>49</v>
      </c>
      <c r="BB391" t="s">
        <v>287</v>
      </c>
      <c r="BC391" t="s">
        <v>293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296</v>
      </c>
    </row>
    <row r="392" spans="1:74">
      <c r="A392" t="s">
        <v>49</v>
      </c>
      <c r="B392" t="s">
        <v>287</v>
      </c>
      <c r="C392" t="s">
        <v>294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">
        <v>297</v>
      </c>
      <c r="BA392" t="s">
        <v>49</v>
      </c>
      <c r="BB392" t="s">
        <v>287</v>
      </c>
      <c r="BC392" t="s">
        <v>294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296</v>
      </c>
    </row>
    <row r="393" spans="1:74">
      <c r="A393" t="s">
        <v>49</v>
      </c>
      <c r="B393" t="s">
        <v>287</v>
      </c>
      <c r="C393" t="s">
        <v>17</v>
      </c>
      <c r="D393">
        <v>1</v>
      </c>
      <c r="E393">
        <v>1</v>
      </c>
      <c r="F393">
        <v>4</v>
      </c>
      <c r="G393">
        <v>6</v>
      </c>
      <c r="H393">
        <v>10</v>
      </c>
      <c r="I393">
        <v>1</v>
      </c>
      <c r="J393">
        <v>1</v>
      </c>
      <c r="K393">
        <v>7</v>
      </c>
      <c r="L393">
        <v>3</v>
      </c>
      <c r="M393">
        <v>10</v>
      </c>
      <c r="N393">
        <v>7</v>
      </c>
      <c r="O393">
        <v>2</v>
      </c>
      <c r="P393">
        <v>8</v>
      </c>
      <c r="Q393">
        <v>5</v>
      </c>
      <c r="R393">
        <v>8</v>
      </c>
      <c r="S393">
        <v>14</v>
      </c>
      <c r="T393">
        <v>0</v>
      </c>
      <c r="U393">
        <v>22</v>
      </c>
      <c r="V393" t="s">
        <v>297</v>
      </c>
      <c r="BA393" t="s">
        <v>49</v>
      </c>
      <c r="BB393" t="s">
        <v>287</v>
      </c>
      <c r="BC393" t="s">
        <v>17</v>
      </c>
      <c r="BD393">
        <v>1</v>
      </c>
      <c r="BE393">
        <v>1</v>
      </c>
      <c r="BF393">
        <v>4</v>
      </c>
      <c r="BG393">
        <v>6</v>
      </c>
      <c r="BH393">
        <v>10</v>
      </c>
      <c r="BI393">
        <v>1</v>
      </c>
      <c r="BJ393">
        <v>1</v>
      </c>
      <c r="BK393">
        <v>7</v>
      </c>
      <c r="BL393">
        <v>3</v>
      </c>
      <c r="BM393">
        <v>10</v>
      </c>
      <c r="BN393">
        <v>7</v>
      </c>
      <c r="BO393">
        <v>2</v>
      </c>
      <c r="BP393">
        <v>8</v>
      </c>
      <c r="BQ393">
        <v>5</v>
      </c>
      <c r="BR393">
        <v>8</v>
      </c>
      <c r="BS393">
        <v>14</v>
      </c>
      <c r="BT393">
        <v>0</v>
      </c>
      <c r="BU393">
        <v>22</v>
      </c>
      <c r="BV393" t="s">
        <v>296</v>
      </c>
    </row>
    <row r="394" spans="1:74">
      <c r="A394" t="s">
        <v>49</v>
      </c>
      <c r="B394" t="s">
        <v>287</v>
      </c>
      <c r="C394" t="s">
        <v>295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">
        <v>297</v>
      </c>
      <c r="BA394" t="s">
        <v>49</v>
      </c>
      <c r="BB394" t="s">
        <v>287</v>
      </c>
      <c r="BC394" t="s">
        <v>295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 t="s">
        <v>296</v>
      </c>
    </row>
    <row r="395" spans="1:74">
      <c r="A395" t="s">
        <v>51</v>
      </c>
      <c r="B395" t="s">
        <v>287</v>
      </c>
      <c r="C395" t="s">
        <v>288</v>
      </c>
      <c r="D395">
        <v>0.77</v>
      </c>
      <c r="E395">
        <v>1.25</v>
      </c>
      <c r="F395">
        <v>4.01</v>
      </c>
      <c r="G395">
        <v>6.32</v>
      </c>
      <c r="H395">
        <v>7.65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20</v>
      </c>
      <c r="V395" t="s">
        <v>297</v>
      </c>
      <c r="BA395" t="s">
        <v>51</v>
      </c>
      <c r="BB395" t="s">
        <v>287</v>
      </c>
      <c r="BC395" t="s">
        <v>288</v>
      </c>
      <c r="BD395">
        <v>0.77</v>
      </c>
      <c r="BE395">
        <v>1.25</v>
      </c>
      <c r="BF395">
        <v>4.01</v>
      </c>
      <c r="BG395">
        <v>6.32</v>
      </c>
      <c r="BH395">
        <v>7.65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0</v>
      </c>
      <c r="BU395">
        <v>20</v>
      </c>
      <c r="BV395" t="s">
        <v>296</v>
      </c>
    </row>
    <row r="396" spans="1:74">
      <c r="A396" t="s">
        <v>51</v>
      </c>
      <c r="B396" t="s">
        <v>287</v>
      </c>
      <c r="C396" t="s">
        <v>290</v>
      </c>
      <c r="D396">
        <v>1</v>
      </c>
      <c r="E396">
        <v>3</v>
      </c>
      <c r="F396">
        <v>4</v>
      </c>
      <c r="G396">
        <v>5</v>
      </c>
      <c r="H396">
        <v>7</v>
      </c>
      <c r="I396">
        <v>1</v>
      </c>
      <c r="J396">
        <v>1</v>
      </c>
      <c r="K396">
        <v>6</v>
      </c>
      <c r="L396">
        <v>3</v>
      </c>
      <c r="M396">
        <v>9</v>
      </c>
      <c r="N396">
        <v>3</v>
      </c>
      <c r="O396">
        <v>4</v>
      </c>
      <c r="P396">
        <v>9</v>
      </c>
      <c r="Q396">
        <v>4</v>
      </c>
      <c r="R396">
        <v>9</v>
      </c>
      <c r="S396">
        <v>11</v>
      </c>
      <c r="T396">
        <v>0</v>
      </c>
      <c r="U396">
        <v>20</v>
      </c>
      <c r="V396" t="s">
        <v>297</v>
      </c>
      <c r="BA396" t="s">
        <v>51</v>
      </c>
      <c r="BB396" t="s">
        <v>287</v>
      </c>
      <c r="BC396" t="s">
        <v>290</v>
      </c>
      <c r="BD396">
        <v>1</v>
      </c>
      <c r="BE396">
        <v>3</v>
      </c>
      <c r="BF396">
        <v>4</v>
      </c>
      <c r="BG396">
        <v>5</v>
      </c>
      <c r="BH396">
        <v>7</v>
      </c>
      <c r="BI396">
        <v>1</v>
      </c>
      <c r="BJ396">
        <v>1</v>
      </c>
      <c r="BK396">
        <v>6</v>
      </c>
      <c r="BL396">
        <v>3</v>
      </c>
      <c r="BM396">
        <v>9</v>
      </c>
      <c r="BN396">
        <v>3</v>
      </c>
      <c r="BO396">
        <v>4</v>
      </c>
      <c r="BP396">
        <v>9</v>
      </c>
      <c r="BQ396">
        <v>4</v>
      </c>
      <c r="BR396">
        <v>9</v>
      </c>
      <c r="BS396">
        <v>11</v>
      </c>
      <c r="BT396">
        <v>0</v>
      </c>
      <c r="BU396">
        <v>20</v>
      </c>
      <c r="BV396" t="s">
        <v>296</v>
      </c>
    </row>
    <row r="397" spans="1:74">
      <c r="A397" t="s">
        <v>51</v>
      </c>
      <c r="B397" t="s">
        <v>287</v>
      </c>
      <c r="C397" t="s">
        <v>291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2</v>
      </c>
      <c r="T397">
        <v>0</v>
      </c>
      <c r="U397">
        <v>2</v>
      </c>
      <c r="V397" t="s">
        <v>297</v>
      </c>
      <c r="BA397" t="s">
        <v>51</v>
      </c>
      <c r="BB397" t="s">
        <v>287</v>
      </c>
      <c r="BC397" t="s">
        <v>291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1</v>
      </c>
      <c r="BQ397">
        <v>1</v>
      </c>
      <c r="BR397">
        <v>0</v>
      </c>
      <c r="BS397">
        <v>2</v>
      </c>
      <c r="BT397">
        <v>0</v>
      </c>
      <c r="BU397">
        <v>2</v>
      </c>
      <c r="BV397" t="s">
        <v>296</v>
      </c>
    </row>
    <row r="398" spans="1:74">
      <c r="A398" t="s">
        <v>51</v>
      </c>
      <c r="B398" t="s">
        <v>287</v>
      </c>
      <c r="C398" t="s">
        <v>292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">
        <v>297</v>
      </c>
      <c r="BA398" t="s">
        <v>51</v>
      </c>
      <c r="BB398" t="s">
        <v>287</v>
      </c>
      <c r="BC398" t="s">
        <v>292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 t="s">
        <v>296</v>
      </c>
    </row>
    <row r="399" spans="1:74">
      <c r="A399" t="s">
        <v>51</v>
      </c>
      <c r="B399" t="s">
        <v>287</v>
      </c>
      <c r="C399" t="s">
        <v>298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">
        <v>297</v>
      </c>
      <c r="BA399" t="s">
        <v>51</v>
      </c>
      <c r="BB399" t="s">
        <v>287</v>
      </c>
      <c r="BC399" t="s">
        <v>298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296</v>
      </c>
    </row>
    <row r="400" spans="1:74">
      <c r="A400" t="s">
        <v>51</v>
      </c>
      <c r="B400" t="s">
        <v>287</v>
      </c>
      <c r="C400" t="s">
        <v>293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">
        <v>297</v>
      </c>
      <c r="BA400" t="s">
        <v>51</v>
      </c>
      <c r="BB400" t="s">
        <v>287</v>
      </c>
      <c r="BC400" t="s">
        <v>293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296</v>
      </c>
    </row>
    <row r="401" spans="1:74">
      <c r="A401" t="s">
        <v>51</v>
      </c>
      <c r="B401" t="s">
        <v>287</v>
      </c>
      <c r="C401" t="s">
        <v>294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">
        <v>297</v>
      </c>
      <c r="BA401" t="s">
        <v>51</v>
      </c>
      <c r="BB401" t="s">
        <v>287</v>
      </c>
      <c r="BC401" t="s">
        <v>294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296</v>
      </c>
    </row>
    <row r="402" spans="1:74">
      <c r="A402" t="s">
        <v>51</v>
      </c>
      <c r="B402" t="s">
        <v>287</v>
      </c>
      <c r="C402" t="s">
        <v>17</v>
      </c>
      <c r="D402">
        <v>1</v>
      </c>
      <c r="E402">
        <v>3</v>
      </c>
      <c r="F402">
        <v>4</v>
      </c>
      <c r="G402">
        <v>6</v>
      </c>
      <c r="H402">
        <v>8</v>
      </c>
      <c r="I402">
        <v>1</v>
      </c>
      <c r="J402">
        <v>1</v>
      </c>
      <c r="K402">
        <v>7</v>
      </c>
      <c r="L402">
        <v>3</v>
      </c>
      <c r="M402">
        <v>10</v>
      </c>
      <c r="N402">
        <v>3</v>
      </c>
      <c r="O402">
        <v>4</v>
      </c>
      <c r="P402">
        <v>10</v>
      </c>
      <c r="Q402">
        <v>5</v>
      </c>
      <c r="R402">
        <v>9</v>
      </c>
      <c r="S402">
        <v>13</v>
      </c>
      <c r="T402">
        <v>0</v>
      </c>
      <c r="U402">
        <v>22</v>
      </c>
      <c r="V402" t="s">
        <v>297</v>
      </c>
      <c r="BA402" t="s">
        <v>51</v>
      </c>
      <c r="BB402" t="s">
        <v>287</v>
      </c>
      <c r="BC402" t="s">
        <v>17</v>
      </c>
      <c r="BD402">
        <v>1</v>
      </c>
      <c r="BE402">
        <v>3</v>
      </c>
      <c r="BF402">
        <v>4</v>
      </c>
      <c r="BG402">
        <v>6</v>
      </c>
      <c r="BH402">
        <v>8</v>
      </c>
      <c r="BI402">
        <v>1</v>
      </c>
      <c r="BJ402">
        <v>1</v>
      </c>
      <c r="BK402">
        <v>7</v>
      </c>
      <c r="BL402">
        <v>3</v>
      </c>
      <c r="BM402">
        <v>10</v>
      </c>
      <c r="BN402">
        <v>3</v>
      </c>
      <c r="BO402">
        <v>4</v>
      </c>
      <c r="BP402">
        <v>10</v>
      </c>
      <c r="BQ402">
        <v>5</v>
      </c>
      <c r="BR402">
        <v>9</v>
      </c>
      <c r="BS402">
        <v>13</v>
      </c>
      <c r="BT402">
        <v>0</v>
      </c>
      <c r="BU402">
        <v>22</v>
      </c>
      <c r="BV402" t="s">
        <v>296</v>
      </c>
    </row>
    <row r="403" spans="1:74">
      <c r="A403" t="s">
        <v>51</v>
      </c>
      <c r="B403" t="s">
        <v>287</v>
      </c>
      <c r="C403" t="s">
        <v>295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297</v>
      </c>
      <c r="BA403" t="s">
        <v>51</v>
      </c>
      <c r="BB403" t="s">
        <v>287</v>
      </c>
      <c r="BC403" t="s">
        <v>295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296</v>
      </c>
    </row>
    <row r="404" spans="1:74">
      <c r="A404" t="s">
        <v>52</v>
      </c>
      <c r="B404" t="s">
        <v>287</v>
      </c>
      <c r="C404" t="s">
        <v>288</v>
      </c>
      <c r="D404">
        <v>0.81</v>
      </c>
      <c r="E404">
        <v>1.36</v>
      </c>
      <c r="F404">
        <v>4.03</v>
      </c>
      <c r="G404">
        <v>6.31</v>
      </c>
      <c r="H404">
        <v>7.51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20</v>
      </c>
      <c r="V404" t="s">
        <v>297</v>
      </c>
      <c r="BA404" t="s">
        <v>52</v>
      </c>
      <c r="BB404" t="s">
        <v>287</v>
      </c>
      <c r="BC404" t="s">
        <v>288</v>
      </c>
      <c r="BD404">
        <v>0.81</v>
      </c>
      <c r="BE404">
        <v>1.36</v>
      </c>
      <c r="BF404">
        <v>4.03</v>
      </c>
      <c r="BG404">
        <v>6.31</v>
      </c>
      <c r="BH404">
        <v>7.51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0</v>
      </c>
      <c r="BU404">
        <v>20</v>
      </c>
      <c r="BV404" t="s">
        <v>296</v>
      </c>
    </row>
    <row r="405" spans="1:74">
      <c r="A405" t="s">
        <v>52</v>
      </c>
      <c r="B405" t="s">
        <v>287</v>
      </c>
      <c r="C405" t="s">
        <v>290</v>
      </c>
      <c r="D405">
        <v>1</v>
      </c>
      <c r="E405">
        <v>2</v>
      </c>
      <c r="F405">
        <v>4</v>
      </c>
      <c r="G405">
        <v>6</v>
      </c>
      <c r="H405">
        <v>7</v>
      </c>
      <c r="I405">
        <v>1</v>
      </c>
      <c r="J405">
        <v>4</v>
      </c>
      <c r="K405">
        <v>3</v>
      </c>
      <c r="L405">
        <v>1</v>
      </c>
      <c r="M405">
        <v>11</v>
      </c>
      <c r="N405">
        <v>3</v>
      </c>
      <c r="O405">
        <v>5</v>
      </c>
      <c r="P405">
        <v>8</v>
      </c>
      <c r="Q405">
        <v>4</v>
      </c>
      <c r="R405">
        <v>14</v>
      </c>
      <c r="S405">
        <v>6</v>
      </c>
      <c r="T405">
        <v>0</v>
      </c>
      <c r="U405">
        <v>20</v>
      </c>
      <c r="V405" t="s">
        <v>297</v>
      </c>
      <c r="BA405" t="s">
        <v>52</v>
      </c>
      <c r="BB405" t="s">
        <v>287</v>
      </c>
      <c r="BC405" t="s">
        <v>290</v>
      </c>
      <c r="BD405">
        <v>1</v>
      </c>
      <c r="BE405">
        <v>2</v>
      </c>
      <c r="BF405">
        <v>4</v>
      </c>
      <c r="BG405">
        <v>6</v>
      </c>
      <c r="BH405">
        <v>7</v>
      </c>
      <c r="BI405">
        <v>1</v>
      </c>
      <c r="BJ405">
        <v>4</v>
      </c>
      <c r="BK405">
        <v>3</v>
      </c>
      <c r="BL405">
        <v>1</v>
      </c>
      <c r="BM405">
        <v>11</v>
      </c>
      <c r="BN405">
        <v>3</v>
      </c>
      <c r="BO405">
        <v>5</v>
      </c>
      <c r="BP405">
        <v>8</v>
      </c>
      <c r="BQ405">
        <v>4</v>
      </c>
      <c r="BR405">
        <v>14</v>
      </c>
      <c r="BS405">
        <v>6</v>
      </c>
      <c r="BT405">
        <v>0</v>
      </c>
      <c r="BU405">
        <v>20</v>
      </c>
      <c r="BV405" t="s">
        <v>296</v>
      </c>
    </row>
    <row r="406" spans="1:74">
      <c r="A406" t="s">
        <v>52</v>
      </c>
      <c r="B406" t="s">
        <v>287</v>
      </c>
      <c r="C406" t="s">
        <v>291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">
        <v>297</v>
      </c>
      <c r="BA406" t="s">
        <v>52</v>
      </c>
      <c r="BB406" t="s">
        <v>287</v>
      </c>
      <c r="BC406" t="s">
        <v>291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296</v>
      </c>
    </row>
    <row r="407" spans="1:74">
      <c r="A407" t="s">
        <v>52</v>
      </c>
      <c r="B407" t="s">
        <v>287</v>
      </c>
      <c r="C407" t="s">
        <v>292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">
        <v>297</v>
      </c>
      <c r="BA407" t="s">
        <v>52</v>
      </c>
      <c r="BB407" t="s">
        <v>287</v>
      </c>
      <c r="BC407" t="s">
        <v>292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296</v>
      </c>
    </row>
    <row r="408" spans="1:74">
      <c r="A408" t="s">
        <v>52</v>
      </c>
      <c r="B408" t="s">
        <v>287</v>
      </c>
      <c r="C408" t="s">
        <v>298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">
        <v>297</v>
      </c>
      <c r="BA408" t="s">
        <v>52</v>
      </c>
      <c r="BB408" t="s">
        <v>287</v>
      </c>
      <c r="BC408" t="s">
        <v>298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296</v>
      </c>
    </row>
    <row r="409" spans="1:74">
      <c r="A409" t="s">
        <v>52</v>
      </c>
      <c r="B409" t="s">
        <v>287</v>
      </c>
      <c r="C409" t="s">
        <v>293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">
        <v>297</v>
      </c>
      <c r="BA409" t="s">
        <v>52</v>
      </c>
      <c r="BB409" t="s">
        <v>287</v>
      </c>
      <c r="BC409" t="s">
        <v>293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296</v>
      </c>
    </row>
    <row r="410" spans="1:74">
      <c r="A410" t="s">
        <v>52</v>
      </c>
      <c r="B410" t="s">
        <v>287</v>
      </c>
      <c r="C410" t="s">
        <v>294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">
        <v>297</v>
      </c>
      <c r="BA410" t="s">
        <v>52</v>
      </c>
      <c r="BB410" t="s">
        <v>287</v>
      </c>
      <c r="BC410" t="s">
        <v>294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296</v>
      </c>
    </row>
    <row r="411" spans="1:74">
      <c r="A411" t="s">
        <v>52</v>
      </c>
      <c r="B411" t="s">
        <v>287</v>
      </c>
      <c r="C411" t="s">
        <v>17</v>
      </c>
      <c r="D411">
        <v>1</v>
      </c>
      <c r="E411">
        <v>2</v>
      </c>
      <c r="F411">
        <v>4</v>
      </c>
      <c r="G411">
        <v>6</v>
      </c>
      <c r="H411">
        <v>7</v>
      </c>
      <c r="I411">
        <v>1</v>
      </c>
      <c r="J411">
        <v>4</v>
      </c>
      <c r="K411">
        <v>3</v>
      </c>
      <c r="L411">
        <v>1</v>
      </c>
      <c r="M411">
        <v>11</v>
      </c>
      <c r="N411">
        <v>3</v>
      </c>
      <c r="O411">
        <v>5</v>
      </c>
      <c r="P411">
        <v>8</v>
      </c>
      <c r="Q411">
        <v>4</v>
      </c>
      <c r="R411">
        <v>14</v>
      </c>
      <c r="S411">
        <v>6</v>
      </c>
      <c r="T411">
        <v>0</v>
      </c>
      <c r="U411">
        <v>20</v>
      </c>
      <c r="V411" t="s">
        <v>297</v>
      </c>
      <c r="BA411" t="s">
        <v>52</v>
      </c>
      <c r="BB411" t="s">
        <v>287</v>
      </c>
      <c r="BC411" t="s">
        <v>17</v>
      </c>
      <c r="BD411">
        <v>1</v>
      </c>
      <c r="BE411">
        <v>2</v>
      </c>
      <c r="BF411">
        <v>4</v>
      </c>
      <c r="BG411">
        <v>6</v>
      </c>
      <c r="BH411">
        <v>7</v>
      </c>
      <c r="BI411">
        <v>1</v>
      </c>
      <c r="BJ411">
        <v>4</v>
      </c>
      <c r="BK411">
        <v>3</v>
      </c>
      <c r="BL411">
        <v>1</v>
      </c>
      <c r="BM411">
        <v>11</v>
      </c>
      <c r="BN411">
        <v>3</v>
      </c>
      <c r="BO411">
        <v>5</v>
      </c>
      <c r="BP411">
        <v>8</v>
      </c>
      <c r="BQ411">
        <v>4</v>
      </c>
      <c r="BR411">
        <v>14</v>
      </c>
      <c r="BS411">
        <v>6</v>
      </c>
      <c r="BT411">
        <v>0</v>
      </c>
      <c r="BU411">
        <v>20</v>
      </c>
      <c r="BV411" t="s">
        <v>296</v>
      </c>
    </row>
    <row r="412" spans="1:74">
      <c r="A412" t="s">
        <v>52</v>
      </c>
      <c r="B412" t="s">
        <v>287</v>
      </c>
      <c r="C412" t="s">
        <v>295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297</v>
      </c>
      <c r="BA412" t="s">
        <v>52</v>
      </c>
      <c r="BB412" t="s">
        <v>287</v>
      </c>
      <c r="BC412" t="s">
        <v>295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296</v>
      </c>
    </row>
    <row r="413" spans="1:74">
      <c r="A413" t="s">
        <v>53</v>
      </c>
      <c r="B413" t="s">
        <v>287</v>
      </c>
      <c r="C413" t="s">
        <v>288</v>
      </c>
      <c r="D413">
        <v>0.79</v>
      </c>
      <c r="E413">
        <v>1.35</v>
      </c>
      <c r="F413">
        <v>3.98</v>
      </c>
      <c r="G413">
        <v>6.27</v>
      </c>
      <c r="H413">
        <v>7.62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20</v>
      </c>
      <c r="V413" t="s">
        <v>297</v>
      </c>
      <c r="BA413" t="s">
        <v>53</v>
      </c>
      <c r="BB413" t="s">
        <v>287</v>
      </c>
      <c r="BC413" t="s">
        <v>288</v>
      </c>
      <c r="BD413">
        <v>0.79</v>
      </c>
      <c r="BE413">
        <v>1.35</v>
      </c>
      <c r="BF413">
        <v>3.98</v>
      </c>
      <c r="BG413">
        <v>6.27</v>
      </c>
      <c r="BH413">
        <v>7.62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0</v>
      </c>
      <c r="BU413">
        <v>20</v>
      </c>
      <c r="BV413" t="s">
        <v>296</v>
      </c>
    </row>
    <row r="414" spans="1:74">
      <c r="A414" t="s">
        <v>53</v>
      </c>
      <c r="B414" t="s">
        <v>287</v>
      </c>
      <c r="C414" t="s">
        <v>290</v>
      </c>
      <c r="D414">
        <v>0</v>
      </c>
      <c r="E414">
        <v>1</v>
      </c>
      <c r="F414">
        <v>5</v>
      </c>
      <c r="G414">
        <v>6</v>
      </c>
      <c r="H414">
        <v>8</v>
      </c>
      <c r="I414">
        <v>0</v>
      </c>
      <c r="J414">
        <v>4</v>
      </c>
      <c r="K414">
        <v>4</v>
      </c>
      <c r="L414">
        <v>4</v>
      </c>
      <c r="M414">
        <v>8</v>
      </c>
      <c r="N414">
        <v>6</v>
      </c>
      <c r="O414">
        <v>3</v>
      </c>
      <c r="P414">
        <v>6</v>
      </c>
      <c r="Q414">
        <v>5</v>
      </c>
      <c r="R414">
        <v>12</v>
      </c>
      <c r="S414">
        <v>8</v>
      </c>
      <c r="T414">
        <v>0</v>
      </c>
      <c r="U414">
        <v>20</v>
      </c>
      <c r="V414" t="s">
        <v>297</v>
      </c>
      <c r="BA414" t="s">
        <v>53</v>
      </c>
      <c r="BB414" t="s">
        <v>287</v>
      </c>
      <c r="BC414" t="s">
        <v>290</v>
      </c>
      <c r="BD414">
        <v>0</v>
      </c>
      <c r="BE414">
        <v>1</v>
      </c>
      <c r="BF414">
        <v>5</v>
      </c>
      <c r="BG414">
        <v>6</v>
      </c>
      <c r="BH414">
        <v>8</v>
      </c>
      <c r="BI414">
        <v>0</v>
      </c>
      <c r="BJ414">
        <v>4</v>
      </c>
      <c r="BK414">
        <v>4</v>
      </c>
      <c r="BL414">
        <v>4</v>
      </c>
      <c r="BM414">
        <v>8</v>
      </c>
      <c r="BN414">
        <v>6</v>
      </c>
      <c r="BO414">
        <v>3</v>
      </c>
      <c r="BP414">
        <v>6</v>
      </c>
      <c r="BQ414">
        <v>5</v>
      </c>
      <c r="BR414">
        <v>12</v>
      </c>
      <c r="BS414">
        <v>8</v>
      </c>
      <c r="BT414">
        <v>0</v>
      </c>
      <c r="BU414">
        <v>20</v>
      </c>
      <c r="BV414" t="s">
        <v>296</v>
      </c>
    </row>
    <row r="415" spans="1:74">
      <c r="A415" t="s">
        <v>53</v>
      </c>
      <c r="B415" t="s">
        <v>287</v>
      </c>
      <c r="C415" t="s">
        <v>291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">
        <v>297</v>
      </c>
      <c r="BA415" t="s">
        <v>53</v>
      </c>
      <c r="BB415" t="s">
        <v>287</v>
      </c>
      <c r="BC415" t="s">
        <v>291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296</v>
      </c>
    </row>
    <row r="416" spans="1:74">
      <c r="A416" t="s">
        <v>53</v>
      </c>
      <c r="B416" t="s">
        <v>287</v>
      </c>
      <c r="C416" t="s">
        <v>292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297</v>
      </c>
      <c r="BA416" t="s">
        <v>53</v>
      </c>
      <c r="BB416" t="s">
        <v>287</v>
      </c>
      <c r="BC416" t="s">
        <v>292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296</v>
      </c>
    </row>
    <row r="417" spans="1:74">
      <c r="A417" t="s">
        <v>53</v>
      </c>
      <c r="B417" t="s">
        <v>287</v>
      </c>
      <c r="C417" t="s">
        <v>298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">
        <v>297</v>
      </c>
      <c r="BA417" t="s">
        <v>53</v>
      </c>
      <c r="BB417" t="s">
        <v>287</v>
      </c>
      <c r="BC417" t="s">
        <v>298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296</v>
      </c>
    </row>
    <row r="418" spans="1:74">
      <c r="A418" t="s">
        <v>53</v>
      </c>
      <c r="B418" t="s">
        <v>287</v>
      </c>
      <c r="C418" t="s">
        <v>293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">
        <v>297</v>
      </c>
      <c r="BA418" t="s">
        <v>53</v>
      </c>
      <c r="BB418" t="s">
        <v>287</v>
      </c>
      <c r="BC418" t="s">
        <v>293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296</v>
      </c>
    </row>
    <row r="419" spans="1:74">
      <c r="A419" t="s">
        <v>53</v>
      </c>
      <c r="B419" t="s">
        <v>287</v>
      </c>
      <c r="C419" t="s">
        <v>294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">
        <v>297</v>
      </c>
      <c r="BA419" t="s">
        <v>53</v>
      </c>
      <c r="BB419" t="s">
        <v>287</v>
      </c>
      <c r="BC419" t="s">
        <v>294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296</v>
      </c>
    </row>
    <row r="420" spans="1:74">
      <c r="A420" t="s">
        <v>53</v>
      </c>
      <c r="B420" t="s">
        <v>287</v>
      </c>
      <c r="C420" t="s">
        <v>17</v>
      </c>
      <c r="D420">
        <v>0</v>
      </c>
      <c r="E420">
        <v>1</v>
      </c>
      <c r="F420">
        <v>5</v>
      </c>
      <c r="G420">
        <v>6</v>
      </c>
      <c r="H420">
        <v>8</v>
      </c>
      <c r="I420">
        <v>0</v>
      </c>
      <c r="J420">
        <v>4</v>
      </c>
      <c r="K420">
        <v>4</v>
      </c>
      <c r="L420">
        <v>4</v>
      </c>
      <c r="M420">
        <v>8</v>
      </c>
      <c r="N420">
        <v>6</v>
      </c>
      <c r="O420">
        <v>3</v>
      </c>
      <c r="P420">
        <v>6</v>
      </c>
      <c r="Q420">
        <v>5</v>
      </c>
      <c r="R420">
        <v>12</v>
      </c>
      <c r="S420">
        <v>8</v>
      </c>
      <c r="T420">
        <v>0</v>
      </c>
      <c r="U420">
        <v>20</v>
      </c>
      <c r="V420" t="s">
        <v>297</v>
      </c>
      <c r="BA420" t="s">
        <v>53</v>
      </c>
      <c r="BB420" t="s">
        <v>287</v>
      </c>
      <c r="BC420" t="s">
        <v>17</v>
      </c>
      <c r="BD420">
        <v>0</v>
      </c>
      <c r="BE420">
        <v>1</v>
      </c>
      <c r="BF420">
        <v>5</v>
      </c>
      <c r="BG420">
        <v>6</v>
      </c>
      <c r="BH420">
        <v>8</v>
      </c>
      <c r="BI420">
        <v>0</v>
      </c>
      <c r="BJ420">
        <v>4</v>
      </c>
      <c r="BK420">
        <v>4</v>
      </c>
      <c r="BL420">
        <v>4</v>
      </c>
      <c r="BM420">
        <v>8</v>
      </c>
      <c r="BN420">
        <v>6</v>
      </c>
      <c r="BO420">
        <v>3</v>
      </c>
      <c r="BP420">
        <v>6</v>
      </c>
      <c r="BQ420">
        <v>5</v>
      </c>
      <c r="BR420">
        <v>12</v>
      </c>
      <c r="BS420">
        <v>8</v>
      </c>
      <c r="BT420">
        <v>0</v>
      </c>
      <c r="BU420">
        <v>20</v>
      </c>
      <c r="BV420" t="s">
        <v>296</v>
      </c>
    </row>
    <row r="421" spans="1:74">
      <c r="A421" t="s">
        <v>53</v>
      </c>
      <c r="B421" t="s">
        <v>287</v>
      </c>
      <c r="C421" t="s">
        <v>295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">
        <v>297</v>
      </c>
      <c r="BA421" t="s">
        <v>53</v>
      </c>
      <c r="BB421" t="s">
        <v>287</v>
      </c>
      <c r="BC421" t="s">
        <v>295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296</v>
      </c>
    </row>
    <row r="422" spans="1:74">
      <c r="A422" t="s">
        <v>54</v>
      </c>
      <c r="B422" t="s">
        <v>287</v>
      </c>
      <c r="C422" t="s">
        <v>288</v>
      </c>
      <c r="D422">
        <v>0.8</v>
      </c>
      <c r="E422">
        <v>1.28</v>
      </c>
      <c r="F422">
        <v>4.04</v>
      </c>
      <c r="G422">
        <v>6.31</v>
      </c>
      <c r="H422">
        <v>7.56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20</v>
      </c>
      <c r="V422" t="s">
        <v>297</v>
      </c>
      <c r="BA422" t="s">
        <v>54</v>
      </c>
      <c r="BB422" t="s">
        <v>287</v>
      </c>
      <c r="BC422" t="s">
        <v>288</v>
      </c>
      <c r="BD422">
        <v>0.8</v>
      </c>
      <c r="BE422">
        <v>1.28</v>
      </c>
      <c r="BF422">
        <v>4.04</v>
      </c>
      <c r="BG422">
        <v>6.31</v>
      </c>
      <c r="BH422">
        <v>7.56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20</v>
      </c>
      <c r="BV422" t="s">
        <v>296</v>
      </c>
    </row>
    <row r="423" spans="1:74">
      <c r="A423" t="s">
        <v>54</v>
      </c>
      <c r="B423" t="s">
        <v>287</v>
      </c>
      <c r="C423" t="s">
        <v>290</v>
      </c>
      <c r="D423">
        <v>2</v>
      </c>
      <c r="E423">
        <v>2</v>
      </c>
      <c r="F423">
        <v>4</v>
      </c>
      <c r="G423">
        <v>6</v>
      </c>
      <c r="H423">
        <v>6</v>
      </c>
      <c r="I423">
        <v>1</v>
      </c>
      <c r="J423">
        <v>4</v>
      </c>
      <c r="K423">
        <v>7</v>
      </c>
      <c r="L423">
        <v>1</v>
      </c>
      <c r="M423">
        <v>7</v>
      </c>
      <c r="N423">
        <v>4</v>
      </c>
      <c r="O423">
        <v>3</v>
      </c>
      <c r="P423">
        <v>8</v>
      </c>
      <c r="Q423">
        <v>5</v>
      </c>
      <c r="R423">
        <v>9</v>
      </c>
      <c r="S423">
        <v>11</v>
      </c>
      <c r="T423">
        <v>0</v>
      </c>
      <c r="U423">
        <v>20</v>
      </c>
      <c r="V423" t="s">
        <v>297</v>
      </c>
      <c r="BA423" t="s">
        <v>54</v>
      </c>
      <c r="BB423" t="s">
        <v>287</v>
      </c>
      <c r="BC423" t="s">
        <v>290</v>
      </c>
      <c r="BD423">
        <v>2</v>
      </c>
      <c r="BE423">
        <v>2</v>
      </c>
      <c r="BF423">
        <v>4</v>
      </c>
      <c r="BG423">
        <v>6</v>
      </c>
      <c r="BH423">
        <v>6</v>
      </c>
      <c r="BI423">
        <v>1</v>
      </c>
      <c r="BJ423">
        <v>4</v>
      </c>
      <c r="BK423">
        <v>7</v>
      </c>
      <c r="BL423">
        <v>1</v>
      </c>
      <c r="BM423">
        <v>7</v>
      </c>
      <c r="BN423">
        <v>4</v>
      </c>
      <c r="BO423">
        <v>3</v>
      </c>
      <c r="BP423">
        <v>8</v>
      </c>
      <c r="BQ423">
        <v>5</v>
      </c>
      <c r="BR423">
        <v>9</v>
      </c>
      <c r="BS423">
        <v>11</v>
      </c>
      <c r="BT423">
        <v>0</v>
      </c>
      <c r="BU423">
        <v>20</v>
      </c>
      <c r="BV423" t="s">
        <v>296</v>
      </c>
    </row>
    <row r="424" spans="1:74">
      <c r="A424" t="s">
        <v>54</v>
      </c>
      <c r="B424" t="s">
        <v>287</v>
      </c>
      <c r="C424" t="s">
        <v>291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1</v>
      </c>
      <c r="Q424">
        <v>1</v>
      </c>
      <c r="R424">
        <v>2</v>
      </c>
      <c r="S424">
        <v>0</v>
      </c>
      <c r="T424">
        <v>0</v>
      </c>
      <c r="U424">
        <v>2</v>
      </c>
      <c r="V424" t="s">
        <v>297</v>
      </c>
      <c r="BA424" t="s">
        <v>54</v>
      </c>
      <c r="BB424" t="s">
        <v>287</v>
      </c>
      <c r="BC424" t="s">
        <v>291</v>
      </c>
      <c r="BD424">
        <v>0</v>
      </c>
      <c r="BE424">
        <v>0</v>
      </c>
      <c r="BF424">
        <v>1</v>
      </c>
      <c r="BG424">
        <v>0</v>
      </c>
      <c r="BH424">
        <v>1</v>
      </c>
      <c r="BI424">
        <v>1</v>
      </c>
      <c r="BJ424">
        <v>0</v>
      </c>
      <c r="BK424">
        <v>0</v>
      </c>
      <c r="BL424">
        <v>0</v>
      </c>
      <c r="BM424">
        <v>1</v>
      </c>
      <c r="BN424">
        <v>0</v>
      </c>
      <c r="BO424">
        <v>0</v>
      </c>
      <c r="BP424">
        <v>1</v>
      </c>
      <c r="BQ424">
        <v>1</v>
      </c>
      <c r="BR424">
        <v>2</v>
      </c>
      <c r="BS424">
        <v>0</v>
      </c>
      <c r="BT424">
        <v>0</v>
      </c>
      <c r="BU424">
        <v>2</v>
      </c>
      <c r="BV424" t="s">
        <v>296</v>
      </c>
    </row>
    <row r="425" spans="1:74">
      <c r="A425" t="s">
        <v>54</v>
      </c>
      <c r="B425" t="s">
        <v>287</v>
      </c>
      <c r="C425" t="s">
        <v>292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">
        <v>297</v>
      </c>
      <c r="BA425" t="s">
        <v>54</v>
      </c>
      <c r="BB425" t="s">
        <v>287</v>
      </c>
      <c r="BC425" t="s">
        <v>292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296</v>
      </c>
    </row>
    <row r="426" spans="1:74">
      <c r="A426" t="s">
        <v>54</v>
      </c>
      <c r="B426" t="s">
        <v>287</v>
      </c>
      <c r="C426" t="s">
        <v>298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">
        <v>297</v>
      </c>
      <c r="BA426" t="s">
        <v>54</v>
      </c>
      <c r="BB426" t="s">
        <v>287</v>
      </c>
      <c r="BC426" t="s">
        <v>298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296</v>
      </c>
    </row>
    <row r="427" spans="1:74">
      <c r="A427" t="s">
        <v>54</v>
      </c>
      <c r="B427" t="s">
        <v>287</v>
      </c>
      <c r="C427" t="s">
        <v>293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">
        <v>297</v>
      </c>
      <c r="BA427" t="s">
        <v>54</v>
      </c>
      <c r="BB427" t="s">
        <v>287</v>
      </c>
      <c r="BC427" t="s">
        <v>293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 t="s">
        <v>296</v>
      </c>
    </row>
    <row r="428" spans="1:74">
      <c r="A428" t="s">
        <v>54</v>
      </c>
      <c r="B428" t="s">
        <v>287</v>
      </c>
      <c r="C428" t="s">
        <v>294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">
        <v>297</v>
      </c>
      <c r="BA428" t="s">
        <v>54</v>
      </c>
      <c r="BB428" t="s">
        <v>287</v>
      </c>
      <c r="BC428" t="s">
        <v>294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296</v>
      </c>
    </row>
    <row r="429" spans="1:74">
      <c r="A429" t="s">
        <v>54</v>
      </c>
      <c r="B429" t="s">
        <v>287</v>
      </c>
      <c r="C429" t="s">
        <v>17</v>
      </c>
      <c r="D429">
        <v>2</v>
      </c>
      <c r="E429">
        <v>2</v>
      </c>
      <c r="F429">
        <v>5</v>
      </c>
      <c r="G429">
        <v>6</v>
      </c>
      <c r="H429">
        <v>7</v>
      </c>
      <c r="I429">
        <v>2</v>
      </c>
      <c r="J429">
        <v>4</v>
      </c>
      <c r="K429">
        <v>7</v>
      </c>
      <c r="L429">
        <v>1</v>
      </c>
      <c r="M429">
        <v>8</v>
      </c>
      <c r="N429">
        <v>4</v>
      </c>
      <c r="O429">
        <v>3</v>
      </c>
      <c r="P429">
        <v>9</v>
      </c>
      <c r="Q429">
        <v>6</v>
      </c>
      <c r="R429">
        <v>11</v>
      </c>
      <c r="S429">
        <v>11</v>
      </c>
      <c r="T429">
        <v>0</v>
      </c>
      <c r="U429">
        <v>22</v>
      </c>
      <c r="V429" t="s">
        <v>297</v>
      </c>
      <c r="BA429" t="s">
        <v>54</v>
      </c>
      <c r="BB429" t="s">
        <v>287</v>
      </c>
      <c r="BC429" t="s">
        <v>17</v>
      </c>
      <c r="BD429">
        <v>2</v>
      </c>
      <c r="BE429">
        <v>2</v>
      </c>
      <c r="BF429">
        <v>5</v>
      </c>
      <c r="BG429">
        <v>6</v>
      </c>
      <c r="BH429">
        <v>7</v>
      </c>
      <c r="BI429">
        <v>2</v>
      </c>
      <c r="BJ429">
        <v>4</v>
      </c>
      <c r="BK429">
        <v>7</v>
      </c>
      <c r="BL429">
        <v>1</v>
      </c>
      <c r="BM429">
        <v>8</v>
      </c>
      <c r="BN429">
        <v>4</v>
      </c>
      <c r="BO429">
        <v>3</v>
      </c>
      <c r="BP429">
        <v>9</v>
      </c>
      <c r="BQ429">
        <v>6</v>
      </c>
      <c r="BR429">
        <v>11</v>
      </c>
      <c r="BS429">
        <v>11</v>
      </c>
      <c r="BT429">
        <v>0</v>
      </c>
      <c r="BU429">
        <v>22</v>
      </c>
      <c r="BV429" t="s">
        <v>296</v>
      </c>
    </row>
    <row r="430" spans="1:74">
      <c r="A430" t="s">
        <v>54</v>
      </c>
      <c r="B430" t="s">
        <v>287</v>
      </c>
      <c r="C430" t="s">
        <v>295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">
        <v>297</v>
      </c>
      <c r="BA430" t="s">
        <v>54</v>
      </c>
      <c r="BB430" t="s">
        <v>287</v>
      </c>
      <c r="BC430" t="s">
        <v>295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296</v>
      </c>
    </row>
    <row r="431" spans="1:74">
      <c r="A431" t="s">
        <v>150</v>
      </c>
      <c r="B431" t="s">
        <v>287</v>
      </c>
      <c r="C431" t="s">
        <v>288</v>
      </c>
      <c r="D431">
        <v>7.35</v>
      </c>
      <c r="E431">
        <v>12.97</v>
      </c>
      <c r="F431">
        <v>43.92</v>
      </c>
      <c r="G431">
        <v>70.239999999999995</v>
      </c>
      <c r="H431">
        <v>85.55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11</v>
      </c>
      <c r="O431">
        <v>11</v>
      </c>
      <c r="P431">
        <v>11</v>
      </c>
      <c r="Q431">
        <v>11</v>
      </c>
      <c r="R431">
        <v>11</v>
      </c>
      <c r="S431">
        <v>11</v>
      </c>
      <c r="T431">
        <v>0</v>
      </c>
      <c r="U431">
        <v>220</v>
      </c>
      <c r="V431" t="s">
        <v>297</v>
      </c>
      <c r="BA431" t="s">
        <v>150</v>
      </c>
      <c r="BB431" t="s">
        <v>287</v>
      </c>
      <c r="BC431" t="s">
        <v>288</v>
      </c>
      <c r="BD431">
        <v>7.35</v>
      </c>
      <c r="BE431">
        <v>12.97</v>
      </c>
      <c r="BF431">
        <v>43.92</v>
      </c>
      <c r="BG431">
        <v>70.239999999999995</v>
      </c>
      <c r="BH431">
        <v>85.55</v>
      </c>
      <c r="BI431">
        <v>11</v>
      </c>
      <c r="BJ431">
        <v>11</v>
      </c>
      <c r="BK431">
        <v>11</v>
      </c>
      <c r="BL431">
        <v>11</v>
      </c>
      <c r="BM431">
        <v>11</v>
      </c>
      <c r="BN431">
        <v>11</v>
      </c>
      <c r="BO431">
        <v>11</v>
      </c>
      <c r="BP431">
        <v>11</v>
      </c>
      <c r="BQ431">
        <v>11</v>
      </c>
      <c r="BR431">
        <v>11</v>
      </c>
      <c r="BS431">
        <v>11</v>
      </c>
      <c r="BT431">
        <v>0</v>
      </c>
      <c r="BU431">
        <v>220</v>
      </c>
      <c r="BV431" t="s">
        <v>296</v>
      </c>
    </row>
    <row r="432" spans="1:74">
      <c r="A432" t="s">
        <v>150</v>
      </c>
      <c r="B432" t="s">
        <v>287</v>
      </c>
      <c r="C432" t="s">
        <v>290</v>
      </c>
      <c r="D432">
        <v>9</v>
      </c>
      <c r="E432">
        <v>17</v>
      </c>
      <c r="F432">
        <v>45</v>
      </c>
      <c r="G432">
        <v>68</v>
      </c>
      <c r="H432">
        <v>80</v>
      </c>
      <c r="I432">
        <v>15</v>
      </c>
      <c r="J432">
        <v>30</v>
      </c>
      <c r="K432">
        <v>51</v>
      </c>
      <c r="L432">
        <v>22</v>
      </c>
      <c r="M432">
        <v>101</v>
      </c>
      <c r="N432">
        <v>58</v>
      </c>
      <c r="O432">
        <v>34</v>
      </c>
      <c r="P432">
        <v>79</v>
      </c>
      <c r="Q432">
        <v>48</v>
      </c>
      <c r="R432">
        <v>118</v>
      </c>
      <c r="S432">
        <v>101</v>
      </c>
      <c r="T432">
        <v>0</v>
      </c>
      <c r="U432">
        <v>219</v>
      </c>
      <c r="V432" t="s">
        <v>297</v>
      </c>
      <c r="BA432" t="s">
        <v>150</v>
      </c>
      <c r="BB432" t="s">
        <v>287</v>
      </c>
      <c r="BC432" t="s">
        <v>290</v>
      </c>
      <c r="BD432">
        <v>9</v>
      </c>
      <c r="BE432">
        <v>17</v>
      </c>
      <c r="BF432">
        <v>45</v>
      </c>
      <c r="BG432">
        <v>68</v>
      </c>
      <c r="BH432">
        <v>80</v>
      </c>
      <c r="BI432">
        <v>15</v>
      </c>
      <c r="BJ432">
        <v>30</v>
      </c>
      <c r="BK432">
        <v>51</v>
      </c>
      <c r="BL432">
        <v>22</v>
      </c>
      <c r="BM432">
        <v>101</v>
      </c>
      <c r="BN432">
        <v>58</v>
      </c>
      <c r="BO432">
        <v>34</v>
      </c>
      <c r="BP432">
        <v>79</v>
      </c>
      <c r="BQ432">
        <v>48</v>
      </c>
      <c r="BR432">
        <v>118</v>
      </c>
      <c r="BS432">
        <v>101</v>
      </c>
      <c r="BT432">
        <v>0</v>
      </c>
      <c r="BU432">
        <v>219</v>
      </c>
      <c r="BV432" t="s">
        <v>296</v>
      </c>
    </row>
    <row r="433" spans="1:74">
      <c r="A433" t="s">
        <v>150</v>
      </c>
      <c r="B433" t="s">
        <v>287</v>
      </c>
      <c r="C433" t="s">
        <v>291</v>
      </c>
      <c r="D433">
        <v>1</v>
      </c>
      <c r="E433">
        <v>0</v>
      </c>
      <c r="F433">
        <v>1</v>
      </c>
      <c r="G433">
        <v>6</v>
      </c>
      <c r="H433">
        <v>7</v>
      </c>
      <c r="I433">
        <v>2</v>
      </c>
      <c r="J433">
        <v>0</v>
      </c>
      <c r="K433">
        <v>5</v>
      </c>
      <c r="L433">
        <v>0</v>
      </c>
      <c r="M433">
        <v>8</v>
      </c>
      <c r="N433">
        <v>1</v>
      </c>
      <c r="O433">
        <v>2</v>
      </c>
      <c r="P433">
        <v>9</v>
      </c>
      <c r="Q433">
        <v>3</v>
      </c>
      <c r="R433">
        <v>6</v>
      </c>
      <c r="S433">
        <v>9</v>
      </c>
      <c r="T433">
        <v>0</v>
      </c>
      <c r="U433">
        <v>15</v>
      </c>
      <c r="V433" t="s">
        <v>297</v>
      </c>
      <c r="BA433" t="s">
        <v>150</v>
      </c>
      <c r="BB433" t="s">
        <v>287</v>
      </c>
      <c r="BC433" t="s">
        <v>291</v>
      </c>
      <c r="BD433">
        <v>1</v>
      </c>
      <c r="BE433">
        <v>0</v>
      </c>
      <c r="BF433">
        <v>1</v>
      </c>
      <c r="BG433">
        <v>6</v>
      </c>
      <c r="BH433">
        <v>7</v>
      </c>
      <c r="BI433">
        <v>2</v>
      </c>
      <c r="BJ433">
        <v>0</v>
      </c>
      <c r="BK433">
        <v>5</v>
      </c>
      <c r="BL433">
        <v>0</v>
      </c>
      <c r="BM433">
        <v>8</v>
      </c>
      <c r="BN433">
        <v>1</v>
      </c>
      <c r="BO433">
        <v>2</v>
      </c>
      <c r="BP433">
        <v>9</v>
      </c>
      <c r="BQ433">
        <v>3</v>
      </c>
      <c r="BR433">
        <v>6</v>
      </c>
      <c r="BS433">
        <v>9</v>
      </c>
      <c r="BT433">
        <v>0</v>
      </c>
      <c r="BU433">
        <v>15</v>
      </c>
      <c r="BV433" t="s">
        <v>296</v>
      </c>
    </row>
    <row r="434" spans="1:74">
      <c r="A434" t="s">
        <v>150</v>
      </c>
      <c r="B434" t="s">
        <v>287</v>
      </c>
      <c r="C434" t="s">
        <v>292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">
        <v>297</v>
      </c>
      <c r="BA434" t="s">
        <v>150</v>
      </c>
      <c r="BB434" t="s">
        <v>287</v>
      </c>
      <c r="BC434" t="s">
        <v>292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296</v>
      </c>
    </row>
    <row r="435" spans="1:74">
      <c r="A435" t="s">
        <v>150</v>
      </c>
      <c r="B435" t="s">
        <v>287</v>
      </c>
      <c r="C435" t="s">
        <v>298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">
        <v>297</v>
      </c>
      <c r="BA435" t="s">
        <v>150</v>
      </c>
      <c r="BB435" t="s">
        <v>287</v>
      </c>
      <c r="BC435" t="s">
        <v>298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296</v>
      </c>
    </row>
    <row r="436" spans="1:74">
      <c r="A436" t="s">
        <v>150</v>
      </c>
      <c r="B436" t="s">
        <v>287</v>
      </c>
      <c r="C436" t="s">
        <v>293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1</v>
      </c>
      <c r="V436" t="s">
        <v>297</v>
      </c>
      <c r="BA436" t="s">
        <v>150</v>
      </c>
      <c r="BB436" t="s">
        <v>287</v>
      </c>
      <c r="BC436" t="s">
        <v>293</v>
      </c>
      <c r="BD436">
        <v>1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</v>
      </c>
      <c r="BQ436">
        <v>0</v>
      </c>
      <c r="BR436">
        <v>0</v>
      </c>
      <c r="BS436">
        <v>1</v>
      </c>
      <c r="BT436">
        <v>0</v>
      </c>
      <c r="BU436">
        <v>1</v>
      </c>
      <c r="BV436" t="s">
        <v>296</v>
      </c>
    </row>
    <row r="437" spans="1:74">
      <c r="A437" t="s">
        <v>150</v>
      </c>
      <c r="B437" t="s">
        <v>287</v>
      </c>
      <c r="C437" t="s">
        <v>294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">
        <v>297</v>
      </c>
      <c r="BA437" t="s">
        <v>150</v>
      </c>
      <c r="BB437" t="s">
        <v>287</v>
      </c>
      <c r="BC437" t="s">
        <v>294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296</v>
      </c>
    </row>
    <row r="438" spans="1:74">
      <c r="A438" t="s">
        <v>150</v>
      </c>
      <c r="B438" t="s">
        <v>287</v>
      </c>
      <c r="C438" t="s">
        <v>17</v>
      </c>
      <c r="D438">
        <v>11</v>
      </c>
      <c r="E438">
        <v>17</v>
      </c>
      <c r="F438">
        <v>46</v>
      </c>
      <c r="G438">
        <v>74</v>
      </c>
      <c r="H438">
        <v>87</v>
      </c>
      <c r="I438">
        <v>17</v>
      </c>
      <c r="J438">
        <v>31</v>
      </c>
      <c r="K438">
        <v>56</v>
      </c>
      <c r="L438">
        <v>22</v>
      </c>
      <c r="M438">
        <v>109</v>
      </c>
      <c r="N438">
        <v>59</v>
      </c>
      <c r="O438">
        <v>36</v>
      </c>
      <c r="P438">
        <v>89</v>
      </c>
      <c r="Q438">
        <v>51</v>
      </c>
      <c r="R438">
        <v>124</v>
      </c>
      <c r="S438">
        <v>111</v>
      </c>
      <c r="T438">
        <v>0</v>
      </c>
      <c r="U438">
        <v>235</v>
      </c>
      <c r="V438" t="s">
        <v>297</v>
      </c>
      <c r="BA438" t="s">
        <v>150</v>
      </c>
      <c r="BB438" t="s">
        <v>287</v>
      </c>
      <c r="BC438" t="s">
        <v>17</v>
      </c>
      <c r="BD438">
        <v>11</v>
      </c>
      <c r="BE438">
        <v>17</v>
      </c>
      <c r="BF438">
        <v>46</v>
      </c>
      <c r="BG438">
        <v>74</v>
      </c>
      <c r="BH438">
        <v>87</v>
      </c>
      <c r="BI438">
        <v>17</v>
      </c>
      <c r="BJ438">
        <v>31</v>
      </c>
      <c r="BK438">
        <v>56</v>
      </c>
      <c r="BL438">
        <v>22</v>
      </c>
      <c r="BM438">
        <v>109</v>
      </c>
      <c r="BN438">
        <v>59</v>
      </c>
      <c r="BO438">
        <v>36</v>
      </c>
      <c r="BP438">
        <v>89</v>
      </c>
      <c r="BQ438">
        <v>51</v>
      </c>
      <c r="BR438">
        <v>124</v>
      </c>
      <c r="BS438">
        <v>111</v>
      </c>
      <c r="BT438">
        <v>0</v>
      </c>
      <c r="BU438">
        <v>235</v>
      </c>
      <c r="BV438" t="s">
        <v>296</v>
      </c>
    </row>
    <row r="439" spans="1:74">
      <c r="A439" t="s">
        <v>150</v>
      </c>
      <c r="B439" t="s">
        <v>287</v>
      </c>
      <c r="C439" t="s">
        <v>295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">
        <v>297</v>
      </c>
      <c r="BA439" t="s">
        <v>150</v>
      </c>
      <c r="BB439" t="s">
        <v>287</v>
      </c>
      <c r="BC439" t="s">
        <v>295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296</v>
      </c>
    </row>
    <row r="440" spans="1:74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74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74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74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74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74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74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74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74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4:21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4:21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4:2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4:21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4:21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4:21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4:21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4:21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4:2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4:21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4:21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4:21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4:21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4:21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4:21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4:21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4:21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4:21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4:21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4:21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4:21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4:21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4:2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4:21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4:21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4:21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4:21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4:21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4:21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4:21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4:21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4:21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4:21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4:21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4:21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4:21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4:21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4:21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4:21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4:21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4:21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4:21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4:21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4:21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4:21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4:21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4:21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4:21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4:21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4:21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4:21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4:21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4:2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4:21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4:21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4:21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4:21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4:21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4:21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4:21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4:21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4:21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4:21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4:21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4:21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4:21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4:21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4:21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4:21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4:21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4:21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4:21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4:21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4:21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4:21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4:21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4:21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4:21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4:21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4:21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2">
      <c r="A529">
        <f>setup!C19</f>
        <v>3769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2">
      <c r="A530" t="str">
        <f>_xlfn.CONCAT(setup!D19, " - ",setup!E19)</f>
        <v>Retest WISC-6 Standardization Digital - R_WISC6_STDZ_D</v>
      </c>
    </row>
    <row r="531" spans="1:22">
      <c r="A531" t="s">
        <v>5</v>
      </c>
      <c r="B531" t="s">
        <v>259</v>
      </c>
      <c r="C531" t="s">
        <v>260</v>
      </c>
      <c r="D531" s="1" t="s">
        <v>29</v>
      </c>
      <c r="E531" s="1" t="s">
        <v>56</v>
      </c>
      <c r="F531" s="1" t="s">
        <v>50</v>
      </c>
      <c r="G531" s="1" t="s">
        <v>38</v>
      </c>
      <c r="H531" s="1" t="s">
        <v>58</v>
      </c>
      <c r="I531" s="1" t="s">
        <v>22</v>
      </c>
      <c r="J531" s="1" t="s">
        <v>36</v>
      </c>
      <c r="K531" s="1" t="s">
        <v>24</v>
      </c>
      <c r="L531" s="1" t="s">
        <v>31</v>
      </c>
      <c r="M531" s="1" t="s">
        <v>39</v>
      </c>
      <c r="N531" s="1" t="s">
        <v>59</v>
      </c>
      <c r="O531" s="1" t="s">
        <v>47</v>
      </c>
      <c r="P531" s="1" t="s">
        <v>33</v>
      </c>
      <c r="Q531" s="1" t="s">
        <v>60</v>
      </c>
      <c r="R531" s="1" t="s">
        <v>45</v>
      </c>
      <c r="S531" s="1" t="s">
        <v>34</v>
      </c>
      <c r="T531" t="s">
        <v>26</v>
      </c>
      <c r="U531" s="1" t="s">
        <v>150</v>
      </c>
      <c r="V531" t="s">
        <v>286</v>
      </c>
    </row>
    <row r="532" spans="1:22">
      <c r="A532" t="s">
        <v>299</v>
      </c>
      <c r="B532" t="s">
        <v>287</v>
      </c>
      <c r="C532" t="s">
        <v>288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30</v>
      </c>
      <c r="V532" t="s">
        <v>297</v>
      </c>
    </row>
    <row r="533" spans="1:22">
      <c r="A533" t="s">
        <v>299</v>
      </c>
      <c r="B533" t="s">
        <v>287</v>
      </c>
      <c r="C533" t="s">
        <v>290</v>
      </c>
      <c r="D533">
        <v>1</v>
      </c>
      <c r="E533">
        <v>0</v>
      </c>
      <c r="F533">
        <v>5</v>
      </c>
      <c r="G533">
        <v>8</v>
      </c>
      <c r="H533">
        <v>6</v>
      </c>
      <c r="I533">
        <v>0</v>
      </c>
      <c r="J533">
        <v>3</v>
      </c>
      <c r="K533">
        <v>3</v>
      </c>
      <c r="L533">
        <v>2</v>
      </c>
      <c r="M533">
        <v>12</v>
      </c>
      <c r="N533">
        <v>7</v>
      </c>
      <c r="O533">
        <v>3</v>
      </c>
      <c r="P533">
        <v>6</v>
      </c>
      <c r="Q533">
        <v>4</v>
      </c>
      <c r="R533">
        <v>7</v>
      </c>
      <c r="S533">
        <v>13</v>
      </c>
      <c r="T533">
        <v>0</v>
      </c>
      <c r="U533">
        <v>20</v>
      </c>
      <c r="V533" t="s">
        <v>297</v>
      </c>
    </row>
    <row r="534" spans="1:22">
      <c r="A534" t="s">
        <v>299</v>
      </c>
      <c r="B534" t="s">
        <v>287</v>
      </c>
      <c r="C534" t="s">
        <v>291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s">
        <v>297</v>
      </c>
    </row>
    <row r="535" spans="1:22">
      <c r="A535" t="s">
        <v>299</v>
      </c>
      <c r="B535" t="s">
        <v>287</v>
      </c>
      <c r="C535" t="s">
        <v>292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">
        <v>297</v>
      </c>
    </row>
    <row r="536" spans="1:22">
      <c r="A536" t="s">
        <v>299</v>
      </c>
      <c r="B536" t="s">
        <v>287</v>
      </c>
      <c r="C536" t="s">
        <v>298</v>
      </c>
      <c r="D536">
        <v>0</v>
      </c>
      <c r="E536">
        <v>0</v>
      </c>
      <c r="F536">
        <v>1</v>
      </c>
      <c r="G536">
        <v>4</v>
      </c>
      <c r="H536">
        <v>2</v>
      </c>
      <c r="I536">
        <v>0</v>
      </c>
      <c r="J536">
        <v>1</v>
      </c>
      <c r="K536">
        <v>0</v>
      </c>
      <c r="L536">
        <v>2</v>
      </c>
      <c r="M536">
        <v>4</v>
      </c>
      <c r="N536">
        <v>2</v>
      </c>
      <c r="O536">
        <v>2</v>
      </c>
      <c r="P536">
        <v>2</v>
      </c>
      <c r="Q536">
        <v>1</v>
      </c>
      <c r="R536">
        <v>2</v>
      </c>
      <c r="S536">
        <v>5</v>
      </c>
      <c r="T536">
        <v>0</v>
      </c>
      <c r="U536">
        <v>7</v>
      </c>
      <c r="V536" t="s">
        <v>297</v>
      </c>
    </row>
    <row r="537" spans="1:22">
      <c r="A537" t="s">
        <v>299</v>
      </c>
      <c r="B537" t="s">
        <v>287</v>
      </c>
      <c r="C537" t="s">
        <v>293</v>
      </c>
      <c r="D537">
        <v>0</v>
      </c>
      <c r="E537">
        <v>1</v>
      </c>
      <c r="F537">
        <v>0</v>
      </c>
      <c r="G537">
        <v>3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1</v>
      </c>
      <c r="O537">
        <v>0</v>
      </c>
      <c r="P537">
        <v>2</v>
      </c>
      <c r="Q537">
        <v>1</v>
      </c>
      <c r="R537">
        <v>2</v>
      </c>
      <c r="S537">
        <v>2</v>
      </c>
      <c r="T537">
        <v>0</v>
      </c>
      <c r="U537">
        <v>4</v>
      </c>
      <c r="V537" t="s">
        <v>297</v>
      </c>
    </row>
    <row r="538" spans="1:22">
      <c r="A538" t="s">
        <v>299</v>
      </c>
      <c r="B538" t="s">
        <v>287</v>
      </c>
      <c r="C538" t="s">
        <v>294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">
        <v>297</v>
      </c>
    </row>
    <row r="539" spans="1:22">
      <c r="A539" t="s">
        <v>299</v>
      </c>
      <c r="B539" t="s">
        <v>287</v>
      </c>
      <c r="C539" t="s">
        <v>17</v>
      </c>
      <c r="D539">
        <v>1</v>
      </c>
      <c r="E539">
        <v>1</v>
      </c>
      <c r="F539">
        <v>6</v>
      </c>
      <c r="G539">
        <v>15</v>
      </c>
      <c r="H539">
        <v>8</v>
      </c>
      <c r="I539">
        <v>1</v>
      </c>
      <c r="J539">
        <v>5</v>
      </c>
      <c r="K539">
        <v>4</v>
      </c>
      <c r="L539">
        <v>4</v>
      </c>
      <c r="M539">
        <v>17</v>
      </c>
      <c r="N539">
        <v>10</v>
      </c>
      <c r="O539">
        <v>5</v>
      </c>
      <c r="P539">
        <v>10</v>
      </c>
      <c r="Q539">
        <v>6</v>
      </c>
      <c r="R539">
        <v>11</v>
      </c>
      <c r="S539">
        <v>20</v>
      </c>
      <c r="T539">
        <v>0</v>
      </c>
      <c r="U539">
        <v>31</v>
      </c>
      <c r="V539" t="s">
        <v>297</v>
      </c>
    </row>
    <row r="540" spans="1:22">
      <c r="A540" t="s">
        <v>299</v>
      </c>
      <c r="B540" t="s">
        <v>287</v>
      </c>
      <c r="C540" t="s">
        <v>295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">
        <v>297</v>
      </c>
    </row>
    <row r="541" spans="1:22">
      <c r="A541" t="s">
        <v>300</v>
      </c>
      <c r="B541" t="s">
        <v>287</v>
      </c>
      <c r="C541" t="s">
        <v>288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30</v>
      </c>
      <c r="V541" t="s">
        <v>297</v>
      </c>
    </row>
    <row r="542" spans="1:22">
      <c r="A542" t="s">
        <v>300</v>
      </c>
      <c r="B542" t="s">
        <v>287</v>
      </c>
      <c r="C542" t="s">
        <v>290</v>
      </c>
      <c r="D542">
        <v>1</v>
      </c>
      <c r="E542">
        <v>1</v>
      </c>
      <c r="F542">
        <v>4</v>
      </c>
      <c r="G542">
        <v>5</v>
      </c>
      <c r="H542">
        <v>13</v>
      </c>
      <c r="I542">
        <v>1</v>
      </c>
      <c r="J542">
        <v>2</v>
      </c>
      <c r="K542">
        <v>8</v>
      </c>
      <c r="L542">
        <v>6</v>
      </c>
      <c r="M542">
        <v>7</v>
      </c>
      <c r="N542">
        <v>5</v>
      </c>
      <c r="O542">
        <v>3</v>
      </c>
      <c r="P542">
        <v>8</v>
      </c>
      <c r="Q542">
        <v>8</v>
      </c>
      <c r="R542">
        <v>12</v>
      </c>
      <c r="S542">
        <v>12</v>
      </c>
      <c r="T542">
        <v>0</v>
      </c>
      <c r="U542">
        <v>24</v>
      </c>
      <c r="V542" t="s">
        <v>297</v>
      </c>
    </row>
    <row r="543" spans="1:22">
      <c r="A543" t="s">
        <v>300</v>
      </c>
      <c r="B543" t="s">
        <v>287</v>
      </c>
      <c r="C543" t="s">
        <v>291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">
        <v>297</v>
      </c>
    </row>
    <row r="544" spans="1:22">
      <c r="A544" t="s">
        <v>300</v>
      </c>
      <c r="B544" t="s">
        <v>287</v>
      </c>
      <c r="C544" t="s">
        <v>292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">
        <v>297</v>
      </c>
    </row>
    <row r="545" spans="1:22">
      <c r="A545" t="s">
        <v>300</v>
      </c>
      <c r="B545" t="s">
        <v>287</v>
      </c>
      <c r="C545" t="s">
        <v>298</v>
      </c>
      <c r="D545">
        <v>0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2</v>
      </c>
      <c r="N545">
        <v>2</v>
      </c>
      <c r="O545">
        <v>1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3</v>
      </c>
      <c r="V545" t="s">
        <v>297</v>
      </c>
    </row>
    <row r="546" spans="1:22">
      <c r="A546" t="s">
        <v>300</v>
      </c>
      <c r="B546" t="s">
        <v>287</v>
      </c>
      <c r="C546" t="s">
        <v>293</v>
      </c>
      <c r="D546">
        <v>0</v>
      </c>
      <c r="E546">
        <v>0</v>
      </c>
      <c r="F546">
        <v>2</v>
      </c>
      <c r="G546">
        <v>2</v>
      </c>
      <c r="H546">
        <v>0</v>
      </c>
      <c r="I546">
        <v>0</v>
      </c>
      <c r="J546">
        <v>0</v>
      </c>
      <c r="K546">
        <v>0</v>
      </c>
      <c r="L546">
        <v>2</v>
      </c>
      <c r="M546">
        <v>2</v>
      </c>
      <c r="N546">
        <v>1</v>
      </c>
      <c r="O546">
        <v>0</v>
      </c>
      <c r="P546">
        <v>2</v>
      </c>
      <c r="Q546">
        <v>1</v>
      </c>
      <c r="R546">
        <v>1</v>
      </c>
      <c r="S546">
        <v>3</v>
      </c>
      <c r="T546">
        <v>0</v>
      </c>
      <c r="U546">
        <v>4</v>
      </c>
      <c r="V546" t="s">
        <v>297</v>
      </c>
    </row>
    <row r="547" spans="1:22">
      <c r="A547" t="s">
        <v>300</v>
      </c>
      <c r="B547" t="s">
        <v>287</v>
      </c>
      <c r="C547" t="s">
        <v>294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">
        <v>297</v>
      </c>
    </row>
    <row r="548" spans="1:22">
      <c r="A548" t="s">
        <v>300</v>
      </c>
      <c r="B548" t="s">
        <v>287</v>
      </c>
      <c r="C548" t="s">
        <v>17</v>
      </c>
      <c r="D548">
        <v>1</v>
      </c>
      <c r="E548">
        <v>1</v>
      </c>
      <c r="F548">
        <v>7</v>
      </c>
      <c r="G548">
        <v>8</v>
      </c>
      <c r="H548">
        <v>14</v>
      </c>
      <c r="I548">
        <v>1</v>
      </c>
      <c r="J548">
        <v>2</v>
      </c>
      <c r="K548">
        <v>9</v>
      </c>
      <c r="L548">
        <v>8</v>
      </c>
      <c r="M548">
        <v>11</v>
      </c>
      <c r="N548">
        <v>8</v>
      </c>
      <c r="O548">
        <v>4</v>
      </c>
      <c r="P548">
        <v>10</v>
      </c>
      <c r="Q548">
        <v>9</v>
      </c>
      <c r="R548">
        <v>13</v>
      </c>
      <c r="S548">
        <v>18</v>
      </c>
      <c r="T548">
        <v>0</v>
      </c>
      <c r="U548">
        <v>31</v>
      </c>
      <c r="V548" t="s">
        <v>297</v>
      </c>
    </row>
    <row r="549" spans="1:22">
      <c r="A549" t="s">
        <v>300</v>
      </c>
      <c r="B549" t="s">
        <v>287</v>
      </c>
      <c r="C549" t="s">
        <v>295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">
        <v>297</v>
      </c>
    </row>
    <row r="550" spans="1:22">
      <c r="A550" t="s">
        <v>63</v>
      </c>
      <c r="B550" t="s">
        <v>287</v>
      </c>
      <c r="C550" t="s">
        <v>288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30</v>
      </c>
      <c r="V550" t="s">
        <v>297</v>
      </c>
    </row>
    <row r="551" spans="1:22">
      <c r="A551" t="s">
        <v>63</v>
      </c>
      <c r="B551" t="s">
        <v>287</v>
      </c>
      <c r="C551" t="s">
        <v>290</v>
      </c>
      <c r="D551">
        <v>3</v>
      </c>
      <c r="E551">
        <v>3</v>
      </c>
      <c r="F551">
        <v>5</v>
      </c>
      <c r="G551">
        <v>6</v>
      </c>
      <c r="H551">
        <v>10</v>
      </c>
      <c r="I551">
        <v>4</v>
      </c>
      <c r="J551">
        <v>6</v>
      </c>
      <c r="K551">
        <v>8</v>
      </c>
      <c r="L551">
        <v>2</v>
      </c>
      <c r="M551">
        <v>7</v>
      </c>
      <c r="N551">
        <v>3</v>
      </c>
      <c r="O551">
        <v>4</v>
      </c>
      <c r="P551">
        <v>14</v>
      </c>
      <c r="Q551">
        <v>6</v>
      </c>
      <c r="R551">
        <v>13</v>
      </c>
      <c r="S551">
        <v>14</v>
      </c>
      <c r="T551">
        <v>0</v>
      </c>
      <c r="U551">
        <v>27</v>
      </c>
      <c r="V551" t="s">
        <v>297</v>
      </c>
    </row>
    <row r="552" spans="1:22">
      <c r="A552" t="s">
        <v>63</v>
      </c>
      <c r="B552" t="s">
        <v>287</v>
      </c>
      <c r="C552" t="s">
        <v>291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297</v>
      </c>
    </row>
    <row r="553" spans="1:22">
      <c r="A553" t="s">
        <v>63</v>
      </c>
      <c r="B553" t="s">
        <v>287</v>
      </c>
      <c r="C553" t="s">
        <v>292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">
        <v>297</v>
      </c>
    </row>
    <row r="554" spans="1:22">
      <c r="A554" t="s">
        <v>63</v>
      </c>
      <c r="B554" t="s">
        <v>287</v>
      </c>
      <c r="C554" t="s">
        <v>298</v>
      </c>
      <c r="D554">
        <v>0</v>
      </c>
      <c r="E554">
        <v>1</v>
      </c>
      <c r="F554">
        <v>0</v>
      </c>
      <c r="G554">
        <v>2</v>
      </c>
      <c r="H554">
        <v>0</v>
      </c>
      <c r="I554">
        <v>0</v>
      </c>
      <c r="J554">
        <v>1</v>
      </c>
      <c r="K554">
        <v>0</v>
      </c>
      <c r="L554">
        <v>1</v>
      </c>
      <c r="M554">
        <v>1</v>
      </c>
      <c r="N554">
        <v>2</v>
      </c>
      <c r="O554">
        <v>0</v>
      </c>
      <c r="P554">
        <v>0</v>
      </c>
      <c r="Q554">
        <v>1</v>
      </c>
      <c r="R554">
        <v>3</v>
      </c>
      <c r="S554">
        <v>0</v>
      </c>
      <c r="T554">
        <v>0</v>
      </c>
      <c r="U554">
        <v>3</v>
      </c>
      <c r="V554" t="s">
        <v>297</v>
      </c>
    </row>
    <row r="555" spans="1:22">
      <c r="A555" t="s">
        <v>63</v>
      </c>
      <c r="B555" t="s">
        <v>287</v>
      </c>
      <c r="C555" t="s">
        <v>293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0</v>
      </c>
      <c r="U555">
        <v>1</v>
      </c>
      <c r="V555" t="s">
        <v>297</v>
      </c>
    </row>
    <row r="556" spans="1:22">
      <c r="A556" t="s">
        <v>63</v>
      </c>
      <c r="B556" t="s">
        <v>287</v>
      </c>
      <c r="C556" t="s">
        <v>294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 t="s">
        <v>297</v>
      </c>
    </row>
    <row r="557" spans="1:22">
      <c r="A557" t="s">
        <v>63</v>
      </c>
      <c r="B557" t="s">
        <v>287</v>
      </c>
      <c r="C557" t="s">
        <v>17</v>
      </c>
      <c r="D557">
        <v>3</v>
      </c>
      <c r="E557">
        <v>4</v>
      </c>
      <c r="F557">
        <v>5</v>
      </c>
      <c r="G557">
        <v>9</v>
      </c>
      <c r="H557">
        <v>10</v>
      </c>
      <c r="I557">
        <v>4</v>
      </c>
      <c r="J557">
        <v>7</v>
      </c>
      <c r="K557">
        <v>8</v>
      </c>
      <c r="L557">
        <v>4</v>
      </c>
      <c r="M557">
        <v>8</v>
      </c>
      <c r="N557">
        <v>5</v>
      </c>
      <c r="O557">
        <v>4</v>
      </c>
      <c r="P557">
        <v>14</v>
      </c>
      <c r="Q557">
        <v>8</v>
      </c>
      <c r="R557">
        <v>17</v>
      </c>
      <c r="S557">
        <v>14</v>
      </c>
      <c r="T557">
        <v>0</v>
      </c>
      <c r="U557">
        <v>31</v>
      </c>
      <c r="V557" t="s">
        <v>297</v>
      </c>
    </row>
    <row r="558" spans="1:22">
      <c r="A558" t="s">
        <v>63</v>
      </c>
      <c r="B558" t="s">
        <v>287</v>
      </c>
      <c r="C558" t="s">
        <v>295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297</v>
      </c>
    </row>
    <row r="559" spans="1:22">
      <c r="A559" t="s">
        <v>150</v>
      </c>
      <c r="B559" t="s">
        <v>287</v>
      </c>
      <c r="C559" t="s">
        <v>288</v>
      </c>
      <c r="D559">
        <v>3</v>
      </c>
      <c r="E559">
        <v>3</v>
      </c>
      <c r="F559">
        <v>3</v>
      </c>
      <c r="G559">
        <v>3</v>
      </c>
      <c r="H559">
        <v>3</v>
      </c>
      <c r="I559">
        <v>3</v>
      </c>
      <c r="J559">
        <v>3</v>
      </c>
      <c r="K559">
        <v>3</v>
      </c>
      <c r="L559">
        <v>3</v>
      </c>
      <c r="M559">
        <v>3</v>
      </c>
      <c r="N559">
        <v>3</v>
      </c>
      <c r="O559">
        <v>3</v>
      </c>
      <c r="P559">
        <v>3</v>
      </c>
      <c r="Q559">
        <v>3</v>
      </c>
      <c r="R559">
        <v>3</v>
      </c>
      <c r="S559">
        <v>3</v>
      </c>
      <c r="T559">
        <v>0</v>
      </c>
      <c r="U559">
        <v>90</v>
      </c>
      <c r="V559" t="s">
        <v>297</v>
      </c>
    </row>
    <row r="560" spans="1:22">
      <c r="A560" t="s">
        <v>150</v>
      </c>
      <c r="B560" t="s">
        <v>287</v>
      </c>
      <c r="C560" t="s">
        <v>290</v>
      </c>
      <c r="D560">
        <v>5</v>
      </c>
      <c r="E560">
        <v>4</v>
      </c>
      <c r="F560">
        <v>14</v>
      </c>
      <c r="G560">
        <v>19</v>
      </c>
      <c r="H560">
        <v>29</v>
      </c>
      <c r="I560">
        <v>5</v>
      </c>
      <c r="J560">
        <v>11</v>
      </c>
      <c r="K560">
        <v>19</v>
      </c>
      <c r="L560">
        <v>10</v>
      </c>
      <c r="M560">
        <v>26</v>
      </c>
      <c r="N560">
        <v>15</v>
      </c>
      <c r="O560">
        <v>10</v>
      </c>
      <c r="P560">
        <v>28</v>
      </c>
      <c r="Q560">
        <v>18</v>
      </c>
      <c r="R560">
        <v>32</v>
      </c>
      <c r="S560">
        <v>39</v>
      </c>
      <c r="T560">
        <v>0</v>
      </c>
      <c r="U560">
        <v>71</v>
      </c>
      <c r="V560" t="s">
        <v>297</v>
      </c>
    </row>
    <row r="561" spans="1:22">
      <c r="A561" t="s">
        <v>150</v>
      </c>
      <c r="B561" t="s">
        <v>287</v>
      </c>
      <c r="C561" t="s">
        <v>291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">
        <v>297</v>
      </c>
    </row>
    <row r="562" spans="1:22">
      <c r="A562" t="s">
        <v>150</v>
      </c>
      <c r="B562" t="s">
        <v>287</v>
      </c>
      <c r="C562" t="s">
        <v>292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">
        <v>297</v>
      </c>
    </row>
    <row r="563" spans="1:22">
      <c r="A563" t="s">
        <v>150</v>
      </c>
      <c r="B563" t="s">
        <v>287</v>
      </c>
      <c r="C563" t="s">
        <v>298</v>
      </c>
      <c r="D563">
        <v>0</v>
      </c>
      <c r="E563">
        <v>1</v>
      </c>
      <c r="F563">
        <v>2</v>
      </c>
      <c r="G563">
        <v>7</v>
      </c>
      <c r="H563">
        <v>3</v>
      </c>
      <c r="I563">
        <v>0</v>
      </c>
      <c r="J563">
        <v>2</v>
      </c>
      <c r="K563">
        <v>1</v>
      </c>
      <c r="L563">
        <v>3</v>
      </c>
      <c r="M563">
        <v>7</v>
      </c>
      <c r="N563">
        <v>6</v>
      </c>
      <c r="O563">
        <v>3</v>
      </c>
      <c r="P563">
        <v>2</v>
      </c>
      <c r="Q563">
        <v>2</v>
      </c>
      <c r="R563">
        <v>5</v>
      </c>
      <c r="S563">
        <v>8</v>
      </c>
      <c r="T563">
        <v>0</v>
      </c>
      <c r="U563">
        <v>13</v>
      </c>
      <c r="V563" t="s">
        <v>297</v>
      </c>
    </row>
    <row r="564" spans="1:22">
      <c r="A564" t="s">
        <v>150</v>
      </c>
      <c r="B564" t="s">
        <v>287</v>
      </c>
      <c r="C564" t="s">
        <v>293</v>
      </c>
      <c r="D564">
        <v>0</v>
      </c>
      <c r="E564">
        <v>1</v>
      </c>
      <c r="F564">
        <v>2</v>
      </c>
      <c r="G564">
        <v>6</v>
      </c>
      <c r="H564">
        <v>0</v>
      </c>
      <c r="I564">
        <v>1</v>
      </c>
      <c r="J564">
        <v>1</v>
      </c>
      <c r="K564">
        <v>1</v>
      </c>
      <c r="L564">
        <v>3</v>
      </c>
      <c r="M564">
        <v>3</v>
      </c>
      <c r="N564">
        <v>2</v>
      </c>
      <c r="O564">
        <v>0</v>
      </c>
      <c r="P564">
        <v>4</v>
      </c>
      <c r="Q564">
        <v>3</v>
      </c>
      <c r="R564">
        <v>4</v>
      </c>
      <c r="S564">
        <v>5</v>
      </c>
      <c r="T564">
        <v>0</v>
      </c>
      <c r="U564">
        <v>9</v>
      </c>
      <c r="V564" t="s">
        <v>297</v>
      </c>
    </row>
    <row r="565" spans="1:22">
      <c r="A565" t="s">
        <v>150</v>
      </c>
      <c r="B565" t="s">
        <v>287</v>
      </c>
      <c r="C565" t="s">
        <v>294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">
        <v>297</v>
      </c>
    </row>
    <row r="566" spans="1:22">
      <c r="A566" t="s">
        <v>150</v>
      </c>
      <c r="B566" t="s">
        <v>287</v>
      </c>
      <c r="C566" t="s">
        <v>17</v>
      </c>
      <c r="D566">
        <v>5</v>
      </c>
      <c r="E566">
        <v>6</v>
      </c>
      <c r="F566">
        <v>18</v>
      </c>
      <c r="G566">
        <v>32</v>
      </c>
      <c r="H566">
        <v>32</v>
      </c>
      <c r="I566">
        <v>6</v>
      </c>
      <c r="J566">
        <v>14</v>
      </c>
      <c r="K566">
        <v>21</v>
      </c>
      <c r="L566">
        <v>16</v>
      </c>
      <c r="M566">
        <v>36</v>
      </c>
      <c r="N566">
        <v>23</v>
      </c>
      <c r="O566">
        <v>13</v>
      </c>
      <c r="P566">
        <v>34</v>
      </c>
      <c r="Q566">
        <v>23</v>
      </c>
      <c r="R566">
        <v>41</v>
      </c>
      <c r="S566">
        <v>52</v>
      </c>
      <c r="T566">
        <v>0</v>
      </c>
      <c r="U566">
        <v>93</v>
      </c>
      <c r="V566" t="s">
        <v>297</v>
      </c>
    </row>
    <row r="567" spans="1:22">
      <c r="A567" t="s">
        <v>150</v>
      </c>
      <c r="B567" t="s">
        <v>287</v>
      </c>
      <c r="C567" t="s">
        <v>295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">
        <v>297</v>
      </c>
    </row>
    <row r="568" spans="1:22">
      <c r="V568" s="1"/>
    </row>
    <row r="569" spans="1:22">
      <c r="V569" s="1"/>
    </row>
    <row r="570" spans="1:22">
      <c r="V570" s="1"/>
    </row>
    <row r="571" spans="1:22">
      <c r="V571" s="1"/>
    </row>
    <row r="572" spans="1:22">
      <c r="V572" s="1"/>
    </row>
    <row r="573" spans="1:22">
      <c r="V573" s="1"/>
    </row>
    <row r="574" spans="1:22">
      <c r="V574" s="1"/>
    </row>
    <row r="575" spans="1:22">
      <c r="V575" s="1"/>
    </row>
    <row r="576" spans="1:22">
      <c r="V576" s="1"/>
    </row>
    <row r="577" spans="22:22">
      <c r="V577" s="1"/>
    </row>
    <row r="578" spans="22:22">
      <c r="V578" s="1"/>
    </row>
    <row r="579" spans="22:22">
      <c r="V579" s="1"/>
    </row>
    <row r="580" spans="22:22">
      <c r="V580" s="1"/>
    </row>
    <row r="581" spans="22:22">
      <c r="V581" s="1"/>
    </row>
    <row r="582" spans="22:22">
      <c r="V582" s="1"/>
    </row>
    <row r="583" spans="22:22">
      <c r="V583" s="1"/>
    </row>
    <row r="584" spans="22:22">
      <c r="V584" s="1"/>
    </row>
    <row r="585" spans="22:22">
      <c r="V585" s="1"/>
    </row>
    <row r="586" spans="22:22">
      <c r="V586" s="1"/>
    </row>
    <row r="587" spans="22:22">
      <c r="V587" s="1"/>
    </row>
    <row r="588" spans="22:22">
      <c r="V588" s="1"/>
    </row>
    <row r="589" spans="22:22">
      <c r="V589" s="1"/>
    </row>
    <row r="590" spans="22:22">
      <c r="V590" s="1"/>
    </row>
    <row r="591" spans="22:22">
      <c r="V591" s="1"/>
    </row>
    <row r="592" spans="22:22">
      <c r="V592" s="1"/>
    </row>
    <row r="593" spans="22:22">
      <c r="V593" s="1"/>
    </row>
    <row r="594" spans="22:22">
      <c r="V594" s="1"/>
    </row>
    <row r="595" spans="22:22">
      <c r="V595" s="1"/>
    </row>
    <row r="596" spans="22:22">
      <c r="V596" s="1"/>
    </row>
    <row r="597" spans="22:22">
      <c r="V597" s="1"/>
    </row>
    <row r="598" spans="22:22">
      <c r="V598" s="1"/>
    </row>
    <row r="599" spans="22:22">
      <c r="V599" s="1"/>
    </row>
    <row r="600" spans="22:22">
      <c r="V600" s="1"/>
    </row>
    <row r="601" spans="22:22">
      <c r="V601" s="1"/>
    </row>
    <row r="602" spans="22:22">
      <c r="V602" s="1"/>
    </row>
    <row r="603" spans="22:22">
      <c r="V603" s="1"/>
    </row>
    <row r="604" spans="22:22">
      <c r="V604" s="1"/>
    </row>
    <row r="605" spans="22:22">
      <c r="V605" s="1"/>
    </row>
    <row r="606" spans="22:22">
      <c r="V606" s="1"/>
    </row>
    <row r="607" spans="22:22">
      <c r="V607" s="1"/>
    </row>
    <row r="608" spans="22:22">
      <c r="V608" s="1"/>
    </row>
    <row r="609" spans="4:22">
      <c r="V609" s="1"/>
    </row>
    <row r="610" spans="4:22">
      <c r="V610" s="1"/>
    </row>
    <row r="611" spans="4:22">
      <c r="V611" s="1"/>
    </row>
    <row r="612" spans="4:22">
      <c r="V612" s="1"/>
    </row>
    <row r="613" spans="4:22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4:22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4:22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4:22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4:22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4:22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4:22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4:22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4:22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4:22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4:22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4:22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4:21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4:21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4:21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4:21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4:21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4:21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4:21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4:21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4:21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4:21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4:21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4:21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4:21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4:21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4:21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4:21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4:2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4:21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4:21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4:21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4:21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4:21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4:21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4:21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4:21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4:21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4:21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4:21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4:21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4:21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4:21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4:21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4:21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4:21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4:21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4:21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4:2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4:21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4:21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4:21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4:21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4:21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4:21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4:21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4:2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4:21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4:2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4:21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4:21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4:21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4:21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4:21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4:21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4:21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4:21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4:21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4:2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4:21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4:2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4:21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4:21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4:21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4:21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4:21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4:21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4:21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4:2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4:21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4:21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4:21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4:21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4:21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4:2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4:21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4:21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4:21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4:2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4:21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4:21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4:21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4:21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4:21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4:21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4:21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4:21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4:21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4:2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4:21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4:21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4:21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4:21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4:21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4:21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4:21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4:21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4:21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2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2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2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2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2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2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2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2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2">
      <c r="A729" s="1">
        <f>setup!C20</f>
        <v>3770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2">
      <c r="A730" t="str">
        <f>_xlfn.CONCAT(setup!D20," - ",setup!E20)</f>
        <v>Validity WISC-6/WISC-5 Plus - Paper - V_WISC5P_P</v>
      </c>
      <c r="D730" s="1"/>
      <c r="E730" s="1"/>
      <c r="F730" s="1"/>
      <c r="G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2">
      <c r="A731" t="s">
        <v>5</v>
      </c>
      <c r="B731" t="s">
        <v>259</v>
      </c>
      <c r="C731" t="s">
        <v>260</v>
      </c>
      <c r="D731" s="1" t="s">
        <v>29</v>
      </c>
      <c r="E731" s="1" t="s">
        <v>56</v>
      </c>
      <c r="F731" s="1" t="s">
        <v>50</v>
      </c>
      <c r="G731" s="1" t="s">
        <v>38</v>
      </c>
      <c r="H731" s="1" t="s">
        <v>58</v>
      </c>
      <c r="I731" s="1" t="s">
        <v>22</v>
      </c>
      <c r="J731" s="1" t="s">
        <v>36</v>
      </c>
      <c r="K731" s="1" t="s">
        <v>24</v>
      </c>
      <c r="L731" s="1" t="s">
        <v>31</v>
      </c>
      <c r="M731" s="1" t="s">
        <v>39</v>
      </c>
      <c r="N731" s="1" t="s">
        <v>59</v>
      </c>
      <c r="O731" s="1" t="s">
        <v>47</v>
      </c>
      <c r="P731" s="1" t="s">
        <v>33</v>
      </c>
      <c r="Q731" s="1" t="s">
        <v>60</v>
      </c>
      <c r="R731" s="1" t="s">
        <v>45</v>
      </c>
      <c r="S731" s="1" t="s">
        <v>34</v>
      </c>
      <c r="T731" t="s">
        <v>26</v>
      </c>
      <c r="U731" s="1" t="s">
        <v>150</v>
      </c>
      <c r="V731" t="s">
        <v>286</v>
      </c>
    </row>
    <row r="732" spans="1:22">
      <c r="A732" t="s">
        <v>65</v>
      </c>
      <c r="B732" t="s">
        <v>287</v>
      </c>
      <c r="C732" t="s">
        <v>288</v>
      </c>
      <c r="D732">
        <v>0.26</v>
      </c>
      <c r="E732">
        <v>0.5</v>
      </c>
      <c r="F732">
        <v>1.98</v>
      </c>
      <c r="G732">
        <v>3.22</v>
      </c>
      <c r="H732">
        <v>4.04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10</v>
      </c>
      <c r="V732" t="s">
        <v>297</v>
      </c>
    </row>
    <row r="733" spans="1:22">
      <c r="A733" t="s">
        <v>65</v>
      </c>
      <c r="B733" t="s">
        <v>287</v>
      </c>
      <c r="C733" t="s">
        <v>290</v>
      </c>
      <c r="D733">
        <v>1</v>
      </c>
      <c r="E733">
        <v>0</v>
      </c>
      <c r="F733">
        <v>2</v>
      </c>
      <c r="G733">
        <v>3</v>
      </c>
      <c r="H733">
        <v>3</v>
      </c>
      <c r="I733">
        <v>1</v>
      </c>
      <c r="J733">
        <v>1</v>
      </c>
      <c r="K733">
        <v>3</v>
      </c>
      <c r="L733">
        <v>1</v>
      </c>
      <c r="M733">
        <v>3</v>
      </c>
      <c r="N733">
        <v>3</v>
      </c>
      <c r="O733">
        <v>2</v>
      </c>
      <c r="P733">
        <v>3</v>
      </c>
      <c r="Q733">
        <v>1</v>
      </c>
      <c r="R733">
        <v>5</v>
      </c>
      <c r="S733">
        <v>4</v>
      </c>
      <c r="T733">
        <v>0</v>
      </c>
      <c r="U733">
        <v>9</v>
      </c>
      <c r="V733" t="s">
        <v>297</v>
      </c>
    </row>
    <row r="734" spans="1:22">
      <c r="A734" t="s">
        <v>65</v>
      </c>
      <c r="B734" t="s">
        <v>287</v>
      </c>
      <c r="C734" t="s">
        <v>291</v>
      </c>
      <c r="D734">
        <v>0</v>
      </c>
      <c r="E734">
        <v>0</v>
      </c>
      <c r="F734">
        <v>0</v>
      </c>
      <c r="G734">
        <v>1</v>
      </c>
      <c r="H734">
        <v>2</v>
      </c>
      <c r="I734">
        <v>0</v>
      </c>
      <c r="J734">
        <v>0</v>
      </c>
      <c r="K734">
        <v>0</v>
      </c>
      <c r="L734">
        <v>0</v>
      </c>
      <c r="M734">
        <v>3</v>
      </c>
      <c r="N734">
        <v>1</v>
      </c>
      <c r="O734">
        <v>1</v>
      </c>
      <c r="P734">
        <v>0</v>
      </c>
      <c r="Q734">
        <v>1</v>
      </c>
      <c r="R734">
        <v>1</v>
      </c>
      <c r="S734">
        <v>2</v>
      </c>
      <c r="T734">
        <v>0</v>
      </c>
      <c r="U734">
        <v>3</v>
      </c>
      <c r="V734" t="s">
        <v>297</v>
      </c>
    </row>
    <row r="735" spans="1:22">
      <c r="A735" t="s">
        <v>65</v>
      </c>
      <c r="B735" t="s">
        <v>287</v>
      </c>
      <c r="C735" t="s">
        <v>292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">
        <v>297</v>
      </c>
    </row>
    <row r="736" spans="1:22">
      <c r="A736" t="s">
        <v>65</v>
      </c>
      <c r="B736" t="s">
        <v>287</v>
      </c>
      <c r="C736" t="s">
        <v>298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">
        <v>297</v>
      </c>
    </row>
    <row r="737" spans="1:63">
      <c r="A737" t="s">
        <v>65</v>
      </c>
      <c r="B737" t="s">
        <v>287</v>
      </c>
      <c r="C737" t="s">
        <v>293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1</v>
      </c>
      <c r="R737">
        <v>2</v>
      </c>
      <c r="S737">
        <v>0</v>
      </c>
      <c r="T737">
        <v>0</v>
      </c>
      <c r="U737">
        <v>2</v>
      </c>
      <c r="V737" t="s">
        <v>297</v>
      </c>
    </row>
    <row r="738" spans="1:63">
      <c r="A738" t="s">
        <v>65</v>
      </c>
      <c r="B738" t="s">
        <v>287</v>
      </c>
      <c r="C738" t="s">
        <v>294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">
        <v>297</v>
      </c>
    </row>
    <row r="739" spans="1:63">
      <c r="A739" t="s">
        <v>65</v>
      </c>
      <c r="B739" t="s">
        <v>287</v>
      </c>
      <c r="C739" t="s">
        <v>17</v>
      </c>
      <c r="D739">
        <v>2</v>
      </c>
      <c r="E739">
        <v>1</v>
      </c>
      <c r="F739">
        <v>2</v>
      </c>
      <c r="G739">
        <v>4</v>
      </c>
      <c r="H739">
        <v>5</v>
      </c>
      <c r="I739">
        <v>1</v>
      </c>
      <c r="J739">
        <v>1</v>
      </c>
      <c r="K739">
        <v>4</v>
      </c>
      <c r="L739">
        <v>1</v>
      </c>
      <c r="M739">
        <v>7</v>
      </c>
      <c r="N739">
        <v>4</v>
      </c>
      <c r="O739">
        <v>4</v>
      </c>
      <c r="P739">
        <v>3</v>
      </c>
      <c r="Q739">
        <v>3</v>
      </c>
      <c r="R739">
        <v>8</v>
      </c>
      <c r="S739">
        <v>6</v>
      </c>
      <c r="T739">
        <v>0</v>
      </c>
      <c r="U739">
        <v>14</v>
      </c>
      <c r="V739" t="s">
        <v>297</v>
      </c>
    </row>
    <row r="740" spans="1:63">
      <c r="A740" t="s">
        <v>65</v>
      </c>
      <c r="B740" t="s">
        <v>287</v>
      </c>
      <c r="C740" t="s">
        <v>295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s">
        <v>297</v>
      </c>
    </row>
    <row r="741" spans="1:63">
      <c r="A741" t="s">
        <v>40</v>
      </c>
      <c r="B741" t="s">
        <v>287</v>
      </c>
      <c r="C741" t="s">
        <v>288</v>
      </c>
      <c r="D741">
        <v>0.24</v>
      </c>
      <c r="E741">
        <v>0.48</v>
      </c>
      <c r="F741">
        <v>1.76</v>
      </c>
      <c r="G741">
        <v>2.93</v>
      </c>
      <c r="H741">
        <v>3.59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9</v>
      </c>
      <c r="V741" t="s">
        <v>297</v>
      </c>
    </row>
    <row r="742" spans="1:63">
      <c r="A742" t="s">
        <v>40</v>
      </c>
      <c r="B742" t="s">
        <v>287</v>
      </c>
      <c r="C742" t="s">
        <v>290</v>
      </c>
      <c r="D742">
        <v>1</v>
      </c>
      <c r="E742">
        <v>1</v>
      </c>
      <c r="F742">
        <v>1</v>
      </c>
      <c r="G742">
        <v>2</v>
      </c>
      <c r="H742">
        <v>3</v>
      </c>
      <c r="I742">
        <v>1</v>
      </c>
      <c r="J742">
        <v>1</v>
      </c>
      <c r="K742">
        <v>3</v>
      </c>
      <c r="L742">
        <v>2</v>
      </c>
      <c r="M742">
        <v>1</v>
      </c>
      <c r="N742">
        <v>3</v>
      </c>
      <c r="O742">
        <v>0</v>
      </c>
      <c r="P742">
        <v>3</v>
      </c>
      <c r="Q742">
        <v>2</v>
      </c>
      <c r="R742">
        <v>6</v>
      </c>
      <c r="S742">
        <v>2</v>
      </c>
      <c r="T742">
        <v>0</v>
      </c>
      <c r="U742">
        <v>8</v>
      </c>
      <c r="V742" t="s">
        <v>297</v>
      </c>
    </row>
    <row r="743" spans="1:63">
      <c r="A743" t="s">
        <v>40</v>
      </c>
      <c r="B743" t="s">
        <v>287</v>
      </c>
      <c r="C743" t="s">
        <v>291</v>
      </c>
      <c r="D743">
        <v>0</v>
      </c>
      <c r="E743">
        <v>0</v>
      </c>
      <c r="F743">
        <v>0</v>
      </c>
      <c r="G743">
        <v>2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2</v>
      </c>
      <c r="N743">
        <v>1</v>
      </c>
      <c r="O743">
        <v>0</v>
      </c>
      <c r="P743">
        <v>2</v>
      </c>
      <c r="Q743">
        <v>0</v>
      </c>
      <c r="R743">
        <v>2</v>
      </c>
      <c r="S743">
        <v>1</v>
      </c>
      <c r="T743">
        <v>0</v>
      </c>
      <c r="U743">
        <v>3</v>
      </c>
      <c r="V743" t="s">
        <v>297</v>
      </c>
    </row>
    <row r="744" spans="1:63">
      <c r="A744" t="s">
        <v>40</v>
      </c>
      <c r="B744" t="s">
        <v>287</v>
      </c>
      <c r="C744" t="s">
        <v>292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">
        <v>297</v>
      </c>
    </row>
    <row r="745" spans="1:63">
      <c r="A745" t="s">
        <v>40</v>
      </c>
      <c r="B745" t="s">
        <v>287</v>
      </c>
      <c r="C745" t="s">
        <v>298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1</v>
      </c>
      <c r="T745">
        <v>0</v>
      </c>
      <c r="U745">
        <v>1</v>
      </c>
      <c r="V745" t="s">
        <v>297</v>
      </c>
    </row>
    <row r="746" spans="1:63">
      <c r="A746" t="s">
        <v>40</v>
      </c>
      <c r="B746" t="s">
        <v>287</v>
      </c>
      <c r="C746" t="s">
        <v>293</v>
      </c>
      <c r="D746">
        <v>0</v>
      </c>
      <c r="E746">
        <v>0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1</v>
      </c>
      <c r="V746" t="s">
        <v>297</v>
      </c>
    </row>
    <row r="747" spans="1:63">
      <c r="A747" t="s">
        <v>40</v>
      </c>
      <c r="B747" t="s">
        <v>287</v>
      </c>
      <c r="C747" t="s">
        <v>294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">
        <v>297</v>
      </c>
    </row>
    <row r="748" spans="1:63">
      <c r="A748" t="s">
        <v>40</v>
      </c>
      <c r="B748" t="s">
        <v>287</v>
      </c>
      <c r="C748" t="s">
        <v>17</v>
      </c>
      <c r="D748">
        <v>1</v>
      </c>
      <c r="E748">
        <v>1</v>
      </c>
      <c r="F748">
        <v>3</v>
      </c>
      <c r="G748">
        <v>4</v>
      </c>
      <c r="H748">
        <v>4</v>
      </c>
      <c r="I748">
        <v>1</v>
      </c>
      <c r="J748">
        <v>1</v>
      </c>
      <c r="K748">
        <v>4</v>
      </c>
      <c r="L748">
        <v>3</v>
      </c>
      <c r="M748">
        <v>4</v>
      </c>
      <c r="N748">
        <v>4</v>
      </c>
      <c r="O748">
        <v>0</v>
      </c>
      <c r="P748">
        <v>5</v>
      </c>
      <c r="Q748">
        <v>4</v>
      </c>
      <c r="R748">
        <v>9</v>
      </c>
      <c r="S748">
        <v>4</v>
      </c>
      <c r="T748">
        <v>0</v>
      </c>
      <c r="U748">
        <v>13</v>
      </c>
      <c r="V748" t="s">
        <v>297</v>
      </c>
    </row>
    <row r="749" spans="1:63">
      <c r="A749" t="s">
        <v>40</v>
      </c>
      <c r="B749" t="s">
        <v>287</v>
      </c>
      <c r="C749" t="s">
        <v>295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s">
        <v>297</v>
      </c>
    </row>
    <row r="750" spans="1:63">
      <c r="A750" t="s">
        <v>41</v>
      </c>
      <c r="B750" t="s">
        <v>287</v>
      </c>
      <c r="C750" t="s">
        <v>288</v>
      </c>
      <c r="D750">
        <v>0.25</v>
      </c>
      <c r="E750">
        <v>0.49</v>
      </c>
      <c r="F750">
        <v>1.78</v>
      </c>
      <c r="G750">
        <v>2.91</v>
      </c>
      <c r="H750">
        <v>3.58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9</v>
      </c>
      <c r="V750" t="s">
        <v>297</v>
      </c>
    </row>
    <row r="751" spans="1:63">
      <c r="A751" t="s">
        <v>41</v>
      </c>
      <c r="B751" t="s">
        <v>287</v>
      </c>
      <c r="C751" t="s">
        <v>290</v>
      </c>
      <c r="D751">
        <v>0</v>
      </c>
      <c r="E751">
        <v>2</v>
      </c>
      <c r="F751">
        <v>2</v>
      </c>
      <c r="G751">
        <v>2</v>
      </c>
      <c r="H751">
        <v>3</v>
      </c>
      <c r="I751">
        <v>1</v>
      </c>
      <c r="J751">
        <v>1</v>
      </c>
      <c r="K751">
        <v>2</v>
      </c>
      <c r="L751">
        <v>2</v>
      </c>
      <c r="M751">
        <v>3</v>
      </c>
      <c r="N751">
        <v>0</v>
      </c>
      <c r="O751">
        <v>2</v>
      </c>
      <c r="P751">
        <v>5</v>
      </c>
      <c r="Q751">
        <v>2</v>
      </c>
      <c r="R751">
        <v>6</v>
      </c>
      <c r="S751">
        <v>3</v>
      </c>
      <c r="T751">
        <v>0</v>
      </c>
      <c r="U751">
        <v>9</v>
      </c>
      <c r="V751" t="s">
        <v>297</v>
      </c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spans="1:63">
      <c r="A752" t="s">
        <v>41</v>
      </c>
      <c r="B752" t="s">
        <v>287</v>
      </c>
      <c r="C752" t="s">
        <v>291</v>
      </c>
      <c r="D752">
        <v>0</v>
      </c>
      <c r="E752">
        <v>0</v>
      </c>
      <c r="F752">
        <v>1</v>
      </c>
      <c r="G752">
        <v>2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3</v>
      </c>
      <c r="N752">
        <v>2</v>
      </c>
      <c r="O752">
        <v>0</v>
      </c>
      <c r="P752">
        <v>1</v>
      </c>
      <c r="Q752">
        <v>1</v>
      </c>
      <c r="R752">
        <v>1</v>
      </c>
      <c r="S752">
        <v>3</v>
      </c>
      <c r="T752">
        <v>0</v>
      </c>
      <c r="U752">
        <v>4</v>
      </c>
      <c r="V752" t="s">
        <v>297</v>
      </c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spans="1:63">
      <c r="A753" t="s">
        <v>41</v>
      </c>
      <c r="B753" t="s">
        <v>287</v>
      </c>
      <c r="C753" t="s">
        <v>292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">
        <v>297</v>
      </c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spans="1:63">
      <c r="A754" t="s">
        <v>41</v>
      </c>
      <c r="B754" t="s">
        <v>287</v>
      </c>
      <c r="C754" t="s">
        <v>298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">
        <v>297</v>
      </c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spans="1:63">
      <c r="A755" t="s">
        <v>41</v>
      </c>
      <c r="B755" t="s">
        <v>287</v>
      </c>
      <c r="C755" t="s">
        <v>293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">
        <v>297</v>
      </c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spans="1:63">
      <c r="A756" t="s">
        <v>41</v>
      </c>
      <c r="B756" t="s">
        <v>287</v>
      </c>
      <c r="C756" t="s">
        <v>294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">
        <v>297</v>
      </c>
    </row>
    <row r="757" spans="1:63">
      <c r="A757" t="s">
        <v>41</v>
      </c>
      <c r="B757" t="s">
        <v>287</v>
      </c>
      <c r="C757" t="s">
        <v>17</v>
      </c>
      <c r="D757">
        <v>0</v>
      </c>
      <c r="E757">
        <v>2</v>
      </c>
      <c r="F757">
        <v>3</v>
      </c>
      <c r="G757">
        <v>4</v>
      </c>
      <c r="H757">
        <v>4</v>
      </c>
      <c r="I757">
        <v>1</v>
      </c>
      <c r="J757">
        <v>1</v>
      </c>
      <c r="K757">
        <v>3</v>
      </c>
      <c r="L757">
        <v>2</v>
      </c>
      <c r="M757">
        <v>6</v>
      </c>
      <c r="N757">
        <v>2</v>
      </c>
      <c r="O757">
        <v>2</v>
      </c>
      <c r="P757">
        <v>6</v>
      </c>
      <c r="Q757">
        <v>3</v>
      </c>
      <c r="R757">
        <v>7</v>
      </c>
      <c r="S757">
        <v>6</v>
      </c>
      <c r="T757">
        <v>0</v>
      </c>
      <c r="U757">
        <v>13</v>
      </c>
      <c r="V757" t="s">
        <v>297</v>
      </c>
    </row>
    <row r="758" spans="1:63">
      <c r="A758" t="s">
        <v>41</v>
      </c>
      <c r="B758" t="s">
        <v>287</v>
      </c>
      <c r="C758" t="s">
        <v>295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">
        <v>297</v>
      </c>
    </row>
    <row r="759" spans="1:63">
      <c r="A759" t="s">
        <v>43</v>
      </c>
      <c r="B759" t="s">
        <v>287</v>
      </c>
      <c r="C759" t="s">
        <v>288</v>
      </c>
      <c r="D759">
        <v>0.25</v>
      </c>
      <c r="E759">
        <v>0.5</v>
      </c>
      <c r="F759">
        <v>1.81</v>
      </c>
      <c r="G759">
        <v>2.87</v>
      </c>
      <c r="H759">
        <v>3.57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9</v>
      </c>
      <c r="V759" t="s">
        <v>297</v>
      </c>
    </row>
    <row r="760" spans="1:63">
      <c r="A760" t="s">
        <v>43</v>
      </c>
      <c r="B760" t="s">
        <v>287</v>
      </c>
      <c r="C760" t="s">
        <v>290</v>
      </c>
      <c r="D760">
        <v>1</v>
      </c>
      <c r="E760">
        <v>1</v>
      </c>
      <c r="F760">
        <v>2</v>
      </c>
      <c r="G760">
        <v>2</v>
      </c>
      <c r="H760">
        <v>3</v>
      </c>
      <c r="I760">
        <v>0</v>
      </c>
      <c r="J760">
        <v>2</v>
      </c>
      <c r="K760">
        <v>2</v>
      </c>
      <c r="L760">
        <v>2</v>
      </c>
      <c r="M760">
        <v>3</v>
      </c>
      <c r="N760">
        <v>3</v>
      </c>
      <c r="O760">
        <v>1</v>
      </c>
      <c r="P760">
        <v>3</v>
      </c>
      <c r="Q760">
        <v>2</v>
      </c>
      <c r="R760">
        <v>5</v>
      </c>
      <c r="S760">
        <v>4</v>
      </c>
      <c r="T760">
        <v>0</v>
      </c>
      <c r="U760">
        <v>9</v>
      </c>
      <c r="V760" t="s">
        <v>297</v>
      </c>
    </row>
    <row r="761" spans="1:63">
      <c r="A761" t="s">
        <v>43</v>
      </c>
      <c r="B761" t="s">
        <v>287</v>
      </c>
      <c r="C761" t="s">
        <v>291</v>
      </c>
      <c r="D761">
        <v>0</v>
      </c>
      <c r="E761">
        <v>0</v>
      </c>
      <c r="F761">
        <v>0</v>
      </c>
      <c r="G761">
        <v>2</v>
      </c>
      <c r="H761">
        <v>1</v>
      </c>
      <c r="I761">
        <v>0</v>
      </c>
      <c r="J761">
        <v>2</v>
      </c>
      <c r="K761">
        <v>0</v>
      </c>
      <c r="L761">
        <v>0</v>
      </c>
      <c r="M761">
        <v>1</v>
      </c>
      <c r="N761">
        <v>1</v>
      </c>
      <c r="O761">
        <v>0</v>
      </c>
      <c r="P761">
        <v>2</v>
      </c>
      <c r="Q761">
        <v>0</v>
      </c>
      <c r="R761">
        <v>2</v>
      </c>
      <c r="S761">
        <v>1</v>
      </c>
      <c r="T761">
        <v>0</v>
      </c>
      <c r="U761">
        <v>3</v>
      </c>
      <c r="V761" t="s">
        <v>297</v>
      </c>
    </row>
    <row r="762" spans="1:63">
      <c r="A762" t="s">
        <v>43</v>
      </c>
      <c r="B762" t="s">
        <v>287</v>
      </c>
      <c r="C762" t="s">
        <v>292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297</v>
      </c>
    </row>
    <row r="763" spans="1:63">
      <c r="A763" t="s">
        <v>43</v>
      </c>
      <c r="B763" t="s">
        <v>287</v>
      </c>
      <c r="C763" t="s">
        <v>298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">
        <v>297</v>
      </c>
    </row>
    <row r="764" spans="1:63">
      <c r="A764" t="s">
        <v>43</v>
      </c>
      <c r="B764" t="s">
        <v>287</v>
      </c>
      <c r="C764" t="s">
        <v>293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">
        <v>297</v>
      </c>
    </row>
    <row r="765" spans="1:63">
      <c r="A765" t="s">
        <v>43</v>
      </c>
      <c r="B765" t="s">
        <v>287</v>
      </c>
      <c r="C765" t="s">
        <v>294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">
        <v>297</v>
      </c>
    </row>
    <row r="766" spans="1:63">
      <c r="A766" t="s">
        <v>43</v>
      </c>
      <c r="B766" t="s">
        <v>287</v>
      </c>
      <c r="C766" t="s">
        <v>17</v>
      </c>
      <c r="D766">
        <v>1</v>
      </c>
      <c r="E766">
        <v>1</v>
      </c>
      <c r="F766">
        <v>2</v>
      </c>
      <c r="G766">
        <v>4</v>
      </c>
      <c r="H766">
        <v>4</v>
      </c>
      <c r="I766">
        <v>0</v>
      </c>
      <c r="J766">
        <v>4</v>
      </c>
      <c r="K766">
        <v>2</v>
      </c>
      <c r="L766">
        <v>2</v>
      </c>
      <c r="M766">
        <v>4</v>
      </c>
      <c r="N766">
        <v>4</v>
      </c>
      <c r="O766">
        <v>1</v>
      </c>
      <c r="P766">
        <v>5</v>
      </c>
      <c r="Q766">
        <v>2</v>
      </c>
      <c r="R766">
        <v>7</v>
      </c>
      <c r="S766">
        <v>5</v>
      </c>
      <c r="T766">
        <v>0</v>
      </c>
      <c r="U766">
        <v>12</v>
      </c>
      <c r="V766" t="s">
        <v>297</v>
      </c>
    </row>
    <row r="767" spans="1:63">
      <c r="A767" t="s">
        <v>43</v>
      </c>
      <c r="B767" t="s">
        <v>287</v>
      </c>
      <c r="C767" t="s">
        <v>295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">
        <v>297</v>
      </c>
    </row>
    <row r="768" spans="1:63">
      <c r="A768" t="s">
        <v>46</v>
      </c>
      <c r="B768" t="s">
        <v>287</v>
      </c>
      <c r="C768" t="s">
        <v>288</v>
      </c>
      <c r="D768">
        <v>0.28000000000000003</v>
      </c>
      <c r="E768">
        <v>0.52</v>
      </c>
      <c r="F768">
        <v>1.81</v>
      </c>
      <c r="G768">
        <v>2.88</v>
      </c>
      <c r="H768">
        <v>3.51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9</v>
      </c>
      <c r="V768" t="s">
        <v>297</v>
      </c>
    </row>
    <row r="769" spans="1:22">
      <c r="A769" t="s">
        <v>46</v>
      </c>
      <c r="B769" t="s">
        <v>287</v>
      </c>
      <c r="C769" t="s">
        <v>290</v>
      </c>
      <c r="D769">
        <v>2</v>
      </c>
      <c r="E769">
        <v>0</v>
      </c>
      <c r="F769">
        <v>2</v>
      </c>
      <c r="G769">
        <v>3</v>
      </c>
      <c r="H769">
        <v>2</v>
      </c>
      <c r="I769">
        <v>1</v>
      </c>
      <c r="J769">
        <v>1</v>
      </c>
      <c r="K769">
        <v>1</v>
      </c>
      <c r="L769">
        <v>2</v>
      </c>
      <c r="M769">
        <v>4</v>
      </c>
      <c r="N769">
        <v>3</v>
      </c>
      <c r="O769">
        <v>2</v>
      </c>
      <c r="P769">
        <v>2</v>
      </c>
      <c r="Q769">
        <v>2</v>
      </c>
      <c r="R769">
        <v>4</v>
      </c>
      <c r="S769">
        <v>5</v>
      </c>
      <c r="T769">
        <v>0</v>
      </c>
      <c r="U769">
        <v>9</v>
      </c>
      <c r="V769" t="s">
        <v>297</v>
      </c>
    </row>
    <row r="770" spans="1:22">
      <c r="A770" t="s">
        <v>46</v>
      </c>
      <c r="B770" t="s">
        <v>287</v>
      </c>
      <c r="C770" t="s">
        <v>291</v>
      </c>
      <c r="D770">
        <v>1</v>
      </c>
      <c r="E770">
        <v>0</v>
      </c>
      <c r="F770">
        <v>0</v>
      </c>
      <c r="G770">
        <v>2</v>
      </c>
      <c r="H770">
        <v>2</v>
      </c>
      <c r="I770">
        <v>1</v>
      </c>
      <c r="J770">
        <v>0</v>
      </c>
      <c r="K770">
        <v>1</v>
      </c>
      <c r="L770">
        <v>0</v>
      </c>
      <c r="M770">
        <v>3</v>
      </c>
      <c r="N770">
        <v>2</v>
      </c>
      <c r="O770">
        <v>0</v>
      </c>
      <c r="P770">
        <v>2</v>
      </c>
      <c r="Q770">
        <v>1</v>
      </c>
      <c r="R770">
        <v>4</v>
      </c>
      <c r="S770">
        <v>1</v>
      </c>
      <c r="T770">
        <v>0</v>
      </c>
      <c r="U770">
        <v>5</v>
      </c>
      <c r="V770" t="s">
        <v>297</v>
      </c>
    </row>
    <row r="771" spans="1:22">
      <c r="A771" t="s">
        <v>46</v>
      </c>
      <c r="B771" t="s">
        <v>287</v>
      </c>
      <c r="C771" t="s">
        <v>292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">
        <v>297</v>
      </c>
    </row>
    <row r="772" spans="1:22">
      <c r="A772" t="s">
        <v>46</v>
      </c>
      <c r="B772" t="s">
        <v>287</v>
      </c>
      <c r="C772" t="s">
        <v>298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">
        <v>297</v>
      </c>
    </row>
    <row r="773" spans="1:22">
      <c r="A773" t="s">
        <v>46</v>
      </c>
      <c r="B773" t="s">
        <v>287</v>
      </c>
      <c r="C773" t="s">
        <v>293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">
        <v>297</v>
      </c>
    </row>
    <row r="774" spans="1:22">
      <c r="A774" t="s">
        <v>46</v>
      </c>
      <c r="B774" t="s">
        <v>287</v>
      </c>
      <c r="C774" t="s">
        <v>294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">
        <v>297</v>
      </c>
    </row>
    <row r="775" spans="1:22">
      <c r="A775" t="s">
        <v>46</v>
      </c>
      <c r="B775" t="s">
        <v>287</v>
      </c>
      <c r="C775" t="s">
        <v>17</v>
      </c>
      <c r="D775">
        <v>3</v>
      </c>
      <c r="E775">
        <v>0</v>
      </c>
      <c r="F775">
        <v>2</v>
      </c>
      <c r="G775">
        <v>5</v>
      </c>
      <c r="H775">
        <v>4</v>
      </c>
      <c r="I775">
        <v>2</v>
      </c>
      <c r="J775">
        <v>1</v>
      </c>
      <c r="K775">
        <v>2</v>
      </c>
      <c r="L775">
        <v>2</v>
      </c>
      <c r="M775">
        <v>7</v>
      </c>
      <c r="N775">
        <v>5</v>
      </c>
      <c r="O775">
        <v>2</v>
      </c>
      <c r="P775">
        <v>4</v>
      </c>
      <c r="Q775">
        <v>3</v>
      </c>
      <c r="R775">
        <v>8</v>
      </c>
      <c r="S775">
        <v>6</v>
      </c>
      <c r="T775">
        <v>0</v>
      </c>
      <c r="U775">
        <v>14</v>
      </c>
      <c r="V775" t="s">
        <v>297</v>
      </c>
    </row>
    <row r="776" spans="1:22">
      <c r="A776" t="s">
        <v>46</v>
      </c>
      <c r="B776" t="s">
        <v>287</v>
      </c>
      <c r="C776" t="s">
        <v>295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">
        <v>297</v>
      </c>
    </row>
    <row r="777" spans="1:22">
      <c r="A777" t="s">
        <v>48</v>
      </c>
      <c r="B777" t="s">
        <v>287</v>
      </c>
      <c r="C777" t="s">
        <v>288</v>
      </c>
      <c r="D777">
        <v>0.3</v>
      </c>
      <c r="E777">
        <v>0.52</v>
      </c>
      <c r="F777">
        <v>1.78</v>
      </c>
      <c r="G777">
        <v>2.88</v>
      </c>
      <c r="H777">
        <v>3.52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9</v>
      </c>
      <c r="V777" t="s">
        <v>297</v>
      </c>
    </row>
    <row r="778" spans="1:22">
      <c r="A778" t="s">
        <v>48</v>
      </c>
      <c r="B778" t="s">
        <v>287</v>
      </c>
      <c r="C778" t="s">
        <v>290</v>
      </c>
      <c r="D778">
        <v>0</v>
      </c>
      <c r="E778">
        <v>1</v>
      </c>
      <c r="F778">
        <v>2</v>
      </c>
      <c r="G778">
        <v>2</v>
      </c>
      <c r="H778">
        <v>3</v>
      </c>
      <c r="I778">
        <v>0</v>
      </c>
      <c r="J778">
        <v>1</v>
      </c>
      <c r="K778">
        <v>2</v>
      </c>
      <c r="L778">
        <v>3</v>
      </c>
      <c r="M778">
        <v>2</v>
      </c>
      <c r="N778">
        <v>3</v>
      </c>
      <c r="O778">
        <v>2</v>
      </c>
      <c r="P778">
        <v>3</v>
      </c>
      <c r="Q778">
        <v>0</v>
      </c>
      <c r="R778">
        <v>4</v>
      </c>
      <c r="S778">
        <v>4</v>
      </c>
      <c r="T778">
        <v>0</v>
      </c>
      <c r="U778">
        <v>8</v>
      </c>
      <c r="V778" t="s">
        <v>297</v>
      </c>
    </row>
    <row r="779" spans="1:22">
      <c r="A779" t="s">
        <v>48</v>
      </c>
      <c r="B779" t="s">
        <v>287</v>
      </c>
      <c r="C779" t="s">
        <v>291</v>
      </c>
      <c r="D779">
        <v>0</v>
      </c>
      <c r="E779">
        <v>0</v>
      </c>
      <c r="F779">
        <v>2</v>
      </c>
      <c r="G779">
        <v>2</v>
      </c>
      <c r="H779">
        <v>2</v>
      </c>
      <c r="I779">
        <v>0</v>
      </c>
      <c r="J779">
        <v>0</v>
      </c>
      <c r="K779">
        <v>1</v>
      </c>
      <c r="L779">
        <v>1</v>
      </c>
      <c r="M779">
        <v>4</v>
      </c>
      <c r="N779">
        <v>5</v>
      </c>
      <c r="O779">
        <v>0</v>
      </c>
      <c r="P779">
        <v>1</v>
      </c>
      <c r="Q779">
        <v>0</v>
      </c>
      <c r="R779">
        <v>3</v>
      </c>
      <c r="S779">
        <v>3</v>
      </c>
      <c r="T779">
        <v>0</v>
      </c>
      <c r="U779">
        <v>6</v>
      </c>
      <c r="V779" t="s">
        <v>297</v>
      </c>
    </row>
    <row r="780" spans="1:22">
      <c r="A780" t="s">
        <v>48</v>
      </c>
      <c r="B780" t="s">
        <v>287</v>
      </c>
      <c r="C780" t="s">
        <v>292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">
        <v>297</v>
      </c>
    </row>
    <row r="781" spans="1:22">
      <c r="A781" t="s">
        <v>48</v>
      </c>
      <c r="B781" t="s">
        <v>287</v>
      </c>
      <c r="C781" t="s">
        <v>298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1</v>
      </c>
      <c r="V781" t="s">
        <v>297</v>
      </c>
    </row>
    <row r="782" spans="1:22">
      <c r="A782" t="s">
        <v>48</v>
      </c>
      <c r="B782" t="s">
        <v>287</v>
      </c>
      <c r="C782" t="s">
        <v>293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">
        <v>297</v>
      </c>
    </row>
    <row r="783" spans="1:22">
      <c r="A783" t="s">
        <v>48</v>
      </c>
      <c r="B783" t="s">
        <v>287</v>
      </c>
      <c r="C783" t="s">
        <v>294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s">
        <v>297</v>
      </c>
    </row>
    <row r="784" spans="1:22">
      <c r="A784" t="s">
        <v>48</v>
      </c>
      <c r="B784" t="s">
        <v>287</v>
      </c>
      <c r="C784" t="s">
        <v>17</v>
      </c>
      <c r="D784">
        <v>1</v>
      </c>
      <c r="E784">
        <v>1</v>
      </c>
      <c r="F784">
        <v>4</v>
      </c>
      <c r="G784">
        <v>4</v>
      </c>
      <c r="H784">
        <v>5</v>
      </c>
      <c r="I784">
        <v>0</v>
      </c>
      <c r="J784">
        <v>1</v>
      </c>
      <c r="K784">
        <v>4</v>
      </c>
      <c r="L784">
        <v>4</v>
      </c>
      <c r="M784">
        <v>6</v>
      </c>
      <c r="N784">
        <v>8</v>
      </c>
      <c r="O784">
        <v>2</v>
      </c>
      <c r="P784">
        <v>4</v>
      </c>
      <c r="Q784">
        <v>1</v>
      </c>
      <c r="R784">
        <v>7</v>
      </c>
      <c r="S784">
        <v>8</v>
      </c>
      <c r="T784">
        <v>0</v>
      </c>
      <c r="U784">
        <v>15</v>
      </c>
      <c r="V784" t="s">
        <v>297</v>
      </c>
    </row>
    <row r="785" spans="1:22">
      <c r="A785" t="s">
        <v>48</v>
      </c>
      <c r="B785" t="s">
        <v>287</v>
      </c>
      <c r="C785" t="s">
        <v>295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">
        <v>297</v>
      </c>
    </row>
    <row r="786" spans="1:22">
      <c r="A786" t="s">
        <v>49</v>
      </c>
      <c r="B786" t="s">
        <v>287</v>
      </c>
      <c r="C786" t="s">
        <v>288</v>
      </c>
      <c r="D786">
        <v>0.33</v>
      </c>
      <c r="E786">
        <v>0.53</v>
      </c>
      <c r="F786">
        <v>1.8</v>
      </c>
      <c r="G786">
        <v>2.91</v>
      </c>
      <c r="H786">
        <v>3.44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9</v>
      </c>
      <c r="V786" t="s">
        <v>297</v>
      </c>
    </row>
    <row r="787" spans="1:22">
      <c r="A787" t="s">
        <v>49</v>
      </c>
      <c r="B787" t="s">
        <v>287</v>
      </c>
      <c r="C787" t="s">
        <v>290</v>
      </c>
      <c r="D787">
        <v>0</v>
      </c>
      <c r="E787">
        <v>1</v>
      </c>
      <c r="F787">
        <v>2</v>
      </c>
      <c r="G787">
        <v>3</v>
      </c>
      <c r="H787">
        <v>2</v>
      </c>
      <c r="I787">
        <v>1</v>
      </c>
      <c r="J787">
        <v>3</v>
      </c>
      <c r="K787">
        <v>1</v>
      </c>
      <c r="L787">
        <v>1</v>
      </c>
      <c r="M787">
        <v>2</v>
      </c>
      <c r="N787">
        <v>2</v>
      </c>
      <c r="O787">
        <v>1</v>
      </c>
      <c r="P787">
        <v>3</v>
      </c>
      <c r="Q787">
        <v>2</v>
      </c>
      <c r="R787">
        <v>6</v>
      </c>
      <c r="S787">
        <v>2</v>
      </c>
      <c r="T787">
        <v>0</v>
      </c>
      <c r="U787">
        <v>8</v>
      </c>
      <c r="V787" t="s">
        <v>297</v>
      </c>
    </row>
    <row r="788" spans="1:22">
      <c r="A788" t="s">
        <v>49</v>
      </c>
      <c r="B788" t="s">
        <v>287</v>
      </c>
      <c r="C788" t="s">
        <v>291</v>
      </c>
      <c r="D788">
        <v>0</v>
      </c>
      <c r="E788">
        <v>0</v>
      </c>
      <c r="F788">
        <v>0</v>
      </c>
      <c r="G788">
        <v>0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1</v>
      </c>
      <c r="O788">
        <v>0</v>
      </c>
      <c r="P788">
        <v>0</v>
      </c>
      <c r="Q788">
        <v>1</v>
      </c>
      <c r="R788">
        <v>2</v>
      </c>
      <c r="S788">
        <v>0</v>
      </c>
      <c r="T788">
        <v>0</v>
      </c>
      <c r="U788">
        <v>2</v>
      </c>
      <c r="V788" t="s">
        <v>297</v>
      </c>
    </row>
    <row r="789" spans="1:22">
      <c r="A789" t="s">
        <v>49</v>
      </c>
      <c r="B789" t="s">
        <v>287</v>
      </c>
      <c r="C789" t="s">
        <v>292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">
        <v>297</v>
      </c>
    </row>
    <row r="790" spans="1:22">
      <c r="A790" t="s">
        <v>49</v>
      </c>
      <c r="B790" t="s">
        <v>287</v>
      </c>
      <c r="C790" t="s">
        <v>298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1</v>
      </c>
      <c r="T790">
        <v>0</v>
      </c>
      <c r="U790">
        <v>1</v>
      </c>
      <c r="V790" t="s">
        <v>297</v>
      </c>
    </row>
    <row r="791" spans="1:22">
      <c r="A791" t="s">
        <v>49</v>
      </c>
      <c r="B791" t="s">
        <v>287</v>
      </c>
      <c r="C791" t="s">
        <v>293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">
        <v>297</v>
      </c>
    </row>
    <row r="792" spans="1:22">
      <c r="A792" t="s">
        <v>49</v>
      </c>
      <c r="B792" t="s">
        <v>287</v>
      </c>
      <c r="C792" t="s">
        <v>294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">
        <v>297</v>
      </c>
    </row>
    <row r="793" spans="1:22">
      <c r="A793" t="s">
        <v>49</v>
      </c>
      <c r="B793" t="s">
        <v>287</v>
      </c>
      <c r="C793" t="s">
        <v>17</v>
      </c>
      <c r="D793">
        <v>0</v>
      </c>
      <c r="E793">
        <v>2</v>
      </c>
      <c r="F793">
        <v>2</v>
      </c>
      <c r="G793">
        <v>3</v>
      </c>
      <c r="H793">
        <v>4</v>
      </c>
      <c r="I793">
        <v>1</v>
      </c>
      <c r="J793">
        <v>4</v>
      </c>
      <c r="K793">
        <v>1</v>
      </c>
      <c r="L793">
        <v>1</v>
      </c>
      <c r="M793">
        <v>4</v>
      </c>
      <c r="N793">
        <v>3</v>
      </c>
      <c r="O793">
        <v>1</v>
      </c>
      <c r="P793">
        <v>4</v>
      </c>
      <c r="Q793">
        <v>3</v>
      </c>
      <c r="R793">
        <v>8</v>
      </c>
      <c r="S793">
        <v>3</v>
      </c>
      <c r="T793">
        <v>0</v>
      </c>
      <c r="U793">
        <v>11</v>
      </c>
      <c r="V793" t="s">
        <v>297</v>
      </c>
    </row>
    <row r="794" spans="1:22">
      <c r="A794" t="s">
        <v>49</v>
      </c>
      <c r="B794" t="s">
        <v>287</v>
      </c>
      <c r="C794" t="s">
        <v>295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">
        <v>297</v>
      </c>
    </row>
    <row r="795" spans="1:22">
      <c r="A795" t="s">
        <v>51</v>
      </c>
      <c r="B795" t="s">
        <v>287</v>
      </c>
      <c r="C795" t="s">
        <v>288</v>
      </c>
      <c r="D795">
        <v>0.34</v>
      </c>
      <c r="E795">
        <v>0.56000000000000005</v>
      </c>
      <c r="F795">
        <v>1.8</v>
      </c>
      <c r="G795">
        <v>2.84</v>
      </c>
      <c r="H795">
        <v>3.44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9</v>
      </c>
      <c r="V795" t="s">
        <v>297</v>
      </c>
    </row>
    <row r="796" spans="1:22">
      <c r="A796" t="s">
        <v>51</v>
      </c>
      <c r="B796" t="s">
        <v>287</v>
      </c>
      <c r="C796" t="s">
        <v>290</v>
      </c>
      <c r="D796">
        <v>0</v>
      </c>
      <c r="E796">
        <v>2</v>
      </c>
      <c r="F796">
        <v>2</v>
      </c>
      <c r="G796">
        <v>3</v>
      </c>
      <c r="H796">
        <v>2</v>
      </c>
      <c r="I796">
        <v>1</v>
      </c>
      <c r="J796">
        <v>3</v>
      </c>
      <c r="K796">
        <v>1</v>
      </c>
      <c r="L796">
        <v>1</v>
      </c>
      <c r="M796">
        <v>3</v>
      </c>
      <c r="N796">
        <v>0</v>
      </c>
      <c r="O796">
        <v>1</v>
      </c>
      <c r="P796">
        <v>3</v>
      </c>
      <c r="Q796">
        <v>5</v>
      </c>
      <c r="R796">
        <v>6</v>
      </c>
      <c r="S796">
        <v>3</v>
      </c>
      <c r="T796">
        <v>0</v>
      </c>
      <c r="U796">
        <v>9</v>
      </c>
      <c r="V796" t="s">
        <v>297</v>
      </c>
    </row>
    <row r="797" spans="1:22">
      <c r="A797" t="s">
        <v>51</v>
      </c>
      <c r="B797" t="s">
        <v>287</v>
      </c>
      <c r="C797" t="s">
        <v>291</v>
      </c>
      <c r="D797">
        <v>0</v>
      </c>
      <c r="E797">
        <v>0</v>
      </c>
      <c r="F797">
        <v>0</v>
      </c>
      <c r="G797">
        <v>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1</v>
      </c>
      <c r="V797" t="s">
        <v>297</v>
      </c>
    </row>
    <row r="798" spans="1:22">
      <c r="A798" t="s">
        <v>51</v>
      </c>
      <c r="B798" t="s">
        <v>287</v>
      </c>
      <c r="C798" t="s">
        <v>292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">
        <v>297</v>
      </c>
    </row>
    <row r="799" spans="1:22">
      <c r="A799" t="s">
        <v>51</v>
      </c>
      <c r="B799" t="s">
        <v>287</v>
      </c>
      <c r="C799" t="s">
        <v>298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">
        <v>297</v>
      </c>
    </row>
    <row r="800" spans="1:22">
      <c r="A800" t="s">
        <v>51</v>
      </c>
      <c r="B800" t="s">
        <v>287</v>
      </c>
      <c r="C800" t="s">
        <v>293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">
        <v>297</v>
      </c>
    </row>
    <row r="801" spans="1:22">
      <c r="A801" t="s">
        <v>51</v>
      </c>
      <c r="B801" t="s">
        <v>287</v>
      </c>
      <c r="C801" t="s">
        <v>294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">
        <v>297</v>
      </c>
    </row>
    <row r="802" spans="1:22">
      <c r="A802" t="s">
        <v>51</v>
      </c>
      <c r="B802" t="s">
        <v>287</v>
      </c>
      <c r="C802" t="s">
        <v>17</v>
      </c>
      <c r="D802">
        <v>0</v>
      </c>
      <c r="E802">
        <v>2</v>
      </c>
      <c r="F802">
        <v>2</v>
      </c>
      <c r="G802">
        <v>3</v>
      </c>
      <c r="H802">
        <v>3</v>
      </c>
      <c r="I802">
        <v>1</v>
      </c>
      <c r="J802">
        <v>3</v>
      </c>
      <c r="K802">
        <v>1</v>
      </c>
      <c r="L802">
        <v>1</v>
      </c>
      <c r="M802">
        <v>4</v>
      </c>
      <c r="N802">
        <v>1</v>
      </c>
      <c r="O802">
        <v>1</v>
      </c>
      <c r="P802">
        <v>3</v>
      </c>
      <c r="Q802">
        <v>5</v>
      </c>
      <c r="R802">
        <v>6</v>
      </c>
      <c r="S802">
        <v>4</v>
      </c>
      <c r="T802">
        <v>0</v>
      </c>
      <c r="U802">
        <v>10</v>
      </c>
      <c r="V802" t="s">
        <v>297</v>
      </c>
    </row>
    <row r="803" spans="1:22">
      <c r="A803" t="s">
        <v>51</v>
      </c>
      <c r="B803" t="s">
        <v>287</v>
      </c>
      <c r="C803" t="s">
        <v>295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">
        <v>297</v>
      </c>
    </row>
    <row r="804" spans="1:22">
      <c r="A804" t="s">
        <v>52</v>
      </c>
      <c r="B804" t="s">
        <v>287</v>
      </c>
      <c r="C804" t="s">
        <v>288</v>
      </c>
      <c r="D804">
        <v>0.36</v>
      </c>
      <c r="E804">
        <v>0.61</v>
      </c>
      <c r="F804">
        <v>1.81</v>
      </c>
      <c r="G804">
        <v>2.84</v>
      </c>
      <c r="H804">
        <v>3.38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9</v>
      </c>
      <c r="V804" t="s">
        <v>297</v>
      </c>
    </row>
    <row r="805" spans="1:22">
      <c r="A805" t="s">
        <v>52</v>
      </c>
      <c r="B805" t="s">
        <v>287</v>
      </c>
      <c r="C805" t="s">
        <v>290</v>
      </c>
      <c r="D805">
        <v>0</v>
      </c>
      <c r="E805">
        <v>1</v>
      </c>
      <c r="F805">
        <v>2</v>
      </c>
      <c r="G805">
        <v>2</v>
      </c>
      <c r="H805">
        <v>3</v>
      </c>
      <c r="I805">
        <v>0</v>
      </c>
      <c r="J805">
        <v>1</v>
      </c>
      <c r="K805">
        <v>2</v>
      </c>
      <c r="L805">
        <v>1</v>
      </c>
      <c r="M805">
        <v>4</v>
      </c>
      <c r="N805">
        <v>3</v>
      </c>
      <c r="O805">
        <v>3</v>
      </c>
      <c r="P805">
        <v>2</v>
      </c>
      <c r="Q805">
        <v>0</v>
      </c>
      <c r="R805">
        <v>6</v>
      </c>
      <c r="S805">
        <v>2</v>
      </c>
      <c r="T805">
        <v>0</v>
      </c>
      <c r="U805">
        <v>8</v>
      </c>
      <c r="V805" t="s">
        <v>297</v>
      </c>
    </row>
    <row r="806" spans="1:22">
      <c r="A806" t="s">
        <v>52</v>
      </c>
      <c r="B806" t="s">
        <v>287</v>
      </c>
      <c r="C806" t="s">
        <v>291</v>
      </c>
      <c r="D806">
        <v>0</v>
      </c>
      <c r="E806">
        <v>0</v>
      </c>
      <c r="F806">
        <v>1</v>
      </c>
      <c r="G806">
        <v>0</v>
      </c>
      <c r="H806">
        <v>2</v>
      </c>
      <c r="I806">
        <v>0</v>
      </c>
      <c r="J806">
        <v>1</v>
      </c>
      <c r="K806">
        <v>0</v>
      </c>
      <c r="L806">
        <v>0</v>
      </c>
      <c r="M806">
        <v>2</v>
      </c>
      <c r="N806">
        <v>1</v>
      </c>
      <c r="O806">
        <v>0</v>
      </c>
      <c r="P806">
        <v>2</v>
      </c>
      <c r="Q806">
        <v>0</v>
      </c>
      <c r="R806">
        <v>3</v>
      </c>
      <c r="S806">
        <v>0</v>
      </c>
      <c r="T806">
        <v>0</v>
      </c>
      <c r="U806">
        <v>3</v>
      </c>
      <c r="V806" t="s">
        <v>297</v>
      </c>
    </row>
    <row r="807" spans="1:22">
      <c r="A807" t="s">
        <v>52</v>
      </c>
      <c r="B807" t="s">
        <v>287</v>
      </c>
      <c r="C807" t="s">
        <v>292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">
        <v>297</v>
      </c>
    </row>
    <row r="808" spans="1:22">
      <c r="A808" t="s">
        <v>52</v>
      </c>
      <c r="B808" t="s">
        <v>287</v>
      </c>
      <c r="C808" t="s">
        <v>298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1</v>
      </c>
      <c r="V808" t="s">
        <v>297</v>
      </c>
    </row>
    <row r="809" spans="1:22">
      <c r="A809" t="s">
        <v>52</v>
      </c>
      <c r="B809" t="s">
        <v>287</v>
      </c>
      <c r="C809" t="s">
        <v>293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">
        <v>297</v>
      </c>
    </row>
    <row r="810" spans="1:22">
      <c r="A810" t="s">
        <v>52</v>
      </c>
      <c r="B810" t="s">
        <v>287</v>
      </c>
      <c r="C810" t="s">
        <v>294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297</v>
      </c>
    </row>
    <row r="811" spans="1:22">
      <c r="A811" t="s">
        <v>52</v>
      </c>
      <c r="B811" t="s">
        <v>287</v>
      </c>
      <c r="C811" t="s">
        <v>17</v>
      </c>
      <c r="D811">
        <v>0</v>
      </c>
      <c r="E811">
        <v>1</v>
      </c>
      <c r="F811">
        <v>4</v>
      </c>
      <c r="G811">
        <v>2</v>
      </c>
      <c r="H811">
        <v>5</v>
      </c>
      <c r="I811">
        <v>0</v>
      </c>
      <c r="J811">
        <v>2</v>
      </c>
      <c r="K811">
        <v>3</v>
      </c>
      <c r="L811">
        <v>1</v>
      </c>
      <c r="M811">
        <v>6</v>
      </c>
      <c r="N811">
        <v>5</v>
      </c>
      <c r="O811">
        <v>3</v>
      </c>
      <c r="P811">
        <v>4</v>
      </c>
      <c r="Q811">
        <v>0</v>
      </c>
      <c r="R811">
        <v>9</v>
      </c>
      <c r="S811">
        <v>3</v>
      </c>
      <c r="T811">
        <v>0</v>
      </c>
      <c r="U811">
        <v>12</v>
      </c>
      <c r="V811" t="s">
        <v>297</v>
      </c>
    </row>
    <row r="812" spans="1:22">
      <c r="A812" t="s">
        <v>52</v>
      </c>
      <c r="B812" t="s">
        <v>287</v>
      </c>
      <c r="C812" t="s">
        <v>295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">
        <v>297</v>
      </c>
    </row>
    <row r="813" spans="1:22">
      <c r="A813" t="s">
        <v>53</v>
      </c>
      <c r="B813" t="s">
        <v>287</v>
      </c>
      <c r="C813" t="s">
        <v>288</v>
      </c>
      <c r="D813">
        <v>0.35</v>
      </c>
      <c r="E813">
        <v>0.61</v>
      </c>
      <c r="F813">
        <v>1.79</v>
      </c>
      <c r="G813">
        <v>2.82</v>
      </c>
      <c r="H813">
        <v>3.43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9</v>
      </c>
      <c r="V813" t="s">
        <v>297</v>
      </c>
    </row>
    <row r="814" spans="1:22">
      <c r="A814" t="s">
        <v>53</v>
      </c>
      <c r="B814" t="s">
        <v>287</v>
      </c>
      <c r="C814" t="s">
        <v>290</v>
      </c>
      <c r="D814">
        <v>1</v>
      </c>
      <c r="E814">
        <v>2</v>
      </c>
      <c r="F814">
        <v>2</v>
      </c>
      <c r="G814">
        <v>2</v>
      </c>
      <c r="H814">
        <v>2</v>
      </c>
      <c r="I814">
        <v>1</v>
      </c>
      <c r="J814">
        <v>0</v>
      </c>
      <c r="K814">
        <v>1</v>
      </c>
      <c r="L814">
        <v>3</v>
      </c>
      <c r="M814">
        <v>4</v>
      </c>
      <c r="N814">
        <v>3</v>
      </c>
      <c r="O814">
        <v>2</v>
      </c>
      <c r="P814">
        <v>2</v>
      </c>
      <c r="Q814">
        <v>2</v>
      </c>
      <c r="R814">
        <v>4</v>
      </c>
      <c r="S814">
        <v>5</v>
      </c>
      <c r="T814">
        <v>0</v>
      </c>
      <c r="U814">
        <v>9</v>
      </c>
      <c r="V814" t="s">
        <v>297</v>
      </c>
    </row>
    <row r="815" spans="1:22">
      <c r="A815" t="s">
        <v>53</v>
      </c>
      <c r="B815" t="s">
        <v>287</v>
      </c>
      <c r="C815" t="s">
        <v>291</v>
      </c>
      <c r="D815">
        <v>0</v>
      </c>
      <c r="E815">
        <v>0</v>
      </c>
      <c r="F815">
        <v>0</v>
      </c>
      <c r="G815">
        <v>1</v>
      </c>
      <c r="H815">
        <v>1</v>
      </c>
      <c r="I815">
        <v>0</v>
      </c>
      <c r="J815">
        <v>0</v>
      </c>
      <c r="K815">
        <v>0</v>
      </c>
      <c r="L815">
        <v>0</v>
      </c>
      <c r="M815">
        <v>2</v>
      </c>
      <c r="N815">
        <v>1</v>
      </c>
      <c r="O815">
        <v>0</v>
      </c>
      <c r="P815">
        <v>1</v>
      </c>
      <c r="Q815">
        <v>0</v>
      </c>
      <c r="R815">
        <v>1</v>
      </c>
      <c r="S815">
        <v>1</v>
      </c>
      <c r="T815">
        <v>0</v>
      </c>
      <c r="U815">
        <v>2</v>
      </c>
      <c r="V815" t="s">
        <v>297</v>
      </c>
    </row>
    <row r="816" spans="1:22">
      <c r="A816" t="s">
        <v>53</v>
      </c>
      <c r="B816" t="s">
        <v>287</v>
      </c>
      <c r="C816" t="s">
        <v>292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">
        <v>297</v>
      </c>
    </row>
    <row r="817" spans="1:22">
      <c r="A817" t="s">
        <v>53</v>
      </c>
      <c r="B817" t="s">
        <v>287</v>
      </c>
      <c r="C817" t="s">
        <v>298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">
        <v>297</v>
      </c>
    </row>
    <row r="818" spans="1:22">
      <c r="A818" t="s">
        <v>53</v>
      </c>
      <c r="B818" t="s">
        <v>287</v>
      </c>
      <c r="C818" t="s">
        <v>293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">
        <v>297</v>
      </c>
    </row>
    <row r="819" spans="1:22">
      <c r="A819" t="s">
        <v>53</v>
      </c>
      <c r="B819" t="s">
        <v>287</v>
      </c>
      <c r="C819" t="s">
        <v>294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">
        <v>297</v>
      </c>
    </row>
    <row r="820" spans="1:22">
      <c r="A820" t="s">
        <v>53</v>
      </c>
      <c r="B820" t="s">
        <v>287</v>
      </c>
      <c r="C820" t="s">
        <v>17</v>
      </c>
      <c r="D820">
        <v>1</v>
      </c>
      <c r="E820">
        <v>2</v>
      </c>
      <c r="F820">
        <v>2</v>
      </c>
      <c r="G820">
        <v>3</v>
      </c>
      <c r="H820">
        <v>3</v>
      </c>
      <c r="I820">
        <v>1</v>
      </c>
      <c r="J820">
        <v>0</v>
      </c>
      <c r="K820">
        <v>1</v>
      </c>
      <c r="L820">
        <v>3</v>
      </c>
      <c r="M820">
        <v>6</v>
      </c>
      <c r="N820">
        <v>4</v>
      </c>
      <c r="O820">
        <v>2</v>
      </c>
      <c r="P820">
        <v>3</v>
      </c>
      <c r="Q820">
        <v>2</v>
      </c>
      <c r="R820">
        <v>5</v>
      </c>
      <c r="S820">
        <v>6</v>
      </c>
      <c r="T820">
        <v>0</v>
      </c>
      <c r="U820">
        <v>11</v>
      </c>
      <c r="V820" t="s">
        <v>297</v>
      </c>
    </row>
    <row r="821" spans="1:22">
      <c r="A821" t="s">
        <v>53</v>
      </c>
      <c r="B821" t="s">
        <v>287</v>
      </c>
      <c r="C821" t="s">
        <v>295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">
        <v>297</v>
      </c>
    </row>
    <row r="822" spans="1:22">
      <c r="A822" t="s">
        <v>54</v>
      </c>
      <c r="B822" t="s">
        <v>287</v>
      </c>
      <c r="C822" t="s">
        <v>288</v>
      </c>
      <c r="D822">
        <v>0.36</v>
      </c>
      <c r="E822">
        <v>0.57999999999999996</v>
      </c>
      <c r="F822">
        <v>1.82</v>
      </c>
      <c r="G822">
        <v>2.84</v>
      </c>
      <c r="H822">
        <v>3.4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9</v>
      </c>
      <c r="V822" t="s">
        <v>297</v>
      </c>
    </row>
    <row r="823" spans="1:22">
      <c r="A823" t="s">
        <v>54</v>
      </c>
      <c r="B823" t="s">
        <v>287</v>
      </c>
      <c r="C823" t="s">
        <v>290</v>
      </c>
      <c r="D823">
        <v>1</v>
      </c>
      <c r="E823">
        <v>0</v>
      </c>
      <c r="F823">
        <v>1</v>
      </c>
      <c r="G823">
        <v>5</v>
      </c>
      <c r="H823">
        <v>4</v>
      </c>
      <c r="I823">
        <v>0</v>
      </c>
      <c r="J823">
        <v>1</v>
      </c>
      <c r="K823">
        <v>2</v>
      </c>
      <c r="L823">
        <v>2</v>
      </c>
      <c r="M823">
        <v>6</v>
      </c>
      <c r="N823">
        <v>4</v>
      </c>
      <c r="O823">
        <v>2</v>
      </c>
      <c r="P823">
        <v>3</v>
      </c>
      <c r="Q823">
        <v>2</v>
      </c>
      <c r="R823">
        <v>8</v>
      </c>
      <c r="S823">
        <v>3</v>
      </c>
      <c r="T823">
        <v>0</v>
      </c>
      <c r="U823">
        <v>11</v>
      </c>
      <c r="V823" t="s">
        <v>297</v>
      </c>
    </row>
    <row r="824" spans="1:22">
      <c r="A824" t="s">
        <v>54</v>
      </c>
      <c r="B824" t="s">
        <v>287</v>
      </c>
      <c r="C824" t="s">
        <v>291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">
        <v>297</v>
      </c>
    </row>
    <row r="825" spans="1:22">
      <c r="A825" t="s">
        <v>54</v>
      </c>
      <c r="B825" t="s">
        <v>287</v>
      </c>
      <c r="C825" t="s">
        <v>292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0</v>
      </c>
      <c r="U825">
        <v>1</v>
      </c>
      <c r="V825" t="s">
        <v>297</v>
      </c>
    </row>
    <row r="826" spans="1:22">
      <c r="A826" t="s">
        <v>54</v>
      </c>
      <c r="B826" t="s">
        <v>287</v>
      </c>
      <c r="C826" t="s">
        <v>298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">
        <v>297</v>
      </c>
    </row>
    <row r="827" spans="1:22">
      <c r="A827" t="s">
        <v>54</v>
      </c>
      <c r="B827" t="s">
        <v>287</v>
      </c>
      <c r="C827" t="s">
        <v>293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">
        <v>297</v>
      </c>
    </row>
    <row r="828" spans="1:22">
      <c r="A828" t="s">
        <v>54</v>
      </c>
      <c r="B828" t="s">
        <v>287</v>
      </c>
      <c r="C828" t="s">
        <v>294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">
        <v>297</v>
      </c>
    </row>
    <row r="829" spans="1:22">
      <c r="A829" t="s">
        <v>54</v>
      </c>
      <c r="B829" t="s">
        <v>287</v>
      </c>
      <c r="C829" t="s">
        <v>17</v>
      </c>
      <c r="D829">
        <v>1</v>
      </c>
      <c r="E829">
        <v>0</v>
      </c>
      <c r="F829">
        <v>2</v>
      </c>
      <c r="G829">
        <v>5</v>
      </c>
      <c r="H829">
        <v>4</v>
      </c>
      <c r="I829">
        <v>0</v>
      </c>
      <c r="J829">
        <v>1</v>
      </c>
      <c r="K829">
        <v>3</v>
      </c>
      <c r="L829">
        <v>2</v>
      </c>
      <c r="M829">
        <v>6</v>
      </c>
      <c r="N829">
        <v>4</v>
      </c>
      <c r="O829">
        <v>2</v>
      </c>
      <c r="P829">
        <v>4</v>
      </c>
      <c r="Q829">
        <v>2</v>
      </c>
      <c r="R829">
        <v>9</v>
      </c>
      <c r="S829">
        <v>3</v>
      </c>
      <c r="T829">
        <v>0</v>
      </c>
      <c r="U829">
        <v>12</v>
      </c>
      <c r="V829" t="s">
        <v>297</v>
      </c>
    </row>
    <row r="830" spans="1:22">
      <c r="A830" t="s">
        <v>54</v>
      </c>
      <c r="B830" t="s">
        <v>287</v>
      </c>
      <c r="C830" t="s">
        <v>295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">
        <v>297</v>
      </c>
    </row>
    <row r="831" spans="1:22">
      <c r="A831" t="s">
        <v>150</v>
      </c>
      <c r="B831" t="s">
        <v>287</v>
      </c>
      <c r="C831" t="s">
        <v>288</v>
      </c>
      <c r="D831">
        <v>3.32</v>
      </c>
      <c r="E831">
        <v>5.9</v>
      </c>
      <c r="F831">
        <v>19.940000000000001</v>
      </c>
      <c r="G831">
        <v>31.94</v>
      </c>
      <c r="H831">
        <v>38.9</v>
      </c>
      <c r="I831">
        <v>11</v>
      </c>
      <c r="J831">
        <v>11</v>
      </c>
      <c r="K831">
        <v>11</v>
      </c>
      <c r="L831">
        <v>11</v>
      </c>
      <c r="M831">
        <v>11</v>
      </c>
      <c r="N831">
        <v>11</v>
      </c>
      <c r="O831">
        <v>11</v>
      </c>
      <c r="P831">
        <v>11</v>
      </c>
      <c r="Q831">
        <v>11</v>
      </c>
      <c r="R831">
        <v>11</v>
      </c>
      <c r="S831">
        <v>11</v>
      </c>
      <c r="T831">
        <v>0</v>
      </c>
      <c r="U831">
        <v>100</v>
      </c>
      <c r="V831" t="s">
        <v>297</v>
      </c>
    </row>
    <row r="832" spans="1:22">
      <c r="A832" t="s">
        <v>150</v>
      </c>
      <c r="B832" t="s">
        <v>287</v>
      </c>
      <c r="C832" t="s">
        <v>290</v>
      </c>
      <c r="D832">
        <v>7</v>
      </c>
      <c r="E832">
        <v>11</v>
      </c>
      <c r="F832">
        <v>20</v>
      </c>
      <c r="G832">
        <v>29</v>
      </c>
      <c r="H832">
        <v>30</v>
      </c>
      <c r="I832">
        <v>7</v>
      </c>
      <c r="J832">
        <v>15</v>
      </c>
      <c r="K832">
        <v>20</v>
      </c>
      <c r="L832">
        <v>20</v>
      </c>
      <c r="M832">
        <v>35</v>
      </c>
      <c r="N832">
        <v>27</v>
      </c>
      <c r="O832">
        <v>18</v>
      </c>
      <c r="P832">
        <v>32</v>
      </c>
      <c r="Q832">
        <v>20</v>
      </c>
      <c r="R832">
        <v>60</v>
      </c>
      <c r="S832">
        <v>37</v>
      </c>
      <c r="T832">
        <v>0</v>
      </c>
      <c r="U832">
        <v>97</v>
      </c>
      <c r="V832" t="s">
        <v>297</v>
      </c>
    </row>
    <row r="833" spans="1:22">
      <c r="A833" t="s">
        <v>150</v>
      </c>
      <c r="B833" t="s">
        <v>287</v>
      </c>
      <c r="C833" t="s">
        <v>291</v>
      </c>
      <c r="D833">
        <v>1</v>
      </c>
      <c r="E833">
        <v>0</v>
      </c>
      <c r="F833">
        <v>4</v>
      </c>
      <c r="G833">
        <v>12</v>
      </c>
      <c r="H833">
        <v>15</v>
      </c>
      <c r="I833">
        <v>1</v>
      </c>
      <c r="J833">
        <v>3</v>
      </c>
      <c r="K833">
        <v>3</v>
      </c>
      <c r="L833">
        <v>2</v>
      </c>
      <c r="M833">
        <v>23</v>
      </c>
      <c r="N833">
        <v>16</v>
      </c>
      <c r="O833">
        <v>1</v>
      </c>
      <c r="P833">
        <v>11</v>
      </c>
      <c r="Q833">
        <v>4</v>
      </c>
      <c r="R833">
        <v>19</v>
      </c>
      <c r="S833">
        <v>13</v>
      </c>
      <c r="T833">
        <v>0</v>
      </c>
      <c r="U833">
        <v>32</v>
      </c>
      <c r="V833" t="s">
        <v>297</v>
      </c>
    </row>
    <row r="834" spans="1:22">
      <c r="A834" t="s">
        <v>150</v>
      </c>
      <c r="B834" t="s">
        <v>287</v>
      </c>
      <c r="C834" t="s">
        <v>292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1</v>
      </c>
      <c r="Q834">
        <v>0</v>
      </c>
      <c r="R834">
        <v>1</v>
      </c>
      <c r="S834">
        <v>0</v>
      </c>
      <c r="T834">
        <v>0</v>
      </c>
      <c r="U834">
        <v>1</v>
      </c>
      <c r="V834" t="s">
        <v>297</v>
      </c>
    </row>
    <row r="835" spans="1:22">
      <c r="A835" t="s">
        <v>150</v>
      </c>
      <c r="B835" t="s">
        <v>287</v>
      </c>
      <c r="C835" t="s">
        <v>298</v>
      </c>
      <c r="D835">
        <v>1</v>
      </c>
      <c r="E835">
        <v>1</v>
      </c>
      <c r="F835">
        <v>2</v>
      </c>
      <c r="G835">
        <v>0</v>
      </c>
      <c r="H835">
        <v>0</v>
      </c>
      <c r="I835">
        <v>0</v>
      </c>
      <c r="J835">
        <v>1</v>
      </c>
      <c r="K835">
        <v>2</v>
      </c>
      <c r="L835">
        <v>0</v>
      </c>
      <c r="M835">
        <v>1</v>
      </c>
      <c r="N835">
        <v>1</v>
      </c>
      <c r="O835">
        <v>0</v>
      </c>
      <c r="P835">
        <v>1</v>
      </c>
      <c r="Q835">
        <v>2</v>
      </c>
      <c r="R835">
        <v>0</v>
      </c>
      <c r="S835">
        <v>4</v>
      </c>
      <c r="T835">
        <v>0</v>
      </c>
      <c r="U835">
        <v>4</v>
      </c>
      <c r="V835" t="s">
        <v>297</v>
      </c>
    </row>
    <row r="836" spans="1:22">
      <c r="A836" t="s">
        <v>150</v>
      </c>
      <c r="B836" t="s">
        <v>287</v>
      </c>
      <c r="C836" t="s">
        <v>293</v>
      </c>
      <c r="D836">
        <v>1</v>
      </c>
      <c r="E836">
        <v>1</v>
      </c>
      <c r="F836">
        <v>1</v>
      </c>
      <c r="G836">
        <v>0</v>
      </c>
      <c r="H836">
        <v>0</v>
      </c>
      <c r="I836">
        <v>0</v>
      </c>
      <c r="J836">
        <v>0</v>
      </c>
      <c r="K836">
        <v>2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2</v>
      </c>
      <c r="R836">
        <v>3</v>
      </c>
      <c r="S836">
        <v>0</v>
      </c>
      <c r="T836">
        <v>0</v>
      </c>
      <c r="U836">
        <v>3</v>
      </c>
      <c r="V836" t="s">
        <v>297</v>
      </c>
    </row>
    <row r="837" spans="1:22">
      <c r="A837" t="s">
        <v>150</v>
      </c>
      <c r="B837" t="s">
        <v>287</v>
      </c>
      <c r="C837" t="s">
        <v>294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">
        <v>297</v>
      </c>
    </row>
    <row r="838" spans="1:22">
      <c r="A838" t="s">
        <v>150</v>
      </c>
      <c r="B838" t="s">
        <v>287</v>
      </c>
      <c r="C838" t="s">
        <v>17</v>
      </c>
      <c r="D838">
        <v>10</v>
      </c>
      <c r="E838">
        <v>13</v>
      </c>
      <c r="F838">
        <v>28</v>
      </c>
      <c r="G838">
        <v>41</v>
      </c>
      <c r="H838">
        <v>45</v>
      </c>
      <c r="I838">
        <v>8</v>
      </c>
      <c r="J838">
        <v>19</v>
      </c>
      <c r="K838">
        <v>28</v>
      </c>
      <c r="L838">
        <v>22</v>
      </c>
      <c r="M838">
        <v>60</v>
      </c>
      <c r="N838">
        <v>44</v>
      </c>
      <c r="O838">
        <v>20</v>
      </c>
      <c r="P838">
        <v>45</v>
      </c>
      <c r="Q838">
        <v>28</v>
      </c>
      <c r="R838">
        <v>83</v>
      </c>
      <c r="S838">
        <v>54</v>
      </c>
      <c r="T838">
        <v>0</v>
      </c>
      <c r="U838">
        <v>137</v>
      </c>
      <c r="V838" t="s">
        <v>297</v>
      </c>
    </row>
    <row r="839" spans="1:22">
      <c r="A839" t="s">
        <v>150</v>
      </c>
      <c r="B839" t="s">
        <v>287</v>
      </c>
      <c r="C839" t="s">
        <v>295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">
        <v>297</v>
      </c>
    </row>
    <row r="929" spans="1:22">
      <c r="A929" s="1">
        <f>setup!C21</f>
        <v>3771</v>
      </c>
    </row>
    <row r="930" spans="1:22">
      <c r="A930" t="str">
        <f>_xlfn.CONCAT(setup!D21," - ",setup!E21)</f>
        <v>Validity WISC-6/WPPSI-4 - Paper - V_WPPSI4_P</v>
      </c>
      <c r="D930" s="1"/>
      <c r="E930" s="1"/>
      <c r="F930" s="1"/>
      <c r="G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2">
      <c r="A931" t="s">
        <v>5</v>
      </c>
      <c r="B931" t="s">
        <v>259</v>
      </c>
      <c r="C931" t="s">
        <v>260</v>
      </c>
      <c r="D931" s="1" t="s">
        <v>29</v>
      </c>
      <c r="E931" s="1" t="s">
        <v>56</v>
      </c>
      <c r="F931" s="1" t="s">
        <v>50</v>
      </c>
      <c r="G931" s="1" t="s">
        <v>38</v>
      </c>
      <c r="H931" s="1" t="s">
        <v>58</v>
      </c>
      <c r="I931" s="1" t="s">
        <v>22</v>
      </c>
      <c r="J931" s="1" t="s">
        <v>36</v>
      </c>
      <c r="K931" s="1" t="s">
        <v>24</v>
      </c>
      <c r="L931" s="1" t="s">
        <v>31</v>
      </c>
      <c r="M931" s="1" t="s">
        <v>39</v>
      </c>
      <c r="N931" s="1" t="s">
        <v>59</v>
      </c>
      <c r="O931" s="1" t="s">
        <v>47</v>
      </c>
      <c r="P931" s="1" t="s">
        <v>33</v>
      </c>
      <c r="Q931" s="1" t="s">
        <v>60</v>
      </c>
      <c r="R931" s="1" t="s">
        <v>45</v>
      </c>
      <c r="S931" s="1" t="s">
        <v>34</v>
      </c>
      <c r="T931" t="s">
        <v>26</v>
      </c>
      <c r="U931" s="1" t="s">
        <v>150</v>
      </c>
      <c r="V931" t="s">
        <v>286</v>
      </c>
    </row>
    <row r="932" spans="1:22">
      <c r="A932" t="s">
        <v>65</v>
      </c>
      <c r="B932" t="s">
        <v>287</v>
      </c>
      <c r="C932" t="s">
        <v>288</v>
      </c>
      <c r="D932">
        <v>0.65</v>
      </c>
      <c r="E932">
        <v>1.24</v>
      </c>
      <c r="F932">
        <v>4.96</v>
      </c>
      <c r="G932">
        <v>8.0399999999999991</v>
      </c>
      <c r="H932">
        <v>10.11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25</v>
      </c>
      <c r="V932" t="s">
        <v>297</v>
      </c>
    </row>
    <row r="933" spans="1:22">
      <c r="A933" t="s">
        <v>65</v>
      </c>
      <c r="B933" t="s">
        <v>287</v>
      </c>
      <c r="C933" t="s">
        <v>290</v>
      </c>
      <c r="D933">
        <v>1</v>
      </c>
      <c r="E933">
        <v>1</v>
      </c>
      <c r="F933">
        <v>5</v>
      </c>
      <c r="G933">
        <v>8</v>
      </c>
      <c r="H933">
        <v>10</v>
      </c>
      <c r="I933">
        <v>0</v>
      </c>
      <c r="J933">
        <v>3</v>
      </c>
      <c r="K933">
        <v>8</v>
      </c>
      <c r="L933">
        <v>4</v>
      </c>
      <c r="M933">
        <v>10</v>
      </c>
      <c r="N933">
        <v>7</v>
      </c>
      <c r="O933">
        <v>5</v>
      </c>
      <c r="P933">
        <v>9</v>
      </c>
      <c r="Q933">
        <v>4</v>
      </c>
      <c r="R933">
        <v>13</v>
      </c>
      <c r="S933">
        <v>12</v>
      </c>
      <c r="T933">
        <v>0</v>
      </c>
      <c r="U933">
        <v>25</v>
      </c>
      <c r="V933" t="s">
        <v>297</v>
      </c>
    </row>
    <row r="934" spans="1:22">
      <c r="A934" t="s">
        <v>65</v>
      </c>
      <c r="B934" t="s">
        <v>287</v>
      </c>
      <c r="C934" t="s">
        <v>291</v>
      </c>
      <c r="D934">
        <v>0</v>
      </c>
      <c r="E934">
        <v>0</v>
      </c>
      <c r="F934">
        <v>0</v>
      </c>
      <c r="G934">
        <v>0</v>
      </c>
      <c r="H934">
        <v>4</v>
      </c>
      <c r="I934">
        <v>0</v>
      </c>
      <c r="J934">
        <v>0</v>
      </c>
      <c r="K934">
        <v>0</v>
      </c>
      <c r="L934">
        <v>0</v>
      </c>
      <c r="M934">
        <v>4</v>
      </c>
      <c r="N934">
        <v>4</v>
      </c>
      <c r="O934">
        <v>0</v>
      </c>
      <c r="P934">
        <v>0</v>
      </c>
      <c r="Q934">
        <v>0</v>
      </c>
      <c r="R934">
        <v>2</v>
      </c>
      <c r="S934">
        <v>2</v>
      </c>
      <c r="T934">
        <v>0</v>
      </c>
      <c r="U934">
        <v>4</v>
      </c>
      <c r="V934" t="s">
        <v>297</v>
      </c>
    </row>
    <row r="935" spans="1:22">
      <c r="A935" t="s">
        <v>65</v>
      </c>
      <c r="B935" t="s">
        <v>287</v>
      </c>
      <c r="C935" t="s">
        <v>292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">
        <v>297</v>
      </c>
    </row>
    <row r="936" spans="1:22">
      <c r="A936" t="s">
        <v>65</v>
      </c>
      <c r="B936" t="s">
        <v>287</v>
      </c>
      <c r="C936" t="s">
        <v>298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">
        <v>297</v>
      </c>
    </row>
    <row r="937" spans="1:22">
      <c r="A937" t="s">
        <v>65</v>
      </c>
      <c r="B937" t="s">
        <v>287</v>
      </c>
      <c r="C937" t="s">
        <v>293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1</v>
      </c>
      <c r="T937">
        <v>0</v>
      </c>
      <c r="U937">
        <v>1</v>
      </c>
      <c r="V937" t="s">
        <v>297</v>
      </c>
    </row>
    <row r="938" spans="1:22">
      <c r="A938" t="s">
        <v>65</v>
      </c>
      <c r="B938" t="s">
        <v>287</v>
      </c>
      <c r="C938" t="s">
        <v>294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">
        <v>297</v>
      </c>
    </row>
    <row r="939" spans="1:22">
      <c r="A939" t="s">
        <v>65</v>
      </c>
      <c r="B939" t="s">
        <v>287</v>
      </c>
      <c r="C939" t="s">
        <v>17</v>
      </c>
      <c r="D939">
        <v>2</v>
      </c>
      <c r="E939">
        <v>1</v>
      </c>
      <c r="F939">
        <v>5</v>
      </c>
      <c r="G939">
        <v>8</v>
      </c>
      <c r="H939">
        <v>14</v>
      </c>
      <c r="I939">
        <v>0</v>
      </c>
      <c r="J939">
        <v>4</v>
      </c>
      <c r="K939">
        <v>8</v>
      </c>
      <c r="L939">
        <v>4</v>
      </c>
      <c r="M939">
        <v>14</v>
      </c>
      <c r="N939">
        <v>11</v>
      </c>
      <c r="O939">
        <v>5</v>
      </c>
      <c r="P939">
        <v>10</v>
      </c>
      <c r="Q939">
        <v>4</v>
      </c>
      <c r="R939">
        <v>15</v>
      </c>
      <c r="S939">
        <v>15</v>
      </c>
      <c r="T939">
        <v>0</v>
      </c>
      <c r="U939">
        <v>30</v>
      </c>
      <c r="V939" t="s">
        <v>297</v>
      </c>
    </row>
    <row r="940" spans="1:22">
      <c r="A940" t="s">
        <v>65</v>
      </c>
      <c r="B940" t="s">
        <v>287</v>
      </c>
      <c r="C940" t="s">
        <v>295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">
        <v>297</v>
      </c>
    </row>
    <row r="941" spans="1:22">
      <c r="A941" t="s">
        <v>301</v>
      </c>
      <c r="B941" t="s">
        <v>287</v>
      </c>
      <c r="C941" t="s">
        <v>288</v>
      </c>
      <c r="D941">
        <v>0.68</v>
      </c>
      <c r="E941">
        <v>1.32</v>
      </c>
      <c r="F941">
        <v>4.9000000000000004</v>
      </c>
      <c r="G941">
        <v>8.1300000000000008</v>
      </c>
      <c r="H941">
        <v>9.9700000000000006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25</v>
      </c>
      <c r="V941" t="s">
        <v>297</v>
      </c>
    </row>
    <row r="942" spans="1:22">
      <c r="A942" t="s">
        <v>301</v>
      </c>
      <c r="B942" t="s">
        <v>287</v>
      </c>
      <c r="C942" t="s">
        <v>290</v>
      </c>
      <c r="D942">
        <v>0</v>
      </c>
      <c r="E942">
        <v>1</v>
      </c>
      <c r="F942">
        <v>5</v>
      </c>
      <c r="G942">
        <v>8</v>
      </c>
      <c r="H942">
        <v>10</v>
      </c>
      <c r="I942">
        <v>2</v>
      </c>
      <c r="J942">
        <v>3</v>
      </c>
      <c r="K942">
        <v>3</v>
      </c>
      <c r="L942">
        <v>5</v>
      </c>
      <c r="M942">
        <v>11</v>
      </c>
      <c r="N942">
        <v>11</v>
      </c>
      <c r="O942">
        <v>7</v>
      </c>
      <c r="P942">
        <v>3</v>
      </c>
      <c r="Q942">
        <v>3</v>
      </c>
      <c r="R942">
        <v>15</v>
      </c>
      <c r="S942">
        <v>9</v>
      </c>
      <c r="T942">
        <v>0</v>
      </c>
      <c r="U942">
        <v>24</v>
      </c>
      <c r="V942" t="s">
        <v>297</v>
      </c>
    </row>
    <row r="943" spans="1:22">
      <c r="A943" t="s">
        <v>301</v>
      </c>
      <c r="B943" t="s">
        <v>287</v>
      </c>
      <c r="C943" t="s">
        <v>291</v>
      </c>
      <c r="D943">
        <v>0</v>
      </c>
      <c r="E943">
        <v>0</v>
      </c>
      <c r="F943">
        <v>2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</v>
      </c>
      <c r="N943">
        <v>1</v>
      </c>
      <c r="O943">
        <v>0</v>
      </c>
      <c r="P943">
        <v>0</v>
      </c>
      <c r="Q943">
        <v>1</v>
      </c>
      <c r="R943">
        <v>1</v>
      </c>
      <c r="S943">
        <v>1</v>
      </c>
      <c r="T943">
        <v>0</v>
      </c>
      <c r="U943">
        <v>2</v>
      </c>
      <c r="V943" t="s">
        <v>297</v>
      </c>
    </row>
    <row r="944" spans="1:22">
      <c r="A944" t="s">
        <v>301</v>
      </c>
      <c r="B944" t="s">
        <v>287</v>
      </c>
      <c r="C944" t="s">
        <v>292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">
        <v>297</v>
      </c>
    </row>
    <row r="945" spans="1:22">
      <c r="A945" t="s">
        <v>301</v>
      </c>
      <c r="B945" t="s">
        <v>287</v>
      </c>
      <c r="C945" t="s">
        <v>298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">
        <v>297</v>
      </c>
    </row>
    <row r="946" spans="1:22">
      <c r="A946" t="s">
        <v>301</v>
      </c>
      <c r="B946" t="s">
        <v>287</v>
      </c>
      <c r="C946" t="s">
        <v>293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">
        <v>297</v>
      </c>
    </row>
    <row r="947" spans="1:22">
      <c r="A947" t="s">
        <v>301</v>
      </c>
      <c r="B947" t="s">
        <v>287</v>
      </c>
      <c r="C947" t="s">
        <v>294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">
        <v>297</v>
      </c>
    </row>
    <row r="948" spans="1:22">
      <c r="A948" t="s">
        <v>301</v>
      </c>
      <c r="B948" t="s">
        <v>287</v>
      </c>
      <c r="C948" t="s">
        <v>17</v>
      </c>
      <c r="D948">
        <v>0</v>
      </c>
      <c r="E948">
        <v>1</v>
      </c>
      <c r="F948">
        <v>7</v>
      </c>
      <c r="G948">
        <v>8</v>
      </c>
      <c r="H948">
        <v>10</v>
      </c>
      <c r="I948">
        <v>2</v>
      </c>
      <c r="J948">
        <v>3</v>
      </c>
      <c r="K948">
        <v>4</v>
      </c>
      <c r="L948">
        <v>5</v>
      </c>
      <c r="M948">
        <v>12</v>
      </c>
      <c r="N948">
        <v>12</v>
      </c>
      <c r="O948">
        <v>7</v>
      </c>
      <c r="P948">
        <v>3</v>
      </c>
      <c r="Q948">
        <v>4</v>
      </c>
      <c r="R948">
        <v>16</v>
      </c>
      <c r="S948">
        <v>10</v>
      </c>
      <c r="T948">
        <v>0</v>
      </c>
      <c r="U948">
        <v>26</v>
      </c>
      <c r="V948" t="s">
        <v>297</v>
      </c>
    </row>
    <row r="949" spans="1:22">
      <c r="A949" t="s">
        <v>301</v>
      </c>
      <c r="B949" t="s">
        <v>287</v>
      </c>
      <c r="C949" t="s">
        <v>295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">
        <v>297</v>
      </c>
    </row>
    <row r="950" spans="1:22">
      <c r="A950" t="s">
        <v>150</v>
      </c>
      <c r="B950" t="s">
        <v>287</v>
      </c>
      <c r="C950" t="s">
        <v>288</v>
      </c>
      <c r="D950">
        <v>1.33</v>
      </c>
      <c r="E950">
        <v>2.56</v>
      </c>
      <c r="F950">
        <v>9.86</v>
      </c>
      <c r="G950">
        <v>16.170000000000002</v>
      </c>
      <c r="H950">
        <v>20.079999999999998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0</v>
      </c>
      <c r="U950">
        <v>50</v>
      </c>
      <c r="V950" t="s">
        <v>297</v>
      </c>
    </row>
    <row r="951" spans="1:22">
      <c r="A951" t="s">
        <v>150</v>
      </c>
      <c r="B951" t="s">
        <v>287</v>
      </c>
      <c r="C951" t="s">
        <v>290</v>
      </c>
      <c r="D951">
        <v>1</v>
      </c>
      <c r="E951">
        <v>2</v>
      </c>
      <c r="F951">
        <v>10</v>
      </c>
      <c r="G951">
        <v>16</v>
      </c>
      <c r="H951">
        <v>20</v>
      </c>
      <c r="I951">
        <v>2</v>
      </c>
      <c r="J951">
        <v>6</v>
      </c>
      <c r="K951">
        <v>11</v>
      </c>
      <c r="L951">
        <v>9</v>
      </c>
      <c r="M951">
        <v>21</v>
      </c>
      <c r="N951">
        <v>18</v>
      </c>
      <c r="O951">
        <v>12</v>
      </c>
      <c r="P951">
        <v>12</v>
      </c>
      <c r="Q951">
        <v>7</v>
      </c>
      <c r="R951">
        <v>28</v>
      </c>
      <c r="S951">
        <v>21</v>
      </c>
      <c r="T951">
        <v>0</v>
      </c>
      <c r="U951">
        <v>49</v>
      </c>
      <c r="V951" t="s">
        <v>297</v>
      </c>
    </row>
    <row r="952" spans="1:22">
      <c r="A952" t="s">
        <v>150</v>
      </c>
      <c r="B952" t="s">
        <v>287</v>
      </c>
      <c r="C952" t="s">
        <v>291</v>
      </c>
      <c r="D952">
        <v>0</v>
      </c>
      <c r="E952">
        <v>0</v>
      </c>
      <c r="F952">
        <v>2</v>
      </c>
      <c r="G952">
        <v>0</v>
      </c>
      <c r="H952">
        <v>4</v>
      </c>
      <c r="I952">
        <v>0</v>
      </c>
      <c r="J952">
        <v>0</v>
      </c>
      <c r="K952">
        <v>1</v>
      </c>
      <c r="L952">
        <v>0</v>
      </c>
      <c r="M952">
        <v>5</v>
      </c>
      <c r="N952">
        <v>5</v>
      </c>
      <c r="O952">
        <v>0</v>
      </c>
      <c r="P952">
        <v>0</v>
      </c>
      <c r="Q952">
        <v>1</v>
      </c>
      <c r="R952">
        <v>3</v>
      </c>
      <c r="S952">
        <v>3</v>
      </c>
      <c r="T952">
        <v>0</v>
      </c>
      <c r="U952">
        <v>6</v>
      </c>
      <c r="V952" t="s">
        <v>297</v>
      </c>
    </row>
    <row r="953" spans="1:22">
      <c r="A953" t="s">
        <v>150</v>
      </c>
      <c r="B953" t="s">
        <v>287</v>
      </c>
      <c r="C953" t="s">
        <v>292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">
        <v>297</v>
      </c>
    </row>
    <row r="954" spans="1:22">
      <c r="A954" t="s">
        <v>150</v>
      </c>
      <c r="B954" t="s">
        <v>287</v>
      </c>
      <c r="C954" t="s">
        <v>298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">
        <v>297</v>
      </c>
    </row>
    <row r="955" spans="1:22">
      <c r="A955" t="s">
        <v>150</v>
      </c>
      <c r="B955" t="s">
        <v>287</v>
      </c>
      <c r="C955" t="s">
        <v>293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  <c r="T955">
        <v>0</v>
      </c>
      <c r="U955">
        <v>1</v>
      </c>
      <c r="V955" t="s">
        <v>297</v>
      </c>
    </row>
    <row r="956" spans="1:22">
      <c r="A956" t="s">
        <v>150</v>
      </c>
      <c r="B956" t="s">
        <v>287</v>
      </c>
      <c r="C956" t="s">
        <v>294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">
        <v>297</v>
      </c>
    </row>
    <row r="957" spans="1:22">
      <c r="A957" t="s">
        <v>150</v>
      </c>
      <c r="B957" t="s">
        <v>287</v>
      </c>
      <c r="C957" t="s">
        <v>17</v>
      </c>
      <c r="D957">
        <v>2</v>
      </c>
      <c r="E957">
        <v>2</v>
      </c>
      <c r="F957">
        <v>12</v>
      </c>
      <c r="G957">
        <v>16</v>
      </c>
      <c r="H957">
        <v>24</v>
      </c>
      <c r="I957">
        <v>2</v>
      </c>
      <c r="J957">
        <v>7</v>
      </c>
      <c r="K957">
        <v>12</v>
      </c>
      <c r="L957">
        <v>9</v>
      </c>
      <c r="M957">
        <v>26</v>
      </c>
      <c r="N957">
        <v>23</v>
      </c>
      <c r="O957">
        <v>12</v>
      </c>
      <c r="P957">
        <v>13</v>
      </c>
      <c r="Q957">
        <v>8</v>
      </c>
      <c r="R957">
        <v>31</v>
      </c>
      <c r="S957">
        <v>25</v>
      </c>
      <c r="T957">
        <v>0</v>
      </c>
      <c r="U957">
        <v>56</v>
      </c>
      <c r="V957" t="s">
        <v>297</v>
      </c>
    </row>
    <row r="958" spans="1:22">
      <c r="A958" t="s">
        <v>150</v>
      </c>
      <c r="B958" t="s">
        <v>287</v>
      </c>
      <c r="C958" t="s">
        <v>295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">
        <v>297</v>
      </c>
    </row>
    <row r="1040" spans="4:21"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4:21"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4:21"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4:21"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4:21"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4:21"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4:21"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4:21"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4:21"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4:21"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4:21"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4:21"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4:21"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4:21"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4:21"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4:21"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4:21"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4:21"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4:21"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4:21"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4:21"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4:21"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4:21"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4:21"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4:21"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4:21"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4:21"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4:21"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4:21"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4:21"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4:21"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4:21"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4:21"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4:21"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4:21"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4:21"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4:21"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4:21"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4:21"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4:21"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4:21"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4:21"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4:21"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4:21"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4:21"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4:21"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4:21"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4:21"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4:21"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4:21"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4:21"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4:21"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4:21"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4:21"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4:21"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4:21"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4:21"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4:21"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4:21"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4:21"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4:21"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4:21"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4:21"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4:21"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4:21"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4:21"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4:21"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4:21"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4:21"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4:21"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4:21"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4:21"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4:21"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4:21"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4:21"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4:21"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4:21"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4:21"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4:21"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4:21"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4:21"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2"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2"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2"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2"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2"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2"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2"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2"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2">
      <c r="A1129">
        <f>setup!C22</f>
        <v>3772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2">
      <c r="A1130" t="str">
        <f>_xlfn.CONCAT(setup!D22," - ",setup!E22)</f>
        <v>Validity WISC-6/WAIS-5 - Paper - V_WAIS5_P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2">
      <c r="A1131" t="s">
        <v>5</v>
      </c>
      <c r="B1131" t="s">
        <v>259</v>
      </c>
      <c r="C1131" t="s">
        <v>260</v>
      </c>
      <c r="D1131" s="1" t="s">
        <v>29</v>
      </c>
      <c r="E1131" s="1" t="s">
        <v>56</v>
      </c>
      <c r="F1131" s="1" t="s">
        <v>50</v>
      </c>
      <c r="G1131" s="1" t="s">
        <v>38</v>
      </c>
      <c r="H1131" s="1" t="s">
        <v>58</v>
      </c>
      <c r="I1131" s="1" t="s">
        <v>22</v>
      </c>
      <c r="J1131" s="1" t="s">
        <v>36</v>
      </c>
      <c r="K1131" s="1" t="s">
        <v>24</v>
      </c>
      <c r="L1131" s="1" t="s">
        <v>31</v>
      </c>
      <c r="M1131" s="1" t="s">
        <v>39</v>
      </c>
      <c r="N1131" s="1" t="s">
        <v>59</v>
      </c>
      <c r="O1131" s="1" t="s">
        <v>47</v>
      </c>
      <c r="P1131" s="1" t="s">
        <v>33</v>
      </c>
      <c r="Q1131" s="1" t="s">
        <v>60</v>
      </c>
      <c r="R1131" s="1" t="s">
        <v>45</v>
      </c>
      <c r="S1131" s="1" t="s">
        <v>34</v>
      </c>
      <c r="T1131" t="s">
        <v>26</v>
      </c>
      <c r="U1131" s="1" t="s">
        <v>150</v>
      </c>
      <c r="V1131" t="s">
        <v>286</v>
      </c>
    </row>
    <row r="1132" spans="1:22">
      <c r="A1132" t="s">
        <v>54</v>
      </c>
      <c r="B1132" t="s">
        <v>287</v>
      </c>
      <c r="C1132" t="s">
        <v>288</v>
      </c>
      <c r="D1132">
        <v>2.0099999999999998</v>
      </c>
      <c r="E1132">
        <v>3.2</v>
      </c>
      <c r="F1132">
        <v>10.11</v>
      </c>
      <c r="G1132">
        <v>15.78</v>
      </c>
      <c r="H1132">
        <v>18.89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50</v>
      </c>
      <c r="V1132" t="s">
        <v>297</v>
      </c>
    </row>
    <row r="1133" spans="1:22">
      <c r="A1133" t="s">
        <v>54</v>
      </c>
      <c r="B1133" t="s">
        <v>287</v>
      </c>
      <c r="C1133" t="s">
        <v>290</v>
      </c>
      <c r="D1133">
        <v>3</v>
      </c>
      <c r="E1133">
        <v>3</v>
      </c>
      <c r="F1133">
        <v>10</v>
      </c>
      <c r="G1133">
        <v>15</v>
      </c>
      <c r="H1133">
        <v>19</v>
      </c>
      <c r="I1133">
        <v>2</v>
      </c>
      <c r="J1133">
        <v>7</v>
      </c>
      <c r="K1133">
        <v>11</v>
      </c>
      <c r="L1133">
        <v>3</v>
      </c>
      <c r="M1133">
        <v>27</v>
      </c>
      <c r="N1133">
        <v>11</v>
      </c>
      <c r="O1133">
        <v>8</v>
      </c>
      <c r="P1133">
        <v>14</v>
      </c>
      <c r="Q1133">
        <v>17</v>
      </c>
      <c r="R1133">
        <v>27</v>
      </c>
      <c r="S1133">
        <v>23</v>
      </c>
      <c r="T1133">
        <v>0</v>
      </c>
      <c r="U1133">
        <v>50</v>
      </c>
      <c r="V1133" t="s">
        <v>297</v>
      </c>
    </row>
    <row r="1134" spans="1:22">
      <c r="A1134" t="s">
        <v>54</v>
      </c>
      <c r="B1134" t="s">
        <v>287</v>
      </c>
      <c r="C1134" t="s">
        <v>291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">
        <v>297</v>
      </c>
    </row>
    <row r="1135" spans="1:22">
      <c r="A1135" t="s">
        <v>54</v>
      </c>
      <c r="B1135" t="s">
        <v>287</v>
      </c>
      <c r="C1135" t="s">
        <v>292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">
        <v>297</v>
      </c>
    </row>
    <row r="1136" spans="1:22">
      <c r="A1136" t="s">
        <v>54</v>
      </c>
      <c r="B1136" t="s">
        <v>287</v>
      </c>
      <c r="C1136" t="s">
        <v>298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">
        <v>297</v>
      </c>
    </row>
    <row r="1137" spans="1:22">
      <c r="A1137" t="s">
        <v>54</v>
      </c>
      <c r="B1137" t="s">
        <v>287</v>
      </c>
      <c r="C1137" t="s">
        <v>293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1</v>
      </c>
      <c r="V1137" t="s">
        <v>297</v>
      </c>
    </row>
    <row r="1138" spans="1:22">
      <c r="A1138" t="s">
        <v>54</v>
      </c>
      <c r="B1138" t="s">
        <v>287</v>
      </c>
      <c r="C1138" t="s">
        <v>294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">
        <v>297</v>
      </c>
    </row>
    <row r="1139" spans="1:22">
      <c r="A1139" t="s">
        <v>54</v>
      </c>
      <c r="B1139" t="s">
        <v>287</v>
      </c>
      <c r="C1139" t="s">
        <v>17</v>
      </c>
      <c r="D1139">
        <v>3</v>
      </c>
      <c r="E1139">
        <v>3</v>
      </c>
      <c r="F1139">
        <v>10</v>
      </c>
      <c r="G1139">
        <v>16</v>
      </c>
      <c r="H1139">
        <v>19</v>
      </c>
      <c r="I1139">
        <v>2</v>
      </c>
      <c r="J1139">
        <v>7</v>
      </c>
      <c r="K1139">
        <v>11</v>
      </c>
      <c r="L1139">
        <v>4</v>
      </c>
      <c r="M1139">
        <v>27</v>
      </c>
      <c r="N1139">
        <v>11</v>
      </c>
      <c r="O1139">
        <v>8</v>
      </c>
      <c r="P1139">
        <v>14</v>
      </c>
      <c r="Q1139">
        <v>18</v>
      </c>
      <c r="R1139">
        <v>28</v>
      </c>
      <c r="S1139">
        <v>23</v>
      </c>
      <c r="T1139">
        <v>0</v>
      </c>
      <c r="U1139">
        <v>51</v>
      </c>
      <c r="V1139" t="s">
        <v>297</v>
      </c>
    </row>
    <row r="1140" spans="1:22">
      <c r="A1140" t="s">
        <v>54</v>
      </c>
      <c r="B1140" t="s">
        <v>287</v>
      </c>
      <c r="C1140" t="s">
        <v>295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">
        <v>297</v>
      </c>
    </row>
    <row r="1141" spans="1:22">
      <c r="A1141" t="s">
        <v>150</v>
      </c>
      <c r="B1141" t="s">
        <v>287</v>
      </c>
      <c r="C1141" t="s">
        <v>288</v>
      </c>
      <c r="D1141">
        <v>2.0099999999999998</v>
      </c>
      <c r="E1141">
        <v>3.2</v>
      </c>
      <c r="F1141">
        <v>10.11</v>
      </c>
      <c r="G1141">
        <v>15.78</v>
      </c>
      <c r="H1141">
        <v>18.89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50</v>
      </c>
      <c r="V1141" t="s">
        <v>297</v>
      </c>
    </row>
    <row r="1142" spans="1:22">
      <c r="A1142" t="s">
        <v>150</v>
      </c>
      <c r="B1142" t="s">
        <v>287</v>
      </c>
      <c r="C1142" t="s">
        <v>290</v>
      </c>
      <c r="D1142">
        <v>3</v>
      </c>
      <c r="E1142">
        <v>3</v>
      </c>
      <c r="F1142">
        <v>10</v>
      </c>
      <c r="G1142">
        <v>15</v>
      </c>
      <c r="H1142">
        <v>19</v>
      </c>
      <c r="I1142">
        <v>2</v>
      </c>
      <c r="J1142">
        <v>7</v>
      </c>
      <c r="K1142">
        <v>11</v>
      </c>
      <c r="L1142">
        <v>3</v>
      </c>
      <c r="M1142">
        <v>27</v>
      </c>
      <c r="N1142">
        <v>11</v>
      </c>
      <c r="O1142">
        <v>8</v>
      </c>
      <c r="P1142">
        <v>14</v>
      </c>
      <c r="Q1142">
        <v>17</v>
      </c>
      <c r="R1142">
        <v>27</v>
      </c>
      <c r="S1142">
        <v>23</v>
      </c>
      <c r="T1142">
        <v>0</v>
      </c>
      <c r="U1142">
        <v>50</v>
      </c>
      <c r="V1142" t="s">
        <v>297</v>
      </c>
    </row>
    <row r="1143" spans="1:22">
      <c r="A1143" t="s">
        <v>150</v>
      </c>
      <c r="B1143" t="s">
        <v>287</v>
      </c>
      <c r="C1143" t="s">
        <v>291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">
        <v>297</v>
      </c>
    </row>
    <row r="1144" spans="1:22">
      <c r="A1144" t="s">
        <v>150</v>
      </c>
      <c r="B1144" t="s">
        <v>287</v>
      </c>
      <c r="C1144" t="s">
        <v>292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297</v>
      </c>
    </row>
    <row r="1145" spans="1:22">
      <c r="A1145" t="s">
        <v>150</v>
      </c>
      <c r="B1145" t="s">
        <v>287</v>
      </c>
      <c r="C1145" t="s">
        <v>298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">
        <v>297</v>
      </c>
    </row>
    <row r="1146" spans="1:22">
      <c r="A1146" t="s">
        <v>150</v>
      </c>
      <c r="B1146" t="s">
        <v>287</v>
      </c>
      <c r="C1146" t="s">
        <v>293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1</v>
      </c>
      <c r="S1146">
        <v>0</v>
      </c>
      <c r="T1146">
        <v>0</v>
      </c>
      <c r="U1146">
        <v>1</v>
      </c>
      <c r="V1146" t="s">
        <v>297</v>
      </c>
    </row>
    <row r="1147" spans="1:22">
      <c r="A1147" t="s">
        <v>150</v>
      </c>
      <c r="B1147" t="s">
        <v>287</v>
      </c>
      <c r="C1147" t="s">
        <v>294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">
        <v>297</v>
      </c>
    </row>
    <row r="1148" spans="1:22">
      <c r="A1148" t="s">
        <v>150</v>
      </c>
      <c r="B1148" t="s">
        <v>287</v>
      </c>
      <c r="C1148" t="s">
        <v>17</v>
      </c>
      <c r="D1148">
        <v>3</v>
      </c>
      <c r="E1148">
        <v>3</v>
      </c>
      <c r="F1148">
        <v>10</v>
      </c>
      <c r="G1148">
        <v>16</v>
      </c>
      <c r="H1148">
        <v>19</v>
      </c>
      <c r="I1148">
        <v>2</v>
      </c>
      <c r="J1148">
        <v>7</v>
      </c>
      <c r="K1148">
        <v>11</v>
      </c>
      <c r="L1148">
        <v>4</v>
      </c>
      <c r="M1148">
        <v>27</v>
      </c>
      <c r="N1148">
        <v>11</v>
      </c>
      <c r="O1148">
        <v>8</v>
      </c>
      <c r="P1148">
        <v>14</v>
      </c>
      <c r="Q1148">
        <v>18</v>
      </c>
      <c r="R1148">
        <v>28</v>
      </c>
      <c r="S1148">
        <v>23</v>
      </c>
      <c r="T1148">
        <v>0</v>
      </c>
      <c r="U1148">
        <v>51</v>
      </c>
      <c r="V1148" t="s">
        <v>297</v>
      </c>
    </row>
    <row r="1149" spans="1:22">
      <c r="A1149" t="s">
        <v>150</v>
      </c>
      <c r="B1149" t="s">
        <v>287</v>
      </c>
      <c r="C1149" t="s">
        <v>295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297</v>
      </c>
    </row>
    <row r="1240" spans="22:22">
      <c r="V1240" s="1"/>
    </row>
    <row r="1329" spans="1:22">
      <c r="A1329">
        <f>setup!C23</f>
        <v>3773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2">
      <c r="A1330" t="str">
        <f>_xlfn.CONCAT(setup!D23," - ",setup!E23)</f>
        <v>Validity WISC-6/WIAT-4 - Paper - V_WIAT4_P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2">
      <c r="A1331" t="s">
        <v>5</v>
      </c>
      <c r="B1331" t="s">
        <v>259</v>
      </c>
      <c r="C1331" t="s">
        <v>260</v>
      </c>
      <c r="D1331" s="1" t="s">
        <v>29</v>
      </c>
      <c r="E1331" s="1" t="s">
        <v>56</v>
      </c>
      <c r="F1331" s="1" t="s">
        <v>50</v>
      </c>
      <c r="G1331" s="1" t="s">
        <v>38</v>
      </c>
      <c r="H1331" s="1" t="s">
        <v>58</v>
      </c>
      <c r="I1331" s="1" t="s">
        <v>22</v>
      </c>
      <c r="J1331" s="1" t="s">
        <v>36</v>
      </c>
      <c r="K1331" s="1" t="s">
        <v>24</v>
      </c>
      <c r="L1331" s="1" t="s">
        <v>31</v>
      </c>
      <c r="M1331" s="1" t="s">
        <v>39</v>
      </c>
      <c r="N1331" s="1" t="s">
        <v>59</v>
      </c>
      <c r="O1331" s="1" t="s">
        <v>47</v>
      </c>
      <c r="P1331" s="1" t="s">
        <v>33</v>
      </c>
      <c r="Q1331" s="1" t="s">
        <v>60</v>
      </c>
      <c r="R1331" s="1" t="s">
        <v>45</v>
      </c>
      <c r="S1331" s="1" t="s">
        <v>34</v>
      </c>
      <c r="T1331" t="s">
        <v>26</v>
      </c>
      <c r="U1331" s="1" t="s">
        <v>150</v>
      </c>
      <c r="V1331" t="s">
        <v>286</v>
      </c>
    </row>
    <row r="1332" spans="1:22">
      <c r="A1332" t="s">
        <v>65</v>
      </c>
      <c r="B1332" t="s">
        <v>287</v>
      </c>
      <c r="C1332" t="s">
        <v>288</v>
      </c>
      <c r="D1332">
        <v>0.52</v>
      </c>
      <c r="E1332">
        <v>0.99</v>
      </c>
      <c r="F1332">
        <v>3.97</v>
      </c>
      <c r="G1332">
        <v>6.43</v>
      </c>
      <c r="H1332">
        <v>8.09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20</v>
      </c>
      <c r="V1332" t="s">
        <v>289</v>
      </c>
    </row>
    <row r="1333" spans="1:22">
      <c r="A1333" t="s">
        <v>65</v>
      </c>
      <c r="B1333" t="s">
        <v>287</v>
      </c>
      <c r="C1333" t="s">
        <v>290</v>
      </c>
      <c r="D1333">
        <v>1</v>
      </c>
      <c r="E1333">
        <v>1</v>
      </c>
      <c r="F1333">
        <v>4</v>
      </c>
      <c r="G1333">
        <v>6</v>
      </c>
      <c r="H1333">
        <v>8</v>
      </c>
      <c r="I1333">
        <v>1</v>
      </c>
      <c r="J1333">
        <v>4</v>
      </c>
      <c r="K1333">
        <v>6</v>
      </c>
      <c r="L1333">
        <v>2</v>
      </c>
      <c r="M1333">
        <v>7</v>
      </c>
      <c r="N1333">
        <v>8</v>
      </c>
      <c r="O1333">
        <v>2</v>
      </c>
      <c r="P1333">
        <v>6</v>
      </c>
      <c r="Q1333">
        <v>4</v>
      </c>
      <c r="R1333">
        <v>10</v>
      </c>
      <c r="S1333">
        <v>10</v>
      </c>
      <c r="T1333">
        <v>0</v>
      </c>
      <c r="U1333">
        <v>20</v>
      </c>
      <c r="V1333" t="s">
        <v>289</v>
      </c>
    </row>
    <row r="1334" spans="1:22">
      <c r="A1334" t="s">
        <v>65</v>
      </c>
      <c r="B1334" t="s">
        <v>287</v>
      </c>
      <c r="C1334" t="s">
        <v>291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1</v>
      </c>
      <c r="V1334" t="s">
        <v>289</v>
      </c>
    </row>
    <row r="1335" spans="1:22">
      <c r="A1335" t="s">
        <v>65</v>
      </c>
      <c r="B1335" t="s">
        <v>287</v>
      </c>
      <c r="C1335" t="s">
        <v>292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 t="s">
        <v>289</v>
      </c>
    </row>
    <row r="1336" spans="1:22">
      <c r="A1336" t="s">
        <v>65</v>
      </c>
      <c r="B1336" t="s">
        <v>287</v>
      </c>
      <c r="C1336" t="s">
        <v>298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 t="s">
        <v>289</v>
      </c>
    </row>
    <row r="1337" spans="1:22">
      <c r="A1337" t="s">
        <v>65</v>
      </c>
      <c r="B1337" t="s">
        <v>287</v>
      </c>
      <c r="C1337" t="s">
        <v>293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 t="s">
        <v>289</v>
      </c>
    </row>
    <row r="1338" spans="1:22">
      <c r="A1338" t="s">
        <v>65</v>
      </c>
      <c r="B1338" t="s">
        <v>287</v>
      </c>
      <c r="C1338" t="s">
        <v>294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 t="s">
        <v>289</v>
      </c>
    </row>
    <row r="1339" spans="1:22">
      <c r="A1339" t="s">
        <v>65</v>
      </c>
      <c r="B1339" t="s">
        <v>287</v>
      </c>
      <c r="C1339" t="s">
        <v>17</v>
      </c>
      <c r="D1339">
        <v>1</v>
      </c>
      <c r="E1339">
        <v>1</v>
      </c>
      <c r="F1339">
        <v>4</v>
      </c>
      <c r="G1339">
        <v>6</v>
      </c>
      <c r="H1339">
        <v>9</v>
      </c>
      <c r="I1339">
        <v>1</v>
      </c>
      <c r="J1339">
        <v>4</v>
      </c>
      <c r="K1339">
        <v>6</v>
      </c>
      <c r="L1339">
        <v>2</v>
      </c>
      <c r="M1339">
        <v>8</v>
      </c>
      <c r="N1339">
        <v>9</v>
      </c>
      <c r="O1339">
        <v>2</v>
      </c>
      <c r="P1339">
        <v>6</v>
      </c>
      <c r="Q1339">
        <v>4</v>
      </c>
      <c r="R1339">
        <v>10</v>
      </c>
      <c r="S1339">
        <v>11</v>
      </c>
      <c r="T1339">
        <v>0</v>
      </c>
      <c r="U1339">
        <v>21</v>
      </c>
      <c r="V1339" t="s">
        <v>289</v>
      </c>
    </row>
    <row r="1340" spans="1:22">
      <c r="A1340" t="s">
        <v>65</v>
      </c>
      <c r="B1340" t="s">
        <v>287</v>
      </c>
      <c r="C1340" t="s">
        <v>295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 t="s">
        <v>289</v>
      </c>
    </row>
    <row r="1341" spans="1:22">
      <c r="A1341" t="s">
        <v>40</v>
      </c>
      <c r="B1341" t="s">
        <v>287</v>
      </c>
      <c r="C1341" t="s">
        <v>288</v>
      </c>
      <c r="D1341">
        <v>0.49</v>
      </c>
      <c r="E1341">
        <v>0.95</v>
      </c>
      <c r="F1341">
        <v>3.53</v>
      </c>
      <c r="G1341">
        <v>5.86</v>
      </c>
      <c r="H1341">
        <v>7.18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18</v>
      </c>
      <c r="V1341" t="s">
        <v>289</v>
      </c>
    </row>
    <row r="1342" spans="1:22">
      <c r="A1342" t="s">
        <v>40</v>
      </c>
      <c r="B1342" t="s">
        <v>287</v>
      </c>
      <c r="C1342" t="s">
        <v>290</v>
      </c>
      <c r="D1342">
        <v>1</v>
      </c>
      <c r="E1342">
        <v>1</v>
      </c>
      <c r="F1342">
        <v>3</v>
      </c>
      <c r="G1342">
        <v>5</v>
      </c>
      <c r="H1342">
        <v>7</v>
      </c>
      <c r="I1342">
        <v>0</v>
      </c>
      <c r="J1342">
        <v>2</v>
      </c>
      <c r="K1342">
        <v>5</v>
      </c>
      <c r="L1342">
        <v>2</v>
      </c>
      <c r="M1342">
        <v>8</v>
      </c>
      <c r="N1342">
        <v>7</v>
      </c>
      <c r="O1342">
        <v>3</v>
      </c>
      <c r="P1342">
        <v>6</v>
      </c>
      <c r="Q1342">
        <v>1</v>
      </c>
      <c r="R1342">
        <v>11</v>
      </c>
      <c r="S1342">
        <v>6</v>
      </c>
      <c r="T1342">
        <v>0</v>
      </c>
      <c r="U1342">
        <v>17</v>
      </c>
      <c r="V1342" t="s">
        <v>289</v>
      </c>
    </row>
    <row r="1343" spans="1:22">
      <c r="A1343" t="s">
        <v>40</v>
      </c>
      <c r="B1343" t="s">
        <v>287</v>
      </c>
      <c r="C1343" t="s">
        <v>291</v>
      </c>
      <c r="D1343">
        <v>0</v>
      </c>
      <c r="E1343">
        <v>0</v>
      </c>
      <c r="F1343">
        <v>0</v>
      </c>
      <c r="G1343">
        <v>2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1</v>
      </c>
      <c r="N1343">
        <v>0</v>
      </c>
      <c r="O1343">
        <v>0</v>
      </c>
      <c r="P1343">
        <v>2</v>
      </c>
      <c r="Q1343">
        <v>0</v>
      </c>
      <c r="R1343">
        <v>2</v>
      </c>
      <c r="S1343">
        <v>0</v>
      </c>
      <c r="T1343">
        <v>0</v>
      </c>
      <c r="U1343">
        <v>2</v>
      </c>
      <c r="V1343" t="s">
        <v>289</v>
      </c>
    </row>
    <row r="1344" spans="1:22">
      <c r="A1344" t="s">
        <v>40</v>
      </c>
      <c r="B1344" t="s">
        <v>287</v>
      </c>
      <c r="C1344" t="s">
        <v>292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 t="s">
        <v>289</v>
      </c>
    </row>
    <row r="1345" spans="1:22">
      <c r="A1345" t="s">
        <v>40</v>
      </c>
      <c r="B1345" t="s">
        <v>287</v>
      </c>
      <c r="C1345" t="s">
        <v>298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1</v>
      </c>
      <c r="T1345">
        <v>0</v>
      </c>
      <c r="U1345">
        <v>1</v>
      </c>
      <c r="V1345" t="s">
        <v>289</v>
      </c>
    </row>
    <row r="1346" spans="1:22">
      <c r="A1346" t="s">
        <v>40</v>
      </c>
      <c r="B1346" t="s">
        <v>287</v>
      </c>
      <c r="C1346" t="s">
        <v>293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1</v>
      </c>
      <c r="V1346" t="s">
        <v>289</v>
      </c>
    </row>
    <row r="1347" spans="1:22">
      <c r="A1347" t="s">
        <v>40</v>
      </c>
      <c r="B1347" t="s">
        <v>287</v>
      </c>
      <c r="C1347" t="s">
        <v>294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 t="s">
        <v>289</v>
      </c>
    </row>
    <row r="1348" spans="1:22">
      <c r="A1348" t="s">
        <v>40</v>
      </c>
      <c r="B1348" t="s">
        <v>287</v>
      </c>
      <c r="C1348" t="s">
        <v>17</v>
      </c>
      <c r="D1348">
        <v>1</v>
      </c>
      <c r="E1348">
        <v>2</v>
      </c>
      <c r="F1348">
        <v>4</v>
      </c>
      <c r="G1348">
        <v>7</v>
      </c>
      <c r="H1348">
        <v>7</v>
      </c>
      <c r="I1348">
        <v>0</v>
      </c>
      <c r="J1348">
        <v>2</v>
      </c>
      <c r="K1348">
        <v>6</v>
      </c>
      <c r="L1348">
        <v>4</v>
      </c>
      <c r="M1348">
        <v>9</v>
      </c>
      <c r="N1348">
        <v>7</v>
      </c>
      <c r="O1348">
        <v>3</v>
      </c>
      <c r="P1348">
        <v>9</v>
      </c>
      <c r="Q1348">
        <v>2</v>
      </c>
      <c r="R1348">
        <v>14</v>
      </c>
      <c r="S1348">
        <v>7</v>
      </c>
      <c r="T1348">
        <v>0</v>
      </c>
      <c r="U1348">
        <v>21</v>
      </c>
      <c r="V1348" t="s">
        <v>289</v>
      </c>
    </row>
    <row r="1349" spans="1:22">
      <c r="A1349" t="s">
        <v>40</v>
      </c>
      <c r="B1349" t="s">
        <v>287</v>
      </c>
      <c r="C1349" t="s">
        <v>295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">
        <v>289</v>
      </c>
    </row>
    <row r="1350" spans="1:22">
      <c r="A1350" t="s">
        <v>41</v>
      </c>
      <c r="B1350" t="s">
        <v>287</v>
      </c>
      <c r="C1350" t="s">
        <v>288</v>
      </c>
      <c r="D1350">
        <v>0.5</v>
      </c>
      <c r="E1350">
        <v>0.98</v>
      </c>
      <c r="F1350">
        <v>3.56</v>
      </c>
      <c r="G1350">
        <v>5.81</v>
      </c>
      <c r="H1350">
        <v>7.16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18</v>
      </c>
      <c r="V1350" t="s">
        <v>289</v>
      </c>
    </row>
    <row r="1351" spans="1:22">
      <c r="A1351" t="s">
        <v>41</v>
      </c>
      <c r="B1351" t="s">
        <v>287</v>
      </c>
      <c r="C1351" t="s">
        <v>290</v>
      </c>
      <c r="D1351">
        <v>1</v>
      </c>
      <c r="E1351">
        <v>1</v>
      </c>
      <c r="F1351">
        <v>4</v>
      </c>
      <c r="G1351">
        <v>5</v>
      </c>
      <c r="H1351">
        <v>7</v>
      </c>
      <c r="I1351">
        <v>1</v>
      </c>
      <c r="J1351">
        <v>4</v>
      </c>
      <c r="K1351">
        <v>3</v>
      </c>
      <c r="L1351">
        <v>3</v>
      </c>
      <c r="M1351">
        <v>7</v>
      </c>
      <c r="N1351">
        <v>8</v>
      </c>
      <c r="O1351">
        <v>4</v>
      </c>
      <c r="P1351">
        <v>5</v>
      </c>
      <c r="Q1351">
        <v>1</v>
      </c>
      <c r="R1351">
        <v>8</v>
      </c>
      <c r="S1351">
        <v>10</v>
      </c>
      <c r="T1351">
        <v>0</v>
      </c>
      <c r="U1351">
        <v>18</v>
      </c>
      <c r="V1351" t="s">
        <v>289</v>
      </c>
    </row>
    <row r="1352" spans="1:22">
      <c r="A1352" t="s">
        <v>41</v>
      </c>
      <c r="B1352" t="s">
        <v>287</v>
      </c>
      <c r="C1352" t="s">
        <v>291</v>
      </c>
      <c r="D1352">
        <v>0</v>
      </c>
      <c r="E1352">
        <v>0</v>
      </c>
      <c r="F1352">
        <v>1</v>
      </c>
      <c r="G1352">
        <v>0</v>
      </c>
      <c r="H1352">
        <v>1</v>
      </c>
      <c r="I1352">
        <v>0</v>
      </c>
      <c r="J1352">
        <v>0</v>
      </c>
      <c r="K1352">
        <v>1</v>
      </c>
      <c r="L1352">
        <v>0</v>
      </c>
      <c r="M1352">
        <v>1</v>
      </c>
      <c r="N1352">
        <v>0</v>
      </c>
      <c r="O1352">
        <v>0</v>
      </c>
      <c r="P1352">
        <v>2</v>
      </c>
      <c r="Q1352">
        <v>0</v>
      </c>
      <c r="R1352">
        <v>1</v>
      </c>
      <c r="S1352">
        <v>1</v>
      </c>
      <c r="T1352">
        <v>0</v>
      </c>
      <c r="U1352">
        <v>2</v>
      </c>
      <c r="V1352" t="s">
        <v>289</v>
      </c>
    </row>
    <row r="1353" spans="1:22">
      <c r="A1353" t="s">
        <v>41</v>
      </c>
      <c r="B1353" t="s">
        <v>287</v>
      </c>
      <c r="C1353" t="s">
        <v>292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">
        <v>289</v>
      </c>
    </row>
    <row r="1354" spans="1:22">
      <c r="A1354" t="s">
        <v>41</v>
      </c>
      <c r="B1354" t="s">
        <v>287</v>
      </c>
      <c r="C1354" t="s">
        <v>298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">
        <v>289</v>
      </c>
    </row>
    <row r="1355" spans="1:22">
      <c r="A1355" t="s">
        <v>41</v>
      </c>
      <c r="B1355" t="s">
        <v>287</v>
      </c>
      <c r="C1355" t="s">
        <v>293</v>
      </c>
      <c r="D1355">
        <v>0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1</v>
      </c>
      <c r="T1355">
        <v>0</v>
      </c>
      <c r="U1355">
        <v>1</v>
      </c>
      <c r="V1355" t="s">
        <v>289</v>
      </c>
    </row>
    <row r="1356" spans="1:22">
      <c r="A1356" t="s">
        <v>41</v>
      </c>
      <c r="B1356" t="s">
        <v>287</v>
      </c>
      <c r="C1356" t="s">
        <v>294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">
        <v>289</v>
      </c>
    </row>
    <row r="1357" spans="1:22">
      <c r="A1357" t="s">
        <v>41</v>
      </c>
      <c r="B1357" t="s">
        <v>287</v>
      </c>
      <c r="C1357" t="s">
        <v>17</v>
      </c>
      <c r="D1357">
        <v>1</v>
      </c>
      <c r="E1357">
        <v>2</v>
      </c>
      <c r="F1357">
        <v>5</v>
      </c>
      <c r="G1357">
        <v>5</v>
      </c>
      <c r="H1357">
        <v>8</v>
      </c>
      <c r="I1357">
        <v>1</v>
      </c>
      <c r="J1357">
        <v>4</v>
      </c>
      <c r="K1357">
        <v>4</v>
      </c>
      <c r="L1357">
        <v>3</v>
      </c>
      <c r="M1357">
        <v>9</v>
      </c>
      <c r="N1357">
        <v>8</v>
      </c>
      <c r="O1357">
        <v>4</v>
      </c>
      <c r="P1357">
        <v>8</v>
      </c>
      <c r="Q1357">
        <v>1</v>
      </c>
      <c r="R1357">
        <v>9</v>
      </c>
      <c r="S1357">
        <v>12</v>
      </c>
      <c r="T1357">
        <v>0</v>
      </c>
      <c r="U1357">
        <v>21</v>
      </c>
      <c r="V1357" t="s">
        <v>289</v>
      </c>
    </row>
    <row r="1358" spans="1:22">
      <c r="A1358" t="s">
        <v>41</v>
      </c>
      <c r="B1358" t="s">
        <v>287</v>
      </c>
      <c r="C1358" t="s">
        <v>295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">
        <v>289</v>
      </c>
    </row>
    <row r="1359" spans="1:22">
      <c r="A1359" t="s">
        <v>43</v>
      </c>
      <c r="B1359" t="s">
        <v>287</v>
      </c>
      <c r="C1359" t="s">
        <v>288</v>
      </c>
      <c r="D1359">
        <v>0.49</v>
      </c>
      <c r="E1359">
        <v>1</v>
      </c>
      <c r="F1359">
        <v>3.63</v>
      </c>
      <c r="G1359">
        <v>5.75</v>
      </c>
      <c r="H1359">
        <v>7.13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18</v>
      </c>
      <c r="V1359" t="s">
        <v>289</v>
      </c>
    </row>
    <row r="1360" spans="1:22">
      <c r="A1360" t="s">
        <v>43</v>
      </c>
      <c r="B1360" t="s">
        <v>287</v>
      </c>
      <c r="C1360" t="s">
        <v>290</v>
      </c>
      <c r="D1360">
        <v>0</v>
      </c>
      <c r="E1360">
        <v>2</v>
      </c>
      <c r="F1360">
        <v>4</v>
      </c>
      <c r="G1360">
        <v>6</v>
      </c>
      <c r="H1360">
        <v>6</v>
      </c>
      <c r="I1360">
        <v>1</v>
      </c>
      <c r="J1360">
        <v>4</v>
      </c>
      <c r="K1360">
        <v>1</v>
      </c>
      <c r="L1360">
        <v>2</v>
      </c>
      <c r="M1360">
        <v>10</v>
      </c>
      <c r="N1360">
        <v>4</v>
      </c>
      <c r="O1360">
        <v>6</v>
      </c>
      <c r="P1360">
        <v>7</v>
      </c>
      <c r="Q1360">
        <v>1</v>
      </c>
      <c r="R1360">
        <v>10</v>
      </c>
      <c r="S1360">
        <v>8</v>
      </c>
      <c r="T1360">
        <v>0</v>
      </c>
      <c r="U1360">
        <v>18</v>
      </c>
      <c r="V1360" t="s">
        <v>289</v>
      </c>
    </row>
    <row r="1361" spans="1:22">
      <c r="A1361" t="s">
        <v>43</v>
      </c>
      <c r="B1361" t="s">
        <v>287</v>
      </c>
      <c r="C1361" t="s">
        <v>291</v>
      </c>
      <c r="D1361">
        <v>0</v>
      </c>
      <c r="E1361">
        <v>0</v>
      </c>
      <c r="F1361">
        <v>2</v>
      </c>
      <c r="G1361">
        <v>0</v>
      </c>
      <c r="H1361">
        <v>2</v>
      </c>
      <c r="I1361">
        <v>0</v>
      </c>
      <c r="J1361">
        <v>0</v>
      </c>
      <c r="K1361">
        <v>0</v>
      </c>
      <c r="L1361">
        <v>0</v>
      </c>
      <c r="M1361">
        <v>4</v>
      </c>
      <c r="N1361">
        <v>0</v>
      </c>
      <c r="O1361">
        <v>2</v>
      </c>
      <c r="P1361">
        <v>1</v>
      </c>
      <c r="Q1361">
        <v>1</v>
      </c>
      <c r="R1361">
        <v>3</v>
      </c>
      <c r="S1361">
        <v>1</v>
      </c>
      <c r="T1361">
        <v>0</v>
      </c>
      <c r="U1361">
        <v>4</v>
      </c>
      <c r="V1361" t="s">
        <v>289</v>
      </c>
    </row>
    <row r="1362" spans="1:22">
      <c r="A1362" t="s">
        <v>43</v>
      </c>
      <c r="B1362" t="s">
        <v>287</v>
      </c>
      <c r="C1362" t="s">
        <v>292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">
        <v>289</v>
      </c>
    </row>
    <row r="1363" spans="1:22">
      <c r="A1363" t="s">
        <v>43</v>
      </c>
      <c r="B1363" t="s">
        <v>287</v>
      </c>
      <c r="C1363" t="s">
        <v>298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 t="s">
        <v>289</v>
      </c>
    </row>
    <row r="1364" spans="1:22">
      <c r="A1364" t="s">
        <v>43</v>
      </c>
      <c r="B1364" t="s">
        <v>287</v>
      </c>
      <c r="C1364" t="s">
        <v>293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289</v>
      </c>
    </row>
    <row r="1365" spans="1:22">
      <c r="A1365" t="s">
        <v>43</v>
      </c>
      <c r="B1365" t="s">
        <v>287</v>
      </c>
      <c r="C1365" t="s">
        <v>294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 t="s">
        <v>289</v>
      </c>
    </row>
    <row r="1366" spans="1:22">
      <c r="A1366" t="s">
        <v>43</v>
      </c>
      <c r="B1366" t="s">
        <v>287</v>
      </c>
      <c r="C1366" t="s">
        <v>17</v>
      </c>
      <c r="D1366">
        <v>0</v>
      </c>
      <c r="E1366">
        <v>2</v>
      </c>
      <c r="F1366">
        <v>6</v>
      </c>
      <c r="G1366">
        <v>6</v>
      </c>
      <c r="H1366">
        <v>8</v>
      </c>
      <c r="I1366">
        <v>1</v>
      </c>
      <c r="J1366">
        <v>4</v>
      </c>
      <c r="K1366">
        <v>1</v>
      </c>
      <c r="L1366">
        <v>2</v>
      </c>
      <c r="M1366">
        <v>14</v>
      </c>
      <c r="N1366">
        <v>4</v>
      </c>
      <c r="O1366">
        <v>8</v>
      </c>
      <c r="P1366">
        <v>8</v>
      </c>
      <c r="Q1366">
        <v>2</v>
      </c>
      <c r="R1366">
        <v>13</v>
      </c>
      <c r="S1366">
        <v>9</v>
      </c>
      <c r="T1366">
        <v>0</v>
      </c>
      <c r="U1366">
        <v>22</v>
      </c>
      <c r="V1366" t="s">
        <v>289</v>
      </c>
    </row>
    <row r="1367" spans="1:22">
      <c r="A1367" t="s">
        <v>43</v>
      </c>
      <c r="B1367" t="s">
        <v>287</v>
      </c>
      <c r="C1367" t="s">
        <v>295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">
        <v>289</v>
      </c>
    </row>
    <row r="1368" spans="1:22">
      <c r="A1368" t="s">
        <v>46</v>
      </c>
      <c r="B1368" t="s">
        <v>287</v>
      </c>
      <c r="C1368" t="s">
        <v>288</v>
      </c>
      <c r="D1368">
        <v>0.55000000000000004</v>
      </c>
      <c r="E1368">
        <v>1.04</v>
      </c>
      <c r="F1368">
        <v>3.62</v>
      </c>
      <c r="G1368">
        <v>5.76</v>
      </c>
      <c r="H1368">
        <v>7.03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18</v>
      </c>
      <c r="V1368" t="s">
        <v>289</v>
      </c>
    </row>
    <row r="1369" spans="1:22">
      <c r="A1369" t="s">
        <v>46</v>
      </c>
      <c r="B1369" t="s">
        <v>287</v>
      </c>
      <c r="C1369" t="s">
        <v>290</v>
      </c>
      <c r="D1369">
        <v>1</v>
      </c>
      <c r="E1369">
        <v>2</v>
      </c>
      <c r="F1369">
        <v>4</v>
      </c>
      <c r="G1369">
        <v>5</v>
      </c>
      <c r="H1369">
        <v>6</v>
      </c>
      <c r="I1369">
        <v>1</v>
      </c>
      <c r="J1369">
        <v>1</v>
      </c>
      <c r="K1369">
        <v>5</v>
      </c>
      <c r="L1369">
        <v>1</v>
      </c>
      <c r="M1369">
        <v>10</v>
      </c>
      <c r="N1369">
        <v>8</v>
      </c>
      <c r="O1369">
        <v>3</v>
      </c>
      <c r="P1369">
        <v>6</v>
      </c>
      <c r="Q1369">
        <v>1</v>
      </c>
      <c r="R1369">
        <v>12</v>
      </c>
      <c r="S1369">
        <v>6</v>
      </c>
      <c r="T1369">
        <v>0</v>
      </c>
      <c r="U1369">
        <v>18</v>
      </c>
      <c r="V1369" t="s">
        <v>289</v>
      </c>
    </row>
    <row r="1370" spans="1:22">
      <c r="A1370" t="s">
        <v>46</v>
      </c>
      <c r="B1370" t="s">
        <v>287</v>
      </c>
      <c r="C1370" t="s">
        <v>291</v>
      </c>
      <c r="D1370">
        <v>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1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1</v>
      </c>
      <c r="V1370" t="s">
        <v>289</v>
      </c>
    </row>
    <row r="1371" spans="1:22">
      <c r="A1371" t="s">
        <v>46</v>
      </c>
      <c r="B1371" t="s">
        <v>287</v>
      </c>
      <c r="C1371" t="s">
        <v>292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1</v>
      </c>
      <c r="V1371" t="s">
        <v>289</v>
      </c>
    </row>
    <row r="1372" spans="1:22">
      <c r="A1372" t="s">
        <v>46</v>
      </c>
      <c r="B1372" t="s">
        <v>287</v>
      </c>
      <c r="C1372" t="s">
        <v>298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">
        <v>289</v>
      </c>
    </row>
    <row r="1373" spans="1:22">
      <c r="A1373" t="s">
        <v>46</v>
      </c>
      <c r="B1373" t="s">
        <v>287</v>
      </c>
      <c r="C1373" t="s">
        <v>293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">
        <v>289</v>
      </c>
    </row>
    <row r="1374" spans="1:22">
      <c r="A1374" t="s">
        <v>46</v>
      </c>
      <c r="B1374" t="s">
        <v>287</v>
      </c>
      <c r="C1374" t="s">
        <v>294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 t="s">
        <v>289</v>
      </c>
    </row>
    <row r="1375" spans="1:22">
      <c r="A1375" t="s">
        <v>46</v>
      </c>
      <c r="B1375" t="s">
        <v>287</v>
      </c>
      <c r="C1375" t="s">
        <v>17</v>
      </c>
      <c r="D1375">
        <v>1</v>
      </c>
      <c r="E1375">
        <v>2</v>
      </c>
      <c r="F1375">
        <v>4</v>
      </c>
      <c r="G1375">
        <v>6</v>
      </c>
      <c r="H1375">
        <v>7</v>
      </c>
      <c r="I1375">
        <v>1</v>
      </c>
      <c r="J1375">
        <v>1</v>
      </c>
      <c r="K1375">
        <v>5</v>
      </c>
      <c r="L1375">
        <v>1</v>
      </c>
      <c r="M1375">
        <v>12</v>
      </c>
      <c r="N1375">
        <v>9</v>
      </c>
      <c r="O1375">
        <v>4</v>
      </c>
      <c r="P1375">
        <v>6</v>
      </c>
      <c r="Q1375">
        <v>1</v>
      </c>
      <c r="R1375">
        <v>13</v>
      </c>
      <c r="S1375">
        <v>7</v>
      </c>
      <c r="T1375">
        <v>0</v>
      </c>
      <c r="U1375">
        <v>20</v>
      </c>
      <c r="V1375" t="s">
        <v>289</v>
      </c>
    </row>
    <row r="1376" spans="1:22">
      <c r="A1376" t="s">
        <v>46</v>
      </c>
      <c r="B1376" t="s">
        <v>287</v>
      </c>
      <c r="C1376" t="s">
        <v>295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 t="s">
        <v>289</v>
      </c>
    </row>
    <row r="1377" spans="1:22">
      <c r="A1377" t="s">
        <v>48</v>
      </c>
      <c r="B1377" t="s">
        <v>287</v>
      </c>
      <c r="C1377" t="s">
        <v>288</v>
      </c>
      <c r="D1377">
        <v>0.61</v>
      </c>
      <c r="E1377">
        <v>1.04</v>
      </c>
      <c r="F1377">
        <v>3.56</v>
      </c>
      <c r="G1377">
        <v>5.75</v>
      </c>
      <c r="H1377">
        <v>7.04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18</v>
      </c>
      <c r="V1377" t="s">
        <v>289</v>
      </c>
    </row>
    <row r="1378" spans="1:22">
      <c r="A1378" t="s">
        <v>48</v>
      </c>
      <c r="B1378" t="s">
        <v>287</v>
      </c>
      <c r="C1378" t="s">
        <v>290</v>
      </c>
      <c r="D1378">
        <v>1</v>
      </c>
      <c r="E1378">
        <v>1</v>
      </c>
      <c r="F1378">
        <v>4</v>
      </c>
      <c r="G1378">
        <v>6</v>
      </c>
      <c r="H1378">
        <v>6</v>
      </c>
      <c r="I1378">
        <v>1</v>
      </c>
      <c r="J1378">
        <v>3</v>
      </c>
      <c r="K1378">
        <v>5</v>
      </c>
      <c r="L1378">
        <v>2</v>
      </c>
      <c r="M1378">
        <v>7</v>
      </c>
      <c r="N1378">
        <v>5</v>
      </c>
      <c r="O1378">
        <v>4</v>
      </c>
      <c r="P1378">
        <v>4</v>
      </c>
      <c r="Q1378">
        <v>5</v>
      </c>
      <c r="R1378">
        <v>7</v>
      </c>
      <c r="S1378">
        <v>11</v>
      </c>
      <c r="T1378">
        <v>0</v>
      </c>
      <c r="U1378">
        <v>18</v>
      </c>
      <c r="V1378" t="s">
        <v>289</v>
      </c>
    </row>
    <row r="1379" spans="1:22">
      <c r="A1379" t="s">
        <v>48</v>
      </c>
      <c r="B1379" t="s">
        <v>287</v>
      </c>
      <c r="C1379" t="s">
        <v>291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 t="s">
        <v>289</v>
      </c>
    </row>
    <row r="1380" spans="1:22">
      <c r="A1380" t="s">
        <v>48</v>
      </c>
      <c r="B1380" t="s">
        <v>287</v>
      </c>
      <c r="C1380" t="s">
        <v>292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">
        <v>289</v>
      </c>
    </row>
    <row r="1381" spans="1:22">
      <c r="A1381" t="s">
        <v>48</v>
      </c>
      <c r="B1381" t="s">
        <v>287</v>
      </c>
      <c r="C1381" t="s">
        <v>298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">
        <v>289</v>
      </c>
    </row>
    <row r="1382" spans="1:22">
      <c r="A1382" t="s">
        <v>48</v>
      </c>
      <c r="B1382" t="s">
        <v>287</v>
      </c>
      <c r="C1382" t="s">
        <v>293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">
        <v>289</v>
      </c>
    </row>
    <row r="1383" spans="1:22">
      <c r="A1383" t="s">
        <v>48</v>
      </c>
      <c r="B1383" t="s">
        <v>287</v>
      </c>
      <c r="C1383" t="s">
        <v>294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">
        <v>289</v>
      </c>
    </row>
    <row r="1384" spans="1:22">
      <c r="A1384" t="s">
        <v>48</v>
      </c>
      <c r="B1384" t="s">
        <v>287</v>
      </c>
      <c r="C1384" t="s">
        <v>17</v>
      </c>
      <c r="D1384">
        <v>1</v>
      </c>
      <c r="E1384">
        <v>1</v>
      </c>
      <c r="F1384">
        <v>4</v>
      </c>
      <c r="G1384">
        <v>6</v>
      </c>
      <c r="H1384">
        <v>7</v>
      </c>
      <c r="I1384">
        <v>1</v>
      </c>
      <c r="J1384">
        <v>3</v>
      </c>
      <c r="K1384">
        <v>5</v>
      </c>
      <c r="L1384">
        <v>2</v>
      </c>
      <c r="M1384">
        <v>8</v>
      </c>
      <c r="N1384">
        <v>6</v>
      </c>
      <c r="O1384">
        <v>4</v>
      </c>
      <c r="P1384">
        <v>4</v>
      </c>
      <c r="Q1384">
        <v>5</v>
      </c>
      <c r="R1384">
        <v>7</v>
      </c>
      <c r="S1384">
        <v>12</v>
      </c>
      <c r="T1384">
        <v>0</v>
      </c>
      <c r="U1384">
        <v>19</v>
      </c>
      <c r="V1384" t="s">
        <v>289</v>
      </c>
    </row>
    <row r="1385" spans="1:22">
      <c r="A1385" t="s">
        <v>48</v>
      </c>
      <c r="B1385" t="s">
        <v>287</v>
      </c>
      <c r="C1385" t="s">
        <v>295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">
        <v>289</v>
      </c>
    </row>
    <row r="1386" spans="1:22">
      <c r="A1386" t="s">
        <v>49</v>
      </c>
      <c r="B1386" t="s">
        <v>287</v>
      </c>
      <c r="C1386" t="s">
        <v>288</v>
      </c>
      <c r="D1386">
        <v>0.66</v>
      </c>
      <c r="E1386">
        <v>1.06</v>
      </c>
      <c r="F1386">
        <v>3.59</v>
      </c>
      <c r="G1386">
        <v>5.82</v>
      </c>
      <c r="H1386">
        <v>6.88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18</v>
      </c>
      <c r="V1386" t="s">
        <v>289</v>
      </c>
    </row>
    <row r="1387" spans="1:22">
      <c r="A1387" t="s">
        <v>49</v>
      </c>
      <c r="B1387" t="s">
        <v>287</v>
      </c>
      <c r="C1387" t="s">
        <v>290</v>
      </c>
      <c r="D1387">
        <v>1</v>
      </c>
      <c r="E1387">
        <v>1</v>
      </c>
      <c r="F1387">
        <v>4</v>
      </c>
      <c r="G1387">
        <v>6</v>
      </c>
      <c r="H1387">
        <v>6</v>
      </c>
      <c r="I1387">
        <v>0</v>
      </c>
      <c r="J1387">
        <v>2</v>
      </c>
      <c r="K1387">
        <v>5</v>
      </c>
      <c r="L1387">
        <v>1</v>
      </c>
      <c r="M1387">
        <v>10</v>
      </c>
      <c r="N1387">
        <v>5</v>
      </c>
      <c r="O1387">
        <v>4</v>
      </c>
      <c r="P1387">
        <v>4</v>
      </c>
      <c r="Q1387">
        <v>5</v>
      </c>
      <c r="R1387">
        <v>7</v>
      </c>
      <c r="S1387">
        <v>11</v>
      </c>
      <c r="T1387">
        <v>0</v>
      </c>
      <c r="U1387">
        <v>18</v>
      </c>
      <c r="V1387" t="s">
        <v>289</v>
      </c>
    </row>
    <row r="1388" spans="1:22">
      <c r="A1388" t="s">
        <v>49</v>
      </c>
      <c r="B1388" t="s">
        <v>287</v>
      </c>
      <c r="C1388" t="s">
        <v>291</v>
      </c>
      <c r="D1388">
        <v>0</v>
      </c>
      <c r="E1388">
        <v>0</v>
      </c>
      <c r="F1388">
        <v>0</v>
      </c>
      <c r="G1388">
        <v>2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0</v>
      </c>
      <c r="O1388">
        <v>1</v>
      </c>
      <c r="P1388">
        <v>1</v>
      </c>
      <c r="Q1388">
        <v>0</v>
      </c>
      <c r="R1388">
        <v>1</v>
      </c>
      <c r="S1388">
        <v>1</v>
      </c>
      <c r="T1388">
        <v>0</v>
      </c>
      <c r="U1388">
        <v>2</v>
      </c>
      <c r="V1388" t="s">
        <v>289</v>
      </c>
    </row>
    <row r="1389" spans="1:22">
      <c r="A1389" t="s">
        <v>49</v>
      </c>
      <c r="B1389" t="s">
        <v>287</v>
      </c>
      <c r="C1389" t="s">
        <v>292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">
        <v>289</v>
      </c>
    </row>
    <row r="1390" spans="1:22">
      <c r="A1390" t="s">
        <v>49</v>
      </c>
      <c r="B1390" t="s">
        <v>287</v>
      </c>
      <c r="C1390" t="s">
        <v>298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">
        <v>289</v>
      </c>
    </row>
    <row r="1391" spans="1:22">
      <c r="A1391" t="s">
        <v>49</v>
      </c>
      <c r="B1391" t="s">
        <v>287</v>
      </c>
      <c r="C1391" t="s">
        <v>293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 t="s">
        <v>289</v>
      </c>
    </row>
    <row r="1392" spans="1:22">
      <c r="A1392" t="s">
        <v>49</v>
      </c>
      <c r="B1392" t="s">
        <v>287</v>
      </c>
      <c r="C1392" t="s">
        <v>294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289</v>
      </c>
    </row>
    <row r="1393" spans="1:22">
      <c r="A1393" t="s">
        <v>49</v>
      </c>
      <c r="B1393" t="s">
        <v>287</v>
      </c>
      <c r="C1393" t="s">
        <v>17</v>
      </c>
      <c r="D1393">
        <v>1</v>
      </c>
      <c r="E1393">
        <v>1</v>
      </c>
      <c r="F1393">
        <v>4</v>
      </c>
      <c r="G1393">
        <v>8</v>
      </c>
      <c r="H1393">
        <v>6</v>
      </c>
      <c r="I1393">
        <v>0</v>
      </c>
      <c r="J1393">
        <v>3</v>
      </c>
      <c r="K1393">
        <v>5</v>
      </c>
      <c r="L1393">
        <v>1</v>
      </c>
      <c r="M1393">
        <v>11</v>
      </c>
      <c r="N1393">
        <v>5</v>
      </c>
      <c r="O1393">
        <v>5</v>
      </c>
      <c r="P1393">
        <v>5</v>
      </c>
      <c r="Q1393">
        <v>5</v>
      </c>
      <c r="R1393">
        <v>8</v>
      </c>
      <c r="S1393">
        <v>12</v>
      </c>
      <c r="T1393">
        <v>0</v>
      </c>
      <c r="U1393">
        <v>20</v>
      </c>
      <c r="V1393" t="s">
        <v>289</v>
      </c>
    </row>
    <row r="1394" spans="1:22">
      <c r="A1394" t="s">
        <v>49</v>
      </c>
      <c r="B1394" t="s">
        <v>287</v>
      </c>
      <c r="C1394" t="s">
        <v>295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">
        <v>289</v>
      </c>
    </row>
    <row r="1395" spans="1:22">
      <c r="A1395" t="s">
        <v>51</v>
      </c>
      <c r="B1395" t="s">
        <v>287</v>
      </c>
      <c r="C1395" t="s">
        <v>288</v>
      </c>
      <c r="D1395">
        <v>0.69</v>
      </c>
      <c r="E1395">
        <v>1.1299999999999999</v>
      </c>
      <c r="F1395">
        <v>3.61</v>
      </c>
      <c r="G1395">
        <v>5.69</v>
      </c>
      <c r="H1395">
        <v>6.89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18</v>
      </c>
      <c r="V1395" t="s">
        <v>289</v>
      </c>
    </row>
    <row r="1396" spans="1:22">
      <c r="A1396" t="s">
        <v>51</v>
      </c>
      <c r="B1396" t="s">
        <v>287</v>
      </c>
      <c r="C1396" t="s">
        <v>290</v>
      </c>
      <c r="D1396">
        <v>1</v>
      </c>
      <c r="E1396">
        <v>1</v>
      </c>
      <c r="F1396">
        <v>4</v>
      </c>
      <c r="G1396">
        <v>6</v>
      </c>
      <c r="H1396">
        <v>6</v>
      </c>
      <c r="I1396">
        <v>2</v>
      </c>
      <c r="J1396">
        <v>2</v>
      </c>
      <c r="K1396">
        <v>5</v>
      </c>
      <c r="L1396">
        <v>0</v>
      </c>
      <c r="M1396">
        <v>9</v>
      </c>
      <c r="N1396">
        <v>4</v>
      </c>
      <c r="O1396">
        <v>4</v>
      </c>
      <c r="P1396">
        <v>7</v>
      </c>
      <c r="Q1396">
        <v>3</v>
      </c>
      <c r="R1396">
        <v>9</v>
      </c>
      <c r="S1396">
        <v>9</v>
      </c>
      <c r="T1396">
        <v>0</v>
      </c>
      <c r="U1396">
        <v>18</v>
      </c>
      <c r="V1396" t="s">
        <v>289</v>
      </c>
    </row>
    <row r="1397" spans="1:22">
      <c r="A1397" t="s">
        <v>51</v>
      </c>
      <c r="B1397" t="s">
        <v>287</v>
      </c>
      <c r="C1397" t="s">
        <v>291</v>
      </c>
      <c r="D1397">
        <v>0</v>
      </c>
      <c r="E1397">
        <v>0</v>
      </c>
      <c r="F1397">
        <v>0</v>
      </c>
      <c r="G1397">
        <v>1</v>
      </c>
      <c r="H1397">
        <v>1</v>
      </c>
      <c r="I1397">
        <v>0</v>
      </c>
      <c r="J1397">
        <v>0</v>
      </c>
      <c r="K1397">
        <v>0</v>
      </c>
      <c r="L1397">
        <v>0</v>
      </c>
      <c r="M1397">
        <v>2</v>
      </c>
      <c r="N1397">
        <v>1</v>
      </c>
      <c r="O1397">
        <v>1</v>
      </c>
      <c r="P1397">
        <v>0</v>
      </c>
      <c r="Q1397">
        <v>0</v>
      </c>
      <c r="R1397">
        <v>2</v>
      </c>
      <c r="S1397">
        <v>0</v>
      </c>
      <c r="T1397">
        <v>0</v>
      </c>
      <c r="U1397">
        <v>2</v>
      </c>
      <c r="V1397" t="s">
        <v>289</v>
      </c>
    </row>
    <row r="1398" spans="1:22">
      <c r="A1398" t="s">
        <v>51</v>
      </c>
      <c r="B1398" t="s">
        <v>287</v>
      </c>
      <c r="C1398" t="s">
        <v>292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">
        <v>289</v>
      </c>
    </row>
    <row r="1399" spans="1:22">
      <c r="A1399" t="s">
        <v>51</v>
      </c>
      <c r="B1399" t="s">
        <v>287</v>
      </c>
      <c r="C1399" t="s">
        <v>298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t="s">
        <v>289</v>
      </c>
    </row>
    <row r="1400" spans="1:22">
      <c r="A1400" t="s">
        <v>51</v>
      </c>
      <c r="B1400" t="s">
        <v>287</v>
      </c>
      <c r="C1400" t="s">
        <v>293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">
        <v>289</v>
      </c>
    </row>
    <row r="1401" spans="1:22">
      <c r="A1401" t="s">
        <v>51</v>
      </c>
      <c r="B1401" t="s">
        <v>287</v>
      </c>
      <c r="C1401" t="s">
        <v>294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">
        <v>289</v>
      </c>
    </row>
    <row r="1402" spans="1:22">
      <c r="A1402" t="s">
        <v>51</v>
      </c>
      <c r="B1402" t="s">
        <v>287</v>
      </c>
      <c r="C1402" t="s">
        <v>17</v>
      </c>
      <c r="D1402">
        <v>1</v>
      </c>
      <c r="E1402">
        <v>1</v>
      </c>
      <c r="F1402">
        <v>4</v>
      </c>
      <c r="G1402">
        <v>7</v>
      </c>
      <c r="H1402">
        <v>7</v>
      </c>
      <c r="I1402">
        <v>2</v>
      </c>
      <c r="J1402">
        <v>2</v>
      </c>
      <c r="K1402">
        <v>5</v>
      </c>
      <c r="L1402">
        <v>0</v>
      </c>
      <c r="M1402">
        <v>11</v>
      </c>
      <c r="N1402">
        <v>5</v>
      </c>
      <c r="O1402">
        <v>5</v>
      </c>
      <c r="P1402">
        <v>7</v>
      </c>
      <c r="Q1402">
        <v>3</v>
      </c>
      <c r="R1402">
        <v>11</v>
      </c>
      <c r="S1402">
        <v>9</v>
      </c>
      <c r="T1402">
        <v>0</v>
      </c>
      <c r="U1402">
        <v>20</v>
      </c>
      <c r="V1402" t="s">
        <v>289</v>
      </c>
    </row>
    <row r="1403" spans="1:22">
      <c r="A1403" t="s">
        <v>51</v>
      </c>
      <c r="B1403" t="s">
        <v>287</v>
      </c>
      <c r="C1403" t="s">
        <v>295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t="s">
        <v>289</v>
      </c>
    </row>
    <row r="1404" spans="1:22">
      <c r="A1404" t="s">
        <v>52</v>
      </c>
      <c r="B1404" t="s">
        <v>287</v>
      </c>
      <c r="C1404" t="s">
        <v>288</v>
      </c>
      <c r="D1404">
        <v>0.73</v>
      </c>
      <c r="E1404">
        <v>1.22</v>
      </c>
      <c r="F1404">
        <v>3.62</v>
      </c>
      <c r="G1404">
        <v>5.68</v>
      </c>
      <c r="H1404">
        <v>6.75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18</v>
      </c>
      <c r="V1404" t="s">
        <v>289</v>
      </c>
    </row>
    <row r="1405" spans="1:22">
      <c r="A1405" t="s">
        <v>52</v>
      </c>
      <c r="B1405" t="s">
        <v>287</v>
      </c>
      <c r="C1405" t="s">
        <v>290</v>
      </c>
      <c r="D1405">
        <v>1</v>
      </c>
      <c r="E1405">
        <v>1</v>
      </c>
      <c r="F1405">
        <v>4</v>
      </c>
      <c r="G1405">
        <v>6</v>
      </c>
      <c r="H1405">
        <v>6</v>
      </c>
      <c r="I1405">
        <v>3</v>
      </c>
      <c r="J1405">
        <v>2</v>
      </c>
      <c r="K1405">
        <v>4</v>
      </c>
      <c r="L1405">
        <v>1</v>
      </c>
      <c r="M1405">
        <v>8</v>
      </c>
      <c r="N1405">
        <v>5</v>
      </c>
      <c r="O1405">
        <v>3</v>
      </c>
      <c r="P1405">
        <v>4</v>
      </c>
      <c r="Q1405">
        <v>6</v>
      </c>
      <c r="R1405">
        <v>11</v>
      </c>
      <c r="S1405">
        <v>7</v>
      </c>
      <c r="T1405">
        <v>0</v>
      </c>
      <c r="U1405">
        <v>18</v>
      </c>
      <c r="V1405" t="s">
        <v>289</v>
      </c>
    </row>
    <row r="1406" spans="1:22">
      <c r="A1406" t="s">
        <v>52</v>
      </c>
      <c r="B1406" t="s">
        <v>287</v>
      </c>
      <c r="C1406" t="s">
        <v>291</v>
      </c>
      <c r="D1406">
        <v>1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1</v>
      </c>
      <c r="N1406">
        <v>1</v>
      </c>
      <c r="O1406">
        <v>0</v>
      </c>
      <c r="P1406">
        <v>1</v>
      </c>
      <c r="Q1406">
        <v>0</v>
      </c>
      <c r="R1406">
        <v>2</v>
      </c>
      <c r="S1406">
        <v>0</v>
      </c>
      <c r="T1406">
        <v>0</v>
      </c>
      <c r="U1406">
        <v>2</v>
      </c>
      <c r="V1406" t="s">
        <v>289</v>
      </c>
    </row>
    <row r="1407" spans="1:22">
      <c r="A1407" t="s">
        <v>52</v>
      </c>
      <c r="B1407" t="s">
        <v>287</v>
      </c>
      <c r="C1407" t="s">
        <v>292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289</v>
      </c>
    </row>
    <row r="1408" spans="1:22">
      <c r="A1408" t="s">
        <v>52</v>
      </c>
      <c r="B1408" t="s">
        <v>287</v>
      </c>
      <c r="C1408" t="s">
        <v>298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t="s">
        <v>289</v>
      </c>
    </row>
    <row r="1409" spans="1:22">
      <c r="A1409" t="s">
        <v>52</v>
      </c>
      <c r="B1409" t="s">
        <v>287</v>
      </c>
      <c r="C1409" t="s">
        <v>293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t="s">
        <v>289</v>
      </c>
    </row>
    <row r="1410" spans="1:22">
      <c r="A1410" t="s">
        <v>52</v>
      </c>
      <c r="B1410" t="s">
        <v>287</v>
      </c>
      <c r="C1410" t="s">
        <v>294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">
        <v>289</v>
      </c>
    </row>
    <row r="1411" spans="1:22">
      <c r="A1411" t="s">
        <v>52</v>
      </c>
      <c r="B1411" t="s">
        <v>287</v>
      </c>
      <c r="C1411" t="s">
        <v>17</v>
      </c>
      <c r="D1411">
        <v>2</v>
      </c>
      <c r="E1411">
        <v>1</v>
      </c>
      <c r="F1411">
        <v>4</v>
      </c>
      <c r="G1411">
        <v>6</v>
      </c>
      <c r="H1411">
        <v>7</v>
      </c>
      <c r="I1411">
        <v>3</v>
      </c>
      <c r="J1411">
        <v>2</v>
      </c>
      <c r="K1411">
        <v>5</v>
      </c>
      <c r="L1411">
        <v>1</v>
      </c>
      <c r="M1411">
        <v>9</v>
      </c>
      <c r="N1411">
        <v>6</v>
      </c>
      <c r="O1411">
        <v>3</v>
      </c>
      <c r="P1411">
        <v>5</v>
      </c>
      <c r="Q1411">
        <v>6</v>
      </c>
      <c r="R1411">
        <v>13</v>
      </c>
      <c r="S1411">
        <v>7</v>
      </c>
      <c r="T1411">
        <v>0</v>
      </c>
      <c r="U1411">
        <v>20</v>
      </c>
      <c r="V1411" t="s">
        <v>289</v>
      </c>
    </row>
    <row r="1412" spans="1:22">
      <c r="A1412" t="s">
        <v>52</v>
      </c>
      <c r="B1412" t="s">
        <v>287</v>
      </c>
      <c r="C1412" t="s">
        <v>295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t="s">
        <v>289</v>
      </c>
    </row>
    <row r="1413" spans="1:22">
      <c r="A1413" t="s">
        <v>53</v>
      </c>
      <c r="B1413" t="s">
        <v>287</v>
      </c>
      <c r="C1413" t="s">
        <v>288</v>
      </c>
      <c r="D1413">
        <v>0.71</v>
      </c>
      <c r="E1413">
        <v>1.21</v>
      </c>
      <c r="F1413">
        <v>3.58</v>
      </c>
      <c r="G1413">
        <v>5.64</v>
      </c>
      <c r="H1413">
        <v>6.85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18</v>
      </c>
      <c r="V1413" t="s">
        <v>289</v>
      </c>
    </row>
    <row r="1414" spans="1:22">
      <c r="A1414" t="s">
        <v>53</v>
      </c>
      <c r="B1414" t="s">
        <v>287</v>
      </c>
      <c r="C1414" t="s">
        <v>290</v>
      </c>
      <c r="D1414">
        <v>1</v>
      </c>
      <c r="E1414">
        <v>1</v>
      </c>
      <c r="F1414">
        <v>4</v>
      </c>
      <c r="G1414">
        <v>6</v>
      </c>
      <c r="H1414">
        <v>6</v>
      </c>
      <c r="I1414">
        <v>1</v>
      </c>
      <c r="J1414">
        <v>3</v>
      </c>
      <c r="K1414">
        <v>3</v>
      </c>
      <c r="L1414">
        <v>2</v>
      </c>
      <c r="M1414">
        <v>9</v>
      </c>
      <c r="N1414">
        <v>7</v>
      </c>
      <c r="O1414">
        <v>3</v>
      </c>
      <c r="P1414">
        <v>7</v>
      </c>
      <c r="Q1414">
        <v>1</v>
      </c>
      <c r="R1414">
        <v>11</v>
      </c>
      <c r="S1414">
        <v>7</v>
      </c>
      <c r="T1414">
        <v>0</v>
      </c>
      <c r="U1414">
        <v>18</v>
      </c>
      <c r="V1414" t="s">
        <v>289</v>
      </c>
    </row>
    <row r="1415" spans="1:22">
      <c r="A1415" t="s">
        <v>53</v>
      </c>
      <c r="B1415" t="s">
        <v>287</v>
      </c>
      <c r="C1415" t="s">
        <v>291</v>
      </c>
      <c r="D1415">
        <v>0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1</v>
      </c>
      <c r="N1415">
        <v>0</v>
      </c>
      <c r="O1415">
        <v>0</v>
      </c>
      <c r="P1415">
        <v>2</v>
      </c>
      <c r="Q1415">
        <v>0</v>
      </c>
      <c r="R1415">
        <v>2</v>
      </c>
      <c r="S1415">
        <v>0</v>
      </c>
      <c r="T1415">
        <v>0</v>
      </c>
      <c r="U1415">
        <v>2</v>
      </c>
      <c r="V1415" t="s">
        <v>289</v>
      </c>
    </row>
    <row r="1416" spans="1:22">
      <c r="A1416" t="s">
        <v>53</v>
      </c>
      <c r="B1416" t="s">
        <v>287</v>
      </c>
      <c r="C1416" t="s">
        <v>292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t="s">
        <v>289</v>
      </c>
    </row>
    <row r="1417" spans="1:22">
      <c r="A1417" t="s">
        <v>53</v>
      </c>
      <c r="B1417" t="s">
        <v>287</v>
      </c>
      <c r="C1417" t="s">
        <v>298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t="s">
        <v>289</v>
      </c>
    </row>
    <row r="1418" spans="1:22">
      <c r="A1418" t="s">
        <v>53</v>
      </c>
      <c r="B1418" t="s">
        <v>287</v>
      </c>
      <c r="C1418" t="s">
        <v>293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289</v>
      </c>
    </row>
    <row r="1419" spans="1:22">
      <c r="A1419" t="s">
        <v>53</v>
      </c>
      <c r="B1419" t="s">
        <v>287</v>
      </c>
      <c r="C1419" t="s">
        <v>294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">
        <v>289</v>
      </c>
    </row>
    <row r="1420" spans="1:22">
      <c r="A1420" t="s">
        <v>53</v>
      </c>
      <c r="B1420" t="s">
        <v>287</v>
      </c>
      <c r="C1420" t="s">
        <v>17</v>
      </c>
      <c r="D1420">
        <v>1</v>
      </c>
      <c r="E1420">
        <v>2</v>
      </c>
      <c r="F1420">
        <v>4</v>
      </c>
      <c r="G1420">
        <v>6</v>
      </c>
      <c r="H1420">
        <v>7</v>
      </c>
      <c r="I1420">
        <v>1</v>
      </c>
      <c r="J1420">
        <v>3</v>
      </c>
      <c r="K1420">
        <v>4</v>
      </c>
      <c r="L1420">
        <v>2</v>
      </c>
      <c r="M1420">
        <v>10</v>
      </c>
      <c r="N1420">
        <v>7</v>
      </c>
      <c r="O1420">
        <v>3</v>
      </c>
      <c r="P1420">
        <v>9</v>
      </c>
      <c r="Q1420">
        <v>1</v>
      </c>
      <c r="R1420">
        <v>13</v>
      </c>
      <c r="S1420">
        <v>7</v>
      </c>
      <c r="T1420">
        <v>0</v>
      </c>
      <c r="U1420">
        <v>20</v>
      </c>
      <c r="V1420" t="s">
        <v>289</v>
      </c>
    </row>
    <row r="1421" spans="1:22">
      <c r="A1421" t="s">
        <v>53</v>
      </c>
      <c r="B1421" t="s">
        <v>287</v>
      </c>
      <c r="C1421" t="s">
        <v>295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t="s">
        <v>289</v>
      </c>
    </row>
    <row r="1422" spans="1:22">
      <c r="A1422" t="s">
        <v>54</v>
      </c>
      <c r="B1422" t="s">
        <v>287</v>
      </c>
      <c r="C1422" t="s">
        <v>288</v>
      </c>
      <c r="D1422">
        <v>0.72</v>
      </c>
      <c r="E1422">
        <v>1.1499999999999999</v>
      </c>
      <c r="F1422">
        <v>3.64</v>
      </c>
      <c r="G1422">
        <v>5.68</v>
      </c>
      <c r="H1422">
        <v>6.8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18</v>
      </c>
      <c r="V1422" t="s">
        <v>289</v>
      </c>
    </row>
    <row r="1423" spans="1:22">
      <c r="A1423" t="s">
        <v>54</v>
      </c>
      <c r="B1423" t="s">
        <v>287</v>
      </c>
      <c r="C1423" t="s">
        <v>290</v>
      </c>
      <c r="D1423">
        <v>1</v>
      </c>
      <c r="E1423">
        <v>1</v>
      </c>
      <c r="F1423">
        <v>2</v>
      </c>
      <c r="G1423">
        <v>6</v>
      </c>
      <c r="H1423">
        <v>6</v>
      </c>
      <c r="I1423">
        <v>3</v>
      </c>
      <c r="J1423">
        <v>2</v>
      </c>
      <c r="K1423">
        <v>3</v>
      </c>
      <c r="L1423">
        <v>3</v>
      </c>
      <c r="M1423">
        <v>5</v>
      </c>
      <c r="N1423">
        <v>3</v>
      </c>
      <c r="O1423">
        <v>4</v>
      </c>
      <c r="P1423">
        <v>4</v>
      </c>
      <c r="Q1423">
        <v>5</v>
      </c>
      <c r="R1423">
        <v>7</v>
      </c>
      <c r="S1423">
        <v>9</v>
      </c>
      <c r="T1423">
        <v>0</v>
      </c>
      <c r="U1423">
        <v>16</v>
      </c>
      <c r="V1423" t="s">
        <v>289</v>
      </c>
    </row>
    <row r="1424" spans="1:22">
      <c r="A1424" t="s">
        <v>54</v>
      </c>
      <c r="B1424" t="s">
        <v>287</v>
      </c>
      <c r="C1424" t="s">
        <v>291</v>
      </c>
      <c r="D1424">
        <v>0</v>
      </c>
      <c r="E1424">
        <v>0</v>
      </c>
      <c r="F1424">
        <v>0</v>
      </c>
      <c r="G1424">
        <v>1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2</v>
      </c>
      <c r="N1424">
        <v>0</v>
      </c>
      <c r="O1424">
        <v>0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2</v>
      </c>
      <c r="V1424" t="s">
        <v>289</v>
      </c>
    </row>
    <row r="1425" spans="1:22">
      <c r="A1425" t="s">
        <v>54</v>
      </c>
      <c r="B1425" t="s">
        <v>287</v>
      </c>
      <c r="C1425" t="s">
        <v>292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t="s">
        <v>289</v>
      </c>
    </row>
    <row r="1426" spans="1:22">
      <c r="A1426" t="s">
        <v>54</v>
      </c>
      <c r="B1426" t="s">
        <v>287</v>
      </c>
      <c r="C1426" t="s">
        <v>298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t="s">
        <v>289</v>
      </c>
    </row>
    <row r="1427" spans="1:22">
      <c r="A1427" t="s">
        <v>54</v>
      </c>
      <c r="B1427" t="s">
        <v>287</v>
      </c>
      <c r="C1427" t="s">
        <v>293</v>
      </c>
      <c r="D1427">
        <v>0</v>
      </c>
      <c r="E1427">
        <v>0</v>
      </c>
      <c r="F1427">
        <v>2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0</v>
      </c>
      <c r="U1427">
        <v>2</v>
      </c>
      <c r="V1427" t="s">
        <v>289</v>
      </c>
    </row>
    <row r="1428" spans="1:22">
      <c r="A1428" t="s">
        <v>54</v>
      </c>
      <c r="B1428" t="s">
        <v>287</v>
      </c>
      <c r="C1428" t="s">
        <v>294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">
        <v>289</v>
      </c>
    </row>
    <row r="1429" spans="1:22">
      <c r="A1429" t="s">
        <v>54</v>
      </c>
      <c r="B1429" t="s">
        <v>287</v>
      </c>
      <c r="C1429" t="s">
        <v>17</v>
      </c>
      <c r="D1429">
        <v>1</v>
      </c>
      <c r="E1429">
        <v>1</v>
      </c>
      <c r="F1429">
        <v>4</v>
      </c>
      <c r="G1429">
        <v>7</v>
      </c>
      <c r="H1429">
        <v>7</v>
      </c>
      <c r="I1429">
        <v>3</v>
      </c>
      <c r="J1429">
        <v>3</v>
      </c>
      <c r="K1429">
        <v>4</v>
      </c>
      <c r="L1429">
        <v>3</v>
      </c>
      <c r="M1429">
        <v>7</v>
      </c>
      <c r="N1429">
        <v>4</v>
      </c>
      <c r="O1429">
        <v>4</v>
      </c>
      <c r="P1429">
        <v>6</v>
      </c>
      <c r="Q1429">
        <v>6</v>
      </c>
      <c r="R1429">
        <v>9</v>
      </c>
      <c r="S1429">
        <v>11</v>
      </c>
      <c r="T1429">
        <v>0</v>
      </c>
      <c r="U1429">
        <v>20</v>
      </c>
      <c r="V1429" t="s">
        <v>289</v>
      </c>
    </row>
    <row r="1430" spans="1:22">
      <c r="A1430" t="s">
        <v>54</v>
      </c>
      <c r="B1430" t="s">
        <v>287</v>
      </c>
      <c r="C1430" t="s">
        <v>295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 t="s">
        <v>289</v>
      </c>
    </row>
    <row r="1431" spans="1:22">
      <c r="A1431" t="s">
        <v>150</v>
      </c>
      <c r="B1431" t="s">
        <v>287</v>
      </c>
      <c r="C1431" t="s">
        <v>288</v>
      </c>
      <c r="D1431">
        <v>6.67</v>
      </c>
      <c r="E1431">
        <v>11.77</v>
      </c>
      <c r="F1431">
        <v>39.909999999999997</v>
      </c>
      <c r="G1431">
        <v>63.87</v>
      </c>
      <c r="H1431">
        <v>77.8</v>
      </c>
      <c r="I1431">
        <v>11</v>
      </c>
      <c r="J1431">
        <v>11</v>
      </c>
      <c r="K1431">
        <v>11</v>
      </c>
      <c r="L1431">
        <v>11</v>
      </c>
      <c r="M1431">
        <v>11</v>
      </c>
      <c r="N1431">
        <v>11</v>
      </c>
      <c r="O1431">
        <v>11</v>
      </c>
      <c r="P1431">
        <v>11</v>
      </c>
      <c r="Q1431">
        <v>11</v>
      </c>
      <c r="R1431">
        <v>11</v>
      </c>
      <c r="S1431">
        <v>11</v>
      </c>
      <c r="T1431">
        <v>0</v>
      </c>
      <c r="U1431">
        <v>200</v>
      </c>
      <c r="V1431" t="s">
        <v>289</v>
      </c>
    </row>
    <row r="1432" spans="1:22">
      <c r="A1432" t="s">
        <v>150</v>
      </c>
      <c r="B1432" t="s">
        <v>287</v>
      </c>
      <c r="C1432" t="s">
        <v>290</v>
      </c>
      <c r="D1432">
        <v>10</v>
      </c>
      <c r="E1432">
        <v>13</v>
      </c>
      <c r="F1432">
        <v>41</v>
      </c>
      <c r="G1432">
        <v>63</v>
      </c>
      <c r="H1432">
        <v>70</v>
      </c>
      <c r="I1432">
        <v>14</v>
      </c>
      <c r="J1432">
        <v>29</v>
      </c>
      <c r="K1432">
        <v>45</v>
      </c>
      <c r="L1432">
        <v>19</v>
      </c>
      <c r="M1432">
        <v>90</v>
      </c>
      <c r="N1432">
        <v>64</v>
      </c>
      <c r="O1432">
        <v>40</v>
      </c>
      <c r="P1432">
        <v>60</v>
      </c>
      <c r="Q1432">
        <v>33</v>
      </c>
      <c r="R1432">
        <v>103</v>
      </c>
      <c r="S1432">
        <v>94</v>
      </c>
      <c r="T1432">
        <v>0</v>
      </c>
      <c r="U1432">
        <v>197</v>
      </c>
      <c r="V1432" t="s">
        <v>289</v>
      </c>
    </row>
    <row r="1433" spans="1:22">
      <c r="A1433" t="s">
        <v>150</v>
      </c>
      <c r="B1433" t="s">
        <v>287</v>
      </c>
      <c r="C1433" t="s">
        <v>291</v>
      </c>
      <c r="D1433">
        <v>1</v>
      </c>
      <c r="E1433">
        <v>1</v>
      </c>
      <c r="F1433">
        <v>3</v>
      </c>
      <c r="G1433">
        <v>6</v>
      </c>
      <c r="H1433">
        <v>10</v>
      </c>
      <c r="I1433">
        <v>0</v>
      </c>
      <c r="J1433">
        <v>1</v>
      </c>
      <c r="K1433">
        <v>4</v>
      </c>
      <c r="L1433">
        <v>0</v>
      </c>
      <c r="M1433">
        <v>16</v>
      </c>
      <c r="N1433">
        <v>5</v>
      </c>
      <c r="O1433">
        <v>4</v>
      </c>
      <c r="P1433">
        <v>10</v>
      </c>
      <c r="Q1433">
        <v>2</v>
      </c>
      <c r="R1433">
        <v>15</v>
      </c>
      <c r="S1433">
        <v>6</v>
      </c>
      <c r="T1433">
        <v>0</v>
      </c>
      <c r="U1433">
        <v>21</v>
      </c>
      <c r="V1433" t="s">
        <v>289</v>
      </c>
    </row>
    <row r="1434" spans="1:22">
      <c r="A1434" t="s">
        <v>150</v>
      </c>
      <c r="B1434" t="s">
        <v>287</v>
      </c>
      <c r="C1434" t="s">
        <v>292</v>
      </c>
      <c r="D1434">
        <v>0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1</v>
      </c>
      <c r="V1434" t="s">
        <v>289</v>
      </c>
    </row>
    <row r="1435" spans="1:22">
      <c r="A1435" t="s">
        <v>150</v>
      </c>
      <c r="B1435" t="s">
        <v>287</v>
      </c>
      <c r="C1435" t="s">
        <v>298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1</v>
      </c>
      <c r="T1435">
        <v>0</v>
      </c>
      <c r="U1435">
        <v>1</v>
      </c>
      <c r="V1435" t="s">
        <v>289</v>
      </c>
    </row>
    <row r="1436" spans="1:22">
      <c r="A1436" t="s">
        <v>150</v>
      </c>
      <c r="B1436" t="s">
        <v>287</v>
      </c>
      <c r="C1436" t="s">
        <v>293</v>
      </c>
      <c r="D1436">
        <v>0</v>
      </c>
      <c r="E1436">
        <v>1</v>
      </c>
      <c r="F1436">
        <v>3</v>
      </c>
      <c r="G1436">
        <v>0</v>
      </c>
      <c r="H1436">
        <v>0</v>
      </c>
      <c r="I1436">
        <v>0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0</v>
      </c>
      <c r="P1436">
        <v>2</v>
      </c>
      <c r="Q1436">
        <v>1</v>
      </c>
      <c r="R1436">
        <v>2</v>
      </c>
      <c r="S1436">
        <v>2</v>
      </c>
      <c r="T1436">
        <v>0</v>
      </c>
      <c r="U1436">
        <v>4</v>
      </c>
      <c r="V1436" t="s">
        <v>289</v>
      </c>
    </row>
    <row r="1437" spans="1:22">
      <c r="A1437" t="s">
        <v>150</v>
      </c>
      <c r="B1437" t="s">
        <v>287</v>
      </c>
      <c r="C1437" t="s">
        <v>294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 t="s">
        <v>289</v>
      </c>
    </row>
    <row r="1438" spans="1:22">
      <c r="A1438" t="s">
        <v>150</v>
      </c>
      <c r="B1438" t="s">
        <v>287</v>
      </c>
      <c r="C1438" t="s">
        <v>17</v>
      </c>
      <c r="D1438">
        <v>11</v>
      </c>
      <c r="E1438">
        <v>16</v>
      </c>
      <c r="F1438">
        <v>47</v>
      </c>
      <c r="G1438">
        <v>70</v>
      </c>
      <c r="H1438">
        <v>80</v>
      </c>
      <c r="I1438">
        <v>14</v>
      </c>
      <c r="J1438">
        <v>31</v>
      </c>
      <c r="K1438">
        <v>50</v>
      </c>
      <c r="L1438">
        <v>21</v>
      </c>
      <c r="M1438">
        <v>108</v>
      </c>
      <c r="N1438">
        <v>70</v>
      </c>
      <c r="O1438">
        <v>45</v>
      </c>
      <c r="P1438">
        <v>73</v>
      </c>
      <c r="Q1438">
        <v>36</v>
      </c>
      <c r="R1438">
        <v>120</v>
      </c>
      <c r="S1438">
        <v>104</v>
      </c>
      <c r="T1438">
        <v>0</v>
      </c>
      <c r="U1438">
        <v>224</v>
      </c>
      <c r="V1438" t="s">
        <v>289</v>
      </c>
    </row>
    <row r="1439" spans="1:22">
      <c r="A1439" t="s">
        <v>150</v>
      </c>
      <c r="B1439" t="s">
        <v>287</v>
      </c>
      <c r="C1439" t="s">
        <v>295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 t="s">
        <v>289</v>
      </c>
    </row>
    <row r="1529" spans="1:22">
      <c r="A1529">
        <f>setup!C24</f>
        <v>3774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2">
      <c r="A1530" t="str">
        <f>_xlfn.CONCAT(setup!D24," - ",setup!E24)</f>
        <v>Validity WISC-6/KTEA-3 – Paper Form A - V_KTEA3_P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2">
      <c r="A1531" t="s">
        <v>5</v>
      </c>
      <c r="B1531" t="s">
        <v>259</v>
      </c>
      <c r="C1531" t="s">
        <v>260</v>
      </c>
      <c r="D1531" s="1" t="s">
        <v>29</v>
      </c>
      <c r="E1531" s="1" t="s">
        <v>56</v>
      </c>
      <c r="F1531" s="1" t="s">
        <v>50</v>
      </c>
      <c r="G1531" s="1" t="s">
        <v>38</v>
      </c>
      <c r="H1531" s="1" t="s">
        <v>58</v>
      </c>
      <c r="I1531" s="1" t="s">
        <v>22</v>
      </c>
      <c r="J1531" s="1" t="s">
        <v>36</v>
      </c>
      <c r="K1531" s="1" t="s">
        <v>24</v>
      </c>
      <c r="L1531" s="1" t="s">
        <v>31</v>
      </c>
      <c r="M1531" s="1" t="s">
        <v>39</v>
      </c>
      <c r="N1531" s="1" t="s">
        <v>59</v>
      </c>
      <c r="O1531" s="1" t="s">
        <v>47</v>
      </c>
      <c r="P1531" s="1" t="s">
        <v>33</v>
      </c>
      <c r="Q1531" s="1" t="s">
        <v>60</v>
      </c>
      <c r="R1531" s="1" t="s">
        <v>45</v>
      </c>
      <c r="S1531" s="1" t="s">
        <v>34</v>
      </c>
      <c r="T1531" t="s">
        <v>26</v>
      </c>
      <c r="U1531" s="1" t="s">
        <v>150</v>
      </c>
      <c r="V1531" t="s">
        <v>286</v>
      </c>
    </row>
    <row r="1532" spans="1:22">
      <c r="A1532" t="s">
        <v>65</v>
      </c>
      <c r="B1532" t="s">
        <v>287</v>
      </c>
      <c r="C1532" t="s">
        <v>288</v>
      </c>
      <c r="D1532">
        <v>0.52</v>
      </c>
      <c r="E1532">
        <v>0.99</v>
      </c>
      <c r="F1532">
        <v>3.97</v>
      </c>
      <c r="G1532">
        <v>6.43</v>
      </c>
      <c r="H1532">
        <v>8.09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0</v>
      </c>
      <c r="U1532">
        <v>20</v>
      </c>
      <c r="V1532" t="s">
        <v>289</v>
      </c>
    </row>
    <row r="1533" spans="1:22">
      <c r="A1533" t="s">
        <v>65</v>
      </c>
      <c r="B1533" t="s">
        <v>287</v>
      </c>
      <c r="C1533" t="s">
        <v>290</v>
      </c>
      <c r="D1533">
        <v>1</v>
      </c>
      <c r="E1533">
        <v>1</v>
      </c>
      <c r="F1533">
        <v>3</v>
      </c>
      <c r="G1533">
        <v>6</v>
      </c>
      <c r="H1533">
        <v>8</v>
      </c>
      <c r="I1533">
        <v>1</v>
      </c>
      <c r="J1533">
        <v>1</v>
      </c>
      <c r="K1533">
        <v>4</v>
      </c>
      <c r="L1533">
        <v>2</v>
      </c>
      <c r="M1533">
        <v>11</v>
      </c>
      <c r="N1533">
        <v>5</v>
      </c>
      <c r="O1533">
        <v>4</v>
      </c>
      <c r="P1533">
        <v>9</v>
      </c>
      <c r="Q1533">
        <v>1</v>
      </c>
      <c r="R1533">
        <v>8</v>
      </c>
      <c r="S1533">
        <v>11</v>
      </c>
      <c r="T1533">
        <v>0</v>
      </c>
      <c r="U1533">
        <v>19</v>
      </c>
      <c r="V1533" t="s">
        <v>289</v>
      </c>
    </row>
    <row r="1534" spans="1:22">
      <c r="A1534" t="s">
        <v>65</v>
      </c>
      <c r="B1534" t="s">
        <v>287</v>
      </c>
      <c r="C1534" t="s">
        <v>291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1</v>
      </c>
      <c r="V1534" t="s">
        <v>289</v>
      </c>
    </row>
    <row r="1535" spans="1:22">
      <c r="A1535" t="s">
        <v>65</v>
      </c>
      <c r="B1535" t="s">
        <v>287</v>
      </c>
      <c r="C1535" t="s">
        <v>292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">
        <v>289</v>
      </c>
    </row>
    <row r="1536" spans="1:22">
      <c r="A1536" t="s">
        <v>65</v>
      </c>
      <c r="B1536" t="s">
        <v>287</v>
      </c>
      <c r="C1536" t="s">
        <v>298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 t="s">
        <v>289</v>
      </c>
    </row>
    <row r="1537" spans="1:22">
      <c r="A1537" t="s">
        <v>65</v>
      </c>
      <c r="B1537" t="s">
        <v>287</v>
      </c>
      <c r="C1537" t="s">
        <v>293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">
        <v>289</v>
      </c>
    </row>
    <row r="1538" spans="1:22">
      <c r="A1538" t="s">
        <v>65</v>
      </c>
      <c r="B1538" t="s">
        <v>287</v>
      </c>
      <c r="C1538" t="s">
        <v>294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">
        <v>289</v>
      </c>
    </row>
    <row r="1539" spans="1:22">
      <c r="A1539" t="s">
        <v>65</v>
      </c>
      <c r="B1539" t="s">
        <v>287</v>
      </c>
      <c r="C1539" t="s">
        <v>17</v>
      </c>
      <c r="D1539">
        <v>1</v>
      </c>
      <c r="E1539">
        <v>1</v>
      </c>
      <c r="F1539">
        <v>3</v>
      </c>
      <c r="G1539">
        <v>7</v>
      </c>
      <c r="H1539">
        <v>8</v>
      </c>
      <c r="I1539">
        <v>1</v>
      </c>
      <c r="J1539">
        <v>1</v>
      </c>
      <c r="K1539">
        <v>4</v>
      </c>
      <c r="L1539">
        <v>2</v>
      </c>
      <c r="M1539">
        <v>12</v>
      </c>
      <c r="N1539">
        <v>6</v>
      </c>
      <c r="O1539">
        <v>4</v>
      </c>
      <c r="P1539">
        <v>9</v>
      </c>
      <c r="Q1539">
        <v>1</v>
      </c>
      <c r="R1539">
        <v>8</v>
      </c>
      <c r="S1539">
        <v>12</v>
      </c>
      <c r="T1539">
        <v>0</v>
      </c>
      <c r="U1539">
        <v>20</v>
      </c>
      <c r="V1539" t="s">
        <v>289</v>
      </c>
    </row>
    <row r="1540" spans="1:22">
      <c r="A1540" t="s">
        <v>65</v>
      </c>
      <c r="B1540" t="s">
        <v>287</v>
      </c>
      <c r="C1540" t="s">
        <v>295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">
        <v>289</v>
      </c>
    </row>
    <row r="1541" spans="1:22">
      <c r="A1541" t="s">
        <v>40</v>
      </c>
      <c r="B1541" t="s">
        <v>287</v>
      </c>
      <c r="C1541" t="s">
        <v>288</v>
      </c>
      <c r="D1541">
        <v>0.49</v>
      </c>
      <c r="E1541">
        <v>0.95</v>
      </c>
      <c r="F1541">
        <v>3.53</v>
      </c>
      <c r="G1541">
        <v>5.86</v>
      </c>
      <c r="H1541">
        <v>7.18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0</v>
      </c>
      <c r="U1541">
        <v>18</v>
      </c>
      <c r="V1541" t="s">
        <v>289</v>
      </c>
    </row>
    <row r="1542" spans="1:22">
      <c r="A1542" t="s">
        <v>40</v>
      </c>
      <c r="B1542" t="s">
        <v>287</v>
      </c>
      <c r="C1542" t="s">
        <v>290</v>
      </c>
      <c r="D1542">
        <v>0</v>
      </c>
      <c r="E1542">
        <v>0</v>
      </c>
      <c r="F1542">
        <v>2</v>
      </c>
      <c r="G1542">
        <v>6</v>
      </c>
      <c r="H1542">
        <v>6</v>
      </c>
      <c r="I1542">
        <v>0</v>
      </c>
      <c r="J1542">
        <v>4</v>
      </c>
      <c r="K1542">
        <v>6</v>
      </c>
      <c r="L1542">
        <v>1</v>
      </c>
      <c r="M1542">
        <v>3</v>
      </c>
      <c r="N1542">
        <v>5</v>
      </c>
      <c r="O1542">
        <v>1</v>
      </c>
      <c r="P1542">
        <v>4</v>
      </c>
      <c r="Q1542">
        <v>4</v>
      </c>
      <c r="R1542">
        <v>7</v>
      </c>
      <c r="S1542">
        <v>7</v>
      </c>
      <c r="T1542">
        <v>0</v>
      </c>
      <c r="U1542">
        <v>14</v>
      </c>
      <c r="V1542" t="s">
        <v>289</v>
      </c>
    </row>
    <row r="1543" spans="1:22">
      <c r="A1543" t="s">
        <v>40</v>
      </c>
      <c r="B1543" t="s">
        <v>287</v>
      </c>
      <c r="C1543" t="s">
        <v>291</v>
      </c>
      <c r="D1543">
        <v>0</v>
      </c>
      <c r="E1543">
        <v>0</v>
      </c>
      <c r="F1543">
        <v>0</v>
      </c>
      <c r="G1543">
        <v>1</v>
      </c>
      <c r="H1543">
        <v>0</v>
      </c>
      <c r="I1543">
        <v>0</v>
      </c>
      <c r="J1543">
        <v>0</v>
      </c>
      <c r="K1543">
        <v>1</v>
      </c>
      <c r="L1543">
        <v>0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 t="s">
        <v>289</v>
      </c>
    </row>
    <row r="1544" spans="1:22">
      <c r="A1544" t="s">
        <v>40</v>
      </c>
      <c r="B1544" t="s">
        <v>287</v>
      </c>
      <c r="C1544" t="s">
        <v>292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">
        <v>289</v>
      </c>
    </row>
    <row r="1545" spans="1:22">
      <c r="A1545" t="s">
        <v>40</v>
      </c>
      <c r="B1545" t="s">
        <v>287</v>
      </c>
      <c r="C1545" t="s">
        <v>298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1</v>
      </c>
      <c r="V1545" t="s">
        <v>289</v>
      </c>
    </row>
    <row r="1546" spans="1:22">
      <c r="A1546" t="s">
        <v>40</v>
      </c>
      <c r="B1546" t="s">
        <v>287</v>
      </c>
      <c r="C1546" t="s">
        <v>293</v>
      </c>
      <c r="D1546">
        <v>1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2</v>
      </c>
      <c r="N1546">
        <v>2</v>
      </c>
      <c r="O1546">
        <v>0</v>
      </c>
      <c r="P1546">
        <v>0</v>
      </c>
      <c r="Q1546">
        <v>0</v>
      </c>
      <c r="R1546">
        <v>2</v>
      </c>
      <c r="S1546">
        <v>0</v>
      </c>
      <c r="T1546">
        <v>0</v>
      </c>
      <c r="U1546">
        <v>2</v>
      </c>
      <c r="V1546" t="s">
        <v>289</v>
      </c>
    </row>
    <row r="1547" spans="1:22">
      <c r="A1547" t="s">
        <v>40</v>
      </c>
      <c r="B1547" t="s">
        <v>287</v>
      </c>
      <c r="C1547" t="s">
        <v>294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">
        <v>289</v>
      </c>
    </row>
    <row r="1548" spans="1:22">
      <c r="A1548" t="s">
        <v>40</v>
      </c>
      <c r="B1548" t="s">
        <v>287</v>
      </c>
      <c r="C1548" t="s">
        <v>17</v>
      </c>
      <c r="D1548">
        <v>1</v>
      </c>
      <c r="E1548">
        <v>0</v>
      </c>
      <c r="F1548">
        <v>4</v>
      </c>
      <c r="G1548">
        <v>7</v>
      </c>
      <c r="H1548">
        <v>6</v>
      </c>
      <c r="I1548">
        <v>0</v>
      </c>
      <c r="J1548">
        <v>5</v>
      </c>
      <c r="K1548">
        <v>7</v>
      </c>
      <c r="L1548">
        <v>1</v>
      </c>
      <c r="M1548">
        <v>5</v>
      </c>
      <c r="N1548">
        <v>9</v>
      </c>
      <c r="O1548">
        <v>1</v>
      </c>
      <c r="P1548">
        <v>4</v>
      </c>
      <c r="Q1548">
        <v>4</v>
      </c>
      <c r="R1548">
        <v>10</v>
      </c>
      <c r="S1548">
        <v>8</v>
      </c>
      <c r="T1548">
        <v>0</v>
      </c>
      <c r="U1548">
        <v>18</v>
      </c>
      <c r="V1548" t="s">
        <v>289</v>
      </c>
    </row>
    <row r="1549" spans="1:22">
      <c r="A1549" t="s">
        <v>40</v>
      </c>
      <c r="B1549" t="s">
        <v>287</v>
      </c>
      <c r="C1549" t="s">
        <v>295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289</v>
      </c>
    </row>
    <row r="1550" spans="1:22">
      <c r="A1550" t="s">
        <v>41</v>
      </c>
      <c r="B1550" t="s">
        <v>287</v>
      </c>
      <c r="C1550" t="s">
        <v>288</v>
      </c>
      <c r="D1550">
        <v>0.5</v>
      </c>
      <c r="E1550">
        <v>0.98</v>
      </c>
      <c r="F1550">
        <v>3.56</v>
      </c>
      <c r="G1550">
        <v>5.81</v>
      </c>
      <c r="H1550">
        <v>7.16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18</v>
      </c>
      <c r="V1550" t="s">
        <v>289</v>
      </c>
    </row>
    <row r="1551" spans="1:22">
      <c r="A1551" t="s">
        <v>41</v>
      </c>
      <c r="B1551" t="s">
        <v>287</v>
      </c>
      <c r="C1551" t="s">
        <v>290</v>
      </c>
      <c r="D1551">
        <v>1</v>
      </c>
      <c r="E1551">
        <v>1</v>
      </c>
      <c r="F1551">
        <v>4</v>
      </c>
      <c r="G1551">
        <v>4</v>
      </c>
      <c r="H1551">
        <v>8</v>
      </c>
      <c r="I1551">
        <v>0</v>
      </c>
      <c r="J1551">
        <v>2</v>
      </c>
      <c r="K1551">
        <v>5</v>
      </c>
      <c r="L1551">
        <v>2</v>
      </c>
      <c r="M1551">
        <v>9</v>
      </c>
      <c r="N1551">
        <v>2</v>
      </c>
      <c r="O1551">
        <v>6</v>
      </c>
      <c r="P1551">
        <v>9</v>
      </c>
      <c r="Q1551">
        <v>1</v>
      </c>
      <c r="R1551">
        <v>8</v>
      </c>
      <c r="S1551">
        <v>10</v>
      </c>
      <c r="T1551">
        <v>0</v>
      </c>
      <c r="U1551">
        <v>18</v>
      </c>
      <c r="V1551" t="s">
        <v>289</v>
      </c>
    </row>
    <row r="1552" spans="1:22">
      <c r="A1552" t="s">
        <v>41</v>
      </c>
      <c r="B1552" t="s">
        <v>287</v>
      </c>
      <c r="C1552" t="s">
        <v>291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">
        <v>289</v>
      </c>
    </row>
    <row r="1553" spans="1:22">
      <c r="A1553" t="s">
        <v>41</v>
      </c>
      <c r="B1553" t="s">
        <v>287</v>
      </c>
      <c r="C1553" t="s">
        <v>292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t="s">
        <v>289</v>
      </c>
    </row>
    <row r="1554" spans="1:22">
      <c r="A1554" t="s">
        <v>41</v>
      </c>
      <c r="B1554" t="s">
        <v>287</v>
      </c>
      <c r="C1554" t="s">
        <v>298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">
        <v>289</v>
      </c>
    </row>
    <row r="1555" spans="1:22">
      <c r="A1555" t="s">
        <v>41</v>
      </c>
      <c r="B1555" t="s">
        <v>287</v>
      </c>
      <c r="C1555" t="s">
        <v>293</v>
      </c>
      <c r="D1555">
        <v>0</v>
      </c>
      <c r="E1555">
        <v>0</v>
      </c>
      <c r="F1555">
        <v>0</v>
      </c>
      <c r="G1555">
        <v>2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1</v>
      </c>
      <c r="N1555">
        <v>1</v>
      </c>
      <c r="O1555">
        <v>0</v>
      </c>
      <c r="P1555">
        <v>1</v>
      </c>
      <c r="Q1555">
        <v>0</v>
      </c>
      <c r="R1555">
        <v>1</v>
      </c>
      <c r="S1555">
        <v>1</v>
      </c>
      <c r="T1555">
        <v>0</v>
      </c>
      <c r="U1555">
        <v>2</v>
      </c>
      <c r="V1555" t="s">
        <v>289</v>
      </c>
    </row>
    <row r="1556" spans="1:22">
      <c r="A1556" t="s">
        <v>41</v>
      </c>
      <c r="B1556" t="s">
        <v>287</v>
      </c>
      <c r="C1556" t="s">
        <v>294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">
        <v>289</v>
      </c>
    </row>
    <row r="1557" spans="1:22">
      <c r="A1557" t="s">
        <v>41</v>
      </c>
      <c r="B1557" t="s">
        <v>287</v>
      </c>
      <c r="C1557" t="s">
        <v>17</v>
      </c>
      <c r="D1557">
        <v>1</v>
      </c>
      <c r="E1557">
        <v>1</v>
      </c>
      <c r="F1557">
        <v>4</v>
      </c>
      <c r="G1557">
        <v>6</v>
      </c>
      <c r="H1557">
        <v>8</v>
      </c>
      <c r="I1557">
        <v>0</v>
      </c>
      <c r="J1557">
        <v>3</v>
      </c>
      <c r="K1557">
        <v>5</v>
      </c>
      <c r="L1557">
        <v>2</v>
      </c>
      <c r="M1557">
        <v>10</v>
      </c>
      <c r="N1557">
        <v>3</v>
      </c>
      <c r="O1557">
        <v>6</v>
      </c>
      <c r="P1557">
        <v>10</v>
      </c>
      <c r="Q1557">
        <v>1</v>
      </c>
      <c r="R1557">
        <v>9</v>
      </c>
      <c r="S1557">
        <v>11</v>
      </c>
      <c r="T1557">
        <v>0</v>
      </c>
      <c r="U1557">
        <v>20</v>
      </c>
      <c r="V1557" t="s">
        <v>289</v>
      </c>
    </row>
    <row r="1558" spans="1:22">
      <c r="A1558" t="s">
        <v>41</v>
      </c>
      <c r="B1558" t="s">
        <v>287</v>
      </c>
      <c r="C1558" t="s">
        <v>295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t="s">
        <v>289</v>
      </c>
    </row>
    <row r="1559" spans="1:22">
      <c r="A1559" t="s">
        <v>43</v>
      </c>
      <c r="B1559" t="s">
        <v>287</v>
      </c>
      <c r="C1559" t="s">
        <v>288</v>
      </c>
      <c r="D1559">
        <v>0.49</v>
      </c>
      <c r="E1559">
        <v>1</v>
      </c>
      <c r="F1559">
        <v>3.63</v>
      </c>
      <c r="G1559">
        <v>5.75</v>
      </c>
      <c r="H1559">
        <v>7.13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0</v>
      </c>
      <c r="U1559">
        <v>18</v>
      </c>
      <c r="V1559" t="s">
        <v>289</v>
      </c>
    </row>
    <row r="1560" spans="1:22">
      <c r="A1560" t="s">
        <v>43</v>
      </c>
      <c r="B1560" t="s">
        <v>287</v>
      </c>
      <c r="C1560" t="s">
        <v>290</v>
      </c>
      <c r="D1560">
        <v>1</v>
      </c>
      <c r="E1560">
        <v>1</v>
      </c>
      <c r="F1560">
        <v>3</v>
      </c>
      <c r="G1560">
        <v>5</v>
      </c>
      <c r="H1560">
        <v>7</v>
      </c>
      <c r="I1560">
        <v>1</v>
      </c>
      <c r="J1560">
        <v>3</v>
      </c>
      <c r="K1560">
        <v>4</v>
      </c>
      <c r="L1560">
        <v>2</v>
      </c>
      <c r="M1560">
        <v>7</v>
      </c>
      <c r="N1560">
        <v>3</v>
      </c>
      <c r="O1560">
        <v>5</v>
      </c>
      <c r="P1560">
        <v>6</v>
      </c>
      <c r="Q1560">
        <v>3</v>
      </c>
      <c r="R1560">
        <v>8</v>
      </c>
      <c r="S1560">
        <v>9</v>
      </c>
      <c r="T1560">
        <v>0</v>
      </c>
      <c r="U1560">
        <v>17</v>
      </c>
      <c r="V1560" t="s">
        <v>289</v>
      </c>
    </row>
    <row r="1561" spans="1:22">
      <c r="A1561" t="s">
        <v>43</v>
      </c>
      <c r="B1561" t="s">
        <v>287</v>
      </c>
      <c r="C1561" t="s">
        <v>291</v>
      </c>
      <c r="D1561">
        <v>0</v>
      </c>
      <c r="E1561">
        <v>1</v>
      </c>
      <c r="F1561">
        <v>0</v>
      </c>
      <c r="G1561">
        <v>0</v>
      </c>
      <c r="H1561">
        <v>1</v>
      </c>
      <c r="I1561">
        <v>0</v>
      </c>
      <c r="J1561">
        <v>0</v>
      </c>
      <c r="K1561">
        <v>1</v>
      </c>
      <c r="L1561">
        <v>0</v>
      </c>
      <c r="M1561">
        <v>1</v>
      </c>
      <c r="N1561">
        <v>0</v>
      </c>
      <c r="O1561">
        <v>0</v>
      </c>
      <c r="P1561">
        <v>1</v>
      </c>
      <c r="Q1561">
        <v>1</v>
      </c>
      <c r="R1561">
        <v>1</v>
      </c>
      <c r="S1561">
        <v>1</v>
      </c>
      <c r="T1561">
        <v>0</v>
      </c>
      <c r="U1561">
        <v>2</v>
      </c>
      <c r="V1561" t="s">
        <v>289</v>
      </c>
    </row>
    <row r="1562" spans="1:22">
      <c r="A1562" t="s">
        <v>43</v>
      </c>
      <c r="B1562" t="s">
        <v>287</v>
      </c>
      <c r="C1562" t="s">
        <v>292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 t="s">
        <v>289</v>
      </c>
    </row>
    <row r="1563" spans="1:22">
      <c r="A1563" t="s">
        <v>43</v>
      </c>
      <c r="B1563" t="s">
        <v>287</v>
      </c>
      <c r="C1563" t="s">
        <v>298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">
        <v>289</v>
      </c>
    </row>
    <row r="1564" spans="1:22">
      <c r="A1564" t="s">
        <v>43</v>
      </c>
      <c r="B1564" t="s">
        <v>287</v>
      </c>
      <c r="C1564" t="s">
        <v>293</v>
      </c>
      <c r="D1564">
        <v>0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1</v>
      </c>
      <c r="V1564" t="s">
        <v>289</v>
      </c>
    </row>
    <row r="1565" spans="1:22">
      <c r="A1565" t="s">
        <v>43</v>
      </c>
      <c r="B1565" t="s">
        <v>287</v>
      </c>
      <c r="C1565" t="s">
        <v>294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289</v>
      </c>
    </row>
    <row r="1566" spans="1:22">
      <c r="A1566" t="s">
        <v>43</v>
      </c>
      <c r="B1566" t="s">
        <v>287</v>
      </c>
      <c r="C1566" t="s">
        <v>17</v>
      </c>
      <c r="D1566">
        <v>1</v>
      </c>
      <c r="E1566">
        <v>2</v>
      </c>
      <c r="F1566">
        <v>4</v>
      </c>
      <c r="G1566">
        <v>5</v>
      </c>
      <c r="H1566">
        <v>8</v>
      </c>
      <c r="I1566">
        <v>1</v>
      </c>
      <c r="J1566">
        <v>3</v>
      </c>
      <c r="K1566">
        <v>6</v>
      </c>
      <c r="L1566">
        <v>2</v>
      </c>
      <c r="M1566">
        <v>8</v>
      </c>
      <c r="N1566">
        <v>3</v>
      </c>
      <c r="O1566">
        <v>6</v>
      </c>
      <c r="P1566">
        <v>7</v>
      </c>
      <c r="Q1566">
        <v>4</v>
      </c>
      <c r="R1566">
        <v>10</v>
      </c>
      <c r="S1566">
        <v>10</v>
      </c>
      <c r="T1566">
        <v>0</v>
      </c>
      <c r="U1566">
        <v>20</v>
      </c>
      <c r="V1566" t="s">
        <v>289</v>
      </c>
    </row>
    <row r="1567" spans="1:22">
      <c r="A1567" t="s">
        <v>43</v>
      </c>
      <c r="B1567" t="s">
        <v>287</v>
      </c>
      <c r="C1567" t="s">
        <v>295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 t="s">
        <v>289</v>
      </c>
    </row>
    <row r="1568" spans="1:22">
      <c r="A1568" t="s">
        <v>46</v>
      </c>
      <c r="B1568" t="s">
        <v>287</v>
      </c>
      <c r="C1568" t="s">
        <v>288</v>
      </c>
      <c r="D1568">
        <v>0.55000000000000004</v>
      </c>
      <c r="E1568">
        <v>1.04</v>
      </c>
      <c r="F1568">
        <v>3.62</v>
      </c>
      <c r="G1568">
        <v>5.76</v>
      </c>
      <c r="H1568">
        <v>7.03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0</v>
      </c>
      <c r="U1568">
        <v>18</v>
      </c>
      <c r="V1568" t="s">
        <v>289</v>
      </c>
    </row>
    <row r="1569" spans="1:22">
      <c r="A1569" t="s">
        <v>46</v>
      </c>
      <c r="B1569" t="s">
        <v>287</v>
      </c>
      <c r="C1569" t="s">
        <v>290</v>
      </c>
      <c r="D1569">
        <v>1</v>
      </c>
      <c r="E1569">
        <v>1</v>
      </c>
      <c r="F1569">
        <v>4</v>
      </c>
      <c r="G1569">
        <v>6</v>
      </c>
      <c r="H1569">
        <v>6</v>
      </c>
      <c r="I1569">
        <v>1</v>
      </c>
      <c r="J1569">
        <v>1</v>
      </c>
      <c r="K1569">
        <v>5</v>
      </c>
      <c r="L1569">
        <v>2</v>
      </c>
      <c r="M1569">
        <v>9</v>
      </c>
      <c r="N1569">
        <v>4</v>
      </c>
      <c r="O1569">
        <v>6</v>
      </c>
      <c r="P1569">
        <v>5</v>
      </c>
      <c r="Q1569">
        <v>3</v>
      </c>
      <c r="R1569">
        <v>11</v>
      </c>
      <c r="S1569">
        <v>7</v>
      </c>
      <c r="T1569">
        <v>0</v>
      </c>
      <c r="U1569">
        <v>18</v>
      </c>
      <c r="V1569" t="s">
        <v>289</v>
      </c>
    </row>
    <row r="1570" spans="1:22">
      <c r="A1570" t="s">
        <v>46</v>
      </c>
      <c r="B1570" t="s">
        <v>287</v>
      </c>
      <c r="C1570" t="s">
        <v>291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2</v>
      </c>
      <c r="L1570">
        <v>0</v>
      </c>
      <c r="M1570">
        <v>0</v>
      </c>
      <c r="N1570">
        <v>0</v>
      </c>
      <c r="O1570">
        <v>1</v>
      </c>
      <c r="P1570">
        <v>1</v>
      </c>
      <c r="Q1570">
        <v>0</v>
      </c>
      <c r="R1570">
        <v>2</v>
      </c>
      <c r="S1570">
        <v>0</v>
      </c>
      <c r="T1570">
        <v>0</v>
      </c>
      <c r="U1570">
        <v>2</v>
      </c>
      <c r="V1570" t="s">
        <v>289</v>
      </c>
    </row>
    <row r="1571" spans="1:22">
      <c r="A1571" t="s">
        <v>46</v>
      </c>
      <c r="B1571" t="s">
        <v>287</v>
      </c>
      <c r="C1571" t="s">
        <v>292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">
        <v>289</v>
      </c>
    </row>
    <row r="1572" spans="1:22">
      <c r="A1572" t="s">
        <v>46</v>
      </c>
      <c r="B1572" t="s">
        <v>287</v>
      </c>
      <c r="C1572" t="s">
        <v>298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">
        <v>289</v>
      </c>
    </row>
    <row r="1573" spans="1:22">
      <c r="A1573" t="s">
        <v>46</v>
      </c>
      <c r="B1573" t="s">
        <v>287</v>
      </c>
      <c r="C1573" t="s">
        <v>293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">
        <v>289</v>
      </c>
    </row>
    <row r="1574" spans="1:22">
      <c r="A1574" t="s">
        <v>46</v>
      </c>
      <c r="B1574" t="s">
        <v>287</v>
      </c>
      <c r="C1574" t="s">
        <v>294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">
        <v>289</v>
      </c>
    </row>
    <row r="1575" spans="1:22">
      <c r="A1575" t="s">
        <v>46</v>
      </c>
      <c r="B1575" t="s">
        <v>287</v>
      </c>
      <c r="C1575" t="s">
        <v>17</v>
      </c>
      <c r="D1575">
        <v>1</v>
      </c>
      <c r="E1575">
        <v>1</v>
      </c>
      <c r="F1575">
        <v>5</v>
      </c>
      <c r="G1575">
        <v>7</v>
      </c>
      <c r="H1575">
        <v>6</v>
      </c>
      <c r="I1575">
        <v>1</v>
      </c>
      <c r="J1575">
        <v>1</v>
      </c>
      <c r="K1575">
        <v>7</v>
      </c>
      <c r="L1575">
        <v>2</v>
      </c>
      <c r="M1575">
        <v>9</v>
      </c>
      <c r="N1575">
        <v>4</v>
      </c>
      <c r="O1575">
        <v>7</v>
      </c>
      <c r="P1575">
        <v>6</v>
      </c>
      <c r="Q1575">
        <v>3</v>
      </c>
      <c r="R1575">
        <v>13</v>
      </c>
      <c r="S1575">
        <v>7</v>
      </c>
      <c r="T1575">
        <v>0</v>
      </c>
      <c r="U1575">
        <v>20</v>
      </c>
      <c r="V1575" t="s">
        <v>289</v>
      </c>
    </row>
    <row r="1576" spans="1:22">
      <c r="A1576" t="s">
        <v>46</v>
      </c>
      <c r="B1576" t="s">
        <v>287</v>
      </c>
      <c r="C1576" t="s">
        <v>295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 t="s">
        <v>289</v>
      </c>
    </row>
    <row r="1577" spans="1:22">
      <c r="A1577" t="s">
        <v>48</v>
      </c>
      <c r="B1577" t="s">
        <v>287</v>
      </c>
      <c r="C1577" t="s">
        <v>288</v>
      </c>
      <c r="D1577">
        <v>0.61</v>
      </c>
      <c r="E1577">
        <v>1.04</v>
      </c>
      <c r="F1577">
        <v>3.56</v>
      </c>
      <c r="G1577">
        <v>5.75</v>
      </c>
      <c r="H1577">
        <v>7.04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0</v>
      </c>
      <c r="U1577">
        <v>18</v>
      </c>
      <c r="V1577" t="s">
        <v>289</v>
      </c>
    </row>
    <row r="1578" spans="1:22">
      <c r="A1578" t="s">
        <v>48</v>
      </c>
      <c r="B1578" t="s">
        <v>287</v>
      </c>
      <c r="C1578" t="s">
        <v>290</v>
      </c>
      <c r="D1578">
        <v>1</v>
      </c>
      <c r="E1578">
        <v>0</v>
      </c>
      <c r="F1578">
        <v>4</v>
      </c>
      <c r="G1578">
        <v>6</v>
      </c>
      <c r="H1578">
        <v>6</v>
      </c>
      <c r="I1578">
        <v>3</v>
      </c>
      <c r="J1578">
        <v>3</v>
      </c>
      <c r="K1578">
        <v>3</v>
      </c>
      <c r="L1578">
        <v>0</v>
      </c>
      <c r="M1578">
        <v>8</v>
      </c>
      <c r="N1578">
        <v>8</v>
      </c>
      <c r="O1578">
        <v>3</v>
      </c>
      <c r="P1578">
        <v>1</v>
      </c>
      <c r="Q1578">
        <v>5</v>
      </c>
      <c r="R1578">
        <v>12</v>
      </c>
      <c r="S1578">
        <v>5</v>
      </c>
      <c r="T1578">
        <v>0</v>
      </c>
      <c r="U1578">
        <v>17</v>
      </c>
      <c r="V1578" t="s">
        <v>289</v>
      </c>
    </row>
    <row r="1579" spans="1:22">
      <c r="A1579" t="s">
        <v>48</v>
      </c>
      <c r="B1579" t="s">
        <v>287</v>
      </c>
      <c r="C1579" t="s">
        <v>291</v>
      </c>
      <c r="D1579">
        <v>0</v>
      </c>
      <c r="E1579">
        <v>0</v>
      </c>
      <c r="F1579">
        <v>0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1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1</v>
      </c>
      <c r="V1579" t="s">
        <v>289</v>
      </c>
    </row>
    <row r="1580" spans="1:22">
      <c r="A1580" t="s">
        <v>48</v>
      </c>
      <c r="B1580" t="s">
        <v>287</v>
      </c>
      <c r="C1580" t="s">
        <v>292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 t="s">
        <v>289</v>
      </c>
    </row>
    <row r="1581" spans="1:22">
      <c r="A1581" t="s">
        <v>48</v>
      </c>
      <c r="B1581" t="s">
        <v>287</v>
      </c>
      <c r="C1581" t="s">
        <v>298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">
        <v>289</v>
      </c>
    </row>
    <row r="1582" spans="1:22">
      <c r="A1582" t="s">
        <v>48</v>
      </c>
      <c r="B1582" t="s">
        <v>287</v>
      </c>
      <c r="C1582" t="s">
        <v>293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">
        <v>289</v>
      </c>
    </row>
    <row r="1583" spans="1:22">
      <c r="A1583" t="s">
        <v>48</v>
      </c>
      <c r="B1583" t="s">
        <v>287</v>
      </c>
      <c r="C1583" t="s">
        <v>294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">
        <v>289</v>
      </c>
    </row>
    <row r="1584" spans="1:22">
      <c r="A1584" t="s">
        <v>48</v>
      </c>
      <c r="B1584" t="s">
        <v>287</v>
      </c>
      <c r="C1584" t="s">
        <v>17</v>
      </c>
      <c r="D1584">
        <v>1</v>
      </c>
      <c r="E1584">
        <v>0</v>
      </c>
      <c r="F1584">
        <v>4</v>
      </c>
      <c r="G1584">
        <v>7</v>
      </c>
      <c r="H1584">
        <v>6</v>
      </c>
      <c r="I1584">
        <v>3</v>
      </c>
      <c r="J1584">
        <v>3</v>
      </c>
      <c r="K1584">
        <v>3</v>
      </c>
      <c r="L1584">
        <v>0</v>
      </c>
      <c r="M1584">
        <v>9</v>
      </c>
      <c r="N1584">
        <v>9</v>
      </c>
      <c r="O1584">
        <v>3</v>
      </c>
      <c r="P1584">
        <v>1</v>
      </c>
      <c r="Q1584">
        <v>5</v>
      </c>
      <c r="R1584">
        <v>13</v>
      </c>
      <c r="S1584">
        <v>5</v>
      </c>
      <c r="T1584">
        <v>0</v>
      </c>
      <c r="U1584">
        <v>18</v>
      </c>
      <c r="V1584" t="s">
        <v>289</v>
      </c>
    </row>
    <row r="1585" spans="1:22">
      <c r="A1585" t="s">
        <v>48</v>
      </c>
      <c r="B1585" t="s">
        <v>287</v>
      </c>
      <c r="C1585" t="s">
        <v>295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">
        <v>289</v>
      </c>
    </row>
    <row r="1586" spans="1:22">
      <c r="A1586" t="s">
        <v>49</v>
      </c>
      <c r="B1586" t="s">
        <v>287</v>
      </c>
      <c r="C1586" t="s">
        <v>288</v>
      </c>
      <c r="D1586">
        <v>0.66</v>
      </c>
      <c r="E1586">
        <v>1.06</v>
      </c>
      <c r="F1586">
        <v>3.59</v>
      </c>
      <c r="G1586">
        <v>5.82</v>
      </c>
      <c r="H1586">
        <v>6.88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0</v>
      </c>
      <c r="U1586">
        <v>18</v>
      </c>
      <c r="V1586" t="s">
        <v>289</v>
      </c>
    </row>
    <row r="1587" spans="1:22">
      <c r="A1587" t="s">
        <v>49</v>
      </c>
      <c r="B1587" t="s">
        <v>287</v>
      </c>
      <c r="C1587" t="s">
        <v>290</v>
      </c>
      <c r="D1587">
        <v>1</v>
      </c>
      <c r="E1587">
        <v>1</v>
      </c>
      <c r="F1587">
        <v>3</v>
      </c>
      <c r="G1587">
        <v>6</v>
      </c>
      <c r="H1587">
        <v>6</v>
      </c>
      <c r="I1587">
        <v>0</v>
      </c>
      <c r="J1587">
        <v>1</v>
      </c>
      <c r="K1587">
        <v>6</v>
      </c>
      <c r="L1587">
        <v>3</v>
      </c>
      <c r="M1587">
        <v>7</v>
      </c>
      <c r="N1587">
        <v>7</v>
      </c>
      <c r="O1587">
        <v>1</v>
      </c>
      <c r="P1587">
        <v>7</v>
      </c>
      <c r="Q1587">
        <v>2</v>
      </c>
      <c r="R1587">
        <v>8</v>
      </c>
      <c r="S1587">
        <v>9</v>
      </c>
      <c r="T1587">
        <v>0</v>
      </c>
      <c r="U1587">
        <v>17</v>
      </c>
      <c r="V1587" t="s">
        <v>289</v>
      </c>
    </row>
    <row r="1588" spans="1:22">
      <c r="A1588" t="s">
        <v>49</v>
      </c>
      <c r="B1588" t="s">
        <v>287</v>
      </c>
      <c r="C1588" t="s">
        <v>291</v>
      </c>
      <c r="D1588">
        <v>0</v>
      </c>
      <c r="E1588">
        <v>1</v>
      </c>
      <c r="F1588">
        <v>0</v>
      </c>
      <c r="G1588">
        <v>3</v>
      </c>
      <c r="H1588">
        <v>1</v>
      </c>
      <c r="I1588">
        <v>0</v>
      </c>
      <c r="J1588">
        <v>0</v>
      </c>
      <c r="K1588">
        <v>2</v>
      </c>
      <c r="L1588">
        <v>0</v>
      </c>
      <c r="M1588">
        <v>3</v>
      </c>
      <c r="N1588">
        <v>1</v>
      </c>
      <c r="O1588">
        <v>1</v>
      </c>
      <c r="P1588">
        <v>1</v>
      </c>
      <c r="Q1588">
        <v>2</v>
      </c>
      <c r="R1588">
        <v>4</v>
      </c>
      <c r="S1588">
        <v>1</v>
      </c>
      <c r="T1588">
        <v>0</v>
      </c>
      <c r="U1588">
        <v>5</v>
      </c>
      <c r="V1588" t="s">
        <v>289</v>
      </c>
    </row>
    <row r="1589" spans="1:22">
      <c r="A1589" t="s">
        <v>49</v>
      </c>
      <c r="B1589" t="s">
        <v>287</v>
      </c>
      <c r="C1589" t="s">
        <v>292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t="s">
        <v>289</v>
      </c>
    </row>
    <row r="1590" spans="1:22">
      <c r="A1590" t="s">
        <v>49</v>
      </c>
      <c r="B1590" t="s">
        <v>287</v>
      </c>
      <c r="C1590" t="s">
        <v>298</v>
      </c>
      <c r="D1590">
        <v>0</v>
      </c>
      <c r="E1590">
        <v>0</v>
      </c>
      <c r="F1590">
        <v>1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0</v>
      </c>
      <c r="N1590">
        <v>0</v>
      </c>
      <c r="O1590">
        <v>0</v>
      </c>
      <c r="P1590">
        <v>1</v>
      </c>
      <c r="Q1590">
        <v>0</v>
      </c>
      <c r="R1590">
        <v>0</v>
      </c>
      <c r="S1590">
        <v>1</v>
      </c>
      <c r="T1590">
        <v>0</v>
      </c>
      <c r="U1590">
        <v>1</v>
      </c>
      <c r="V1590" t="s">
        <v>289</v>
      </c>
    </row>
    <row r="1591" spans="1:22">
      <c r="A1591" t="s">
        <v>49</v>
      </c>
      <c r="B1591" t="s">
        <v>287</v>
      </c>
      <c r="C1591" t="s">
        <v>293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">
        <v>289</v>
      </c>
    </row>
    <row r="1592" spans="1:22">
      <c r="A1592" t="s">
        <v>49</v>
      </c>
      <c r="B1592" t="s">
        <v>287</v>
      </c>
      <c r="C1592" t="s">
        <v>294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 t="s">
        <v>289</v>
      </c>
    </row>
    <row r="1593" spans="1:22">
      <c r="A1593" t="s">
        <v>49</v>
      </c>
      <c r="B1593" t="s">
        <v>287</v>
      </c>
      <c r="C1593" t="s">
        <v>17</v>
      </c>
      <c r="D1593">
        <v>1</v>
      </c>
      <c r="E1593">
        <v>2</v>
      </c>
      <c r="F1593">
        <v>4</v>
      </c>
      <c r="G1593">
        <v>9</v>
      </c>
      <c r="H1593">
        <v>7</v>
      </c>
      <c r="I1593">
        <v>0</v>
      </c>
      <c r="J1593">
        <v>1</v>
      </c>
      <c r="K1593">
        <v>9</v>
      </c>
      <c r="L1593">
        <v>3</v>
      </c>
      <c r="M1593">
        <v>10</v>
      </c>
      <c r="N1593">
        <v>8</v>
      </c>
      <c r="O1593">
        <v>2</v>
      </c>
      <c r="P1593">
        <v>9</v>
      </c>
      <c r="Q1593">
        <v>4</v>
      </c>
      <c r="R1593">
        <v>12</v>
      </c>
      <c r="S1593">
        <v>11</v>
      </c>
      <c r="T1593">
        <v>0</v>
      </c>
      <c r="U1593">
        <v>23</v>
      </c>
      <c r="V1593" t="s">
        <v>289</v>
      </c>
    </row>
    <row r="1594" spans="1:22">
      <c r="A1594" t="s">
        <v>49</v>
      </c>
      <c r="B1594" t="s">
        <v>287</v>
      </c>
      <c r="C1594" t="s">
        <v>295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">
        <v>289</v>
      </c>
    </row>
    <row r="1595" spans="1:22">
      <c r="A1595" t="s">
        <v>51</v>
      </c>
      <c r="B1595" t="s">
        <v>287</v>
      </c>
      <c r="C1595" t="s">
        <v>288</v>
      </c>
      <c r="D1595">
        <v>0.69</v>
      </c>
      <c r="E1595">
        <v>1.1299999999999999</v>
      </c>
      <c r="F1595">
        <v>3.61</v>
      </c>
      <c r="G1595">
        <v>5.69</v>
      </c>
      <c r="H1595">
        <v>6.89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18</v>
      </c>
      <c r="V1595" t="s">
        <v>289</v>
      </c>
    </row>
    <row r="1596" spans="1:22">
      <c r="A1596" t="s">
        <v>51</v>
      </c>
      <c r="B1596" t="s">
        <v>287</v>
      </c>
      <c r="C1596" t="s">
        <v>290</v>
      </c>
      <c r="D1596">
        <v>2</v>
      </c>
      <c r="E1596">
        <v>1</v>
      </c>
      <c r="F1596">
        <v>4</v>
      </c>
      <c r="G1596">
        <v>5</v>
      </c>
      <c r="H1596">
        <v>6</v>
      </c>
      <c r="I1596">
        <v>0</v>
      </c>
      <c r="J1596">
        <v>4</v>
      </c>
      <c r="K1596">
        <v>6</v>
      </c>
      <c r="L1596">
        <v>3</v>
      </c>
      <c r="M1596">
        <v>5</v>
      </c>
      <c r="N1596">
        <v>3</v>
      </c>
      <c r="O1596">
        <v>3</v>
      </c>
      <c r="P1596">
        <v>6</v>
      </c>
      <c r="Q1596">
        <v>6</v>
      </c>
      <c r="R1596">
        <v>7</v>
      </c>
      <c r="S1596">
        <v>11</v>
      </c>
      <c r="T1596">
        <v>0</v>
      </c>
      <c r="U1596">
        <v>18</v>
      </c>
      <c r="V1596" t="s">
        <v>289</v>
      </c>
    </row>
    <row r="1597" spans="1:22">
      <c r="A1597" t="s">
        <v>51</v>
      </c>
      <c r="B1597" t="s">
        <v>287</v>
      </c>
      <c r="C1597" t="s">
        <v>291</v>
      </c>
      <c r="D1597">
        <v>0</v>
      </c>
      <c r="E1597">
        <v>0</v>
      </c>
      <c r="F1597">
        <v>5</v>
      </c>
      <c r="G1597">
        <v>0</v>
      </c>
      <c r="H1597">
        <v>4</v>
      </c>
      <c r="I1597">
        <v>0</v>
      </c>
      <c r="J1597">
        <v>2</v>
      </c>
      <c r="K1597">
        <v>2</v>
      </c>
      <c r="L1597">
        <v>0</v>
      </c>
      <c r="M1597">
        <v>5</v>
      </c>
      <c r="N1597">
        <v>3</v>
      </c>
      <c r="O1597">
        <v>1</v>
      </c>
      <c r="P1597">
        <v>4</v>
      </c>
      <c r="Q1597">
        <v>1</v>
      </c>
      <c r="R1597">
        <v>2</v>
      </c>
      <c r="S1597">
        <v>7</v>
      </c>
      <c r="T1597">
        <v>0</v>
      </c>
      <c r="U1597">
        <v>9</v>
      </c>
      <c r="V1597" t="s">
        <v>289</v>
      </c>
    </row>
    <row r="1598" spans="1:22">
      <c r="A1598" t="s">
        <v>51</v>
      </c>
      <c r="B1598" t="s">
        <v>287</v>
      </c>
      <c r="C1598" t="s">
        <v>292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 t="s">
        <v>289</v>
      </c>
    </row>
    <row r="1599" spans="1:22">
      <c r="A1599" t="s">
        <v>51</v>
      </c>
      <c r="B1599" t="s">
        <v>287</v>
      </c>
      <c r="C1599" t="s">
        <v>298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 t="s">
        <v>289</v>
      </c>
    </row>
    <row r="1600" spans="1:22">
      <c r="A1600" t="s">
        <v>51</v>
      </c>
      <c r="B1600" t="s">
        <v>287</v>
      </c>
      <c r="C1600" t="s">
        <v>293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">
        <v>289</v>
      </c>
    </row>
    <row r="1601" spans="1:22">
      <c r="A1601" t="s">
        <v>51</v>
      </c>
      <c r="B1601" t="s">
        <v>287</v>
      </c>
      <c r="C1601" t="s">
        <v>294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289</v>
      </c>
    </row>
    <row r="1602" spans="1:22">
      <c r="A1602" t="s">
        <v>51</v>
      </c>
      <c r="B1602" t="s">
        <v>287</v>
      </c>
      <c r="C1602" t="s">
        <v>17</v>
      </c>
      <c r="D1602">
        <v>2</v>
      </c>
      <c r="E1602">
        <v>1</v>
      </c>
      <c r="F1602">
        <v>9</v>
      </c>
      <c r="G1602">
        <v>5</v>
      </c>
      <c r="H1602">
        <v>10</v>
      </c>
      <c r="I1602">
        <v>0</v>
      </c>
      <c r="J1602">
        <v>6</v>
      </c>
      <c r="K1602">
        <v>8</v>
      </c>
      <c r="L1602">
        <v>3</v>
      </c>
      <c r="M1602">
        <v>10</v>
      </c>
      <c r="N1602">
        <v>6</v>
      </c>
      <c r="O1602">
        <v>4</v>
      </c>
      <c r="P1602">
        <v>10</v>
      </c>
      <c r="Q1602">
        <v>7</v>
      </c>
      <c r="R1602">
        <v>9</v>
      </c>
      <c r="S1602">
        <v>18</v>
      </c>
      <c r="T1602">
        <v>0</v>
      </c>
      <c r="U1602">
        <v>27</v>
      </c>
      <c r="V1602" t="s">
        <v>289</v>
      </c>
    </row>
    <row r="1603" spans="1:22">
      <c r="A1603" t="s">
        <v>51</v>
      </c>
      <c r="B1603" t="s">
        <v>287</v>
      </c>
      <c r="C1603" t="s">
        <v>295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t="s">
        <v>289</v>
      </c>
    </row>
    <row r="1604" spans="1:22">
      <c r="A1604" t="s">
        <v>52</v>
      </c>
      <c r="B1604" t="s">
        <v>287</v>
      </c>
      <c r="C1604" t="s">
        <v>288</v>
      </c>
      <c r="D1604">
        <v>0.73</v>
      </c>
      <c r="E1604">
        <v>1.22</v>
      </c>
      <c r="F1604">
        <v>3.62</v>
      </c>
      <c r="G1604">
        <v>5.68</v>
      </c>
      <c r="H1604">
        <v>6.75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0</v>
      </c>
      <c r="U1604">
        <v>18</v>
      </c>
      <c r="V1604" t="s">
        <v>289</v>
      </c>
    </row>
    <row r="1605" spans="1:22">
      <c r="A1605" t="s">
        <v>52</v>
      </c>
      <c r="B1605" t="s">
        <v>287</v>
      </c>
      <c r="C1605" t="s">
        <v>290</v>
      </c>
      <c r="D1605">
        <v>0</v>
      </c>
      <c r="E1605">
        <v>1</v>
      </c>
      <c r="F1605">
        <v>4</v>
      </c>
      <c r="G1605">
        <v>6</v>
      </c>
      <c r="H1605">
        <v>7</v>
      </c>
      <c r="I1605">
        <v>2</v>
      </c>
      <c r="J1605">
        <v>2</v>
      </c>
      <c r="K1605">
        <v>6</v>
      </c>
      <c r="L1605">
        <v>1</v>
      </c>
      <c r="M1605">
        <v>7</v>
      </c>
      <c r="N1605">
        <v>7</v>
      </c>
      <c r="O1605">
        <v>4</v>
      </c>
      <c r="P1605">
        <v>4</v>
      </c>
      <c r="Q1605">
        <v>3</v>
      </c>
      <c r="R1605">
        <v>9</v>
      </c>
      <c r="S1605">
        <v>9</v>
      </c>
      <c r="T1605">
        <v>0</v>
      </c>
      <c r="U1605">
        <v>18</v>
      </c>
      <c r="V1605" t="s">
        <v>289</v>
      </c>
    </row>
    <row r="1606" spans="1:22">
      <c r="A1606" t="s">
        <v>52</v>
      </c>
      <c r="B1606" t="s">
        <v>287</v>
      </c>
      <c r="C1606" t="s">
        <v>291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">
        <v>289</v>
      </c>
    </row>
    <row r="1607" spans="1:22">
      <c r="A1607" t="s">
        <v>52</v>
      </c>
      <c r="B1607" t="s">
        <v>287</v>
      </c>
      <c r="C1607" t="s">
        <v>292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t="s">
        <v>289</v>
      </c>
    </row>
    <row r="1608" spans="1:22">
      <c r="A1608" t="s">
        <v>52</v>
      </c>
      <c r="B1608" t="s">
        <v>287</v>
      </c>
      <c r="C1608" t="s">
        <v>298</v>
      </c>
      <c r="D1608">
        <v>0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  <c r="U1608">
        <v>1</v>
      </c>
      <c r="V1608" t="s">
        <v>289</v>
      </c>
    </row>
    <row r="1609" spans="1:22">
      <c r="A1609" t="s">
        <v>52</v>
      </c>
      <c r="B1609" t="s">
        <v>287</v>
      </c>
      <c r="C1609" t="s">
        <v>293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">
        <v>289</v>
      </c>
    </row>
    <row r="1610" spans="1:22">
      <c r="A1610" t="s">
        <v>52</v>
      </c>
      <c r="B1610" t="s">
        <v>287</v>
      </c>
      <c r="C1610" t="s">
        <v>294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">
        <v>289</v>
      </c>
    </row>
    <row r="1611" spans="1:22">
      <c r="A1611" t="s">
        <v>52</v>
      </c>
      <c r="B1611" t="s">
        <v>287</v>
      </c>
      <c r="C1611" t="s">
        <v>17</v>
      </c>
      <c r="D1611">
        <v>0</v>
      </c>
      <c r="E1611">
        <v>1</v>
      </c>
      <c r="F1611">
        <v>4</v>
      </c>
      <c r="G1611">
        <v>7</v>
      </c>
      <c r="H1611">
        <v>7</v>
      </c>
      <c r="I1611">
        <v>2</v>
      </c>
      <c r="J1611">
        <v>3</v>
      </c>
      <c r="K1611">
        <v>6</v>
      </c>
      <c r="L1611">
        <v>1</v>
      </c>
      <c r="M1611">
        <v>7</v>
      </c>
      <c r="N1611">
        <v>8</v>
      </c>
      <c r="O1611">
        <v>4</v>
      </c>
      <c r="P1611">
        <v>4</v>
      </c>
      <c r="Q1611">
        <v>3</v>
      </c>
      <c r="R1611">
        <v>10</v>
      </c>
      <c r="S1611">
        <v>9</v>
      </c>
      <c r="T1611">
        <v>0</v>
      </c>
      <c r="U1611">
        <v>19</v>
      </c>
      <c r="V1611" t="s">
        <v>289</v>
      </c>
    </row>
    <row r="1612" spans="1:22">
      <c r="A1612" t="s">
        <v>52</v>
      </c>
      <c r="B1612" t="s">
        <v>287</v>
      </c>
      <c r="C1612" t="s">
        <v>295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">
        <v>289</v>
      </c>
    </row>
    <row r="1613" spans="1:22">
      <c r="A1613" t="s">
        <v>53</v>
      </c>
      <c r="B1613" t="s">
        <v>287</v>
      </c>
      <c r="C1613" t="s">
        <v>288</v>
      </c>
      <c r="D1613">
        <v>0.71</v>
      </c>
      <c r="E1613">
        <v>1.21</v>
      </c>
      <c r="F1613">
        <v>3.58</v>
      </c>
      <c r="G1613">
        <v>5.64</v>
      </c>
      <c r="H1613">
        <v>6.85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18</v>
      </c>
      <c r="V1613" t="s">
        <v>289</v>
      </c>
    </row>
    <row r="1614" spans="1:22">
      <c r="A1614" t="s">
        <v>53</v>
      </c>
      <c r="B1614" t="s">
        <v>287</v>
      </c>
      <c r="C1614" t="s">
        <v>290</v>
      </c>
      <c r="D1614">
        <v>1</v>
      </c>
      <c r="E1614">
        <v>1</v>
      </c>
      <c r="F1614">
        <v>5</v>
      </c>
      <c r="G1614">
        <v>5</v>
      </c>
      <c r="H1614">
        <v>7</v>
      </c>
      <c r="I1614">
        <v>1</v>
      </c>
      <c r="J1614">
        <v>3</v>
      </c>
      <c r="K1614">
        <v>6</v>
      </c>
      <c r="L1614">
        <v>2</v>
      </c>
      <c r="M1614">
        <v>7</v>
      </c>
      <c r="N1614">
        <v>5</v>
      </c>
      <c r="O1614">
        <v>5</v>
      </c>
      <c r="P1614">
        <v>5</v>
      </c>
      <c r="Q1614">
        <v>4</v>
      </c>
      <c r="R1614">
        <v>10</v>
      </c>
      <c r="S1614">
        <v>9</v>
      </c>
      <c r="T1614">
        <v>0</v>
      </c>
      <c r="U1614">
        <v>19</v>
      </c>
      <c r="V1614" t="s">
        <v>289</v>
      </c>
    </row>
    <row r="1615" spans="1:22">
      <c r="A1615" t="s">
        <v>53</v>
      </c>
      <c r="B1615" t="s">
        <v>287</v>
      </c>
      <c r="C1615" t="s">
        <v>291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 t="s">
        <v>289</v>
      </c>
    </row>
    <row r="1616" spans="1:22">
      <c r="A1616" t="s">
        <v>53</v>
      </c>
      <c r="B1616" t="s">
        <v>287</v>
      </c>
      <c r="C1616" t="s">
        <v>292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289</v>
      </c>
    </row>
    <row r="1617" spans="1:22">
      <c r="A1617" t="s">
        <v>53</v>
      </c>
      <c r="B1617" t="s">
        <v>287</v>
      </c>
      <c r="C1617" t="s">
        <v>298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 t="s">
        <v>289</v>
      </c>
    </row>
    <row r="1618" spans="1:22">
      <c r="A1618" t="s">
        <v>53</v>
      </c>
      <c r="B1618" t="s">
        <v>287</v>
      </c>
      <c r="C1618" t="s">
        <v>293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 t="s">
        <v>289</v>
      </c>
    </row>
    <row r="1619" spans="1:22">
      <c r="A1619" t="s">
        <v>53</v>
      </c>
      <c r="B1619" t="s">
        <v>287</v>
      </c>
      <c r="C1619" t="s">
        <v>294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 t="s">
        <v>289</v>
      </c>
    </row>
    <row r="1620" spans="1:22">
      <c r="A1620" t="s">
        <v>53</v>
      </c>
      <c r="B1620" t="s">
        <v>287</v>
      </c>
      <c r="C1620" t="s">
        <v>17</v>
      </c>
      <c r="D1620">
        <v>1</v>
      </c>
      <c r="E1620">
        <v>1</v>
      </c>
      <c r="F1620">
        <v>5</v>
      </c>
      <c r="G1620">
        <v>5</v>
      </c>
      <c r="H1620">
        <v>7</v>
      </c>
      <c r="I1620">
        <v>1</v>
      </c>
      <c r="J1620">
        <v>3</v>
      </c>
      <c r="K1620">
        <v>6</v>
      </c>
      <c r="L1620">
        <v>2</v>
      </c>
      <c r="M1620">
        <v>7</v>
      </c>
      <c r="N1620">
        <v>5</v>
      </c>
      <c r="O1620">
        <v>5</v>
      </c>
      <c r="P1620">
        <v>5</v>
      </c>
      <c r="Q1620">
        <v>4</v>
      </c>
      <c r="R1620">
        <v>10</v>
      </c>
      <c r="S1620">
        <v>9</v>
      </c>
      <c r="T1620">
        <v>0</v>
      </c>
      <c r="U1620">
        <v>19</v>
      </c>
      <c r="V1620" t="s">
        <v>289</v>
      </c>
    </row>
    <row r="1621" spans="1:22">
      <c r="A1621" t="s">
        <v>53</v>
      </c>
      <c r="B1621" t="s">
        <v>287</v>
      </c>
      <c r="C1621" t="s">
        <v>295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t="s">
        <v>289</v>
      </c>
    </row>
    <row r="1622" spans="1:22">
      <c r="A1622" t="s">
        <v>54</v>
      </c>
      <c r="B1622" t="s">
        <v>287</v>
      </c>
      <c r="C1622" t="s">
        <v>288</v>
      </c>
      <c r="D1622">
        <v>0.72</v>
      </c>
      <c r="E1622">
        <v>1.1499999999999999</v>
      </c>
      <c r="F1622">
        <v>3.64</v>
      </c>
      <c r="G1622">
        <v>5.68</v>
      </c>
      <c r="H1622">
        <v>6.8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0</v>
      </c>
      <c r="U1622">
        <v>18</v>
      </c>
      <c r="V1622" t="s">
        <v>289</v>
      </c>
    </row>
    <row r="1623" spans="1:22">
      <c r="A1623" t="s">
        <v>54</v>
      </c>
      <c r="B1623" t="s">
        <v>287</v>
      </c>
      <c r="C1623" t="s">
        <v>290</v>
      </c>
      <c r="D1623">
        <v>1</v>
      </c>
      <c r="E1623">
        <v>0</v>
      </c>
      <c r="F1623">
        <v>4</v>
      </c>
      <c r="G1623">
        <v>5</v>
      </c>
      <c r="H1623">
        <v>7</v>
      </c>
      <c r="I1623">
        <v>0</v>
      </c>
      <c r="J1623">
        <v>2</v>
      </c>
      <c r="K1623">
        <v>5</v>
      </c>
      <c r="L1623">
        <v>2</v>
      </c>
      <c r="M1623">
        <v>8</v>
      </c>
      <c r="N1623">
        <v>4</v>
      </c>
      <c r="O1623">
        <v>3</v>
      </c>
      <c r="P1623">
        <v>9</v>
      </c>
      <c r="Q1623">
        <v>1</v>
      </c>
      <c r="R1623">
        <v>11</v>
      </c>
      <c r="S1623">
        <v>6</v>
      </c>
      <c r="T1623">
        <v>0</v>
      </c>
      <c r="U1623">
        <v>17</v>
      </c>
      <c r="V1623" t="s">
        <v>289</v>
      </c>
    </row>
    <row r="1624" spans="1:22">
      <c r="A1624" t="s">
        <v>54</v>
      </c>
      <c r="B1624" t="s">
        <v>287</v>
      </c>
      <c r="C1624" t="s">
        <v>291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">
        <v>289</v>
      </c>
    </row>
    <row r="1625" spans="1:22">
      <c r="A1625" t="s">
        <v>54</v>
      </c>
      <c r="B1625" t="s">
        <v>287</v>
      </c>
      <c r="C1625" t="s">
        <v>292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">
        <v>289</v>
      </c>
    </row>
    <row r="1626" spans="1:22">
      <c r="A1626" t="s">
        <v>54</v>
      </c>
      <c r="B1626" t="s">
        <v>287</v>
      </c>
      <c r="C1626" t="s">
        <v>298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">
        <v>289</v>
      </c>
    </row>
    <row r="1627" spans="1:22">
      <c r="A1627" t="s">
        <v>54</v>
      </c>
      <c r="B1627" t="s">
        <v>287</v>
      </c>
      <c r="C1627" t="s">
        <v>293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">
        <v>289</v>
      </c>
    </row>
    <row r="1628" spans="1:22">
      <c r="A1628" t="s">
        <v>54</v>
      </c>
      <c r="B1628" t="s">
        <v>287</v>
      </c>
      <c r="C1628" t="s">
        <v>294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 t="s">
        <v>289</v>
      </c>
    </row>
    <row r="1629" spans="1:22">
      <c r="A1629" t="s">
        <v>54</v>
      </c>
      <c r="B1629" t="s">
        <v>287</v>
      </c>
      <c r="C1629" t="s">
        <v>17</v>
      </c>
      <c r="D1629">
        <v>1</v>
      </c>
      <c r="E1629">
        <v>0</v>
      </c>
      <c r="F1629">
        <v>4</v>
      </c>
      <c r="G1629">
        <v>5</v>
      </c>
      <c r="H1629">
        <v>7</v>
      </c>
      <c r="I1629">
        <v>0</v>
      </c>
      <c r="J1629">
        <v>2</v>
      </c>
      <c r="K1629">
        <v>5</v>
      </c>
      <c r="L1629">
        <v>2</v>
      </c>
      <c r="M1629">
        <v>8</v>
      </c>
      <c r="N1629">
        <v>4</v>
      </c>
      <c r="O1629">
        <v>3</v>
      </c>
      <c r="P1629">
        <v>9</v>
      </c>
      <c r="Q1629">
        <v>1</v>
      </c>
      <c r="R1629">
        <v>11</v>
      </c>
      <c r="S1629">
        <v>6</v>
      </c>
      <c r="T1629">
        <v>0</v>
      </c>
      <c r="U1629">
        <v>17</v>
      </c>
      <c r="V1629" t="s">
        <v>289</v>
      </c>
    </row>
    <row r="1630" spans="1:22">
      <c r="A1630" t="s">
        <v>54</v>
      </c>
      <c r="B1630" t="s">
        <v>287</v>
      </c>
      <c r="C1630" t="s">
        <v>295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 t="s">
        <v>289</v>
      </c>
    </row>
    <row r="1631" spans="1:22">
      <c r="A1631" t="s">
        <v>150</v>
      </c>
      <c r="B1631" t="s">
        <v>287</v>
      </c>
      <c r="C1631" t="s">
        <v>288</v>
      </c>
      <c r="D1631">
        <v>6.67</v>
      </c>
      <c r="E1631">
        <v>11.77</v>
      </c>
      <c r="F1631">
        <v>39.909999999999997</v>
      </c>
      <c r="G1631">
        <v>63.87</v>
      </c>
      <c r="H1631">
        <v>77.8</v>
      </c>
      <c r="I1631">
        <v>11</v>
      </c>
      <c r="J1631">
        <v>11</v>
      </c>
      <c r="K1631">
        <v>11</v>
      </c>
      <c r="L1631">
        <v>11</v>
      </c>
      <c r="M1631">
        <v>11</v>
      </c>
      <c r="N1631">
        <v>11</v>
      </c>
      <c r="O1631">
        <v>11</v>
      </c>
      <c r="P1631">
        <v>11</v>
      </c>
      <c r="Q1631">
        <v>11</v>
      </c>
      <c r="R1631">
        <v>11</v>
      </c>
      <c r="S1631">
        <v>11</v>
      </c>
      <c r="T1631">
        <v>0</v>
      </c>
      <c r="U1631">
        <v>200</v>
      </c>
      <c r="V1631" t="s">
        <v>289</v>
      </c>
    </row>
    <row r="1632" spans="1:22">
      <c r="A1632" t="s">
        <v>150</v>
      </c>
      <c r="B1632" t="s">
        <v>287</v>
      </c>
      <c r="C1632" t="s">
        <v>290</v>
      </c>
      <c r="D1632">
        <v>10</v>
      </c>
      <c r="E1632">
        <v>8</v>
      </c>
      <c r="F1632">
        <v>40</v>
      </c>
      <c r="G1632">
        <v>60</v>
      </c>
      <c r="H1632">
        <v>74</v>
      </c>
      <c r="I1632">
        <v>9</v>
      </c>
      <c r="J1632">
        <v>26</v>
      </c>
      <c r="K1632">
        <v>56</v>
      </c>
      <c r="L1632">
        <v>20</v>
      </c>
      <c r="M1632">
        <v>81</v>
      </c>
      <c r="N1632">
        <v>53</v>
      </c>
      <c r="O1632">
        <v>41</v>
      </c>
      <c r="P1632">
        <v>65</v>
      </c>
      <c r="Q1632">
        <v>33</v>
      </c>
      <c r="R1632">
        <v>99</v>
      </c>
      <c r="S1632">
        <v>93</v>
      </c>
      <c r="T1632">
        <v>0</v>
      </c>
      <c r="U1632">
        <v>192</v>
      </c>
      <c r="V1632" t="s">
        <v>289</v>
      </c>
    </row>
    <row r="1633" spans="1:22">
      <c r="A1633" t="s">
        <v>150</v>
      </c>
      <c r="B1633" t="s">
        <v>287</v>
      </c>
      <c r="C1633" t="s">
        <v>291</v>
      </c>
      <c r="D1633">
        <v>0</v>
      </c>
      <c r="E1633">
        <v>2</v>
      </c>
      <c r="F1633">
        <v>6</v>
      </c>
      <c r="G1633">
        <v>7</v>
      </c>
      <c r="H1633">
        <v>6</v>
      </c>
      <c r="I1633">
        <v>0</v>
      </c>
      <c r="J1633">
        <v>2</v>
      </c>
      <c r="K1633">
        <v>8</v>
      </c>
      <c r="L1633">
        <v>0</v>
      </c>
      <c r="M1633">
        <v>11</v>
      </c>
      <c r="N1633">
        <v>7</v>
      </c>
      <c r="O1633">
        <v>3</v>
      </c>
      <c r="P1633">
        <v>7</v>
      </c>
      <c r="Q1633">
        <v>4</v>
      </c>
      <c r="R1633">
        <v>11</v>
      </c>
      <c r="S1633">
        <v>10</v>
      </c>
      <c r="T1633">
        <v>0</v>
      </c>
      <c r="U1633">
        <v>21</v>
      </c>
      <c r="V1633" t="s">
        <v>289</v>
      </c>
    </row>
    <row r="1634" spans="1:22">
      <c r="A1634" t="s">
        <v>150</v>
      </c>
      <c r="B1634" t="s">
        <v>287</v>
      </c>
      <c r="C1634" t="s">
        <v>292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t="s">
        <v>289</v>
      </c>
    </row>
    <row r="1635" spans="1:22">
      <c r="A1635" t="s">
        <v>150</v>
      </c>
      <c r="B1635" t="s">
        <v>287</v>
      </c>
      <c r="C1635" t="s">
        <v>298</v>
      </c>
      <c r="D1635">
        <v>0</v>
      </c>
      <c r="E1635">
        <v>0</v>
      </c>
      <c r="F1635">
        <v>2</v>
      </c>
      <c r="G1635">
        <v>1</v>
      </c>
      <c r="H1635">
        <v>0</v>
      </c>
      <c r="I1635">
        <v>0</v>
      </c>
      <c r="J1635">
        <v>2</v>
      </c>
      <c r="K1635">
        <v>1</v>
      </c>
      <c r="L1635">
        <v>0</v>
      </c>
      <c r="M1635">
        <v>0</v>
      </c>
      <c r="N1635">
        <v>2</v>
      </c>
      <c r="O1635">
        <v>0</v>
      </c>
      <c r="P1635">
        <v>1</v>
      </c>
      <c r="Q1635">
        <v>0</v>
      </c>
      <c r="R1635">
        <v>1</v>
      </c>
      <c r="S1635">
        <v>2</v>
      </c>
      <c r="T1635">
        <v>0</v>
      </c>
      <c r="U1635">
        <v>3</v>
      </c>
      <c r="V1635" t="s">
        <v>289</v>
      </c>
    </row>
    <row r="1636" spans="1:22">
      <c r="A1636" t="s">
        <v>150</v>
      </c>
      <c r="B1636" t="s">
        <v>287</v>
      </c>
      <c r="C1636" t="s">
        <v>293</v>
      </c>
      <c r="D1636">
        <v>1</v>
      </c>
      <c r="E1636">
        <v>0</v>
      </c>
      <c r="F1636">
        <v>2</v>
      </c>
      <c r="G1636">
        <v>2</v>
      </c>
      <c r="H1636">
        <v>0</v>
      </c>
      <c r="I1636">
        <v>0</v>
      </c>
      <c r="J1636">
        <v>1</v>
      </c>
      <c r="K1636">
        <v>1</v>
      </c>
      <c r="L1636">
        <v>0</v>
      </c>
      <c r="M1636">
        <v>3</v>
      </c>
      <c r="N1636">
        <v>3</v>
      </c>
      <c r="O1636">
        <v>1</v>
      </c>
      <c r="P1636">
        <v>1</v>
      </c>
      <c r="Q1636">
        <v>0</v>
      </c>
      <c r="R1636">
        <v>4</v>
      </c>
      <c r="S1636">
        <v>1</v>
      </c>
      <c r="T1636">
        <v>0</v>
      </c>
      <c r="U1636">
        <v>5</v>
      </c>
      <c r="V1636" t="s">
        <v>289</v>
      </c>
    </row>
    <row r="1637" spans="1:22">
      <c r="A1637" t="s">
        <v>150</v>
      </c>
      <c r="B1637" t="s">
        <v>287</v>
      </c>
      <c r="C1637" t="s">
        <v>294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 t="s">
        <v>289</v>
      </c>
    </row>
    <row r="1638" spans="1:22">
      <c r="A1638" t="s">
        <v>150</v>
      </c>
      <c r="B1638" t="s">
        <v>287</v>
      </c>
      <c r="C1638" t="s">
        <v>17</v>
      </c>
      <c r="D1638">
        <v>11</v>
      </c>
      <c r="E1638">
        <v>10</v>
      </c>
      <c r="F1638">
        <v>50</v>
      </c>
      <c r="G1638">
        <v>70</v>
      </c>
      <c r="H1638">
        <v>80</v>
      </c>
      <c r="I1638">
        <v>9</v>
      </c>
      <c r="J1638">
        <v>31</v>
      </c>
      <c r="K1638">
        <v>66</v>
      </c>
      <c r="L1638">
        <v>20</v>
      </c>
      <c r="M1638">
        <v>95</v>
      </c>
      <c r="N1638">
        <v>65</v>
      </c>
      <c r="O1638">
        <v>45</v>
      </c>
      <c r="P1638">
        <v>74</v>
      </c>
      <c r="Q1638">
        <v>37</v>
      </c>
      <c r="R1638">
        <v>115</v>
      </c>
      <c r="S1638">
        <v>106</v>
      </c>
      <c r="T1638">
        <v>0</v>
      </c>
      <c r="U1638">
        <v>221</v>
      </c>
      <c r="V1638" t="s">
        <v>289</v>
      </c>
    </row>
    <row r="1639" spans="1:22">
      <c r="A1639" t="s">
        <v>150</v>
      </c>
      <c r="B1639" t="s">
        <v>287</v>
      </c>
      <c r="C1639" t="s">
        <v>295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t="s">
        <v>289</v>
      </c>
    </row>
    <row r="1640" spans="1:22">
      <c r="V1640" s="1"/>
    </row>
    <row r="1641" spans="1:22">
      <c r="V1641" s="1"/>
    </row>
    <row r="1642" spans="1:22">
      <c r="V1642" s="1"/>
    </row>
    <row r="1643" spans="1:22">
      <c r="V1643" s="1"/>
    </row>
    <row r="1644" spans="1:22">
      <c r="V1644" s="1"/>
    </row>
    <row r="1645" spans="1:22">
      <c r="V1645" s="1"/>
    </row>
    <row r="1646" spans="1:22">
      <c r="V1646" s="1"/>
    </row>
    <row r="1647" spans="1:22">
      <c r="V1647" s="1"/>
    </row>
    <row r="1648" spans="1:22">
      <c r="V1648" s="1"/>
    </row>
    <row r="1649" spans="22:22">
      <c r="V1649" s="1"/>
    </row>
    <row r="1650" spans="22:22">
      <c r="V1650" s="1"/>
    </row>
    <row r="1651" spans="22:22">
      <c r="V1651" s="1"/>
    </row>
    <row r="1652" spans="22:22">
      <c r="V1652" s="1"/>
    </row>
    <row r="1653" spans="22:22">
      <c r="V1653" s="1"/>
    </row>
    <row r="1654" spans="22:22">
      <c r="V1654" s="1"/>
    </row>
    <row r="1655" spans="22:22">
      <c r="V1655" s="1"/>
    </row>
    <row r="1656" spans="22:22">
      <c r="V1656" s="1"/>
    </row>
    <row r="1657" spans="22:22">
      <c r="V1657" s="1"/>
    </row>
    <row r="1658" spans="22:22">
      <c r="V1658" s="1"/>
    </row>
    <row r="1659" spans="22:22">
      <c r="V1659" s="1"/>
    </row>
    <row r="1660" spans="22:22">
      <c r="V1660" s="1"/>
    </row>
    <row r="1661" spans="22:22">
      <c r="V1661" s="1"/>
    </row>
    <row r="1662" spans="22:22">
      <c r="V1662" s="1"/>
    </row>
    <row r="1663" spans="22:22">
      <c r="V1663" s="1"/>
    </row>
    <row r="1664" spans="22:22">
      <c r="V1664" s="1"/>
    </row>
    <row r="1665" spans="22:22">
      <c r="V1665" s="1"/>
    </row>
    <row r="1666" spans="22:22">
      <c r="V1666" s="1"/>
    </row>
    <row r="1667" spans="22:22">
      <c r="V1667" s="1"/>
    </row>
    <row r="1668" spans="22:22">
      <c r="V1668" s="1"/>
    </row>
    <row r="1669" spans="22:22">
      <c r="V1669" s="1"/>
    </row>
    <row r="1670" spans="22:22">
      <c r="V1670" s="1"/>
    </row>
    <row r="1671" spans="22:22">
      <c r="V1671" s="1"/>
    </row>
    <row r="1672" spans="22:22">
      <c r="V1672" s="1"/>
    </row>
    <row r="1673" spans="22:22">
      <c r="V1673" s="1"/>
    </row>
    <row r="1674" spans="22:22">
      <c r="V1674" s="1"/>
    </row>
    <row r="1675" spans="22:22">
      <c r="V1675" s="1"/>
    </row>
    <row r="1676" spans="22:22">
      <c r="V1676" s="1"/>
    </row>
    <row r="1677" spans="22:22">
      <c r="V1677" s="1"/>
    </row>
    <row r="1678" spans="22:22">
      <c r="V1678" s="1"/>
    </row>
    <row r="1679" spans="22:22">
      <c r="V1679" s="1"/>
    </row>
    <row r="1680" spans="22:22">
      <c r="V1680" s="1"/>
    </row>
    <row r="1681" spans="22:22">
      <c r="V1681" s="1"/>
    </row>
    <row r="1682" spans="22:22">
      <c r="V1682" s="1"/>
    </row>
    <row r="1683" spans="22:22">
      <c r="V1683" s="1"/>
    </row>
    <row r="1684" spans="22:22">
      <c r="V1684" s="1"/>
    </row>
    <row r="1685" spans="22:22">
      <c r="V1685" s="1"/>
    </row>
    <row r="1686" spans="22:22">
      <c r="V1686" s="1"/>
    </row>
    <row r="1687" spans="22:22">
      <c r="V1687" s="1"/>
    </row>
    <row r="1688" spans="22:22">
      <c r="V1688" s="1"/>
    </row>
    <row r="1689" spans="22:22">
      <c r="V1689" s="1"/>
    </row>
    <row r="1690" spans="22:22">
      <c r="V1690" s="1"/>
    </row>
    <row r="1691" spans="22:22">
      <c r="V1691" s="1"/>
    </row>
    <row r="1692" spans="22:22">
      <c r="V1692" s="1"/>
    </row>
    <row r="1693" spans="22:22">
      <c r="V1693" s="1"/>
    </row>
    <row r="1694" spans="22:22">
      <c r="V1694" s="1"/>
    </row>
    <row r="1695" spans="22:22">
      <c r="V1695" s="1"/>
    </row>
    <row r="1696" spans="22:22">
      <c r="V1696" s="1"/>
    </row>
    <row r="1697" spans="22:22">
      <c r="V1697" s="1"/>
    </row>
    <row r="1698" spans="22:22">
      <c r="V1698" s="1"/>
    </row>
    <row r="1699" spans="22:22">
      <c r="V1699" s="1"/>
    </row>
    <row r="1700" spans="22:22">
      <c r="V1700" s="1"/>
    </row>
    <row r="1701" spans="22:22">
      <c r="V1701" s="1"/>
    </row>
    <row r="1702" spans="22:22">
      <c r="V1702" s="1"/>
    </row>
    <row r="1703" spans="22:22">
      <c r="V1703" s="1"/>
    </row>
    <row r="1704" spans="22:22">
      <c r="V1704" s="1"/>
    </row>
    <row r="1705" spans="22:22">
      <c r="V1705" s="1"/>
    </row>
    <row r="1706" spans="22:22">
      <c r="V1706" s="1"/>
    </row>
    <row r="1707" spans="22:22">
      <c r="V1707" s="1"/>
    </row>
    <row r="1708" spans="22:22">
      <c r="V1708" s="1"/>
    </row>
    <row r="1709" spans="22:22">
      <c r="V1709" s="1"/>
    </row>
    <row r="1710" spans="22:22">
      <c r="V1710" s="1"/>
    </row>
    <row r="1711" spans="22:22">
      <c r="V1711" s="1"/>
    </row>
    <row r="1712" spans="22:22">
      <c r="V1712" s="1"/>
    </row>
    <row r="1713" spans="22:22">
      <c r="V1713" s="1"/>
    </row>
    <row r="1714" spans="22:22">
      <c r="V1714" s="1"/>
    </row>
    <row r="1715" spans="22:22">
      <c r="V1715" s="1"/>
    </row>
    <row r="1716" spans="22:22">
      <c r="V1716" s="1"/>
    </row>
    <row r="1717" spans="22:22">
      <c r="V1717" s="1"/>
    </row>
    <row r="1718" spans="22:22">
      <c r="V1718" s="1"/>
    </row>
    <row r="1719" spans="22:22">
      <c r="V1719" s="1"/>
    </row>
    <row r="1720" spans="22:22">
      <c r="V1720" s="1"/>
    </row>
    <row r="1721" spans="22:22">
      <c r="V1721" s="1"/>
    </row>
    <row r="1722" spans="22:22">
      <c r="V1722" s="1"/>
    </row>
    <row r="1723" spans="22:22">
      <c r="V1723" s="1"/>
    </row>
    <row r="1724" spans="22:22">
      <c r="V1724" s="1"/>
    </row>
    <row r="1725" spans="22:22">
      <c r="V1725" s="1"/>
    </row>
    <row r="1726" spans="22:22">
      <c r="V1726" s="1"/>
    </row>
    <row r="1727" spans="22:22">
      <c r="V1727" s="1"/>
    </row>
    <row r="1728" spans="22:22">
      <c r="V1728" s="1"/>
    </row>
    <row r="1729" spans="1:22">
      <c r="A1729">
        <f>setup!C25</f>
        <v>3775</v>
      </c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spans="1:22">
      <c r="A1730" t="str">
        <f>_xlfn.CONCAT(setup!D25," - ",setup!E25)</f>
        <v>Counterbalance WISC-5 Plus/WISC-6 - Paper - CB_WISC5P_P</v>
      </c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spans="1:22">
      <c r="A1731" t="s">
        <v>5</v>
      </c>
      <c r="B1731" t="s">
        <v>259</v>
      </c>
      <c r="C1731" t="s">
        <v>260</v>
      </c>
      <c r="D1731" s="1" t="s">
        <v>29</v>
      </c>
      <c r="E1731" s="1" t="s">
        <v>56</v>
      </c>
      <c r="F1731" s="1" t="s">
        <v>50</v>
      </c>
      <c r="G1731" s="1" t="s">
        <v>38</v>
      </c>
      <c r="H1731" s="1" t="s">
        <v>58</v>
      </c>
      <c r="I1731" s="1" t="s">
        <v>22</v>
      </c>
      <c r="J1731" s="1" t="s">
        <v>36</v>
      </c>
      <c r="K1731" s="1" t="s">
        <v>24</v>
      </c>
      <c r="L1731" s="1" t="s">
        <v>31</v>
      </c>
      <c r="M1731" s="1" t="s">
        <v>39</v>
      </c>
      <c r="N1731" s="1" t="s">
        <v>59</v>
      </c>
      <c r="O1731" s="1" t="s">
        <v>47</v>
      </c>
      <c r="P1731" s="1" t="s">
        <v>33</v>
      </c>
      <c r="Q1731" s="1" t="s">
        <v>60</v>
      </c>
      <c r="R1731" s="1" t="s">
        <v>45</v>
      </c>
      <c r="S1731" s="1" t="s">
        <v>34</v>
      </c>
      <c r="T1731" t="s">
        <v>26</v>
      </c>
      <c r="U1731" s="1" t="s">
        <v>150</v>
      </c>
      <c r="V1731" t="s">
        <v>286</v>
      </c>
    </row>
    <row r="1732" spans="1:22">
      <c r="A1732" t="s">
        <v>65</v>
      </c>
      <c r="B1732" t="s">
        <v>287</v>
      </c>
      <c r="C1732" t="s">
        <v>288</v>
      </c>
      <c r="D1732">
        <v>0.26</v>
      </c>
      <c r="E1732">
        <v>0.5</v>
      </c>
      <c r="F1732">
        <v>1.98</v>
      </c>
      <c r="G1732">
        <v>3.22</v>
      </c>
      <c r="H1732">
        <v>4.04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0</v>
      </c>
      <c r="U1732">
        <v>10</v>
      </c>
      <c r="V1732" t="s">
        <v>289</v>
      </c>
    </row>
    <row r="1733" spans="1:22">
      <c r="A1733" t="s">
        <v>65</v>
      </c>
      <c r="B1733" t="s">
        <v>287</v>
      </c>
      <c r="C1733" t="s">
        <v>290</v>
      </c>
      <c r="D1733">
        <v>1</v>
      </c>
      <c r="E1733">
        <v>1</v>
      </c>
      <c r="F1733">
        <v>2</v>
      </c>
      <c r="G1733">
        <v>2</v>
      </c>
      <c r="H1733">
        <v>4</v>
      </c>
      <c r="I1733">
        <v>1</v>
      </c>
      <c r="J1733">
        <v>2</v>
      </c>
      <c r="K1733">
        <v>2</v>
      </c>
      <c r="L1733">
        <v>3</v>
      </c>
      <c r="M1733">
        <v>2</v>
      </c>
      <c r="N1733">
        <v>3</v>
      </c>
      <c r="O1733">
        <v>3</v>
      </c>
      <c r="P1733">
        <v>2</v>
      </c>
      <c r="Q1733">
        <v>2</v>
      </c>
      <c r="R1733">
        <v>4</v>
      </c>
      <c r="S1733">
        <v>6</v>
      </c>
      <c r="T1733">
        <v>0</v>
      </c>
      <c r="U1733">
        <v>10</v>
      </c>
      <c r="V1733" t="s">
        <v>289</v>
      </c>
    </row>
    <row r="1734" spans="1:22">
      <c r="A1734" t="s">
        <v>65</v>
      </c>
      <c r="B1734" t="s">
        <v>287</v>
      </c>
      <c r="C1734" t="s">
        <v>291</v>
      </c>
      <c r="D1734">
        <v>0</v>
      </c>
      <c r="E1734">
        <v>0</v>
      </c>
      <c r="F1734">
        <v>1</v>
      </c>
      <c r="G1734">
        <v>0</v>
      </c>
      <c r="H1734">
        <v>1</v>
      </c>
      <c r="I1734">
        <v>0</v>
      </c>
      <c r="J1734">
        <v>0</v>
      </c>
      <c r="K1734">
        <v>0</v>
      </c>
      <c r="L1734">
        <v>0</v>
      </c>
      <c r="M1734">
        <v>2</v>
      </c>
      <c r="N1734">
        <v>1</v>
      </c>
      <c r="O1734">
        <v>0</v>
      </c>
      <c r="P1734">
        <v>0</v>
      </c>
      <c r="Q1734">
        <v>1</v>
      </c>
      <c r="R1734">
        <v>2</v>
      </c>
      <c r="S1734">
        <v>0</v>
      </c>
      <c r="T1734">
        <v>0</v>
      </c>
      <c r="U1734">
        <v>2</v>
      </c>
      <c r="V1734" t="s">
        <v>289</v>
      </c>
    </row>
    <row r="1735" spans="1:22">
      <c r="A1735" t="s">
        <v>65</v>
      </c>
      <c r="B1735" t="s">
        <v>287</v>
      </c>
      <c r="C1735" t="s">
        <v>292</v>
      </c>
      <c r="D1735">
        <v>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1</v>
      </c>
      <c r="T1735">
        <v>0</v>
      </c>
      <c r="U1735">
        <v>1</v>
      </c>
      <c r="V1735" t="s">
        <v>289</v>
      </c>
    </row>
    <row r="1736" spans="1:22">
      <c r="A1736" t="s">
        <v>65</v>
      </c>
      <c r="B1736" t="s">
        <v>287</v>
      </c>
      <c r="C1736" t="s">
        <v>298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289</v>
      </c>
    </row>
    <row r="1737" spans="1:22">
      <c r="A1737" t="s">
        <v>65</v>
      </c>
      <c r="B1737" t="s">
        <v>287</v>
      </c>
      <c r="C1737" t="s">
        <v>293</v>
      </c>
      <c r="D1737">
        <v>0</v>
      </c>
      <c r="E1737">
        <v>0</v>
      </c>
      <c r="F1737">
        <v>1</v>
      </c>
      <c r="G1737">
        <v>1</v>
      </c>
      <c r="H1737">
        <v>0</v>
      </c>
      <c r="I1737">
        <v>0</v>
      </c>
      <c r="J1737">
        <v>0</v>
      </c>
      <c r="K1737">
        <v>1</v>
      </c>
      <c r="L1737">
        <v>0</v>
      </c>
      <c r="M1737">
        <v>1</v>
      </c>
      <c r="N1737">
        <v>1</v>
      </c>
      <c r="O1737">
        <v>0</v>
      </c>
      <c r="P1737">
        <v>0</v>
      </c>
      <c r="Q1737">
        <v>1</v>
      </c>
      <c r="R1737">
        <v>2</v>
      </c>
      <c r="S1737">
        <v>0</v>
      </c>
      <c r="T1737">
        <v>0</v>
      </c>
      <c r="U1737">
        <v>2</v>
      </c>
      <c r="V1737" t="s">
        <v>289</v>
      </c>
    </row>
    <row r="1738" spans="1:22">
      <c r="A1738" t="s">
        <v>65</v>
      </c>
      <c r="B1738" t="s">
        <v>287</v>
      </c>
      <c r="C1738" t="s">
        <v>294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">
        <v>289</v>
      </c>
    </row>
    <row r="1739" spans="1:22">
      <c r="A1739" t="s">
        <v>65</v>
      </c>
      <c r="B1739" t="s">
        <v>287</v>
      </c>
      <c r="C1739" t="s">
        <v>17</v>
      </c>
      <c r="D1739">
        <v>2</v>
      </c>
      <c r="E1739">
        <v>1</v>
      </c>
      <c r="F1739">
        <v>4</v>
      </c>
      <c r="G1739">
        <v>3</v>
      </c>
      <c r="H1739">
        <v>5</v>
      </c>
      <c r="I1739">
        <v>1</v>
      </c>
      <c r="J1739">
        <v>2</v>
      </c>
      <c r="K1739">
        <v>4</v>
      </c>
      <c r="L1739">
        <v>3</v>
      </c>
      <c r="M1739">
        <v>5</v>
      </c>
      <c r="N1739">
        <v>5</v>
      </c>
      <c r="O1739">
        <v>3</v>
      </c>
      <c r="P1739">
        <v>3</v>
      </c>
      <c r="Q1739">
        <v>4</v>
      </c>
      <c r="R1739">
        <v>8</v>
      </c>
      <c r="S1739">
        <v>7</v>
      </c>
      <c r="T1739">
        <v>0</v>
      </c>
      <c r="U1739">
        <v>15</v>
      </c>
      <c r="V1739" t="s">
        <v>289</v>
      </c>
    </row>
    <row r="1740" spans="1:22">
      <c r="A1740" t="s">
        <v>65</v>
      </c>
      <c r="B1740" t="s">
        <v>287</v>
      </c>
      <c r="C1740" t="s">
        <v>295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 t="s">
        <v>289</v>
      </c>
    </row>
    <row r="1741" spans="1:22">
      <c r="A1741" t="s">
        <v>40</v>
      </c>
      <c r="B1741" t="s">
        <v>287</v>
      </c>
      <c r="C1741" t="s">
        <v>288</v>
      </c>
      <c r="D1741">
        <v>0.24</v>
      </c>
      <c r="E1741">
        <v>0.48</v>
      </c>
      <c r="F1741">
        <v>1.76</v>
      </c>
      <c r="G1741">
        <v>2.93</v>
      </c>
      <c r="H1741">
        <v>3.59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0</v>
      </c>
      <c r="U1741">
        <v>9</v>
      </c>
      <c r="V1741" t="s">
        <v>289</v>
      </c>
    </row>
    <row r="1742" spans="1:22">
      <c r="A1742" t="s">
        <v>40</v>
      </c>
      <c r="B1742" t="s">
        <v>287</v>
      </c>
      <c r="C1742" t="s">
        <v>290</v>
      </c>
      <c r="D1742">
        <v>0</v>
      </c>
      <c r="E1742">
        <v>0</v>
      </c>
      <c r="F1742">
        <v>2</v>
      </c>
      <c r="G1742">
        <v>2</v>
      </c>
      <c r="H1742">
        <v>3</v>
      </c>
      <c r="I1742">
        <v>0</v>
      </c>
      <c r="J1742">
        <v>1</v>
      </c>
      <c r="K1742">
        <v>2</v>
      </c>
      <c r="L1742">
        <v>1</v>
      </c>
      <c r="M1742">
        <v>3</v>
      </c>
      <c r="N1742">
        <v>2</v>
      </c>
      <c r="O1742">
        <v>1</v>
      </c>
      <c r="P1742">
        <v>3</v>
      </c>
      <c r="Q1742">
        <v>1</v>
      </c>
      <c r="R1742">
        <v>4</v>
      </c>
      <c r="S1742">
        <v>3</v>
      </c>
      <c r="T1742">
        <v>0</v>
      </c>
      <c r="U1742">
        <v>7</v>
      </c>
      <c r="V1742" t="s">
        <v>289</v>
      </c>
    </row>
    <row r="1743" spans="1:22">
      <c r="A1743" t="s">
        <v>40</v>
      </c>
      <c r="B1743" t="s">
        <v>287</v>
      </c>
      <c r="C1743" t="s">
        <v>291</v>
      </c>
      <c r="D1743">
        <v>0</v>
      </c>
      <c r="E1743">
        <v>0</v>
      </c>
      <c r="F1743">
        <v>0</v>
      </c>
      <c r="G1743">
        <v>1</v>
      </c>
      <c r="H1743">
        <v>3</v>
      </c>
      <c r="I1743">
        <v>0</v>
      </c>
      <c r="J1743">
        <v>0</v>
      </c>
      <c r="K1743">
        <v>1</v>
      </c>
      <c r="L1743">
        <v>0</v>
      </c>
      <c r="M1743">
        <v>3</v>
      </c>
      <c r="N1743">
        <v>1</v>
      </c>
      <c r="O1743">
        <v>0</v>
      </c>
      <c r="P1743">
        <v>1</v>
      </c>
      <c r="Q1743">
        <v>2</v>
      </c>
      <c r="R1743">
        <v>4</v>
      </c>
      <c r="S1743">
        <v>0</v>
      </c>
      <c r="T1743">
        <v>0</v>
      </c>
      <c r="U1743">
        <v>4</v>
      </c>
      <c r="V1743" t="s">
        <v>289</v>
      </c>
    </row>
    <row r="1744" spans="1:22">
      <c r="A1744" t="s">
        <v>40</v>
      </c>
      <c r="B1744" t="s">
        <v>287</v>
      </c>
      <c r="C1744" t="s">
        <v>292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">
        <v>289</v>
      </c>
    </row>
    <row r="1745" spans="1:22">
      <c r="A1745" t="s">
        <v>40</v>
      </c>
      <c r="B1745" t="s">
        <v>287</v>
      </c>
      <c r="C1745" t="s">
        <v>298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">
        <v>289</v>
      </c>
    </row>
    <row r="1746" spans="1:22">
      <c r="A1746" t="s">
        <v>40</v>
      </c>
      <c r="B1746" t="s">
        <v>287</v>
      </c>
      <c r="C1746" t="s">
        <v>293</v>
      </c>
      <c r="D1746">
        <v>0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1</v>
      </c>
      <c r="V1746" t="s">
        <v>289</v>
      </c>
    </row>
    <row r="1747" spans="1:22">
      <c r="A1747" t="s">
        <v>40</v>
      </c>
      <c r="B1747" t="s">
        <v>287</v>
      </c>
      <c r="C1747" t="s">
        <v>294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">
        <v>289</v>
      </c>
    </row>
    <row r="1748" spans="1:22">
      <c r="A1748" t="s">
        <v>40</v>
      </c>
      <c r="B1748" t="s">
        <v>287</v>
      </c>
      <c r="C1748" t="s">
        <v>17</v>
      </c>
      <c r="D1748">
        <v>0</v>
      </c>
      <c r="E1748">
        <v>0</v>
      </c>
      <c r="F1748">
        <v>2</v>
      </c>
      <c r="G1748">
        <v>3</v>
      </c>
      <c r="H1748">
        <v>7</v>
      </c>
      <c r="I1748">
        <v>1</v>
      </c>
      <c r="J1748">
        <v>1</v>
      </c>
      <c r="K1748">
        <v>3</v>
      </c>
      <c r="L1748">
        <v>1</v>
      </c>
      <c r="M1748">
        <v>6</v>
      </c>
      <c r="N1748">
        <v>3</v>
      </c>
      <c r="O1748">
        <v>2</v>
      </c>
      <c r="P1748">
        <v>4</v>
      </c>
      <c r="Q1748">
        <v>3</v>
      </c>
      <c r="R1748">
        <v>8</v>
      </c>
      <c r="S1748">
        <v>4</v>
      </c>
      <c r="T1748">
        <v>0</v>
      </c>
      <c r="U1748">
        <v>12</v>
      </c>
      <c r="V1748" t="s">
        <v>289</v>
      </c>
    </row>
    <row r="1749" spans="1:22">
      <c r="A1749" t="s">
        <v>40</v>
      </c>
      <c r="B1749" t="s">
        <v>287</v>
      </c>
      <c r="C1749" t="s">
        <v>295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 t="s">
        <v>289</v>
      </c>
    </row>
    <row r="1750" spans="1:22">
      <c r="A1750" t="s">
        <v>41</v>
      </c>
      <c r="B1750" t="s">
        <v>287</v>
      </c>
      <c r="C1750" t="s">
        <v>288</v>
      </c>
      <c r="D1750">
        <v>0.25</v>
      </c>
      <c r="E1750">
        <v>0.49</v>
      </c>
      <c r="F1750">
        <v>1.78</v>
      </c>
      <c r="G1750">
        <v>2.91</v>
      </c>
      <c r="H1750">
        <v>3.58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0</v>
      </c>
      <c r="U1750">
        <v>9</v>
      </c>
      <c r="V1750" t="s">
        <v>289</v>
      </c>
    </row>
    <row r="1751" spans="1:22">
      <c r="A1751" t="s">
        <v>41</v>
      </c>
      <c r="B1751" t="s">
        <v>287</v>
      </c>
      <c r="C1751" t="s">
        <v>290</v>
      </c>
      <c r="D1751">
        <v>0</v>
      </c>
      <c r="E1751">
        <v>1</v>
      </c>
      <c r="F1751">
        <v>2</v>
      </c>
      <c r="G1751">
        <v>3</v>
      </c>
      <c r="H1751">
        <v>3</v>
      </c>
      <c r="I1751">
        <v>1</v>
      </c>
      <c r="J1751">
        <v>3</v>
      </c>
      <c r="K1751">
        <v>3</v>
      </c>
      <c r="L1751">
        <v>1</v>
      </c>
      <c r="M1751">
        <v>1</v>
      </c>
      <c r="N1751">
        <v>2</v>
      </c>
      <c r="O1751">
        <v>1</v>
      </c>
      <c r="P1751">
        <v>2</v>
      </c>
      <c r="Q1751">
        <v>4</v>
      </c>
      <c r="R1751">
        <v>4</v>
      </c>
      <c r="S1751">
        <v>5</v>
      </c>
      <c r="T1751">
        <v>0</v>
      </c>
      <c r="U1751">
        <v>9</v>
      </c>
      <c r="V1751" t="s">
        <v>289</v>
      </c>
    </row>
    <row r="1752" spans="1:22">
      <c r="A1752" t="s">
        <v>41</v>
      </c>
      <c r="B1752" t="s">
        <v>287</v>
      </c>
      <c r="C1752" t="s">
        <v>291</v>
      </c>
      <c r="D1752">
        <v>0</v>
      </c>
      <c r="E1752">
        <v>0</v>
      </c>
      <c r="F1752">
        <v>1</v>
      </c>
      <c r="G1752">
        <v>0</v>
      </c>
      <c r="H1752">
        <v>2</v>
      </c>
      <c r="I1752">
        <v>0</v>
      </c>
      <c r="J1752">
        <v>0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0</v>
      </c>
      <c r="Q1752">
        <v>1</v>
      </c>
      <c r="R1752">
        <v>1</v>
      </c>
      <c r="S1752">
        <v>2</v>
      </c>
      <c r="T1752">
        <v>0</v>
      </c>
      <c r="U1752">
        <v>3</v>
      </c>
      <c r="V1752" t="s">
        <v>289</v>
      </c>
    </row>
    <row r="1753" spans="1:22">
      <c r="A1753" t="s">
        <v>41</v>
      </c>
      <c r="B1753" t="s">
        <v>287</v>
      </c>
      <c r="C1753" t="s">
        <v>292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 t="s">
        <v>289</v>
      </c>
    </row>
    <row r="1754" spans="1:22">
      <c r="A1754" t="s">
        <v>41</v>
      </c>
      <c r="B1754" t="s">
        <v>287</v>
      </c>
      <c r="C1754" t="s">
        <v>298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 t="s">
        <v>289</v>
      </c>
    </row>
    <row r="1755" spans="1:22">
      <c r="A1755" t="s">
        <v>41</v>
      </c>
      <c r="B1755" t="s">
        <v>287</v>
      </c>
      <c r="C1755" t="s">
        <v>293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1</v>
      </c>
      <c r="T1755">
        <v>0</v>
      </c>
      <c r="U1755">
        <v>2</v>
      </c>
      <c r="V1755" t="s">
        <v>289</v>
      </c>
    </row>
    <row r="1756" spans="1:22">
      <c r="A1756" t="s">
        <v>41</v>
      </c>
      <c r="B1756" t="s">
        <v>287</v>
      </c>
      <c r="C1756" t="s">
        <v>294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 t="s">
        <v>289</v>
      </c>
    </row>
    <row r="1757" spans="1:22">
      <c r="A1757" t="s">
        <v>41</v>
      </c>
      <c r="B1757" t="s">
        <v>287</v>
      </c>
      <c r="C1757" t="s">
        <v>17</v>
      </c>
      <c r="D1757">
        <v>2</v>
      </c>
      <c r="E1757">
        <v>1</v>
      </c>
      <c r="F1757">
        <v>3</v>
      </c>
      <c r="G1757">
        <v>3</v>
      </c>
      <c r="H1757">
        <v>5</v>
      </c>
      <c r="I1757">
        <v>1</v>
      </c>
      <c r="J1757">
        <v>4</v>
      </c>
      <c r="K1757">
        <v>5</v>
      </c>
      <c r="L1757">
        <v>2</v>
      </c>
      <c r="M1757">
        <v>2</v>
      </c>
      <c r="N1757">
        <v>3</v>
      </c>
      <c r="O1757">
        <v>2</v>
      </c>
      <c r="P1757">
        <v>3</v>
      </c>
      <c r="Q1757">
        <v>6</v>
      </c>
      <c r="R1757">
        <v>6</v>
      </c>
      <c r="S1757">
        <v>8</v>
      </c>
      <c r="T1757">
        <v>0</v>
      </c>
      <c r="U1757">
        <v>14</v>
      </c>
      <c r="V1757" t="s">
        <v>289</v>
      </c>
    </row>
    <row r="1758" spans="1:22">
      <c r="A1758" t="s">
        <v>41</v>
      </c>
      <c r="B1758" t="s">
        <v>287</v>
      </c>
      <c r="C1758" t="s">
        <v>295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">
        <v>289</v>
      </c>
    </row>
    <row r="1759" spans="1:22">
      <c r="A1759" t="s">
        <v>43</v>
      </c>
      <c r="B1759" t="s">
        <v>287</v>
      </c>
      <c r="C1759" t="s">
        <v>288</v>
      </c>
      <c r="D1759">
        <v>0.25</v>
      </c>
      <c r="E1759">
        <v>0.5</v>
      </c>
      <c r="F1759">
        <v>1.81</v>
      </c>
      <c r="G1759">
        <v>2.87</v>
      </c>
      <c r="H1759">
        <v>3.57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0</v>
      </c>
      <c r="U1759">
        <v>9</v>
      </c>
      <c r="V1759" t="s">
        <v>289</v>
      </c>
    </row>
    <row r="1760" spans="1:22">
      <c r="A1760" t="s">
        <v>43</v>
      </c>
      <c r="B1760" t="s">
        <v>287</v>
      </c>
      <c r="C1760" t="s">
        <v>290</v>
      </c>
      <c r="D1760">
        <v>1</v>
      </c>
      <c r="E1760">
        <v>2</v>
      </c>
      <c r="F1760">
        <v>2</v>
      </c>
      <c r="G1760">
        <v>2</v>
      </c>
      <c r="H1760">
        <v>2</v>
      </c>
      <c r="I1760">
        <v>1</v>
      </c>
      <c r="J1760">
        <v>1</v>
      </c>
      <c r="K1760">
        <v>4</v>
      </c>
      <c r="L1760">
        <v>1</v>
      </c>
      <c r="M1760">
        <v>2</v>
      </c>
      <c r="N1760">
        <v>2</v>
      </c>
      <c r="O1760">
        <v>1</v>
      </c>
      <c r="P1760">
        <v>3</v>
      </c>
      <c r="Q1760">
        <v>3</v>
      </c>
      <c r="R1760">
        <v>7</v>
      </c>
      <c r="S1760">
        <v>2</v>
      </c>
      <c r="T1760">
        <v>0</v>
      </c>
      <c r="U1760">
        <v>9</v>
      </c>
      <c r="V1760" t="s">
        <v>289</v>
      </c>
    </row>
    <row r="1761" spans="1:22">
      <c r="A1761" t="s">
        <v>43</v>
      </c>
      <c r="B1761" t="s">
        <v>287</v>
      </c>
      <c r="C1761" t="s">
        <v>291</v>
      </c>
      <c r="D1761">
        <v>0</v>
      </c>
      <c r="E1761">
        <v>0</v>
      </c>
      <c r="F1761">
        <v>0</v>
      </c>
      <c r="G1761">
        <v>1</v>
      </c>
      <c r="H1761">
        <v>4</v>
      </c>
      <c r="I1761">
        <v>0</v>
      </c>
      <c r="J1761">
        <v>0</v>
      </c>
      <c r="K1761">
        <v>0</v>
      </c>
      <c r="L1761">
        <v>0</v>
      </c>
      <c r="M1761">
        <v>5</v>
      </c>
      <c r="N1761">
        <v>1</v>
      </c>
      <c r="O1761">
        <v>1</v>
      </c>
      <c r="P1761">
        <v>1</v>
      </c>
      <c r="Q1761">
        <v>2</v>
      </c>
      <c r="R1761">
        <v>3</v>
      </c>
      <c r="S1761">
        <v>2</v>
      </c>
      <c r="T1761">
        <v>0</v>
      </c>
      <c r="U1761">
        <v>5</v>
      </c>
      <c r="V1761" t="s">
        <v>289</v>
      </c>
    </row>
    <row r="1762" spans="1:22">
      <c r="A1762" t="s">
        <v>43</v>
      </c>
      <c r="B1762" t="s">
        <v>287</v>
      </c>
      <c r="C1762" t="s">
        <v>292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">
        <v>289</v>
      </c>
    </row>
    <row r="1763" spans="1:22">
      <c r="A1763" t="s">
        <v>43</v>
      </c>
      <c r="B1763" t="s">
        <v>287</v>
      </c>
      <c r="C1763" t="s">
        <v>298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">
        <v>289</v>
      </c>
    </row>
    <row r="1764" spans="1:22">
      <c r="A1764" t="s">
        <v>43</v>
      </c>
      <c r="B1764" t="s">
        <v>287</v>
      </c>
      <c r="C1764" t="s">
        <v>293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">
        <v>289</v>
      </c>
    </row>
    <row r="1765" spans="1:22">
      <c r="A1765" t="s">
        <v>43</v>
      </c>
      <c r="B1765" t="s">
        <v>287</v>
      </c>
      <c r="C1765" t="s">
        <v>294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">
        <v>289</v>
      </c>
    </row>
    <row r="1766" spans="1:22">
      <c r="A1766" t="s">
        <v>43</v>
      </c>
      <c r="B1766" t="s">
        <v>287</v>
      </c>
      <c r="C1766" t="s">
        <v>17</v>
      </c>
      <c r="D1766">
        <v>1</v>
      </c>
      <c r="E1766">
        <v>2</v>
      </c>
      <c r="F1766">
        <v>2</v>
      </c>
      <c r="G1766">
        <v>3</v>
      </c>
      <c r="H1766">
        <v>6</v>
      </c>
      <c r="I1766">
        <v>1</v>
      </c>
      <c r="J1766">
        <v>1</v>
      </c>
      <c r="K1766">
        <v>4</v>
      </c>
      <c r="L1766">
        <v>1</v>
      </c>
      <c r="M1766">
        <v>7</v>
      </c>
      <c r="N1766">
        <v>3</v>
      </c>
      <c r="O1766">
        <v>2</v>
      </c>
      <c r="P1766">
        <v>4</v>
      </c>
      <c r="Q1766">
        <v>5</v>
      </c>
      <c r="R1766">
        <v>10</v>
      </c>
      <c r="S1766">
        <v>4</v>
      </c>
      <c r="T1766">
        <v>0</v>
      </c>
      <c r="U1766">
        <v>14</v>
      </c>
      <c r="V1766" t="s">
        <v>289</v>
      </c>
    </row>
    <row r="1767" spans="1:22">
      <c r="A1767" t="s">
        <v>43</v>
      </c>
      <c r="B1767" t="s">
        <v>287</v>
      </c>
      <c r="C1767" t="s">
        <v>295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">
        <v>289</v>
      </c>
    </row>
    <row r="1768" spans="1:22">
      <c r="A1768" t="s">
        <v>46</v>
      </c>
      <c r="B1768" t="s">
        <v>287</v>
      </c>
      <c r="C1768" t="s">
        <v>288</v>
      </c>
      <c r="D1768">
        <v>0.28000000000000003</v>
      </c>
      <c r="E1768">
        <v>0.52</v>
      </c>
      <c r="F1768">
        <v>1.81</v>
      </c>
      <c r="G1768">
        <v>2.88</v>
      </c>
      <c r="H1768">
        <v>3.51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0</v>
      </c>
      <c r="U1768">
        <v>9</v>
      </c>
      <c r="V1768" t="s">
        <v>289</v>
      </c>
    </row>
    <row r="1769" spans="1:22">
      <c r="A1769" t="s">
        <v>46</v>
      </c>
      <c r="B1769" t="s">
        <v>287</v>
      </c>
      <c r="C1769" t="s">
        <v>290</v>
      </c>
      <c r="D1769">
        <v>1</v>
      </c>
      <c r="E1769">
        <v>1</v>
      </c>
      <c r="F1769">
        <v>2</v>
      </c>
      <c r="G1769">
        <v>3</v>
      </c>
      <c r="H1769">
        <v>2</v>
      </c>
      <c r="I1769">
        <v>2</v>
      </c>
      <c r="J1769">
        <v>1</v>
      </c>
      <c r="K1769">
        <v>2</v>
      </c>
      <c r="L1769">
        <v>1</v>
      </c>
      <c r="M1769">
        <v>3</v>
      </c>
      <c r="N1769">
        <v>1</v>
      </c>
      <c r="O1769">
        <v>2</v>
      </c>
      <c r="P1769">
        <v>1</v>
      </c>
      <c r="Q1769">
        <v>5</v>
      </c>
      <c r="R1769">
        <v>5</v>
      </c>
      <c r="S1769">
        <v>4</v>
      </c>
      <c r="T1769">
        <v>0</v>
      </c>
      <c r="U1769">
        <v>9</v>
      </c>
      <c r="V1769" t="s">
        <v>289</v>
      </c>
    </row>
    <row r="1770" spans="1:22">
      <c r="A1770" t="s">
        <v>46</v>
      </c>
      <c r="B1770" t="s">
        <v>287</v>
      </c>
      <c r="C1770" t="s">
        <v>291</v>
      </c>
      <c r="D1770">
        <v>0</v>
      </c>
      <c r="E1770">
        <v>0</v>
      </c>
      <c r="F1770">
        <v>1</v>
      </c>
      <c r="G1770">
        <v>0</v>
      </c>
      <c r="H1770">
        <v>2</v>
      </c>
      <c r="I1770">
        <v>0</v>
      </c>
      <c r="J1770">
        <v>0</v>
      </c>
      <c r="K1770">
        <v>0</v>
      </c>
      <c r="L1770">
        <v>1</v>
      </c>
      <c r="M1770">
        <v>2</v>
      </c>
      <c r="N1770">
        <v>0</v>
      </c>
      <c r="O1770">
        <v>1</v>
      </c>
      <c r="P1770">
        <v>1</v>
      </c>
      <c r="Q1770">
        <v>1</v>
      </c>
      <c r="R1770">
        <v>1</v>
      </c>
      <c r="S1770">
        <v>2</v>
      </c>
      <c r="T1770">
        <v>0</v>
      </c>
      <c r="U1770">
        <v>3</v>
      </c>
      <c r="V1770" t="s">
        <v>289</v>
      </c>
    </row>
    <row r="1771" spans="1:22">
      <c r="A1771" t="s">
        <v>46</v>
      </c>
      <c r="B1771" t="s">
        <v>287</v>
      </c>
      <c r="C1771" t="s">
        <v>292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 t="s">
        <v>289</v>
      </c>
    </row>
    <row r="1772" spans="1:22">
      <c r="A1772" t="s">
        <v>46</v>
      </c>
      <c r="B1772" t="s">
        <v>287</v>
      </c>
      <c r="C1772" t="s">
        <v>298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 t="s">
        <v>289</v>
      </c>
    </row>
    <row r="1773" spans="1:22">
      <c r="A1773" t="s">
        <v>46</v>
      </c>
      <c r="B1773" t="s">
        <v>287</v>
      </c>
      <c r="C1773" t="s">
        <v>293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 t="s">
        <v>289</v>
      </c>
    </row>
    <row r="1774" spans="1:22">
      <c r="A1774" t="s">
        <v>46</v>
      </c>
      <c r="B1774" t="s">
        <v>287</v>
      </c>
      <c r="C1774" t="s">
        <v>294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 t="s">
        <v>289</v>
      </c>
    </row>
    <row r="1775" spans="1:22">
      <c r="A1775" t="s">
        <v>46</v>
      </c>
      <c r="B1775" t="s">
        <v>287</v>
      </c>
      <c r="C1775" t="s">
        <v>17</v>
      </c>
      <c r="D1775">
        <v>1</v>
      </c>
      <c r="E1775">
        <v>1</v>
      </c>
      <c r="F1775">
        <v>3</v>
      </c>
      <c r="G1775">
        <v>3</v>
      </c>
      <c r="H1775">
        <v>4</v>
      </c>
      <c r="I1775">
        <v>2</v>
      </c>
      <c r="J1775">
        <v>1</v>
      </c>
      <c r="K1775">
        <v>2</v>
      </c>
      <c r="L1775">
        <v>2</v>
      </c>
      <c r="M1775">
        <v>5</v>
      </c>
      <c r="N1775">
        <v>1</v>
      </c>
      <c r="O1775">
        <v>3</v>
      </c>
      <c r="P1775">
        <v>2</v>
      </c>
      <c r="Q1775">
        <v>6</v>
      </c>
      <c r="R1775">
        <v>6</v>
      </c>
      <c r="S1775">
        <v>6</v>
      </c>
      <c r="T1775">
        <v>0</v>
      </c>
      <c r="U1775">
        <v>12</v>
      </c>
      <c r="V1775" t="s">
        <v>289</v>
      </c>
    </row>
    <row r="1776" spans="1:22">
      <c r="A1776" t="s">
        <v>46</v>
      </c>
      <c r="B1776" t="s">
        <v>287</v>
      </c>
      <c r="C1776" t="s">
        <v>295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 t="s">
        <v>289</v>
      </c>
    </row>
    <row r="1777" spans="1:22">
      <c r="A1777" t="s">
        <v>48</v>
      </c>
      <c r="B1777" t="s">
        <v>287</v>
      </c>
      <c r="C1777" t="s">
        <v>288</v>
      </c>
      <c r="D1777">
        <v>0.3</v>
      </c>
      <c r="E1777">
        <v>0.52</v>
      </c>
      <c r="F1777">
        <v>1.78</v>
      </c>
      <c r="G1777">
        <v>2.88</v>
      </c>
      <c r="H1777">
        <v>3.52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0</v>
      </c>
      <c r="U1777">
        <v>9</v>
      </c>
      <c r="V1777" t="s">
        <v>289</v>
      </c>
    </row>
    <row r="1778" spans="1:22">
      <c r="A1778" t="s">
        <v>48</v>
      </c>
      <c r="B1778" t="s">
        <v>287</v>
      </c>
      <c r="C1778" t="s">
        <v>290</v>
      </c>
      <c r="D1778">
        <v>1</v>
      </c>
      <c r="E1778">
        <v>1</v>
      </c>
      <c r="F1778">
        <v>2</v>
      </c>
      <c r="G1778">
        <v>2</v>
      </c>
      <c r="H1778">
        <v>3</v>
      </c>
      <c r="I1778">
        <v>0</v>
      </c>
      <c r="J1778">
        <v>3</v>
      </c>
      <c r="K1778">
        <v>2</v>
      </c>
      <c r="L1778">
        <v>2</v>
      </c>
      <c r="M1778">
        <v>2</v>
      </c>
      <c r="N1778">
        <v>3</v>
      </c>
      <c r="O1778">
        <v>2</v>
      </c>
      <c r="P1778">
        <v>3</v>
      </c>
      <c r="Q1778">
        <v>1</v>
      </c>
      <c r="R1778">
        <v>5</v>
      </c>
      <c r="S1778">
        <v>4</v>
      </c>
      <c r="T1778">
        <v>0</v>
      </c>
      <c r="U1778">
        <v>9</v>
      </c>
      <c r="V1778" t="s">
        <v>289</v>
      </c>
    </row>
    <row r="1779" spans="1:22">
      <c r="A1779" t="s">
        <v>48</v>
      </c>
      <c r="B1779" t="s">
        <v>287</v>
      </c>
      <c r="C1779" t="s">
        <v>291</v>
      </c>
      <c r="D1779">
        <v>0</v>
      </c>
      <c r="E1779">
        <v>0</v>
      </c>
      <c r="F1779">
        <v>0</v>
      </c>
      <c r="G1779">
        <v>1</v>
      </c>
      <c r="H1779">
        <v>1</v>
      </c>
      <c r="I1779">
        <v>0</v>
      </c>
      <c r="J1779">
        <v>1</v>
      </c>
      <c r="K1779">
        <v>0</v>
      </c>
      <c r="L1779">
        <v>0</v>
      </c>
      <c r="M1779">
        <v>1</v>
      </c>
      <c r="N1779">
        <v>1</v>
      </c>
      <c r="O1779">
        <v>1</v>
      </c>
      <c r="P1779">
        <v>0</v>
      </c>
      <c r="Q1779">
        <v>0</v>
      </c>
      <c r="R1779">
        <v>2</v>
      </c>
      <c r="S1779">
        <v>0</v>
      </c>
      <c r="T1779">
        <v>0</v>
      </c>
      <c r="U1779">
        <v>2</v>
      </c>
      <c r="V1779" t="s">
        <v>289</v>
      </c>
    </row>
    <row r="1780" spans="1:22">
      <c r="A1780" t="s">
        <v>48</v>
      </c>
      <c r="B1780" t="s">
        <v>287</v>
      </c>
      <c r="C1780" t="s">
        <v>292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">
        <v>289</v>
      </c>
    </row>
    <row r="1781" spans="1:22">
      <c r="A1781" t="s">
        <v>48</v>
      </c>
      <c r="B1781" t="s">
        <v>287</v>
      </c>
      <c r="C1781" t="s">
        <v>298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1</v>
      </c>
      <c r="T1781">
        <v>0</v>
      </c>
      <c r="U1781">
        <v>1</v>
      </c>
      <c r="V1781" t="s">
        <v>289</v>
      </c>
    </row>
    <row r="1782" spans="1:22">
      <c r="A1782" t="s">
        <v>48</v>
      </c>
      <c r="B1782" t="s">
        <v>287</v>
      </c>
      <c r="C1782" t="s">
        <v>293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">
        <v>289</v>
      </c>
    </row>
    <row r="1783" spans="1:22">
      <c r="A1783" t="s">
        <v>48</v>
      </c>
      <c r="B1783" t="s">
        <v>287</v>
      </c>
      <c r="C1783" t="s">
        <v>294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 t="s">
        <v>289</v>
      </c>
    </row>
    <row r="1784" spans="1:22">
      <c r="A1784" t="s">
        <v>48</v>
      </c>
      <c r="B1784" t="s">
        <v>287</v>
      </c>
      <c r="C1784" t="s">
        <v>17</v>
      </c>
      <c r="D1784">
        <v>1</v>
      </c>
      <c r="E1784">
        <v>1</v>
      </c>
      <c r="F1784">
        <v>2</v>
      </c>
      <c r="G1784">
        <v>3</v>
      </c>
      <c r="H1784">
        <v>5</v>
      </c>
      <c r="I1784">
        <v>1</v>
      </c>
      <c r="J1784">
        <v>4</v>
      </c>
      <c r="K1784">
        <v>2</v>
      </c>
      <c r="L1784">
        <v>2</v>
      </c>
      <c r="M1784">
        <v>3</v>
      </c>
      <c r="N1784">
        <v>4</v>
      </c>
      <c r="O1784">
        <v>3</v>
      </c>
      <c r="P1784">
        <v>4</v>
      </c>
      <c r="Q1784">
        <v>1</v>
      </c>
      <c r="R1784">
        <v>7</v>
      </c>
      <c r="S1784">
        <v>5</v>
      </c>
      <c r="T1784">
        <v>0</v>
      </c>
      <c r="U1784">
        <v>12</v>
      </c>
      <c r="V1784" t="s">
        <v>289</v>
      </c>
    </row>
    <row r="1785" spans="1:22">
      <c r="A1785" t="s">
        <v>48</v>
      </c>
      <c r="B1785" t="s">
        <v>287</v>
      </c>
      <c r="C1785" t="s">
        <v>295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">
        <v>289</v>
      </c>
    </row>
    <row r="1786" spans="1:22">
      <c r="A1786" t="s">
        <v>49</v>
      </c>
      <c r="B1786" t="s">
        <v>287</v>
      </c>
      <c r="C1786" t="s">
        <v>288</v>
      </c>
      <c r="D1786">
        <v>0.33</v>
      </c>
      <c r="E1786">
        <v>0.53</v>
      </c>
      <c r="F1786">
        <v>1.8</v>
      </c>
      <c r="G1786">
        <v>2.91</v>
      </c>
      <c r="H1786">
        <v>3.44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0</v>
      </c>
      <c r="U1786">
        <v>9</v>
      </c>
      <c r="V1786" t="s">
        <v>289</v>
      </c>
    </row>
    <row r="1787" spans="1:22">
      <c r="A1787" t="s">
        <v>49</v>
      </c>
      <c r="B1787" t="s">
        <v>287</v>
      </c>
      <c r="C1787" t="s">
        <v>290</v>
      </c>
      <c r="D1787">
        <v>0</v>
      </c>
      <c r="E1787">
        <v>1</v>
      </c>
      <c r="F1787">
        <v>2</v>
      </c>
      <c r="G1787">
        <v>3</v>
      </c>
      <c r="H1787">
        <v>2</v>
      </c>
      <c r="I1787">
        <v>0</v>
      </c>
      <c r="J1787">
        <v>2</v>
      </c>
      <c r="K1787">
        <v>4</v>
      </c>
      <c r="L1787">
        <v>2</v>
      </c>
      <c r="M1787">
        <v>0</v>
      </c>
      <c r="N1787">
        <v>2</v>
      </c>
      <c r="O1787">
        <v>1</v>
      </c>
      <c r="P1787">
        <v>4</v>
      </c>
      <c r="Q1787">
        <v>1</v>
      </c>
      <c r="R1787">
        <v>3</v>
      </c>
      <c r="S1787">
        <v>5</v>
      </c>
      <c r="T1787">
        <v>0</v>
      </c>
      <c r="U1787">
        <v>8</v>
      </c>
      <c r="V1787" t="s">
        <v>289</v>
      </c>
    </row>
    <row r="1788" spans="1:22">
      <c r="A1788" t="s">
        <v>49</v>
      </c>
      <c r="B1788" t="s">
        <v>287</v>
      </c>
      <c r="C1788" t="s">
        <v>291</v>
      </c>
      <c r="D1788">
        <v>0</v>
      </c>
      <c r="E1788">
        <v>0</v>
      </c>
      <c r="F1788">
        <v>0</v>
      </c>
      <c r="G1788">
        <v>0</v>
      </c>
      <c r="H1788">
        <v>2</v>
      </c>
      <c r="I1788">
        <v>0</v>
      </c>
      <c r="J1788">
        <v>0</v>
      </c>
      <c r="K1788">
        <v>0</v>
      </c>
      <c r="L1788">
        <v>0</v>
      </c>
      <c r="M1788">
        <v>2</v>
      </c>
      <c r="N1788">
        <v>0</v>
      </c>
      <c r="O1788">
        <v>1</v>
      </c>
      <c r="P1788">
        <v>1</v>
      </c>
      <c r="Q1788">
        <v>0</v>
      </c>
      <c r="R1788">
        <v>2</v>
      </c>
      <c r="S1788">
        <v>0</v>
      </c>
      <c r="T1788">
        <v>0</v>
      </c>
      <c r="U1788">
        <v>2</v>
      </c>
      <c r="V1788" t="s">
        <v>289</v>
      </c>
    </row>
    <row r="1789" spans="1:22">
      <c r="A1789" t="s">
        <v>49</v>
      </c>
      <c r="B1789" t="s">
        <v>287</v>
      </c>
      <c r="C1789" t="s">
        <v>292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 t="s">
        <v>289</v>
      </c>
    </row>
    <row r="1790" spans="1:22">
      <c r="A1790" t="s">
        <v>49</v>
      </c>
      <c r="B1790" t="s">
        <v>287</v>
      </c>
      <c r="C1790" t="s">
        <v>298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1</v>
      </c>
      <c r="R1790">
        <v>0</v>
      </c>
      <c r="S1790">
        <v>1</v>
      </c>
      <c r="T1790">
        <v>0</v>
      </c>
      <c r="U1790">
        <v>1</v>
      </c>
      <c r="V1790" t="s">
        <v>289</v>
      </c>
    </row>
    <row r="1791" spans="1:22">
      <c r="A1791" t="s">
        <v>49</v>
      </c>
      <c r="B1791" t="s">
        <v>287</v>
      </c>
      <c r="C1791" t="s">
        <v>293</v>
      </c>
      <c r="D1791">
        <v>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1</v>
      </c>
      <c r="T1791">
        <v>0</v>
      </c>
      <c r="U1791">
        <v>1</v>
      </c>
      <c r="V1791" t="s">
        <v>289</v>
      </c>
    </row>
    <row r="1792" spans="1:22">
      <c r="A1792" t="s">
        <v>49</v>
      </c>
      <c r="B1792" t="s">
        <v>287</v>
      </c>
      <c r="C1792" t="s">
        <v>294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 t="s">
        <v>289</v>
      </c>
    </row>
    <row r="1793" spans="1:22">
      <c r="A1793" t="s">
        <v>49</v>
      </c>
      <c r="B1793" t="s">
        <v>287</v>
      </c>
      <c r="C1793" t="s">
        <v>17</v>
      </c>
      <c r="D1793">
        <v>1</v>
      </c>
      <c r="E1793">
        <v>1</v>
      </c>
      <c r="F1793">
        <v>3</v>
      </c>
      <c r="G1793">
        <v>3</v>
      </c>
      <c r="H1793">
        <v>4</v>
      </c>
      <c r="I1793">
        <v>1</v>
      </c>
      <c r="J1793">
        <v>3</v>
      </c>
      <c r="K1793">
        <v>4</v>
      </c>
      <c r="L1793">
        <v>2</v>
      </c>
      <c r="M1793">
        <v>2</v>
      </c>
      <c r="N1793">
        <v>2</v>
      </c>
      <c r="O1793">
        <v>2</v>
      </c>
      <c r="P1793">
        <v>6</v>
      </c>
      <c r="Q1793">
        <v>2</v>
      </c>
      <c r="R1793">
        <v>5</v>
      </c>
      <c r="S1793">
        <v>7</v>
      </c>
      <c r="T1793">
        <v>0</v>
      </c>
      <c r="U1793">
        <v>12</v>
      </c>
      <c r="V1793" t="s">
        <v>289</v>
      </c>
    </row>
    <row r="1794" spans="1:22">
      <c r="A1794" t="s">
        <v>49</v>
      </c>
      <c r="B1794" t="s">
        <v>287</v>
      </c>
      <c r="C1794" t="s">
        <v>295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 t="s">
        <v>289</v>
      </c>
    </row>
    <row r="1795" spans="1:22">
      <c r="A1795" t="s">
        <v>51</v>
      </c>
      <c r="B1795" t="s">
        <v>287</v>
      </c>
      <c r="C1795" t="s">
        <v>288</v>
      </c>
      <c r="D1795">
        <v>0.34</v>
      </c>
      <c r="E1795">
        <v>0.56000000000000005</v>
      </c>
      <c r="F1795">
        <v>1.8</v>
      </c>
      <c r="G1795">
        <v>2.84</v>
      </c>
      <c r="H1795">
        <v>3.44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0</v>
      </c>
      <c r="U1795">
        <v>9</v>
      </c>
      <c r="V1795" t="s">
        <v>289</v>
      </c>
    </row>
    <row r="1796" spans="1:22">
      <c r="A1796" t="s">
        <v>51</v>
      </c>
      <c r="B1796" t="s">
        <v>287</v>
      </c>
      <c r="C1796" t="s">
        <v>290</v>
      </c>
      <c r="D1796">
        <v>1</v>
      </c>
      <c r="E1796">
        <v>1</v>
      </c>
      <c r="F1796">
        <v>2</v>
      </c>
      <c r="G1796">
        <v>3</v>
      </c>
      <c r="H1796">
        <v>2</v>
      </c>
      <c r="I1796">
        <v>1</v>
      </c>
      <c r="J1796">
        <v>2</v>
      </c>
      <c r="K1796">
        <v>3</v>
      </c>
      <c r="L1796">
        <v>1</v>
      </c>
      <c r="M1796">
        <v>2</v>
      </c>
      <c r="N1796">
        <v>1</v>
      </c>
      <c r="O1796">
        <v>1</v>
      </c>
      <c r="P1796">
        <v>5</v>
      </c>
      <c r="Q1796">
        <v>2</v>
      </c>
      <c r="R1796">
        <v>4</v>
      </c>
      <c r="S1796">
        <v>5</v>
      </c>
      <c r="T1796">
        <v>0</v>
      </c>
      <c r="U1796">
        <v>9</v>
      </c>
      <c r="V1796" t="s">
        <v>289</v>
      </c>
    </row>
    <row r="1797" spans="1:22">
      <c r="A1797" t="s">
        <v>51</v>
      </c>
      <c r="B1797" t="s">
        <v>287</v>
      </c>
      <c r="C1797" t="s">
        <v>291</v>
      </c>
      <c r="D1797">
        <v>0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>
        <v>1</v>
      </c>
      <c r="S1797">
        <v>0</v>
      </c>
      <c r="T1797">
        <v>0</v>
      </c>
      <c r="U1797">
        <v>1</v>
      </c>
      <c r="V1797" t="s">
        <v>289</v>
      </c>
    </row>
    <row r="1798" spans="1:22">
      <c r="A1798" t="s">
        <v>51</v>
      </c>
      <c r="B1798" t="s">
        <v>287</v>
      </c>
      <c r="C1798" t="s">
        <v>292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">
        <v>289</v>
      </c>
    </row>
    <row r="1799" spans="1:22">
      <c r="A1799" t="s">
        <v>51</v>
      </c>
      <c r="B1799" t="s">
        <v>287</v>
      </c>
      <c r="C1799" t="s">
        <v>298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 t="s">
        <v>289</v>
      </c>
    </row>
    <row r="1800" spans="1:22">
      <c r="A1800" t="s">
        <v>51</v>
      </c>
      <c r="B1800" t="s">
        <v>287</v>
      </c>
      <c r="C1800" t="s">
        <v>293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 t="s">
        <v>289</v>
      </c>
    </row>
    <row r="1801" spans="1:22">
      <c r="A1801" t="s">
        <v>51</v>
      </c>
      <c r="B1801" t="s">
        <v>287</v>
      </c>
      <c r="C1801" t="s">
        <v>294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 t="s">
        <v>289</v>
      </c>
    </row>
    <row r="1802" spans="1:22">
      <c r="A1802" t="s">
        <v>51</v>
      </c>
      <c r="B1802" t="s">
        <v>287</v>
      </c>
      <c r="C1802" t="s">
        <v>17</v>
      </c>
      <c r="D1802">
        <v>1</v>
      </c>
      <c r="E1802">
        <v>1</v>
      </c>
      <c r="F1802">
        <v>2</v>
      </c>
      <c r="G1802">
        <v>3</v>
      </c>
      <c r="H1802">
        <v>3</v>
      </c>
      <c r="I1802">
        <v>1</v>
      </c>
      <c r="J1802">
        <v>3</v>
      </c>
      <c r="K1802">
        <v>3</v>
      </c>
      <c r="L1802">
        <v>1</v>
      </c>
      <c r="M1802">
        <v>2</v>
      </c>
      <c r="N1802">
        <v>1</v>
      </c>
      <c r="O1802">
        <v>1</v>
      </c>
      <c r="P1802">
        <v>6</v>
      </c>
      <c r="Q1802">
        <v>2</v>
      </c>
      <c r="R1802">
        <v>5</v>
      </c>
      <c r="S1802">
        <v>5</v>
      </c>
      <c r="T1802">
        <v>0</v>
      </c>
      <c r="U1802">
        <v>10</v>
      </c>
      <c r="V1802" t="s">
        <v>289</v>
      </c>
    </row>
    <row r="1803" spans="1:22">
      <c r="A1803" t="s">
        <v>51</v>
      </c>
      <c r="B1803" t="s">
        <v>287</v>
      </c>
      <c r="C1803" t="s">
        <v>295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">
        <v>289</v>
      </c>
    </row>
    <row r="1804" spans="1:22">
      <c r="A1804" t="s">
        <v>52</v>
      </c>
      <c r="B1804" t="s">
        <v>287</v>
      </c>
      <c r="C1804" t="s">
        <v>288</v>
      </c>
      <c r="D1804">
        <v>0.36</v>
      </c>
      <c r="E1804">
        <v>0.61</v>
      </c>
      <c r="F1804">
        <v>1.81</v>
      </c>
      <c r="G1804">
        <v>2.84</v>
      </c>
      <c r="H1804">
        <v>3.38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0</v>
      </c>
      <c r="U1804">
        <v>9</v>
      </c>
      <c r="V1804" t="s">
        <v>289</v>
      </c>
    </row>
    <row r="1805" spans="1:22">
      <c r="A1805" t="s">
        <v>52</v>
      </c>
      <c r="B1805" t="s">
        <v>287</v>
      </c>
      <c r="C1805" t="s">
        <v>290</v>
      </c>
      <c r="D1805">
        <v>2</v>
      </c>
      <c r="E1805">
        <v>0</v>
      </c>
      <c r="F1805">
        <v>2</v>
      </c>
      <c r="G1805">
        <v>3</v>
      </c>
      <c r="H1805">
        <v>2</v>
      </c>
      <c r="I1805">
        <v>1</v>
      </c>
      <c r="J1805">
        <v>2</v>
      </c>
      <c r="K1805">
        <v>2</v>
      </c>
      <c r="L1805">
        <v>1</v>
      </c>
      <c r="M1805">
        <v>3</v>
      </c>
      <c r="N1805">
        <v>0</v>
      </c>
      <c r="O1805">
        <v>1</v>
      </c>
      <c r="P1805">
        <v>6</v>
      </c>
      <c r="Q1805">
        <v>2</v>
      </c>
      <c r="R1805">
        <v>6</v>
      </c>
      <c r="S1805">
        <v>3</v>
      </c>
      <c r="T1805">
        <v>0</v>
      </c>
      <c r="U1805">
        <v>9</v>
      </c>
      <c r="V1805" t="s">
        <v>289</v>
      </c>
    </row>
    <row r="1806" spans="1:22">
      <c r="A1806" t="s">
        <v>52</v>
      </c>
      <c r="B1806" t="s">
        <v>287</v>
      </c>
      <c r="C1806" t="s">
        <v>291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 t="s">
        <v>289</v>
      </c>
    </row>
    <row r="1807" spans="1:22">
      <c r="A1807" t="s">
        <v>52</v>
      </c>
      <c r="B1807" t="s">
        <v>287</v>
      </c>
      <c r="C1807" t="s">
        <v>292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 t="s">
        <v>289</v>
      </c>
    </row>
    <row r="1808" spans="1:22">
      <c r="A1808" t="s">
        <v>52</v>
      </c>
      <c r="B1808" t="s">
        <v>287</v>
      </c>
      <c r="C1808" t="s">
        <v>298</v>
      </c>
      <c r="D1808">
        <v>0</v>
      </c>
      <c r="E1808">
        <v>0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1</v>
      </c>
      <c r="O1808">
        <v>0</v>
      </c>
      <c r="P1808">
        <v>0</v>
      </c>
      <c r="Q1808">
        <v>0</v>
      </c>
      <c r="R1808">
        <v>1</v>
      </c>
      <c r="S1808">
        <v>0</v>
      </c>
      <c r="T1808">
        <v>0</v>
      </c>
      <c r="U1808">
        <v>1</v>
      </c>
      <c r="V1808" t="s">
        <v>289</v>
      </c>
    </row>
    <row r="1809" spans="1:22">
      <c r="A1809" t="s">
        <v>52</v>
      </c>
      <c r="B1809" t="s">
        <v>287</v>
      </c>
      <c r="C1809" t="s">
        <v>293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">
        <v>289</v>
      </c>
    </row>
    <row r="1810" spans="1:22">
      <c r="A1810" t="s">
        <v>52</v>
      </c>
      <c r="B1810" t="s">
        <v>287</v>
      </c>
      <c r="C1810" t="s">
        <v>294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289</v>
      </c>
    </row>
    <row r="1811" spans="1:22">
      <c r="A1811" t="s">
        <v>52</v>
      </c>
      <c r="B1811" t="s">
        <v>287</v>
      </c>
      <c r="C1811" t="s">
        <v>17</v>
      </c>
      <c r="D1811">
        <v>2</v>
      </c>
      <c r="E1811">
        <v>0</v>
      </c>
      <c r="F1811">
        <v>2</v>
      </c>
      <c r="G1811">
        <v>3</v>
      </c>
      <c r="H1811">
        <v>3</v>
      </c>
      <c r="I1811">
        <v>2</v>
      </c>
      <c r="J1811">
        <v>2</v>
      </c>
      <c r="K1811">
        <v>2</v>
      </c>
      <c r="L1811">
        <v>1</v>
      </c>
      <c r="M1811">
        <v>3</v>
      </c>
      <c r="N1811">
        <v>1</v>
      </c>
      <c r="O1811">
        <v>1</v>
      </c>
      <c r="P1811">
        <v>6</v>
      </c>
      <c r="Q1811">
        <v>2</v>
      </c>
      <c r="R1811">
        <v>7</v>
      </c>
      <c r="S1811">
        <v>3</v>
      </c>
      <c r="T1811">
        <v>0</v>
      </c>
      <c r="U1811">
        <v>10</v>
      </c>
      <c r="V1811" t="s">
        <v>289</v>
      </c>
    </row>
    <row r="1812" spans="1:22">
      <c r="A1812" t="s">
        <v>52</v>
      </c>
      <c r="B1812" t="s">
        <v>287</v>
      </c>
      <c r="C1812" t="s">
        <v>295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">
        <v>289</v>
      </c>
    </row>
    <row r="1813" spans="1:22">
      <c r="A1813" t="s">
        <v>53</v>
      </c>
      <c r="B1813" t="s">
        <v>287</v>
      </c>
      <c r="C1813" t="s">
        <v>288</v>
      </c>
      <c r="D1813">
        <v>0.35</v>
      </c>
      <c r="E1813">
        <v>0.61</v>
      </c>
      <c r="F1813">
        <v>1.79</v>
      </c>
      <c r="G1813">
        <v>2.82</v>
      </c>
      <c r="H1813">
        <v>3.43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0</v>
      </c>
      <c r="U1813">
        <v>9</v>
      </c>
      <c r="V1813" t="s">
        <v>289</v>
      </c>
    </row>
    <row r="1814" spans="1:22">
      <c r="A1814" t="s">
        <v>53</v>
      </c>
      <c r="B1814" t="s">
        <v>287</v>
      </c>
      <c r="C1814" t="s">
        <v>290</v>
      </c>
      <c r="D1814">
        <v>0</v>
      </c>
      <c r="E1814">
        <v>2</v>
      </c>
      <c r="F1814">
        <v>2</v>
      </c>
      <c r="G1814">
        <v>2</v>
      </c>
      <c r="H1814">
        <v>3</v>
      </c>
      <c r="I1814">
        <v>0</v>
      </c>
      <c r="J1814">
        <v>3</v>
      </c>
      <c r="K1814">
        <v>3</v>
      </c>
      <c r="L1814">
        <v>2</v>
      </c>
      <c r="M1814">
        <v>1</v>
      </c>
      <c r="N1814">
        <v>1</v>
      </c>
      <c r="O1814">
        <v>2</v>
      </c>
      <c r="P1814">
        <v>3</v>
      </c>
      <c r="Q1814">
        <v>3</v>
      </c>
      <c r="R1814">
        <v>4</v>
      </c>
      <c r="S1814">
        <v>5</v>
      </c>
      <c r="T1814">
        <v>0</v>
      </c>
      <c r="U1814">
        <v>9</v>
      </c>
      <c r="V1814" t="s">
        <v>289</v>
      </c>
    </row>
    <row r="1815" spans="1:22">
      <c r="A1815" t="s">
        <v>53</v>
      </c>
      <c r="B1815" t="s">
        <v>287</v>
      </c>
      <c r="C1815" t="s">
        <v>291</v>
      </c>
      <c r="D1815">
        <v>0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1</v>
      </c>
      <c r="V1815" t="s">
        <v>289</v>
      </c>
    </row>
    <row r="1816" spans="1:22">
      <c r="A1816" t="s">
        <v>53</v>
      </c>
      <c r="B1816" t="s">
        <v>287</v>
      </c>
      <c r="C1816" t="s">
        <v>292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 t="s">
        <v>289</v>
      </c>
    </row>
    <row r="1817" spans="1:22">
      <c r="A1817" t="s">
        <v>53</v>
      </c>
      <c r="B1817" t="s">
        <v>287</v>
      </c>
      <c r="C1817" t="s">
        <v>298</v>
      </c>
      <c r="D1817">
        <v>0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  <c r="U1817">
        <v>1</v>
      </c>
      <c r="V1817" t="s">
        <v>289</v>
      </c>
    </row>
    <row r="1818" spans="1:22">
      <c r="A1818" t="s">
        <v>53</v>
      </c>
      <c r="B1818" t="s">
        <v>287</v>
      </c>
      <c r="C1818" t="s">
        <v>293</v>
      </c>
      <c r="D1818">
        <v>0</v>
      </c>
      <c r="E1818">
        <v>0</v>
      </c>
      <c r="F1818">
        <v>1</v>
      </c>
      <c r="G1818">
        <v>0</v>
      </c>
      <c r="H1818">
        <v>2</v>
      </c>
      <c r="I1818">
        <v>1</v>
      </c>
      <c r="J1818">
        <v>1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2</v>
      </c>
      <c r="Q1818">
        <v>1</v>
      </c>
      <c r="R1818">
        <v>0</v>
      </c>
      <c r="S1818">
        <v>3</v>
      </c>
      <c r="T1818">
        <v>0</v>
      </c>
      <c r="U1818">
        <v>3</v>
      </c>
      <c r="V1818" t="s">
        <v>289</v>
      </c>
    </row>
    <row r="1819" spans="1:22">
      <c r="A1819" t="s">
        <v>53</v>
      </c>
      <c r="B1819" t="s">
        <v>287</v>
      </c>
      <c r="C1819" t="s">
        <v>294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 t="s">
        <v>289</v>
      </c>
    </row>
    <row r="1820" spans="1:22">
      <c r="A1820" t="s">
        <v>53</v>
      </c>
      <c r="B1820" t="s">
        <v>287</v>
      </c>
      <c r="C1820" t="s">
        <v>17</v>
      </c>
      <c r="D1820">
        <v>0</v>
      </c>
      <c r="E1820">
        <v>2</v>
      </c>
      <c r="F1820">
        <v>4</v>
      </c>
      <c r="G1820">
        <v>3</v>
      </c>
      <c r="H1820">
        <v>5</v>
      </c>
      <c r="I1820">
        <v>1</v>
      </c>
      <c r="J1820">
        <v>5</v>
      </c>
      <c r="K1820">
        <v>3</v>
      </c>
      <c r="L1820">
        <v>3</v>
      </c>
      <c r="M1820">
        <v>2</v>
      </c>
      <c r="N1820">
        <v>1</v>
      </c>
      <c r="O1820">
        <v>3</v>
      </c>
      <c r="P1820">
        <v>6</v>
      </c>
      <c r="Q1820">
        <v>4</v>
      </c>
      <c r="R1820">
        <v>5</v>
      </c>
      <c r="S1820">
        <v>9</v>
      </c>
      <c r="T1820">
        <v>0</v>
      </c>
      <c r="U1820">
        <v>14</v>
      </c>
      <c r="V1820" t="s">
        <v>289</v>
      </c>
    </row>
    <row r="1821" spans="1:22">
      <c r="A1821" t="s">
        <v>53</v>
      </c>
      <c r="B1821" t="s">
        <v>287</v>
      </c>
      <c r="C1821" t="s">
        <v>295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">
        <v>289</v>
      </c>
    </row>
    <row r="1822" spans="1:22">
      <c r="A1822" t="s">
        <v>54</v>
      </c>
      <c r="B1822" t="s">
        <v>287</v>
      </c>
      <c r="C1822" t="s">
        <v>288</v>
      </c>
      <c r="D1822">
        <v>0.36</v>
      </c>
      <c r="E1822">
        <v>0.57999999999999996</v>
      </c>
      <c r="F1822">
        <v>1.82</v>
      </c>
      <c r="G1822">
        <v>2.84</v>
      </c>
      <c r="H1822">
        <v>3.4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9</v>
      </c>
      <c r="V1822" t="s">
        <v>289</v>
      </c>
    </row>
    <row r="1823" spans="1:22">
      <c r="A1823" t="s">
        <v>54</v>
      </c>
      <c r="B1823" t="s">
        <v>287</v>
      </c>
      <c r="C1823" t="s">
        <v>290</v>
      </c>
      <c r="D1823">
        <v>1</v>
      </c>
      <c r="E1823">
        <v>2</v>
      </c>
      <c r="F1823">
        <v>1</v>
      </c>
      <c r="G1823">
        <v>1</v>
      </c>
      <c r="H1823">
        <v>2</v>
      </c>
      <c r="I1823">
        <v>0</v>
      </c>
      <c r="J1823">
        <v>2</v>
      </c>
      <c r="K1823">
        <v>2</v>
      </c>
      <c r="L1823">
        <v>1</v>
      </c>
      <c r="M1823">
        <v>2</v>
      </c>
      <c r="N1823">
        <v>1</v>
      </c>
      <c r="O1823">
        <v>2</v>
      </c>
      <c r="P1823">
        <v>4</v>
      </c>
      <c r="Q1823">
        <v>0</v>
      </c>
      <c r="R1823">
        <v>2</v>
      </c>
      <c r="S1823">
        <v>5</v>
      </c>
      <c r="T1823">
        <v>0</v>
      </c>
      <c r="U1823">
        <v>7</v>
      </c>
      <c r="V1823" t="s">
        <v>289</v>
      </c>
    </row>
    <row r="1824" spans="1:22">
      <c r="A1824" t="s">
        <v>54</v>
      </c>
      <c r="B1824" t="s">
        <v>287</v>
      </c>
      <c r="C1824" t="s">
        <v>291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 t="s">
        <v>289</v>
      </c>
    </row>
    <row r="1825" spans="1:22">
      <c r="A1825" t="s">
        <v>54</v>
      </c>
      <c r="B1825" t="s">
        <v>287</v>
      </c>
      <c r="C1825" t="s">
        <v>292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 t="s">
        <v>289</v>
      </c>
    </row>
    <row r="1826" spans="1:22">
      <c r="A1826" t="s">
        <v>54</v>
      </c>
      <c r="B1826" t="s">
        <v>287</v>
      </c>
      <c r="C1826" t="s">
        <v>298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 t="s">
        <v>289</v>
      </c>
    </row>
    <row r="1827" spans="1:22">
      <c r="A1827" t="s">
        <v>54</v>
      </c>
      <c r="B1827" t="s">
        <v>287</v>
      </c>
      <c r="C1827" t="s">
        <v>293</v>
      </c>
      <c r="D1827">
        <v>0</v>
      </c>
      <c r="E1827">
        <v>0</v>
      </c>
      <c r="F1827">
        <v>0</v>
      </c>
      <c r="G1827">
        <v>3</v>
      </c>
      <c r="H1827">
        <v>1</v>
      </c>
      <c r="I1827">
        <v>1</v>
      </c>
      <c r="J1827">
        <v>1</v>
      </c>
      <c r="K1827">
        <v>0</v>
      </c>
      <c r="L1827">
        <v>0</v>
      </c>
      <c r="M1827">
        <v>2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3</v>
      </c>
      <c r="T1827">
        <v>0</v>
      </c>
      <c r="U1827">
        <v>4</v>
      </c>
      <c r="V1827" t="s">
        <v>289</v>
      </c>
    </row>
    <row r="1828" spans="1:22">
      <c r="A1828" t="s">
        <v>54</v>
      </c>
      <c r="B1828" t="s">
        <v>287</v>
      </c>
      <c r="C1828" t="s">
        <v>294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 t="s">
        <v>289</v>
      </c>
    </row>
    <row r="1829" spans="1:22">
      <c r="A1829" t="s">
        <v>54</v>
      </c>
      <c r="B1829" t="s">
        <v>287</v>
      </c>
      <c r="C1829" t="s">
        <v>17</v>
      </c>
      <c r="D1829">
        <v>1</v>
      </c>
      <c r="E1829">
        <v>2</v>
      </c>
      <c r="F1829">
        <v>1</v>
      </c>
      <c r="G1829">
        <v>4</v>
      </c>
      <c r="H1829">
        <v>3</v>
      </c>
      <c r="I1829">
        <v>1</v>
      </c>
      <c r="J1829">
        <v>3</v>
      </c>
      <c r="K1829">
        <v>2</v>
      </c>
      <c r="L1829">
        <v>1</v>
      </c>
      <c r="M1829">
        <v>4</v>
      </c>
      <c r="N1829">
        <v>2</v>
      </c>
      <c r="O1829">
        <v>3</v>
      </c>
      <c r="P1829">
        <v>5</v>
      </c>
      <c r="Q1829">
        <v>1</v>
      </c>
      <c r="R1829">
        <v>3</v>
      </c>
      <c r="S1829">
        <v>8</v>
      </c>
      <c r="T1829">
        <v>0</v>
      </c>
      <c r="U1829">
        <v>11</v>
      </c>
      <c r="V1829" t="s">
        <v>289</v>
      </c>
    </row>
    <row r="1830" spans="1:22">
      <c r="A1830" t="s">
        <v>54</v>
      </c>
      <c r="B1830" t="s">
        <v>287</v>
      </c>
      <c r="C1830" t="s">
        <v>295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 t="s">
        <v>289</v>
      </c>
    </row>
    <row r="1831" spans="1:22">
      <c r="A1831" t="s">
        <v>150</v>
      </c>
      <c r="B1831" t="s">
        <v>287</v>
      </c>
      <c r="C1831" t="s">
        <v>288</v>
      </c>
      <c r="D1831">
        <v>3.32</v>
      </c>
      <c r="E1831">
        <v>5.9</v>
      </c>
      <c r="F1831">
        <v>19.940000000000001</v>
      </c>
      <c r="G1831">
        <v>31.94</v>
      </c>
      <c r="H1831">
        <v>38.9</v>
      </c>
      <c r="I1831">
        <v>11</v>
      </c>
      <c r="J1831">
        <v>11</v>
      </c>
      <c r="K1831">
        <v>11</v>
      </c>
      <c r="L1831">
        <v>11</v>
      </c>
      <c r="M1831">
        <v>11</v>
      </c>
      <c r="N1831">
        <v>11</v>
      </c>
      <c r="O1831">
        <v>11</v>
      </c>
      <c r="P1831">
        <v>11</v>
      </c>
      <c r="Q1831">
        <v>11</v>
      </c>
      <c r="R1831">
        <v>11</v>
      </c>
      <c r="S1831">
        <v>11</v>
      </c>
      <c r="T1831">
        <v>0</v>
      </c>
      <c r="U1831">
        <v>100</v>
      </c>
      <c r="V1831" t="s">
        <v>289</v>
      </c>
    </row>
    <row r="1832" spans="1:22">
      <c r="A1832" t="s">
        <v>150</v>
      </c>
      <c r="B1832" t="s">
        <v>287</v>
      </c>
      <c r="C1832" t="s">
        <v>290</v>
      </c>
      <c r="D1832">
        <v>8</v>
      </c>
      <c r="E1832">
        <v>12</v>
      </c>
      <c r="F1832">
        <v>21</v>
      </c>
      <c r="G1832">
        <v>26</v>
      </c>
      <c r="H1832">
        <v>28</v>
      </c>
      <c r="I1832">
        <v>7</v>
      </c>
      <c r="J1832">
        <v>22</v>
      </c>
      <c r="K1832">
        <v>29</v>
      </c>
      <c r="L1832">
        <v>16</v>
      </c>
      <c r="M1832">
        <v>21</v>
      </c>
      <c r="N1832">
        <v>18</v>
      </c>
      <c r="O1832">
        <v>17</v>
      </c>
      <c r="P1832">
        <v>36</v>
      </c>
      <c r="Q1832">
        <v>24</v>
      </c>
      <c r="R1832">
        <v>48</v>
      </c>
      <c r="S1832">
        <v>47</v>
      </c>
      <c r="T1832">
        <v>0</v>
      </c>
      <c r="U1832">
        <v>95</v>
      </c>
      <c r="V1832" t="s">
        <v>289</v>
      </c>
    </row>
    <row r="1833" spans="1:22">
      <c r="A1833" t="s">
        <v>150</v>
      </c>
      <c r="B1833" t="s">
        <v>287</v>
      </c>
      <c r="C1833" t="s">
        <v>291</v>
      </c>
      <c r="D1833">
        <v>0</v>
      </c>
      <c r="E1833">
        <v>0</v>
      </c>
      <c r="F1833">
        <v>4</v>
      </c>
      <c r="G1833">
        <v>3</v>
      </c>
      <c r="H1833">
        <v>16</v>
      </c>
      <c r="I1833">
        <v>0</v>
      </c>
      <c r="J1833">
        <v>3</v>
      </c>
      <c r="K1833">
        <v>2</v>
      </c>
      <c r="L1833">
        <v>2</v>
      </c>
      <c r="M1833">
        <v>16</v>
      </c>
      <c r="N1833">
        <v>5</v>
      </c>
      <c r="O1833">
        <v>6</v>
      </c>
      <c r="P1833">
        <v>5</v>
      </c>
      <c r="Q1833">
        <v>7</v>
      </c>
      <c r="R1833">
        <v>16</v>
      </c>
      <c r="S1833">
        <v>7</v>
      </c>
      <c r="T1833">
        <v>0</v>
      </c>
      <c r="U1833">
        <v>23</v>
      </c>
      <c r="V1833" t="s">
        <v>289</v>
      </c>
    </row>
    <row r="1834" spans="1:22">
      <c r="A1834" t="s">
        <v>150</v>
      </c>
      <c r="B1834" t="s">
        <v>287</v>
      </c>
      <c r="C1834" t="s">
        <v>292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1</v>
      </c>
      <c r="T1834">
        <v>0</v>
      </c>
      <c r="U1834">
        <v>1</v>
      </c>
      <c r="V1834" t="s">
        <v>289</v>
      </c>
    </row>
    <row r="1835" spans="1:22">
      <c r="A1835" t="s">
        <v>150</v>
      </c>
      <c r="B1835" t="s">
        <v>287</v>
      </c>
      <c r="C1835" t="s">
        <v>298</v>
      </c>
      <c r="D1835">
        <v>0</v>
      </c>
      <c r="E1835">
        <v>0</v>
      </c>
      <c r="F1835">
        <v>1</v>
      </c>
      <c r="G1835">
        <v>1</v>
      </c>
      <c r="H1835">
        <v>2</v>
      </c>
      <c r="I1835">
        <v>3</v>
      </c>
      <c r="J1835">
        <v>0</v>
      </c>
      <c r="K1835">
        <v>0</v>
      </c>
      <c r="L1835">
        <v>0</v>
      </c>
      <c r="M1835">
        <v>1</v>
      </c>
      <c r="N1835">
        <v>1</v>
      </c>
      <c r="O1835">
        <v>0</v>
      </c>
      <c r="P1835">
        <v>2</v>
      </c>
      <c r="Q1835">
        <v>1</v>
      </c>
      <c r="R1835">
        <v>2</v>
      </c>
      <c r="S1835">
        <v>2</v>
      </c>
      <c r="T1835">
        <v>0</v>
      </c>
      <c r="U1835">
        <v>4</v>
      </c>
      <c r="V1835" t="s">
        <v>289</v>
      </c>
    </row>
    <row r="1836" spans="1:22">
      <c r="A1836" t="s">
        <v>150</v>
      </c>
      <c r="B1836" t="s">
        <v>287</v>
      </c>
      <c r="C1836" t="s">
        <v>293</v>
      </c>
      <c r="D1836">
        <v>3</v>
      </c>
      <c r="E1836">
        <v>0</v>
      </c>
      <c r="F1836">
        <v>2</v>
      </c>
      <c r="G1836">
        <v>4</v>
      </c>
      <c r="H1836">
        <v>4</v>
      </c>
      <c r="I1836">
        <v>3</v>
      </c>
      <c r="J1836">
        <v>4</v>
      </c>
      <c r="K1836">
        <v>2</v>
      </c>
      <c r="L1836">
        <v>1</v>
      </c>
      <c r="M1836">
        <v>3</v>
      </c>
      <c r="N1836">
        <v>2</v>
      </c>
      <c r="O1836">
        <v>2</v>
      </c>
      <c r="P1836">
        <v>5</v>
      </c>
      <c r="Q1836">
        <v>4</v>
      </c>
      <c r="R1836">
        <v>4</v>
      </c>
      <c r="S1836">
        <v>9</v>
      </c>
      <c r="T1836">
        <v>0</v>
      </c>
      <c r="U1836">
        <v>13</v>
      </c>
      <c r="V1836" t="s">
        <v>289</v>
      </c>
    </row>
    <row r="1837" spans="1:22">
      <c r="A1837" t="s">
        <v>150</v>
      </c>
      <c r="B1837" t="s">
        <v>287</v>
      </c>
      <c r="C1837" t="s">
        <v>294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 t="s">
        <v>289</v>
      </c>
    </row>
    <row r="1838" spans="1:22">
      <c r="A1838" t="s">
        <v>150</v>
      </c>
      <c r="B1838" t="s">
        <v>287</v>
      </c>
      <c r="C1838" t="s">
        <v>17</v>
      </c>
      <c r="D1838">
        <v>12</v>
      </c>
      <c r="E1838">
        <v>12</v>
      </c>
      <c r="F1838">
        <v>28</v>
      </c>
      <c r="G1838">
        <v>34</v>
      </c>
      <c r="H1838">
        <v>50</v>
      </c>
      <c r="I1838">
        <v>13</v>
      </c>
      <c r="J1838">
        <v>29</v>
      </c>
      <c r="K1838">
        <v>34</v>
      </c>
      <c r="L1838">
        <v>19</v>
      </c>
      <c r="M1838">
        <v>41</v>
      </c>
      <c r="N1838">
        <v>26</v>
      </c>
      <c r="O1838">
        <v>25</v>
      </c>
      <c r="P1838">
        <v>49</v>
      </c>
      <c r="Q1838">
        <v>36</v>
      </c>
      <c r="R1838">
        <v>70</v>
      </c>
      <c r="S1838">
        <v>66</v>
      </c>
      <c r="T1838">
        <v>0</v>
      </c>
      <c r="U1838">
        <v>136</v>
      </c>
      <c r="V1838" t="s">
        <v>289</v>
      </c>
    </row>
    <row r="1839" spans="1:22">
      <c r="A1839" t="s">
        <v>150</v>
      </c>
      <c r="B1839" t="s">
        <v>287</v>
      </c>
      <c r="C1839" t="s">
        <v>295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 t="s">
        <v>289</v>
      </c>
    </row>
    <row r="1929" spans="1:22">
      <c r="A1929">
        <f>setup!C26</f>
        <v>3777</v>
      </c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spans="1:22">
      <c r="A1930" t="str">
        <f>_xlfn.CONCAT(setup!D26," - ",setup!E26)</f>
        <v>Counterbalance WPPSI-4/WISC-6 -Paper - CB_WPPSI4_P</v>
      </c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spans="1:22">
      <c r="A1931" t="s">
        <v>5</v>
      </c>
      <c r="B1931" t="s">
        <v>259</v>
      </c>
      <c r="C1931" t="s">
        <v>260</v>
      </c>
      <c r="D1931" s="1" t="s">
        <v>29</v>
      </c>
      <c r="E1931" s="1" t="s">
        <v>56</v>
      </c>
      <c r="F1931" s="1" t="s">
        <v>50</v>
      </c>
      <c r="G1931" s="1" t="s">
        <v>38</v>
      </c>
      <c r="H1931" s="1" t="s">
        <v>58</v>
      </c>
      <c r="I1931" s="1" t="s">
        <v>22</v>
      </c>
      <c r="J1931" s="1" t="s">
        <v>36</v>
      </c>
      <c r="K1931" s="1" t="s">
        <v>24</v>
      </c>
      <c r="L1931" s="1" t="s">
        <v>31</v>
      </c>
      <c r="M1931" s="1" t="s">
        <v>39</v>
      </c>
      <c r="N1931" s="1" t="s">
        <v>59</v>
      </c>
      <c r="O1931" s="1" t="s">
        <v>47</v>
      </c>
      <c r="P1931" s="1" t="s">
        <v>33</v>
      </c>
      <c r="Q1931" s="1" t="s">
        <v>60</v>
      </c>
      <c r="R1931" s="1" t="s">
        <v>45</v>
      </c>
      <c r="S1931" s="1" t="s">
        <v>34</v>
      </c>
      <c r="T1931" t="s">
        <v>26</v>
      </c>
      <c r="U1931" s="1" t="s">
        <v>150</v>
      </c>
      <c r="V1931" t="s">
        <v>286</v>
      </c>
    </row>
    <row r="1932" spans="1:22">
      <c r="A1932" t="s">
        <v>65</v>
      </c>
      <c r="B1932" t="s">
        <v>287</v>
      </c>
      <c r="C1932" t="s">
        <v>288</v>
      </c>
      <c r="D1932">
        <v>0.65</v>
      </c>
      <c r="E1932">
        <v>1.24</v>
      </c>
      <c r="F1932">
        <v>4.96</v>
      </c>
      <c r="G1932">
        <v>8.0399999999999991</v>
      </c>
      <c r="H1932">
        <v>10.11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0</v>
      </c>
      <c r="U1932">
        <v>25</v>
      </c>
      <c r="V1932" t="s">
        <v>289</v>
      </c>
    </row>
    <row r="1933" spans="1:22">
      <c r="A1933" t="s">
        <v>65</v>
      </c>
      <c r="B1933" t="s">
        <v>287</v>
      </c>
      <c r="C1933" t="s">
        <v>290</v>
      </c>
      <c r="D1933">
        <v>0</v>
      </c>
      <c r="E1933">
        <v>1</v>
      </c>
      <c r="F1933">
        <v>3</v>
      </c>
      <c r="G1933">
        <v>8</v>
      </c>
      <c r="H1933">
        <v>10</v>
      </c>
      <c r="I1933">
        <v>2</v>
      </c>
      <c r="J1933">
        <v>3</v>
      </c>
      <c r="K1933">
        <v>3</v>
      </c>
      <c r="L1933">
        <v>3</v>
      </c>
      <c r="M1933">
        <v>11</v>
      </c>
      <c r="N1933">
        <v>5</v>
      </c>
      <c r="O1933">
        <v>4</v>
      </c>
      <c r="P1933">
        <v>6</v>
      </c>
      <c r="Q1933">
        <v>7</v>
      </c>
      <c r="R1933">
        <v>13</v>
      </c>
      <c r="S1933">
        <v>9</v>
      </c>
      <c r="T1933">
        <v>0</v>
      </c>
      <c r="U1933">
        <v>22</v>
      </c>
      <c r="V1933" t="s">
        <v>289</v>
      </c>
    </row>
    <row r="1934" spans="1:22">
      <c r="A1934" t="s">
        <v>65</v>
      </c>
      <c r="B1934" t="s">
        <v>287</v>
      </c>
      <c r="C1934" t="s">
        <v>291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 t="s">
        <v>289</v>
      </c>
    </row>
    <row r="1935" spans="1:22">
      <c r="A1935" t="s">
        <v>65</v>
      </c>
      <c r="B1935" t="s">
        <v>287</v>
      </c>
      <c r="C1935" t="s">
        <v>292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 t="s">
        <v>289</v>
      </c>
    </row>
    <row r="1936" spans="1:22">
      <c r="A1936" t="s">
        <v>65</v>
      </c>
      <c r="B1936" t="s">
        <v>287</v>
      </c>
      <c r="C1936" t="s">
        <v>298</v>
      </c>
      <c r="D1936">
        <v>0</v>
      </c>
      <c r="E1936">
        <v>1</v>
      </c>
      <c r="F1936">
        <v>0</v>
      </c>
      <c r="G1936">
        <v>2</v>
      </c>
      <c r="H1936">
        <v>0</v>
      </c>
      <c r="I1936">
        <v>0</v>
      </c>
      <c r="J1936">
        <v>0</v>
      </c>
      <c r="K1936">
        <v>2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1</v>
      </c>
      <c r="R1936">
        <v>3</v>
      </c>
      <c r="S1936">
        <v>0</v>
      </c>
      <c r="T1936">
        <v>0</v>
      </c>
      <c r="U1936">
        <v>3</v>
      </c>
      <c r="V1936" t="s">
        <v>289</v>
      </c>
    </row>
    <row r="1937" spans="1:22">
      <c r="A1937" t="s">
        <v>65</v>
      </c>
      <c r="B1937" t="s">
        <v>287</v>
      </c>
      <c r="C1937" t="s">
        <v>293</v>
      </c>
      <c r="D1937">
        <v>0</v>
      </c>
      <c r="E1937">
        <v>0</v>
      </c>
      <c r="F1937">
        <v>4</v>
      </c>
      <c r="G1937">
        <v>0</v>
      </c>
      <c r="H1937">
        <v>0</v>
      </c>
      <c r="I1937">
        <v>0</v>
      </c>
      <c r="J1937">
        <v>0</v>
      </c>
      <c r="K1937">
        <v>3</v>
      </c>
      <c r="L1937">
        <v>1</v>
      </c>
      <c r="M1937">
        <v>0</v>
      </c>
      <c r="N1937">
        <v>2</v>
      </c>
      <c r="O1937">
        <v>0</v>
      </c>
      <c r="P1937">
        <v>2</v>
      </c>
      <c r="Q1937">
        <v>0</v>
      </c>
      <c r="R1937">
        <v>2</v>
      </c>
      <c r="S1937">
        <v>2</v>
      </c>
      <c r="T1937">
        <v>0</v>
      </c>
      <c r="U1937">
        <v>4</v>
      </c>
      <c r="V1937" t="s">
        <v>289</v>
      </c>
    </row>
    <row r="1938" spans="1:22">
      <c r="A1938" t="s">
        <v>65</v>
      </c>
      <c r="B1938" t="s">
        <v>287</v>
      </c>
      <c r="C1938" t="s">
        <v>294</v>
      </c>
      <c r="D1938">
        <v>0</v>
      </c>
      <c r="E1938">
        <v>0</v>
      </c>
      <c r="F1938">
        <v>0</v>
      </c>
      <c r="G1938">
        <v>0</v>
      </c>
      <c r="H1938">
        <v>1</v>
      </c>
      <c r="I1938">
        <v>0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1</v>
      </c>
      <c r="V1938" t="s">
        <v>289</v>
      </c>
    </row>
    <row r="1939" spans="1:22">
      <c r="A1939" t="s">
        <v>65</v>
      </c>
      <c r="B1939" t="s">
        <v>287</v>
      </c>
      <c r="C1939" t="s">
        <v>17</v>
      </c>
      <c r="D1939">
        <v>0</v>
      </c>
      <c r="E1939">
        <v>2</v>
      </c>
      <c r="F1939">
        <v>7</v>
      </c>
      <c r="G1939">
        <v>10</v>
      </c>
      <c r="H1939">
        <v>11</v>
      </c>
      <c r="I1939">
        <v>2</v>
      </c>
      <c r="J1939">
        <v>3</v>
      </c>
      <c r="K1939">
        <v>8</v>
      </c>
      <c r="L1939">
        <v>5</v>
      </c>
      <c r="M1939">
        <v>12</v>
      </c>
      <c r="N1939">
        <v>9</v>
      </c>
      <c r="O1939">
        <v>4</v>
      </c>
      <c r="P1939">
        <v>9</v>
      </c>
      <c r="Q1939">
        <v>8</v>
      </c>
      <c r="R1939">
        <v>18</v>
      </c>
      <c r="S1939">
        <v>12</v>
      </c>
      <c r="T1939">
        <v>0</v>
      </c>
      <c r="U1939">
        <v>30</v>
      </c>
      <c r="V1939" t="s">
        <v>289</v>
      </c>
    </row>
    <row r="1940" spans="1:22">
      <c r="A1940" t="s">
        <v>65</v>
      </c>
      <c r="B1940" t="s">
        <v>287</v>
      </c>
      <c r="C1940" t="s">
        <v>295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 t="s">
        <v>289</v>
      </c>
    </row>
    <row r="1941" spans="1:22">
      <c r="A1941" t="s">
        <v>301</v>
      </c>
      <c r="B1941" t="s">
        <v>287</v>
      </c>
      <c r="C1941" t="s">
        <v>288</v>
      </c>
      <c r="D1941">
        <v>0.68</v>
      </c>
      <c r="E1941">
        <v>1.32</v>
      </c>
      <c r="F1941">
        <v>4.9000000000000004</v>
      </c>
      <c r="G1941">
        <v>8.1300000000000008</v>
      </c>
      <c r="H1941">
        <v>9.9700000000000006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0</v>
      </c>
      <c r="U1941">
        <v>25</v>
      </c>
      <c r="V1941" t="s">
        <v>289</v>
      </c>
    </row>
    <row r="1942" spans="1:22">
      <c r="A1942" t="s">
        <v>301</v>
      </c>
      <c r="B1942" t="s">
        <v>287</v>
      </c>
      <c r="C1942" t="s">
        <v>290</v>
      </c>
      <c r="D1942">
        <v>1</v>
      </c>
      <c r="E1942">
        <v>0</v>
      </c>
      <c r="F1942">
        <v>2</v>
      </c>
      <c r="G1942">
        <v>8</v>
      </c>
      <c r="H1942">
        <v>10</v>
      </c>
      <c r="I1942">
        <v>0</v>
      </c>
      <c r="J1942">
        <v>4</v>
      </c>
      <c r="K1942">
        <v>3</v>
      </c>
      <c r="L1942">
        <v>4</v>
      </c>
      <c r="M1942">
        <v>10</v>
      </c>
      <c r="N1942">
        <v>8</v>
      </c>
      <c r="O1942">
        <v>11</v>
      </c>
      <c r="P1942">
        <v>1</v>
      </c>
      <c r="Q1942">
        <v>1</v>
      </c>
      <c r="R1942">
        <v>9</v>
      </c>
      <c r="S1942">
        <v>12</v>
      </c>
      <c r="T1942">
        <v>0</v>
      </c>
      <c r="U1942">
        <v>21</v>
      </c>
      <c r="V1942" t="s">
        <v>289</v>
      </c>
    </row>
    <row r="1943" spans="1:22">
      <c r="A1943" t="s">
        <v>301</v>
      </c>
      <c r="B1943" t="s">
        <v>287</v>
      </c>
      <c r="C1943" t="s">
        <v>291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1</v>
      </c>
      <c r="T1943">
        <v>0</v>
      </c>
      <c r="U1943">
        <v>1</v>
      </c>
      <c r="V1943" t="s">
        <v>289</v>
      </c>
    </row>
    <row r="1944" spans="1:22">
      <c r="A1944" t="s">
        <v>301</v>
      </c>
      <c r="B1944" t="s">
        <v>287</v>
      </c>
      <c r="C1944" t="s">
        <v>292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 t="s">
        <v>289</v>
      </c>
    </row>
    <row r="1945" spans="1:22">
      <c r="A1945" t="s">
        <v>301</v>
      </c>
      <c r="B1945" t="s">
        <v>287</v>
      </c>
      <c r="C1945" t="s">
        <v>298</v>
      </c>
      <c r="D1945">
        <v>0</v>
      </c>
      <c r="E1945">
        <v>0</v>
      </c>
      <c r="F1945">
        <v>0</v>
      </c>
      <c r="G1945">
        <v>0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1</v>
      </c>
      <c r="V1945" t="s">
        <v>289</v>
      </c>
    </row>
    <row r="1946" spans="1:22">
      <c r="A1946" t="s">
        <v>301</v>
      </c>
      <c r="B1946" t="s">
        <v>287</v>
      </c>
      <c r="C1946" t="s">
        <v>293</v>
      </c>
      <c r="D1946">
        <v>0</v>
      </c>
      <c r="E1946">
        <v>0</v>
      </c>
      <c r="F1946">
        <v>1</v>
      </c>
      <c r="G1946">
        <v>2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0</v>
      </c>
      <c r="R1946">
        <v>2</v>
      </c>
      <c r="S1946">
        <v>1</v>
      </c>
      <c r="T1946">
        <v>0</v>
      </c>
      <c r="U1946">
        <v>3</v>
      </c>
      <c r="V1946" t="s">
        <v>289</v>
      </c>
    </row>
    <row r="1947" spans="1:22">
      <c r="A1947" t="s">
        <v>301</v>
      </c>
      <c r="B1947" t="s">
        <v>287</v>
      </c>
      <c r="C1947" t="s">
        <v>294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 t="s">
        <v>289</v>
      </c>
    </row>
    <row r="1948" spans="1:22">
      <c r="A1948" t="s">
        <v>301</v>
      </c>
      <c r="B1948" t="s">
        <v>287</v>
      </c>
      <c r="C1948" t="s">
        <v>17</v>
      </c>
      <c r="D1948">
        <v>1</v>
      </c>
      <c r="E1948">
        <v>0</v>
      </c>
      <c r="F1948">
        <v>3</v>
      </c>
      <c r="G1948">
        <v>11</v>
      </c>
      <c r="H1948">
        <v>11</v>
      </c>
      <c r="I1948">
        <v>1</v>
      </c>
      <c r="J1948">
        <v>5</v>
      </c>
      <c r="K1948">
        <v>3</v>
      </c>
      <c r="L1948">
        <v>5</v>
      </c>
      <c r="M1948">
        <v>12</v>
      </c>
      <c r="N1948">
        <v>10</v>
      </c>
      <c r="O1948">
        <v>12</v>
      </c>
      <c r="P1948">
        <v>2</v>
      </c>
      <c r="Q1948">
        <v>2</v>
      </c>
      <c r="R1948">
        <v>12</v>
      </c>
      <c r="S1948">
        <v>14</v>
      </c>
      <c r="T1948">
        <v>0</v>
      </c>
      <c r="U1948">
        <v>26</v>
      </c>
      <c r="V1948" t="s">
        <v>289</v>
      </c>
    </row>
    <row r="1949" spans="1:22">
      <c r="A1949" t="s">
        <v>301</v>
      </c>
      <c r="B1949" t="s">
        <v>287</v>
      </c>
      <c r="C1949" t="s">
        <v>295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 t="s">
        <v>289</v>
      </c>
    </row>
    <row r="1950" spans="1:22">
      <c r="A1950" t="s">
        <v>150</v>
      </c>
      <c r="B1950" t="s">
        <v>287</v>
      </c>
      <c r="C1950" t="s">
        <v>288</v>
      </c>
      <c r="D1950">
        <v>1.33</v>
      </c>
      <c r="E1950">
        <v>2.56</v>
      </c>
      <c r="F1950">
        <v>9.86</v>
      </c>
      <c r="G1950">
        <v>16.170000000000002</v>
      </c>
      <c r="H1950">
        <v>20.079999999999998</v>
      </c>
      <c r="I1950">
        <v>2</v>
      </c>
      <c r="J1950">
        <v>2</v>
      </c>
      <c r="K1950">
        <v>2</v>
      </c>
      <c r="L1950">
        <v>2</v>
      </c>
      <c r="M1950">
        <v>2</v>
      </c>
      <c r="N1950">
        <v>2</v>
      </c>
      <c r="O1950">
        <v>2</v>
      </c>
      <c r="P1950">
        <v>2</v>
      </c>
      <c r="Q1950">
        <v>2</v>
      </c>
      <c r="R1950">
        <v>2</v>
      </c>
      <c r="S1950">
        <v>2</v>
      </c>
      <c r="T1950">
        <v>0</v>
      </c>
      <c r="U1950">
        <v>50</v>
      </c>
      <c r="V1950" t="s">
        <v>289</v>
      </c>
    </row>
    <row r="1951" spans="1:22">
      <c r="A1951" t="s">
        <v>150</v>
      </c>
      <c r="B1951" t="s">
        <v>287</v>
      </c>
      <c r="C1951" t="s">
        <v>290</v>
      </c>
      <c r="D1951">
        <v>1</v>
      </c>
      <c r="E1951">
        <v>1</v>
      </c>
      <c r="F1951">
        <v>5</v>
      </c>
      <c r="G1951">
        <v>16</v>
      </c>
      <c r="H1951">
        <v>20</v>
      </c>
      <c r="I1951">
        <v>2</v>
      </c>
      <c r="J1951">
        <v>7</v>
      </c>
      <c r="K1951">
        <v>6</v>
      </c>
      <c r="L1951">
        <v>7</v>
      </c>
      <c r="M1951">
        <v>21</v>
      </c>
      <c r="N1951">
        <v>13</v>
      </c>
      <c r="O1951">
        <v>15</v>
      </c>
      <c r="P1951">
        <v>7</v>
      </c>
      <c r="Q1951">
        <v>8</v>
      </c>
      <c r="R1951">
        <v>22</v>
      </c>
      <c r="S1951">
        <v>21</v>
      </c>
      <c r="T1951">
        <v>0</v>
      </c>
      <c r="U1951">
        <v>43</v>
      </c>
      <c r="V1951" t="s">
        <v>289</v>
      </c>
    </row>
    <row r="1952" spans="1:22">
      <c r="A1952" t="s">
        <v>150</v>
      </c>
      <c r="B1952" t="s">
        <v>287</v>
      </c>
      <c r="C1952" t="s">
        <v>291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1</v>
      </c>
      <c r="T1952">
        <v>0</v>
      </c>
      <c r="U1952">
        <v>1</v>
      </c>
      <c r="V1952" t="s">
        <v>289</v>
      </c>
    </row>
    <row r="1953" spans="1:22">
      <c r="A1953" t="s">
        <v>150</v>
      </c>
      <c r="B1953" t="s">
        <v>287</v>
      </c>
      <c r="C1953" t="s">
        <v>292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 t="s">
        <v>289</v>
      </c>
    </row>
    <row r="1954" spans="1:22">
      <c r="A1954" t="s">
        <v>150</v>
      </c>
      <c r="B1954" t="s">
        <v>287</v>
      </c>
      <c r="C1954" t="s">
        <v>298</v>
      </c>
      <c r="D1954">
        <v>0</v>
      </c>
      <c r="E1954">
        <v>1</v>
      </c>
      <c r="F1954">
        <v>0</v>
      </c>
      <c r="G1954">
        <v>2</v>
      </c>
      <c r="H1954">
        <v>1</v>
      </c>
      <c r="I1954">
        <v>1</v>
      </c>
      <c r="J1954">
        <v>0</v>
      </c>
      <c r="K1954">
        <v>2</v>
      </c>
      <c r="L1954">
        <v>0</v>
      </c>
      <c r="M1954">
        <v>1</v>
      </c>
      <c r="N1954">
        <v>2</v>
      </c>
      <c r="O1954">
        <v>0</v>
      </c>
      <c r="P1954">
        <v>1</v>
      </c>
      <c r="Q1954">
        <v>1</v>
      </c>
      <c r="R1954">
        <v>4</v>
      </c>
      <c r="S1954">
        <v>0</v>
      </c>
      <c r="T1954">
        <v>0</v>
      </c>
      <c r="U1954">
        <v>4</v>
      </c>
      <c r="V1954" t="s">
        <v>289</v>
      </c>
    </row>
    <row r="1955" spans="1:22">
      <c r="A1955" t="s">
        <v>150</v>
      </c>
      <c r="B1955" t="s">
        <v>287</v>
      </c>
      <c r="C1955" t="s">
        <v>293</v>
      </c>
      <c r="D1955">
        <v>0</v>
      </c>
      <c r="E1955">
        <v>0</v>
      </c>
      <c r="F1955">
        <v>5</v>
      </c>
      <c r="G1955">
        <v>2</v>
      </c>
      <c r="H1955">
        <v>0</v>
      </c>
      <c r="I1955">
        <v>0</v>
      </c>
      <c r="J1955">
        <v>1</v>
      </c>
      <c r="K1955">
        <v>3</v>
      </c>
      <c r="L1955">
        <v>2</v>
      </c>
      <c r="M1955">
        <v>1</v>
      </c>
      <c r="N1955">
        <v>3</v>
      </c>
      <c r="O1955">
        <v>1</v>
      </c>
      <c r="P1955">
        <v>3</v>
      </c>
      <c r="Q1955">
        <v>0</v>
      </c>
      <c r="R1955">
        <v>4</v>
      </c>
      <c r="S1955">
        <v>3</v>
      </c>
      <c r="T1955">
        <v>0</v>
      </c>
      <c r="U1955">
        <v>7</v>
      </c>
      <c r="V1955" t="s">
        <v>289</v>
      </c>
    </row>
    <row r="1956" spans="1:22">
      <c r="A1956" t="s">
        <v>150</v>
      </c>
      <c r="B1956" t="s">
        <v>287</v>
      </c>
      <c r="C1956" t="s">
        <v>294</v>
      </c>
      <c r="D1956">
        <v>0</v>
      </c>
      <c r="E1956">
        <v>0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 t="s">
        <v>289</v>
      </c>
    </row>
    <row r="1957" spans="1:22">
      <c r="A1957" t="s">
        <v>150</v>
      </c>
      <c r="B1957" t="s">
        <v>287</v>
      </c>
      <c r="C1957" t="s">
        <v>17</v>
      </c>
      <c r="D1957">
        <v>1</v>
      </c>
      <c r="E1957">
        <v>2</v>
      </c>
      <c r="F1957">
        <v>10</v>
      </c>
      <c r="G1957">
        <v>21</v>
      </c>
      <c r="H1957">
        <v>22</v>
      </c>
      <c r="I1957">
        <v>3</v>
      </c>
      <c r="J1957">
        <v>8</v>
      </c>
      <c r="K1957">
        <v>11</v>
      </c>
      <c r="L1957">
        <v>10</v>
      </c>
      <c r="M1957">
        <v>24</v>
      </c>
      <c r="N1957">
        <v>19</v>
      </c>
      <c r="O1957">
        <v>16</v>
      </c>
      <c r="P1957">
        <v>11</v>
      </c>
      <c r="Q1957">
        <v>10</v>
      </c>
      <c r="R1957">
        <v>30</v>
      </c>
      <c r="S1957">
        <v>26</v>
      </c>
      <c r="T1957">
        <v>0</v>
      </c>
      <c r="U1957">
        <v>56</v>
      </c>
      <c r="V1957" t="s">
        <v>289</v>
      </c>
    </row>
    <row r="1958" spans="1:22">
      <c r="A1958" t="s">
        <v>150</v>
      </c>
      <c r="B1958" t="s">
        <v>287</v>
      </c>
      <c r="C1958" t="s">
        <v>295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 t="s">
        <v>289</v>
      </c>
    </row>
    <row r="1959" spans="1:22"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</row>
    <row r="1960" spans="1:22"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</row>
    <row r="1961" spans="1:22"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</row>
    <row r="1962" spans="1:22"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</row>
    <row r="1963" spans="1:22"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</row>
    <row r="1964" spans="1:22"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</row>
    <row r="1965" spans="1:22"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</row>
    <row r="1966" spans="1:22"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</row>
    <row r="1967" spans="1:22"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</row>
    <row r="1968" spans="1:22"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</row>
    <row r="1969" spans="4:22"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</row>
    <row r="1970" spans="4:22"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</row>
    <row r="1971" spans="4:22"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</row>
    <row r="1972" spans="4:22"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</row>
    <row r="1973" spans="4:22"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</row>
    <row r="1974" spans="4:22"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</row>
    <row r="1975" spans="4:22"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</row>
    <row r="1976" spans="4:22"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</row>
    <row r="1977" spans="4:22"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</row>
    <row r="1978" spans="4:22"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</row>
    <row r="1979" spans="4:22"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</row>
    <row r="1980" spans="4:22"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</row>
    <row r="1981" spans="4:22"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</row>
    <row r="1982" spans="4:22"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</row>
    <row r="1983" spans="4:22"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</row>
    <row r="1984" spans="4:22"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</row>
    <row r="1985" spans="4:22"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</row>
    <row r="1986" spans="4:22"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</row>
    <row r="1987" spans="4:22"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</row>
    <row r="1988" spans="4:22"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</row>
    <row r="1989" spans="4:22"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</row>
    <row r="1990" spans="4:22"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</row>
    <row r="1991" spans="4:22"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</row>
    <row r="1992" spans="4:22"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</row>
    <row r="1993" spans="4:22"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</row>
    <row r="1994" spans="4:22"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</row>
    <row r="1995" spans="4:22"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</row>
    <row r="1996" spans="4:22"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</row>
    <row r="1997" spans="4:22"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</row>
    <row r="1998" spans="4:22"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</row>
    <row r="1999" spans="4:22"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</row>
    <row r="2000" spans="4:22"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</row>
    <row r="2001" spans="4:22"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</row>
    <row r="2002" spans="4:22"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</row>
    <row r="2003" spans="4:22"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</row>
    <row r="2004" spans="4:22"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</row>
    <row r="2005" spans="4:22"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</row>
    <row r="2006" spans="4:22"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</row>
    <row r="2007" spans="4:22"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</row>
    <row r="2008" spans="4:22"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</row>
    <row r="2009" spans="4:22"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</row>
    <row r="2010" spans="4:22"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</row>
    <row r="2011" spans="4:22"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</row>
    <row r="2012" spans="4:22"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</row>
    <row r="2013" spans="4:22"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</row>
    <row r="2014" spans="4:22"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</row>
    <row r="2015" spans="4:22"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</row>
    <row r="2016" spans="4:22"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</row>
    <row r="2017" spans="1:22"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</row>
    <row r="2018" spans="1:22"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</row>
    <row r="2019" spans="1:22"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</row>
    <row r="2020" spans="1:22"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</row>
    <row r="2021" spans="1:22"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</row>
    <row r="2022" spans="1:22"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</row>
    <row r="2023" spans="1:22"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</row>
    <row r="2024" spans="1:22"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</row>
    <row r="2025" spans="1:22"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</row>
    <row r="2026" spans="1:22"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</row>
    <row r="2027" spans="1:22"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</row>
    <row r="2028" spans="1:22"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</row>
    <row r="2029" spans="1:22">
      <c r="A2029">
        <f>setup!C27</f>
        <v>3778</v>
      </c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spans="1:22">
      <c r="A2030" t="str">
        <f>_xlfn.CONCAT(setup!D27," - ",setup!E27)</f>
        <v>Counterbalance WAIS-5/WISC-6 - Paper - CB_WAIS5_P</v>
      </c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spans="1:22">
      <c r="A2031" t="s">
        <v>5</v>
      </c>
      <c r="B2031" t="s">
        <v>259</v>
      </c>
      <c r="C2031" t="s">
        <v>260</v>
      </c>
      <c r="D2031" s="1" t="s">
        <v>29</v>
      </c>
      <c r="E2031" s="1" t="s">
        <v>56</v>
      </c>
      <c r="F2031" s="1" t="s">
        <v>50</v>
      </c>
      <c r="G2031" s="1" t="s">
        <v>38</v>
      </c>
      <c r="H2031" s="1" t="s">
        <v>58</v>
      </c>
      <c r="I2031" s="1" t="s">
        <v>22</v>
      </c>
      <c r="J2031" s="1" t="s">
        <v>36</v>
      </c>
      <c r="K2031" s="1" t="s">
        <v>24</v>
      </c>
      <c r="L2031" s="1" t="s">
        <v>31</v>
      </c>
      <c r="M2031" s="1" t="s">
        <v>39</v>
      </c>
      <c r="N2031" s="1" t="s">
        <v>59</v>
      </c>
      <c r="O2031" s="1" t="s">
        <v>47</v>
      </c>
      <c r="P2031" s="1" t="s">
        <v>33</v>
      </c>
      <c r="Q2031" s="1" t="s">
        <v>60</v>
      </c>
      <c r="R2031" s="1" t="s">
        <v>45</v>
      </c>
      <c r="S2031" s="1" t="s">
        <v>34</v>
      </c>
      <c r="T2031" t="s">
        <v>26</v>
      </c>
      <c r="U2031" s="1" t="s">
        <v>150</v>
      </c>
      <c r="V2031" t="s">
        <v>286</v>
      </c>
    </row>
    <row r="2032" spans="1:22">
      <c r="A2032" t="s">
        <v>54</v>
      </c>
      <c r="B2032" t="s">
        <v>287</v>
      </c>
      <c r="C2032" t="s">
        <v>288</v>
      </c>
      <c r="D2032">
        <v>2.0099999999999998</v>
      </c>
      <c r="E2032">
        <v>3.2</v>
      </c>
      <c r="F2032">
        <v>10.11</v>
      </c>
      <c r="G2032">
        <v>15.78</v>
      </c>
      <c r="H2032">
        <v>18.89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0</v>
      </c>
      <c r="U2032">
        <v>50</v>
      </c>
      <c r="V2032" t="s">
        <v>289</v>
      </c>
    </row>
    <row r="2033" spans="1:22">
      <c r="A2033" t="s">
        <v>54</v>
      </c>
      <c r="B2033" t="s">
        <v>287</v>
      </c>
      <c r="C2033" t="s">
        <v>290</v>
      </c>
      <c r="D2033">
        <v>2</v>
      </c>
      <c r="E2033">
        <v>3</v>
      </c>
      <c r="F2033">
        <v>2</v>
      </c>
      <c r="G2033">
        <v>13</v>
      </c>
      <c r="H2033">
        <v>19</v>
      </c>
      <c r="I2033">
        <v>3</v>
      </c>
      <c r="J2033">
        <v>5</v>
      </c>
      <c r="K2033">
        <v>10</v>
      </c>
      <c r="L2033">
        <v>2</v>
      </c>
      <c r="M2033">
        <v>19</v>
      </c>
      <c r="N2033">
        <v>7</v>
      </c>
      <c r="O2033">
        <v>8</v>
      </c>
      <c r="P2033">
        <v>12</v>
      </c>
      <c r="Q2033">
        <v>12</v>
      </c>
      <c r="R2033">
        <v>17</v>
      </c>
      <c r="S2033">
        <v>22</v>
      </c>
      <c r="T2033">
        <v>0</v>
      </c>
      <c r="U2033">
        <v>39</v>
      </c>
      <c r="V2033" t="s">
        <v>289</v>
      </c>
    </row>
    <row r="2034" spans="1:22">
      <c r="A2034" t="s">
        <v>54</v>
      </c>
      <c r="B2034" t="s">
        <v>287</v>
      </c>
      <c r="C2034" t="s">
        <v>291</v>
      </c>
      <c r="D2034">
        <v>0</v>
      </c>
      <c r="E2034">
        <v>2</v>
      </c>
      <c r="F2034">
        <v>0</v>
      </c>
      <c r="G2034">
        <v>0</v>
      </c>
      <c r="H2034">
        <v>1</v>
      </c>
      <c r="I2034">
        <v>0</v>
      </c>
      <c r="J2034">
        <v>0</v>
      </c>
      <c r="K2034">
        <v>1</v>
      </c>
      <c r="L2034">
        <v>0</v>
      </c>
      <c r="M2034">
        <v>2</v>
      </c>
      <c r="N2034">
        <v>0</v>
      </c>
      <c r="O2034">
        <v>1</v>
      </c>
      <c r="P2034">
        <v>1</v>
      </c>
      <c r="Q2034">
        <v>1</v>
      </c>
      <c r="R2034">
        <v>1</v>
      </c>
      <c r="S2034">
        <v>2</v>
      </c>
      <c r="T2034">
        <v>0</v>
      </c>
      <c r="U2034">
        <v>3</v>
      </c>
      <c r="V2034" t="s">
        <v>289</v>
      </c>
    </row>
    <row r="2035" spans="1:22">
      <c r="A2035" t="s">
        <v>54</v>
      </c>
      <c r="B2035" t="s">
        <v>287</v>
      </c>
      <c r="C2035" t="s">
        <v>292</v>
      </c>
      <c r="D2035">
        <v>0</v>
      </c>
      <c r="E2035">
        <v>0</v>
      </c>
      <c r="F2035">
        <v>0</v>
      </c>
      <c r="G2035">
        <v>0</v>
      </c>
      <c r="H2035">
        <v>2</v>
      </c>
      <c r="I2035">
        <v>0</v>
      </c>
      <c r="J2035">
        <v>0</v>
      </c>
      <c r="K2035">
        <v>0</v>
      </c>
      <c r="L2035">
        <v>0</v>
      </c>
      <c r="M2035">
        <v>2</v>
      </c>
      <c r="N2035">
        <v>0</v>
      </c>
      <c r="O2035">
        <v>0</v>
      </c>
      <c r="P2035">
        <v>2</v>
      </c>
      <c r="Q2035">
        <v>0</v>
      </c>
      <c r="R2035">
        <v>1</v>
      </c>
      <c r="S2035">
        <v>1</v>
      </c>
      <c r="T2035">
        <v>0</v>
      </c>
      <c r="U2035">
        <v>2</v>
      </c>
      <c r="V2035" t="s">
        <v>289</v>
      </c>
    </row>
    <row r="2036" spans="1:22">
      <c r="A2036" t="s">
        <v>54</v>
      </c>
      <c r="B2036" t="s">
        <v>287</v>
      </c>
      <c r="C2036" t="s">
        <v>298</v>
      </c>
      <c r="D2036">
        <v>0</v>
      </c>
      <c r="E2036">
        <v>0</v>
      </c>
      <c r="F2036">
        <v>0</v>
      </c>
      <c r="G2036">
        <v>2</v>
      </c>
      <c r="H2036">
        <v>1</v>
      </c>
      <c r="I2036">
        <v>0</v>
      </c>
      <c r="J2036">
        <v>0</v>
      </c>
      <c r="K2036">
        <v>0</v>
      </c>
      <c r="L2036">
        <v>0</v>
      </c>
      <c r="M2036">
        <v>3</v>
      </c>
      <c r="N2036">
        <v>1</v>
      </c>
      <c r="O2036">
        <v>0</v>
      </c>
      <c r="P2036">
        <v>1</v>
      </c>
      <c r="Q2036">
        <v>1</v>
      </c>
      <c r="R2036">
        <v>2</v>
      </c>
      <c r="S2036">
        <v>1</v>
      </c>
      <c r="T2036">
        <v>0</v>
      </c>
      <c r="U2036">
        <v>3</v>
      </c>
      <c r="V2036" t="s">
        <v>289</v>
      </c>
    </row>
    <row r="2037" spans="1:22">
      <c r="A2037" t="s">
        <v>54</v>
      </c>
      <c r="B2037" t="s">
        <v>287</v>
      </c>
      <c r="C2037" t="s">
        <v>293</v>
      </c>
      <c r="D2037">
        <v>0</v>
      </c>
      <c r="E2037">
        <v>0</v>
      </c>
      <c r="F2037">
        <v>7</v>
      </c>
      <c r="G2037">
        <v>3</v>
      </c>
      <c r="H2037">
        <v>2</v>
      </c>
      <c r="I2037">
        <v>0</v>
      </c>
      <c r="J2037">
        <v>2</v>
      </c>
      <c r="K2037">
        <v>4</v>
      </c>
      <c r="L2037">
        <v>0</v>
      </c>
      <c r="M2037">
        <v>6</v>
      </c>
      <c r="N2037">
        <v>0</v>
      </c>
      <c r="O2037">
        <v>4</v>
      </c>
      <c r="P2037">
        <v>4</v>
      </c>
      <c r="Q2037">
        <v>4</v>
      </c>
      <c r="R2037">
        <v>4</v>
      </c>
      <c r="S2037">
        <v>8</v>
      </c>
      <c r="T2037">
        <v>0</v>
      </c>
      <c r="U2037">
        <v>12</v>
      </c>
      <c r="V2037" t="s">
        <v>289</v>
      </c>
    </row>
    <row r="2038" spans="1:22">
      <c r="A2038" t="s">
        <v>54</v>
      </c>
      <c r="B2038" t="s">
        <v>287</v>
      </c>
      <c r="C2038" t="s">
        <v>294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 t="s">
        <v>289</v>
      </c>
    </row>
    <row r="2039" spans="1:22">
      <c r="A2039" t="s">
        <v>54</v>
      </c>
      <c r="B2039" t="s">
        <v>287</v>
      </c>
      <c r="C2039" t="s">
        <v>17</v>
      </c>
      <c r="D2039">
        <v>2</v>
      </c>
      <c r="E2039">
        <v>5</v>
      </c>
      <c r="F2039">
        <v>9</v>
      </c>
      <c r="G2039">
        <v>18</v>
      </c>
      <c r="H2039">
        <v>25</v>
      </c>
      <c r="I2039">
        <v>3</v>
      </c>
      <c r="J2039">
        <v>7</v>
      </c>
      <c r="K2039">
        <v>15</v>
      </c>
      <c r="L2039">
        <v>2</v>
      </c>
      <c r="M2039">
        <v>32</v>
      </c>
      <c r="N2039">
        <v>8</v>
      </c>
      <c r="O2039">
        <v>13</v>
      </c>
      <c r="P2039">
        <v>20</v>
      </c>
      <c r="Q2039">
        <v>18</v>
      </c>
      <c r="R2039">
        <v>25</v>
      </c>
      <c r="S2039">
        <v>34</v>
      </c>
      <c r="T2039">
        <v>0</v>
      </c>
      <c r="U2039">
        <v>59</v>
      </c>
      <c r="V2039" t="s">
        <v>289</v>
      </c>
    </row>
    <row r="2040" spans="1:22">
      <c r="A2040" t="s">
        <v>54</v>
      </c>
      <c r="B2040" t="s">
        <v>287</v>
      </c>
      <c r="C2040" t="s">
        <v>295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 t="s">
        <v>289</v>
      </c>
    </row>
    <row r="2041" spans="1:22">
      <c r="A2041" t="s">
        <v>150</v>
      </c>
      <c r="B2041" t="s">
        <v>287</v>
      </c>
      <c r="C2041" t="s">
        <v>288</v>
      </c>
      <c r="D2041">
        <v>2.0099999999999998</v>
      </c>
      <c r="E2041">
        <v>3.2</v>
      </c>
      <c r="F2041">
        <v>10.11</v>
      </c>
      <c r="G2041">
        <v>15.78</v>
      </c>
      <c r="H2041">
        <v>18.89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0</v>
      </c>
      <c r="U2041">
        <v>50</v>
      </c>
      <c r="V2041" t="s">
        <v>289</v>
      </c>
    </row>
    <row r="2042" spans="1:22">
      <c r="A2042" t="s">
        <v>150</v>
      </c>
      <c r="B2042" t="s">
        <v>287</v>
      </c>
      <c r="C2042" t="s">
        <v>290</v>
      </c>
      <c r="D2042">
        <v>2</v>
      </c>
      <c r="E2042">
        <v>3</v>
      </c>
      <c r="F2042">
        <v>2</v>
      </c>
      <c r="G2042">
        <v>13</v>
      </c>
      <c r="H2042">
        <v>19</v>
      </c>
      <c r="I2042">
        <v>3</v>
      </c>
      <c r="J2042">
        <v>5</v>
      </c>
      <c r="K2042">
        <v>10</v>
      </c>
      <c r="L2042">
        <v>2</v>
      </c>
      <c r="M2042">
        <v>19</v>
      </c>
      <c r="N2042">
        <v>7</v>
      </c>
      <c r="O2042">
        <v>8</v>
      </c>
      <c r="P2042">
        <v>12</v>
      </c>
      <c r="Q2042">
        <v>12</v>
      </c>
      <c r="R2042">
        <v>17</v>
      </c>
      <c r="S2042">
        <v>22</v>
      </c>
      <c r="T2042">
        <v>0</v>
      </c>
      <c r="U2042">
        <v>39</v>
      </c>
      <c r="V2042" t="s">
        <v>289</v>
      </c>
    </row>
    <row r="2043" spans="1:22">
      <c r="A2043" t="s">
        <v>150</v>
      </c>
      <c r="B2043" t="s">
        <v>287</v>
      </c>
      <c r="C2043" t="s">
        <v>291</v>
      </c>
      <c r="D2043">
        <v>0</v>
      </c>
      <c r="E2043">
        <v>2</v>
      </c>
      <c r="F2043">
        <v>0</v>
      </c>
      <c r="G2043">
        <v>0</v>
      </c>
      <c r="H2043">
        <v>1</v>
      </c>
      <c r="I2043">
        <v>0</v>
      </c>
      <c r="J2043">
        <v>0</v>
      </c>
      <c r="K2043">
        <v>1</v>
      </c>
      <c r="L2043">
        <v>0</v>
      </c>
      <c r="M2043">
        <v>2</v>
      </c>
      <c r="N2043">
        <v>0</v>
      </c>
      <c r="O2043">
        <v>1</v>
      </c>
      <c r="P2043">
        <v>1</v>
      </c>
      <c r="Q2043">
        <v>1</v>
      </c>
      <c r="R2043">
        <v>1</v>
      </c>
      <c r="S2043">
        <v>2</v>
      </c>
      <c r="T2043">
        <v>0</v>
      </c>
      <c r="U2043">
        <v>3</v>
      </c>
      <c r="V2043" t="s">
        <v>289</v>
      </c>
    </row>
    <row r="2044" spans="1:22">
      <c r="A2044" t="s">
        <v>150</v>
      </c>
      <c r="B2044" t="s">
        <v>287</v>
      </c>
      <c r="C2044" t="s">
        <v>292</v>
      </c>
      <c r="D2044">
        <v>0</v>
      </c>
      <c r="E2044">
        <v>0</v>
      </c>
      <c r="F2044">
        <v>0</v>
      </c>
      <c r="G2044">
        <v>0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2</v>
      </c>
      <c r="N2044">
        <v>0</v>
      </c>
      <c r="O2044">
        <v>0</v>
      </c>
      <c r="P2044">
        <v>2</v>
      </c>
      <c r="Q2044">
        <v>0</v>
      </c>
      <c r="R2044">
        <v>1</v>
      </c>
      <c r="S2044">
        <v>1</v>
      </c>
      <c r="T2044">
        <v>0</v>
      </c>
      <c r="U2044">
        <v>2</v>
      </c>
      <c r="V2044" t="s">
        <v>289</v>
      </c>
    </row>
    <row r="2045" spans="1:22">
      <c r="A2045" t="s">
        <v>150</v>
      </c>
      <c r="B2045" t="s">
        <v>287</v>
      </c>
      <c r="C2045" t="s">
        <v>298</v>
      </c>
      <c r="D2045">
        <v>0</v>
      </c>
      <c r="E2045">
        <v>0</v>
      </c>
      <c r="F2045">
        <v>0</v>
      </c>
      <c r="G2045">
        <v>2</v>
      </c>
      <c r="H2045">
        <v>1</v>
      </c>
      <c r="I2045">
        <v>0</v>
      </c>
      <c r="J2045">
        <v>0</v>
      </c>
      <c r="K2045">
        <v>0</v>
      </c>
      <c r="L2045">
        <v>0</v>
      </c>
      <c r="M2045">
        <v>3</v>
      </c>
      <c r="N2045">
        <v>1</v>
      </c>
      <c r="O2045">
        <v>0</v>
      </c>
      <c r="P2045">
        <v>1</v>
      </c>
      <c r="Q2045">
        <v>1</v>
      </c>
      <c r="R2045">
        <v>2</v>
      </c>
      <c r="S2045">
        <v>1</v>
      </c>
      <c r="T2045">
        <v>0</v>
      </c>
      <c r="U2045">
        <v>3</v>
      </c>
      <c r="V2045" t="s">
        <v>289</v>
      </c>
    </row>
    <row r="2046" spans="1:22">
      <c r="A2046" t="s">
        <v>150</v>
      </c>
      <c r="B2046" t="s">
        <v>287</v>
      </c>
      <c r="C2046" t="s">
        <v>293</v>
      </c>
      <c r="D2046">
        <v>0</v>
      </c>
      <c r="E2046">
        <v>0</v>
      </c>
      <c r="F2046">
        <v>7</v>
      </c>
      <c r="G2046">
        <v>3</v>
      </c>
      <c r="H2046">
        <v>2</v>
      </c>
      <c r="I2046">
        <v>0</v>
      </c>
      <c r="J2046">
        <v>2</v>
      </c>
      <c r="K2046">
        <v>4</v>
      </c>
      <c r="L2046">
        <v>0</v>
      </c>
      <c r="M2046">
        <v>6</v>
      </c>
      <c r="N2046">
        <v>0</v>
      </c>
      <c r="O2046">
        <v>4</v>
      </c>
      <c r="P2046">
        <v>4</v>
      </c>
      <c r="Q2046">
        <v>4</v>
      </c>
      <c r="R2046">
        <v>4</v>
      </c>
      <c r="S2046">
        <v>8</v>
      </c>
      <c r="T2046">
        <v>0</v>
      </c>
      <c r="U2046">
        <v>12</v>
      </c>
      <c r="V2046" t="s">
        <v>289</v>
      </c>
    </row>
    <row r="2047" spans="1:22">
      <c r="A2047" t="s">
        <v>150</v>
      </c>
      <c r="B2047" t="s">
        <v>287</v>
      </c>
      <c r="C2047" t="s">
        <v>294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 t="s">
        <v>289</v>
      </c>
    </row>
    <row r="2048" spans="1:22">
      <c r="A2048" t="s">
        <v>150</v>
      </c>
      <c r="B2048" t="s">
        <v>287</v>
      </c>
      <c r="C2048" t="s">
        <v>17</v>
      </c>
      <c r="D2048">
        <v>2</v>
      </c>
      <c r="E2048">
        <v>5</v>
      </c>
      <c r="F2048">
        <v>9</v>
      </c>
      <c r="G2048">
        <v>18</v>
      </c>
      <c r="H2048">
        <v>25</v>
      </c>
      <c r="I2048">
        <v>3</v>
      </c>
      <c r="J2048">
        <v>7</v>
      </c>
      <c r="K2048">
        <v>15</v>
      </c>
      <c r="L2048">
        <v>2</v>
      </c>
      <c r="M2048">
        <v>32</v>
      </c>
      <c r="N2048">
        <v>8</v>
      </c>
      <c r="O2048">
        <v>13</v>
      </c>
      <c r="P2048">
        <v>20</v>
      </c>
      <c r="Q2048">
        <v>18</v>
      </c>
      <c r="R2048">
        <v>25</v>
      </c>
      <c r="S2048">
        <v>34</v>
      </c>
      <c r="T2048">
        <v>0</v>
      </c>
      <c r="U2048">
        <v>59</v>
      </c>
      <c r="V2048" t="s">
        <v>289</v>
      </c>
    </row>
    <row r="2049" spans="1:22">
      <c r="A2049" t="s">
        <v>150</v>
      </c>
      <c r="B2049" t="s">
        <v>287</v>
      </c>
      <c r="C2049" t="s">
        <v>295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 t="s">
        <v>289</v>
      </c>
    </row>
    <row r="2050" spans="1:22"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</row>
    <row r="2051" spans="1:22"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</row>
    <row r="2052" spans="1:22"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</row>
    <row r="2053" spans="1:22"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</row>
    <row r="2054" spans="1:22"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</row>
    <row r="2055" spans="1:22"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</row>
    <row r="2056" spans="1:22"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</row>
    <row r="2057" spans="1:22"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</row>
    <row r="2058" spans="1:22"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</row>
  </sheetData>
  <phoneticPr fontId="7" type="noConversion"/>
  <pageMargins left="0.7" right="0.7" top="0.75" bottom="0.75" header="0.3" footer="0.3"/>
  <pageSetup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A304-4165-934A-9F04-42D458DA0E2A}">
  <sheetPr codeName="Sheet3"/>
  <dimension ref="A1:Q15"/>
  <sheetViews>
    <sheetView zoomScaleNormal="100" workbookViewId="0">
      <selection activeCell="B9" sqref="B9"/>
    </sheetView>
  </sheetViews>
  <sheetFormatPr defaultColWidth="11" defaultRowHeight="15.75"/>
  <cols>
    <col min="1" max="1" width="14.625" style="11" customWidth="1"/>
    <col min="2" max="2" width="77.5" bestFit="1" customWidth="1"/>
    <col min="3" max="3" width="9" style="1" bestFit="1" customWidth="1"/>
    <col min="4" max="4" width="13.5" style="1" bestFit="1" customWidth="1"/>
    <col min="5" max="5" width="10" style="12" bestFit="1" customWidth="1"/>
    <col min="6" max="6" width="1.5" hidden="1" customWidth="1"/>
    <col min="7" max="7" width="2" hidden="1" customWidth="1"/>
    <col min="8" max="8" width="16.5" style="1" customWidth="1"/>
    <col min="9" max="9" width="14" style="1" customWidth="1"/>
    <col min="16" max="16" width="14.5" hidden="1" customWidth="1"/>
  </cols>
  <sheetData>
    <row r="1" spans="1:17" s="43" customFormat="1">
      <c r="A1" s="526" t="str">
        <f>_xlfn.CONCAT("Last Refreshed at: ",F3)</f>
        <v>Last Refreshed at: 09/17/2026 @ 7:19 AM</v>
      </c>
      <c r="B1" s="526"/>
      <c r="C1" s="526"/>
      <c r="D1" s="526"/>
      <c r="E1" s="526"/>
      <c r="F1" s="526"/>
      <c r="G1"/>
      <c r="H1" s="527" t="s">
        <v>302</v>
      </c>
      <c r="I1" s="527"/>
      <c r="L1" s="523" t="s">
        <v>303</v>
      </c>
      <c r="M1" s="523"/>
      <c r="P1" s="131" t="s">
        <v>304</v>
      </c>
    </row>
    <row r="2" spans="1:17">
      <c r="A2" s="76" t="s">
        <v>93</v>
      </c>
      <c r="B2" s="76" t="s">
        <v>305</v>
      </c>
      <c r="C2" s="83" t="s">
        <v>306</v>
      </c>
      <c r="D2" s="83" t="s">
        <v>307</v>
      </c>
      <c r="E2" s="84" t="s">
        <v>308</v>
      </c>
      <c r="F2" s="77" t="s">
        <v>309</v>
      </c>
      <c r="H2" s="78" t="s">
        <v>310</v>
      </c>
      <c r="I2" s="78" t="s">
        <v>308</v>
      </c>
      <c r="J2" s="1"/>
      <c r="L2" s="524">
        <f>SUM(WISC6_STDZ_P!AL158,R_WISC6_STDZ_P!W167,V_WISC5P_P!W167,V_WPPSI4_P!W41,V_WAIS5_P!W27,V_WIAT4_P!W167,V_KTEA3_P!W167,CB_WISC5P_P!W112,CB_WPPSI4_P!W31,CB_WAIS5_P!W22)</f>
        <v>3130</v>
      </c>
      <c r="M2" s="525" t="e">
        <f>SUM(#REF!,#REF!,#REF!,#REF!,#REF!,#REF!,#REF!,#REF!,#REF!,#REF!,#REF!,#REF!,#REF!,#REF!,#REF!,#REF!,#REF!,#REF!,#REF!)</f>
        <v>#REF!</v>
      </c>
      <c r="P2" s="132" t="e">
        <f>SUM(#REF!,#REF!,#REF!)</f>
        <v>#REF!</v>
      </c>
      <c r="Q2" s="81"/>
    </row>
    <row r="3" spans="1:17">
      <c r="A3" s="79" t="s">
        <v>311</v>
      </c>
      <c r="B3" s="17" t="s">
        <v>99</v>
      </c>
      <c r="C3" s="18">
        <v>2200</v>
      </c>
      <c r="D3" s="18">
        <v>2149</v>
      </c>
      <c r="E3" s="80">
        <v>0.97681818181818181</v>
      </c>
      <c r="F3" t="s">
        <v>297</v>
      </c>
      <c r="H3" s="78">
        <f>setup!F16</f>
        <v>2523</v>
      </c>
      <c r="I3" s="82">
        <f>IFERROR(H3/C3,0)</f>
        <v>1.1468181818181817</v>
      </c>
      <c r="K3" s="75"/>
    </row>
    <row r="4" spans="1:17">
      <c r="A4" s="79" t="s">
        <v>312</v>
      </c>
      <c r="B4" s="17" t="s">
        <v>102</v>
      </c>
      <c r="C4" s="18">
        <v>550</v>
      </c>
      <c r="D4" s="18">
        <v>437</v>
      </c>
      <c r="E4" s="85">
        <v>0.79454545454545455</v>
      </c>
      <c r="F4" t="s">
        <v>297</v>
      </c>
      <c r="H4" s="78">
        <f>setup!F17</f>
        <v>568</v>
      </c>
      <c r="I4" s="82">
        <f t="shared" ref="I4:I14" si="0">IFERROR(H4/C4,0)</f>
        <v>1.0327272727272727</v>
      </c>
    </row>
    <row r="5" spans="1:17">
      <c r="A5" s="79" t="s">
        <v>313</v>
      </c>
      <c r="B5" s="17" t="s">
        <v>105</v>
      </c>
      <c r="C5" s="18">
        <v>220</v>
      </c>
      <c r="D5" s="18">
        <v>219</v>
      </c>
      <c r="E5" s="85">
        <v>0.99545454545454548</v>
      </c>
      <c r="F5" t="s">
        <v>297</v>
      </c>
      <c r="H5" s="78">
        <f>setup!F18</f>
        <v>235</v>
      </c>
      <c r="I5" s="82">
        <f t="shared" si="0"/>
        <v>1.0681818181818181</v>
      </c>
    </row>
    <row r="6" spans="1:17">
      <c r="A6" s="79" t="s">
        <v>314</v>
      </c>
      <c r="B6" s="17" t="s">
        <v>110</v>
      </c>
      <c r="C6" s="18">
        <v>90</v>
      </c>
      <c r="D6" s="18">
        <v>71</v>
      </c>
      <c r="E6" s="85">
        <v>0.78888888888888886</v>
      </c>
      <c r="F6" t="s">
        <v>297</v>
      </c>
      <c r="H6" s="78">
        <f>setup!F19</f>
        <v>93</v>
      </c>
      <c r="I6" s="82">
        <f t="shared" si="0"/>
        <v>1.0333333333333334</v>
      </c>
    </row>
    <row r="7" spans="1:17">
      <c r="A7" s="79" t="s">
        <v>315</v>
      </c>
      <c r="B7" s="17" t="s">
        <v>114</v>
      </c>
      <c r="C7" s="18">
        <v>100</v>
      </c>
      <c r="D7" s="18">
        <v>97</v>
      </c>
      <c r="E7" s="85">
        <v>0.97</v>
      </c>
      <c r="F7" t="s">
        <v>297</v>
      </c>
      <c r="G7" s="81"/>
      <c r="H7" s="78">
        <f>setup!F20</f>
        <v>137</v>
      </c>
      <c r="I7" s="82">
        <f t="shared" si="0"/>
        <v>1.37</v>
      </c>
    </row>
    <row r="8" spans="1:17">
      <c r="A8" s="79" t="s">
        <v>316</v>
      </c>
      <c r="B8" s="17" t="s">
        <v>118</v>
      </c>
      <c r="C8" s="18">
        <v>50</v>
      </c>
      <c r="D8" s="18">
        <v>49</v>
      </c>
      <c r="E8" s="85">
        <v>0.98</v>
      </c>
      <c r="F8" t="s">
        <v>297</v>
      </c>
      <c r="H8" s="78">
        <f>setup!F21</f>
        <v>56</v>
      </c>
      <c r="I8" s="82">
        <f t="shared" si="0"/>
        <v>1.1200000000000001</v>
      </c>
      <c r="K8" s="81"/>
    </row>
    <row r="9" spans="1:17">
      <c r="A9" s="79" t="s">
        <v>317</v>
      </c>
      <c r="B9" s="17" t="s">
        <v>122</v>
      </c>
      <c r="C9" s="18">
        <v>50</v>
      </c>
      <c r="D9" s="18">
        <v>50</v>
      </c>
      <c r="E9" s="85">
        <v>1</v>
      </c>
      <c r="F9" t="s">
        <v>297</v>
      </c>
      <c r="G9" s="112"/>
      <c r="H9" s="78">
        <f>setup!F22</f>
        <v>51</v>
      </c>
      <c r="I9" s="82">
        <f t="shared" si="0"/>
        <v>1.02</v>
      </c>
      <c r="K9" s="81"/>
    </row>
    <row r="10" spans="1:17">
      <c r="A10" s="79" t="s">
        <v>318</v>
      </c>
      <c r="B10" s="17" t="s">
        <v>126</v>
      </c>
      <c r="C10" s="18">
        <v>200</v>
      </c>
      <c r="D10" s="18">
        <v>197</v>
      </c>
      <c r="E10" s="85">
        <v>0.98499999999999999</v>
      </c>
      <c r="F10" t="s">
        <v>297</v>
      </c>
      <c r="H10" s="78">
        <f>setup!F23</f>
        <v>224</v>
      </c>
      <c r="I10" s="82">
        <f t="shared" si="0"/>
        <v>1.1200000000000001</v>
      </c>
      <c r="K10" s="81"/>
    </row>
    <row r="11" spans="1:17">
      <c r="A11" s="79" t="s">
        <v>319</v>
      </c>
      <c r="B11" s="17" t="s">
        <v>130</v>
      </c>
      <c r="C11" s="18">
        <v>200</v>
      </c>
      <c r="D11" s="18">
        <v>192</v>
      </c>
      <c r="E11" s="85">
        <v>0.96</v>
      </c>
      <c r="F11" t="s">
        <v>297</v>
      </c>
      <c r="H11" s="78">
        <f>setup!F24</f>
        <v>221</v>
      </c>
      <c r="I11" s="82">
        <f t="shared" si="0"/>
        <v>1.105</v>
      </c>
      <c r="K11" s="81"/>
    </row>
    <row r="12" spans="1:17">
      <c r="A12" s="79" t="s">
        <v>320</v>
      </c>
      <c r="B12" s="17" t="s">
        <v>134</v>
      </c>
      <c r="C12" s="18">
        <v>100</v>
      </c>
      <c r="D12" s="18">
        <v>95</v>
      </c>
      <c r="E12" s="85">
        <v>0.95</v>
      </c>
      <c r="F12" t="s">
        <v>297</v>
      </c>
      <c r="H12" s="78">
        <f>setup!F25</f>
        <v>136</v>
      </c>
      <c r="I12" s="82">
        <f t="shared" si="0"/>
        <v>1.36</v>
      </c>
      <c r="K12" s="81"/>
    </row>
    <row r="13" spans="1:17">
      <c r="A13" s="314" t="s">
        <v>321</v>
      </c>
      <c r="B13" s="315" t="s">
        <v>138</v>
      </c>
      <c r="C13" s="316">
        <v>50</v>
      </c>
      <c r="D13" s="316">
        <v>43</v>
      </c>
      <c r="E13" s="309">
        <v>0.86</v>
      </c>
      <c r="F13" t="s">
        <v>297</v>
      </c>
      <c r="H13" s="78">
        <f>setup!F26</f>
        <v>56</v>
      </c>
      <c r="I13" s="82">
        <f t="shared" si="0"/>
        <v>1.1200000000000001</v>
      </c>
      <c r="K13" s="81"/>
    </row>
    <row r="14" spans="1:17">
      <c r="A14" s="79" t="s">
        <v>322</v>
      </c>
      <c r="B14" s="17" t="s">
        <v>142</v>
      </c>
      <c r="C14" s="18">
        <v>50</v>
      </c>
      <c r="D14" s="18">
        <v>39</v>
      </c>
      <c r="E14" s="85">
        <v>0.78</v>
      </c>
      <c r="F14" t="s">
        <v>297</v>
      </c>
      <c r="H14" s="78">
        <f>setup!F27</f>
        <v>59</v>
      </c>
      <c r="I14" s="82">
        <f t="shared" si="0"/>
        <v>1.18</v>
      </c>
      <c r="K14" s="81"/>
    </row>
    <row r="15" spans="1:17">
      <c r="A15" s="310" t="s">
        <v>323</v>
      </c>
      <c r="B15" s="311" t="s">
        <v>150</v>
      </c>
      <c r="C15" s="312">
        <v>3860</v>
      </c>
      <c r="D15" s="312">
        <v>3638</v>
      </c>
      <c r="E15" s="313">
        <v>0.94248704663212435</v>
      </c>
      <c r="F15" t="s">
        <v>297</v>
      </c>
      <c r="H15" s="78">
        <f>SUM(H3:H14)</f>
        <v>4359</v>
      </c>
      <c r="I15" s="82">
        <f>H15/C15</f>
        <v>1.1292746113989638</v>
      </c>
      <c r="K15" s="81"/>
    </row>
  </sheetData>
  <sheetProtection sort="0" autoFilter="0"/>
  <mergeCells count="6">
    <mergeCell ref="L1:M1"/>
    <mergeCell ref="L2:M2"/>
    <mergeCell ref="A1:B1"/>
    <mergeCell ref="H1:I1"/>
    <mergeCell ref="C1:D1"/>
    <mergeCell ref="E1:F1"/>
  </mergeCells>
  <phoneticPr fontId="7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D7922-ACA5-4DCB-988B-BB0378477C58}">
  <sheetPr>
    <tabColor rgb="FFFFFF00"/>
  </sheetPr>
  <dimension ref="A1:BR180"/>
  <sheetViews>
    <sheetView zoomScale="90" zoomScaleNormal="90" workbookViewId="0">
      <pane ySplit="12" topLeftCell="A31" activePane="bottomLeft" state="frozen"/>
      <selection pane="bottomLeft" activeCell="AB27" sqref="AB27"/>
    </sheetView>
  </sheetViews>
  <sheetFormatPr defaultColWidth="2.5" defaultRowHeight="15.75" outlineLevelRow="1"/>
  <cols>
    <col min="1" max="1" width="1.125" style="2" customWidth="1"/>
    <col min="2" max="2" width="8.875" style="2" hidden="1" customWidth="1"/>
    <col min="3" max="3" width="15.5" style="2" customWidth="1"/>
    <col min="4" max="4" width="22.5" style="4" customWidth="1"/>
    <col min="5" max="21" width="6.125" style="4" customWidth="1"/>
    <col min="22" max="27" width="6.125" style="2" customWidth="1"/>
    <col min="28" max="28" width="7" style="2" customWidth="1"/>
    <col min="29" max="29" width="6.625" style="2" customWidth="1"/>
    <col min="30" max="33" width="6.875" style="2" customWidth="1"/>
    <col min="34" max="35" width="6.125" style="2" customWidth="1"/>
    <col min="36" max="36" width="7.5" style="2" hidden="1" customWidth="1"/>
    <col min="37" max="37" width="0.625" style="2" customWidth="1"/>
    <col min="38" max="39" width="6.625" style="2" customWidth="1"/>
    <col min="40" max="40" width="7.5" style="2" customWidth="1"/>
    <col min="41" max="51" width="7.5" style="2" hidden="1" customWidth="1"/>
    <col min="52" max="69" width="2.5" style="2"/>
    <col min="70" max="70" width="2.875" style="2" bestFit="1" customWidth="1"/>
    <col min="71" max="78" width="2.5" style="2"/>
    <col min="79" max="79" width="7.5" style="2" customWidth="1"/>
    <col min="80" max="16324" width="2.5" style="2"/>
    <col min="16325" max="16325" width="1.125" style="2" customWidth="1"/>
    <col min="16326" max="16326" width="2.5" style="2" customWidth="1"/>
    <col min="16327" max="16327" width="3.5" style="2" customWidth="1"/>
    <col min="16328" max="16328" width="1" style="2" customWidth="1"/>
    <col min="16329" max="16329" width="0.625" style="2" customWidth="1"/>
    <col min="16330" max="16330" width="2.125" style="2" customWidth="1"/>
    <col min="16331" max="16384" width="20.125" style="2" customWidth="1"/>
  </cols>
  <sheetData>
    <row r="1" spans="1:70" ht="16.5" hidden="1" thickBo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317"/>
      <c r="AO1"/>
      <c r="AP1"/>
      <c r="AQ1"/>
      <c r="AR1"/>
      <c r="AS1"/>
      <c r="AT1"/>
      <c r="AU1"/>
      <c r="AV1"/>
      <c r="AW1"/>
      <c r="AX1"/>
      <c r="AY1"/>
    </row>
    <row r="2" spans="1:70" ht="16.5" hidden="1" thickBot="1">
      <c r="A2" s="499" t="s">
        <v>327</v>
      </c>
      <c r="B2" s="499"/>
      <c r="C2" s="500"/>
      <c r="D2" s="501" t="str">
        <f>_xlfn.CONCAT("Study Name: ","WISC-6 Standardization - Paper")</f>
        <v>Study Name: WISC-6 Standardization - Paper</v>
      </c>
      <c r="E2" s="502"/>
      <c r="F2" s="502"/>
      <c r="G2" s="502"/>
      <c r="H2" s="502"/>
      <c r="I2" s="503"/>
      <c r="K2" s="504" t="s">
        <v>328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  <c r="AO2"/>
      <c r="AP2"/>
      <c r="AQ2"/>
      <c r="AR2"/>
      <c r="AS2"/>
      <c r="AT2"/>
      <c r="AU2"/>
      <c r="AV2"/>
      <c r="AW2"/>
      <c r="AX2"/>
      <c r="AY2"/>
    </row>
    <row r="3" spans="1:70" ht="16.5" hidden="1" thickBot="1">
      <c r="D3" s="510" t="str">
        <f>_xlfn.CONCAT("Study Acronym: ","
WISC6_STDZ_P")</f>
        <v>Study Acronym: 
WISC6_STDZ_P</v>
      </c>
      <c r="E3" s="511"/>
      <c r="F3" s="512" t="s">
        <v>329</v>
      </c>
      <c r="G3" s="512"/>
      <c r="H3" s="512"/>
      <c r="I3" s="513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  <c r="AO3"/>
      <c r="AP3"/>
      <c r="AQ3"/>
      <c r="AR3"/>
      <c r="AS3"/>
      <c r="AT3"/>
      <c r="AU3"/>
      <c r="AV3"/>
      <c r="AW3"/>
      <c r="AX3"/>
      <c r="AY3"/>
    </row>
    <row r="4" spans="1:70" hidden="1">
      <c r="B4" s="24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  <c r="AO4"/>
      <c r="AP4"/>
      <c r="AQ4"/>
      <c r="AR4"/>
      <c r="AS4"/>
      <c r="AT4"/>
      <c r="AU4"/>
      <c r="AV4"/>
      <c r="AW4"/>
      <c r="AX4"/>
      <c r="AY4"/>
    </row>
    <row r="5" spans="1:70" ht="16.5" hidden="1" thickBot="1">
      <c r="C5" s="101"/>
      <c r="D5" s="497" t="s">
        <v>330</v>
      </c>
      <c r="E5" s="498"/>
      <c r="F5" s="498"/>
      <c r="G5" s="498"/>
      <c r="H5" s="498"/>
      <c r="I5" s="498"/>
      <c r="J5" s="97"/>
      <c r="K5" s="507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9"/>
      <c r="Y5" s="104"/>
      <c r="AO5"/>
      <c r="AP5"/>
      <c r="AQ5"/>
      <c r="AR5"/>
      <c r="AS5"/>
      <c r="AT5"/>
      <c r="AU5"/>
      <c r="AV5"/>
      <c r="AW5"/>
      <c r="AX5"/>
      <c r="AY5"/>
    </row>
    <row r="6" spans="1:70" ht="169.5" hidden="1" customHeight="1" thickBot="1">
      <c r="C6" s="98"/>
      <c r="D6" s="479" t="s">
        <v>331</v>
      </c>
      <c r="E6" s="480"/>
      <c r="F6" s="480"/>
      <c r="G6" s="480"/>
      <c r="H6" s="480"/>
      <c r="I6" s="481"/>
      <c r="J6" s="406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106"/>
      <c r="AO6"/>
      <c r="AP6"/>
      <c r="AQ6"/>
      <c r="AR6"/>
      <c r="AS6"/>
      <c r="AT6"/>
      <c r="AU6"/>
      <c r="AV6"/>
      <c r="AW6"/>
      <c r="AX6"/>
      <c r="AY6"/>
    </row>
    <row r="7" spans="1:70" ht="16.5" hidden="1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AO7"/>
      <c r="AP7"/>
      <c r="AQ7"/>
      <c r="AR7"/>
      <c r="AS7"/>
      <c r="AT7"/>
      <c r="AU7"/>
      <c r="AV7"/>
      <c r="AW7"/>
      <c r="AX7"/>
      <c r="AY7"/>
    </row>
    <row r="8" spans="1:70" ht="30.6" customHeight="1">
      <c r="B8" s="482" t="str">
        <f>_xlfn.CONCAT("Last Refreshed at: ",aurora_data!AK4)</f>
        <v>Last Refreshed at: 09/17/2026 @ 7:18 AM</v>
      </c>
      <c r="C8" s="483"/>
      <c r="D8" s="483"/>
      <c r="E8" s="484" t="s">
        <v>332</v>
      </c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85"/>
      <c r="AJ8" s="181"/>
      <c r="AO8"/>
      <c r="AP8"/>
      <c r="AQ8"/>
      <c r="AR8"/>
      <c r="AS8"/>
      <c r="AT8"/>
      <c r="AU8"/>
      <c r="AV8"/>
      <c r="AW8"/>
      <c r="AX8"/>
      <c r="AY8"/>
    </row>
    <row r="9" spans="1:70" ht="16.5" customHeight="1" thickBot="1">
      <c r="B9" s="486"/>
      <c r="C9" s="487"/>
      <c r="D9" s="29" t="s">
        <v>333</v>
      </c>
      <c r="E9" s="488">
        <v>0.02</v>
      </c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  <c r="AA9" s="489"/>
      <c r="AB9" s="489"/>
      <c r="AC9" s="490"/>
      <c r="AD9" s="491">
        <v>0.1</v>
      </c>
      <c r="AE9" s="491"/>
      <c r="AF9" s="491"/>
      <c r="AG9" s="491"/>
      <c r="AH9" s="492"/>
      <c r="AI9" s="493"/>
      <c r="AJ9" s="177"/>
      <c r="AL9" s="192"/>
      <c r="AM9" s="193"/>
      <c r="AO9"/>
      <c r="AP9"/>
      <c r="AQ9"/>
      <c r="AR9"/>
      <c r="AS9"/>
      <c r="AT9"/>
      <c r="AU9"/>
      <c r="AV9"/>
      <c r="AW9"/>
      <c r="AX9"/>
      <c r="AY9"/>
    </row>
    <row r="10" spans="1:70" ht="17.25" thickTop="1" thickBot="1">
      <c r="B10" s="463" t="s">
        <v>334</v>
      </c>
      <c r="C10" s="30"/>
      <c r="D10" s="31"/>
      <c r="E10" s="464" t="s">
        <v>335</v>
      </c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5"/>
      <c r="AD10" s="466" t="s">
        <v>336</v>
      </c>
      <c r="AE10" s="466"/>
      <c r="AF10" s="466"/>
      <c r="AG10" s="466"/>
      <c r="AH10" s="467" t="s">
        <v>25</v>
      </c>
      <c r="AI10" s="468"/>
      <c r="AJ10" s="469"/>
      <c r="AK10" s="148"/>
      <c r="AL10" s="470" t="s">
        <v>337</v>
      </c>
      <c r="AM10" s="471"/>
      <c r="AO10"/>
      <c r="AP10"/>
      <c r="AQ10"/>
      <c r="AR10"/>
      <c r="AS10"/>
      <c r="AT10"/>
      <c r="AU10"/>
      <c r="AV10"/>
      <c r="AW10"/>
      <c r="AX10"/>
      <c r="AY10"/>
    </row>
    <row r="11" spans="1:70" ht="17.25" thickTop="1" thickBot="1">
      <c r="B11" s="463"/>
      <c r="C11" s="30" t="s">
        <v>5</v>
      </c>
      <c r="D11" s="33" t="s">
        <v>260</v>
      </c>
      <c r="E11" s="476" t="s">
        <v>22</v>
      </c>
      <c r="F11" s="476"/>
      <c r="G11" s="476"/>
      <c r="H11" s="476"/>
      <c r="I11" s="477"/>
      <c r="J11" s="478" t="s">
        <v>36</v>
      </c>
      <c r="K11" s="476"/>
      <c r="L11" s="476"/>
      <c r="M11" s="476"/>
      <c r="N11" s="477"/>
      <c r="O11" s="478" t="s">
        <v>24</v>
      </c>
      <c r="P11" s="476"/>
      <c r="Q11" s="476"/>
      <c r="R11" s="476"/>
      <c r="S11" s="477"/>
      <c r="T11" s="478" t="s">
        <v>31</v>
      </c>
      <c r="U11" s="476"/>
      <c r="V11" s="476"/>
      <c r="W11" s="476"/>
      <c r="X11" s="477"/>
      <c r="Y11" s="478" t="s">
        <v>39</v>
      </c>
      <c r="Z11" s="476"/>
      <c r="AA11" s="476"/>
      <c r="AB11" s="476"/>
      <c r="AC11" s="477"/>
      <c r="AD11" s="457" t="s">
        <v>59</v>
      </c>
      <c r="AE11" s="457" t="s">
        <v>47</v>
      </c>
      <c r="AF11" s="457" t="s">
        <v>33</v>
      </c>
      <c r="AG11" s="457" t="s">
        <v>60</v>
      </c>
      <c r="AH11" s="457" t="s">
        <v>45</v>
      </c>
      <c r="AI11" s="459" t="s">
        <v>34</v>
      </c>
      <c r="AJ11" s="461"/>
      <c r="AK11" s="148"/>
      <c r="AL11" s="472"/>
      <c r="AM11" s="473"/>
      <c r="AO11"/>
      <c r="AP11"/>
      <c r="AQ11"/>
      <c r="AR11"/>
      <c r="AS11"/>
      <c r="AT11"/>
      <c r="AU11"/>
      <c r="AV11"/>
      <c r="AW11"/>
      <c r="AX11"/>
      <c r="AY11"/>
    </row>
    <row r="12" spans="1:70" ht="17.25" thickTop="1" thickBot="1">
      <c r="B12" s="178"/>
      <c r="C12" s="200"/>
      <c r="D12" s="33"/>
      <c r="E12" s="149">
        <v>1</v>
      </c>
      <c r="F12" s="150">
        <v>2</v>
      </c>
      <c r="G12" s="150">
        <v>3</v>
      </c>
      <c r="H12" s="150">
        <v>4</v>
      </c>
      <c r="I12" s="151">
        <v>5</v>
      </c>
      <c r="J12" s="149">
        <v>1</v>
      </c>
      <c r="K12" s="150">
        <v>2</v>
      </c>
      <c r="L12" s="150">
        <v>3</v>
      </c>
      <c r="M12" s="150">
        <v>4</v>
      </c>
      <c r="N12" s="151">
        <v>5</v>
      </c>
      <c r="O12" s="149">
        <v>1</v>
      </c>
      <c r="P12" s="150">
        <v>2</v>
      </c>
      <c r="Q12" s="150">
        <v>3</v>
      </c>
      <c r="R12" s="150">
        <v>4</v>
      </c>
      <c r="S12" s="151">
        <v>5</v>
      </c>
      <c r="T12" s="149">
        <v>1</v>
      </c>
      <c r="U12" s="150">
        <v>2</v>
      </c>
      <c r="V12" s="150">
        <v>3</v>
      </c>
      <c r="W12" s="150">
        <v>4</v>
      </c>
      <c r="X12" s="151">
        <v>5</v>
      </c>
      <c r="Y12" s="149">
        <v>1</v>
      </c>
      <c r="Z12" s="150">
        <v>2</v>
      </c>
      <c r="AA12" s="150">
        <v>3</v>
      </c>
      <c r="AB12" s="150">
        <v>4</v>
      </c>
      <c r="AC12" s="151">
        <v>5</v>
      </c>
      <c r="AD12" s="458"/>
      <c r="AE12" s="458"/>
      <c r="AF12" s="458"/>
      <c r="AG12" s="458"/>
      <c r="AH12" s="458"/>
      <c r="AI12" s="460"/>
      <c r="AJ12" s="462"/>
      <c r="AK12" s="148"/>
      <c r="AL12" s="474"/>
      <c r="AM12" s="475"/>
      <c r="AO12"/>
      <c r="AP12"/>
      <c r="AQ12"/>
      <c r="AR12"/>
      <c r="AS12"/>
      <c r="AT12"/>
      <c r="AU12"/>
      <c r="AV12"/>
      <c r="AW12"/>
      <c r="AX12"/>
      <c r="AY12"/>
    </row>
    <row r="13" spans="1:70" ht="16.5" thickTop="1">
      <c r="B13" s="451" t="s">
        <v>338</v>
      </c>
      <c r="C13" s="453" t="str">
        <f>aurora_data!A4</f>
        <v>06.00.00-06.11.30</v>
      </c>
      <c r="D13" s="34" t="s">
        <v>306</v>
      </c>
      <c r="E13" s="152">
        <f>aurora_data!D4</f>
        <v>0.41</v>
      </c>
      <c r="F13" s="153">
        <f>aurora_data!E4</f>
        <v>0.42</v>
      </c>
      <c r="G13" s="153">
        <f>aurora_data!F4</f>
        <v>0.98</v>
      </c>
      <c r="H13" s="153">
        <f>aurora_data!G4</f>
        <v>1.8</v>
      </c>
      <c r="I13" s="153">
        <f>aurora_data!H4</f>
        <v>6.7</v>
      </c>
      <c r="J13" s="152">
        <f>aurora_data!I4</f>
        <v>0.39</v>
      </c>
      <c r="K13" s="153">
        <f>aurora_data!J4</f>
        <v>1.48</v>
      </c>
      <c r="L13" s="153">
        <f>aurora_data!K4</f>
        <v>7.01</v>
      </c>
      <c r="M13" s="153">
        <f>aurora_data!L4</f>
        <v>9.06</v>
      </c>
      <c r="N13" s="154">
        <f>aurora_data!M4</f>
        <v>6.58</v>
      </c>
      <c r="O13" s="152">
        <f>aurora_data!N4</f>
        <v>2.9</v>
      </c>
      <c r="P13" s="153">
        <f>aurora_data!O4</f>
        <v>5.43</v>
      </c>
      <c r="Q13" s="153">
        <f>aurora_data!P4</f>
        <v>13.3</v>
      </c>
      <c r="R13" s="153">
        <f>aurora_data!Q4</f>
        <v>15.73</v>
      </c>
      <c r="S13" s="154">
        <f>aurora_data!R4</f>
        <v>11</v>
      </c>
      <c r="T13" s="152">
        <f>aurora_data!S4</f>
        <v>0.42</v>
      </c>
      <c r="U13" s="153">
        <f>aurora_data!T4</f>
        <v>0.82</v>
      </c>
      <c r="V13" s="153">
        <f>aurora_data!U4</f>
        <v>3.66</v>
      </c>
      <c r="W13" s="153">
        <f>aurora_data!V4</f>
        <v>6.65</v>
      </c>
      <c r="X13" s="154">
        <f>aurora_data!W4</f>
        <v>8.6300000000000008</v>
      </c>
      <c r="Y13" s="152">
        <f>aurora_data!X4</f>
        <v>1.1200000000000001</v>
      </c>
      <c r="Z13" s="153">
        <f>aurora_data!Y4</f>
        <v>1.76</v>
      </c>
      <c r="AA13" s="153">
        <f>aurora_data!Z4</f>
        <v>14.7</v>
      </c>
      <c r="AB13" s="153">
        <f>aurora_data!AA4</f>
        <v>31.08</v>
      </c>
      <c r="AC13" s="154">
        <f>aurora_data!AB4</f>
        <v>47.97</v>
      </c>
      <c r="AD13" s="152">
        <f>aurora_data!AC4</f>
        <v>44.3</v>
      </c>
      <c r="AE13" s="153">
        <f>aurora_data!AD4</f>
        <v>30.53</v>
      </c>
      <c r="AF13" s="153">
        <f>aurora_data!AE4</f>
        <v>80</v>
      </c>
      <c r="AG13" s="154">
        <f>aurora_data!AF4</f>
        <v>45.17</v>
      </c>
      <c r="AH13" s="155">
        <f>aurora_data!AG4</f>
        <v>100</v>
      </c>
      <c r="AI13" s="171">
        <f>aurora_data!AH4</f>
        <v>100</v>
      </c>
      <c r="AJ13" s="171">
        <f>aurora_data!AI4</f>
        <v>0</v>
      </c>
      <c r="AK13" s="407"/>
      <c r="AL13" s="156">
        <f>aurora_data!AJ4</f>
        <v>200</v>
      </c>
      <c r="AM13" s="157">
        <f t="shared" ref="AM13:AM20" si="0">SUM(AL13)/$AL$13</f>
        <v>1</v>
      </c>
      <c r="AO13"/>
      <c r="AP13"/>
      <c r="AQ13"/>
      <c r="AR13"/>
      <c r="AS13"/>
      <c r="AT13"/>
      <c r="AU13"/>
      <c r="AV13"/>
      <c r="AW13"/>
      <c r="AX13"/>
      <c r="AY13"/>
      <c r="BR13" s="2">
        <v>20</v>
      </c>
    </row>
    <row r="14" spans="1:70">
      <c r="B14" s="452"/>
      <c r="C14" s="454"/>
      <c r="D14" s="35" t="s">
        <v>339</v>
      </c>
      <c r="E14" s="262">
        <f>aurora_data!D5</f>
        <v>0</v>
      </c>
      <c r="F14" s="263">
        <f>aurora_data!E5</f>
        <v>0</v>
      </c>
      <c r="G14" s="263">
        <f>aurora_data!F5</f>
        <v>0</v>
      </c>
      <c r="H14" s="263">
        <f>aurora_data!G5</f>
        <v>2</v>
      </c>
      <c r="I14" s="263">
        <f>aurora_data!H5</f>
        <v>7</v>
      </c>
      <c r="J14" s="262">
        <f>aurora_data!I5</f>
        <v>0</v>
      </c>
      <c r="K14" s="263">
        <f>aurora_data!J5</f>
        <v>1</v>
      </c>
      <c r="L14" s="263">
        <f>aurora_data!K5</f>
        <v>7</v>
      </c>
      <c r="M14" s="263">
        <f>aurora_data!L5</f>
        <v>9</v>
      </c>
      <c r="N14" s="264">
        <f>aurora_data!M5</f>
        <v>7</v>
      </c>
      <c r="O14" s="262">
        <f>aurora_data!N5</f>
        <v>3</v>
      </c>
      <c r="P14" s="263">
        <f>aurora_data!O5</f>
        <v>4</v>
      </c>
      <c r="Q14" s="263">
        <f>aurora_data!P5</f>
        <v>13</v>
      </c>
      <c r="R14" s="263">
        <f>aurora_data!Q5</f>
        <v>16</v>
      </c>
      <c r="S14" s="264">
        <f>aurora_data!R5</f>
        <v>10</v>
      </c>
      <c r="T14" s="262">
        <f>aurora_data!S5</f>
        <v>1</v>
      </c>
      <c r="U14" s="263">
        <f>aurora_data!T5</f>
        <v>1</v>
      </c>
      <c r="V14" s="263">
        <f>aurora_data!U5</f>
        <v>3</v>
      </c>
      <c r="W14" s="263">
        <f>aurora_data!V5</f>
        <v>7</v>
      </c>
      <c r="X14" s="264">
        <f>aurora_data!W5</f>
        <v>8</v>
      </c>
      <c r="Y14" s="262">
        <f>aurora_data!X5</f>
        <v>0</v>
      </c>
      <c r="Z14" s="263">
        <f>aurora_data!Y5</f>
        <v>0</v>
      </c>
      <c r="AA14" s="263">
        <f>aurora_data!Z5</f>
        <v>13</v>
      </c>
      <c r="AB14" s="263">
        <f>aurora_data!AA5</f>
        <v>31</v>
      </c>
      <c r="AC14" s="264">
        <f>aurora_data!AB5</f>
        <v>48</v>
      </c>
      <c r="AD14" s="262">
        <f>aurora_data!AC5</f>
        <v>49</v>
      </c>
      <c r="AE14" s="263">
        <f>aurora_data!AD5</f>
        <v>33</v>
      </c>
      <c r="AF14" s="263">
        <f>aurora_data!AE5</f>
        <v>75</v>
      </c>
      <c r="AG14" s="264">
        <f>aurora_data!AF5</f>
        <v>34</v>
      </c>
      <c r="AH14" s="262">
        <f>aurora_data!AG5</f>
        <v>98</v>
      </c>
      <c r="AI14" s="263">
        <f>aurora_data!AH5</f>
        <v>93</v>
      </c>
      <c r="AJ14" s="264">
        <f>aurora_data!AI5</f>
        <v>0</v>
      </c>
      <c r="AK14" s="407"/>
      <c r="AL14" s="408">
        <f>aurora_data!AJ5</f>
        <v>191</v>
      </c>
      <c r="AM14" s="409">
        <f t="shared" si="0"/>
        <v>0.95499999999999996</v>
      </c>
      <c r="AO14"/>
      <c r="AP14"/>
      <c r="AQ14"/>
      <c r="AR14"/>
      <c r="AS14"/>
      <c r="AT14"/>
      <c r="AU14"/>
      <c r="AV14"/>
      <c r="AW14"/>
      <c r="AX14"/>
      <c r="AY14"/>
      <c r="BR14" s="2">
        <v>38</v>
      </c>
    </row>
    <row r="15" spans="1:70">
      <c r="B15" s="452"/>
      <c r="C15" s="454"/>
      <c r="D15" s="35" t="s">
        <v>291</v>
      </c>
      <c r="E15" s="408">
        <f>aurora_data!D6</f>
        <v>0</v>
      </c>
      <c r="F15" s="410">
        <f>aurora_data!E6</f>
        <v>0</v>
      </c>
      <c r="G15" s="410">
        <f>aurora_data!F6</f>
        <v>0</v>
      </c>
      <c r="H15" s="410">
        <f>aurora_data!G6</f>
        <v>0</v>
      </c>
      <c r="I15" s="410">
        <f>aurora_data!H6</f>
        <v>0</v>
      </c>
      <c r="J15" s="408">
        <f>aurora_data!I6</f>
        <v>0</v>
      </c>
      <c r="K15" s="410">
        <f>aurora_data!J6</f>
        <v>0</v>
      </c>
      <c r="L15" s="410">
        <f>aurora_data!K6</f>
        <v>0</v>
      </c>
      <c r="M15" s="410">
        <f>aurora_data!L6</f>
        <v>4</v>
      </c>
      <c r="N15" s="411">
        <f>aurora_data!M6</f>
        <v>0</v>
      </c>
      <c r="O15" s="408">
        <f>aurora_data!N6</f>
        <v>2</v>
      </c>
      <c r="P15" s="410">
        <f>aurora_data!O6</f>
        <v>0</v>
      </c>
      <c r="Q15" s="410">
        <f>aurora_data!P6</f>
        <v>1</v>
      </c>
      <c r="R15" s="410">
        <f>aurora_data!Q6</f>
        <v>0</v>
      </c>
      <c r="S15" s="411">
        <f>aurora_data!R6</f>
        <v>0</v>
      </c>
      <c r="T15" s="408">
        <f>aurora_data!S6</f>
        <v>0</v>
      </c>
      <c r="U15" s="410">
        <f>aurora_data!T6</f>
        <v>0</v>
      </c>
      <c r="V15" s="410">
        <f>aurora_data!U6</f>
        <v>0</v>
      </c>
      <c r="W15" s="410">
        <f>aurora_data!V6</f>
        <v>3</v>
      </c>
      <c r="X15" s="411">
        <f>aurora_data!W6</f>
        <v>0</v>
      </c>
      <c r="Y15" s="408">
        <f>aurora_data!X6</f>
        <v>0</v>
      </c>
      <c r="Z15" s="410">
        <f>aurora_data!Y6</f>
        <v>0</v>
      </c>
      <c r="AA15" s="410">
        <f>aurora_data!Z6</f>
        <v>0</v>
      </c>
      <c r="AB15" s="410">
        <f>aurora_data!AA6</f>
        <v>0</v>
      </c>
      <c r="AC15" s="411">
        <f>aurora_data!AB6</f>
        <v>15</v>
      </c>
      <c r="AD15" s="408">
        <f>aurora_data!AC6</f>
        <v>15</v>
      </c>
      <c r="AE15" s="410">
        <f>aurora_data!AD6</f>
        <v>6</v>
      </c>
      <c r="AF15" s="410">
        <f>aurora_data!AE6</f>
        <v>3</v>
      </c>
      <c r="AG15" s="411">
        <f>aurora_data!AF6</f>
        <v>1</v>
      </c>
      <c r="AH15" s="408">
        <f>aurora_data!AG6</f>
        <v>10</v>
      </c>
      <c r="AI15" s="410">
        <f>aurora_data!AH6</f>
        <v>15</v>
      </c>
      <c r="AJ15" s="411">
        <f>aurora_data!AI6</f>
        <v>0</v>
      </c>
      <c r="AK15" s="407"/>
      <c r="AL15" s="408">
        <f>aurora_data!AJ6</f>
        <v>25</v>
      </c>
      <c r="AM15" s="409">
        <f t="shared" si="0"/>
        <v>0.125</v>
      </c>
      <c r="AO15"/>
      <c r="AP15"/>
      <c r="AQ15"/>
      <c r="AR15"/>
      <c r="AS15"/>
      <c r="AT15"/>
      <c r="AU15"/>
      <c r="AV15"/>
      <c r="AW15"/>
      <c r="AX15"/>
      <c r="AY15"/>
      <c r="BR15" s="2">
        <v>39</v>
      </c>
    </row>
    <row r="16" spans="1:70">
      <c r="B16" s="452"/>
      <c r="C16" s="454"/>
      <c r="D16" s="35" t="s">
        <v>340</v>
      </c>
      <c r="E16" s="408">
        <f>aurora_data!D7</f>
        <v>0</v>
      </c>
      <c r="F16" s="410">
        <f>aurora_data!E7</f>
        <v>0</v>
      </c>
      <c r="G16" s="410">
        <f>aurora_data!F7</f>
        <v>0</v>
      </c>
      <c r="H16" s="410">
        <f>aurora_data!G7</f>
        <v>0</v>
      </c>
      <c r="I16" s="410">
        <f>aurora_data!H7</f>
        <v>0</v>
      </c>
      <c r="J16" s="408">
        <f>aurora_data!I7</f>
        <v>0</v>
      </c>
      <c r="K16" s="410">
        <f>aurora_data!J7</f>
        <v>0</v>
      </c>
      <c r="L16" s="410">
        <f>aurora_data!K7</f>
        <v>0</v>
      </c>
      <c r="M16" s="410">
        <f>aurora_data!L7</f>
        <v>0</v>
      </c>
      <c r="N16" s="411">
        <f>aurora_data!M7</f>
        <v>0</v>
      </c>
      <c r="O16" s="408">
        <f>aurora_data!N7</f>
        <v>0</v>
      </c>
      <c r="P16" s="410">
        <f>aurora_data!O7</f>
        <v>0</v>
      </c>
      <c r="Q16" s="410">
        <f>aurora_data!P7</f>
        <v>0</v>
      </c>
      <c r="R16" s="410">
        <f>aurora_data!Q7</f>
        <v>0</v>
      </c>
      <c r="S16" s="411">
        <f>aurora_data!R7</f>
        <v>0</v>
      </c>
      <c r="T16" s="408">
        <f>aurora_data!S7</f>
        <v>0</v>
      </c>
      <c r="U16" s="410">
        <f>aurora_data!T7</f>
        <v>0</v>
      </c>
      <c r="V16" s="410">
        <f>aurora_data!U7</f>
        <v>0</v>
      </c>
      <c r="W16" s="410">
        <f>aurora_data!V7</f>
        <v>0</v>
      </c>
      <c r="X16" s="411">
        <f>aurora_data!W7</f>
        <v>0</v>
      </c>
      <c r="Y16" s="408">
        <f>aurora_data!X7</f>
        <v>0</v>
      </c>
      <c r="Z16" s="410">
        <f>aurora_data!Y7</f>
        <v>0</v>
      </c>
      <c r="AA16" s="410">
        <f>aurora_data!Z7</f>
        <v>0</v>
      </c>
      <c r="AB16" s="410">
        <f>aurora_data!AA7</f>
        <v>0</v>
      </c>
      <c r="AC16" s="411">
        <f>aurora_data!AB7</f>
        <v>0</v>
      </c>
      <c r="AD16" s="408">
        <f>aurora_data!AC7</f>
        <v>0</v>
      </c>
      <c r="AE16" s="410">
        <f>aurora_data!AD7</f>
        <v>0</v>
      </c>
      <c r="AF16" s="410">
        <f>aurora_data!AE7</f>
        <v>0</v>
      </c>
      <c r="AG16" s="411">
        <f>aurora_data!AF7</f>
        <v>0</v>
      </c>
      <c r="AH16" s="408">
        <f>aurora_data!AG7</f>
        <v>0</v>
      </c>
      <c r="AI16" s="410">
        <f>aurora_data!AH7</f>
        <v>0</v>
      </c>
      <c r="AJ16" s="411">
        <f>aurora_data!AI7</f>
        <v>0</v>
      </c>
      <c r="AK16" s="407"/>
      <c r="AL16" s="408">
        <f>aurora_data!AJ7</f>
        <v>0</v>
      </c>
      <c r="AM16" s="409">
        <f t="shared" si="0"/>
        <v>0</v>
      </c>
      <c r="AO16"/>
      <c r="AP16"/>
      <c r="AQ16"/>
      <c r="AR16"/>
      <c r="AS16"/>
      <c r="AT16"/>
      <c r="AU16"/>
      <c r="AV16"/>
      <c r="AW16"/>
      <c r="AX16"/>
      <c r="AY16"/>
      <c r="BR16" s="2">
        <v>42</v>
      </c>
    </row>
    <row r="17" spans="2:51">
      <c r="B17" s="452"/>
      <c r="C17" s="454"/>
      <c r="D17" s="35" t="s">
        <v>341</v>
      </c>
      <c r="E17" s="408">
        <f>aurora_data!D8</f>
        <v>0</v>
      </c>
      <c r="F17" s="410">
        <f>aurora_data!E8</f>
        <v>0</v>
      </c>
      <c r="G17" s="410">
        <f>aurora_data!F8</f>
        <v>1</v>
      </c>
      <c r="H17" s="410">
        <f>aurora_data!G8</f>
        <v>0</v>
      </c>
      <c r="I17" s="410">
        <f>aurora_data!H8</f>
        <v>0</v>
      </c>
      <c r="J17" s="408">
        <f>aurora_data!I8</f>
        <v>2</v>
      </c>
      <c r="K17" s="410">
        <f>aurora_data!J8</f>
        <v>0</v>
      </c>
      <c r="L17" s="410">
        <f>aurora_data!K8</f>
        <v>0</v>
      </c>
      <c r="M17" s="410">
        <f>aurora_data!L8</f>
        <v>0</v>
      </c>
      <c r="N17" s="411">
        <f>aurora_data!M8</f>
        <v>0</v>
      </c>
      <c r="O17" s="408">
        <f>aurora_data!N8</f>
        <v>1</v>
      </c>
      <c r="P17" s="410">
        <f>aurora_data!O8</f>
        <v>0</v>
      </c>
      <c r="Q17" s="410">
        <f>aurora_data!P8</f>
        <v>0</v>
      </c>
      <c r="R17" s="410">
        <f>aurora_data!Q8</f>
        <v>0</v>
      </c>
      <c r="S17" s="411">
        <f>aurora_data!R8</f>
        <v>1</v>
      </c>
      <c r="T17" s="408">
        <f>aurora_data!S8</f>
        <v>0</v>
      </c>
      <c r="U17" s="410">
        <f>aurora_data!T8</f>
        <v>0</v>
      </c>
      <c r="V17" s="410">
        <f>aurora_data!U8</f>
        <v>0</v>
      </c>
      <c r="W17" s="410">
        <f>aurora_data!V8</f>
        <v>0</v>
      </c>
      <c r="X17" s="411">
        <f>aurora_data!W8</f>
        <v>0</v>
      </c>
      <c r="Y17" s="408">
        <f>aurora_data!X8</f>
        <v>1</v>
      </c>
      <c r="Z17" s="410">
        <f>aurora_data!Y8</f>
        <v>3</v>
      </c>
      <c r="AA17" s="410">
        <f>aurora_data!Z8</f>
        <v>0</v>
      </c>
      <c r="AB17" s="410">
        <f>aurora_data!AA8</f>
        <v>0</v>
      </c>
      <c r="AC17" s="411">
        <f>aurora_data!AB8</f>
        <v>1</v>
      </c>
      <c r="AD17" s="408">
        <f>aurora_data!AC8</f>
        <v>3</v>
      </c>
      <c r="AE17" s="410">
        <f>aurora_data!AD8</f>
        <v>1</v>
      </c>
      <c r="AF17" s="410">
        <f>aurora_data!AE8</f>
        <v>3</v>
      </c>
      <c r="AG17" s="411">
        <f>aurora_data!AF8</f>
        <v>3</v>
      </c>
      <c r="AH17" s="408">
        <f>aurora_data!AG8</f>
        <v>5</v>
      </c>
      <c r="AI17" s="410">
        <f>aurora_data!AH8</f>
        <v>5</v>
      </c>
      <c r="AJ17" s="411">
        <f>aurora_data!AI8</f>
        <v>0</v>
      </c>
      <c r="AK17" s="407"/>
      <c r="AL17" s="408">
        <f>aurora_data!AJ8</f>
        <v>10</v>
      </c>
      <c r="AM17" s="409">
        <f t="shared" si="0"/>
        <v>0.05</v>
      </c>
      <c r="AO17"/>
      <c r="AP17"/>
      <c r="AQ17"/>
      <c r="AR17"/>
      <c r="AS17"/>
      <c r="AT17"/>
      <c r="AU17"/>
      <c r="AV17"/>
      <c r="AW17"/>
      <c r="AX17"/>
      <c r="AY17"/>
    </row>
    <row r="18" spans="2:51" ht="16.5" thickBot="1">
      <c r="B18" s="452"/>
      <c r="C18" s="454"/>
      <c r="D18" s="35" t="s">
        <v>342</v>
      </c>
      <c r="E18" s="408">
        <f>aurora_data!D9</f>
        <v>0</v>
      </c>
      <c r="F18" s="410">
        <f>aurora_data!E9</f>
        <v>0</v>
      </c>
      <c r="G18" s="410">
        <f>aurora_data!F9</f>
        <v>0</v>
      </c>
      <c r="H18" s="410">
        <f>aurora_data!G9</f>
        <v>0</v>
      </c>
      <c r="I18" s="410">
        <f>aurora_data!H9</f>
        <v>0</v>
      </c>
      <c r="J18" s="408">
        <f>aurora_data!I9</f>
        <v>0</v>
      </c>
      <c r="K18" s="410">
        <f>aurora_data!J9</f>
        <v>0</v>
      </c>
      <c r="L18" s="410">
        <f>aurora_data!K9</f>
        <v>0</v>
      </c>
      <c r="M18" s="410">
        <f>aurora_data!L9</f>
        <v>0</v>
      </c>
      <c r="N18" s="411">
        <f>aurora_data!M9</f>
        <v>0</v>
      </c>
      <c r="O18" s="408">
        <f>aurora_data!N9</f>
        <v>0</v>
      </c>
      <c r="P18" s="410">
        <f>aurora_data!O9</f>
        <v>0</v>
      </c>
      <c r="Q18" s="410">
        <f>aurora_data!P9</f>
        <v>0</v>
      </c>
      <c r="R18" s="410">
        <f>aurora_data!Q9</f>
        <v>0</v>
      </c>
      <c r="S18" s="411">
        <f>aurora_data!R9</f>
        <v>1</v>
      </c>
      <c r="T18" s="408">
        <f>aurora_data!S9</f>
        <v>0</v>
      </c>
      <c r="U18" s="410">
        <f>aurora_data!T9</f>
        <v>0</v>
      </c>
      <c r="V18" s="410">
        <f>aurora_data!U9</f>
        <v>1</v>
      </c>
      <c r="W18" s="410">
        <f>aurora_data!V9</f>
        <v>0</v>
      </c>
      <c r="X18" s="411">
        <f>aurora_data!W9</f>
        <v>1</v>
      </c>
      <c r="Y18" s="408">
        <f>aurora_data!X9</f>
        <v>0</v>
      </c>
      <c r="Z18" s="410">
        <f>aurora_data!Y9</f>
        <v>0</v>
      </c>
      <c r="AA18" s="410">
        <f>aurora_data!Z9</f>
        <v>0</v>
      </c>
      <c r="AB18" s="410">
        <f>aurora_data!AA9</f>
        <v>0</v>
      </c>
      <c r="AC18" s="411">
        <f>aurora_data!AB9</f>
        <v>0</v>
      </c>
      <c r="AD18" s="408">
        <f>aurora_data!AC9</f>
        <v>1</v>
      </c>
      <c r="AE18" s="410">
        <f>aurora_data!AD9</f>
        <v>0</v>
      </c>
      <c r="AF18" s="410">
        <f>aurora_data!AE9</f>
        <v>1</v>
      </c>
      <c r="AG18" s="411">
        <f>aurora_data!AF9</f>
        <v>1</v>
      </c>
      <c r="AH18" s="408">
        <f>aurora_data!AG9</f>
        <v>0</v>
      </c>
      <c r="AI18" s="410">
        <f>aurora_data!AH9</f>
        <v>3</v>
      </c>
      <c r="AJ18" s="411">
        <f>aurora_data!AI9</f>
        <v>0</v>
      </c>
      <c r="AK18" s="412"/>
      <c r="AL18" s="408">
        <f>aurora_data!AJ9</f>
        <v>3</v>
      </c>
      <c r="AM18" s="409">
        <f t="shared" si="0"/>
        <v>1.4999999999999999E-2</v>
      </c>
      <c r="AO18"/>
      <c r="AP18"/>
      <c r="AQ18"/>
      <c r="AR18"/>
      <c r="AS18"/>
      <c r="AT18"/>
      <c r="AU18"/>
      <c r="AV18"/>
      <c r="AW18"/>
      <c r="AX18"/>
      <c r="AY18"/>
    </row>
    <row r="19" spans="2:51" ht="16.5" thickBot="1">
      <c r="B19" s="452"/>
      <c r="C19" s="454"/>
      <c r="D19" s="37" t="s">
        <v>17</v>
      </c>
      <c r="E19" s="182">
        <f>aurora_data!D10</f>
        <v>0</v>
      </c>
      <c r="F19" s="183">
        <f>aurora_data!E10</f>
        <v>0</v>
      </c>
      <c r="G19" s="183">
        <f>aurora_data!F10</f>
        <v>1</v>
      </c>
      <c r="H19" s="183">
        <f>aurora_data!G10</f>
        <v>2</v>
      </c>
      <c r="I19" s="184">
        <f>aurora_data!H10</f>
        <v>7</v>
      </c>
      <c r="J19" s="182">
        <f>aurora_data!I10</f>
        <v>2</v>
      </c>
      <c r="K19" s="183">
        <f>aurora_data!J10</f>
        <v>1</v>
      </c>
      <c r="L19" s="183">
        <f>aurora_data!K10</f>
        <v>7</v>
      </c>
      <c r="M19" s="183">
        <f>aurora_data!L10</f>
        <v>13</v>
      </c>
      <c r="N19" s="184">
        <f>aurora_data!M10</f>
        <v>7</v>
      </c>
      <c r="O19" s="182">
        <f>aurora_data!N10</f>
        <v>6</v>
      </c>
      <c r="P19" s="183">
        <f>aurora_data!O10</f>
        <v>4</v>
      </c>
      <c r="Q19" s="183">
        <f>aurora_data!P10</f>
        <v>14</v>
      </c>
      <c r="R19" s="183">
        <f>aurora_data!Q10</f>
        <v>16</v>
      </c>
      <c r="S19" s="184">
        <f>aurora_data!R10</f>
        <v>12</v>
      </c>
      <c r="T19" s="182">
        <f>aurora_data!S10</f>
        <v>1</v>
      </c>
      <c r="U19" s="183">
        <f>aurora_data!T10</f>
        <v>1</v>
      </c>
      <c r="V19" s="183">
        <f>aurora_data!U10</f>
        <v>4</v>
      </c>
      <c r="W19" s="183">
        <f>aurora_data!V10</f>
        <v>10</v>
      </c>
      <c r="X19" s="184">
        <f>aurora_data!W10</f>
        <v>9</v>
      </c>
      <c r="Y19" s="182">
        <f>aurora_data!X10</f>
        <v>1</v>
      </c>
      <c r="Z19" s="183">
        <f>aurora_data!Y10</f>
        <v>3</v>
      </c>
      <c r="AA19" s="183">
        <f>aurora_data!Z10</f>
        <v>13</v>
      </c>
      <c r="AB19" s="183">
        <f>aurora_data!AA10</f>
        <v>31</v>
      </c>
      <c r="AC19" s="184">
        <f>aurora_data!AB10</f>
        <v>64</v>
      </c>
      <c r="AD19" s="182">
        <f>aurora_data!AC10</f>
        <v>68</v>
      </c>
      <c r="AE19" s="183">
        <f>aurora_data!AD10</f>
        <v>40</v>
      </c>
      <c r="AF19" s="183">
        <f>aurora_data!AE10</f>
        <v>82</v>
      </c>
      <c r="AG19" s="184">
        <f>aurora_data!AF10</f>
        <v>39</v>
      </c>
      <c r="AH19" s="182">
        <f>aurora_data!AG10</f>
        <v>113</v>
      </c>
      <c r="AI19" s="183">
        <f>aurora_data!AH10</f>
        <v>116</v>
      </c>
      <c r="AJ19" s="183">
        <f>aurora_data!AI10</f>
        <v>0</v>
      </c>
      <c r="AK19" s="412"/>
      <c r="AL19" s="182">
        <f>aurora_data!AJ10</f>
        <v>229</v>
      </c>
      <c r="AM19" s="413">
        <f t="shared" si="0"/>
        <v>1.145</v>
      </c>
      <c r="AO19"/>
      <c r="AP19"/>
      <c r="AQ19"/>
      <c r="AR19"/>
      <c r="AS19"/>
      <c r="AT19"/>
      <c r="AU19"/>
      <c r="AV19"/>
      <c r="AW19"/>
      <c r="AX19"/>
      <c r="AY19"/>
    </row>
    <row r="20" spans="2:51" ht="16.5" thickBot="1">
      <c r="B20" s="452"/>
      <c r="C20" s="454"/>
      <c r="D20" s="38" t="s">
        <v>343</v>
      </c>
      <c r="E20" s="265">
        <f>aurora_data!D11</f>
        <v>0</v>
      </c>
      <c r="F20" s="266">
        <f>aurora_data!E11</f>
        <v>0</v>
      </c>
      <c r="G20" s="266">
        <f>aurora_data!F11</f>
        <v>0</v>
      </c>
      <c r="H20" s="266">
        <f>aurora_data!G11</f>
        <v>0</v>
      </c>
      <c r="I20" s="266">
        <f>aurora_data!H11</f>
        <v>0</v>
      </c>
      <c r="J20" s="265">
        <f>aurora_data!I11</f>
        <v>0</v>
      </c>
      <c r="K20" s="266">
        <f>aurora_data!J11</f>
        <v>0</v>
      </c>
      <c r="L20" s="266">
        <f>aurora_data!K11</f>
        <v>0</v>
      </c>
      <c r="M20" s="266">
        <f>aurora_data!L11</f>
        <v>0</v>
      </c>
      <c r="N20" s="267">
        <f>aurora_data!M11</f>
        <v>0</v>
      </c>
      <c r="O20" s="265">
        <f>aurora_data!N11</f>
        <v>0</v>
      </c>
      <c r="P20" s="266">
        <f>aurora_data!O11</f>
        <v>0</v>
      </c>
      <c r="Q20" s="266">
        <f>aurora_data!P11</f>
        <v>1</v>
      </c>
      <c r="R20" s="266">
        <f>aurora_data!Q11</f>
        <v>2</v>
      </c>
      <c r="S20" s="267">
        <f>aurora_data!R11</f>
        <v>1</v>
      </c>
      <c r="T20" s="265">
        <f>aurora_data!S11</f>
        <v>0</v>
      </c>
      <c r="U20" s="266">
        <f>aurora_data!T11</f>
        <v>0</v>
      </c>
      <c r="V20" s="266">
        <f>aurora_data!U11</f>
        <v>0</v>
      </c>
      <c r="W20" s="266">
        <f>aurora_data!V11</f>
        <v>0</v>
      </c>
      <c r="X20" s="267">
        <f>aurora_data!W11</f>
        <v>1</v>
      </c>
      <c r="Y20" s="265">
        <f>aurora_data!X11</f>
        <v>0</v>
      </c>
      <c r="Z20" s="266">
        <f>aurora_data!Y11</f>
        <v>0</v>
      </c>
      <c r="AA20" s="266">
        <f>aurora_data!Z11</f>
        <v>3</v>
      </c>
      <c r="AB20" s="266">
        <f>aurora_data!AA11</f>
        <v>1</v>
      </c>
      <c r="AC20" s="267">
        <f>aurora_data!AB11</f>
        <v>2</v>
      </c>
      <c r="AD20" s="265">
        <f>aurora_data!AC11</f>
        <v>4</v>
      </c>
      <c r="AE20" s="266">
        <f>aurora_data!AD11</f>
        <v>1</v>
      </c>
      <c r="AF20" s="266">
        <f>aurora_data!AE11</f>
        <v>5</v>
      </c>
      <c r="AG20" s="267">
        <f>aurora_data!AF11</f>
        <v>1</v>
      </c>
      <c r="AH20" s="265">
        <f>aurora_data!AG11</f>
        <v>6</v>
      </c>
      <c r="AI20" s="266">
        <f>aurora_data!AH11</f>
        <v>5</v>
      </c>
      <c r="AJ20" s="268">
        <f>aurora_data!AI11</f>
        <v>0</v>
      </c>
      <c r="AK20" s="269"/>
      <c r="AL20" s="265">
        <f>aurora_data!AJ11</f>
        <v>11</v>
      </c>
      <c r="AM20" s="270">
        <f t="shared" si="0"/>
        <v>5.5E-2</v>
      </c>
      <c r="AO20"/>
      <c r="AP20"/>
      <c r="AQ20"/>
      <c r="AR20"/>
      <c r="AS20"/>
      <c r="AT20"/>
      <c r="AU20"/>
      <c r="AV20"/>
      <c r="AW20"/>
      <c r="AX20"/>
      <c r="AY20"/>
    </row>
    <row r="21" spans="2:51" outlineLevel="1">
      <c r="B21" s="452"/>
      <c r="C21" s="454"/>
      <c r="D21" s="199" t="s">
        <v>344</v>
      </c>
      <c r="E21" s="271">
        <f t="shared" ref="E21:AC21" si="1">ROUNDDOWN((E23+$E$9)*($AL13),0)</f>
        <v>4</v>
      </c>
      <c r="F21" s="272">
        <f t="shared" si="1"/>
        <v>4</v>
      </c>
      <c r="G21" s="272">
        <f t="shared" si="1"/>
        <v>4</v>
      </c>
      <c r="H21" s="272">
        <f t="shared" si="1"/>
        <v>5</v>
      </c>
      <c r="I21" s="272">
        <f t="shared" si="1"/>
        <v>10</v>
      </c>
      <c r="J21" s="271">
        <f t="shared" si="1"/>
        <v>4</v>
      </c>
      <c r="K21" s="272">
        <f t="shared" si="1"/>
        <v>5</v>
      </c>
      <c r="L21" s="272">
        <f t="shared" si="1"/>
        <v>11</v>
      </c>
      <c r="M21" s="272">
        <f t="shared" si="1"/>
        <v>13</v>
      </c>
      <c r="N21" s="268">
        <f t="shared" si="1"/>
        <v>10</v>
      </c>
      <c r="O21" s="271">
        <f t="shared" si="1"/>
        <v>6</v>
      </c>
      <c r="P21" s="272">
        <f t="shared" si="1"/>
        <v>9</v>
      </c>
      <c r="Q21" s="272">
        <f t="shared" si="1"/>
        <v>17</v>
      </c>
      <c r="R21" s="272">
        <f t="shared" si="1"/>
        <v>19</v>
      </c>
      <c r="S21" s="268">
        <f t="shared" si="1"/>
        <v>15</v>
      </c>
      <c r="T21" s="271">
        <f t="shared" si="1"/>
        <v>4</v>
      </c>
      <c r="U21" s="272">
        <f t="shared" si="1"/>
        <v>4</v>
      </c>
      <c r="V21" s="272">
        <f t="shared" si="1"/>
        <v>7</v>
      </c>
      <c r="W21" s="272">
        <f t="shared" si="1"/>
        <v>10</v>
      </c>
      <c r="X21" s="268">
        <f t="shared" si="1"/>
        <v>12</v>
      </c>
      <c r="Y21" s="271">
        <f t="shared" si="1"/>
        <v>5</v>
      </c>
      <c r="Z21" s="272">
        <f t="shared" si="1"/>
        <v>5</v>
      </c>
      <c r="AA21" s="272">
        <f t="shared" si="1"/>
        <v>18</v>
      </c>
      <c r="AB21" s="272">
        <f t="shared" si="1"/>
        <v>35</v>
      </c>
      <c r="AC21" s="268">
        <f t="shared" si="1"/>
        <v>51</v>
      </c>
      <c r="AD21" s="271">
        <f>ROUNDDOWN((AD23+$AD$9)*($AL13),0)</f>
        <v>64</v>
      </c>
      <c r="AE21" s="272">
        <f>ROUNDDOWN((AE23+$AD$9)*($AL13),0)</f>
        <v>50</v>
      </c>
      <c r="AF21" s="272">
        <f t="shared" ref="AF21:AG21" si="2">ROUNDDOWN((AF23+$AD$9)*($AL13),0)</f>
        <v>100</v>
      </c>
      <c r="AG21" s="272">
        <f t="shared" si="2"/>
        <v>65</v>
      </c>
      <c r="AH21" s="271">
        <f>ROUNDDOWN((AH23+$AH$9)*($AL13),0)</f>
        <v>100</v>
      </c>
      <c r="AI21" s="272">
        <f>ROUNDDOWN((AI23+$AH$9)*($AL13),0)</f>
        <v>100</v>
      </c>
      <c r="AJ21" s="268"/>
      <c r="AK21" s="273"/>
      <c r="AL21" s="274"/>
      <c r="AM21" s="275"/>
      <c r="AO21"/>
      <c r="AP21"/>
      <c r="AQ21"/>
      <c r="AR21"/>
      <c r="AS21"/>
      <c r="AT21"/>
      <c r="AU21"/>
      <c r="AV21"/>
      <c r="AW21"/>
      <c r="AX21"/>
      <c r="AY21"/>
    </row>
    <row r="22" spans="2:51" ht="16.5" customHeight="1" outlineLevel="1" thickBot="1">
      <c r="B22" s="452"/>
      <c r="C22" s="454"/>
      <c r="D22" s="199" t="s">
        <v>345</v>
      </c>
      <c r="E22" s="276">
        <f t="shared" ref="E22:AC22" si="3">IF(ROUND(((E23-$E$9)*($AL13))+0.25,0) &lt;=0,1,((E23-$E$9)*($AL13))+0.25)</f>
        <v>1</v>
      </c>
      <c r="F22" s="277">
        <f t="shared" si="3"/>
        <v>1</v>
      </c>
      <c r="G22" s="277">
        <f t="shared" si="3"/>
        <v>1</v>
      </c>
      <c r="H22" s="277">
        <f t="shared" si="3"/>
        <v>1</v>
      </c>
      <c r="I22" s="277">
        <f t="shared" si="3"/>
        <v>2.95</v>
      </c>
      <c r="J22" s="276">
        <f t="shared" si="3"/>
        <v>1</v>
      </c>
      <c r="K22" s="277">
        <f t="shared" si="3"/>
        <v>1</v>
      </c>
      <c r="L22" s="277">
        <f t="shared" si="3"/>
        <v>3.2599999999999993</v>
      </c>
      <c r="M22" s="277">
        <f t="shared" si="3"/>
        <v>5.31</v>
      </c>
      <c r="N22" s="278">
        <f t="shared" si="3"/>
        <v>2.8299999999999996</v>
      </c>
      <c r="O22" s="276">
        <f t="shared" si="3"/>
        <v>1</v>
      </c>
      <c r="P22" s="277">
        <f t="shared" si="3"/>
        <v>1.6799999999999993</v>
      </c>
      <c r="Q22" s="277">
        <f t="shared" si="3"/>
        <v>9.5500000000000007</v>
      </c>
      <c r="R22" s="277">
        <f t="shared" si="3"/>
        <v>11.979999999999999</v>
      </c>
      <c r="S22" s="278">
        <f t="shared" si="3"/>
        <v>7.2500000000000009</v>
      </c>
      <c r="T22" s="276">
        <f t="shared" si="3"/>
        <v>1</v>
      </c>
      <c r="U22" s="277">
        <f t="shared" si="3"/>
        <v>1</v>
      </c>
      <c r="V22" s="277">
        <f t="shared" si="3"/>
        <v>1</v>
      </c>
      <c r="W22" s="277">
        <f t="shared" si="3"/>
        <v>2.9000000000000004</v>
      </c>
      <c r="X22" s="278">
        <f t="shared" si="3"/>
        <v>4.88</v>
      </c>
      <c r="Y22" s="276">
        <f t="shared" si="3"/>
        <v>1</v>
      </c>
      <c r="Z22" s="277">
        <f t="shared" si="3"/>
        <v>1</v>
      </c>
      <c r="AA22" s="277">
        <f t="shared" si="3"/>
        <v>10.95</v>
      </c>
      <c r="AB22" s="277">
        <f t="shared" si="3"/>
        <v>27.33</v>
      </c>
      <c r="AC22" s="278">
        <f t="shared" si="3"/>
        <v>44.220000000000006</v>
      </c>
      <c r="AD22" s="276">
        <f>IF(((AD23-$AD$9)*($AL13))+0.5 &lt;0,1,((AD23-$AD$9)*($AL13))+0.5 )</f>
        <v>24.799999999999994</v>
      </c>
      <c r="AE22" s="277">
        <f>IF(((AE23-$AD$9)*($AL13))+0.5 &lt;0,1,((AE23-$AD$9)*($AL13))+0.5 )</f>
        <v>11.030000000000001</v>
      </c>
      <c r="AF22" s="277">
        <f t="shared" ref="AF22" si="4">IF(((AF23-$AD$9)*($AL13))+0.5 &lt;0,1,((AF23-$AD$9)*($AL13))+0.5 )</f>
        <v>60.500000000000007</v>
      </c>
      <c r="AG22" s="277">
        <f t="shared" ref="AG22" si="5">IF(((AG23-$AD$9)*($AL13))+0.5 &lt;0,1,((AG23-$AD$9)*($AL13))+0.5 )</f>
        <v>25.669999999999998</v>
      </c>
      <c r="AH22" s="276">
        <f>IF(((AH23-$AH$9)*($AL13))+0.5 &lt;0,1,((AH23-$AH$9)*($AL13)) )</f>
        <v>100</v>
      </c>
      <c r="AI22" s="277">
        <f>IF(((AI23-$AH$9)*($AL13))+0.5 &lt;0,1,((AI23-$AH$9)*($AL13)))</f>
        <v>100</v>
      </c>
      <c r="AJ22" s="278"/>
      <c r="AK22" s="273"/>
      <c r="AL22" s="274"/>
      <c r="AM22" s="275"/>
      <c r="AO22"/>
      <c r="AP22"/>
      <c r="AQ22"/>
      <c r="AR22"/>
      <c r="AS22"/>
      <c r="AT22"/>
      <c r="AU22"/>
      <c r="AV22"/>
      <c r="AW22"/>
      <c r="AX22"/>
      <c r="AY22"/>
    </row>
    <row r="23" spans="2:51" ht="16.5" customHeight="1" outlineLevel="1">
      <c r="B23" s="452"/>
      <c r="C23" s="454"/>
      <c r="D23" s="95" t="s">
        <v>346</v>
      </c>
      <c r="E23" s="414">
        <f t="shared" ref="E23:AJ23" si="6">IFERROR(E13/$AL13,0)</f>
        <v>2.0499999999999997E-3</v>
      </c>
      <c r="F23" s="415">
        <f t="shared" si="6"/>
        <v>2.0999999999999999E-3</v>
      </c>
      <c r="G23" s="415">
        <f t="shared" si="6"/>
        <v>4.8999999999999998E-3</v>
      </c>
      <c r="H23" s="415">
        <f t="shared" si="6"/>
        <v>9.0000000000000011E-3</v>
      </c>
      <c r="I23" s="415">
        <f t="shared" si="6"/>
        <v>3.3500000000000002E-2</v>
      </c>
      <c r="J23" s="414">
        <f t="shared" si="6"/>
        <v>1.9500000000000001E-3</v>
      </c>
      <c r="K23" s="415">
        <f t="shared" si="6"/>
        <v>7.4000000000000003E-3</v>
      </c>
      <c r="L23" s="415">
        <f t="shared" si="6"/>
        <v>3.5049999999999998E-2</v>
      </c>
      <c r="M23" s="415">
        <f t="shared" si="6"/>
        <v>4.53E-2</v>
      </c>
      <c r="N23" s="416">
        <f t="shared" si="6"/>
        <v>3.2899999999999999E-2</v>
      </c>
      <c r="O23" s="414">
        <f t="shared" si="6"/>
        <v>1.4499999999999999E-2</v>
      </c>
      <c r="P23" s="415">
        <f t="shared" si="6"/>
        <v>2.7149999999999997E-2</v>
      </c>
      <c r="Q23" s="415">
        <f t="shared" si="6"/>
        <v>6.6500000000000004E-2</v>
      </c>
      <c r="R23" s="415">
        <f t="shared" si="6"/>
        <v>7.8649999999999998E-2</v>
      </c>
      <c r="S23" s="416">
        <f t="shared" si="6"/>
        <v>5.5E-2</v>
      </c>
      <c r="T23" s="414">
        <f t="shared" si="6"/>
        <v>2.0999999999999999E-3</v>
      </c>
      <c r="U23" s="415">
        <f t="shared" si="6"/>
        <v>4.0999999999999995E-3</v>
      </c>
      <c r="V23" s="415">
        <f t="shared" si="6"/>
        <v>1.83E-2</v>
      </c>
      <c r="W23" s="415">
        <f t="shared" si="6"/>
        <v>3.3250000000000002E-2</v>
      </c>
      <c r="X23" s="416">
        <f t="shared" si="6"/>
        <v>4.3150000000000001E-2</v>
      </c>
      <c r="Y23" s="414">
        <f t="shared" si="6"/>
        <v>5.6000000000000008E-3</v>
      </c>
      <c r="Z23" s="415">
        <f t="shared" si="6"/>
        <v>8.8000000000000005E-3</v>
      </c>
      <c r="AA23" s="415">
        <f t="shared" si="6"/>
        <v>7.3499999999999996E-2</v>
      </c>
      <c r="AB23" s="415">
        <f t="shared" si="6"/>
        <v>0.15539999999999998</v>
      </c>
      <c r="AC23" s="416">
        <f t="shared" si="6"/>
        <v>0.23985000000000001</v>
      </c>
      <c r="AD23" s="414">
        <f t="shared" si="6"/>
        <v>0.22149999999999997</v>
      </c>
      <c r="AE23" s="415">
        <f t="shared" si="6"/>
        <v>0.15265000000000001</v>
      </c>
      <c r="AF23" s="415">
        <f t="shared" si="6"/>
        <v>0.4</v>
      </c>
      <c r="AG23" s="416">
        <f t="shared" si="6"/>
        <v>0.22585</v>
      </c>
      <c r="AH23" s="415">
        <f t="shared" si="6"/>
        <v>0.5</v>
      </c>
      <c r="AI23" s="415">
        <f t="shared" si="6"/>
        <v>0.5</v>
      </c>
      <c r="AJ23" s="415">
        <f t="shared" si="6"/>
        <v>0</v>
      </c>
      <c r="AK23" s="407"/>
      <c r="AL23" s="417"/>
      <c r="AM23" s="418"/>
      <c r="AO23"/>
      <c r="AP23"/>
      <c r="AQ23"/>
      <c r="AR23"/>
      <c r="AS23"/>
      <c r="AT23"/>
      <c r="AU23"/>
      <c r="AV23"/>
      <c r="AW23"/>
      <c r="AX23"/>
      <c r="AY23"/>
    </row>
    <row r="24" spans="2:51" ht="16.5" customHeight="1" outlineLevel="1">
      <c r="B24" s="452"/>
      <c r="C24" s="454"/>
      <c r="D24" s="180" t="s">
        <v>347</v>
      </c>
      <c r="E24" s="414">
        <f t="shared" ref="E24:AJ24" si="7">IFERROR(E14/$AL13,0)</f>
        <v>0</v>
      </c>
      <c r="F24" s="415">
        <f t="shared" si="7"/>
        <v>0</v>
      </c>
      <c r="G24" s="415">
        <f t="shared" si="7"/>
        <v>0</v>
      </c>
      <c r="H24" s="415">
        <f t="shared" si="7"/>
        <v>0.01</v>
      </c>
      <c r="I24" s="415">
        <f t="shared" si="7"/>
        <v>3.5000000000000003E-2</v>
      </c>
      <c r="J24" s="414">
        <f t="shared" si="7"/>
        <v>0</v>
      </c>
      <c r="K24" s="415">
        <f t="shared" si="7"/>
        <v>5.0000000000000001E-3</v>
      </c>
      <c r="L24" s="415">
        <f t="shared" si="7"/>
        <v>3.5000000000000003E-2</v>
      </c>
      <c r="M24" s="415">
        <f t="shared" si="7"/>
        <v>4.4999999999999998E-2</v>
      </c>
      <c r="N24" s="416">
        <f t="shared" si="7"/>
        <v>3.5000000000000003E-2</v>
      </c>
      <c r="O24" s="414">
        <f t="shared" si="7"/>
        <v>1.4999999999999999E-2</v>
      </c>
      <c r="P24" s="415">
        <f t="shared" si="7"/>
        <v>0.02</v>
      </c>
      <c r="Q24" s="415">
        <f t="shared" si="7"/>
        <v>6.5000000000000002E-2</v>
      </c>
      <c r="R24" s="415">
        <f t="shared" si="7"/>
        <v>0.08</v>
      </c>
      <c r="S24" s="416">
        <f t="shared" si="7"/>
        <v>0.05</v>
      </c>
      <c r="T24" s="414">
        <f t="shared" si="7"/>
        <v>5.0000000000000001E-3</v>
      </c>
      <c r="U24" s="415">
        <f t="shared" si="7"/>
        <v>5.0000000000000001E-3</v>
      </c>
      <c r="V24" s="415">
        <f t="shared" si="7"/>
        <v>1.4999999999999999E-2</v>
      </c>
      <c r="W24" s="415">
        <f t="shared" si="7"/>
        <v>3.5000000000000003E-2</v>
      </c>
      <c r="X24" s="416">
        <f t="shared" si="7"/>
        <v>0.04</v>
      </c>
      <c r="Y24" s="414">
        <f t="shared" si="7"/>
        <v>0</v>
      </c>
      <c r="Z24" s="415">
        <f t="shared" si="7"/>
        <v>0</v>
      </c>
      <c r="AA24" s="415">
        <f t="shared" si="7"/>
        <v>6.5000000000000002E-2</v>
      </c>
      <c r="AB24" s="415">
        <f t="shared" si="7"/>
        <v>0.155</v>
      </c>
      <c r="AC24" s="416">
        <f t="shared" si="7"/>
        <v>0.24</v>
      </c>
      <c r="AD24" s="414">
        <f t="shared" si="7"/>
        <v>0.245</v>
      </c>
      <c r="AE24" s="415">
        <f t="shared" si="7"/>
        <v>0.16500000000000001</v>
      </c>
      <c r="AF24" s="415">
        <f t="shared" si="7"/>
        <v>0.375</v>
      </c>
      <c r="AG24" s="416">
        <f t="shared" si="7"/>
        <v>0.17</v>
      </c>
      <c r="AH24" s="415">
        <f t="shared" si="7"/>
        <v>0.49</v>
      </c>
      <c r="AI24" s="415">
        <f t="shared" si="7"/>
        <v>0.46500000000000002</v>
      </c>
      <c r="AJ24" s="415">
        <f t="shared" si="7"/>
        <v>0</v>
      </c>
      <c r="AK24" s="407"/>
      <c r="AL24" s="417"/>
      <c r="AM24" s="418"/>
      <c r="AO24"/>
      <c r="AP24"/>
      <c r="AQ24"/>
      <c r="AR24"/>
      <c r="AS24"/>
      <c r="AT24"/>
      <c r="AU24"/>
      <c r="AV24"/>
      <c r="AW24"/>
      <c r="AX24"/>
      <c r="AY24"/>
    </row>
    <row r="25" spans="2:51" ht="16.5" outlineLevel="1" thickBot="1">
      <c r="B25" s="456"/>
      <c r="C25" s="455"/>
      <c r="D25" s="180" t="s">
        <v>348</v>
      </c>
      <c r="E25" s="414">
        <f t="shared" ref="E25:AJ25" si="8">E24-E23</f>
        <v>-2.0499999999999997E-3</v>
      </c>
      <c r="F25" s="415">
        <f t="shared" si="8"/>
        <v>-2.0999999999999999E-3</v>
      </c>
      <c r="G25" s="415">
        <f t="shared" si="8"/>
        <v>-4.8999999999999998E-3</v>
      </c>
      <c r="H25" s="415">
        <f t="shared" si="8"/>
        <v>9.9999999999999915E-4</v>
      </c>
      <c r="I25" s="415">
        <f t="shared" si="8"/>
        <v>1.5000000000000013E-3</v>
      </c>
      <c r="J25" s="414">
        <f t="shared" si="8"/>
        <v>-1.9500000000000001E-3</v>
      </c>
      <c r="K25" s="415">
        <f t="shared" si="8"/>
        <v>-2.4000000000000002E-3</v>
      </c>
      <c r="L25" s="415">
        <f t="shared" si="8"/>
        <v>-4.9999999999994493E-5</v>
      </c>
      <c r="M25" s="415">
        <f t="shared" si="8"/>
        <v>-3.0000000000000165E-4</v>
      </c>
      <c r="N25" s="416">
        <f t="shared" si="8"/>
        <v>2.1000000000000046E-3</v>
      </c>
      <c r="O25" s="414">
        <f t="shared" si="8"/>
        <v>5.0000000000000044E-4</v>
      </c>
      <c r="P25" s="415">
        <f t="shared" si="8"/>
        <v>-7.1499999999999966E-3</v>
      </c>
      <c r="Q25" s="415">
        <f t="shared" si="8"/>
        <v>-1.5000000000000013E-3</v>
      </c>
      <c r="R25" s="415">
        <f t="shared" si="8"/>
        <v>1.350000000000004E-3</v>
      </c>
      <c r="S25" s="416">
        <f t="shared" si="8"/>
        <v>-4.9999999999999975E-3</v>
      </c>
      <c r="T25" s="414">
        <f t="shared" si="8"/>
        <v>2.9000000000000002E-3</v>
      </c>
      <c r="U25" s="415">
        <f t="shared" si="8"/>
        <v>9.0000000000000063E-4</v>
      </c>
      <c r="V25" s="415">
        <f t="shared" si="8"/>
        <v>-3.3000000000000008E-3</v>
      </c>
      <c r="W25" s="415">
        <f t="shared" si="8"/>
        <v>1.7500000000000016E-3</v>
      </c>
      <c r="X25" s="416">
        <f t="shared" si="8"/>
        <v>-3.15E-3</v>
      </c>
      <c r="Y25" s="414">
        <f t="shared" si="8"/>
        <v>-5.6000000000000008E-3</v>
      </c>
      <c r="Z25" s="415">
        <f t="shared" si="8"/>
        <v>-8.8000000000000005E-3</v>
      </c>
      <c r="AA25" s="415">
        <f t="shared" si="8"/>
        <v>-8.4999999999999937E-3</v>
      </c>
      <c r="AB25" s="415">
        <f t="shared" si="8"/>
        <v>-3.999999999999837E-4</v>
      </c>
      <c r="AC25" s="416">
        <f t="shared" si="8"/>
        <v>1.4999999999998348E-4</v>
      </c>
      <c r="AD25" s="414">
        <f t="shared" si="8"/>
        <v>2.3500000000000021E-2</v>
      </c>
      <c r="AE25" s="415">
        <f t="shared" si="8"/>
        <v>1.235E-2</v>
      </c>
      <c r="AF25" s="415">
        <f t="shared" si="8"/>
        <v>-2.5000000000000022E-2</v>
      </c>
      <c r="AG25" s="416">
        <f t="shared" si="8"/>
        <v>-5.5849999999999983E-2</v>
      </c>
      <c r="AH25" s="415">
        <f t="shared" si="8"/>
        <v>-1.0000000000000009E-2</v>
      </c>
      <c r="AI25" s="415">
        <f t="shared" si="8"/>
        <v>-3.4999999999999976E-2</v>
      </c>
      <c r="AJ25" s="415">
        <f t="shared" si="8"/>
        <v>0</v>
      </c>
      <c r="AK25" s="407"/>
      <c r="AL25" s="417"/>
      <c r="AM25" s="418"/>
      <c r="AO25"/>
      <c r="AP25"/>
      <c r="AQ25"/>
      <c r="AR25"/>
      <c r="AS25"/>
      <c r="AT25"/>
      <c r="AU25"/>
      <c r="AV25"/>
      <c r="AW25"/>
      <c r="AX25"/>
      <c r="AY25"/>
    </row>
    <row r="26" spans="2:51" ht="16.5" customHeight="1" thickTop="1">
      <c r="B26" s="451" t="s">
        <v>338</v>
      </c>
      <c r="C26" s="453" t="str">
        <f>aurora_data!A12</f>
        <v>07.00.00-07.11.30</v>
      </c>
      <c r="D26" s="34" t="s">
        <v>306</v>
      </c>
      <c r="E26" s="152">
        <f>aurora_data!D12</f>
        <v>0.28000000000000003</v>
      </c>
      <c r="F26" s="153">
        <f>aurora_data!E12</f>
        <v>0.32</v>
      </c>
      <c r="G26" s="153">
        <f>aurora_data!F12</f>
        <v>0.94</v>
      </c>
      <c r="H26" s="153">
        <f>aurora_data!G12</f>
        <v>1.53</v>
      </c>
      <c r="I26" s="153">
        <f>aurora_data!H12</f>
        <v>6.48</v>
      </c>
      <c r="J26" s="152">
        <f>aurora_data!I12</f>
        <v>0.47</v>
      </c>
      <c r="K26" s="153">
        <f>aurora_data!J12</f>
        <v>1.61</v>
      </c>
      <c r="L26" s="153">
        <f>aurora_data!K12</f>
        <v>7.13</v>
      </c>
      <c r="M26" s="153">
        <f>aurora_data!L12</f>
        <v>9.0299999999999994</v>
      </c>
      <c r="N26" s="154">
        <f>aurora_data!M12</f>
        <v>6.62</v>
      </c>
      <c r="O26" s="152">
        <f>aurora_data!N12</f>
        <v>3.25</v>
      </c>
      <c r="P26" s="153">
        <f>aurora_data!O12</f>
        <v>5.82</v>
      </c>
      <c r="Q26" s="153">
        <f>aurora_data!P12</f>
        <v>13.94</v>
      </c>
      <c r="R26" s="153">
        <f>aurora_data!Q12</f>
        <v>15.76</v>
      </c>
      <c r="S26" s="154">
        <f>aurora_data!R12</f>
        <v>10.37</v>
      </c>
      <c r="T26" s="152">
        <f>aurora_data!S12</f>
        <v>0.4</v>
      </c>
      <c r="U26" s="153">
        <f>aurora_data!T12</f>
        <v>0.74</v>
      </c>
      <c r="V26" s="153">
        <f>aurora_data!U12</f>
        <v>3.2</v>
      </c>
      <c r="W26" s="153">
        <f>aurora_data!V12</f>
        <v>6.91</v>
      </c>
      <c r="X26" s="154">
        <f>aurora_data!W12</f>
        <v>8.07</v>
      </c>
      <c r="Y26" s="152">
        <f>aurora_data!X12</f>
        <v>1.02</v>
      </c>
      <c r="Z26" s="153">
        <f>aurora_data!Y12</f>
        <v>2.08</v>
      </c>
      <c r="AA26" s="153">
        <f>aurora_data!Z12</f>
        <v>13.98</v>
      </c>
      <c r="AB26" s="153">
        <f>aurora_data!AA12</f>
        <v>31.83</v>
      </c>
      <c r="AC26" s="154">
        <f>aurora_data!AB12</f>
        <v>48.22</v>
      </c>
      <c r="AD26" s="152">
        <f>aurora_data!AC12</f>
        <v>41.68</v>
      </c>
      <c r="AE26" s="153">
        <f>aurora_data!AD12</f>
        <v>30.61</v>
      </c>
      <c r="AF26" s="153">
        <f>aurora_data!AE12</f>
        <v>81</v>
      </c>
      <c r="AG26" s="154">
        <f>aurora_data!AF12</f>
        <v>46.71</v>
      </c>
      <c r="AH26" s="155">
        <f>aurora_data!AG12</f>
        <v>100</v>
      </c>
      <c r="AI26" s="171">
        <f>aurora_data!AH12</f>
        <v>100</v>
      </c>
      <c r="AJ26" s="171">
        <f>aurora_data!AI12</f>
        <v>0</v>
      </c>
      <c r="AK26" s="407"/>
      <c r="AL26" s="155">
        <f>aurora_data!AJ12</f>
        <v>200</v>
      </c>
      <c r="AM26" s="167">
        <f t="shared" ref="AM26:AM33" si="9">SUM(AL26)/$AL$26</f>
        <v>1</v>
      </c>
      <c r="AO26"/>
      <c r="AP26"/>
      <c r="AQ26"/>
      <c r="AR26"/>
      <c r="AS26"/>
      <c r="AT26"/>
      <c r="AU26"/>
      <c r="AV26"/>
      <c r="AW26"/>
      <c r="AX26"/>
      <c r="AY26"/>
    </row>
    <row r="27" spans="2:51" ht="16.5" customHeight="1">
      <c r="B27" s="452"/>
      <c r="C27" s="454"/>
      <c r="D27" s="35" t="s">
        <v>339</v>
      </c>
      <c r="E27" s="262">
        <f>aurora_data!D13</f>
        <v>0</v>
      </c>
      <c r="F27" s="263">
        <f>aurora_data!E13</f>
        <v>0</v>
      </c>
      <c r="G27" s="263">
        <f>aurora_data!F13</f>
        <v>2</v>
      </c>
      <c r="H27" s="263">
        <f>aurora_data!G13</f>
        <v>2</v>
      </c>
      <c r="I27" s="263">
        <f>aurora_data!H13</f>
        <v>6</v>
      </c>
      <c r="J27" s="262">
        <f>aurora_data!I13</f>
        <v>0</v>
      </c>
      <c r="K27" s="263">
        <f>aurora_data!J13</f>
        <v>2</v>
      </c>
      <c r="L27" s="263">
        <f>aurora_data!K13</f>
        <v>7</v>
      </c>
      <c r="M27" s="263">
        <f>aurora_data!L13</f>
        <v>9</v>
      </c>
      <c r="N27" s="264">
        <f>aurora_data!M13</f>
        <v>7</v>
      </c>
      <c r="O27" s="262">
        <f>aurora_data!N13</f>
        <v>3</v>
      </c>
      <c r="P27" s="263">
        <f>aurora_data!O13</f>
        <v>6</v>
      </c>
      <c r="Q27" s="263">
        <f>aurora_data!P13</f>
        <v>12</v>
      </c>
      <c r="R27" s="263">
        <f>aurora_data!Q13</f>
        <v>16</v>
      </c>
      <c r="S27" s="264">
        <f>aurora_data!R13</f>
        <v>10</v>
      </c>
      <c r="T27" s="262">
        <f>aurora_data!S13</f>
        <v>1</v>
      </c>
      <c r="U27" s="263">
        <f>aurora_data!T13</f>
        <v>1</v>
      </c>
      <c r="V27" s="263">
        <f>aurora_data!U13</f>
        <v>3</v>
      </c>
      <c r="W27" s="263">
        <f>aurora_data!V13</f>
        <v>7</v>
      </c>
      <c r="X27" s="264">
        <f>aurora_data!W13</f>
        <v>8</v>
      </c>
      <c r="Y27" s="262">
        <f>aurora_data!X13</f>
        <v>1</v>
      </c>
      <c r="Z27" s="263">
        <f>aurora_data!Y13</f>
        <v>0</v>
      </c>
      <c r="AA27" s="263">
        <f>aurora_data!Z13</f>
        <v>14</v>
      </c>
      <c r="AB27" s="263">
        <f>aurora_data!AA13</f>
        <v>32</v>
      </c>
      <c r="AC27" s="264">
        <f>aurora_data!AB13</f>
        <v>48</v>
      </c>
      <c r="AD27" s="262">
        <f>aurora_data!AC13</f>
        <v>45</v>
      </c>
      <c r="AE27" s="263">
        <f>aurora_data!AD13</f>
        <v>27</v>
      </c>
      <c r="AF27" s="263">
        <f>aurora_data!AE13</f>
        <v>88</v>
      </c>
      <c r="AG27" s="264">
        <f>aurora_data!AF13</f>
        <v>37</v>
      </c>
      <c r="AH27" s="262">
        <f>aurora_data!AG13</f>
        <v>100</v>
      </c>
      <c r="AI27" s="263">
        <f>aurora_data!AH13</f>
        <v>97</v>
      </c>
      <c r="AJ27" s="264">
        <f>aurora_data!AI13</f>
        <v>0</v>
      </c>
      <c r="AK27" s="407"/>
      <c r="AL27" s="408">
        <f>aurora_data!AJ13</f>
        <v>197</v>
      </c>
      <c r="AM27" s="409">
        <f t="shared" si="9"/>
        <v>0.98499999999999999</v>
      </c>
      <c r="AO27"/>
      <c r="AP27"/>
      <c r="AQ27"/>
      <c r="AR27"/>
      <c r="AS27"/>
      <c r="AT27"/>
      <c r="AU27"/>
      <c r="AV27"/>
      <c r="AW27"/>
      <c r="AX27"/>
      <c r="AY27"/>
    </row>
    <row r="28" spans="2:51">
      <c r="B28" s="452"/>
      <c r="C28" s="454"/>
      <c r="D28" s="35" t="s">
        <v>291</v>
      </c>
      <c r="E28" s="408">
        <f>aurora_data!D14</f>
        <v>0</v>
      </c>
      <c r="F28" s="410">
        <f>aurora_data!E14</f>
        <v>0</v>
      </c>
      <c r="G28" s="410">
        <f>aurora_data!F14</f>
        <v>0</v>
      </c>
      <c r="H28" s="410">
        <f>aurora_data!G14</f>
        <v>0</v>
      </c>
      <c r="I28" s="410">
        <f>aurora_data!H14</f>
        <v>0</v>
      </c>
      <c r="J28" s="408">
        <f>aurora_data!I14</f>
        <v>2</v>
      </c>
      <c r="K28" s="410">
        <f>aurora_data!J14</f>
        <v>0</v>
      </c>
      <c r="L28" s="410">
        <f>aurora_data!K14</f>
        <v>2</v>
      </c>
      <c r="M28" s="410">
        <f>aurora_data!L14</f>
        <v>1</v>
      </c>
      <c r="N28" s="411">
        <f>aurora_data!M14</f>
        <v>0</v>
      </c>
      <c r="O28" s="408">
        <f>aurora_data!N14</f>
        <v>0</v>
      </c>
      <c r="P28" s="410">
        <f>aurora_data!O14</f>
        <v>0</v>
      </c>
      <c r="Q28" s="410">
        <f>aurora_data!P14</f>
        <v>0</v>
      </c>
      <c r="R28" s="410">
        <f>aurora_data!Q14</f>
        <v>6</v>
      </c>
      <c r="S28" s="411">
        <f>aurora_data!R14</f>
        <v>1</v>
      </c>
      <c r="T28" s="408">
        <f>aurora_data!S14</f>
        <v>0</v>
      </c>
      <c r="U28" s="410">
        <f>aurora_data!T14</f>
        <v>0</v>
      </c>
      <c r="V28" s="410">
        <f>aurora_data!U14</f>
        <v>4</v>
      </c>
      <c r="W28" s="410">
        <f>aurora_data!V14</f>
        <v>0</v>
      </c>
      <c r="X28" s="411">
        <f>aurora_data!W14</f>
        <v>5</v>
      </c>
      <c r="Y28" s="408">
        <f>aurora_data!X14</f>
        <v>0</v>
      </c>
      <c r="Z28" s="410">
        <f>aurora_data!Y14</f>
        <v>0</v>
      </c>
      <c r="AA28" s="410">
        <f>aurora_data!Z14</f>
        <v>0</v>
      </c>
      <c r="AB28" s="410">
        <f>aurora_data!AA14</f>
        <v>1</v>
      </c>
      <c r="AC28" s="411">
        <f>aurora_data!AB14</f>
        <v>8</v>
      </c>
      <c r="AD28" s="408">
        <f>aurora_data!AC14</f>
        <v>26</v>
      </c>
      <c r="AE28" s="410">
        <f>aurora_data!AD14</f>
        <v>1</v>
      </c>
      <c r="AF28" s="410">
        <f>aurora_data!AE14</f>
        <v>3</v>
      </c>
      <c r="AG28" s="411">
        <f>aurora_data!AF14</f>
        <v>0</v>
      </c>
      <c r="AH28" s="410">
        <f>aurora_data!AG14</f>
        <v>25</v>
      </c>
      <c r="AI28" s="410">
        <f>aurora_data!AH14</f>
        <v>5</v>
      </c>
      <c r="AJ28" s="411">
        <f>aurora_data!AI14</f>
        <v>0</v>
      </c>
      <c r="AK28" s="407"/>
      <c r="AL28" s="408">
        <f>aurora_data!AJ14</f>
        <v>30</v>
      </c>
      <c r="AM28" s="409">
        <f t="shared" si="9"/>
        <v>0.15</v>
      </c>
      <c r="AO28"/>
      <c r="AP28"/>
      <c r="AQ28"/>
      <c r="AR28"/>
      <c r="AS28"/>
      <c r="AT28"/>
      <c r="AU28"/>
      <c r="AV28"/>
      <c r="AW28"/>
      <c r="AX28"/>
      <c r="AY28"/>
    </row>
    <row r="29" spans="2:51" ht="16.5" customHeight="1">
      <c r="B29" s="452"/>
      <c r="C29" s="454"/>
      <c r="D29" s="35" t="s">
        <v>340</v>
      </c>
      <c r="E29" s="408">
        <f>aurora_data!D15</f>
        <v>0</v>
      </c>
      <c r="F29" s="410">
        <f>aurora_data!E15</f>
        <v>0</v>
      </c>
      <c r="G29" s="410">
        <f>aurora_data!F15</f>
        <v>0</v>
      </c>
      <c r="H29" s="410">
        <f>aurora_data!G15</f>
        <v>0</v>
      </c>
      <c r="I29" s="410">
        <f>aurora_data!H15</f>
        <v>0</v>
      </c>
      <c r="J29" s="408">
        <f>aurora_data!I15</f>
        <v>0</v>
      </c>
      <c r="K29" s="410">
        <f>aurora_data!J15</f>
        <v>0</v>
      </c>
      <c r="L29" s="410">
        <f>aurora_data!K15</f>
        <v>0</v>
      </c>
      <c r="M29" s="410">
        <f>aurora_data!L15</f>
        <v>0</v>
      </c>
      <c r="N29" s="411">
        <f>aurora_data!M15</f>
        <v>0</v>
      </c>
      <c r="O29" s="408">
        <f>aurora_data!N15</f>
        <v>0</v>
      </c>
      <c r="P29" s="410">
        <f>aurora_data!O15</f>
        <v>0</v>
      </c>
      <c r="Q29" s="410">
        <f>aurora_data!P15</f>
        <v>0</v>
      </c>
      <c r="R29" s="410">
        <f>aurora_data!Q15</f>
        <v>0</v>
      </c>
      <c r="S29" s="411">
        <f>aurora_data!R15</f>
        <v>0</v>
      </c>
      <c r="T29" s="408">
        <f>aurora_data!S15</f>
        <v>0</v>
      </c>
      <c r="U29" s="410">
        <f>aurora_data!T15</f>
        <v>0</v>
      </c>
      <c r="V29" s="410">
        <f>aurora_data!U15</f>
        <v>0</v>
      </c>
      <c r="W29" s="410">
        <f>aurora_data!V15</f>
        <v>0</v>
      </c>
      <c r="X29" s="411">
        <f>aurora_data!W15</f>
        <v>0</v>
      </c>
      <c r="Y29" s="408">
        <f>aurora_data!X15</f>
        <v>0</v>
      </c>
      <c r="Z29" s="410">
        <f>aurora_data!Y15</f>
        <v>0</v>
      </c>
      <c r="AA29" s="410">
        <f>aurora_data!Z15</f>
        <v>0</v>
      </c>
      <c r="AB29" s="410">
        <f>aurora_data!AA15</f>
        <v>0</v>
      </c>
      <c r="AC29" s="411">
        <f>aurora_data!AB15</f>
        <v>0</v>
      </c>
      <c r="AD29" s="408">
        <f>aurora_data!AC15</f>
        <v>0</v>
      </c>
      <c r="AE29" s="410">
        <f>aurora_data!AD15</f>
        <v>0</v>
      </c>
      <c r="AF29" s="410">
        <f>aurora_data!AE15</f>
        <v>0</v>
      </c>
      <c r="AG29" s="411">
        <f>aurora_data!AF15</f>
        <v>0</v>
      </c>
      <c r="AH29" s="410">
        <f>aurora_data!AG15</f>
        <v>0</v>
      </c>
      <c r="AI29" s="410">
        <f>aurora_data!AH15</f>
        <v>0</v>
      </c>
      <c r="AJ29" s="411">
        <f>aurora_data!AI15</f>
        <v>0</v>
      </c>
      <c r="AK29" s="407"/>
      <c r="AL29" s="408">
        <f>aurora_data!AJ15</f>
        <v>0</v>
      </c>
      <c r="AM29" s="409">
        <f t="shared" si="9"/>
        <v>0</v>
      </c>
      <c r="AO29"/>
      <c r="AP29"/>
      <c r="AQ29"/>
      <c r="AR29"/>
      <c r="AS29"/>
      <c r="AT29"/>
      <c r="AU29"/>
      <c r="AV29"/>
      <c r="AW29"/>
      <c r="AX29"/>
      <c r="AY29"/>
    </row>
    <row r="30" spans="2:51" ht="16.5" customHeight="1">
      <c r="B30" s="452"/>
      <c r="C30" s="454"/>
      <c r="D30" s="35" t="s">
        <v>341</v>
      </c>
      <c r="E30" s="408">
        <f>aurora_data!D16</f>
        <v>0</v>
      </c>
      <c r="F30" s="410">
        <f>aurora_data!E16</f>
        <v>0</v>
      </c>
      <c r="G30" s="410">
        <f>aurora_data!F16</f>
        <v>0</v>
      </c>
      <c r="H30" s="410">
        <f>aurora_data!G16</f>
        <v>0</v>
      </c>
      <c r="I30" s="410">
        <f>aurora_data!H16</f>
        <v>0</v>
      </c>
      <c r="J30" s="408">
        <f>aurora_data!I16</f>
        <v>0</v>
      </c>
      <c r="K30" s="410">
        <f>aurora_data!J16</f>
        <v>0</v>
      </c>
      <c r="L30" s="410">
        <f>aurora_data!K16</f>
        <v>0</v>
      </c>
      <c r="M30" s="410">
        <f>aurora_data!L16</f>
        <v>0</v>
      </c>
      <c r="N30" s="411">
        <f>aurora_data!M16</f>
        <v>0</v>
      </c>
      <c r="O30" s="408">
        <f>aurora_data!N16</f>
        <v>0</v>
      </c>
      <c r="P30" s="410">
        <f>aurora_data!O16</f>
        <v>0</v>
      </c>
      <c r="Q30" s="410">
        <f>aurora_data!P16</f>
        <v>3</v>
      </c>
      <c r="R30" s="410">
        <f>aurora_data!Q16</f>
        <v>1</v>
      </c>
      <c r="S30" s="411">
        <f>aurora_data!R16</f>
        <v>0</v>
      </c>
      <c r="T30" s="408">
        <f>aurora_data!S16</f>
        <v>0</v>
      </c>
      <c r="U30" s="410">
        <f>aurora_data!T16</f>
        <v>0</v>
      </c>
      <c r="V30" s="410">
        <f>aurora_data!U16</f>
        <v>1</v>
      </c>
      <c r="W30" s="410">
        <f>aurora_data!V16</f>
        <v>0</v>
      </c>
      <c r="X30" s="411">
        <f>aurora_data!W16</f>
        <v>0</v>
      </c>
      <c r="Y30" s="408">
        <f>aurora_data!X16</f>
        <v>1</v>
      </c>
      <c r="Z30" s="410">
        <f>aurora_data!Y16</f>
        <v>0</v>
      </c>
      <c r="AA30" s="410">
        <f>aurora_data!Z16</f>
        <v>1</v>
      </c>
      <c r="AB30" s="410">
        <f>aurora_data!AA16</f>
        <v>0</v>
      </c>
      <c r="AC30" s="411">
        <f>aurora_data!AB16</f>
        <v>0</v>
      </c>
      <c r="AD30" s="408">
        <f>aurora_data!AC16</f>
        <v>2</v>
      </c>
      <c r="AE30" s="410">
        <f>aurora_data!AD16</f>
        <v>1</v>
      </c>
      <c r="AF30" s="410">
        <f>aurora_data!AE16</f>
        <v>2</v>
      </c>
      <c r="AG30" s="411">
        <f>aurora_data!AF16</f>
        <v>2</v>
      </c>
      <c r="AH30" s="410">
        <f>aurora_data!AG16</f>
        <v>4</v>
      </c>
      <c r="AI30" s="410">
        <f>aurora_data!AH16</f>
        <v>3</v>
      </c>
      <c r="AJ30" s="411">
        <f>aurora_data!AI16</f>
        <v>0</v>
      </c>
      <c r="AK30" s="407"/>
      <c r="AL30" s="408">
        <f>aurora_data!AJ16</f>
        <v>7</v>
      </c>
      <c r="AM30" s="409">
        <f t="shared" si="9"/>
        <v>3.5000000000000003E-2</v>
      </c>
      <c r="AO30"/>
      <c r="AP30"/>
      <c r="AQ30"/>
      <c r="AR30"/>
      <c r="AS30"/>
      <c r="AT30"/>
      <c r="AU30"/>
      <c r="AV30"/>
      <c r="AW30"/>
      <c r="AX30"/>
      <c r="AY30"/>
    </row>
    <row r="31" spans="2:51" ht="16.5" customHeight="1" thickBot="1">
      <c r="B31" s="452"/>
      <c r="C31" s="454"/>
      <c r="D31" s="35" t="s">
        <v>342</v>
      </c>
      <c r="E31" s="408">
        <f>aurora_data!D17</f>
        <v>0</v>
      </c>
      <c r="F31" s="410">
        <f>aurora_data!E17</f>
        <v>0</v>
      </c>
      <c r="G31" s="410">
        <f>aurora_data!F17</f>
        <v>0</v>
      </c>
      <c r="H31" s="410">
        <f>aurora_data!G17</f>
        <v>0</v>
      </c>
      <c r="I31" s="410">
        <f>aurora_data!H17</f>
        <v>0</v>
      </c>
      <c r="J31" s="408">
        <f>aurora_data!I17</f>
        <v>0</v>
      </c>
      <c r="K31" s="410">
        <f>aurora_data!J17</f>
        <v>0</v>
      </c>
      <c r="L31" s="410">
        <f>aurora_data!K17</f>
        <v>0</v>
      </c>
      <c r="M31" s="410">
        <f>aurora_data!L17</f>
        <v>0</v>
      </c>
      <c r="N31" s="411">
        <f>aurora_data!M17</f>
        <v>0</v>
      </c>
      <c r="O31" s="408">
        <f>aurora_data!N17</f>
        <v>0</v>
      </c>
      <c r="P31" s="410">
        <f>aurora_data!O17</f>
        <v>0</v>
      </c>
      <c r="Q31" s="410">
        <f>aurora_data!P17</f>
        <v>0</v>
      </c>
      <c r="R31" s="410">
        <f>aurora_data!Q17</f>
        <v>0</v>
      </c>
      <c r="S31" s="411">
        <f>aurora_data!R17</f>
        <v>0</v>
      </c>
      <c r="T31" s="408">
        <f>aurora_data!S17</f>
        <v>0</v>
      </c>
      <c r="U31" s="410">
        <f>aurora_data!T17</f>
        <v>0</v>
      </c>
      <c r="V31" s="410">
        <f>aurora_data!U17</f>
        <v>0</v>
      </c>
      <c r="W31" s="410">
        <f>aurora_data!V17</f>
        <v>0</v>
      </c>
      <c r="X31" s="411">
        <f>aurora_data!W17</f>
        <v>0</v>
      </c>
      <c r="Y31" s="408">
        <f>aurora_data!X17</f>
        <v>0</v>
      </c>
      <c r="Z31" s="410">
        <f>aurora_data!Y17</f>
        <v>0</v>
      </c>
      <c r="AA31" s="410">
        <f>aurora_data!Z17</f>
        <v>0</v>
      </c>
      <c r="AB31" s="410">
        <f>aurora_data!AA17</f>
        <v>0</v>
      </c>
      <c r="AC31" s="411">
        <f>aurora_data!AB17</f>
        <v>0</v>
      </c>
      <c r="AD31" s="408">
        <f>aurora_data!AC17</f>
        <v>0</v>
      </c>
      <c r="AE31" s="410">
        <f>aurora_data!AD17</f>
        <v>0</v>
      </c>
      <c r="AF31" s="410">
        <f>aurora_data!AE17</f>
        <v>0</v>
      </c>
      <c r="AG31" s="411">
        <f>aurora_data!AF17</f>
        <v>0</v>
      </c>
      <c r="AH31" s="410">
        <f>aurora_data!AG17</f>
        <v>0</v>
      </c>
      <c r="AI31" s="410">
        <f>aurora_data!AH17</f>
        <v>0</v>
      </c>
      <c r="AJ31" s="411">
        <f>aurora_data!AI17</f>
        <v>0</v>
      </c>
      <c r="AK31" s="412"/>
      <c r="AL31" s="408">
        <f>aurora_data!AJ17</f>
        <v>0</v>
      </c>
      <c r="AM31" s="409">
        <f t="shared" si="9"/>
        <v>0</v>
      </c>
      <c r="AO31"/>
      <c r="AP31"/>
      <c r="AQ31"/>
      <c r="AR31"/>
      <c r="AS31"/>
      <c r="AT31"/>
      <c r="AU31"/>
      <c r="AV31"/>
      <c r="AW31"/>
      <c r="AX31"/>
      <c r="AY31"/>
    </row>
    <row r="32" spans="2:51" ht="16.5" thickBot="1">
      <c r="B32" s="452"/>
      <c r="C32" s="454"/>
      <c r="D32" s="37" t="s">
        <v>17</v>
      </c>
      <c r="E32" s="182">
        <f>aurora_data!D18</f>
        <v>0</v>
      </c>
      <c r="F32" s="183">
        <f>aurora_data!E18</f>
        <v>0</v>
      </c>
      <c r="G32" s="183">
        <f>aurora_data!F18</f>
        <v>2</v>
      </c>
      <c r="H32" s="183">
        <f>aurora_data!G18</f>
        <v>2</v>
      </c>
      <c r="I32" s="184">
        <f>aurora_data!H18</f>
        <v>6</v>
      </c>
      <c r="J32" s="182">
        <f>aurora_data!I18</f>
        <v>2</v>
      </c>
      <c r="K32" s="183">
        <f>aurora_data!J18</f>
        <v>2</v>
      </c>
      <c r="L32" s="183">
        <f>aurora_data!K18</f>
        <v>9</v>
      </c>
      <c r="M32" s="183">
        <f>aurora_data!L18</f>
        <v>10</v>
      </c>
      <c r="N32" s="184">
        <f>aurora_data!M18</f>
        <v>7</v>
      </c>
      <c r="O32" s="182">
        <f>aurora_data!N18</f>
        <v>3</v>
      </c>
      <c r="P32" s="183">
        <f>aurora_data!O18</f>
        <v>6</v>
      </c>
      <c r="Q32" s="183">
        <f>aurora_data!P18</f>
        <v>15</v>
      </c>
      <c r="R32" s="183">
        <f>aurora_data!Q18</f>
        <v>23</v>
      </c>
      <c r="S32" s="184">
        <f>aurora_data!R18</f>
        <v>11</v>
      </c>
      <c r="T32" s="182">
        <f>aurora_data!S18</f>
        <v>1</v>
      </c>
      <c r="U32" s="183">
        <f>aurora_data!T18</f>
        <v>1</v>
      </c>
      <c r="V32" s="183">
        <f>aurora_data!U18</f>
        <v>8</v>
      </c>
      <c r="W32" s="183">
        <f>aurora_data!V18</f>
        <v>7</v>
      </c>
      <c r="X32" s="184">
        <f>aurora_data!W18</f>
        <v>13</v>
      </c>
      <c r="Y32" s="182">
        <f>aurora_data!X18</f>
        <v>2</v>
      </c>
      <c r="Z32" s="183">
        <f>aurora_data!Y18</f>
        <v>0</v>
      </c>
      <c r="AA32" s="183">
        <f>aurora_data!Z18</f>
        <v>15</v>
      </c>
      <c r="AB32" s="183">
        <f>aurora_data!AA18</f>
        <v>33</v>
      </c>
      <c r="AC32" s="184">
        <f>aurora_data!AB18</f>
        <v>56</v>
      </c>
      <c r="AD32" s="182">
        <f>aurora_data!AC18</f>
        <v>73</v>
      </c>
      <c r="AE32" s="183">
        <f>aurora_data!AD18</f>
        <v>29</v>
      </c>
      <c r="AF32" s="183">
        <f>aurora_data!AE18</f>
        <v>93</v>
      </c>
      <c r="AG32" s="184">
        <f>aurora_data!AF18</f>
        <v>39</v>
      </c>
      <c r="AH32" s="182">
        <f>aurora_data!AG18</f>
        <v>129</v>
      </c>
      <c r="AI32" s="183">
        <f>aurora_data!AH18</f>
        <v>105</v>
      </c>
      <c r="AJ32" s="183">
        <f>aurora_data!AI18</f>
        <v>0</v>
      </c>
      <c r="AK32" s="412"/>
      <c r="AL32" s="182">
        <f>aurora_data!AJ18</f>
        <v>234</v>
      </c>
      <c r="AM32" s="413">
        <f t="shared" si="9"/>
        <v>1.17</v>
      </c>
      <c r="AO32"/>
      <c r="AP32"/>
      <c r="AQ32"/>
      <c r="AR32"/>
      <c r="AS32"/>
      <c r="AT32"/>
      <c r="AU32"/>
      <c r="AV32"/>
      <c r="AW32"/>
      <c r="AX32"/>
      <c r="AY32"/>
    </row>
    <row r="33" spans="2:51" ht="15.75" customHeight="1" thickBot="1">
      <c r="B33" s="452"/>
      <c r="C33" s="454"/>
      <c r="D33" s="38" t="s">
        <v>343</v>
      </c>
      <c r="E33" s="265">
        <f>aurora_data!D19</f>
        <v>0</v>
      </c>
      <c r="F33" s="266">
        <f>aurora_data!E19</f>
        <v>0</v>
      </c>
      <c r="G33" s="266">
        <f>aurora_data!F19</f>
        <v>0</v>
      </c>
      <c r="H33" s="266">
        <f>aurora_data!G19</f>
        <v>0</v>
      </c>
      <c r="I33" s="266">
        <f>aurora_data!H19</f>
        <v>2</v>
      </c>
      <c r="J33" s="265">
        <f>aurora_data!I19</f>
        <v>0</v>
      </c>
      <c r="K33" s="266">
        <f>aurora_data!J19</f>
        <v>0</v>
      </c>
      <c r="L33" s="266">
        <f>aurora_data!K19</f>
        <v>0</v>
      </c>
      <c r="M33" s="266">
        <f>aurora_data!L19</f>
        <v>1</v>
      </c>
      <c r="N33" s="267">
        <f>aurora_data!M19</f>
        <v>0</v>
      </c>
      <c r="O33" s="265">
        <f>aurora_data!N19</f>
        <v>0</v>
      </c>
      <c r="P33" s="266">
        <f>aurora_data!O19</f>
        <v>0</v>
      </c>
      <c r="Q33" s="266">
        <f>aurora_data!P19</f>
        <v>1</v>
      </c>
      <c r="R33" s="266">
        <f>aurora_data!Q19</f>
        <v>1</v>
      </c>
      <c r="S33" s="267">
        <f>aurora_data!R19</f>
        <v>0</v>
      </c>
      <c r="T33" s="265">
        <f>aurora_data!S19</f>
        <v>0</v>
      </c>
      <c r="U33" s="266">
        <f>aurora_data!T19</f>
        <v>1</v>
      </c>
      <c r="V33" s="266">
        <f>aurora_data!U19</f>
        <v>1</v>
      </c>
      <c r="W33" s="266">
        <f>aurora_data!V19</f>
        <v>0</v>
      </c>
      <c r="X33" s="267">
        <f>aurora_data!W19</f>
        <v>1</v>
      </c>
      <c r="Y33" s="265">
        <f>aurora_data!X19</f>
        <v>0</v>
      </c>
      <c r="Z33" s="266">
        <f>aurora_data!Y19</f>
        <v>0</v>
      </c>
      <c r="AA33" s="266">
        <f>aurora_data!Z19</f>
        <v>0</v>
      </c>
      <c r="AB33" s="266">
        <f>aurora_data!AA19</f>
        <v>1</v>
      </c>
      <c r="AC33" s="267">
        <f>aurora_data!AB19</f>
        <v>3</v>
      </c>
      <c r="AD33" s="265">
        <f>aurora_data!AC19</f>
        <v>0</v>
      </c>
      <c r="AE33" s="266">
        <f>aurora_data!AD19</f>
        <v>6</v>
      </c>
      <c r="AF33" s="266">
        <f>aurora_data!AE19</f>
        <v>4</v>
      </c>
      <c r="AG33" s="267">
        <f>aurora_data!AF19</f>
        <v>2</v>
      </c>
      <c r="AH33" s="266">
        <f>aurora_data!AG19</f>
        <v>6</v>
      </c>
      <c r="AI33" s="266">
        <f>aurora_data!AH19</f>
        <v>6</v>
      </c>
      <c r="AJ33" s="268">
        <f>aurora_data!AI19</f>
        <v>0</v>
      </c>
      <c r="AK33" s="269"/>
      <c r="AL33" s="265">
        <f>aurora_data!AJ19</f>
        <v>12</v>
      </c>
      <c r="AM33" s="270">
        <f t="shared" si="9"/>
        <v>0.06</v>
      </c>
      <c r="AO33"/>
      <c r="AP33"/>
      <c r="AQ33"/>
      <c r="AR33"/>
      <c r="AS33"/>
      <c r="AT33"/>
      <c r="AU33"/>
      <c r="AV33"/>
      <c r="AW33"/>
      <c r="AX33"/>
      <c r="AY33"/>
    </row>
    <row r="34" spans="2:51" outlineLevel="1">
      <c r="B34" s="452"/>
      <c r="C34" s="454"/>
      <c r="D34" s="199" t="s">
        <v>344</v>
      </c>
      <c r="E34" s="271">
        <f t="shared" ref="E34:AC34" si="10">ROUNDDOWN((E37+$E$9)*($AL26),0)</f>
        <v>4</v>
      </c>
      <c r="F34" s="272">
        <f t="shared" si="10"/>
        <v>4</v>
      </c>
      <c r="G34" s="272">
        <f t="shared" si="10"/>
        <v>4</v>
      </c>
      <c r="H34" s="272">
        <f t="shared" si="10"/>
        <v>5</v>
      </c>
      <c r="I34" s="272">
        <f t="shared" si="10"/>
        <v>10</v>
      </c>
      <c r="J34" s="271">
        <f t="shared" si="10"/>
        <v>4</v>
      </c>
      <c r="K34" s="272">
        <f t="shared" si="10"/>
        <v>5</v>
      </c>
      <c r="L34" s="272">
        <f t="shared" si="10"/>
        <v>11</v>
      </c>
      <c r="M34" s="272">
        <f t="shared" si="10"/>
        <v>13</v>
      </c>
      <c r="N34" s="268">
        <f t="shared" si="10"/>
        <v>10</v>
      </c>
      <c r="O34" s="271">
        <f t="shared" si="10"/>
        <v>7</v>
      </c>
      <c r="P34" s="272">
        <f t="shared" si="10"/>
        <v>9</v>
      </c>
      <c r="Q34" s="272">
        <f t="shared" si="10"/>
        <v>17</v>
      </c>
      <c r="R34" s="272">
        <f t="shared" si="10"/>
        <v>19</v>
      </c>
      <c r="S34" s="268">
        <f t="shared" si="10"/>
        <v>14</v>
      </c>
      <c r="T34" s="271">
        <f t="shared" si="10"/>
        <v>4</v>
      </c>
      <c r="U34" s="272">
        <f t="shared" si="10"/>
        <v>4</v>
      </c>
      <c r="V34" s="272">
        <f t="shared" si="10"/>
        <v>7</v>
      </c>
      <c r="W34" s="272">
        <f t="shared" si="10"/>
        <v>10</v>
      </c>
      <c r="X34" s="268">
        <f t="shared" si="10"/>
        <v>12</v>
      </c>
      <c r="Y34" s="271">
        <f t="shared" si="10"/>
        <v>5</v>
      </c>
      <c r="Z34" s="272">
        <f t="shared" si="10"/>
        <v>6</v>
      </c>
      <c r="AA34" s="272">
        <f t="shared" si="10"/>
        <v>17</v>
      </c>
      <c r="AB34" s="272">
        <f t="shared" si="10"/>
        <v>35</v>
      </c>
      <c r="AC34" s="268">
        <f t="shared" si="10"/>
        <v>52</v>
      </c>
      <c r="AD34" s="271">
        <f>ROUNDDOWN((AD37+$AD$9)*($AL26),0)</f>
        <v>61</v>
      </c>
      <c r="AE34" s="272">
        <f>ROUNDDOWN((AE37+$AD$9)*($AL26),0)</f>
        <v>50</v>
      </c>
      <c r="AF34" s="272">
        <f t="shared" ref="AF34:AG34" si="11">ROUNDDOWN((AF37+$AD$9)*($AL26),0)</f>
        <v>101</v>
      </c>
      <c r="AG34" s="272">
        <f t="shared" si="11"/>
        <v>66</v>
      </c>
      <c r="AH34" s="271">
        <f>ROUNDDOWN((AH37+$AH$9)*($AL26),0)</f>
        <v>100</v>
      </c>
      <c r="AI34" s="272">
        <f>ROUNDDOWN((AI37+$AH$9)*($AL26),0)</f>
        <v>100</v>
      </c>
      <c r="AJ34" s="268"/>
      <c r="AK34" s="273"/>
      <c r="AL34" s="274"/>
      <c r="AM34" s="275"/>
      <c r="AO34"/>
      <c r="AP34"/>
      <c r="AQ34"/>
      <c r="AR34"/>
      <c r="AS34"/>
      <c r="AT34"/>
      <c r="AU34"/>
      <c r="AV34"/>
      <c r="AW34"/>
      <c r="AX34"/>
      <c r="AY34"/>
    </row>
    <row r="35" spans="2:51" ht="15.75" customHeight="1" outlineLevel="1" thickBot="1">
      <c r="B35" s="452"/>
      <c r="C35" s="454"/>
      <c r="D35" s="199" t="s">
        <v>345</v>
      </c>
      <c r="E35" s="276">
        <f t="shared" ref="E35:AC35" si="12">IF(ROUND(((E37-$E$9)*($AL26))+0.25,0) &lt;=0,1,((E37-$E$9)*($AL26))+0.25)</f>
        <v>1</v>
      </c>
      <c r="F35" s="277">
        <f t="shared" si="12"/>
        <v>1</v>
      </c>
      <c r="G35" s="277">
        <f t="shared" si="12"/>
        <v>1</v>
      </c>
      <c r="H35" s="277">
        <f t="shared" si="12"/>
        <v>1</v>
      </c>
      <c r="I35" s="277">
        <f t="shared" si="12"/>
        <v>2.7300000000000009</v>
      </c>
      <c r="J35" s="276">
        <f t="shared" si="12"/>
        <v>1</v>
      </c>
      <c r="K35" s="277">
        <f t="shared" si="12"/>
        <v>1</v>
      </c>
      <c r="L35" s="277">
        <f t="shared" si="12"/>
        <v>3.3800000000000003</v>
      </c>
      <c r="M35" s="277">
        <f t="shared" si="12"/>
        <v>5.2799999999999994</v>
      </c>
      <c r="N35" s="278">
        <f t="shared" si="12"/>
        <v>2.8699999999999992</v>
      </c>
      <c r="O35" s="276">
        <f t="shared" si="12"/>
        <v>1</v>
      </c>
      <c r="P35" s="277">
        <f t="shared" si="12"/>
        <v>2.0700000000000003</v>
      </c>
      <c r="Q35" s="277">
        <f t="shared" si="12"/>
        <v>10.19</v>
      </c>
      <c r="R35" s="277">
        <f t="shared" si="12"/>
        <v>12.009999999999998</v>
      </c>
      <c r="S35" s="278">
        <f t="shared" si="12"/>
        <v>6.6199999999999974</v>
      </c>
      <c r="T35" s="276">
        <f t="shared" si="12"/>
        <v>1</v>
      </c>
      <c r="U35" s="277">
        <f t="shared" si="12"/>
        <v>1</v>
      </c>
      <c r="V35" s="277">
        <f t="shared" si="12"/>
        <v>1</v>
      </c>
      <c r="W35" s="277">
        <f t="shared" si="12"/>
        <v>3.1599999999999993</v>
      </c>
      <c r="X35" s="278">
        <f t="shared" si="12"/>
        <v>4.32</v>
      </c>
      <c r="Y35" s="276">
        <f t="shared" si="12"/>
        <v>1</v>
      </c>
      <c r="Z35" s="277">
        <f t="shared" si="12"/>
        <v>1</v>
      </c>
      <c r="AA35" s="277">
        <f t="shared" si="12"/>
        <v>10.23</v>
      </c>
      <c r="AB35" s="277">
        <f t="shared" si="12"/>
        <v>28.08</v>
      </c>
      <c r="AC35" s="278">
        <f t="shared" si="12"/>
        <v>44.47</v>
      </c>
      <c r="AD35" s="276">
        <f>IF(((AD37-$AD$9)*($AL26))+0.5 &lt;0,1,((AD37-$AD$9)*($AL26))+0.5 )</f>
        <v>22.18</v>
      </c>
      <c r="AE35" s="277">
        <f>IF(((AE37-$AD$9)*($AL26))+0.5 &lt;0,1,((AE37-$AD$9)*($AL26))+0.5 )</f>
        <v>11.109999999999998</v>
      </c>
      <c r="AF35" s="277">
        <f t="shared" ref="AF35" si="13">IF(((AF37-$AD$9)*($AL26))+0.5 &lt;0,1,((AF37-$AD$9)*($AL26))+0.5 )</f>
        <v>61.500000000000007</v>
      </c>
      <c r="AG35" s="277">
        <f t="shared" ref="AG35" si="14">IF(((AG37-$AD$9)*($AL26))+0.5 &lt;0,1,((AG37-$AD$9)*($AL26))+0.5 )</f>
        <v>27.21</v>
      </c>
      <c r="AH35" s="276">
        <f>IF(((AH37-$AH$9)*($AL26))+0.5 &lt;0,1,((AH37-$AH$9)*($AL26)) )</f>
        <v>100</v>
      </c>
      <c r="AI35" s="277">
        <f>IF(((AI37-$AH$9)*($AL26))+0.5 &lt;0,1,((AI37-$AH$9)*($AL26)))</f>
        <v>100</v>
      </c>
      <c r="AJ35" s="278"/>
      <c r="AK35" s="273"/>
      <c r="AL35" s="274"/>
      <c r="AM35" s="275"/>
      <c r="AO35"/>
      <c r="AP35"/>
      <c r="AQ35"/>
      <c r="AR35"/>
      <c r="AS35"/>
      <c r="AT35"/>
      <c r="AU35"/>
      <c r="AV35"/>
      <c r="AW35"/>
      <c r="AX35"/>
      <c r="AY35"/>
    </row>
    <row r="36" spans="2:51" ht="15.75" customHeight="1" outlineLevel="1">
      <c r="B36" s="147"/>
      <c r="C36" s="454"/>
      <c r="D36" s="199"/>
      <c r="E36" s="276"/>
      <c r="F36" s="277"/>
      <c r="G36" s="277"/>
      <c r="H36" s="277"/>
      <c r="I36" s="277"/>
      <c r="J36" s="276"/>
      <c r="K36" s="277"/>
      <c r="L36" s="277"/>
      <c r="M36" s="277"/>
      <c r="N36" s="278"/>
      <c r="O36" s="276"/>
      <c r="P36" s="277"/>
      <c r="Q36" s="277"/>
      <c r="R36" s="277"/>
      <c r="S36" s="278"/>
      <c r="T36" s="276"/>
      <c r="U36" s="277"/>
      <c r="V36" s="277"/>
      <c r="W36" s="277"/>
      <c r="X36" s="278"/>
      <c r="Y36" s="276"/>
      <c r="Z36" s="277"/>
      <c r="AA36" s="277"/>
      <c r="AB36" s="277"/>
      <c r="AC36" s="278"/>
      <c r="AD36" s="276"/>
      <c r="AE36" s="277"/>
      <c r="AF36" s="277"/>
      <c r="AG36" s="277"/>
      <c r="AH36" s="277"/>
      <c r="AI36" s="277"/>
      <c r="AJ36" s="277"/>
      <c r="AK36" s="273"/>
      <c r="AL36" s="274"/>
      <c r="AM36" s="275"/>
      <c r="AO36"/>
      <c r="AP36"/>
      <c r="AQ36"/>
      <c r="AR36"/>
      <c r="AS36"/>
      <c r="AT36"/>
      <c r="AU36"/>
      <c r="AV36"/>
      <c r="AW36"/>
      <c r="AX36"/>
      <c r="AY36"/>
    </row>
    <row r="37" spans="2:51" ht="15.75" customHeight="1" outlineLevel="1">
      <c r="B37" s="110"/>
      <c r="C37" s="454"/>
      <c r="D37" s="95" t="s">
        <v>346</v>
      </c>
      <c r="E37" s="414">
        <f t="shared" ref="E37:AJ37" si="15">IFERROR(E26/$AL26,0)</f>
        <v>1.4000000000000002E-3</v>
      </c>
      <c r="F37" s="415">
        <f t="shared" si="15"/>
        <v>1.6000000000000001E-3</v>
      </c>
      <c r="G37" s="415">
        <f t="shared" si="15"/>
        <v>4.6999999999999993E-3</v>
      </c>
      <c r="H37" s="415">
        <f t="shared" si="15"/>
        <v>7.6500000000000005E-3</v>
      </c>
      <c r="I37" s="415">
        <f t="shared" si="15"/>
        <v>3.2400000000000005E-2</v>
      </c>
      <c r="J37" s="414">
        <f t="shared" si="15"/>
        <v>2.3499999999999997E-3</v>
      </c>
      <c r="K37" s="415">
        <f t="shared" si="15"/>
        <v>8.0499999999999999E-3</v>
      </c>
      <c r="L37" s="415">
        <f t="shared" si="15"/>
        <v>3.5650000000000001E-2</v>
      </c>
      <c r="M37" s="415">
        <f t="shared" si="15"/>
        <v>4.5149999999999996E-2</v>
      </c>
      <c r="N37" s="416">
        <f t="shared" si="15"/>
        <v>3.3099999999999997E-2</v>
      </c>
      <c r="O37" s="414">
        <f t="shared" si="15"/>
        <v>1.6250000000000001E-2</v>
      </c>
      <c r="P37" s="415">
        <f t="shared" si="15"/>
        <v>2.9100000000000001E-2</v>
      </c>
      <c r="Q37" s="415">
        <f t="shared" si="15"/>
        <v>6.9699999999999998E-2</v>
      </c>
      <c r="R37" s="415">
        <f t="shared" si="15"/>
        <v>7.8799999999999995E-2</v>
      </c>
      <c r="S37" s="416">
        <f t="shared" si="15"/>
        <v>5.1849999999999993E-2</v>
      </c>
      <c r="T37" s="414">
        <f t="shared" si="15"/>
        <v>2E-3</v>
      </c>
      <c r="U37" s="415">
        <f t="shared" si="15"/>
        <v>3.7000000000000002E-3</v>
      </c>
      <c r="V37" s="415">
        <f t="shared" si="15"/>
        <v>1.6E-2</v>
      </c>
      <c r="W37" s="415">
        <f t="shared" si="15"/>
        <v>3.4549999999999997E-2</v>
      </c>
      <c r="X37" s="416">
        <f t="shared" si="15"/>
        <v>4.0350000000000004E-2</v>
      </c>
      <c r="Y37" s="414">
        <f t="shared" si="15"/>
        <v>5.1000000000000004E-3</v>
      </c>
      <c r="Z37" s="415">
        <f t="shared" si="15"/>
        <v>1.04E-2</v>
      </c>
      <c r="AA37" s="415">
        <f t="shared" si="15"/>
        <v>6.9900000000000004E-2</v>
      </c>
      <c r="AB37" s="415">
        <f t="shared" si="15"/>
        <v>0.15914999999999999</v>
      </c>
      <c r="AC37" s="416">
        <f t="shared" si="15"/>
        <v>0.24109999999999998</v>
      </c>
      <c r="AD37" s="414">
        <f t="shared" si="15"/>
        <v>0.2084</v>
      </c>
      <c r="AE37" s="415">
        <f t="shared" si="15"/>
        <v>0.15304999999999999</v>
      </c>
      <c r="AF37" s="415">
        <f t="shared" si="15"/>
        <v>0.40500000000000003</v>
      </c>
      <c r="AG37" s="416">
        <f t="shared" si="15"/>
        <v>0.23355000000000001</v>
      </c>
      <c r="AH37" s="415">
        <f t="shared" si="15"/>
        <v>0.5</v>
      </c>
      <c r="AI37" s="415">
        <f t="shared" si="15"/>
        <v>0.5</v>
      </c>
      <c r="AJ37" s="415">
        <f t="shared" si="15"/>
        <v>0</v>
      </c>
      <c r="AK37" s="407"/>
      <c r="AL37" s="417"/>
      <c r="AM37" s="418"/>
      <c r="AO37"/>
      <c r="AP37"/>
      <c r="AQ37"/>
      <c r="AR37"/>
      <c r="AS37"/>
      <c r="AT37"/>
      <c r="AU37"/>
      <c r="AV37"/>
      <c r="AW37"/>
      <c r="AX37"/>
      <c r="AY37"/>
    </row>
    <row r="38" spans="2:51" ht="16.5" customHeight="1" outlineLevel="1">
      <c r="B38" s="110"/>
      <c r="C38" s="454"/>
      <c r="D38" s="180" t="s">
        <v>347</v>
      </c>
      <c r="E38" s="414">
        <f t="shared" ref="E38:AJ38" si="16">IFERROR(E27/$AL26,0)</f>
        <v>0</v>
      </c>
      <c r="F38" s="415">
        <f t="shared" si="16"/>
        <v>0</v>
      </c>
      <c r="G38" s="415">
        <f t="shared" si="16"/>
        <v>0.01</v>
      </c>
      <c r="H38" s="415">
        <f t="shared" si="16"/>
        <v>0.01</v>
      </c>
      <c r="I38" s="415">
        <f t="shared" si="16"/>
        <v>0.03</v>
      </c>
      <c r="J38" s="414">
        <f t="shared" si="16"/>
        <v>0</v>
      </c>
      <c r="K38" s="415">
        <f t="shared" si="16"/>
        <v>0.01</v>
      </c>
      <c r="L38" s="415">
        <f t="shared" si="16"/>
        <v>3.5000000000000003E-2</v>
      </c>
      <c r="M38" s="415">
        <f t="shared" si="16"/>
        <v>4.4999999999999998E-2</v>
      </c>
      <c r="N38" s="416">
        <f t="shared" si="16"/>
        <v>3.5000000000000003E-2</v>
      </c>
      <c r="O38" s="414">
        <f t="shared" si="16"/>
        <v>1.4999999999999999E-2</v>
      </c>
      <c r="P38" s="415">
        <f t="shared" si="16"/>
        <v>0.03</v>
      </c>
      <c r="Q38" s="415">
        <f t="shared" si="16"/>
        <v>0.06</v>
      </c>
      <c r="R38" s="415">
        <f t="shared" si="16"/>
        <v>0.08</v>
      </c>
      <c r="S38" s="416">
        <f t="shared" si="16"/>
        <v>0.05</v>
      </c>
      <c r="T38" s="414">
        <f t="shared" si="16"/>
        <v>5.0000000000000001E-3</v>
      </c>
      <c r="U38" s="415">
        <f t="shared" si="16"/>
        <v>5.0000000000000001E-3</v>
      </c>
      <c r="V38" s="415">
        <f t="shared" si="16"/>
        <v>1.4999999999999999E-2</v>
      </c>
      <c r="W38" s="415">
        <f t="shared" si="16"/>
        <v>3.5000000000000003E-2</v>
      </c>
      <c r="X38" s="416">
        <f t="shared" si="16"/>
        <v>0.04</v>
      </c>
      <c r="Y38" s="414">
        <f t="shared" si="16"/>
        <v>5.0000000000000001E-3</v>
      </c>
      <c r="Z38" s="415">
        <f t="shared" si="16"/>
        <v>0</v>
      </c>
      <c r="AA38" s="415">
        <f t="shared" si="16"/>
        <v>7.0000000000000007E-2</v>
      </c>
      <c r="AB38" s="415">
        <f t="shared" si="16"/>
        <v>0.16</v>
      </c>
      <c r="AC38" s="416">
        <f t="shared" si="16"/>
        <v>0.24</v>
      </c>
      <c r="AD38" s="414">
        <f t="shared" si="16"/>
        <v>0.22500000000000001</v>
      </c>
      <c r="AE38" s="415">
        <f t="shared" si="16"/>
        <v>0.13500000000000001</v>
      </c>
      <c r="AF38" s="415">
        <f t="shared" si="16"/>
        <v>0.44</v>
      </c>
      <c r="AG38" s="416">
        <f t="shared" si="16"/>
        <v>0.185</v>
      </c>
      <c r="AH38" s="415">
        <f t="shared" si="16"/>
        <v>0.5</v>
      </c>
      <c r="AI38" s="415">
        <f t="shared" si="16"/>
        <v>0.48499999999999999</v>
      </c>
      <c r="AJ38" s="415">
        <f t="shared" si="16"/>
        <v>0</v>
      </c>
      <c r="AK38" s="407"/>
      <c r="AL38" s="417"/>
      <c r="AM38" s="418"/>
      <c r="AO38"/>
      <c r="AP38"/>
      <c r="AQ38"/>
      <c r="AR38"/>
      <c r="AS38"/>
      <c r="AT38"/>
      <c r="AU38"/>
      <c r="AV38"/>
      <c r="AW38"/>
      <c r="AX38"/>
      <c r="AY38"/>
    </row>
    <row r="39" spans="2:51" ht="16.5" customHeight="1" outlineLevel="1" thickBot="1">
      <c r="B39" s="110"/>
      <c r="C39" s="455"/>
      <c r="D39" s="180" t="s">
        <v>348</v>
      </c>
      <c r="E39" s="419">
        <f t="shared" ref="E39:AJ39" si="17">E38-E37</f>
        <v>-1.4000000000000002E-3</v>
      </c>
      <c r="F39" s="420">
        <f t="shared" si="17"/>
        <v>-1.6000000000000001E-3</v>
      </c>
      <c r="G39" s="420">
        <f t="shared" si="17"/>
        <v>5.3000000000000009E-3</v>
      </c>
      <c r="H39" s="420">
        <f t="shared" si="17"/>
        <v>2.3499999999999997E-3</v>
      </c>
      <c r="I39" s="420">
        <f t="shared" si="17"/>
        <v>-2.4000000000000063E-3</v>
      </c>
      <c r="J39" s="419">
        <f t="shared" si="17"/>
        <v>-2.3499999999999997E-3</v>
      </c>
      <c r="K39" s="420">
        <f t="shared" si="17"/>
        <v>1.9500000000000003E-3</v>
      </c>
      <c r="L39" s="420">
        <f t="shared" si="17"/>
        <v>-6.499999999999978E-4</v>
      </c>
      <c r="M39" s="420">
        <f t="shared" si="17"/>
        <v>-1.4999999999999736E-4</v>
      </c>
      <c r="N39" s="421">
        <f t="shared" si="17"/>
        <v>1.9000000000000059E-3</v>
      </c>
      <c r="O39" s="419">
        <f t="shared" si="17"/>
        <v>-1.2500000000000011E-3</v>
      </c>
      <c r="P39" s="420">
        <f t="shared" si="17"/>
        <v>8.9999999999999802E-4</v>
      </c>
      <c r="Q39" s="420">
        <f t="shared" si="17"/>
        <v>-9.7000000000000003E-3</v>
      </c>
      <c r="R39" s="420">
        <f t="shared" si="17"/>
        <v>1.2000000000000066E-3</v>
      </c>
      <c r="S39" s="421">
        <f t="shared" si="17"/>
        <v>-1.8499999999999905E-3</v>
      </c>
      <c r="T39" s="419">
        <f t="shared" si="17"/>
        <v>3.0000000000000001E-3</v>
      </c>
      <c r="U39" s="420">
        <f t="shared" si="17"/>
        <v>1.2999999999999999E-3</v>
      </c>
      <c r="V39" s="420">
        <f t="shared" si="17"/>
        <v>-1.0000000000000009E-3</v>
      </c>
      <c r="W39" s="420">
        <f t="shared" si="17"/>
        <v>4.5000000000000595E-4</v>
      </c>
      <c r="X39" s="421">
        <f t="shared" si="17"/>
        <v>-3.5000000000000309E-4</v>
      </c>
      <c r="Y39" s="419">
        <f t="shared" si="17"/>
        <v>-1.0000000000000026E-4</v>
      </c>
      <c r="Z39" s="420">
        <f t="shared" si="17"/>
        <v>-1.04E-2</v>
      </c>
      <c r="AA39" s="420">
        <f t="shared" si="17"/>
        <v>1.0000000000000286E-4</v>
      </c>
      <c r="AB39" s="420">
        <f t="shared" si="17"/>
        <v>8.5000000000001741E-4</v>
      </c>
      <c r="AC39" s="421">
        <f t="shared" si="17"/>
        <v>-1.0999999999999899E-3</v>
      </c>
      <c r="AD39" s="419">
        <f t="shared" si="17"/>
        <v>1.6600000000000004E-2</v>
      </c>
      <c r="AE39" s="420">
        <f t="shared" si="17"/>
        <v>-1.8049999999999983E-2</v>
      </c>
      <c r="AF39" s="420">
        <f t="shared" si="17"/>
        <v>3.4999999999999976E-2</v>
      </c>
      <c r="AG39" s="421">
        <f t="shared" si="17"/>
        <v>-4.855000000000001E-2</v>
      </c>
      <c r="AH39" s="420">
        <f t="shared" si="17"/>
        <v>0</v>
      </c>
      <c r="AI39" s="420">
        <f t="shared" si="17"/>
        <v>-1.5000000000000013E-2</v>
      </c>
      <c r="AJ39" s="420">
        <f t="shared" si="17"/>
        <v>0</v>
      </c>
      <c r="AK39" s="407"/>
      <c r="AL39" s="422"/>
      <c r="AM39" s="423"/>
      <c r="AO39"/>
      <c r="AP39"/>
      <c r="AQ39"/>
      <c r="AR39"/>
      <c r="AS39"/>
      <c r="AT39"/>
      <c r="AU39"/>
      <c r="AV39"/>
      <c r="AW39"/>
      <c r="AX39"/>
      <c r="AY39"/>
    </row>
    <row r="40" spans="2:51" ht="16.5" customHeight="1" thickTop="1">
      <c r="B40" s="451" t="s">
        <v>338</v>
      </c>
      <c r="C40" s="453" t="str">
        <f>aurora_data!A20</f>
        <v>08.00.00-08.11.30</v>
      </c>
      <c r="D40" s="34" t="s">
        <v>306</v>
      </c>
      <c r="E40" s="152">
        <f>aurora_data!D20</f>
        <v>0.31</v>
      </c>
      <c r="F40" s="153">
        <f>aurora_data!E20</f>
        <v>0.31</v>
      </c>
      <c r="G40" s="153">
        <f>aurora_data!F20</f>
        <v>1.18</v>
      </c>
      <c r="H40" s="153">
        <f>aurora_data!G20</f>
        <v>1.45</v>
      </c>
      <c r="I40" s="153">
        <f>aurora_data!H20</f>
        <v>6.38</v>
      </c>
      <c r="J40" s="152">
        <f>aurora_data!I20</f>
        <v>0.37</v>
      </c>
      <c r="K40" s="153">
        <f>aurora_data!J20</f>
        <v>1.72</v>
      </c>
      <c r="L40" s="153">
        <f>aurora_data!K20</f>
        <v>6.47</v>
      </c>
      <c r="M40" s="153">
        <f>aurora_data!L20</f>
        <v>10.14</v>
      </c>
      <c r="N40" s="154">
        <f>aurora_data!M20</f>
        <v>6.73</v>
      </c>
      <c r="O40" s="152">
        <f>aurora_data!N20</f>
        <v>3.42</v>
      </c>
      <c r="P40" s="153">
        <f>aurora_data!O20</f>
        <v>5.75</v>
      </c>
      <c r="Q40" s="153">
        <f>aurora_data!P20</f>
        <v>13.39</v>
      </c>
      <c r="R40" s="153">
        <f>aurora_data!Q20</f>
        <v>15.77</v>
      </c>
      <c r="S40" s="154">
        <f>aurora_data!R20</f>
        <v>10.66</v>
      </c>
      <c r="T40" s="152">
        <f>aurora_data!S20</f>
        <v>0.3</v>
      </c>
      <c r="U40" s="153">
        <f>aurora_data!T20</f>
        <v>1</v>
      </c>
      <c r="V40" s="153">
        <f>aurora_data!U20</f>
        <v>3.32</v>
      </c>
      <c r="W40" s="153">
        <f>aurora_data!V20</f>
        <v>6.95</v>
      </c>
      <c r="X40" s="154">
        <f>aurora_data!W20</f>
        <v>8.4</v>
      </c>
      <c r="Y40" s="152">
        <f>aurora_data!X20</f>
        <v>1.1100000000000001</v>
      </c>
      <c r="Z40" s="153">
        <f>aurora_data!Y20</f>
        <v>2.0499999999999998</v>
      </c>
      <c r="AA40" s="153">
        <f>aurora_data!Z20</f>
        <v>15.23</v>
      </c>
      <c r="AB40" s="153">
        <f>aurora_data!AA20</f>
        <v>30.25</v>
      </c>
      <c r="AC40" s="154">
        <f>aurora_data!AB20</f>
        <v>47.32</v>
      </c>
      <c r="AD40" s="152">
        <f>aurora_data!AC20</f>
        <v>41.81</v>
      </c>
      <c r="AE40" s="153">
        <f>aurora_data!AD20</f>
        <v>30.62</v>
      </c>
      <c r="AF40" s="153">
        <f>aurora_data!AE20</f>
        <v>80.180000000000007</v>
      </c>
      <c r="AG40" s="154">
        <f>aurora_data!AF20</f>
        <v>47.38</v>
      </c>
      <c r="AH40" s="155">
        <f>aurora_data!AG20</f>
        <v>100</v>
      </c>
      <c r="AI40" s="171">
        <f>aurora_data!AH20</f>
        <v>100</v>
      </c>
      <c r="AJ40" s="201">
        <f>aurora_data!AI20</f>
        <v>0</v>
      </c>
      <c r="AK40" s="407"/>
      <c r="AL40" s="155">
        <f>aurora_data!AJ20</f>
        <v>200</v>
      </c>
      <c r="AM40" s="167">
        <f t="shared" ref="AM40:AM47" si="18">SUM(AL40)/$AL$40</f>
        <v>1</v>
      </c>
      <c r="AO40"/>
      <c r="AP40"/>
      <c r="AQ40"/>
      <c r="AR40"/>
      <c r="AS40"/>
      <c r="AT40"/>
      <c r="AU40"/>
      <c r="AV40"/>
      <c r="AW40"/>
      <c r="AX40"/>
      <c r="AY40"/>
    </row>
    <row r="41" spans="2:51" ht="16.5" customHeight="1">
      <c r="B41" s="452"/>
      <c r="C41" s="454"/>
      <c r="D41" s="35" t="s">
        <v>339</v>
      </c>
      <c r="E41" s="262">
        <f>aurora_data!D21</f>
        <v>0</v>
      </c>
      <c r="F41" s="263">
        <f>aurora_data!E21</f>
        <v>0</v>
      </c>
      <c r="G41" s="263">
        <f>aurora_data!F21</f>
        <v>2</v>
      </c>
      <c r="H41" s="263">
        <f>aurora_data!G21</f>
        <v>1</v>
      </c>
      <c r="I41" s="263">
        <f>aurora_data!H21</f>
        <v>6</v>
      </c>
      <c r="J41" s="262">
        <f>aurora_data!I21</f>
        <v>1</v>
      </c>
      <c r="K41" s="263">
        <f>aurora_data!J21</f>
        <v>2</v>
      </c>
      <c r="L41" s="263">
        <f>aurora_data!K21</f>
        <v>6</v>
      </c>
      <c r="M41" s="263">
        <f>aurora_data!L21</f>
        <v>9</v>
      </c>
      <c r="N41" s="264">
        <f>aurora_data!M21</f>
        <v>7</v>
      </c>
      <c r="O41" s="262">
        <f>aurora_data!N21</f>
        <v>2</v>
      </c>
      <c r="P41" s="263">
        <f>aurora_data!O21</f>
        <v>6</v>
      </c>
      <c r="Q41" s="263">
        <f>aurora_data!P21</f>
        <v>13</v>
      </c>
      <c r="R41" s="263">
        <f>aurora_data!Q21</f>
        <v>16</v>
      </c>
      <c r="S41" s="264">
        <f>aurora_data!R21</f>
        <v>11</v>
      </c>
      <c r="T41" s="262">
        <f>aurora_data!S21</f>
        <v>0</v>
      </c>
      <c r="U41" s="263">
        <f>aurora_data!T21</f>
        <v>1</v>
      </c>
      <c r="V41" s="263">
        <f>aurora_data!U21</f>
        <v>2</v>
      </c>
      <c r="W41" s="263">
        <f>aurora_data!V21</f>
        <v>7</v>
      </c>
      <c r="X41" s="264">
        <f>aurora_data!W21</f>
        <v>8</v>
      </c>
      <c r="Y41" s="262">
        <f>aurora_data!X21</f>
        <v>2</v>
      </c>
      <c r="Z41" s="263">
        <f>aurora_data!Y21</f>
        <v>1</v>
      </c>
      <c r="AA41" s="263">
        <f>aurora_data!Z21</f>
        <v>14</v>
      </c>
      <c r="AB41" s="263">
        <f>aurora_data!AA21</f>
        <v>30</v>
      </c>
      <c r="AC41" s="264">
        <f>aurora_data!AB21</f>
        <v>48</v>
      </c>
      <c r="AD41" s="262">
        <f>aurora_data!AC21</f>
        <v>49</v>
      </c>
      <c r="AE41" s="263">
        <f>aurora_data!AD21</f>
        <v>36</v>
      </c>
      <c r="AF41" s="263">
        <f>aurora_data!AE21</f>
        <v>65</v>
      </c>
      <c r="AG41" s="264">
        <f>aurora_data!AF21</f>
        <v>45</v>
      </c>
      <c r="AH41" s="262">
        <f>aurora_data!AG21</f>
        <v>96</v>
      </c>
      <c r="AI41" s="263">
        <f>aurora_data!AH21</f>
        <v>99</v>
      </c>
      <c r="AJ41" s="264">
        <f>aurora_data!AI21</f>
        <v>0</v>
      </c>
      <c r="AK41" s="407"/>
      <c r="AL41" s="408">
        <f>aurora_data!AJ21</f>
        <v>195</v>
      </c>
      <c r="AM41" s="409">
        <f t="shared" si="18"/>
        <v>0.97499999999999998</v>
      </c>
      <c r="AO41"/>
      <c r="AP41"/>
      <c r="AQ41"/>
      <c r="AR41"/>
      <c r="AS41"/>
      <c r="AT41"/>
      <c r="AU41"/>
      <c r="AV41"/>
      <c r="AW41"/>
      <c r="AX41"/>
      <c r="AY41"/>
    </row>
    <row r="42" spans="2:51" ht="16.5" customHeight="1">
      <c r="B42" s="452"/>
      <c r="C42" s="454"/>
      <c r="D42" s="35" t="s">
        <v>291</v>
      </c>
      <c r="E42" s="408">
        <f>aurora_data!D22</f>
        <v>0</v>
      </c>
      <c r="F42" s="410">
        <f>aurora_data!E22</f>
        <v>0</v>
      </c>
      <c r="G42" s="410">
        <f>aurora_data!F22</f>
        <v>0</v>
      </c>
      <c r="H42" s="410">
        <f>aurora_data!G22</f>
        <v>3</v>
      </c>
      <c r="I42" s="410">
        <f>aurora_data!H22</f>
        <v>0</v>
      </c>
      <c r="J42" s="408">
        <f>aurora_data!I22</f>
        <v>0</v>
      </c>
      <c r="K42" s="410">
        <f>aurora_data!J22</f>
        <v>1</v>
      </c>
      <c r="L42" s="410">
        <f>aurora_data!K22</f>
        <v>3</v>
      </c>
      <c r="M42" s="410">
        <f>aurora_data!L22</f>
        <v>0</v>
      </c>
      <c r="N42" s="411">
        <f>aurora_data!M22</f>
        <v>0</v>
      </c>
      <c r="O42" s="408">
        <f>aurora_data!N22</f>
        <v>0</v>
      </c>
      <c r="P42" s="410">
        <f>aurora_data!O22</f>
        <v>0</v>
      </c>
      <c r="Q42" s="410">
        <f>aurora_data!P22</f>
        <v>2</v>
      </c>
      <c r="R42" s="410">
        <f>aurora_data!Q22</f>
        <v>1</v>
      </c>
      <c r="S42" s="411">
        <f>aurora_data!R22</f>
        <v>2</v>
      </c>
      <c r="T42" s="408">
        <f>aurora_data!S22</f>
        <v>0</v>
      </c>
      <c r="U42" s="410">
        <f>aurora_data!T22</f>
        <v>0</v>
      </c>
      <c r="V42" s="410">
        <f>aurora_data!U22</f>
        <v>0</v>
      </c>
      <c r="W42" s="410">
        <f>aurora_data!V22</f>
        <v>1</v>
      </c>
      <c r="X42" s="411">
        <f>aurora_data!W22</f>
        <v>1</v>
      </c>
      <c r="Y42" s="408">
        <f>aurora_data!X22</f>
        <v>0</v>
      </c>
      <c r="Z42" s="410">
        <f>aurora_data!Y22</f>
        <v>0</v>
      </c>
      <c r="AA42" s="410">
        <f>aurora_data!Z22</f>
        <v>0</v>
      </c>
      <c r="AB42" s="410">
        <f>aurora_data!AA22</f>
        <v>2</v>
      </c>
      <c r="AC42" s="411">
        <f>aurora_data!AB22</f>
        <v>4</v>
      </c>
      <c r="AD42" s="408">
        <f>aurora_data!AC22</f>
        <v>8</v>
      </c>
      <c r="AE42" s="410">
        <f>aurora_data!AD22</f>
        <v>9</v>
      </c>
      <c r="AF42" s="410">
        <f>aurora_data!AE22</f>
        <v>2</v>
      </c>
      <c r="AG42" s="411">
        <f>aurora_data!AF22</f>
        <v>1</v>
      </c>
      <c r="AH42" s="408">
        <f>aurora_data!AG22</f>
        <v>12</v>
      </c>
      <c r="AI42" s="410">
        <f>aurora_data!AH22</f>
        <v>8</v>
      </c>
      <c r="AJ42" s="411">
        <f>aurora_data!AI22</f>
        <v>0</v>
      </c>
      <c r="AK42" s="407"/>
      <c r="AL42" s="408">
        <f>aurora_data!AJ22</f>
        <v>20</v>
      </c>
      <c r="AM42" s="409">
        <f t="shared" si="18"/>
        <v>0.1</v>
      </c>
      <c r="AO42"/>
      <c r="AP42"/>
      <c r="AQ42"/>
      <c r="AR42"/>
      <c r="AS42"/>
      <c r="AT42"/>
      <c r="AU42"/>
      <c r="AV42"/>
      <c r="AW42"/>
      <c r="AX42"/>
      <c r="AY42"/>
    </row>
    <row r="43" spans="2:51" ht="16.5" customHeight="1">
      <c r="B43" s="452"/>
      <c r="C43" s="454"/>
      <c r="D43" s="35" t="s">
        <v>340</v>
      </c>
      <c r="E43" s="408">
        <f>aurora_data!D23</f>
        <v>0</v>
      </c>
      <c r="F43" s="410">
        <f>aurora_data!E23</f>
        <v>0</v>
      </c>
      <c r="G43" s="410">
        <f>aurora_data!F23</f>
        <v>0</v>
      </c>
      <c r="H43" s="410">
        <f>aurora_data!G23</f>
        <v>0</v>
      </c>
      <c r="I43" s="410">
        <f>aurora_data!H23</f>
        <v>0</v>
      </c>
      <c r="J43" s="408">
        <f>aurora_data!I23</f>
        <v>0</v>
      </c>
      <c r="K43" s="410">
        <f>aurora_data!J23</f>
        <v>0</v>
      </c>
      <c r="L43" s="410">
        <f>aurora_data!K23</f>
        <v>0</v>
      </c>
      <c r="M43" s="410">
        <f>aurora_data!L23</f>
        <v>0</v>
      </c>
      <c r="N43" s="411">
        <f>aurora_data!M23</f>
        <v>0</v>
      </c>
      <c r="O43" s="408">
        <f>aurora_data!N23</f>
        <v>0</v>
      </c>
      <c r="P43" s="410">
        <f>aurora_data!O23</f>
        <v>0</v>
      </c>
      <c r="Q43" s="410">
        <f>aurora_data!P23</f>
        <v>0</v>
      </c>
      <c r="R43" s="410">
        <f>aurora_data!Q23</f>
        <v>0</v>
      </c>
      <c r="S43" s="411">
        <f>aurora_data!R23</f>
        <v>0</v>
      </c>
      <c r="T43" s="408">
        <f>aurora_data!S23</f>
        <v>0</v>
      </c>
      <c r="U43" s="410">
        <f>aurora_data!T23</f>
        <v>0</v>
      </c>
      <c r="V43" s="410">
        <f>aurora_data!U23</f>
        <v>0</v>
      </c>
      <c r="W43" s="410">
        <f>aurora_data!V23</f>
        <v>0</v>
      </c>
      <c r="X43" s="411">
        <f>aurora_data!W23</f>
        <v>0</v>
      </c>
      <c r="Y43" s="408">
        <f>aurora_data!X23</f>
        <v>0</v>
      </c>
      <c r="Z43" s="410">
        <f>aurora_data!Y23</f>
        <v>0</v>
      </c>
      <c r="AA43" s="410">
        <f>aurora_data!Z23</f>
        <v>0</v>
      </c>
      <c r="AB43" s="410">
        <f>aurora_data!AA23</f>
        <v>0</v>
      </c>
      <c r="AC43" s="411">
        <f>aurora_data!AB23</f>
        <v>0</v>
      </c>
      <c r="AD43" s="408">
        <f>aurora_data!AC23</f>
        <v>0</v>
      </c>
      <c r="AE43" s="410">
        <f>aurora_data!AD23</f>
        <v>0</v>
      </c>
      <c r="AF43" s="410">
        <f>aurora_data!AE23</f>
        <v>0</v>
      </c>
      <c r="AG43" s="411">
        <f>aurora_data!AF23</f>
        <v>0</v>
      </c>
      <c r="AH43" s="408">
        <f>aurora_data!AG23</f>
        <v>0</v>
      </c>
      <c r="AI43" s="410">
        <f>aurora_data!AH23</f>
        <v>0</v>
      </c>
      <c r="AJ43" s="411">
        <f>aurora_data!AI23</f>
        <v>0</v>
      </c>
      <c r="AK43" s="407"/>
      <c r="AL43" s="408">
        <f>aurora_data!AJ23</f>
        <v>0</v>
      </c>
      <c r="AM43" s="409">
        <f t="shared" si="18"/>
        <v>0</v>
      </c>
      <c r="AO43"/>
      <c r="AP43"/>
      <c r="AQ43"/>
      <c r="AR43"/>
      <c r="AS43"/>
      <c r="AT43"/>
      <c r="AU43"/>
      <c r="AV43"/>
      <c r="AW43"/>
      <c r="AX43"/>
      <c r="AY43"/>
    </row>
    <row r="44" spans="2:51">
      <c r="B44" s="452"/>
      <c r="C44" s="454"/>
      <c r="D44" s="35" t="s">
        <v>341</v>
      </c>
      <c r="E44" s="408">
        <f>aurora_data!D24</f>
        <v>0</v>
      </c>
      <c r="F44" s="410">
        <f>aurora_data!E24</f>
        <v>1</v>
      </c>
      <c r="G44" s="410">
        <f>aurora_data!F24</f>
        <v>0</v>
      </c>
      <c r="H44" s="410">
        <f>aurora_data!G24</f>
        <v>0</v>
      </c>
      <c r="I44" s="410">
        <f>aurora_data!H24</f>
        <v>0</v>
      </c>
      <c r="J44" s="408">
        <f>aurora_data!I24</f>
        <v>0</v>
      </c>
      <c r="K44" s="410">
        <f>aurora_data!J24</f>
        <v>0</v>
      </c>
      <c r="L44" s="410">
        <f>aurora_data!K24</f>
        <v>0</v>
      </c>
      <c r="M44" s="410">
        <f>aurora_data!L24</f>
        <v>2</v>
      </c>
      <c r="N44" s="411">
        <f>aurora_data!M24</f>
        <v>0</v>
      </c>
      <c r="O44" s="408">
        <f>aurora_data!N24</f>
        <v>1</v>
      </c>
      <c r="P44" s="410">
        <f>aurora_data!O24</f>
        <v>0</v>
      </c>
      <c r="Q44" s="410">
        <f>aurora_data!P24</f>
        <v>1</v>
      </c>
      <c r="R44" s="410">
        <f>aurora_data!Q24</f>
        <v>0</v>
      </c>
      <c r="S44" s="411">
        <f>aurora_data!R24</f>
        <v>0</v>
      </c>
      <c r="T44" s="408">
        <f>aurora_data!S24</f>
        <v>0</v>
      </c>
      <c r="U44" s="410">
        <f>aurora_data!T24</f>
        <v>0</v>
      </c>
      <c r="V44" s="410">
        <f>aurora_data!U24</f>
        <v>2</v>
      </c>
      <c r="W44" s="410">
        <f>aurora_data!V24</f>
        <v>0</v>
      </c>
      <c r="X44" s="411">
        <f>aurora_data!W24</f>
        <v>0</v>
      </c>
      <c r="Y44" s="408">
        <f>aurora_data!X24</f>
        <v>0</v>
      </c>
      <c r="Z44" s="410">
        <f>aurora_data!Y24</f>
        <v>1</v>
      </c>
      <c r="AA44" s="410">
        <f>aurora_data!Z24</f>
        <v>2</v>
      </c>
      <c r="AB44" s="410">
        <f>aurora_data!AA24</f>
        <v>1</v>
      </c>
      <c r="AC44" s="411">
        <f>aurora_data!AB24</f>
        <v>0</v>
      </c>
      <c r="AD44" s="408">
        <f>aurora_data!AC24</f>
        <v>2</v>
      </c>
      <c r="AE44" s="410">
        <f>aurora_data!AD24</f>
        <v>3</v>
      </c>
      <c r="AF44" s="410">
        <f>aurora_data!AE24</f>
        <v>6</v>
      </c>
      <c r="AG44" s="411">
        <f>aurora_data!AF24</f>
        <v>0</v>
      </c>
      <c r="AH44" s="408">
        <f>aurora_data!AG24</f>
        <v>6</v>
      </c>
      <c r="AI44" s="410">
        <f>aurora_data!AH24</f>
        <v>5</v>
      </c>
      <c r="AJ44" s="411">
        <f>aurora_data!AI24</f>
        <v>0</v>
      </c>
      <c r="AK44" s="407"/>
      <c r="AL44" s="408">
        <f>aurora_data!AJ24</f>
        <v>11</v>
      </c>
      <c r="AM44" s="409">
        <f t="shared" si="18"/>
        <v>5.5E-2</v>
      </c>
      <c r="AO44"/>
      <c r="AP44"/>
      <c r="AQ44"/>
      <c r="AR44"/>
      <c r="AS44"/>
      <c r="AT44"/>
      <c r="AU44"/>
      <c r="AV44"/>
      <c r="AW44"/>
      <c r="AX44"/>
      <c r="AY44"/>
    </row>
    <row r="45" spans="2:51" ht="16.5" thickBot="1">
      <c r="B45" s="452"/>
      <c r="C45" s="454"/>
      <c r="D45" s="35" t="s">
        <v>342</v>
      </c>
      <c r="E45" s="408">
        <f>aurora_data!D25</f>
        <v>0</v>
      </c>
      <c r="F45" s="410">
        <f>aurora_data!E25</f>
        <v>0</v>
      </c>
      <c r="G45" s="410">
        <f>aurora_data!F25</f>
        <v>0</v>
      </c>
      <c r="H45" s="410">
        <f>aurora_data!G25</f>
        <v>0</v>
      </c>
      <c r="I45" s="410">
        <f>aurora_data!H25</f>
        <v>0</v>
      </c>
      <c r="J45" s="408">
        <f>aurora_data!I25</f>
        <v>0</v>
      </c>
      <c r="K45" s="410">
        <f>aurora_data!J25</f>
        <v>0</v>
      </c>
      <c r="L45" s="410">
        <f>aurora_data!K25</f>
        <v>0</v>
      </c>
      <c r="M45" s="410">
        <f>aurora_data!L25</f>
        <v>0</v>
      </c>
      <c r="N45" s="411">
        <f>aurora_data!M25</f>
        <v>0</v>
      </c>
      <c r="O45" s="408">
        <f>aurora_data!N25</f>
        <v>0</v>
      </c>
      <c r="P45" s="410">
        <f>aurora_data!O25</f>
        <v>0</v>
      </c>
      <c r="Q45" s="410">
        <f>aurora_data!P25</f>
        <v>0</v>
      </c>
      <c r="R45" s="410">
        <f>aurora_data!Q25</f>
        <v>0</v>
      </c>
      <c r="S45" s="411">
        <f>aurora_data!R25</f>
        <v>0</v>
      </c>
      <c r="T45" s="408">
        <f>aurora_data!S25</f>
        <v>0</v>
      </c>
      <c r="U45" s="410">
        <f>aurora_data!T25</f>
        <v>0</v>
      </c>
      <c r="V45" s="410">
        <f>aurora_data!U25</f>
        <v>0</v>
      </c>
      <c r="W45" s="410">
        <f>aurora_data!V25</f>
        <v>0</v>
      </c>
      <c r="X45" s="411">
        <f>aurora_data!W25</f>
        <v>0</v>
      </c>
      <c r="Y45" s="408">
        <f>aurora_data!X25</f>
        <v>0</v>
      </c>
      <c r="Z45" s="410">
        <f>aurora_data!Y25</f>
        <v>0</v>
      </c>
      <c r="AA45" s="410">
        <f>aurora_data!Z25</f>
        <v>0</v>
      </c>
      <c r="AB45" s="410">
        <f>aurora_data!AA25</f>
        <v>0</v>
      </c>
      <c r="AC45" s="411">
        <f>aurora_data!AB25</f>
        <v>0</v>
      </c>
      <c r="AD45" s="408">
        <f>aurora_data!AC25</f>
        <v>0</v>
      </c>
      <c r="AE45" s="410">
        <f>aurora_data!AD25</f>
        <v>0</v>
      </c>
      <c r="AF45" s="410">
        <f>aurora_data!AE25</f>
        <v>0</v>
      </c>
      <c r="AG45" s="411">
        <f>aurora_data!AF25</f>
        <v>0</v>
      </c>
      <c r="AH45" s="408">
        <f>aurora_data!AG25</f>
        <v>0</v>
      </c>
      <c r="AI45" s="410">
        <f>aurora_data!AH25</f>
        <v>0</v>
      </c>
      <c r="AJ45" s="411">
        <f>aurora_data!AI25</f>
        <v>0</v>
      </c>
      <c r="AK45" s="412"/>
      <c r="AL45" s="408">
        <f>aurora_data!AJ25</f>
        <v>0</v>
      </c>
      <c r="AM45" s="409">
        <f t="shared" si="18"/>
        <v>0</v>
      </c>
      <c r="AO45"/>
      <c r="AP45"/>
      <c r="AQ45"/>
      <c r="AR45"/>
      <c r="AS45"/>
      <c r="AT45"/>
      <c r="AU45"/>
      <c r="AV45"/>
      <c r="AW45"/>
      <c r="AX45"/>
      <c r="AY45"/>
    </row>
    <row r="46" spans="2:51" ht="16.5" thickBot="1">
      <c r="B46" s="452"/>
      <c r="C46" s="454"/>
      <c r="D46" s="37" t="s">
        <v>17</v>
      </c>
      <c r="E46" s="182">
        <f>aurora_data!D26</f>
        <v>0</v>
      </c>
      <c r="F46" s="183">
        <f>aurora_data!E26</f>
        <v>1</v>
      </c>
      <c r="G46" s="183">
        <f>aurora_data!F26</f>
        <v>2</v>
      </c>
      <c r="H46" s="183">
        <f>aurora_data!G26</f>
        <v>4</v>
      </c>
      <c r="I46" s="184">
        <f>aurora_data!H26</f>
        <v>6</v>
      </c>
      <c r="J46" s="182">
        <f>aurora_data!I26</f>
        <v>1</v>
      </c>
      <c r="K46" s="183">
        <f>aurora_data!J26</f>
        <v>3</v>
      </c>
      <c r="L46" s="183">
        <f>aurora_data!K26</f>
        <v>9</v>
      </c>
      <c r="M46" s="183">
        <f>aurora_data!L26</f>
        <v>11</v>
      </c>
      <c r="N46" s="184">
        <f>aurora_data!M26</f>
        <v>7</v>
      </c>
      <c r="O46" s="182">
        <f>aurora_data!N26</f>
        <v>3</v>
      </c>
      <c r="P46" s="183">
        <f>aurora_data!O26</f>
        <v>6</v>
      </c>
      <c r="Q46" s="183">
        <f>aurora_data!P26</f>
        <v>16</v>
      </c>
      <c r="R46" s="183">
        <f>aurora_data!Q26</f>
        <v>17</v>
      </c>
      <c r="S46" s="184">
        <f>aurora_data!R26</f>
        <v>13</v>
      </c>
      <c r="T46" s="182">
        <f>aurora_data!S26</f>
        <v>0</v>
      </c>
      <c r="U46" s="183">
        <f>aurora_data!T26</f>
        <v>1</v>
      </c>
      <c r="V46" s="183">
        <f>aurora_data!U26</f>
        <v>4</v>
      </c>
      <c r="W46" s="183">
        <f>aurora_data!V26</f>
        <v>8</v>
      </c>
      <c r="X46" s="184">
        <f>aurora_data!W26</f>
        <v>9</v>
      </c>
      <c r="Y46" s="182">
        <f>aurora_data!X26</f>
        <v>2</v>
      </c>
      <c r="Z46" s="183">
        <f>aurora_data!Y26</f>
        <v>2</v>
      </c>
      <c r="AA46" s="183">
        <f>aurora_data!Z26</f>
        <v>16</v>
      </c>
      <c r="AB46" s="183">
        <f>aurora_data!AA26</f>
        <v>33</v>
      </c>
      <c r="AC46" s="184">
        <f>aurora_data!AB26</f>
        <v>52</v>
      </c>
      <c r="AD46" s="182">
        <f>aurora_data!AC26</f>
        <v>59</v>
      </c>
      <c r="AE46" s="183">
        <f>aurora_data!AD26</f>
        <v>48</v>
      </c>
      <c r="AF46" s="183">
        <f>aurora_data!AE26</f>
        <v>73</v>
      </c>
      <c r="AG46" s="184">
        <f>aurora_data!AF26</f>
        <v>46</v>
      </c>
      <c r="AH46" s="182">
        <f>aurora_data!AG26</f>
        <v>114</v>
      </c>
      <c r="AI46" s="183">
        <f>aurora_data!AH26</f>
        <v>112</v>
      </c>
      <c r="AJ46" s="183">
        <f>aurora_data!AI26</f>
        <v>0</v>
      </c>
      <c r="AK46" s="412"/>
      <c r="AL46" s="182">
        <f>aurora_data!AJ26</f>
        <v>226</v>
      </c>
      <c r="AM46" s="413">
        <f t="shared" si="18"/>
        <v>1.1299999999999999</v>
      </c>
      <c r="AO46"/>
      <c r="AP46"/>
      <c r="AQ46"/>
      <c r="AR46"/>
      <c r="AS46"/>
      <c r="AT46"/>
      <c r="AU46"/>
      <c r="AV46"/>
      <c r="AW46"/>
      <c r="AX46"/>
      <c r="AY46"/>
    </row>
    <row r="47" spans="2:51" ht="16.5" customHeight="1" thickBot="1">
      <c r="B47" s="452"/>
      <c r="C47" s="454"/>
      <c r="D47" s="38" t="s">
        <v>343</v>
      </c>
      <c r="E47" s="265">
        <f>aurora_data!D27</f>
        <v>0</v>
      </c>
      <c r="F47" s="266">
        <f>aurora_data!E27</f>
        <v>0</v>
      </c>
      <c r="G47" s="266">
        <f>aurora_data!F27</f>
        <v>0</v>
      </c>
      <c r="H47" s="266">
        <f>aurora_data!G27</f>
        <v>0</v>
      </c>
      <c r="I47" s="266">
        <f>aurora_data!H27</f>
        <v>0</v>
      </c>
      <c r="J47" s="265">
        <f>aurora_data!I27</f>
        <v>0</v>
      </c>
      <c r="K47" s="266">
        <f>aurora_data!J27</f>
        <v>0</v>
      </c>
      <c r="L47" s="266">
        <f>aurora_data!K27</f>
        <v>0</v>
      </c>
      <c r="M47" s="266">
        <f>aurora_data!L27</f>
        <v>0</v>
      </c>
      <c r="N47" s="267">
        <f>aurora_data!M27</f>
        <v>0</v>
      </c>
      <c r="O47" s="265">
        <f>aurora_data!N27</f>
        <v>0</v>
      </c>
      <c r="P47" s="266">
        <f>aurora_data!O27</f>
        <v>0</v>
      </c>
      <c r="Q47" s="266">
        <f>aurora_data!P27</f>
        <v>1</v>
      </c>
      <c r="R47" s="266">
        <f>aurora_data!Q27</f>
        <v>0</v>
      </c>
      <c r="S47" s="267">
        <f>aurora_data!R27</f>
        <v>0</v>
      </c>
      <c r="T47" s="265">
        <f>aurora_data!S27</f>
        <v>0</v>
      </c>
      <c r="U47" s="266">
        <f>aurora_data!T27</f>
        <v>0</v>
      </c>
      <c r="V47" s="266">
        <f>aurora_data!U27</f>
        <v>0</v>
      </c>
      <c r="W47" s="266">
        <f>aurora_data!V27</f>
        <v>0</v>
      </c>
      <c r="X47" s="267">
        <f>aurora_data!W27</f>
        <v>0</v>
      </c>
      <c r="Y47" s="265">
        <f>aurora_data!X27</f>
        <v>0</v>
      </c>
      <c r="Z47" s="266">
        <f>aurora_data!Y27</f>
        <v>0</v>
      </c>
      <c r="AA47" s="266">
        <f>aurora_data!Z27</f>
        <v>0</v>
      </c>
      <c r="AB47" s="266">
        <f>aurora_data!AA27</f>
        <v>1</v>
      </c>
      <c r="AC47" s="267">
        <f>aurora_data!AB27</f>
        <v>1</v>
      </c>
      <c r="AD47" s="265">
        <f>aurora_data!AC27</f>
        <v>1</v>
      </c>
      <c r="AE47" s="266">
        <f>aurora_data!AD27</f>
        <v>1</v>
      </c>
      <c r="AF47" s="266">
        <f>aurora_data!AE27</f>
        <v>1</v>
      </c>
      <c r="AG47" s="267">
        <f>aurora_data!AF27</f>
        <v>0</v>
      </c>
      <c r="AH47" s="265">
        <f>aurora_data!AG27</f>
        <v>2</v>
      </c>
      <c r="AI47" s="266">
        <f>aurora_data!AH27</f>
        <v>1</v>
      </c>
      <c r="AJ47" s="268">
        <f>aurora_data!AI27</f>
        <v>0</v>
      </c>
      <c r="AK47" s="269"/>
      <c r="AL47" s="265">
        <f>aurora_data!AJ27</f>
        <v>3</v>
      </c>
      <c r="AM47" s="270">
        <f t="shared" si="18"/>
        <v>1.4999999999999999E-2</v>
      </c>
      <c r="AO47"/>
      <c r="AP47"/>
      <c r="AQ47"/>
      <c r="AR47"/>
      <c r="AS47"/>
      <c r="AT47"/>
      <c r="AU47"/>
      <c r="AV47"/>
      <c r="AW47"/>
      <c r="AX47"/>
      <c r="AY47"/>
    </row>
    <row r="48" spans="2:51" ht="16.5" customHeight="1" outlineLevel="1">
      <c r="B48" s="452"/>
      <c r="C48" s="454"/>
      <c r="D48" s="199" t="s">
        <v>344</v>
      </c>
      <c r="E48" s="271">
        <f t="shared" ref="E48:AC48" si="19">ROUNDDOWN((E50+$E$9)*($AL40),0)</f>
        <v>4</v>
      </c>
      <c r="F48" s="272">
        <f t="shared" si="19"/>
        <v>4</v>
      </c>
      <c r="G48" s="272">
        <f t="shared" si="19"/>
        <v>5</v>
      </c>
      <c r="H48" s="272">
        <f t="shared" si="19"/>
        <v>5</v>
      </c>
      <c r="I48" s="272">
        <f t="shared" si="19"/>
        <v>10</v>
      </c>
      <c r="J48" s="271">
        <f t="shared" si="19"/>
        <v>4</v>
      </c>
      <c r="K48" s="272">
        <f t="shared" si="19"/>
        <v>5</v>
      </c>
      <c r="L48" s="272">
        <f t="shared" si="19"/>
        <v>10</v>
      </c>
      <c r="M48" s="272">
        <f t="shared" si="19"/>
        <v>14</v>
      </c>
      <c r="N48" s="268">
        <f t="shared" si="19"/>
        <v>10</v>
      </c>
      <c r="O48" s="271">
        <f t="shared" si="19"/>
        <v>7</v>
      </c>
      <c r="P48" s="272">
        <f t="shared" si="19"/>
        <v>9</v>
      </c>
      <c r="Q48" s="272">
        <f t="shared" si="19"/>
        <v>17</v>
      </c>
      <c r="R48" s="272">
        <f t="shared" si="19"/>
        <v>19</v>
      </c>
      <c r="S48" s="268">
        <f t="shared" si="19"/>
        <v>14</v>
      </c>
      <c r="T48" s="271">
        <f t="shared" si="19"/>
        <v>4</v>
      </c>
      <c r="U48" s="272">
        <f t="shared" si="19"/>
        <v>5</v>
      </c>
      <c r="V48" s="272">
        <f t="shared" si="19"/>
        <v>7</v>
      </c>
      <c r="W48" s="272">
        <f t="shared" si="19"/>
        <v>10</v>
      </c>
      <c r="X48" s="268">
        <f t="shared" si="19"/>
        <v>12</v>
      </c>
      <c r="Y48" s="271">
        <f t="shared" si="19"/>
        <v>5</v>
      </c>
      <c r="Z48" s="272">
        <f t="shared" si="19"/>
        <v>6</v>
      </c>
      <c r="AA48" s="272">
        <f t="shared" si="19"/>
        <v>19</v>
      </c>
      <c r="AB48" s="272">
        <f t="shared" si="19"/>
        <v>34</v>
      </c>
      <c r="AC48" s="268">
        <f t="shared" si="19"/>
        <v>51</v>
      </c>
      <c r="AD48" s="271">
        <f>ROUNDDOWN((AD50+$AD$9)*($AL40),0)</f>
        <v>61</v>
      </c>
      <c r="AE48" s="272">
        <f>ROUNDDOWN((AE50+$AD$9)*($AL40),0)</f>
        <v>50</v>
      </c>
      <c r="AF48" s="272">
        <f t="shared" ref="AF48:AG48" si="20">ROUNDDOWN((AF50+$AD$9)*($AL40),0)</f>
        <v>100</v>
      </c>
      <c r="AG48" s="272">
        <f t="shared" si="20"/>
        <v>67</v>
      </c>
      <c r="AH48" s="271">
        <f>ROUNDDOWN((AH50+$AH$9)*($AL40),0)</f>
        <v>100</v>
      </c>
      <c r="AI48" s="272">
        <f>ROUNDDOWN((AI50+$AH$9)*($AL40),0)</f>
        <v>100</v>
      </c>
      <c r="AJ48" s="268"/>
      <c r="AK48" s="273"/>
      <c r="AL48" s="274"/>
      <c r="AM48" s="275"/>
      <c r="AO48"/>
      <c r="AP48"/>
      <c r="AQ48"/>
      <c r="AR48"/>
      <c r="AS48"/>
      <c r="AT48"/>
      <c r="AU48"/>
      <c r="AV48"/>
      <c r="AW48"/>
      <c r="AX48"/>
      <c r="AY48"/>
    </row>
    <row r="49" spans="2:51" ht="15.75" customHeight="1" outlineLevel="1" thickBot="1">
      <c r="B49" s="452"/>
      <c r="C49" s="454"/>
      <c r="D49" s="199" t="s">
        <v>345</v>
      </c>
      <c r="E49" s="276">
        <f t="shared" ref="E49:AC49" si="21">IF(ROUND(((E50-$E$9)*($AL40))+0.25,0) &lt;=0,1,((E50-$E$9)*($AL40))+0.25)</f>
        <v>1</v>
      </c>
      <c r="F49" s="277">
        <f t="shared" si="21"/>
        <v>1</v>
      </c>
      <c r="G49" s="277">
        <f t="shared" si="21"/>
        <v>1</v>
      </c>
      <c r="H49" s="277">
        <f t="shared" si="21"/>
        <v>1</v>
      </c>
      <c r="I49" s="277">
        <f t="shared" si="21"/>
        <v>2.6299999999999994</v>
      </c>
      <c r="J49" s="276">
        <f t="shared" si="21"/>
        <v>1</v>
      </c>
      <c r="K49" s="277">
        <f t="shared" si="21"/>
        <v>1</v>
      </c>
      <c r="L49" s="277">
        <f t="shared" si="21"/>
        <v>2.7199999999999993</v>
      </c>
      <c r="M49" s="277">
        <f t="shared" si="21"/>
        <v>6.3900000000000006</v>
      </c>
      <c r="N49" s="278">
        <f t="shared" si="21"/>
        <v>2.98</v>
      </c>
      <c r="O49" s="276">
        <f t="shared" si="21"/>
        <v>1</v>
      </c>
      <c r="P49" s="277">
        <f t="shared" si="21"/>
        <v>2</v>
      </c>
      <c r="Q49" s="277">
        <f t="shared" si="21"/>
        <v>9.64</v>
      </c>
      <c r="R49" s="277">
        <f t="shared" si="21"/>
        <v>12.02</v>
      </c>
      <c r="S49" s="278">
        <f t="shared" si="21"/>
        <v>6.9099999999999993</v>
      </c>
      <c r="T49" s="276">
        <f t="shared" si="21"/>
        <v>1</v>
      </c>
      <c r="U49" s="277">
        <f t="shared" si="21"/>
        <v>1</v>
      </c>
      <c r="V49" s="277">
        <f t="shared" si="21"/>
        <v>1</v>
      </c>
      <c r="W49" s="277">
        <f t="shared" si="21"/>
        <v>3.2000000000000006</v>
      </c>
      <c r="X49" s="278">
        <f t="shared" si="21"/>
        <v>4.6500000000000004</v>
      </c>
      <c r="Y49" s="276">
        <f t="shared" si="21"/>
        <v>1</v>
      </c>
      <c r="Z49" s="277">
        <f t="shared" si="21"/>
        <v>1</v>
      </c>
      <c r="AA49" s="277">
        <f t="shared" si="21"/>
        <v>11.479999999999999</v>
      </c>
      <c r="AB49" s="277">
        <f t="shared" si="21"/>
        <v>26.5</v>
      </c>
      <c r="AC49" s="278">
        <f t="shared" si="21"/>
        <v>43.57</v>
      </c>
      <c r="AD49" s="276">
        <f>IF(((AD50-$AD$9)*($AL40))+0.5 &lt;0,1,((AD50-$AD$9)*($AL40))+0.5 )</f>
        <v>22.310000000000002</v>
      </c>
      <c r="AE49" s="277">
        <f>IF(((AE50-$AD$9)*($AL40))+0.5 &lt;0,1,((AE50-$AD$9)*($AL40))+0.5 )</f>
        <v>11.120000000000001</v>
      </c>
      <c r="AF49" s="277">
        <f t="shared" ref="AF49" si="22">IF(((AF50-$AD$9)*($AL40))+0.5 &lt;0,1,((AF50-$AD$9)*($AL40))+0.5 )</f>
        <v>60.680000000000014</v>
      </c>
      <c r="AG49" s="277">
        <f t="shared" ref="AG49" si="23">IF(((AG50-$AD$9)*($AL40))+0.5 &lt;0,1,((AG50-$AD$9)*($AL40))+0.5 )</f>
        <v>27.88</v>
      </c>
      <c r="AH49" s="276">
        <f>IF(((AH50-$AH$9)*($AL40))+0.5 &lt;0,1,((AH50-$AH$9)*($AL40)) )</f>
        <v>100</v>
      </c>
      <c r="AI49" s="277">
        <f>IF(((AI50-$AH$9)*($AL40))+0.5 &lt;0,1,((AI50-$AH$9)*($AL40)))</f>
        <v>100</v>
      </c>
      <c r="AJ49" s="278"/>
      <c r="AK49" s="273"/>
      <c r="AL49" s="279"/>
      <c r="AM49" s="280"/>
      <c r="AO49"/>
      <c r="AP49"/>
      <c r="AQ49"/>
      <c r="AR49"/>
      <c r="AS49"/>
      <c r="AT49"/>
      <c r="AU49"/>
      <c r="AV49"/>
      <c r="AW49"/>
      <c r="AX49"/>
      <c r="AY49"/>
    </row>
    <row r="50" spans="2:51" ht="15.75" customHeight="1" outlineLevel="1" thickTop="1">
      <c r="B50" s="110"/>
      <c r="C50" s="109"/>
      <c r="D50" s="95" t="s">
        <v>346</v>
      </c>
      <c r="E50" s="414">
        <f t="shared" ref="E50:AJ50" si="24">IFERROR(E40/$AL40,0)</f>
        <v>1.5499999999999999E-3</v>
      </c>
      <c r="F50" s="415">
        <f t="shared" si="24"/>
        <v>1.5499999999999999E-3</v>
      </c>
      <c r="G50" s="415">
        <f t="shared" si="24"/>
        <v>5.8999999999999999E-3</v>
      </c>
      <c r="H50" s="415">
        <f t="shared" si="24"/>
        <v>7.2499999999999995E-3</v>
      </c>
      <c r="I50" s="415">
        <f t="shared" si="24"/>
        <v>3.1899999999999998E-2</v>
      </c>
      <c r="J50" s="414">
        <f t="shared" si="24"/>
        <v>1.8500000000000001E-3</v>
      </c>
      <c r="K50" s="415">
        <f t="shared" si="24"/>
        <v>8.6E-3</v>
      </c>
      <c r="L50" s="415">
        <f t="shared" si="24"/>
        <v>3.2349999999999997E-2</v>
      </c>
      <c r="M50" s="415">
        <f t="shared" si="24"/>
        <v>5.0700000000000002E-2</v>
      </c>
      <c r="N50" s="416">
        <f t="shared" si="24"/>
        <v>3.3649999999999999E-2</v>
      </c>
      <c r="O50" s="414">
        <f t="shared" si="24"/>
        <v>1.7100000000000001E-2</v>
      </c>
      <c r="P50" s="415">
        <f t="shared" si="24"/>
        <v>2.8750000000000001E-2</v>
      </c>
      <c r="Q50" s="415">
        <f t="shared" si="24"/>
        <v>6.695000000000001E-2</v>
      </c>
      <c r="R50" s="415">
        <f t="shared" si="24"/>
        <v>7.8850000000000003E-2</v>
      </c>
      <c r="S50" s="416">
        <f t="shared" si="24"/>
        <v>5.33E-2</v>
      </c>
      <c r="T50" s="414">
        <f t="shared" si="24"/>
        <v>1.5E-3</v>
      </c>
      <c r="U50" s="415">
        <f t="shared" si="24"/>
        <v>5.0000000000000001E-3</v>
      </c>
      <c r="V50" s="415">
        <f t="shared" si="24"/>
        <v>1.66E-2</v>
      </c>
      <c r="W50" s="415">
        <f t="shared" si="24"/>
        <v>3.4750000000000003E-2</v>
      </c>
      <c r="X50" s="416">
        <f t="shared" si="24"/>
        <v>4.2000000000000003E-2</v>
      </c>
      <c r="Y50" s="414">
        <f t="shared" si="24"/>
        <v>5.5500000000000002E-3</v>
      </c>
      <c r="Z50" s="415">
        <f t="shared" si="24"/>
        <v>1.0249999999999999E-2</v>
      </c>
      <c r="AA50" s="415">
        <f t="shared" si="24"/>
        <v>7.6149999999999995E-2</v>
      </c>
      <c r="AB50" s="415">
        <f t="shared" si="24"/>
        <v>0.15125</v>
      </c>
      <c r="AC50" s="416">
        <f t="shared" si="24"/>
        <v>0.2366</v>
      </c>
      <c r="AD50" s="414">
        <f t="shared" si="24"/>
        <v>0.20905000000000001</v>
      </c>
      <c r="AE50" s="415">
        <f>IFERROR(AE40/$AL40,0)</f>
        <v>0.15310000000000001</v>
      </c>
      <c r="AF50" s="415">
        <f t="shared" si="24"/>
        <v>0.40090000000000003</v>
      </c>
      <c r="AG50" s="416">
        <f t="shared" si="24"/>
        <v>0.2369</v>
      </c>
      <c r="AH50" s="415">
        <f t="shared" si="24"/>
        <v>0.5</v>
      </c>
      <c r="AI50" s="415">
        <f t="shared" si="24"/>
        <v>0.5</v>
      </c>
      <c r="AJ50" s="415">
        <f t="shared" si="24"/>
        <v>0</v>
      </c>
      <c r="AK50" s="407"/>
      <c r="AL50" s="417"/>
      <c r="AM50" s="418"/>
      <c r="AO50"/>
      <c r="AP50"/>
      <c r="AQ50"/>
      <c r="AR50"/>
      <c r="AS50"/>
      <c r="AT50"/>
      <c r="AU50"/>
      <c r="AV50"/>
      <c r="AW50"/>
      <c r="AX50"/>
      <c r="AY50"/>
    </row>
    <row r="51" spans="2:51" ht="16.5" customHeight="1" outlineLevel="1">
      <c r="B51" s="110"/>
      <c r="C51" s="109"/>
      <c r="D51" s="180" t="s">
        <v>347</v>
      </c>
      <c r="E51" s="414">
        <f t="shared" ref="E51:AJ51" si="25">IFERROR(E41/$AL40,0)</f>
        <v>0</v>
      </c>
      <c r="F51" s="415">
        <f t="shared" si="25"/>
        <v>0</v>
      </c>
      <c r="G51" s="415">
        <f t="shared" si="25"/>
        <v>0.01</v>
      </c>
      <c r="H51" s="415">
        <f t="shared" si="25"/>
        <v>5.0000000000000001E-3</v>
      </c>
      <c r="I51" s="415">
        <f t="shared" si="25"/>
        <v>0.03</v>
      </c>
      <c r="J51" s="414">
        <f t="shared" si="25"/>
        <v>5.0000000000000001E-3</v>
      </c>
      <c r="K51" s="415">
        <f t="shared" si="25"/>
        <v>0.01</v>
      </c>
      <c r="L51" s="415">
        <f t="shared" si="25"/>
        <v>0.03</v>
      </c>
      <c r="M51" s="415">
        <f t="shared" si="25"/>
        <v>4.4999999999999998E-2</v>
      </c>
      <c r="N51" s="416">
        <f t="shared" si="25"/>
        <v>3.5000000000000003E-2</v>
      </c>
      <c r="O51" s="414">
        <f t="shared" si="25"/>
        <v>0.01</v>
      </c>
      <c r="P51" s="415">
        <f t="shared" si="25"/>
        <v>0.03</v>
      </c>
      <c r="Q51" s="415">
        <f t="shared" si="25"/>
        <v>6.5000000000000002E-2</v>
      </c>
      <c r="R51" s="415">
        <f t="shared" si="25"/>
        <v>0.08</v>
      </c>
      <c r="S51" s="416">
        <f t="shared" si="25"/>
        <v>5.5E-2</v>
      </c>
      <c r="T51" s="414">
        <f t="shared" si="25"/>
        <v>0</v>
      </c>
      <c r="U51" s="415">
        <f t="shared" si="25"/>
        <v>5.0000000000000001E-3</v>
      </c>
      <c r="V51" s="415">
        <f t="shared" si="25"/>
        <v>0.01</v>
      </c>
      <c r="W51" s="415">
        <f t="shared" si="25"/>
        <v>3.5000000000000003E-2</v>
      </c>
      <c r="X51" s="416">
        <f t="shared" si="25"/>
        <v>0.04</v>
      </c>
      <c r="Y51" s="414">
        <f t="shared" si="25"/>
        <v>0.01</v>
      </c>
      <c r="Z51" s="415">
        <f t="shared" si="25"/>
        <v>5.0000000000000001E-3</v>
      </c>
      <c r="AA51" s="415">
        <f t="shared" si="25"/>
        <v>7.0000000000000007E-2</v>
      </c>
      <c r="AB51" s="415">
        <f t="shared" si="25"/>
        <v>0.15</v>
      </c>
      <c r="AC51" s="416">
        <f t="shared" si="25"/>
        <v>0.24</v>
      </c>
      <c r="AD51" s="414">
        <f t="shared" si="25"/>
        <v>0.245</v>
      </c>
      <c r="AE51" s="415">
        <f t="shared" si="25"/>
        <v>0.18</v>
      </c>
      <c r="AF51" s="415">
        <f t="shared" si="25"/>
        <v>0.32500000000000001</v>
      </c>
      <c r="AG51" s="416">
        <f t="shared" si="25"/>
        <v>0.22500000000000001</v>
      </c>
      <c r="AH51" s="415">
        <f t="shared" si="25"/>
        <v>0.48</v>
      </c>
      <c r="AI51" s="415">
        <f t="shared" si="25"/>
        <v>0.495</v>
      </c>
      <c r="AJ51" s="415">
        <f t="shared" si="25"/>
        <v>0</v>
      </c>
      <c r="AK51" s="407"/>
      <c r="AL51" s="417"/>
      <c r="AM51" s="418"/>
      <c r="AO51"/>
      <c r="AP51"/>
      <c r="AQ51"/>
      <c r="AR51"/>
      <c r="AS51"/>
      <c r="AT51"/>
      <c r="AU51"/>
      <c r="AV51"/>
      <c r="AW51"/>
      <c r="AX51"/>
      <c r="AY51"/>
    </row>
    <row r="52" spans="2:51" ht="16.5" outlineLevel="1" thickBot="1">
      <c r="B52" s="110"/>
      <c r="C52" s="109"/>
      <c r="D52" s="180" t="s">
        <v>348</v>
      </c>
      <c r="E52" s="419">
        <f t="shared" ref="E52:AJ52" si="26">E51-E50</f>
        <v>-1.5499999999999999E-3</v>
      </c>
      <c r="F52" s="420">
        <f t="shared" si="26"/>
        <v>-1.5499999999999999E-3</v>
      </c>
      <c r="G52" s="420">
        <f t="shared" si="26"/>
        <v>4.1000000000000003E-3</v>
      </c>
      <c r="H52" s="420">
        <f t="shared" si="26"/>
        <v>-2.2499999999999994E-3</v>
      </c>
      <c r="I52" s="420">
        <f t="shared" si="26"/>
        <v>-1.8999999999999989E-3</v>
      </c>
      <c r="J52" s="419">
        <f t="shared" si="26"/>
        <v>3.15E-3</v>
      </c>
      <c r="K52" s="420">
        <f t="shared" si="26"/>
        <v>1.4000000000000002E-3</v>
      </c>
      <c r="L52" s="420">
        <f t="shared" si="26"/>
        <v>-2.3499999999999979E-3</v>
      </c>
      <c r="M52" s="420">
        <f t="shared" si="26"/>
        <v>-5.7000000000000037E-3</v>
      </c>
      <c r="N52" s="421">
        <f t="shared" si="26"/>
        <v>1.350000000000004E-3</v>
      </c>
      <c r="O52" s="419">
        <f t="shared" si="26"/>
        <v>-7.1000000000000004E-3</v>
      </c>
      <c r="P52" s="420">
        <f t="shared" si="26"/>
        <v>1.2499999999999976E-3</v>
      </c>
      <c r="Q52" s="420">
        <f t="shared" si="26"/>
        <v>-1.9500000000000073E-3</v>
      </c>
      <c r="R52" s="420">
        <f t="shared" si="26"/>
        <v>1.1499999999999982E-3</v>
      </c>
      <c r="S52" s="421">
        <f t="shared" si="26"/>
        <v>1.7000000000000001E-3</v>
      </c>
      <c r="T52" s="419">
        <f t="shared" si="26"/>
        <v>-1.5E-3</v>
      </c>
      <c r="U52" s="420">
        <f t="shared" si="26"/>
        <v>0</v>
      </c>
      <c r="V52" s="420">
        <f t="shared" si="26"/>
        <v>-6.6E-3</v>
      </c>
      <c r="W52" s="420">
        <f t="shared" si="26"/>
        <v>2.5000000000000022E-4</v>
      </c>
      <c r="X52" s="421">
        <f t="shared" si="26"/>
        <v>-2.0000000000000018E-3</v>
      </c>
      <c r="Y52" s="419">
        <f t="shared" si="26"/>
        <v>4.45E-3</v>
      </c>
      <c r="Z52" s="420">
        <f t="shared" si="26"/>
        <v>-5.2499999999999986E-3</v>
      </c>
      <c r="AA52" s="420">
        <f t="shared" si="26"/>
        <v>-6.1499999999999888E-3</v>
      </c>
      <c r="AB52" s="420">
        <f t="shared" si="26"/>
        <v>-1.2500000000000011E-3</v>
      </c>
      <c r="AC52" s="421">
        <f t="shared" si="26"/>
        <v>3.3999999999999864E-3</v>
      </c>
      <c r="AD52" s="419">
        <f t="shared" si="26"/>
        <v>3.5949999999999982E-2</v>
      </c>
      <c r="AE52" s="420">
        <f t="shared" si="26"/>
        <v>2.6899999999999979E-2</v>
      </c>
      <c r="AF52" s="420">
        <f t="shared" si="26"/>
        <v>-7.5900000000000023E-2</v>
      </c>
      <c r="AG52" s="421">
        <f t="shared" si="26"/>
        <v>-1.1899999999999994E-2</v>
      </c>
      <c r="AH52" s="420">
        <f t="shared" si="26"/>
        <v>-2.0000000000000018E-2</v>
      </c>
      <c r="AI52" s="420">
        <f t="shared" si="26"/>
        <v>-5.0000000000000044E-3</v>
      </c>
      <c r="AJ52" s="420">
        <f t="shared" si="26"/>
        <v>0</v>
      </c>
      <c r="AK52" s="407"/>
      <c r="AL52" s="422"/>
      <c r="AM52" s="423"/>
      <c r="AO52"/>
      <c r="AP52"/>
      <c r="AQ52"/>
      <c r="AR52"/>
      <c r="AS52"/>
      <c r="AT52"/>
      <c r="AU52"/>
      <c r="AV52"/>
      <c r="AW52"/>
      <c r="AX52"/>
      <c r="AY52"/>
    </row>
    <row r="53" spans="2:51" ht="16.5" thickTop="1">
      <c r="B53" s="451" t="s">
        <v>338</v>
      </c>
      <c r="C53" s="453" t="str">
        <f>aurora_data!A28</f>
        <v>09.00.00-09.11.30</v>
      </c>
      <c r="D53" s="34" t="s">
        <v>306</v>
      </c>
      <c r="E53" s="152">
        <f>aurora_data!D28</f>
        <v>0.36</v>
      </c>
      <c r="F53" s="153">
        <f>aurora_data!E28</f>
        <v>0.35</v>
      </c>
      <c r="G53" s="153">
        <f>aurora_data!F28</f>
        <v>1.21</v>
      </c>
      <c r="H53" s="153">
        <f>aurora_data!G28</f>
        <v>1.66</v>
      </c>
      <c r="I53" s="153">
        <f>aurora_data!H28</f>
        <v>6.58</v>
      </c>
      <c r="J53" s="152">
        <f>aurora_data!I28</f>
        <v>0.53</v>
      </c>
      <c r="K53" s="153">
        <f>aurora_data!J28</f>
        <v>1.58</v>
      </c>
      <c r="L53" s="153">
        <f>aurora_data!K28</f>
        <v>7.47</v>
      </c>
      <c r="M53" s="153">
        <f>aurora_data!L28</f>
        <v>9.58</v>
      </c>
      <c r="N53" s="154">
        <f>aurora_data!M28</f>
        <v>6.17</v>
      </c>
      <c r="O53" s="152">
        <f>aurora_data!N28</f>
        <v>3.27</v>
      </c>
      <c r="P53" s="153">
        <f>aurora_data!O28</f>
        <v>6.29</v>
      </c>
      <c r="Q53" s="153">
        <f>aurora_data!P28</f>
        <v>13.47</v>
      </c>
      <c r="R53" s="153">
        <f>aurora_data!Q28</f>
        <v>14.66</v>
      </c>
      <c r="S53" s="154">
        <f>aurora_data!R28</f>
        <v>10.31</v>
      </c>
      <c r="T53" s="152">
        <f>aurora_data!S28</f>
        <v>0.34</v>
      </c>
      <c r="U53" s="153">
        <f>aurora_data!T28</f>
        <v>0.75</v>
      </c>
      <c r="V53" s="153">
        <f>aurora_data!U28</f>
        <v>3.69</v>
      </c>
      <c r="W53" s="153">
        <f>aurora_data!V28</f>
        <v>7.05</v>
      </c>
      <c r="X53" s="154">
        <f>aurora_data!W28</f>
        <v>8.01</v>
      </c>
      <c r="Y53" s="152">
        <f>aurora_data!X28</f>
        <v>0.97</v>
      </c>
      <c r="Z53" s="153">
        <f>aurora_data!Y28</f>
        <v>2.15</v>
      </c>
      <c r="AA53" s="153">
        <f>aurora_data!Z28</f>
        <v>14.44</v>
      </c>
      <c r="AB53" s="153">
        <f>aurora_data!AA28</f>
        <v>30.92</v>
      </c>
      <c r="AC53" s="154">
        <f>aurora_data!AB28</f>
        <v>48.2</v>
      </c>
      <c r="AD53" s="152">
        <f>aurora_data!AC28</f>
        <v>43.22</v>
      </c>
      <c r="AE53" s="153">
        <f>aurora_data!AD28</f>
        <v>31.08</v>
      </c>
      <c r="AF53" s="153">
        <f>aurora_data!AE28</f>
        <v>79.400000000000006</v>
      </c>
      <c r="AG53" s="154">
        <f>aurora_data!AF28</f>
        <v>46.31</v>
      </c>
      <c r="AH53" s="155">
        <f>aurora_data!AG28</f>
        <v>100</v>
      </c>
      <c r="AI53" s="171">
        <f>aurora_data!AH28</f>
        <v>100</v>
      </c>
      <c r="AJ53" s="171">
        <f>aurora_data!AI28</f>
        <v>0</v>
      </c>
      <c r="AK53" s="407"/>
      <c r="AL53" s="155">
        <f>aurora_data!AJ28</f>
        <v>200</v>
      </c>
      <c r="AM53" s="167">
        <f t="shared" ref="AM53:AM60" si="27">SUM(AL53)/$AL$53</f>
        <v>1</v>
      </c>
      <c r="AO53"/>
      <c r="AP53"/>
      <c r="AQ53"/>
      <c r="AR53"/>
      <c r="AS53"/>
      <c r="AT53"/>
      <c r="AU53"/>
      <c r="AV53"/>
      <c r="AW53"/>
      <c r="AX53"/>
      <c r="AY53"/>
    </row>
    <row r="54" spans="2:51">
      <c r="B54" s="452"/>
      <c r="C54" s="454"/>
      <c r="D54" s="35" t="s">
        <v>339</v>
      </c>
      <c r="E54" s="262">
        <f>aurora_data!D29</f>
        <v>1</v>
      </c>
      <c r="F54" s="263">
        <f>aurora_data!E29</f>
        <v>0</v>
      </c>
      <c r="G54" s="263">
        <f>aurora_data!F29</f>
        <v>0</v>
      </c>
      <c r="H54" s="263">
        <f>aurora_data!G29</f>
        <v>2</v>
      </c>
      <c r="I54" s="263">
        <f>aurora_data!H29</f>
        <v>7</v>
      </c>
      <c r="J54" s="262">
        <f>aurora_data!I29</f>
        <v>1</v>
      </c>
      <c r="K54" s="263">
        <f>aurora_data!J29</f>
        <v>2</v>
      </c>
      <c r="L54" s="263">
        <f>aurora_data!K29</f>
        <v>7</v>
      </c>
      <c r="M54" s="263">
        <f>aurora_data!L29</f>
        <v>10</v>
      </c>
      <c r="N54" s="264">
        <f>aurora_data!M29</f>
        <v>6</v>
      </c>
      <c r="O54" s="262">
        <f>aurora_data!N29</f>
        <v>2</v>
      </c>
      <c r="P54" s="263">
        <f>aurora_data!O29</f>
        <v>6</v>
      </c>
      <c r="Q54" s="263">
        <f>aurora_data!P29</f>
        <v>12</v>
      </c>
      <c r="R54" s="263">
        <f>aurora_data!Q29</f>
        <v>15</v>
      </c>
      <c r="S54" s="264">
        <f>aurora_data!R29</f>
        <v>10</v>
      </c>
      <c r="T54" s="262">
        <f>aurora_data!S29</f>
        <v>0</v>
      </c>
      <c r="U54" s="263">
        <f>aurora_data!T29</f>
        <v>1</v>
      </c>
      <c r="V54" s="263">
        <f>aurora_data!U29</f>
        <v>4</v>
      </c>
      <c r="W54" s="263">
        <f>aurora_data!V29</f>
        <v>7</v>
      </c>
      <c r="X54" s="264">
        <f>aurora_data!W29</f>
        <v>8</v>
      </c>
      <c r="Y54" s="262">
        <f>aurora_data!X29</f>
        <v>1</v>
      </c>
      <c r="Z54" s="263">
        <f>aurora_data!Y29</f>
        <v>2</v>
      </c>
      <c r="AA54" s="263">
        <f>aurora_data!Z29</f>
        <v>14</v>
      </c>
      <c r="AB54" s="263">
        <f>aurora_data!AA29</f>
        <v>31</v>
      </c>
      <c r="AC54" s="264">
        <f>aurora_data!AB29</f>
        <v>48</v>
      </c>
      <c r="AD54" s="262">
        <f>aurora_data!AC29</f>
        <v>44</v>
      </c>
      <c r="AE54" s="263">
        <f>aurora_data!AD29</f>
        <v>31</v>
      </c>
      <c r="AF54" s="263">
        <f>aurora_data!AE29</f>
        <v>76</v>
      </c>
      <c r="AG54" s="264">
        <f>aurora_data!AF29</f>
        <v>46</v>
      </c>
      <c r="AH54" s="262">
        <f>aurora_data!AG29</f>
        <v>97</v>
      </c>
      <c r="AI54" s="263">
        <f>aurora_data!AH29</f>
        <v>100</v>
      </c>
      <c r="AJ54" s="264">
        <f>aurora_data!AI29</f>
        <v>0</v>
      </c>
      <c r="AK54" s="407"/>
      <c r="AL54" s="408">
        <f>aurora_data!AJ29</f>
        <v>197</v>
      </c>
      <c r="AM54" s="409">
        <f t="shared" si="27"/>
        <v>0.98499999999999999</v>
      </c>
      <c r="AO54"/>
      <c r="AP54"/>
      <c r="AQ54"/>
      <c r="AR54"/>
      <c r="AS54"/>
      <c r="AT54"/>
      <c r="AU54"/>
      <c r="AV54"/>
      <c r="AW54"/>
      <c r="AX54"/>
      <c r="AY54"/>
    </row>
    <row r="55" spans="2:51">
      <c r="B55" s="452"/>
      <c r="C55" s="454"/>
      <c r="D55" s="35" t="s">
        <v>291</v>
      </c>
      <c r="E55" s="408">
        <f>aurora_data!D30</f>
        <v>0</v>
      </c>
      <c r="F55" s="410">
        <f>aurora_data!E30</f>
        <v>0</v>
      </c>
      <c r="G55" s="410">
        <f>aurora_data!F30</f>
        <v>0</v>
      </c>
      <c r="H55" s="410">
        <f>aurora_data!G30</f>
        <v>2</v>
      </c>
      <c r="I55" s="410">
        <f>aurora_data!H30</f>
        <v>0</v>
      </c>
      <c r="J55" s="408">
        <f>aurora_data!I30</f>
        <v>1</v>
      </c>
      <c r="K55" s="410">
        <f>aurora_data!J30</f>
        <v>2</v>
      </c>
      <c r="L55" s="410">
        <f>aurora_data!K30</f>
        <v>1</v>
      </c>
      <c r="M55" s="410">
        <f>aurora_data!L30</f>
        <v>1</v>
      </c>
      <c r="N55" s="411">
        <f>aurora_data!M30</f>
        <v>1</v>
      </c>
      <c r="O55" s="408">
        <f>aurora_data!N30</f>
        <v>0</v>
      </c>
      <c r="P55" s="410">
        <f>aurora_data!O30</f>
        <v>3</v>
      </c>
      <c r="Q55" s="410">
        <f>aurora_data!P30</f>
        <v>0</v>
      </c>
      <c r="R55" s="410">
        <f>aurora_data!Q30</f>
        <v>4</v>
      </c>
      <c r="S55" s="411">
        <f>aurora_data!R30</f>
        <v>3</v>
      </c>
      <c r="T55" s="408">
        <f>aurora_data!S30</f>
        <v>0</v>
      </c>
      <c r="U55" s="410">
        <f>aurora_data!T30</f>
        <v>0</v>
      </c>
      <c r="V55" s="410">
        <f>aurora_data!U30</f>
        <v>0</v>
      </c>
      <c r="W55" s="410">
        <f>aurora_data!V30</f>
        <v>3</v>
      </c>
      <c r="X55" s="411">
        <f>aurora_data!W30</f>
        <v>0</v>
      </c>
      <c r="Y55" s="408">
        <f>aurora_data!X30</f>
        <v>4</v>
      </c>
      <c r="Z55" s="410">
        <f>aurora_data!Y30</f>
        <v>0</v>
      </c>
      <c r="AA55" s="410">
        <f>aurora_data!Z30</f>
        <v>0</v>
      </c>
      <c r="AB55" s="410">
        <f>aurora_data!AA30</f>
        <v>4</v>
      </c>
      <c r="AC55" s="411">
        <f>aurora_data!AB30</f>
        <v>3</v>
      </c>
      <c r="AD55" s="408">
        <f>aurora_data!AC30</f>
        <v>13</v>
      </c>
      <c r="AE55" s="410">
        <f>aurora_data!AD30</f>
        <v>5</v>
      </c>
      <c r="AF55" s="410">
        <f>aurora_data!AE30</f>
        <v>3</v>
      </c>
      <c r="AG55" s="411">
        <f>aurora_data!AF30</f>
        <v>11</v>
      </c>
      <c r="AH55" s="408">
        <f>aurora_data!AG30</f>
        <v>18</v>
      </c>
      <c r="AI55" s="410">
        <f>aurora_data!AH30</f>
        <v>14</v>
      </c>
      <c r="AJ55" s="411">
        <f>aurora_data!AI30</f>
        <v>0</v>
      </c>
      <c r="AK55" s="407"/>
      <c r="AL55" s="408">
        <f>aurora_data!AJ30</f>
        <v>32</v>
      </c>
      <c r="AM55" s="409">
        <f t="shared" si="27"/>
        <v>0.16</v>
      </c>
      <c r="AO55"/>
      <c r="AP55"/>
      <c r="AQ55"/>
      <c r="AR55"/>
      <c r="AS55"/>
      <c r="AT55"/>
      <c r="AU55"/>
      <c r="AV55"/>
      <c r="AW55"/>
      <c r="AX55"/>
      <c r="AY55"/>
    </row>
    <row r="56" spans="2:51">
      <c r="B56" s="452"/>
      <c r="C56" s="454"/>
      <c r="D56" s="35" t="s">
        <v>340</v>
      </c>
      <c r="E56" s="408">
        <f>aurora_data!D31</f>
        <v>0</v>
      </c>
      <c r="F56" s="410">
        <f>aurora_data!E31</f>
        <v>0</v>
      </c>
      <c r="G56" s="410">
        <f>aurora_data!F31</f>
        <v>0</v>
      </c>
      <c r="H56" s="410">
        <f>aurora_data!G31</f>
        <v>0</v>
      </c>
      <c r="I56" s="410">
        <f>aurora_data!H31</f>
        <v>0</v>
      </c>
      <c r="J56" s="408">
        <f>aurora_data!I31</f>
        <v>0</v>
      </c>
      <c r="K56" s="410">
        <f>aurora_data!J31</f>
        <v>0</v>
      </c>
      <c r="L56" s="410">
        <f>aurora_data!K31</f>
        <v>0</v>
      </c>
      <c r="M56" s="410">
        <f>aurora_data!L31</f>
        <v>0</v>
      </c>
      <c r="N56" s="411">
        <f>aurora_data!M31</f>
        <v>0</v>
      </c>
      <c r="O56" s="408">
        <f>aurora_data!N31</f>
        <v>1</v>
      </c>
      <c r="P56" s="410">
        <f>aurora_data!O31</f>
        <v>0</v>
      </c>
      <c r="Q56" s="410">
        <f>aurora_data!P31</f>
        <v>0</v>
      </c>
      <c r="R56" s="410">
        <f>aurora_data!Q31</f>
        <v>0</v>
      </c>
      <c r="S56" s="411">
        <f>aurora_data!R31</f>
        <v>0</v>
      </c>
      <c r="T56" s="408">
        <f>aurora_data!S31</f>
        <v>0</v>
      </c>
      <c r="U56" s="410">
        <f>aurora_data!T31</f>
        <v>0</v>
      </c>
      <c r="V56" s="410">
        <f>aurora_data!U31</f>
        <v>0</v>
      </c>
      <c r="W56" s="410">
        <f>aurora_data!V31</f>
        <v>0</v>
      </c>
      <c r="X56" s="411">
        <f>aurora_data!W31</f>
        <v>0</v>
      </c>
      <c r="Y56" s="408">
        <f>aurora_data!X31</f>
        <v>0</v>
      </c>
      <c r="Z56" s="410">
        <f>aurora_data!Y31</f>
        <v>0</v>
      </c>
      <c r="AA56" s="410">
        <f>aurora_data!Z31</f>
        <v>0</v>
      </c>
      <c r="AB56" s="410">
        <f>aurora_data!AA31</f>
        <v>0</v>
      </c>
      <c r="AC56" s="411">
        <f>aurora_data!AB31</f>
        <v>0</v>
      </c>
      <c r="AD56" s="408">
        <f>aurora_data!AC31</f>
        <v>0</v>
      </c>
      <c r="AE56" s="410">
        <f>aurora_data!AD31</f>
        <v>1</v>
      </c>
      <c r="AF56" s="410">
        <f>aurora_data!AE31</f>
        <v>0</v>
      </c>
      <c r="AG56" s="411">
        <f>aurora_data!AF31</f>
        <v>0</v>
      </c>
      <c r="AH56" s="408">
        <f>aurora_data!AG31</f>
        <v>0</v>
      </c>
      <c r="AI56" s="410">
        <f>aurora_data!AH31</f>
        <v>1</v>
      </c>
      <c r="AJ56" s="411">
        <f>aurora_data!AI31</f>
        <v>0</v>
      </c>
      <c r="AK56" s="407"/>
      <c r="AL56" s="408">
        <f>aurora_data!AJ31</f>
        <v>1</v>
      </c>
      <c r="AM56" s="409">
        <f t="shared" si="27"/>
        <v>5.0000000000000001E-3</v>
      </c>
      <c r="AO56"/>
      <c r="AP56"/>
      <c r="AQ56"/>
      <c r="AR56"/>
      <c r="AS56"/>
      <c r="AT56"/>
      <c r="AU56"/>
      <c r="AV56"/>
      <c r="AW56"/>
      <c r="AX56"/>
      <c r="AY56"/>
    </row>
    <row r="57" spans="2:51">
      <c r="B57" s="452"/>
      <c r="C57" s="454"/>
      <c r="D57" s="35" t="s">
        <v>341</v>
      </c>
      <c r="E57" s="408">
        <f>aurora_data!D32</f>
        <v>0</v>
      </c>
      <c r="F57" s="410">
        <f>aurora_data!E32</f>
        <v>0</v>
      </c>
      <c r="G57" s="410">
        <f>aurora_data!F32</f>
        <v>1</v>
      </c>
      <c r="H57" s="410">
        <f>aurora_data!G32</f>
        <v>0</v>
      </c>
      <c r="I57" s="410">
        <f>aurora_data!H32</f>
        <v>0</v>
      </c>
      <c r="J57" s="408">
        <f>aurora_data!I32</f>
        <v>0</v>
      </c>
      <c r="K57" s="410">
        <f>aurora_data!J32</f>
        <v>0</v>
      </c>
      <c r="L57" s="410">
        <f>aurora_data!K32</f>
        <v>0</v>
      </c>
      <c r="M57" s="410">
        <f>aurora_data!L32</f>
        <v>0</v>
      </c>
      <c r="N57" s="411">
        <f>aurora_data!M32</f>
        <v>0</v>
      </c>
      <c r="O57" s="408">
        <f>aurora_data!N32</f>
        <v>0</v>
      </c>
      <c r="P57" s="410">
        <f>aurora_data!O32</f>
        <v>0</v>
      </c>
      <c r="Q57" s="410">
        <f>aurora_data!P32</f>
        <v>2</v>
      </c>
      <c r="R57" s="410">
        <f>aurora_data!Q32</f>
        <v>0</v>
      </c>
      <c r="S57" s="411">
        <f>aurora_data!R32</f>
        <v>0</v>
      </c>
      <c r="T57" s="408">
        <f>aurora_data!S32</f>
        <v>0</v>
      </c>
      <c r="U57" s="410">
        <f>aurora_data!T32</f>
        <v>0</v>
      </c>
      <c r="V57" s="410">
        <f>aurora_data!U32</f>
        <v>0</v>
      </c>
      <c r="W57" s="410">
        <f>aurora_data!V32</f>
        <v>0</v>
      </c>
      <c r="X57" s="411">
        <f>aurora_data!W32</f>
        <v>0</v>
      </c>
      <c r="Y57" s="408">
        <f>aurora_data!X32</f>
        <v>0</v>
      </c>
      <c r="Z57" s="410">
        <f>aurora_data!Y32</f>
        <v>0</v>
      </c>
      <c r="AA57" s="410">
        <f>aurora_data!Z32</f>
        <v>0</v>
      </c>
      <c r="AB57" s="410">
        <f>aurora_data!AA32</f>
        <v>0</v>
      </c>
      <c r="AC57" s="411">
        <f>aurora_data!AB32</f>
        <v>0</v>
      </c>
      <c r="AD57" s="408">
        <f>aurora_data!AC32</f>
        <v>0</v>
      </c>
      <c r="AE57" s="410">
        <f>aurora_data!AD32</f>
        <v>2</v>
      </c>
      <c r="AF57" s="410">
        <f>aurora_data!AE32</f>
        <v>0</v>
      </c>
      <c r="AG57" s="411">
        <f>aurora_data!AF32</f>
        <v>1</v>
      </c>
      <c r="AH57" s="408">
        <f>aurora_data!AG32</f>
        <v>2</v>
      </c>
      <c r="AI57" s="410">
        <f>aurora_data!AH32</f>
        <v>1</v>
      </c>
      <c r="AJ57" s="411">
        <f>aurora_data!AI32</f>
        <v>0</v>
      </c>
      <c r="AK57" s="407"/>
      <c r="AL57" s="408">
        <f>aurora_data!AJ32</f>
        <v>3</v>
      </c>
      <c r="AM57" s="409">
        <f t="shared" si="27"/>
        <v>1.4999999999999999E-2</v>
      </c>
      <c r="AO57"/>
      <c r="AP57"/>
      <c r="AQ57"/>
      <c r="AR57"/>
      <c r="AS57"/>
      <c r="AT57"/>
      <c r="AU57"/>
      <c r="AV57"/>
      <c r="AW57"/>
      <c r="AX57"/>
      <c r="AY57"/>
    </row>
    <row r="58" spans="2:51" ht="16.5" thickBot="1">
      <c r="B58" s="452"/>
      <c r="C58" s="454"/>
      <c r="D58" s="35" t="s">
        <v>342</v>
      </c>
      <c r="E58" s="408">
        <f>aurora_data!D33</f>
        <v>0</v>
      </c>
      <c r="F58" s="410">
        <f>aurora_data!E33</f>
        <v>0</v>
      </c>
      <c r="G58" s="410">
        <f>aurora_data!F33</f>
        <v>0</v>
      </c>
      <c r="H58" s="410">
        <f>aurora_data!G33</f>
        <v>0</v>
      </c>
      <c r="I58" s="410">
        <f>aurora_data!H33</f>
        <v>0</v>
      </c>
      <c r="J58" s="408">
        <f>aurora_data!I33</f>
        <v>0</v>
      </c>
      <c r="K58" s="410">
        <f>aurora_data!J33</f>
        <v>0</v>
      </c>
      <c r="L58" s="410">
        <f>aurora_data!K33</f>
        <v>0</v>
      </c>
      <c r="M58" s="410">
        <f>aurora_data!L33</f>
        <v>0</v>
      </c>
      <c r="N58" s="411">
        <f>aurora_data!M33</f>
        <v>0</v>
      </c>
      <c r="O58" s="408">
        <f>aurora_data!N33</f>
        <v>0</v>
      </c>
      <c r="P58" s="410">
        <f>aurora_data!O33</f>
        <v>0</v>
      </c>
      <c r="Q58" s="410">
        <f>aurora_data!P33</f>
        <v>0</v>
      </c>
      <c r="R58" s="410">
        <f>aurora_data!Q33</f>
        <v>0</v>
      </c>
      <c r="S58" s="411">
        <f>aurora_data!R33</f>
        <v>0</v>
      </c>
      <c r="T58" s="408">
        <f>aurora_data!S33</f>
        <v>0</v>
      </c>
      <c r="U58" s="410">
        <f>aurora_data!T33</f>
        <v>0</v>
      </c>
      <c r="V58" s="410">
        <f>aurora_data!U33</f>
        <v>0</v>
      </c>
      <c r="W58" s="410">
        <f>aurora_data!V33</f>
        <v>0</v>
      </c>
      <c r="X58" s="411">
        <f>aurora_data!W33</f>
        <v>2</v>
      </c>
      <c r="Y58" s="408">
        <f>aurora_data!X33</f>
        <v>0</v>
      </c>
      <c r="Z58" s="410">
        <f>aurora_data!Y33</f>
        <v>0</v>
      </c>
      <c r="AA58" s="410">
        <f>aurora_data!Z33</f>
        <v>1</v>
      </c>
      <c r="AB58" s="410">
        <f>aurora_data!AA33</f>
        <v>1</v>
      </c>
      <c r="AC58" s="411">
        <f>aurora_data!AB33</f>
        <v>0</v>
      </c>
      <c r="AD58" s="408">
        <f>aurora_data!AC33</f>
        <v>3</v>
      </c>
      <c r="AE58" s="410">
        <f>aurora_data!AD33</f>
        <v>0</v>
      </c>
      <c r="AF58" s="410">
        <f>aurora_data!AE33</f>
        <v>0</v>
      </c>
      <c r="AG58" s="411">
        <f>aurora_data!AF33</f>
        <v>1</v>
      </c>
      <c r="AH58" s="408">
        <f>aurora_data!AG33</f>
        <v>2</v>
      </c>
      <c r="AI58" s="410">
        <f>aurora_data!AH33</f>
        <v>2</v>
      </c>
      <c r="AJ58" s="411">
        <f>aurora_data!AI33</f>
        <v>0</v>
      </c>
      <c r="AK58" s="412"/>
      <c r="AL58" s="408">
        <f>aurora_data!AJ33</f>
        <v>4</v>
      </c>
      <c r="AM58" s="409">
        <f t="shared" si="27"/>
        <v>0.02</v>
      </c>
      <c r="AO58"/>
      <c r="AP58"/>
      <c r="AQ58"/>
      <c r="AR58"/>
      <c r="AS58"/>
      <c r="AT58"/>
      <c r="AU58"/>
      <c r="AV58"/>
      <c r="AW58"/>
      <c r="AX58"/>
      <c r="AY58"/>
    </row>
    <row r="59" spans="2:51" ht="16.5" thickBot="1">
      <c r="B59" s="452"/>
      <c r="C59" s="454"/>
      <c r="D59" s="37" t="s">
        <v>17</v>
      </c>
      <c r="E59" s="182">
        <f>aurora_data!D34</f>
        <v>1</v>
      </c>
      <c r="F59" s="183">
        <f>aurora_data!E34</f>
        <v>0</v>
      </c>
      <c r="G59" s="183">
        <f>aurora_data!F34</f>
        <v>1</v>
      </c>
      <c r="H59" s="183">
        <f>aurora_data!G34</f>
        <v>4</v>
      </c>
      <c r="I59" s="184">
        <f>aurora_data!H34</f>
        <v>7</v>
      </c>
      <c r="J59" s="182">
        <f>aurora_data!I34</f>
        <v>2</v>
      </c>
      <c r="K59" s="183">
        <f>aurora_data!J34</f>
        <v>4</v>
      </c>
      <c r="L59" s="183">
        <f>aurora_data!K34</f>
        <v>8</v>
      </c>
      <c r="M59" s="183">
        <f>aurora_data!L34</f>
        <v>11</v>
      </c>
      <c r="N59" s="184">
        <f>aurora_data!M34</f>
        <v>7</v>
      </c>
      <c r="O59" s="182">
        <f>aurora_data!N34</f>
        <v>3</v>
      </c>
      <c r="P59" s="183">
        <f>aurora_data!O34</f>
        <v>9</v>
      </c>
      <c r="Q59" s="183">
        <f>aurora_data!P34</f>
        <v>14</v>
      </c>
      <c r="R59" s="183">
        <f>aurora_data!Q34</f>
        <v>19</v>
      </c>
      <c r="S59" s="184">
        <f>aurora_data!R34</f>
        <v>13</v>
      </c>
      <c r="T59" s="182">
        <f>aurora_data!S34</f>
        <v>0</v>
      </c>
      <c r="U59" s="183">
        <f>aurora_data!T34</f>
        <v>1</v>
      </c>
      <c r="V59" s="183">
        <f>aurora_data!U34</f>
        <v>4</v>
      </c>
      <c r="W59" s="183">
        <f>aurora_data!V34</f>
        <v>10</v>
      </c>
      <c r="X59" s="184">
        <f>aurora_data!W34</f>
        <v>10</v>
      </c>
      <c r="Y59" s="182">
        <f>aurora_data!X34</f>
        <v>5</v>
      </c>
      <c r="Z59" s="183">
        <f>aurora_data!Y34</f>
        <v>2</v>
      </c>
      <c r="AA59" s="183">
        <f>aurora_data!Z34</f>
        <v>15</v>
      </c>
      <c r="AB59" s="183">
        <f>aurora_data!AA34</f>
        <v>36</v>
      </c>
      <c r="AC59" s="184">
        <f>aurora_data!AB34</f>
        <v>51</v>
      </c>
      <c r="AD59" s="182">
        <f>aurora_data!AC34</f>
        <v>60</v>
      </c>
      <c r="AE59" s="183">
        <f>aurora_data!AD34</f>
        <v>39</v>
      </c>
      <c r="AF59" s="183">
        <f>aurora_data!AE34</f>
        <v>79</v>
      </c>
      <c r="AG59" s="184">
        <f>aurora_data!AF34</f>
        <v>59</v>
      </c>
      <c r="AH59" s="182">
        <f>aurora_data!AG34</f>
        <v>119</v>
      </c>
      <c r="AI59" s="183">
        <f>aurora_data!AH34</f>
        <v>118</v>
      </c>
      <c r="AJ59" s="183">
        <f>aurora_data!AI34</f>
        <v>0</v>
      </c>
      <c r="AK59" s="412"/>
      <c r="AL59" s="182">
        <f>aurora_data!AJ34</f>
        <v>237</v>
      </c>
      <c r="AM59" s="413">
        <f t="shared" si="27"/>
        <v>1.1850000000000001</v>
      </c>
      <c r="AO59"/>
      <c r="AP59"/>
      <c r="AQ59"/>
      <c r="AR59"/>
      <c r="AS59"/>
      <c r="AT59"/>
      <c r="AU59"/>
      <c r="AV59"/>
      <c r="AW59"/>
      <c r="AX59"/>
      <c r="AY59"/>
    </row>
    <row r="60" spans="2:51" ht="16.5" thickBot="1">
      <c r="B60" s="452"/>
      <c r="C60" s="454"/>
      <c r="D60" s="38" t="s">
        <v>343</v>
      </c>
      <c r="E60" s="265">
        <f>aurora_data!D35</f>
        <v>0</v>
      </c>
      <c r="F60" s="266">
        <f>aurora_data!E35</f>
        <v>0</v>
      </c>
      <c r="G60" s="266">
        <f>aurora_data!F35</f>
        <v>0</v>
      </c>
      <c r="H60" s="266">
        <f>aurora_data!G35</f>
        <v>0</v>
      </c>
      <c r="I60" s="266">
        <f>aurora_data!H35</f>
        <v>0</v>
      </c>
      <c r="J60" s="265">
        <f>aurora_data!I35</f>
        <v>0</v>
      </c>
      <c r="K60" s="266">
        <f>aurora_data!J35</f>
        <v>0</v>
      </c>
      <c r="L60" s="266">
        <f>aurora_data!K35</f>
        <v>0</v>
      </c>
      <c r="M60" s="266">
        <f>aurora_data!L35</f>
        <v>0</v>
      </c>
      <c r="N60" s="267">
        <f>aurora_data!M35</f>
        <v>0</v>
      </c>
      <c r="O60" s="265">
        <f>aurora_data!N35</f>
        <v>0</v>
      </c>
      <c r="P60" s="266">
        <f>aurora_data!O35</f>
        <v>2</v>
      </c>
      <c r="Q60" s="266">
        <f>aurora_data!P35</f>
        <v>1</v>
      </c>
      <c r="R60" s="266">
        <f>aurora_data!Q35</f>
        <v>1</v>
      </c>
      <c r="S60" s="267">
        <f>aurora_data!R35</f>
        <v>0</v>
      </c>
      <c r="T60" s="265">
        <f>aurora_data!S35</f>
        <v>0</v>
      </c>
      <c r="U60" s="266">
        <f>aurora_data!T35</f>
        <v>0</v>
      </c>
      <c r="V60" s="266">
        <f>aurora_data!U35</f>
        <v>0</v>
      </c>
      <c r="W60" s="266">
        <f>aurora_data!V35</f>
        <v>0</v>
      </c>
      <c r="X60" s="267">
        <f>aurora_data!W35</f>
        <v>0</v>
      </c>
      <c r="Y60" s="265">
        <f>aurora_data!X35</f>
        <v>0</v>
      </c>
      <c r="Z60" s="266">
        <f>aurora_data!Y35</f>
        <v>0</v>
      </c>
      <c r="AA60" s="266">
        <f>aurora_data!Z35</f>
        <v>0</v>
      </c>
      <c r="AB60" s="266">
        <f>aurora_data!AA35</f>
        <v>0</v>
      </c>
      <c r="AC60" s="267">
        <f>aurora_data!AB35</f>
        <v>2</v>
      </c>
      <c r="AD60" s="265">
        <f>aurora_data!AC35</f>
        <v>1</v>
      </c>
      <c r="AE60" s="266">
        <f>aurora_data!AD35</f>
        <v>1</v>
      </c>
      <c r="AF60" s="266">
        <f>aurora_data!AE35</f>
        <v>3</v>
      </c>
      <c r="AG60" s="267">
        <f>aurora_data!AF35</f>
        <v>1</v>
      </c>
      <c r="AH60" s="265">
        <f>aurora_data!AG35</f>
        <v>2</v>
      </c>
      <c r="AI60" s="266">
        <f>aurora_data!AH35</f>
        <v>4</v>
      </c>
      <c r="AJ60" s="268">
        <f>aurora_data!AI35</f>
        <v>0</v>
      </c>
      <c r="AK60" s="269"/>
      <c r="AL60" s="265">
        <f>aurora_data!AJ35</f>
        <v>6</v>
      </c>
      <c r="AM60" s="270">
        <f t="shared" si="27"/>
        <v>0.03</v>
      </c>
      <c r="AO60"/>
      <c r="AP60"/>
      <c r="AQ60"/>
      <c r="AR60"/>
      <c r="AS60"/>
      <c r="AT60"/>
      <c r="AU60"/>
      <c r="AV60"/>
      <c r="AW60"/>
      <c r="AX60"/>
      <c r="AY60"/>
    </row>
    <row r="61" spans="2:51" outlineLevel="1">
      <c r="B61" s="452"/>
      <c r="C61" s="454"/>
      <c r="D61" s="199" t="s">
        <v>344</v>
      </c>
      <c r="E61" s="271">
        <f t="shared" ref="E61:AC61" si="28">ROUNDDOWN((E63+$E$9)*($AL53),0)</f>
        <v>4</v>
      </c>
      <c r="F61" s="272">
        <f t="shared" si="28"/>
        <v>4</v>
      </c>
      <c r="G61" s="272">
        <f t="shared" si="28"/>
        <v>5</v>
      </c>
      <c r="H61" s="272">
        <f t="shared" si="28"/>
        <v>5</v>
      </c>
      <c r="I61" s="272">
        <f t="shared" si="28"/>
        <v>10</v>
      </c>
      <c r="J61" s="271">
        <f t="shared" si="28"/>
        <v>4</v>
      </c>
      <c r="K61" s="272">
        <f t="shared" si="28"/>
        <v>5</v>
      </c>
      <c r="L61" s="272">
        <f t="shared" si="28"/>
        <v>11</v>
      </c>
      <c r="M61" s="272">
        <f t="shared" si="28"/>
        <v>13</v>
      </c>
      <c r="N61" s="268">
        <f t="shared" si="28"/>
        <v>10</v>
      </c>
      <c r="O61" s="271">
        <f t="shared" si="28"/>
        <v>7</v>
      </c>
      <c r="P61" s="272">
        <f t="shared" si="28"/>
        <v>10</v>
      </c>
      <c r="Q61" s="272">
        <f t="shared" si="28"/>
        <v>17</v>
      </c>
      <c r="R61" s="272">
        <f t="shared" si="28"/>
        <v>18</v>
      </c>
      <c r="S61" s="268">
        <f t="shared" si="28"/>
        <v>14</v>
      </c>
      <c r="T61" s="271">
        <f t="shared" si="28"/>
        <v>4</v>
      </c>
      <c r="U61" s="272">
        <f t="shared" si="28"/>
        <v>4</v>
      </c>
      <c r="V61" s="272">
        <f t="shared" si="28"/>
        <v>7</v>
      </c>
      <c r="W61" s="272">
        <f t="shared" si="28"/>
        <v>11</v>
      </c>
      <c r="X61" s="268">
        <f t="shared" si="28"/>
        <v>12</v>
      </c>
      <c r="Y61" s="271">
        <f t="shared" si="28"/>
        <v>4</v>
      </c>
      <c r="Z61" s="272">
        <f t="shared" si="28"/>
        <v>6</v>
      </c>
      <c r="AA61" s="272">
        <f t="shared" si="28"/>
        <v>18</v>
      </c>
      <c r="AB61" s="272">
        <f t="shared" si="28"/>
        <v>34</v>
      </c>
      <c r="AC61" s="268">
        <f t="shared" si="28"/>
        <v>52</v>
      </c>
      <c r="AD61" s="271">
        <f>ROUNDDOWN((AD63+$AD$9)*($AL53),0)</f>
        <v>63</v>
      </c>
      <c r="AE61" s="272">
        <f>ROUNDDOWN((AE63+$AD$9)*($AL53),0)</f>
        <v>51</v>
      </c>
      <c r="AF61" s="272">
        <f t="shared" ref="AF61:AG61" si="29">ROUNDDOWN((AF63+$AD$9)*($AL53),0)</f>
        <v>99</v>
      </c>
      <c r="AG61" s="272">
        <f t="shared" si="29"/>
        <v>66</v>
      </c>
      <c r="AH61" s="271">
        <f>ROUNDDOWN((AH63+$AH$9)*($AL53),0)</f>
        <v>100</v>
      </c>
      <c r="AI61" s="272">
        <f>ROUNDDOWN((AI63+$AH$9)*($AL53),0)</f>
        <v>100</v>
      </c>
      <c r="AJ61" s="268">
        <f>ROUNDDOWN((AJ63+$AH$8)*($AL53),0)</f>
        <v>0</v>
      </c>
      <c r="AK61" s="273"/>
      <c r="AL61" s="274"/>
      <c r="AM61" s="275"/>
      <c r="AO61"/>
      <c r="AP61"/>
      <c r="AQ61"/>
      <c r="AR61"/>
      <c r="AS61"/>
      <c r="AT61"/>
      <c r="AU61"/>
      <c r="AV61"/>
      <c r="AW61"/>
      <c r="AX61"/>
      <c r="AY61"/>
    </row>
    <row r="62" spans="2:51" ht="15.75" customHeight="1" outlineLevel="1" thickBot="1">
      <c r="B62" s="452"/>
      <c r="C62" s="454"/>
      <c r="D62" s="199" t="s">
        <v>345</v>
      </c>
      <c r="E62" s="276">
        <f t="shared" ref="E62:AC62" si="30">IF(ROUND(((E63-$E$9)*($AL53))+0.25,0) &lt;=0,1,((E63-$E$9)*($AL53))+0.25)</f>
        <v>1</v>
      </c>
      <c r="F62" s="277">
        <f t="shared" si="30"/>
        <v>1</v>
      </c>
      <c r="G62" s="277">
        <f t="shared" si="30"/>
        <v>1</v>
      </c>
      <c r="H62" s="277">
        <f t="shared" si="30"/>
        <v>1</v>
      </c>
      <c r="I62" s="277">
        <f t="shared" si="30"/>
        <v>2.8299999999999996</v>
      </c>
      <c r="J62" s="276">
        <f t="shared" si="30"/>
        <v>1</v>
      </c>
      <c r="K62" s="277">
        <f t="shared" si="30"/>
        <v>1</v>
      </c>
      <c r="L62" s="277">
        <f t="shared" si="30"/>
        <v>3.72</v>
      </c>
      <c r="M62" s="277">
        <f t="shared" si="30"/>
        <v>5.8299999999999992</v>
      </c>
      <c r="N62" s="278">
        <f t="shared" si="30"/>
        <v>2.42</v>
      </c>
      <c r="O62" s="276">
        <f t="shared" si="30"/>
        <v>1</v>
      </c>
      <c r="P62" s="277">
        <f t="shared" si="30"/>
        <v>2.5399999999999996</v>
      </c>
      <c r="Q62" s="277">
        <f t="shared" si="30"/>
        <v>9.7200000000000006</v>
      </c>
      <c r="R62" s="277">
        <f t="shared" si="30"/>
        <v>10.91</v>
      </c>
      <c r="S62" s="278">
        <f t="shared" si="30"/>
        <v>6.5600000000000014</v>
      </c>
      <c r="T62" s="276">
        <f t="shared" si="30"/>
        <v>1</v>
      </c>
      <c r="U62" s="277">
        <f t="shared" si="30"/>
        <v>1</v>
      </c>
      <c r="V62" s="277">
        <f t="shared" si="30"/>
        <v>1</v>
      </c>
      <c r="W62" s="277">
        <f t="shared" si="30"/>
        <v>3.2999999999999994</v>
      </c>
      <c r="X62" s="278">
        <f t="shared" si="30"/>
        <v>4.2600000000000007</v>
      </c>
      <c r="Y62" s="276">
        <f t="shared" si="30"/>
        <v>1</v>
      </c>
      <c r="Z62" s="277">
        <f t="shared" si="30"/>
        <v>1</v>
      </c>
      <c r="AA62" s="277">
        <f t="shared" si="30"/>
        <v>10.69</v>
      </c>
      <c r="AB62" s="277">
        <f t="shared" si="30"/>
        <v>27.170000000000005</v>
      </c>
      <c r="AC62" s="278">
        <f t="shared" si="30"/>
        <v>44.45</v>
      </c>
      <c r="AD62" s="276">
        <f>IF(((AD63-$AD$9)*($AL53))+0.5 &lt;0,1,((AD63-$AD$9)*($AL53))+0.5 )</f>
        <v>23.719999999999995</v>
      </c>
      <c r="AE62" s="277">
        <f>IF(((AE63-$AD$9)*($AL53))+0.5 &lt;0,1,((AE63-$AD$9)*($AL53))+0.5 )</f>
        <v>11.579999999999995</v>
      </c>
      <c r="AF62" s="277">
        <f t="shared" ref="AF62" si="31">IF(((AF63-$AD$9)*($AL53))+0.5 &lt;0,1,((AF63-$AD$9)*($AL53))+0.5 )</f>
        <v>59.900000000000006</v>
      </c>
      <c r="AG62" s="277">
        <f t="shared" ref="AG62" si="32">IF(((AG63-$AD$9)*($AL53))+0.5 &lt;0,1,((AG63-$AD$9)*($AL53))+0.5 )</f>
        <v>26.81</v>
      </c>
      <c r="AH62" s="276">
        <f>IF(((AH63-$AH$9)*($AL53))+0.5 &lt;0,1,((AH63-$AH$9)*($AL53)) )</f>
        <v>100</v>
      </c>
      <c r="AI62" s="277">
        <f>IF(((AI63-$AH$9)*($AL53))+0.5 &lt;0,1,((AI63-$AH$9)*($AL53)))</f>
        <v>100</v>
      </c>
      <c r="AJ62" s="278">
        <f>IF(((AJ63-$AH$8)*($AL53))+0.5 &lt;0,1,((AJ63-$AH$8)*($AL53))+0.5 )</f>
        <v>0.5</v>
      </c>
      <c r="AK62" s="273"/>
      <c r="AL62" s="279"/>
      <c r="AM62" s="280"/>
      <c r="AO62"/>
      <c r="AP62"/>
      <c r="AQ62"/>
      <c r="AR62"/>
      <c r="AS62"/>
      <c r="AT62"/>
      <c r="AU62"/>
      <c r="AV62"/>
      <c r="AW62"/>
      <c r="AX62"/>
      <c r="AY62"/>
    </row>
    <row r="63" spans="2:51" ht="15.75" customHeight="1" outlineLevel="1" thickTop="1">
      <c r="B63" s="110"/>
      <c r="C63" s="109"/>
      <c r="D63" s="95" t="s">
        <v>346</v>
      </c>
      <c r="E63" s="414">
        <f t="shared" ref="E63:AJ63" si="33">IFERROR(E53/$AL53,0)</f>
        <v>1.8E-3</v>
      </c>
      <c r="F63" s="415">
        <f t="shared" si="33"/>
        <v>1.7499999999999998E-3</v>
      </c>
      <c r="G63" s="415">
        <f t="shared" si="33"/>
        <v>6.0499999999999998E-3</v>
      </c>
      <c r="H63" s="415">
        <f t="shared" si="33"/>
        <v>8.3000000000000001E-3</v>
      </c>
      <c r="I63" s="415">
        <f t="shared" si="33"/>
        <v>3.2899999999999999E-2</v>
      </c>
      <c r="J63" s="414">
        <f t="shared" si="33"/>
        <v>2.65E-3</v>
      </c>
      <c r="K63" s="415">
        <f t="shared" si="33"/>
        <v>7.9000000000000008E-3</v>
      </c>
      <c r="L63" s="415">
        <f t="shared" si="33"/>
        <v>3.7350000000000001E-2</v>
      </c>
      <c r="M63" s="415">
        <f t="shared" si="33"/>
        <v>4.7899999999999998E-2</v>
      </c>
      <c r="N63" s="416">
        <f t="shared" si="33"/>
        <v>3.0849999999999999E-2</v>
      </c>
      <c r="O63" s="414">
        <f t="shared" si="33"/>
        <v>1.635E-2</v>
      </c>
      <c r="P63" s="415">
        <f t="shared" si="33"/>
        <v>3.1449999999999999E-2</v>
      </c>
      <c r="Q63" s="415">
        <f t="shared" si="33"/>
        <v>6.7350000000000007E-2</v>
      </c>
      <c r="R63" s="415">
        <f t="shared" si="33"/>
        <v>7.3300000000000004E-2</v>
      </c>
      <c r="S63" s="416">
        <f t="shared" si="33"/>
        <v>5.1550000000000006E-2</v>
      </c>
      <c r="T63" s="414">
        <f t="shared" si="33"/>
        <v>1.7000000000000001E-3</v>
      </c>
      <c r="U63" s="415">
        <f t="shared" si="33"/>
        <v>3.7499999999999999E-3</v>
      </c>
      <c r="V63" s="415">
        <f t="shared" si="33"/>
        <v>1.8450000000000001E-2</v>
      </c>
      <c r="W63" s="415">
        <f t="shared" si="33"/>
        <v>3.5249999999999997E-2</v>
      </c>
      <c r="X63" s="416">
        <f t="shared" si="33"/>
        <v>4.0050000000000002E-2</v>
      </c>
      <c r="Y63" s="414">
        <f t="shared" si="33"/>
        <v>4.8500000000000001E-3</v>
      </c>
      <c r="Z63" s="415">
        <f t="shared" si="33"/>
        <v>1.0749999999999999E-2</v>
      </c>
      <c r="AA63" s="415">
        <f t="shared" si="33"/>
        <v>7.22E-2</v>
      </c>
      <c r="AB63" s="415">
        <f t="shared" si="33"/>
        <v>0.15460000000000002</v>
      </c>
      <c r="AC63" s="416">
        <f t="shared" si="33"/>
        <v>0.24100000000000002</v>
      </c>
      <c r="AD63" s="414">
        <f t="shared" si="33"/>
        <v>0.21609999999999999</v>
      </c>
      <c r="AE63" s="415">
        <f t="shared" si="33"/>
        <v>0.15539999999999998</v>
      </c>
      <c r="AF63" s="415">
        <f t="shared" si="33"/>
        <v>0.39700000000000002</v>
      </c>
      <c r="AG63" s="416">
        <f t="shared" si="33"/>
        <v>0.23155000000000001</v>
      </c>
      <c r="AH63" s="415">
        <f t="shared" si="33"/>
        <v>0.5</v>
      </c>
      <c r="AI63" s="415">
        <f t="shared" si="33"/>
        <v>0.5</v>
      </c>
      <c r="AJ63" s="415">
        <f t="shared" si="33"/>
        <v>0</v>
      </c>
      <c r="AK63" s="407"/>
      <c r="AL63" s="417"/>
      <c r="AM63" s="418"/>
      <c r="AO63"/>
      <c r="AP63"/>
      <c r="AQ63"/>
      <c r="AR63"/>
      <c r="AS63"/>
      <c r="AT63"/>
      <c r="AU63"/>
      <c r="AV63"/>
      <c r="AW63"/>
      <c r="AX63"/>
      <c r="AY63"/>
    </row>
    <row r="64" spans="2:51" ht="16.5" customHeight="1" outlineLevel="1">
      <c r="B64" s="110"/>
      <c r="C64" s="109"/>
      <c r="D64" s="180" t="s">
        <v>347</v>
      </c>
      <c r="E64" s="414">
        <f t="shared" ref="E64:AJ64" si="34">IFERROR(E54/$AL53,0)</f>
        <v>5.0000000000000001E-3</v>
      </c>
      <c r="F64" s="415">
        <f t="shared" si="34"/>
        <v>0</v>
      </c>
      <c r="G64" s="415">
        <f t="shared" si="34"/>
        <v>0</v>
      </c>
      <c r="H64" s="415">
        <f t="shared" si="34"/>
        <v>0.01</v>
      </c>
      <c r="I64" s="415">
        <f t="shared" si="34"/>
        <v>3.5000000000000003E-2</v>
      </c>
      <c r="J64" s="414">
        <f t="shared" si="34"/>
        <v>5.0000000000000001E-3</v>
      </c>
      <c r="K64" s="415">
        <f t="shared" si="34"/>
        <v>0.01</v>
      </c>
      <c r="L64" s="415">
        <f t="shared" si="34"/>
        <v>3.5000000000000003E-2</v>
      </c>
      <c r="M64" s="415">
        <f t="shared" si="34"/>
        <v>0.05</v>
      </c>
      <c r="N64" s="416">
        <f t="shared" si="34"/>
        <v>0.03</v>
      </c>
      <c r="O64" s="414">
        <f t="shared" si="34"/>
        <v>0.01</v>
      </c>
      <c r="P64" s="415">
        <f t="shared" si="34"/>
        <v>0.03</v>
      </c>
      <c r="Q64" s="415">
        <f t="shared" si="34"/>
        <v>0.06</v>
      </c>
      <c r="R64" s="415">
        <f t="shared" si="34"/>
        <v>7.4999999999999997E-2</v>
      </c>
      <c r="S64" s="416">
        <f t="shared" si="34"/>
        <v>0.05</v>
      </c>
      <c r="T64" s="414">
        <f t="shared" si="34"/>
        <v>0</v>
      </c>
      <c r="U64" s="415">
        <f t="shared" si="34"/>
        <v>5.0000000000000001E-3</v>
      </c>
      <c r="V64" s="415">
        <f t="shared" si="34"/>
        <v>0.02</v>
      </c>
      <c r="W64" s="415">
        <f t="shared" si="34"/>
        <v>3.5000000000000003E-2</v>
      </c>
      <c r="X64" s="416">
        <f t="shared" si="34"/>
        <v>0.04</v>
      </c>
      <c r="Y64" s="414">
        <f t="shared" si="34"/>
        <v>5.0000000000000001E-3</v>
      </c>
      <c r="Z64" s="415">
        <f t="shared" si="34"/>
        <v>0.01</v>
      </c>
      <c r="AA64" s="415">
        <f t="shared" si="34"/>
        <v>7.0000000000000007E-2</v>
      </c>
      <c r="AB64" s="415">
        <f t="shared" si="34"/>
        <v>0.155</v>
      </c>
      <c r="AC64" s="416">
        <f t="shared" si="34"/>
        <v>0.24</v>
      </c>
      <c r="AD64" s="414">
        <f t="shared" si="34"/>
        <v>0.22</v>
      </c>
      <c r="AE64" s="415">
        <f t="shared" si="34"/>
        <v>0.155</v>
      </c>
      <c r="AF64" s="415">
        <f t="shared" si="34"/>
        <v>0.38</v>
      </c>
      <c r="AG64" s="416">
        <f t="shared" si="34"/>
        <v>0.23</v>
      </c>
      <c r="AH64" s="415">
        <f t="shared" si="34"/>
        <v>0.48499999999999999</v>
      </c>
      <c r="AI64" s="415">
        <f t="shared" si="34"/>
        <v>0.5</v>
      </c>
      <c r="AJ64" s="415">
        <f t="shared" si="34"/>
        <v>0</v>
      </c>
      <c r="AK64" s="407"/>
      <c r="AL64" s="417"/>
      <c r="AM64" s="418"/>
      <c r="AO64"/>
      <c r="AP64"/>
      <c r="AQ64"/>
      <c r="AR64"/>
      <c r="AS64"/>
      <c r="AT64"/>
      <c r="AU64"/>
      <c r="AV64"/>
      <c r="AW64"/>
      <c r="AX64"/>
      <c r="AY64"/>
    </row>
    <row r="65" spans="2:51" ht="16.5" outlineLevel="1" thickBot="1">
      <c r="B65" s="110"/>
      <c r="C65" s="109"/>
      <c r="D65" s="180" t="s">
        <v>348</v>
      </c>
      <c r="E65" s="419">
        <f t="shared" ref="E65:AJ65" si="35">E64-E63</f>
        <v>3.2000000000000002E-3</v>
      </c>
      <c r="F65" s="420">
        <f t="shared" si="35"/>
        <v>-1.7499999999999998E-3</v>
      </c>
      <c r="G65" s="420">
        <f t="shared" si="35"/>
        <v>-6.0499999999999998E-3</v>
      </c>
      <c r="H65" s="420">
        <f t="shared" si="35"/>
        <v>1.7000000000000001E-3</v>
      </c>
      <c r="I65" s="420">
        <f t="shared" si="35"/>
        <v>2.1000000000000046E-3</v>
      </c>
      <c r="J65" s="419">
        <f t="shared" si="35"/>
        <v>2.3500000000000001E-3</v>
      </c>
      <c r="K65" s="420">
        <f t="shared" si="35"/>
        <v>2.0999999999999994E-3</v>
      </c>
      <c r="L65" s="420">
        <f t="shared" si="35"/>
        <v>-2.3499999999999979E-3</v>
      </c>
      <c r="M65" s="420">
        <f t="shared" si="35"/>
        <v>2.1000000000000046E-3</v>
      </c>
      <c r="N65" s="421">
        <f t="shared" si="35"/>
        <v>-8.5000000000000006E-4</v>
      </c>
      <c r="O65" s="419">
        <f t="shared" si="35"/>
        <v>-6.3499999999999997E-3</v>
      </c>
      <c r="P65" s="420">
        <f t="shared" si="35"/>
        <v>-1.4499999999999999E-3</v>
      </c>
      <c r="Q65" s="420">
        <f t="shared" si="35"/>
        <v>-7.3500000000000093E-3</v>
      </c>
      <c r="R65" s="420">
        <f t="shared" si="35"/>
        <v>1.6999999999999932E-3</v>
      </c>
      <c r="S65" s="421">
        <f t="shared" si="35"/>
        <v>-1.5500000000000028E-3</v>
      </c>
      <c r="T65" s="419">
        <f t="shared" si="35"/>
        <v>-1.7000000000000001E-3</v>
      </c>
      <c r="U65" s="420">
        <f t="shared" si="35"/>
        <v>1.2500000000000002E-3</v>
      </c>
      <c r="V65" s="420">
        <f t="shared" si="35"/>
        <v>1.5499999999999993E-3</v>
      </c>
      <c r="W65" s="420">
        <f t="shared" si="35"/>
        <v>-2.4999999999999328E-4</v>
      </c>
      <c r="X65" s="421">
        <f t="shared" si="35"/>
        <v>-5.0000000000001432E-5</v>
      </c>
      <c r="Y65" s="419">
        <f t="shared" si="35"/>
        <v>1.4999999999999996E-4</v>
      </c>
      <c r="Z65" s="420">
        <f t="shared" si="35"/>
        <v>-7.4999999999999893E-4</v>
      </c>
      <c r="AA65" s="420">
        <f t="shared" si="35"/>
        <v>-2.1999999999999936E-3</v>
      </c>
      <c r="AB65" s="420">
        <f t="shared" si="35"/>
        <v>3.999999999999837E-4</v>
      </c>
      <c r="AC65" s="421">
        <f t="shared" si="35"/>
        <v>-1.0000000000000286E-3</v>
      </c>
      <c r="AD65" s="419">
        <f t="shared" si="35"/>
        <v>3.9000000000000146E-3</v>
      </c>
      <c r="AE65" s="420">
        <f t="shared" si="35"/>
        <v>-3.999999999999837E-4</v>
      </c>
      <c r="AF65" s="420">
        <f t="shared" si="35"/>
        <v>-1.7000000000000015E-2</v>
      </c>
      <c r="AG65" s="421">
        <f t="shared" si="35"/>
        <v>-1.5499999999999958E-3</v>
      </c>
      <c r="AH65" s="420">
        <f t="shared" si="35"/>
        <v>-1.5000000000000013E-2</v>
      </c>
      <c r="AI65" s="420">
        <f t="shared" si="35"/>
        <v>0</v>
      </c>
      <c r="AJ65" s="420">
        <f t="shared" si="35"/>
        <v>0</v>
      </c>
      <c r="AK65" s="407"/>
      <c r="AL65" s="422"/>
      <c r="AM65" s="423"/>
      <c r="AO65"/>
      <c r="AP65"/>
      <c r="AQ65"/>
      <c r="AR65"/>
      <c r="AS65"/>
      <c r="AT65"/>
      <c r="AU65"/>
      <c r="AV65"/>
      <c r="AW65"/>
      <c r="AX65"/>
      <c r="AY65"/>
    </row>
    <row r="66" spans="2:51" ht="16.5" thickTop="1">
      <c r="B66" s="451" t="s">
        <v>338</v>
      </c>
      <c r="C66" s="453" t="str">
        <f>aurora_data!A36</f>
        <v>10.00.00-10.11.30</v>
      </c>
      <c r="D66" s="34" t="s">
        <v>306</v>
      </c>
      <c r="E66" s="152">
        <f>aurora_data!D36</f>
        <v>0.28000000000000003</v>
      </c>
      <c r="F66" s="153">
        <f>aurora_data!E36</f>
        <v>0.51</v>
      </c>
      <c r="G66" s="153">
        <f>aurora_data!F36</f>
        <v>1.1499999999999999</v>
      </c>
      <c r="H66" s="153">
        <f>aurora_data!G36</f>
        <v>1.65</v>
      </c>
      <c r="I66" s="153">
        <f>aurora_data!H36</f>
        <v>6.75</v>
      </c>
      <c r="J66" s="152">
        <f>aurora_data!I36</f>
        <v>0.52</v>
      </c>
      <c r="K66" s="153">
        <f>aurora_data!J36</f>
        <v>1.85</v>
      </c>
      <c r="L66" s="153">
        <f>aurora_data!K36</f>
        <v>7.36</v>
      </c>
      <c r="M66" s="153">
        <f>aurora_data!L36</f>
        <v>9.39</v>
      </c>
      <c r="N66" s="154">
        <f>aurora_data!M36</f>
        <v>6.88</v>
      </c>
      <c r="O66" s="152">
        <f>aurora_data!N36</f>
        <v>3.96</v>
      </c>
      <c r="P66" s="153">
        <f>aurora_data!O36</f>
        <v>6.18</v>
      </c>
      <c r="Q66" s="153">
        <f>aurora_data!P36</f>
        <v>13.52</v>
      </c>
      <c r="R66" s="153">
        <f>aurora_data!Q36</f>
        <v>14.73</v>
      </c>
      <c r="S66" s="154">
        <f>aurora_data!R36</f>
        <v>10.25</v>
      </c>
      <c r="T66" s="152">
        <f>aurora_data!S36</f>
        <v>0.28000000000000003</v>
      </c>
      <c r="U66" s="153">
        <f>aurora_data!T36</f>
        <v>0.82</v>
      </c>
      <c r="V66" s="153">
        <f>aurora_data!U36</f>
        <v>3.37</v>
      </c>
      <c r="W66" s="153">
        <f>aurora_data!V36</f>
        <v>6.81</v>
      </c>
      <c r="X66" s="154">
        <f>aurora_data!W36</f>
        <v>7.57</v>
      </c>
      <c r="Y66" s="152">
        <f>aurora_data!X36</f>
        <v>1.08</v>
      </c>
      <c r="Z66" s="153">
        <f>aurora_data!Y36</f>
        <v>2.2000000000000002</v>
      </c>
      <c r="AA66" s="153">
        <f>aurora_data!Z36</f>
        <v>14.85</v>
      </c>
      <c r="AB66" s="153">
        <f>aurora_data!AA36</f>
        <v>31.38</v>
      </c>
      <c r="AC66" s="154">
        <f>aurora_data!AB36</f>
        <v>46.66</v>
      </c>
      <c r="AD66" s="152">
        <f>aurora_data!AC36</f>
        <v>42.49</v>
      </c>
      <c r="AE66" s="153">
        <f>aurora_data!AD36</f>
        <v>30.5</v>
      </c>
      <c r="AF66" s="153">
        <f>aurora_data!AE36</f>
        <v>79.209999999999994</v>
      </c>
      <c r="AG66" s="154">
        <f>aurora_data!AF36</f>
        <v>47.8</v>
      </c>
      <c r="AH66" s="155">
        <f>aurora_data!AG36</f>
        <v>100</v>
      </c>
      <c r="AI66" s="171">
        <f>aurora_data!AH36</f>
        <v>100</v>
      </c>
      <c r="AJ66" s="171">
        <f>aurora_data!AI36</f>
        <v>0</v>
      </c>
      <c r="AK66" s="407"/>
      <c r="AL66" s="155">
        <f>aurora_data!AJ36</f>
        <v>200</v>
      </c>
      <c r="AM66" s="167">
        <f t="shared" ref="AM66:AM73" si="36">SUM(AL66)/$AL$66</f>
        <v>1</v>
      </c>
      <c r="AO66"/>
      <c r="AP66"/>
      <c r="AQ66"/>
      <c r="AR66"/>
      <c r="AS66"/>
      <c r="AT66"/>
      <c r="AU66"/>
      <c r="AV66"/>
      <c r="AW66"/>
      <c r="AX66"/>
      <c r="AY66"/>
    </row>
    <row r="67" spans="2:51">
      <c r="B67" s="452"/>
      <c r="C67" s="454"/>
      <c r="D67" s="35" t="s">
        <v>339</v>
      </c>
      <c r="E67" s="262">
        <f>aurora_data!D37</f>
        <v>0</v>
      </c>
      <c r="F67" s="263">
        <f>aurora_data!E37</f>
        <v>0</v>
      </c>
      <c r="G67" s="263">
        <f>aurora_data!F37</f>
        <v>1</v>
      </c>
      <c r="H67" s="263">
        <f>aurora_data!G37</f>
        <v>2</v>
      </c>
      <c r="I67" s="263">
        <f>aurora_data!H37</f>
        <v>7</v>
      </c>
      <c r="J67" s="262">
        <f>aurora_data!I37</f>
        <v>1</v>
      </c>
      <c r="K67" s="263">
        <f>aurora_data!J37</f>
        <v>2</v>
      </c>
      <c r="L67" s="263">
        <f>aurora_data!K37</f>
        <v>7</v>
      </c>
      <c r="M67" s="263">
        <f>aurora_data!L37</f>
        <v>9</v>
      </c>
      <c r="N67" s="264">
        <f>aurora_data!M37</f>
        <v>7</v>
      </c>
      <c r="O67" s="262">
        <f>aurora_data!N37</f>
        <v>3</v>
      </c>
      <c r="P67" s="263">
        <f>aurora_data!O37</f>
        <v>6</v>
      </c>
      <c r="Q67" s="263">
        <f>aurora_data!P37</f>
        <v>14</v>
      </c>
      <c r="R67" s="263">
        <f>aurora_data!Q37</f>
        <v>15</v>
      </c>
      <c r="S67" s="264">
        <f>aurora_data!R37</f>
        <v>10</v>
      </c>
      <c r="T67" s="262">
        <f>aurora_data!S37</f>
        <v>1</v>
      </c>
      <c r="U67" s="263">
        <f>aurora_data!T37</f>
        <v>1</v>
      </c>
      <c r="V67" s="263">
        <f>aurora_data!U37</f>
        <v>3</v>
      </c>
      <c r="W67" s="263">
        <f>aurora_data!V37</f>
        <v>7</v>
      </c>
      <c r="X67" s="264">
        <f>aurora_data!W37</f>
        <v>8</v>
      </c>
      <c r="Y67" s="262">
        <f>aurora_data!X37</f>
        <v>1</v>
      </c>
      <c r="Z67" s="263">
        <f>aurora_data!Y37</f>
        <v>2</v>
      </c>
      <c r="AA67" s="263">
        <f>aurora_data!Z37</f>
        <v>15</v>
      </c>
      <c r="AB67" s="263">
        <f>aurora_data!AA37</f>
        <v>31</v>
      </c>
      <c r="AC67" s="264">
        <f>aurora_data!AB37</f>
        <v>43</v>
      </c>
      <c r="AD67" s="262">
        <f>aurora_data!AC37</f>
        <v>53</v>
      </c>
      <c r="AE67" s="263">
        <f>aurora_data!AD37</f>
        <v>40</v>
      </c>
      <c r="AF67" s="263">
        <f>aurora_data!AE37</f>
        <v>67</v>
      </c>
      <c r="AG67" s="264">
        <f>aurora_data!AF37</f>
        <v>36</v>
      </c>
      <c r="AH67" s="262">
        <f>aurora_data!AG37</f>
        <v>100</v>
      </c>
      <c r="AI67" s="263">
        <f>aurora_data!AH37</f>
        <v>96</v>
      </c>
      <c r="AJ67" s="264">
        <f>aurora_data!AI37</f>
        <v>0</v>
      </c>
      <c r="AK67" s="407"/>
      <c r="AL67" s="408">
        <f>aurora_data!AJ37</f>
        <v>196</v>
      </c>
      <c r="AM67" s="409">
        <f t="shared" si="36"/>
        <v>0.98</v>
      </c>
      <c r="AO67"/>
      <c r="AP67"/>
      <c r="AQ67"/>
      <c r="AR67"/>
      <c r="AS67"/>
      <c r="AT67"/>
      <c r="AU67"/>
      <c r="AV67"/>
      <c r="AW67"/>
      <c r="AX67"/>
      <c r="AY67"/>
    </row>
    <row r="68" spans="2:51">
      <c r="B68" s="452"/>
      <c r="C68" s="454"/>
      <c r="D68" s="35" t="s">
        <v>291</v>
      </c>
      <c r="E68" s="408">
        <f>aurora_data!D38</f>
        <v>0</v>
      </c>
      <c r="F68" s="410">
        <f>aurora_data!E38</f>
        <v>0</v>
      </c>
      <c r="G68" s="410">
        <f>aurora_data!F38</f>
        <v>1</v>
      </c>
      <c r="H68" s="410">
        <f>aurora_data!G38</f>
        <v>1</v>
      </c>
      <c r="I68" s="410">
        <f>aurora_data!H38</f>
        <v>0</v>
      </c>
      <c r="J68" s="408">
        <f>aurora_data!I38</f>
        <v>1</v>
      </c>
      <c r="K68" s="410">
        <f>aurora_data!J38</f>
        <v>0</v>
      </c>
      <c r="L68" s="410">
        <f>aurora_data!K38</f>
        <v>1</v>
      </c>
      <c r="M68" s="410">
        <f>aurora_data!L38</f>
        <v>0</v>
      </c>
      <c r="N68" s="411">
        <f>aurora_data!M38</f>
        <v>0</v>
      </c>
      <c r="O68" s="408">
        <f>aurora_data!N38</f>
        <v>0</v>
      </c>
      <c r="P68" s="410">
        <f>aurora_data!O38</f>
        <v>0</v>
      </c>
      <c r="Q68" s="410">
        <f>aurora_data!P38</f>
        <v>0</v>
      </c>
      <c r="R68" s="410">
        <f>aurora_data!Q38</f>
        <v>5</v>
      </c>
      <c r="S68" s="411">
        <f>aurora_data!R38</f>
        <v>4</v>
      </c>
      <c r="T68" s="408">
        <f>aurora_data!S38</f>
        <v>0</v>
      </c>
      <c r="U68" s="410">
        <f>aurora_data!T38</f>
        <v>0</v>
      </c>
      <c r="V68" s="410">
        <f>aurora_data!U38</f>
        <v>0</v>
      </c>
      <c r="W68" s="410">
        <f>aurora_data!V38</f>
        <v>0</v>
      </c>
      <c r="X68" s="411">
        <f>aurora_data!W38</f>
        <v>7</v>
      </c>
      <c r="Y68" s="408">
        <f>aurora_data!X38</f>
        <v>1</v>
      </c>
      <c r="Z68" s="410">
        <f>aurora_data!Y38</f>
        <v>0</v>
      </c>
      <c r="AA68" s="410">
        <f>aurora_data!Z38</f>
        <v>6</v>
      </c>
      <c r="AB68" s="410">
        <f>aurora_data!AA38</f>
        <v>0</v>
      </c>
      <c r="AC68" s="411">
        <f>aurora_data!AB38</f>
        <v>8</v>
      </c>
      <c r="AD68" s="408">
        <f>aurora_data!AC38</f>
        <v>19</v>
      </c>
      <c r="AE68" s="410">
        <f>aurora_data!AD38</f>
        <v>6</v>
      </c>
      <c r="AF68" s="410">
        <f>aurora_data!AE38</f>
        <v>1</v>
      </c>
      <c r="AG68" s="411">
        <f>aurora_data!AF38</f>
        <v>9</v>
      </c>
      <c r="AH68" s="408">
        <f>aurora_data!AG38</f>
        <v>33</v>
      </c>
      <c r="AI68" s="410">
        <f>aurora_data!AH38</f>
        <v>2</v>
      </c>
      <c r="AJ68" s="411">
        <f>aurora_data!AI38</f>
        <v>0</v>
      </c>
      <c r="AK68" s="407"/>
      <c r="AL68" s="408">
        <f>aurora_data!AJ38</f>
        <v>35</v>
      </c>
      <c r="AM68" s="409">
        <f t="shared" si="36"/>
        <v>0.17499999999999999</v>
      </c>
      <c r="AO68"/>
      <c r="AP68"/>
      <c r="AQ68"/>
      <c r="AR68"/>
      <c r="AS68"/>
      <c r="AT68"/>
      <c r="AU68"/>
      <c r="AV68"/>
      <c r="AW68"/>
      <c r="AX68"/>
      <c r="AY68"/>
    </row>
    <row r="69" spans="2:51">
      <c r="B69" s="452"/>
      <c r="C69" s="454"/>
      <c r="D69" s="35" t="s">
        <v>340</v>
      </c>
      <c r="E69" s="408">
        <f>aurora_data!D39</f>
        <v>0</v>
      </c>
      <c r="F69" s="410">
        <f>aurora_data!E39</f>
        <v>0</v>
      </c>
      <c r="G69" s="410">
        <f>aurora_data!F39</f>
        <v>0</v>
      </c>
      <c r="H69" s="410">
        <f>aurora_data!G39</f>
        <v>0</v>
      </c>
      <c r="I69" s="410">
        <f>aurora_data!H39</f>
        <v>0</v>
      </c>
      <c r="J69" s="408">
        <f>aurora_data!I39</f>
        <v>0</v>
      </c>
      <c r="K69" s="410">
        <f>aurora_data!J39</f>
        <v>0</v>
      </c>
      <c r="L69" s="410">
        <f>aurora_data!K39</f>
        <v>0</v>
      </c>
      <c r="M69" s="410">
        <f>aurora_data!L39</f>
        <v>0</v>
      </c>
      <c r="N69" s="411">
        <f>aurora_data!M39</f>
        <v>0</v>
      </c>
      <c r="O69" s="408">
        <f>aurora_data!N39</f>
        <v>0</v>
      </c>
      <c r="P69" s="410">
        <f>aurora_data!O39</f>
        <v>0</v>
      </c>
      <c r="Q69" s="410">
        <f>aurora_data!P39</f>
        <v>0</v>
      </c>
      <c r="R69" s="410">
        <f>aurora_data!Q39</f>
        <v>0</v>
      </c>
      <c r="S69" s="411">
        <f>aurora_data!R39</f>
        <v>0</v>
      </c>
      <c r="T69" s="408">
        <f>aurora_data!S39</f>
        <v>0</v>
      </c>
      <c r="U69" s="410">
        <f>aurora_data!T39</f>
        <v>0</v>
      </c>
      <c r="V69" s="410">
        <f>aurora_data!U39</f>
        <v>0</v>
      </c>
      <c r="W69" s="410">
        <f>aurora_data!V39</f>
        <v>0</v>
      </c>
      <c r="X69" s="411">
        <f>aurora_data!W39</f>
        <v>0</v>
      </c>
      <c r="Y69" s="408">
        <f>aurora_data!X39</f>
        <v>0</v>
      </c>
      <c r="Z69" s="410">
        <f>aurora_data!Y39</f>
        <v>0</v>
      </c>
      <c r="AA69" s="410">
        <f>aurora_data!Z39</f>
        <v>0</v>
      </c>
      <c r="AB69" s="410">
        <f>aurora_data!AA39</f>
        <v>0</v>
      </c>
      <c r="AC69" s="411">
        <f>aurora_data!AB39</f>
        <v>0</v>
      </c>
      <c r="AD69" s="408">
        <f>aurora_data!AC39</f>
        <v>0</v>
      </c>
      <c r="AE69" s="410">
        <f>aurora_data!AD39</f>
        <v>0</v>
      </c>
      <c r="AF69" s="410">
        <f>aurora_data!AE39</f>
        <v>0</v>
      </c>
      <c r="AG69" s="411">
        <f>aurora_data!AF39</f>
        <v>0</v>
      </c>
      <c r="AH69" s="408">
        <f>aurora_data!AG39</f>
        <v>0</v>
      </c>
      <c r="AI69" s="410">
        <f>aurora_data!AH39</f>
        <v>0</v>
      </c>
      <c r="AJ69" s="411">
        <f>aurora_data!AI39</f>
        <v>0</v>
      </c>
      <c r="AK69" s="407"/>
      <c r="AL69" s="408">
        <f>aurora_data!AJ39</f>
        <v>0</v>
      </c>
      <c r="AM69" s="409">
        <f t="shared" si="36"/>
        <v>0</v>
      </c>
      <c r="AO69"/>
      <c r="AP69"/>
      <c r="AQ69"/>
      <c r="AR69"/>
      <c r="AS69"/>
      <c r="AT69"/>
      <c r="AU69"/>
      <c r="AV69"/>
      <c r="AW69"/>
      <c r="AX69"/>
      <c r="AY69"/>
    </row>
    <row r="70" spans="2:51">
      <c r="B70" s="452"/>
      <c r="C70" s="454"/>
      <c r="D70" s="35" t="s">
        <v>341</v>
      </c>
      <c r="E70" s="408">
        <f>aurora_data!D40</f>
        <v>0</v>
      </c>
      <c r="F70" s="410">
        <f>aurora_data!E40</f>
        <v>0</v>
      </c>
      <c r="G70" s="410">
        <f>aurora_data!F40</f>
        <v>0</v>
      </c>
      <c r="H70" s="410">
        <f>aurora_data!G40</f>
        <v>0</v>
      </c>
      <c r="I70" s="410">
        <f>aurora_data!H40</f>
        <v>0</v>
      </c>
      <c r="J70" s="408">
        <f>aurora_data!I40</f>
        <v>0</v>
      </c>
      <c r="K70" s="410">
        <f>aurora_data!J40</f>
        <v>0</v>
      </c>
      <c r="L70" s="410">
        <f>aurora_data!K40</f>
        <v>0</v>
      </c>
      <c r="M70" s="410">
        <f>aurora_data!L40</f>
        <v>0</v>
      </c>
      <c r="N70" s="411">
        <f>aurora_data!M40</f>
        <v>0</v>
      </c>
      <c r="O70" s="408">
        <f>aurora_data!N40</f>
        <v>1</v>
      </c>
      <c r="P70" s="410">
        <f>aurora_data!O40</f>
        <v>0</v>
      </c>
      <c r="Q70" s="410">
        <f>aurora_data!P40</f>
        <v>1</v>
      </c>
      <c r="R70" s="410">
        <f>aurora_data!Q40</f>
        <v>1</v>
      </c>
      <c r="S70" s="411">
        <f>aurora_data!R40</f>
        <v>0</v>
      </c>
      <c r="T70" s="408">
        <f>aurora_data!S40</f>
        <v>0</v>
      </c>
      <c r="U70" s="410">
        <f>aurora_data!T40</f>
        <v>1</v>
      </c>
      <c r="V70" s="410">
        <f>aurora_data!U40</f>
        <v>0</v>
      </c>
      <c r="W70" s="410">
        <f>aurora_data!V40</f>
        <v>0</v>
      </c>
      <c r="X70" s="411">
        <f>aurora_data!W40</f>
        <v>0</v>
      </c>
      <c r="Y70" s="408">
        <f>aurora_data!X40</f>
        <v>0</v>
      </c>
      <c r="Z70" s="410">
        <f>aurora_data!Y40</f>
        <v>0</v>
      </c>
      <c r="AA70" s="410">
        <f>aurora_data!Z40</f>
        <v>0</v>
      </c>
      <c r="AB70" s="410">
        <f>aurora_data!AA40</f>
        <v>0</v>
      </c>
      <c r="AC70" s="411">
        <f>aurora_data!AB40</f>
        <v>0</v>
      </c>
      <c r="AD70" s="408">
        <f>aurora_data!AC40</f>
        <v>0</v>
      </c>
      <c r="AE70" s="410">
        <f>aurora_data!AD40</f>
        <v>1</v>
      </c>
      <c r="AF70" s="410">
        <f>aurora_data!AE40</f>
        <v>3</v>
      </c>
      <c r="AG70" s="411">
        <f>aurora_data!AF40</f>
        <v>0</v>
      </c>
      <c r="AH70" s="408">
        <f>aurora_data!AG40</f>
        <v>1</v>
      </c>
      <c r="AI70" s="410">
        <f>aurora_data!AH40</f>
        <v>3</v>
      </c>
      <c r="AJ70" s="411">
        <f>aurora_data!AI40</f>
        <v>0</v>
      </c>
      <c r="AK70" s="407"/>
      <c r="AL70" s="408">
        <f>aurora_data!AJ40</f>
        <v>4</v>
      </c>
      <c r="AM70" s="409">
        <f t="shared" si="36"/>
        <v>0.02</v>
      </c>
      <c r="AO70"/>
      <c r="AP70"/>
      <c r="AQ70"/>
      <c r="AR70"/>
      <c r="AS70"/>
      <c r="AT70"/>
      <c r="AU70"/>
      <c r="AV70"/>
      <c r="AW70"/>
      <c r="AX70"/>
      <c r="AY70"/>
    </row>
    <row r="71" spans="2:51" ht="16.5" thickBot="1">
      <c r="B71" s="452"/>
      <c r="C71" s="454"/>
      <c r="D71" s="35" t="s">
        <v>342</v>
      </c>
      <c r="E71" s="408">
        <f>aurora_data!D41</f>
        <v>0</v>
      </c>
      <c r="F71" s="410">
        <f>aurora_data!E41</f>
        <v>0</v>
      </c>
      <c r="G71" s="410">
        <f>aurora_data!F41</f>
        <v>0</v>
      </c>
      <c r="H71" s="410">
        <f>aurora_data!G41</f>
        <v>0</v>
      </c>
      <c r="I71" s="410">
        <f>aurora_data!H41</f>
        <v>0</v>
      </c>
      <c r="J71" s="408">
        <f>aurora_data!I41</f>
        <v>0</v>
      </c>
      <c r="K71" s="410">
        <f>aurora_data!J41</f>
        <v>0</v>
      </c>
      <c r="L71" s="410">
        <f>aurora_data!K41</f>
        <v>0</v>
      </c>
      <c r="M71" s="410">
        <f>aurora_data!L41</f>
        <v>0</v>
      </c>
      <c r="N71" s="411">
        <f>aurora_data!M41</f>
        <v>0</v>
      </c>
      <c r="O71" s="408">
        <f>aurora_data!N41</f>
        <v>0</v>
      </c>
      <c r="P71" s="410">
        <f>aurora_data!O41</f>
        <v>0</v>
      </c>
      <c r="Q71" s="410">
        <f>aurora_data!P41</f>
        <v>0</v>
      </c>
      <c r="R71" s="410">
        <f>aurora_data!Q41</f>
        <v>0</v>
      </c>
      <c r="S71" s="411">
        <f>aurora_data!R41</f>
        <v>0</v>
      </c>
      <c r="T71" s="408">
        <f>aurora_data!S41</f>
        <v>0</v>
      </c>
      <c r="U71" s="410">
        <f>aurora_data!T41</f>
        <v>0</v>
      </c>
      <c r="V71" s="410">
        <f>aurora_data!U41</f>
        <v>0</v>
      </c>
      <c r="W71" s="410">
        <f>aurora_data!V41</f>
        <v>0</v>
      </c>
      <c r="X71" s="411">
        <f>aurora_data!W41</f>
        <v>0</v>
      </c>
      <c r="Y71" s="408">
        <f>aurora_data!X41</f>
        <v>0</v>
      </c>
      <c r="Z71" s="410">
        <f>aurora_data!Y41</f>
        <v>0</v>
      </c>
      <c r="AA71" s="410">
        <f>aurora_data!Z41</f>
        <v>0</v>
      </c>
      <c r="AB71" s="410">
        <f>aurora_data!AA41</f>
        <v>0</v>
      </c>
      <c r="AC71" s="411">
        <f>aurora_data!AB41</f>
        <v>0</v>
      </c>
      <c r="AD71" s="408">
        <f>aurora_data!AC41</f>
        <v>0</v>
      </c>
      <c r="AE71" s="410">
        <f>aurora_data!AD41</f>
        <v>0</v>
      </c>
      <c r="AF71" s="410">
        <f>aurora_data!AE41</f>
        <v>0</v>
      </c>
      <c r="AG71" s="411">
        <f>aurora_data!AF41</f>
        <v>0</v>
      </c>
      <c r="AH71" s="408">
        <f>aurora_data!AG41</f>
        <v>0</v>
      </c>
      <c r="AI71" s="410">
        <f>aurora_data!AH41</f>
        <v>0</v>
      </c>
      <c r="AJ71" s="411">
        <f>aurora_data!AI41</f>
        <v>0</v>
      </c>
      <c r="AK71" s="412"/>
      <c r="AL71" s="408">
        <f>aurora_data!AJ41</f>
        <v>0</v>
      </c>
      <c r="AM71" s="409">
        <f t="shared" si="36"/>
        <v>0</v>
      </c>
      <c r="AO71"/>
      <c r="AP71"/>
      <c r="AQ71"/>
      <c r="AR71"/>
      <c r="AS71"/>
      <c r="AT71"/>
      <c r="AU71"/>
      <c r="AV71"/>
      <c r="AW71"/>
      <c r="AX71"/>
      <c r="AY71"/>
    </row>
    <row r="72" spans="2:51" ht="16.5" thickBot="1">
      <c r="B72" s="452"/>
      <c r="C72" s="454"/>
      <c r="D72" s="37" t="s">
        <v>17</v>
      </c>
      <c r="E72" s="182">
        <f>aurora_data!D42</f>
        <v>0</v>
      </c>
      <c r="F72" s="183">
        <f>aurora_data!E42</f>
        <v>0</v>
      </c>
      <c r="G72" s="183">
        <f>aurora_data!F42</f>
        <v>2</v>
      </c>
      <c r="H72" s="183">
        <f>aurora_data!G42</f>
        <v>3</v>
      </c>
      <c r="I72" s="184">
        <f>aurora_data!H42</f>
        <v>7</v>
      </c>
      <c r="J72" s="182">
        <f>aurora_data!I42</f>
        <v>2</v>
      </c>
      <c r="K72" s="183">
        <f>aurora_data!J42</f>
        <v>2</v>
      </c>
      <c r="L72" s="183">
        <f>aurora_data!K42</f>
        <v>8</v>
      </c>
      <c r="M72" s="183">
        <f>aurora_data!L42</f>
        <v>9</v>
      </c>
      <c r="N72" s="184">
        <f>aurora_data!M42</f>
        <v>7</v>
      </c>
      <c r="O72" s="182">
        <f>aurora_data!N42</f>
        <v>4</v>
      </c>
      <c r="P72" s="183">
        <f>aurora_data!O42</f>
        <v>6</v>
      </c>
      <c r="Q72" s="183">
        <f>aurora_data!P42</f>
        <v>15</v>
      </c>
      <c r="R72" s="183">
        <f>aurora_data!Q42</f>
        <v>21</v>
      </c>
      <c r="S72" s="184">
        <f>aurora_data!R42</f>
        <v>14</v>
      </c>
      <c r="T72" s="182">
        <f>aurora_data!S42</f>
        <v>1</v>
      </c>
      <c r="U72" s="183">
        <f>aurora_data!T42</f>
        <v>2</v>
      </c>
      <c r="V72" s="183">
        <f>aurora_data!U42</f>
        <v>3</v>
      </c>
      <c r="W72" s="183">
        <f>aurora_data!V42</f>
        <v>7</v>
      </c>
      <c r="X72" s="184">
        <f>aurora_data!W42</f>
        <v>15</v>
      </c>
      <c r="Y72" s="182">
        <f>aurora_data!X42</f>
        <v>2</v>
      </c>
      <c r="Z72" s="183">
        <f>aurora_data!Y42</f>
        <v>2</v>
      </c>
      <c r="AA72" s="183">
        <f>aurora_data!Z42</f>
        <v>21</v>
      </c>
      <c r="AB72" s="183">
        <f>aurora_data!AA42</f>
        <v>31</v>
      </c>
      <c r="AC72" s="184">
        <f>aurora_data!AB42</f>
        <v>51</v>
      </c>
      <c r="AD72" s="182">
        <f>aurora_data!AC42</f>
        <v>72</v>
      </c>
      <c r="AE72" s="183">
        <f>aurora_data!AD42</f>
        <v>47</v>
      </c>
      <c r="AF72" s="183">
        <f>aurora_data!AE42</f>
        <v>71</v>
      </c>
      <c r="AG72" s="184">
        <f>aurora_data!AF42</f>
        <v>45</v>
      </c>
      <c r="AH72" s="182">
        <f>aurora_data!AG42</f>
        <v>134</v>
      </c>
      <c r="AI72" s="183">
        <f>aurora_data!AH42</f>
        <v>101</v>
      </c>
      <c r="AJ72" s="183">
        <f>aurora_data!AI42</f>
        <v>0</v>
      </c>
      <c r="AK72" s="412"/>
      <c r="AL72" s="182">
        <f>aurora_data!AJ42</f>
        <v>235</v>
      </c>
      <c r="AM72" s="413">
        <f t="shared" si="36"/>
        <v>1.175</v>
      </c>
      <c r="AO72"/>
      <c r="AP72"/>
      <c r="AQ72"/>
      <c r="AR72"/>
      <c r="AS72"/>
      <c r="AT72"/>
      <c r="AU72"/>
      <c r="AV72"/>
      <c r="AW72"/>
      <c r="AX72"/>
      <c r="AY72"/>
    </row>
    <row r="73" spans="2:51" ht="16.5" thickBot="1">
      <c r="B73" s="452"/>
      <c r="C73" s="454"/>
      <c r="D73" s="38" t="s">
        <v>343</v>
      </c>
      <c r="E73" s="265">
        <f>aurora_data!D43</f>
        <v>0</v>
      </c>
      <c r="F73" s="266">
        <f>aurora_data!E43</f>
        <v>0</v>
      </c>
      <c r="G73" s="266">
        <f>aurora_data!F43</f>
        <v>0</v>
      </c>
      <c r="H73" s="266">
        <f>aurora_data!G43</f>
        <v>0</v>
      </c>
      <c r="I73" s="266">
        <f>aurora_data!H43</f>
        <v>0</v>
      </c>
      <c r="J73" s="265">
        <f>aurora_data!I43</f>
        <v>0</v>
      </c>
      <c r="K73" s="266">
        <f>aurora_data!J43</f>
        <v>0</v>
      </c>
      <c r="L73" s="266">
        <f>aurora_data!K43</f>
        <v>0</v>
      </c>
      <c r="M73" s="266">
        <f>aurora_data!L43</f>
        <v>0</v>
      </c>
      <c r="N73" s="267">
        <f>aurora_data!M43</f>
        <v>0</v>
      </c>
      <c r="O73" s="265">
        <f>aurora_data!N43</f>
        <v>1</v>
      </c>
      <c r="P73" s="266">
        <f>aurora_data!O43</f>
        <v>0</v>
      </c>
      <c r="Q73" s="266">
        <f>aurora_data!P43</f>
        <v>3</v>
      </c>
      <c r="R73" s="266">
        <f>aurora_data!Q43</f>
        <v>0</v>
      </c>
      <c r="S73" s="267">
        <f>aurora_data!R43</f>
        <v>0</v>
      </c>
      <c r="T73" s="265">
        <f>aurora_data!S43</f>
        <v>0</v>
      </c>
      <c r="U73" s="266">
        <f>aurora_data!T43</f>
        <v>0</v>
      </c>
      <c r="V73" s="266">
        <f>aurora_data!U43</f>
        <v>0</v>
      </c>
      <c r="W73" s="266">
        <f>aurora_data!V43</f>
        <v>0</v>
      </c>
      <c r="X73" s="267">
        <f>aurora_data!W43</f>
        <v>0</v>
      </c>
      <c r="Y73" s="265">
        <f>aurora_data!X43</f>
        <v>0</v>
      </c>
      <c r="Z73" s="266">
        <f>aurora_data!Y43</f>
        <v>1</v>
      </c>
      <c r="AA73" s="266">
        <f>aurora_data!Z43</f>
        <v>1</v>
      </c>
      <c r="AB73" s="266">
        <f>aurora_data!AA43</f>
        <v>0</v>
      </c>
      <c r="AC73" s="267">
        <f>aurora_data!AB43</f>
        <v>1</v>
      </c>
      <c r="AD73" s="265">
        <f>aurora_data!AC43</f>
        <v>1</v>
      </c>
      <c r="AE73" s="266">
        <f>aurora_data!AD43</f>
        <v>2</v>
      </c>
      <c r="AF73" s="266">
        <f>aurora_data!AE43</f>
        <v>3</v>
      </c>
      <c r="AG73" s="267">
        <f>aurora_data!AF43</f>
        <v>1</v>
      </c>
      <c r="AH73" s="265">
        <f>aurora_data!AG43</f>
        <v>4</v>
      </c>
      <c r="AI73" s="266">
        <f>aurora_data!AH43</f>
        <v>3</v>
      </c>
      <c r="AJ73" s="268">
        <f>aurora_data!AI43</f>
        <v>0</v>
      </c>
      <c r="AK73" s="269"/>
      <c r="AL73" s="265">
        <f>aurora_data!AJ43</f>
        <v>7</v>
      </c>
      <c r="AM73" s="270">
        <f t="shared" si="36"/>
        <v>3.5000000000000003E-2</v>
      </c>
      <c r="AO73"/>
      <c r="AP73"/>
      <c r="AQ73"/>
      <c r="AR73"/>
      <c r="AS73"/>
      <c r="AT73"/>
      <c r="AU73"/>
      <c r="AV73"/>
      <c r="AW73"/>
      <c r="AX73"/>
      <c r="AY73"/>
    </row>
    <row r="74" spans="2:51" outlineLevel="1">
      <c r="B74" s="452"/>
      <c r="C74" s="454"/>
      <c r="D74" s="199" t="s">
        <v>344</v>
      </c>
      <c r="E74" s="271">
        <f t="shared" ref="E74:AC74" si="37">ROUNDDOWN((E76+$E$9)*($AL66),0)</f>
        <v>4</v>
      </c>
      <c r="F74" s="272">
        <f t="shared" si="37"/>
        <v>4</v>
      </c>
      <c r="G74" s="272">
        <f t="shared" si="37"/>
        <v>5</v>
      </c>
      <c r="H74" s="272">
        <f t="shared" si="37"/>
        <v>5</v>
      </c>
      <c r="I74" s="272">
        <f t="shared" si="37"/>
        <v>10</v>
      </c>
      <c r="J74" s="271">
        <f t="shared" si="37"/>
        <v>4</v>
      </c>
      <c r="K74" s="272">
        <f t="shared" si="37"/>
        <v>5</v>
      </c>
      <c r="L74" s="272">
        <f t="shared" si="37"/>
        <v>11</v>
      </c>
      <c r="M74" s="272">
        <f t="shared" si="37"/>
        <v>13</v>
      </c>
      <c r="N74" s="268">
        <f t="shared" si="37"/>
        <v>10</v>
      </c>
      <c r="O74" s="271">
        <f t="shared" si="37"/>
        <v>7</v>
      </c>
      <c r="P74" s="272">
        <f t="shared" si="37"/>
        <v>10</v>
      </c>
      <c r="Q74" s="272">
        <f t="shared" si="37"/>
        <v>17</v>
      </c>
      <c r="R74" s="272">
        <f t="shared" si="37"/>
        <v>18</v>
      </c>
      <c r="S74" s="268">
        <f t="shared" si="37"/>
        <v>14</v>
      </c>
      <c r="T74" s="271">
        <f t="shared" si="37"/>
        <v>4</v>
      </c>
      <c r="U74" s="272">
        <f t="shared" si="37"/>
        <v>4</v>
      </c>
      <c r="V74" s="272">
        <f t="shared" si="37"/>
        <v>7</v>
      </c>
      <c r="W74" s="272">
        <f t="shared" si="37"/>
        <v>10</v>
      </c>
      <c r="X74" s="268">
        <f t="shared" si="37"/>
        <v>11</v>
      </c>
      <c r="Y74" s="271">
        <f t="shared" si="37"/>
        <v>5</v>
      </c>
      <c r="Z74" s="272">
        <f t="shared" si="37"/>
        <v>6</v>
      </c>
      <c r="AA74" s="272">
        <f t="shared" si="37"/>
        <v>18</v>
      </c>
      <c r="AB74" s="272">
        <f t="shared" si="37"/>
        <v>35</v>
      </c>
      <c r="AC74" s="268">
        <f t="shared" si="37"/>
        <v>50</v>
      </c>
      <c r="AD74" s="271">
        <f>ROUNDDOWN((AD76+$AD$9)*($AL66),0)</f>
        <v>62</v>
      </c>
      <c r="AE74" s="272">
        <f>ROUNDDOWN((AE76+$AD$9)*($AL66),0)</f>
        <v>50</v>
      </c>
      <c r="AF74" s="272">
        <f t="shared" ref="AF74:AG74" si="38">ROUNDDOWN((AF76+$AD$9)*($AL66),0)</f>
        <v>99</v>
      </c>
      <c r="AG74" s="272">
        <f t="shared" si="38"/>
        <v>67</v>
      </c>
      <c r="AH74" s="271">
        <f>ROUNDDOWN((AH76+$AH$9)*($AL66),0)</f>
        <v>100</v>
      </c>
      <c r="AI74" s="272">
        <f>ROUNDDOWN((AI76+$AH$9)*($AL66),0)</f>
        <v>100</v>
      </c>
      <c r="AJ74" s="268">
        <f>ROUNDDOWN((AJ76+$AH$8)*($AL66),0)</f>
        <v>0</v>
      </c>
      <c r="AK74" s="273"/>
      <c r="AL74" s="274"/>
      <c r="AM74" s="275"/>
      <c r="AO74"/>
      <c r="AP74"/>
      <c r="AQ74"/>
      <c r="AR74"/>
      <c r="AS74"/>
      <c r="AT74"/>
      <c r="AU74"/>
      <c r="AV74"/>
      <c r="AW74"/>
      <c r="AX74"/>
      <c r="AY74"/>
    </row>
    <row r="75" spans="2:51" ht="15.75" customHeight="1" outlineLevel="1" thickBot="1">
      <c r="B75" s="452"/>
      <c r="C75" s="454"/>
      <c r="D75" s="199" t="s">
        <v>345</v>
      </c>
      <c r="E75" s="276">
        <f t="shared" ref="E75:AC75" si="39">IF(ROUND(((E76-$E$9)*($AL66))+0.25,0) &lt;=0,1,((E76-$E$9)*($AL66))+0.25)</f>
        <v>1</v>
      </c>
      <c r="F75" s="277">
        <f t="shared" si="39"/>
        <v>1</v>
      </c>
      <c r="G75" s="277">
        <f t="shared" si="39"/>
        <v>1</v>
      </c>
      <c r="H75" s="277">
        <f t="shared" si="39"/>
        <v>1</v>
      </c>
      <c r="I75" s="277">
        <f t="shared" si="39"/>
        <v>3.0000000000000004</v>
      </c>
      <c r="J75" s="276">
        <f t="shared" si="39"/>
        <v>1</v>
      </c>
      <c r="K75" s="277">
        <f t="shared" si="39"/>
        <v>1</v>
      </c>
      <c r="L75" s="277">
        <f t="shared" si="39"/>
        <v>3.61</v>
      </c>
      <c r="M75" s="277">
        <f t="shared" si="39"/>
        <v>5.6400000000000015</v>
      </c>
      <c r="N75" s="278">
        <f t="shared" si="39"/>
        <v>3.13</v>
      </c>
      <c r="O75" s="276">
        <f t="shared" si="39"/>
        <v>1</v>
      </c>
      <c r="P75" s="277">
        <f t="shared" si="39"/>
        <v>2.4299999999999993</v>
      </c>
      <c r="Q75" s="277">
        <f t="shared" si="39"/>
        <v>9.7699999999999978</v>
      </c>
      <c r="R75" s="277">
        <f t="shared" si="39"/>
        <v>10.98</v>
      </c>
      <c r="S75" s="278">
        <f t="shared" si="39"/>
        <v>6.4999999999999991</v>
      </c>
      <c r="T75" s="276">
        <f t="shared" si="39"/>
        <v>1</v>
      </c>
      <c r="U75" s="277">
        <f t="shared" si="39"/>
        <v>1</v>
      </c>
      <c r="V75" s="277">
        <f t="shared" si="39"/>
        <v>1</v>
      </c>
      <c r="W75" s="277">
        <f t="shared" si="39"/>
        <v>3.0599999999999992</v>
      </c>
      <c r="X75" s="278">
        <f t="shared" si="39"/>
        <v>3.8200000000000003</v>
      </c>
      <c r="Y75" s="276">
        <f t="shared" si="39"/>
        <v>1</v>
      </c>
      <c r="Z75" s="277">
        <f t="shared" si="39"/>
        <v>1</v>
      </c>
      <c r="AA75" s="277">
        <f t="shared" si="39"/>
        <v>11.099999999999998</v>
      </c>
      <c r="AB75" s="277">
        <f t="shared" si="39"/>
        <v>27.63</v>
      </c>
      <c r="AC75" s="278">
        <f t="shared" si="39"/>
        <v>42.91</v>
      </c>
      <c r="AD75" s="276">
        <f>IF(((AD76-$AD$9)*($AL66))+0.5 &lt;0,1,((AD76-$AD$9)*($AL66))+0.5 )</f>
        <v>22.99</v>
      </c>
      <c r="AE75" s="277">
        <f>IF(((AE76-$AD$9)*($AL66))+0.5 &lt;0,1,((AE76-$AD$9)*($AL66))+0.5 )</f>
        <v>10.999999999999998</v>
      </c>
      <c r="AF75" s="277">
        <f t="shared" ref="AF75" si="40">IF(((AF76-$AD$9)*($AL66))+0.5 &lt;0,1,((AF76-$AD$9)*($AL66))+0.5 )</f>
        <v>59.709999999999987</v>
      </c>
      <c r="AG75" s="277">
        <f t="shared" ref="AG75" si="41">IF(((AG76-$AD$9)*($AL66))+0.5 &lt;0,1,((AG76-$AD$9)*($AL66))+0.5 )</f>
        <v>28.299999999999997</v>
      </c>
      <c r="AH75" s="276">
        <f>IF(((AH76-$AH$9)*($AL66))+0.5 &lt;0,1,((AH76-$AH$9)*($AL66)) )</f>
        <v>100</v>
      </c>
      <c r="AI75" s="277">
        <f>IF(((AI76-$AH$9)*($AL66))+0.5 &lt;0,1,((AI76-$AH$9)*($AL66)))</f>
        <v>100</v>
      </c>
      <c r="AJ75" s="278">
        <f>IF(((AJ76-$AH$8)*($AL66))+0.5 &lt;0,1,((AJ76-$AH$8)*($AL66))+0.5 )</f>
        <v>0.5</v>
      </c>
      <c r="AK75" s="273"/>
      <c r="AL75" s="279"/>
      <c r="AM75" s="280"/>
      <c r="AO75"/>
      <c r="AP75"/>
      <c r="AQ75"/>
      <c r="AR75"/>
      <c r="AS75"/>
      <c r="AT75"/>
      <c r="AU75"/>
      <c r="AV75"/>
      <c r="AW75"/>
      <c r="AX75"/>
      <c r="AY75"/>
    </row>
    <row r="76" spans="2:51" ht="15.75" customHeight="1" outlineLevel="1" thickTop="1">
      <c r="B76" s="110"/>
      <c r="C76" s="109"/>
      <c r="D76" s="95" t="s">
        <v>346</v>
      </c>
      <c r="E76" s="414">
        <f t="shared" ref="E76:AJ76" si="42">IFERROR(E66/$AL66,0)</f>
        <v>1.4000000000000002E-3</v>
      </c>
      <c r="F76" s="415">
        <f t="shared" si="42"/>
        <v>2.5500000000000002E-3</v>
      </c>
      <c r="G76" s="415">
        <f t="shared" si="42"/>
        <v>5.7499999999999999E-3</v>
      </c>
      <c r="H76" s="415">
        <f t="shared" si="42"/>
        <v>8.2500000000000004E-3</v>
      </c>
      <c r="I76" s="415">
        <f t="shared" si="42"/>
        <v>3.3750000000000002E-2</v>
      </c>
      <c r="J76" s="414">
        <f t="shared" si="42"/>
        <v>2.5999999999999999E-3</v>
      </c>
      <c r="K76" s="415">
        <f t="shared" si="42"/>
        <v>9.2500000000000013E-3</v>
      </c>
      <c r="L76" s="415">
        <f t="shared" si="42"/>
        <v>3.6799999999999999E-2</v>
      </c>
      <c r="M76" s="415">
        <f t="shared" si="42"/>
        <v>4.6950000000000006E-2</v>
      </c>
      <c r="N76" s="416">
        <f t="shared" si="42"/>
        <v>3.44E-2</v>
      </c>
      <c r="O76" s="414">
        <f t="shared" si="42"/>
        <v>1.9799999999999998E-2</v>
      </c>
      <c r="P76" s="415">
        <f t="shared" si="42"/>
        <v>3.0899999999999997E-2</v>
      </c>
      <c r="Q76" s="415">
        <f t="shared" si="42"/>
        <v>6.7599999999999993E-2</v>
      </c>
      <c r="R76" s="415">
        <f t="shared" si="42"/>
        <v>7.3650000000000007E-2</v>
      </c>
      <c r="S76" s="416">
        <f t="shared" si="42"/>
        <v>5.1249999999999997E-2</v>
      </c>
      <c r="T76" s="414">
        <f t="shared" si="42"/>
        <v>1.4000000000000002E-3</v>
      </c>
      <c r="U76" s="415">
        <f t="shared" si="42"/>
        <v>4.0999999999999995E-3</v>
      </c>
      <c r="V76" s="415">
        <f t="shared" si="42"/>
        <v>1.685E-2</v>
      </c>
      <c r="W76" s="415">
        <f t="shared" si="42"/>
        <v>3.4049999999999997E-2</v>
      </c>
      <c r="X76" s="416">
        <f t="shared" si="42"/>
        <v>3.7850000000000002E-2</v>
      </c>
      <c r="Y76" s="414">
        <f t="shared" si="42"/>
        <v>5.4000000000000003E-3</v>
      </c>
      <c r="Z76" s="415">
        <f t="shared" si="42"/>
        <v>1.1000000000000001E-2</v>
      </c>
      <c r="AA76" s="415">
        <f t="shared" si="42"/>
        <v>7.4249999999999997E-2</v>
      </c>
      <c r="AB76" s="415">
        <f t="shared" si="42"/>
        <v>0.15689999999999998</v>
      </c>
      <c r="AC76" s="416">
        <f t="shared" si="42"/>
        <v>0.23329999999999998</v>
      </c>
      <c r="AD76" s="414">
        <f t="shared" si="42"/>
        <v>0.21245</v>
      </c>
      <c r="AE76" s="415">
        <f t="shared" si="42"/>
        <v>0.1525</v>
      </c>
      <c r="AF76" s="415">
        <f t="shared" si="42"/>
        <v>0.39604999999999996</v>
      </c>
      <c r="AG76" s="416">
        <f t="shared" si="42"/>
        <v>0.23899999999999999</v>
      </c>
      <c r="AH76" s="415">
        <f t="shared" si="42"/>
        <v>0.5</v>
      </c>
      <c r="AI76" s="415">
        <f t="shared" si="42"/>
        <v>0.5</v>
      </c>
      <c r="AJ76" s="415">
        <f t="shared" si="42"/>
        <v>0</v>
      </c>
      <c r="AK76" s="407"/>
      <c r="AL76" s="417"/>
      <c r="AM76" s="418"/>
      <c r="AO76"/>
      <c r="AP76"/>
      <c r="AQ76"/>
      <c r="AR76"/>
      <c r="AS76"/>
      <c r="AT76"/>
      <c r="AU76"/>
      <c r="AV76"/>
      <c r="AW76"/>
      <c r="AX76"/>
      <c r="AY76"/>
    </row>
    <row r="77" spans="2:51" ht="16.5" customHeight="1" outlineLevel="1">
      <c r="B77" s="110"/>
      <c r="C77" s="109"/>
      <c r="D77" s="180" t="s">
        <v>347</v>
      </c>
      <c r="E77" s="414">
        <f t="shared" ref="E77:AJ77" si="43">IFERROR(E67/$AL66,0)</f>
        <v>0</v>
      </c>
      <c r="F77" s="415">
        <f t="shared" si="43"/>
        <v>0</v>
      </c>
      <c r="G77" s="415">
        <f t="shared" si="43"/>
        <v>5.0000000000000001E-3</v>
      </c>
      <c r="H77" s="415">
        <f t="shared" si="43"/>
        <v>0.01</v>
      </c>
      <c r="I77" s="415">
        <f t="shared" si="43"/>
        <v>3.5000000000000003E-2</v>
      </c>
      <c r="J77" s="414">
        <f t="shared" si="43"/>
        <v>5.0000000000000001E-3</v>
      </c>
      <c r="K77" s="415">
        <f t="shared" si="43"/>
        <v>0.01</v>
      </c>
      <c r="L77" s="415">
        <f t="shared" si="43"/>
        <v>3.5000000000000003E-2</v>
      </c>
      <c r="M77" s="415">
        <f t="shared" si="43"/>
        <v>4.4999999999999998E-2</v>
      </c>
      <c r="N77" s="416">
        <f t="shared" si="43"/>
        <v>3.5000000000000003E-2</v>
      </c>
      <c r="O77" s="414">
        <f t="shared" si="43"/>
        <v>1.4999999999999999E-2</v>
      </c>
      <c r="P77" s="415">
        <f t="shared" si="43"/>
        <v>0.03</v>
      </c>
      <c r="Q77" s="415">
        <f t="shared" si="43"/>
        <v>7.0000000000000007E-2</v>
      </c>
      <c r="R77" s="415">
        <f t="shared" si="43"/>
        <v>7.4999999999999997E-2</v>
      </c>
      <c r="S77" s="416">
        <f t="shared" si="43"/>
        <v>0.05</v>
      </c>
      <c r="T77" s="414">
        <f t="shared" si="43"/>
        <v>5.0000000000000001E-3</v>
      </c>
      <c r="U77" s="415">
        <f t="shared" si="43"/>
        <v>5.0000000000000001E-3</v>
      </c>
      <c r="V77" s="415">
        <f t="shared" si="43"/>
        <v>1.4999999999999999E-2</v>
      </c>
      <c r="W77" s="415">
        <f t="shared" si="43"/>
        <v>3.5000000000000003E-2</v>
      </c>
      <c r="X77" s="416">
        <f t="shared" si="43"/>
        <v>0.04</v>
      </c>
      <c r="Y77" s="414">
        <f t="shared" si="43"/>
        <v>5.0000000000000001E-3</v>
      </c>
      <c r="Z77" s="415">
        <f t="shared" si="43"/>
        <v>0.01</v>
      </c>
      <c r="AA77" s="415">
        <f t="shared" si="43"/>
        <v>7.4999999999999997E-2</v>
      </c>
      <c r="AB77" s="415">
        <f t="shared" si="43"/>
        <v>0.155</v>
      </c>
      <c r="AC77" s="416">
        <f t="shared" si="43"/>
        <v>0.215</v>
      </c>
      <c r="AD77" s="414">
        <f t="shared" si="43"/>
        <v>0.26500000000000001</v>
      </c>
      <c r="AE77" s="415">
        <f t="shared" si="43"/>
        <v>0.2</v>
      </c>
      <c r="AF77" s="415">
        <f t="shared" si="43"/>
        <v>0.33500000000000002</v>
      </c>
      <c r="AG77" s="416">
        <f t="shared" si="43"/>
        <v>0.18</v>
      </c>
      <c r="AH77" s="415">
        <f t="shared" si="43"/>
        <v>0.5</v>
      </c>
      <c r="AI77" s="415">
        <f t="shared" si="43"/>
        <v>0.48</v>
      </c>
      <c r="AJ77" s="415">
        <f t="shared" si="43"/>
        <v>0</v>
      </c>
      <c r="AK77" s="407"/>
      <c r="AL77" s="417"/>
      <c r="AM77" s="418"/>
      <c r="AO77"/>
      <c r="AP77"/>
      <c r="AQ77"/>
      <c r="AR77"/>
      <c r="AS77"/>
      <c r="AT77"/>
      <c r="AU77"/>
      <c r="AV77"/>
      <c r="AW77"/>
      <c r="AX77"/>
      <c r="AY77"/>
    </row>
    <row r="78" spans="2:51" ht="16.5" outlineLevel="1" thickBot="1">
      <c r="B78" s="110"/>
      <c r="C78" s="109"/>
      <c r="D78" s="180" t="s">
        <v>348</v>
      </c>
      <c r="E78" s="419">
        <f t="shared" ref="E78:AJ78" si="44">E77-E76</f>
        <v>-1.4000000000000002E-3</v>
      </c>
      <c r="F78" s="420">
        <f t="shared" si="44"/>
        <v>-2.5500000000000002E-3</v>
      </c>
      <c r="G78" s="420">
        <f t="shared" si="44"/>
        <v>-7.499999999999998E-4</v>
      </c>
      <c r="H78" s="420">
        <f t="shared" si="44"/>
        <v>1.7499999999999998E-3</v>
      </c>
      <c r="I78" s="420">
        <f t="shared" si="44"/>
        <v>1.2500000000000011E-3</v>
      </c>
      <c r="J78" s="419">
        <f t="shared" si="44"/>
        <v>2.4000000000000002E-3</v>
      </c>
      <c r="K78" s="420">
        <f t="shared" si="44"/>
        <v>7.4999999999999893E-4</v>
      </c>
      <c r="L78" s="420">
        <f t="shared" si="44"/>
        <v>-1.799999999999996E-3</v>
      </c>
      <c r="M78" s="420">
        <f t="shared" si="44"/>
        <v>-1.9500000000000073E-3</v>
      </c>
      <c r="N78" s="421">
        <f t="shared" si="44"/>
        <v>6.0000000000000331E-4</v>
      </c>
      <c r="O78" s="419">
        <f t="shared" si="44"/>
        <v>-4.7999999999999987E-3</v>
      </c>
      <c r="P78" s="420">
        <f t="shared" si="44"/>
        <v>-8.9999999999999802E-4</v>
      </c>
      <c r="Q78" s="420">
        <f t="shared" si="44"/>
        <v>2.4000000000000132E-3</v>
      </c>
      <c r="R78" s="420">
        <f t="shared" si="44"/>
        <v>1.3499999999999901E-3</v>
      </c>
      <c r="S78" s="421">
        <f t="shared" si="44"/>
        <v>-1.2499999999999942E-3</v>
      </c>
      <c r="T78" s="419">
        <f t="shared" si="44"/>
        <v>3.5999999999999999E-3</v>
      </c>
      <c r="U78" s="420">
        <f t="shared" si="44"/>
        <v>9.0000000000000063E-4</v>
      </c>
      <c r="V78" s="420">
        <f t="shared" si="44"/>
        <v>-1.8500000000000009E-3</v>
      </c>
      <c r="W78" s="420">
        <f t="shared" si="44"/>
        <v>9.5000000000000639E-4</v>
      </c>
      <c r="X78" s="421">
        <f t="shared" si="44"/>
        <v>2.1499999999999991E-3</v>
      </c>
      <c r="Y78" s="419">
        <f t="shared" si="44"/>
        <v>-4.0000000000000018E-4</v>
      </c>
      <c r="Z78" s="420">
        <f t="shared" si="44"/>
        <v>-1.0000000000000009E-3</v>
      </c>
      <c r="AA78" s="420">
        <f t="shared" si="44"/>
        <v>7.5000000000000067E-4</v>
      </c>
      <c r="AB78" s="420">
        <f t="shared" si="44"/>
        <v>-1.899999999999985E-3</v>
      </c>
      <c r="AC78" s="421">
        <f t="shared" si="44"/>
        <v>-1.8299999999999983E-2</v>
      </c>
      <c r="AD78" s="419">
        <f t="shared" si="44"/>
        <v>5.2550000000000013E-2</v>
      </c>
      <c r="AE78" s="420">
        <f t="shared" si="44"/>
        <v>4.7500000000000014E-2</v>
      </c>
      <c r="AF78" s="420">
        <f t="shared" si="44"/>
        <v>-6.1049999999999938E-2</v>
      </c>
      <c r="AG78" s="421">
        <f t="shared" si="44"/>
        <v>-5.8999999999999997E-2</v>
      </c>
      <c r="AH78" s="420">
        <f t="shared" si="44"/>
        <v>0</v>
      </c>
      <c r="AI78" s="420">
        <f t="shared" si="44"/>
        <v>-2.0000000000000018E-2</v>
      </c>
      <c r="AJ78" s="420">
        <f t="shared" si="44"/>
        <v>0</v>
      </c>
      <c r="AK78" s="407"/>
      <c r="AL78" s="422"/>
      <c r="AM78" s="423"/>
      <c r="AO78"/>
      <c r="AP78"/>
      <c r="AQ78"/>
      <c r="AR78"/>
      <c r="AS78"/>
      <c r="AT78"/>
      <c r="AU78"/>
      <c r="AV78"/>
      <c r="AW78"/>
      <c r="AX78"/>
      <c r="AY78"/>
    </row>
    <row r="79" spans="2:51" ht="16.5" thickTop="1">
      <c r="B79" s="451" t="s">
        <v>338</v>
      </c>
      <c r="C79" s="453" t="str">
        <f>aurora_data!A44</f>
        <v>11.00.00-11.11.30</v>
      </c>
      <c r="D79" s="34" t="s">
        <v>306</v>
      </c>
      <c r="E79" s="152">
        <f>aurora_data!D44</f>
        <v>0.47</v>
      </c>
      <c r="F79" s="153">
        <f>aurora_data!E44</f>
        <v>0.5</v>
      </c>
      <c r="G79" s="153">
        <f>aurora_data!F44</f>
        <v>1.1499999999999999</v>
      </c>
      <c r="H79" s="153">
        <f>aurora_data!G44</f>
        <v>1.86</v>
      </c>
      <c r="I79" s="153">
        <f>aurora_data!H44</f>
        <v>6.87</v>
      </c>
      <c r="J79" s="152">
        <f>aurora_data!I44</f>
        <v>0.6</v>
      </c>
      <c r="K79" s="153">
        <f>aurora_data!J44</f>
        <v>1.85</v>
      </c>
      <c r="L79" s="153">
        <f>aurora_data!K44</f>
        <v>6.52</v>
      </c>
      <c r="M79" s="153">
        <f>aurora_data!L44</f>
        <v>9.7799999999999994</v>
      </c>
      <c r="N79" s="154">
        <f>aurora_data!M44</f>
        <v>6.49</v>
      </c>
      <c r="O79" s="152">
        <f>aurora_data!N44</f>
        <v>4.08</v>
      </c>
      <c r="P79" s="153">
        <f>aurora_data!O44</f>
        <v>6.61</v>
      </c>
      <c r="Q79" s="153">
        <f>aurora_data!P44</f>
        <v>13.96</v>
      </c>
      <c r="R79" s="153">
        <f>aurora_data!Q44</f>
        <v>14.67</v>
      </c>
      <c r="S79" s="154">
        <f>aurora_data!R44</f>
        <v>10.09</v>
      </c>
      <c r="T79" s="152">
        <f>aurora_data!S44</f>
        <v>0.38</v>
      </c>
      <c r="U79" s="153">
        <f>aurora_data!T44</f>
        <v>0.8</v>
      </c>
      <c r="V79" s="153">
        <f>aurora_data!U44</f>
        <v>3.31</v>
      </c>
      <c r="W79" s="153">
        <f>aurora_data!V44</f>
        <v>6.51</v>
      </c>
      <c r="X79" s="154">
        <f>aurora_data!W44</f>
        <v>8.0500000000000007</v>
      </c>
      <c r="Y79" s="152">
        <f>aurora_data!X44</f>
        <v>1.21</v>
      </c>
      <c r="Z79" s="153">
        <f>aurora_data!Y44</f>
        <v>1.81</v>
      </c>
      <c r="AA79" s="153">
        <f>aurora_data!Z44</f>
        <v>14.61</v>
      </c>
      <c r="AB79" s="153">
        <f>aurora_data!AA44</f>
        <v>31.13</v>
      </c>
      <c r="AC79" s="154">
        <f>aurora_data!AB44</f>
        <v>46.67</v>
      </c>
      <c r="AD79" s="152">
        <f>aurora_data!AC44</f>
        <v>41.65</v>
      </c>
      <c r="AE79" s="153">
        <f>aurora_data!AD44</f>
        <v>32.08</v>
      </c>
      <c r="AF79" s="153">
        <f>aurora_data!AE44</f>
        <v>78.94</v>
      </c>
      <c r="AG79" s="154">
        <f>aurora_data!AF44</f>
        <v>47.33</v>
      </c>
      <c r="AH79" s="155">
        <f>aurora_data!AG44</f>
        <v>100</v>
      </c>
      <c r="AI79" s="171">
        <f>aurora_data!AH44</f>
        <v>100</v>
      </c>
      <c r="AJ79" s="171">
        <f>aurora_data!AI44</f>
        <v>0</v>
      </c>
      <c r="AK79" s="407"/>
      <c r="AL79" s="155">
        <f>aurora_data!AJ44</f>
        <v>200</v>
      </c>
      <c r="AM79" s="167">
        <f t="shared" ref="AM79:AM86" si="45">SUM(AL79)/$AL$79</f>
        <v>1</v>
      </c>
      <c r="AO79"/>
      <c r="AP79"/>
      <c r="AQ79"/>
      <c r="AR79"/>
      <c r="AS79"/>
      <c r="AT79"/>
      <c r="AU79"/>
      <c r="AV79"/>
      <c r="AW79"/>
      <c r="AX79"/>
      <c r="AY79"/>
    </row>
    <row r="80" spans="2:51">
      <c r="B80" s="452"/>
      <c r="C80" s="454"/>
      <c r="D80" s="35" t="s">
        <v>339</v>
      </c>
      <c r="E80" s="262">
        <f>aurora_data!D45</f>
        <v>1</v>
      </c>
      <c r="F80" s="263">
        <f>aurora_data!E45</f>
        <v>0</v>
      </c>
      <c r="G80" s="263">
        <f>aurora_data!F45</f>
        <v>1</v>
      </c>
      <c r="H80" s="263">
        <f>aurora_data!G45</f>
        <v>2</v>
      </c>
      <c r="I80" s="263">
        <f>aurora_data!H45</f>
        <v>6</v>
      </c>
      <c r="J80" s="262">
        <f>aurora_data!I45</f>
        <v>1</v>
      </c>
      <c r="K80" s="263">
        <f>aurora_data!J45</f>
        <v>2</v>
      </c>
      <c r="L80" s="263">
        <f>aurora_data!K45</f>
        <v>7</v>
      </c>
      <c r="M80" s="263">
        <f>aurora_data!L45</f>
        <v>10</v>
      </c>
      <c r="N80" s="264">
        <f>aurora_data!M45</f>
        <v>6</v>
      </c>
      <c r="O80" s="262">
        <f>aurora_data!N45</f>
        <v>4</v>
      </c>
      <c r="P80" s="263">
        <f>aurora_data!O45</f>
        <v>6</v>
      </c>
      <c r="Q80" s="263">
        <f>aurora_data!P45</f>
        <v>14</v>
      </c>
      <c r="R80" s="263">
        <f>aurora_data!Q45</f>
        <v>15</v>
      </c>
      <c r="S80" s="264">
        <f>aurora_data!R45</f>
        <v>10</v>
      </c>
      <c r="T80" s="262">
        <f>aurora_data!S45</f>
        <v>0</v>
      </c>
      <c r="U80" s="263">
        <f>aurora_data!T45</f>
        <v>0</v>
      </c>
      <c r="V80" s="263">
        <f>aurora_data!U45</f>
        <v>3</v>
      </c>
      <c r="W80" s="263">
        <f>aurora_data!V45</f>
        <v>7</v>
      </c>
      <c r="X80" s="264">
        <f>aurora_data!W45</f>
        <v>8</v>
      </c>
      <c r="Y80" s="262">
        <f>aurora_data!X45</f>
        <v>1</v>
      </c>
      <c r="Z80" s="263">
        <f>aurora_data!Y45</f>
        <v>0</v>
      </c>
      <c r="AA80" s="263">
        <f>aurora_data!Z45</f>
        <v>14</v>
      </c>
      <c r="AB80" s="263">
        <f>aurora_data!AA45</f>
        <v>30</v>
      </c>
      <c r="AC80" s="264">
        <f>aurora_data!AB45</f>
        <v>47</v>
      </c>
      <c r="AD80" s="262">
        <f>aurora_data!AC45</f>
        <v>54</v>
      </c>
      <c r="AE80" s="263">
        <f>aurora_data!AD45</f>
        <v>31</v>
      </c>
      <c r="AF80" s="263">
        <f>aurora_data!AE45</f>
        <v>63</v>
      </c>
      <c r="AG80" s="264">
        <f>aurora_data!AF45</f>
        <v>47</v>
      </c>
      <c r="AH80" s="262">
        <f>aurora_data!AG45</f>
        <v>96</v>
      </c>
      <c r="AI80" s="263">
        <f>aurora_data!AH45</f>
        <v>99</v>
      </c>
      <c r="AJ80" s="264">
        <f>aurora_data!AI45</f>
        <v>0</v>
      </c>
      <c r="AK80" s="407"/>
      <c r="AL80" s="408">
        <f>aurora_data!AJ45</f>
        <v>195</v>
      </c>
      <c r="AM80" s="409">
        <f t="shared" si="45"/>
        <v>0.97499999999999998</v>
      </c>
      <c r="AO80"/>
      <c r="AP80"/>
      <c r="AQ80"/>
      <c r="AR80"/>
      <c r="AS80"/>
      <c r="AT80"/>
      <c r="AU80"/>
      <c r="AV80"/>
      <c r="AW80"/>
      <c r="AX80"/>
      <c r="AY80"/>
    </row>
    <row r="81" spans="2:51">
      <c r="B81" s="452"/>
      <c r="C81" s="454"/>
      <c r="D81" s="35" t="s">
        <v>291</v>
      </c>
      <c r="E81" s="408">
        <f>aurora_data!D46</f>
        <v>0</v>
      </c>
      <c r="F81" s="410">
        <f>aurora_data!E46</f>
        <v>0</v>
      </c>
      <c r="G81" s="410">
        <f>aurora_data!F46</f>
        <v>1</v>
      </c>
      <c r="H81" s="410">
        <f>aurora_data!G46</f>
        <v>0</v>
      </c>
      <c r="I81" s="410">
        <f>aurora_data!H46</f>
        <v>0</v>
      </c>
      <c r="J81" s="408">
        <f>aurora_data!I46</f>
        <v>1</v>
      </c>
      <c r="K81" s="410">
        <f>aurora_data!J46</f>
        <v>1</v>
      </c>
      <c r="L81" s="410">
        <f>aurora_data!K46</f>
        <v>0</v>
      </c>
      <c r="M81" s="410">
        <f>aurora_data!L46</f>
        <v>1</v>
      </c>
      <c r="N81" s="411">
        <f>aurora_data!M46</f>
        <v>6</v>
      </c>
      <c r="O81" s="408">
        <f>aurora_data!N46</f>
        <v>0</v>
      </c>
      <c r="P81" s="410">
        <f>aurora_data!O46</f>
        <v>0</v>
      </c>
      <c r="Q81" s="410">
        <f>aurora_data!P46</f>
        <v>0</v>
      </c>
      <c r="R81" s="410">
        <f>aurora_data!Q46</f>
        <v>4</v>
      </c>
      <c r="S81" s="411">
        <f>aurora_data!R46</f>
        <v>1</v>
      </c>
      <c r="T81" s="408">
        <f>aurora_data!S46</f>
        <v>0</v>
      </c>
      <c r="U81" s="410">
        <f>aurora_data!T46</f>
        <v>0</v>
      </c>
      <c r="V81" s="410">
        <f>aurora_data!U46</f>
        <v>0</v>
      </c>
      <c r="W81" s="410">
        <f>aurora_data!V46</f>
        <v>1</v>
      </c>
      <c r="X81" s="411">
        <f>aurora_data!W46</f>
        <v>5</v>
      </c>
      <c r="Y81" s="408">
        <f>aurora_data!X46</f>
        <v>0</v>
      </c>
      <c r="Z81" s="410">
        <f>aurora_data!Y46</f>
        <v>0</v>
      </c>
      <c r="AA81" s="410">
        <f>aurora_data!Z46</f>
        <v>0</v>
      </c>
      <c r="AB81" s="410">
        <f>aurora_data!AA46</f>
        <v>0</v>
      </c>
      <c r="AC81" s="411">
        <f>aurora_data!AB46</f>
        <v>7</v>
      </c>
      <c r="AD81" s="408">
        <f>aurora_data!AC46</f>
        <v>19</v>
      </c>
      <c r="AE81" s="410">
        <f>aurora_data!AD46</f>
        <v>5</v>
      </c>
      <c r="AF81" s="410">
        <f>aurora_data!AE46</f>
        <v>1</v>
      </c>
      <c r="AG81" s="411">
        <f>aurora_data!AF46</f>
        <v>3</v>
      </c>
      <c r="AH81" s="408">
        <f>aurora_data!AG46</f>
        <v>13</v>
      </c>
      <c r="AI81" s="410">
        <f>aurora_data!AH46</f>
        <v>15</v>
      </c>
      <c r="AJ81" s="411">
        <f>aurora_data!AI46</f>
        <v>0</v>
      </c>
      <c r="AK81" s="407"/>
      <c r="AL81" s="408">
        <f>aurora_data!AJ46</f>
        <v>28</v>
      </c>
      <c r="AM81" s="409">
        <f t="shared" si="45"/>
        <v>0.14000000000000001</v>
      </c>
      <c r="AO81"/>
      <c r="AP81"/>
      <c r="AQ81"/>
      <c r="AR81"/>
      <c r="AS81"/>
      <c r="AT81"/>
      <c r="AU81"/>
      <c r="AV81"/>
      <c r="AW81"/>
      <c r="AX81"/>
      <c r="AY81"/>
    </row>
    <row r="82" spans="2:51">
      <c r="B82" s="452"/>
      <c r="C82" s="454"/>
      <c r="D82" s="35" t="s">
        <v>340</v>
      </c>
      <c r="E82" s="408">
        <f>aurora_data!D47</f>
        <v>0</v>
      </c>
      <c r="F82" s="410">
        <f>aurora_data!E47</f>
        <v>0</v>
      </c>
      <c r="G82" s="410">
        <f>aurora_data!F47</f>
        <v>0</v>
      </c>
      <c r="H82" s="410">
        <f>aurora_data!G47</f>
        <v>0</v>
      </c>
      <c r="I82" s="410">
        <f>aurora_data!H47</f>
        <v>1</v>
      </c>
      <c r="J82" s="408">
        <f>aurora_data!I47</f>
        <v>0</v>
      </c>
      <c r="K82" s="410">
        <f>aurora_data!J47</f>
        <v>0</v>
      </c>
      <c r="L82" s="410">
        <f>aurora_data!K47</f>
        <v>0</v>
      </c>
      <c r="M82" s="410">
        <f>aurora_data!L47</f>
        <v>0</v>
      </c>
      <c r="N82" s="411">
        <f>aurora_data!M47</f>
        <v>0</v>
      </c>
      <c r="O82" s="408">
        <f>aurora_data!N47</f>
        <v>0</v>
      </c>
      <c r="P82" s="410">
        <f>aurora_data!O47</f>
        <v>0</v>
      </c>
      <c r="Q82" s="410">
        <f>aurora_data!P47</f>
        <v>1</v>
      </c>
      <c r="R82" s="410">
        <f>aurora_data!Q47</f>
        <v>0</v>
      </c>
      <c r="S82" s="411">
        <f>aurora_data!R47</f>
        <v>0</v>
      </c>
      <c r="T82" s="408">
        <f>aurora_data!S47</f>
        <v>0</v>
      </c>
      <c r="U82" s="410">
        <f>aurora_data!T47</f>
        <v>0</v>
      </c>
      <c r="V82" s="410">
        <f>aurora_data!U47</f>
        <v>0</v>
      </c>
      <c r="W82" s="410">
        <f>aurora_data!V47</f>
        <v>0</v>
      </c>
      <c r="X82" s="411">
        <f>aurora_data!W47</f>
        <v>0</v>
      </c>
      <c r="Y82" s="408">
        <f>aurora_data!X47</f>
        <v>0</v>
      </c>
      <c r="Z82" s="410">
        <f>aurora_data!Y47</f>
        <v>0</v>
      </c>
      <c r="AA82" s="410">
        <f>aurora_data!Z47</f>
        <v>1</v>
      </c>
      <c r="AB82" s="410">
        <f>aurora_data!AA47</f>
        <v>0</v>
      </c>
      <c r="AC82" s="411">
        <f>aurora_data!AB47</f>
        <v>0</v>
      </c>
      <c r="AD82" s="408">
        <f>aurora_data!AC47</f>
        <v>0</v>
      </c>
      <c r="AE82" s="410">
        <f>aurora_data!AD47</f>
        <v>2</v>
      </c>
      <c r="AF82" s="410">
        <f>aurora_data!AE47</f>
        <v>0</v>
      </c>
      <c r="AG82" s="411">
        <f>aurora_data!AF47</f>
        <v>1</v>
      </c>
      <c r="AH82" s="408">
        <f>aurora_data!AG47</f>
        <v>1</v>
      </c>
      <c r="AI82" s="410">
        <f>aurora_data!AH47</f>
        <v>2</v>
      </c>
      <c r="AJ82" s="411">
        <f>aurora_data!AI47</f>
        <v>0</v>
      </c>
      <c r="AK82" s="407"/>
      <c r="AL82" s="408">
        <f>aurora_data!AJ47</f>
        <v>3</v>
      </c>
      <c r="AM82" s="409">
        <f t="shared" si="45"/>
        <v>1.4999999999999999E-2</v>
      </c>
      <c r="AO82"/>
      <c r="AP82"/>
      <c r="AQ82"/>
      <c r="AR82"/>
      <c r="AS82"/>
      <c r="AT82"/>
      <c r="AU82"/>
      <c r="AV82"/>
      <c r="AW82"/>
      <c r="AX82"/>
      <c r="AY82"/>
    </row>
    <row r="83" spans="2:51">
      <c r="B83" s="452"/>
      <c r="C83" s="454"/>
      <c r="D83" s="35" t="s">
        <v>341</v>
      </c>
      <c r="E83" s="408">
        <f>aurora_data!D48</f>
        <v>0</v>
      </c>
      <c r="F83" s="410">
        <f>aurora_data!E48</f>
        <v>0</v>
      </c>
      <c r="G83" s="410">
        <f>aurora_data!F48</f>
        <v>0</v>
      </c>
      <c r="H83" s="410">
        <f>aurora_data!G48</f>
        <v>0</v>
      </c>
      <c r="I83" s="410">
        <f>aurora_data!H48</f>
        <v>0</v>
      </c>
      <c r="J83" s="408">
        <f>aurora_data!I48</f>
        <v>0</v>
      </c>
      <c r="K83" s="410">
        <f>aurora_data!J48</f>
        <v>0</v>
      </c>
      <c r="L83" s="410">
        <f>aurora_data!K48</f>
        <v>0</v>
      </c>
      <c r="M83" s="410">
        <f>aurora_data!L48</f>
        <v>0</v>
      </c>
      <c r="N83" s="411">
        <f>aurora_data!M48</f>
        <v>0</v>
      </c>
      <c r="O83" s="408">
        <f>aurora_data!N48</f>
        <v>0</v>
      </c>
      <c r="P83" s="410">
        <f>aurora_data!O48</f>
        <v>0</v>
      </c>
      <c r="Q83" s="410">
        <f>aurora_data!P48</f>
        <v>0</v>
      </c>
      <c r="R83" s="410">
        <f>aurora_data!Q48</f>
        <v>0</v>
      </c>
      <c r="S83" s="411">
        <f>aurora_data!R48</f>
        <v>0</v>
      </c>
      <c r="T83" s="408">
        <f>aurora_data!S48</f>
        <v>0</v>
      </c>
      <c r="U83" s="410">
        <f>aurora_data!T48</f>
        <v>0</v>
      </c>
      <c r="V83" s="410">
        <f>aurora_data!U48</f>
        <v>0</v>
      </c>
      <c r="W83" s="410">
        <f>aurora_data!V48</f>
        <v>0</v>
      </c>
      <c r="X83" s="411">
        <f>aurora_data!W48</f>
        <v>0</v>
      </c>
      <c r="Y83" s="408">
        <f>aurora_data!X48</f>
        <v>0</v>
      </c>
      <c r="Z83" s="410">
        <f>aurora_data!Y48</f>
        <v>2</v>
      </c>
      <c r="AA83" s="410">
        <f>aurora_data!Z48</f>
        <v>0</v>
      </c>
      <c r="AB83" s="410">
        <f>aurora_data!AA48</f>
        <v>1</v>
      </c>
      <c r="AC83" s="411">
        <f>aurora_data!AB48</f>
        <v>0</v>
      </c>
      <c r="AD83" s="408">
        <f>aurora_data!AC48</f>
        <v>1</v>
      </c>
      <c r="AE83" s="410">
        <f>aurora_data!AD48</f>
        <v>0</v>
      </c>
      <c r="AF83" s="410">
        <f>aurora_data!AE48</f>
        <v>1</v>
      </c>
      <c r="AG83" s="411">
        <f>aurora_data!AF48</f>
        <v>1</v>
      </c>
      <c r="AH83" s="408">
        <f>aurora_data!AG48</f>
        <v>1</v>
      </c>
      <c r="AI83" s="410">
        <f>aurora_data!AH48</f>
        <v>2</v>
      </c>
      <c r="AJ83" s="411">
        <f>aurora_data!AI48</f>
        <v>0</v>
      </c>
      <c r="AK83" s="407"/>
      <c r="AL83" s="408">
        <f>aurora_data!AJ48</f>
        <v>3</v>
      </c>
      <c r="AM83" s="409">
        <f t="shared" si="45"/>
        <v>1.4999999999999999E-2</v>
      </c>
      <c r="AO83"/>
      <c r="AP83"/>
      <c r="AQ83"/>
      <c r="AR83"/>
      <c r="AS83"/>
      <c r="AT83"/>
      <c r="AU83"/>
      <c r="AV83"/>
      <c r="AW83"/>
      <c r="AX83"/>
      <c r="AY83"/>
    </row>
    <row r="84" spans="2:51" ht="16.5" thickBot="1">
      <c r="B84" s="452"/>
      <c r="C84" s="454"/>
      <c r="D84" s="35" t="s">
        <v>342</v>
      </c>
      <c r="E84" s="408">
        <f>aurora_data!D49</f>
        <v>0</v>
      </c>
      <c r="F84" s="410">
        <f>aurora_data!E49</f>
        <v>0</v>
      </c>
      <c r="G84" s="410">
        <f>aurora_data!F49</f>
        <v>0</v>
      </c>
      <c r="H84" s="410">
        <f>aurora_data!G49</f>
        <v>0</v>
      </c>
      <c r="I84" s="410">
        <f>aurora_data!H49</f>
        <v>0</v>
      </c>
      <c r="J84" s="408">
        <f>aurora_data!I49</f>
        <v>0</v>
      </c>
      <c r="K84" s="410">
        <f>aurora_data!J49</f>
        <v>0</v>
      </c>
      <c r="L84" s="410">
        <f>aurora_data!K49</f>
        <v>0</v>
      </c>
      <c r="M84" s="410">
        <f>aurora_data!L49</f>
        <v>0</v>
      </c>
      <c r="N84" s="411">
        <f>aurora_data!M49</f>
        <v>0</v>
      </c>
      <c r="O84" s="408">
        <f>aurora_data!N49</f>
        <v>0</v>
      </c>
      <c r="P84" s="410">
        <f>aurora_data!O49</f>
        <v>0</v>
      </c>
      <c r="Q84" s="410">
        <f>aurora_data!P49</f>
        <v>0</v>
      </c>
      <c r="R84" s="410">
        <f>aurora_data!Q49</f>
        <v>0</v>
      </c>
      <c r="S84" s="411">
        <f>aurora_data!R49</f>
        <v>0</v>
      </c>
      <c r="T84" s="408">
        <f>aurora_data!S49</f>
        <v>0</v>
      </c>
      <c r="U84" s="410">
        <f>aurora_data!T49</f>
        <v>0</v>
      </c>
      <c r="V84" s="410">
        <f>aurora_data!U49</f>
        <v>0</v>
      </c>
      <c r="W84" s="410">
        <f>aurora_data!V49</f>
        <v>0</v>
      </c>
      <c r="X84" s="411">
        <f>aurora_data!W49</f>
        <v>0</v>
      </c>
      <c r="Y84" s="408">
        <f>aurora_data!X49</f>
        <v>0</v>
      </c>
      <c r="Z84" s="410">
        <f>aurora_data!Y49</f>
        <v>0</v>
      </c>
      <c r="AA84" s="410">
        <f>aurora_data!Z49</f>
        <v>0</v>
      </c>
      <c r="AB84" s="410">
        <f>aurora_data!AA49</f>
        <v>0</v>
      </c>
      <c r="AC84" s="411">
        <f>aurora_data!AB49</f>
        <v>1</v>
      </c>
      <c r="AD84" s="408">
        <f>aurora_data!AC49</f>
        <v>0</v>
      </c>
      <c r="AE84" s="410">
        <f>aurora_data!AD49</f>
        <v>0</v>
      </c>
      <c r="AF84" s="410">
        <f>aurora_data!AE49</f>
        <v>1</v>
      </c>
      <c r="AG84" s="411">
        <f>aurora_data!AF49</f>
        <v>0</v>
      </c>
      <c r="AH84" s="408">
        <f>aurora_data!AG49</f>
        <v>1</v>
      </c>
      <c r="AI84" s="410">
        <f>aurora_data!AH49</f>
        <v>0</v>
      </c>
      <c r="AJ84" s="411">
        <f>aurora_data!AI49</f>
        <v>0</v>
      </c>
      <c r="AK84" s="412"/>
      <c r="AL84" s="408">
        <f>aurora_data!AJ49</f>
        <v>1</v>
      </c>
      <c r="AM84" s="409">
        <f t="shared" si="45"/>
        <v>5.0000000000000001E-3</v>
      </c>
      <c r="AO84"/>
      <c r="AP84"/>
      <c r="AQ84"/>
      <c r="AR84"/>
      <c r="AS84"/>
      <c r="AT84"/>
      <c r="AU84"/>
      <c r="AV84"/>
      <c r="AW84"/>
      <c r="AX84"/>
      <c r="AY84"/>
    </row>
    <row r="85" spans="2:51" ht="16.5" thickBot="1">
      <c r="B85" s="452"/>
      <c r="C85" s="454"/>
      <c r="D85" s="37" t="s">
        <v>17</v>
      </c>
      <c r="E85" s="182">
        <f>aurora_data!D50</f>
        <v>1</v>
      </c>
      <c r="F85" s="183">
        <f>aurora_data!E50</f>
        <v>0</v>
      </c>
      <c r="G85" s="183">
        <f>aurora_data!F50</f>
        <v>2</v>
      </c>
      <c r="H85" s="183">
        <f>aurora_data!G50</f>
        <v>2</v>
      </c>
      <c r="I85" s="184">
        <f>aurora_data!H50</f>
        <v>7</v>
      </c>
      <c r="J85" s="182">
        <f>aurora_data!I50</f>
        <v>2</v>
      </c>
      <c r="K85" s="183">
        <f>aurora_data!J50</f>
        <v>3</v>
      </c>
      <c r="L85" s="183">
        <f>aurora_data!K50</f>
        <v>7</v>
      </c>
      <c r="M85" s="183">
        <f>aurora_data!L50</f>
        <v>11</v>
      </c>
      <c r="N85" s="184">
        <f>aurora_data!M50</f>
        <v>12</v>
      </c>
      <c r="O85" s="182">
        <f>aurora_data!N50</f>
        <v>4</v>
      </c>
      <c r="P85" s="183">
        <f>aurora_data!O50</f>
        <v>6</v>
      </c>
      <c r="Q85" s="183">
        <f>aurora_data!P50</f>
        <v>15</v>
      </c>
      <c r="R85" s="183">
        <f>aurora_data!Q50</f>
        <v>19</v>
      </c>
      <c r="S85" s="184">
        <f>aurora_data!R50</f>
        <v>11</v>
      </c>
      <c r="T85" s="182">
        <f>aurora_data!S50</f>
        <v>0</v>
      </c>
      <c r="U85" s="183">
        <f>aurora_data!T50</f>
        <v>0</v>
      </c>
      <c r="V85" s="183">
        <f>aurora_data!U50</f>
        <v>3</v>
      </c>
      <c r="W85" s="183">
        <f>aurora_data!V50</f>
        <v>8</v>
      </c>
      <c r="X85" s="184">
        <f>aurora_data!W50</f>
        <v>13</v>
      </c>
      <c r="Y85" s="182">
        <f>aurora_data!X50</f>
        <v>1</v>
      </c>
      <c r="Z85" s="183">
        <f>aurora_data!Y50</f>
        <v>2</v>
      </c>
      <c r="AA85" s="183">
        <f>aurora_data!Z50</f>
        <v>15</v>
      </c>
      <c r="AB85" s="183">
        <f>aurora_data!AA50</f>
        <v>31</v>
      </c>
      <c r="AC85" s="184">
        <f>aurora_data!AB50</f>
        <v>55</v>
      </c>
      <c r="AD85" s="182">
        <f>aurora_data!AC50</f>
        <v>74</v>
      </c>
      <c r="AE85" s="183">
        <f>aurora_data!AD50</f>
        <v>38</v>
      </c>
      <c r="AF85" s="183">
        <f>aurora_data!AE50</f>
        <v>66</v>
      </c>
      <c r="AG85" s="184">
        <f>aurora_data!AF50</f>
        <v>52</v>
      </c>
      <c r="AH85" s="182">
        <f>aurora_data!AG50</f>
        <v>112</v>
      </c>
      <c r="AI85" s="183">
        <f>aurora_data!AH50</f>
        <v>118</v>
      </c>
      <c r="AJ85" s="183">
        <f>aurora_data!AI50</f>
        <v>0</v>
      </c>
      <c r="AK85" s="412"/>
      <c r="AL85" s="182">
        <f>aurora_data!AJ50</f>
        <v>230</v>
      </c>
      <c r="AM85" s="413">
        <f t="shared" si="45"/>
        <v>1.1499999999999999</v>
      </c>
      <c r="AO85"/>
      <c r="AP85"/>
      <c r="AQ85"/>
      <c r="AR85"/>
      <c r="AS85"/>
      <c r="AT85"/>
      <c r="AU85"/>
      <c r="AV85"/>
      <c r="AW85"/>
      <c r="AX85"/>
      <c r="AY85"/>
    </row>
    <row r="86" spans="2:51" ht="16.5" thickBot="1">
      <c r="B86" s="452"/>
      <c r="C86" s="454"/>
      <c r="D86" s="38" t="s">
        <v>343</v>
      </c>
      <c r="E86" s="265">
        <f>aurora_data!D51</f>
        <v>0</v>
      </c>
      <c r="F86" s="266">
        <f>aurora_data!E51</f>
        <v>0</v>
      </c>
      <c r="G86" s="266">
        <f>aurora_data!F51</f>
        <v>0</v>
      </c>
      <c r="H86" s="266">
        <f>aurora_data!G51</f>
        <v>0</v>
      </c>
      <c r="I86" s="266">
        <f>aurora_data!H51</f>
        <v>2</v>
      </c>
      <c r="J86" s="265">
        <f>aurora_data!I51</f>
        <v>0</v>
      </c>
      <c r="K86" s="266">
        <f>aurora_data!J51</f>
        <v>0</v>
      </c>
      <c r="L86" s="266">
        <f>aurora_data!K51</f>
        <v>0</v>
      </c>
      <c r="M86" s="266">
        <f>aurora_data!L51</f>
        <v>0</v>
      </c>
      <c r="N86" s="267">
        <f>aurora_data!M51</f>
        <v>0</v>
      </c>
      <c r="O86" s="265">
        <f>aurora_data!N51</f>
        <v>0</v>
      </c>
      <c r="P86" s="266">
        <f>aurora_data!O51</f>
        <v>0</v>
      </c>
      <c r="Q86" s="266">
        <f>aurora_data!P51</f>
        <v>0</v>
      </c>
      <c r="R86" s="266">
        <f>aurora_data!Q51</f>
        <v>0</v>
      </c>
      <c r="S86" s="267">
        <f>aurora_data!R51</f>
        <v>0</v>
      </c>
      <c r="T86" s="265">
        <f>aurora_data!S51</f>
        <v>0</v>
      </c>
      <c r="U86" s="266">
        <f>aurora_data!T51</f>
        <v>0</v>
      </c>
      <c r="V86" s="266">
        <f>aurora_data!U51</f>
        <v>1</v>
      </c>
      <c r="W86" s="266">
        <f>aurora_data!V51</f>
        <v>0</v>
      </c>
      <c r="X86" s="267">
        <f>aurora_data!W51</f>
        <v>0</v>
      </c>
      <c r="Y86" s="265">
        <f>aurora_data!X51</f>
        <v>1</v>
      </c>
      <c r="Z86" s="266">
        <f>aurora_data!Y51</f>
        <v>0</v>
      </c>
      <c r="AA86" s="266">
        <f>aurora_data!Z51</f>
        <v>1</v>
      </c>
      <c r="AB86" s="266">
        <f>aurora_data!AA51</f>
        <v>3</v>
      </c>
      <c r="AC86" s="267">
        <f>aurora_data!AB51</f>
        <v>2</v>
      </c>
      <c r="AD86" s="265">
        <f>aurora_data!AC51</f>
        <v>0</v>
      </c>
      <c r="AE86" s="266">
        <f>aurora_data!AD51</f>
        <v>1</v>
      </c>
      <c r="AF86" s="266">
        <f>aurora_data!AE51</f>
        <v>9</v>
      </c>
      <c r="AG86" s="267">
        <f>aurora_data!AF51</f>
        <v>0</v>
      </c>
      <c r="AH86" s="265">
        <f>aurora_data!AG51</f>
        <v>1</v>
      </c>
      <c r="AI86" s="266">
        <f>aurora_data!AH51</f>
        <v>9</v>
      </c>
      <c r="AJ86" s="268">
        <f>aurora_data!AI51</f>
        <v>0</v>
      </c>
      <c r="AK86" s="269"/>
      <c r="AL86" s="265">
        <f>aurora_data!AJ51</f>
        <v>10</v>
      </c>
      <c r="AM86" s="270">
        <f t="shared" si="45"/>
        <v>0.05</v>
      </c>
      <c r="AO86"/>
      <c r="AP86"/>
      <c r="AQ86"/>
      <c r="AR86"/>
      <c r="AS86"/>
      <c r="AT86"/>
      <c r="AU86"/>
      <c r="AV86"/>
      <c r="AW86"/>
      <c r="AX86"/>
      <c r="AY86"/>
    </row>
    <row r="87" spans="2:51" outlineLevel="1">
      <c r="B87" s="452"/>
      <c r="C87" s="454"/>
      <c r="D87" s="199" t="s">
        <v>344</v>
      </c>
      <c r="E87" s="271">
        <f t="shared" ref="E87:AC87" si="46">ROUNDDOWN((E89+$E$9)*($AL79),0)</f>
        <v>4</v>
      </c>
      <c r="F87" s="272">
        <f t="shared" si="46"/>
        <v>4</v>
      </c>
      <c r="G87" s="272">
        <f t="shared" si="46"/>
        <v>5</v>
      </c>
      <c r="H87" s="272">
        <f t="shared" si="46"/>
        <v>5</v>
      </c>
      <c r="I87" s="272">
        <f t="shared" si="46"/>
        <v>10</v>
      </c>
      <c r="J87" s="271">
        <f t="shared" si="46"/>
        <v>4</v>
      </c>
      <c r="K87" s="272">
        <f t="shared" si="46"/>
        <v>5</v>
      </c>
      <c r="L87" s="272">
        <f t="shared" si="46"/>
        <v>10</v>
      </c>
      <c r="M87" s="272">
        <f t="shared" si="46"/>
        <v>13</v>
      </c>
      <c r="N87" s="268">
        <f t="shared" si="46"/>
        <v>10</v>
      </c>
      <c r="O87" s="271">
        <f t="shared" si="46"/>
        <v>8</v>
      </c>
      <c r="P87" s="272">
        <f t="shared" si="46"/>
        <v>10</v>
      </c>
      <c r="Q87" s="272">
        <f t="shared" si="46"/>
        <v>17</v>
      </c>
      <c r="R87" s="272">
        <f t="shared" si="46"/>
        <v>18</v>
      </c>
      <c r="S87" s="268">
        <f t="shared" si="46"/>
        <v>14</v>
      </c>
      <c r="T87" s="271">
        <f t="shared" si="46"/>
        <v>4</v>
      </c>
      <c r="U87" s="272">
        <f t="shared" si="46"/>
        <v>4</v>
      </c>
      <c r="V87" s="272">
        <f t="shared" si="46"/>
        <v>7</v>
      </c>
      <c r="W87" s="272">
        <f t="shared" si="46"/>
        <v>10</v>
      </c>
      <c r="X87" s="268">
        <f t="shared" si="46"/>
        <v>12</v>
      </c>
      <c r="Y87" s="271">
        <f t="shared" si="46"/>
        <v>5</v>
      </c>
      <c r="Z87" s="272">
        <f t="shared" si="46"/>
        <v>5</v>
      </c>
      <c r="AA87" s="272">
        <f t="shared" si="46"/>
        <v>18</v>
      </c>
      <c r="AB87" s="272">
        <f t="shared" si="46"/>
        <v>35</v>
      </c>
      <c r="AC87" s="268">
        <f t="shared" si="46"/>
        <v>50</v>
      </c>
      <c r="AD87" s="271">
        <f>ROUNDDOWN((AD89+$AD$9)*($AL79),0)</f>
        <v>61</v>
      </c>
      <c r="AE87" s="272">
        <f>ROUNDDOWN((AE89+$AD$9)*($AL79),0)</f>
        <v>52</v>
      </c>
      <c r="AF87" s="272">
        <f t="shared" ref="AF87:AG87" si="47">ROUNDDOWN((AF89+$AD$9)*($AL79),0)</f>
        <v>98</v>
      </c>
      <c r="AG87" s="272">
        <f t="shared" si="47"/>
        <v>67</v>
      </c>
      <c r="AH87" s="271">
        <f>ROUNDDOWN((AH89+$AH$9)*($AL79),0)</f>
        <v>100</v>
      </c>
      <c r="AI87" s="272">
        <f>ROUNDDOWN((AI89+$AH$9)*($AL79),0)</f>
        <v>100</v>
      </c>
      <c r="AJ87" s="272">
        <f>ROUNDDOWN((AJ89+$AH$8)*($AL79),0)</f>
        <v>0</v>
      </c>
      <c r="AK87" s="273"/>
      <c r="AL87" s="274"/>
      <c r="AM87" s="275"/>
      <c r="AO87"/>
      <c r="AP87"/>
      <c r="AQ87"/>
      <c r="AR87"/>
      <c r="AS87"/>
      <c r="AT87"/>
      <c r="AU87"/>
      <c r="AV87"/>
      <c r="AW87"/>
      <c r="AX87"/>
      <c r="AY87"/>
    </row>
    <row r="88" spans="2:51" ht="15.75" customHeight="1" outlineLevel="1" thickBot="1">
      <c r="B88" s="452"/>
      <c r="C88" s="454"/>
      <c r="D88" s="199" t="s">
        <v>345</v>
      </c>
      <c r="E88" s="276">
        <f t="shared" ref="E88:AC88" si="48">IF(ROUND(((E89-$E$9)*($AL79))+0.25,0) &lt;=0,1,((E89-$E$9)*($AL79))+0.25)</f>
        <v>1</v>
      </c>
      <c r="F88" s="277">
        <f t="shared" si="48"/>
        <v>1</v>
      </c>
      <c r="G88" s="277">
        <f t="shared" si="48"/>
        <v>1</v>
      </c>
      <c r="H88" s="277">
        <f t="shared" si="48"/>
        <v>1</v>
      </c>
      <c r="I88" s="277">
        <f t="shared" si="48"/>
        <v>3.1199999999999997</v>
      </c>
      <c r="J88" s="276">
        <f t="shared" si="48"/>
        <v>1</v>
      </c>
      <c r="K88" s="277">
        <f t="shared" si="48"/>
        <v>1</v>
      </c>
      <c r="L88" s="277">
        <f t="shared" si="48"/>
        <v>2.7699999999999991</v>
      </c>
      <c r="M88" s="277">
        <f t="shared" si="48"/>
        <v>6.0299999999999994</v>
      </c>
      <c r="N88" s="278">
        <f t="shared" si="48"/>
        <v>2.7399999999999998</v>
      </c>
      <c r="O88" s="276">
        <f t="shared" si="48"/>
        <v>1</v>
      </c>
      <c r="P88" s="277">
        <f t="shared" si="48"/>
        <v>2.8600000000000003</v>
      </c>
      <c r="Q88" s="277">
        <f t="shared" si="48"/>
        <v>10.209999999999999</v>
      </c>
      <c r="R88" s="277">
        <f t="shared" si="48"/>
        <v>10.919999999999998</v>
      </c>
      <c r="S88" s="278">
        <f t="shared" si="48"/>
        <v>6.34</v>
      </c>
      <c r="T88" s="276">
        <f t="shared" si="48"/>
        <v>1</v>
      </c>
      <c r="U88" s="277">
        <f t="shared" si="48"/>
        <v>1</v>
      </c>
      <c r="V88" s="277">
        <f t="shared" si="48"/>
        <v>1</v>
      </c>
      <c r="W88" s="277">
        <f t="shared" si="48"/>
        <v>2.7599999999999989</v>
      </c>
      <c r="X88" s="278">
        <f t="shared" si="48"/>
        <v>4.3</v>
      </c>
      <c r="Y88" s="276">
        <f t="shared" si="48"/>
        <v>1</v>
      </c>
      <c r="Z88" s="277">
        <f t="shared" si="48"/>
        <v>1</v>
      </c>
      <c r="AA88" s="277">
        <f t="shared" si="48"/>
        <v>10.86</v>
      </c>
      <c r="AB88" s="277">
        <f t="shared" si="48"/>
        <v>27.38</v>
      </c>
      <c r="AC88" s="278">
        <f t="shared" si="48"/>
        <v>42.92</v>
      </c>
      <c r="AD88" s="276">
        <f>IF(((AD89-$AD$9)*($AL79))+0.5 &lt;0,1,((AD89-$AD$9)*($AL79))+0.5 )</f>
        <v>22.15</v>
      </c>
      <c r="AE88" s="277">
        <f>IF(((AE89-$AD$9)*($AL79))+0.5 &lt;0,1,((AE89-$AD$9)*($AL79))+0.5 )</f>
        <v>12.579999999999997</v>
      </c>
      <c r="AF88" s="277">
        <f t="shared" ref="AF88" si="49">IF(((AF89-$AD$9)*($AL79))+0.5 &lt;0,1,((AF89-$AD$9)*($AL79))+0.5 )</f>
        <v>59.439999999999991</v>
      </c>
      <c r="AG88" s="277">
        <f t="shared" ref="AG88" si="50">IF(((AG89-$AD$9)*($AL79))+0.5 &lt;0,1,((AG89-$AD$9)*($AL79))+0.5 )</f>
        <v>27.83</v>
      </c>
      <c r="AH88" s="276">
        <f>IF(((AH89-$AH$9)*($AL79))+0.5 &lt;0,1,((AH89-$AH$9)*($AL79)) )</f>
        <v>100</v>
      </c>
      <c r="AI88" s="277">
        <f>IF(((AI89-$AH$9)*($AL79))+0.5 &lt;0,1,((AI89-$AH$9)*($AL79)))</f>
        <v>100</v>
      </c>
      <c r="AJ88" s="277">
        <f>IF(((AJ89-$AH$8)*($AL79))+0.5 &lt;0,1,((AJ89-$AH$8)*($AL79))+0.5 )</f>
        <v>0.5</v>
      </c>
      <c r="AK88" s="273"/>
      <c r="AL88" s="279"/>
      <c r="AM88" s="280"/>
      <c r="AO88"/>
      <c r="AP88"/>
      <c r="AQ88"/>
      <c r="AR88"/>
      <c r="AS88"/>
      <c r="AT88"/>
      <c r="AU88"/>
      <c r="AV88"/>
      <c r="AW88"/>
      <c r="AX88"/>
      <c r="AY88"/>
    </row>
    <row r="89" spans="2:51" ht="15.75" customHeight="1" outlineLevel="1" thickTop="1">
      <c r="B89" s="110"/>
      <c r="C89" s="109"/>
      <c r="D89" s="95" t="s">
        <v>346</v>
      </c>
      <c r="E89" s="414">
        <f t="shared" ref="E89:AJ89" si="51">IFERROR(E79/$AL79,0)</f>
        <v>2.3499999999999997E-3</v>
      </c>
      <c r="F89" s="415">
        <f t="shared" si="51"/>
        <v>2.5000000000000001E-3</v>
      </c>
      <c r="G89" s="415">
        <f t="shared" si="51"/>
        <v>5.7499999999999999E-3</v>
      </c>
      <c r="H89" s="415">
        <f t="shared" si="51"/>
        <v>9.300000000000001E-3</v>
      </c>
      <c r="I89" s="415">
        <f t="shared" si="51"/>
        <v>3.4349999999999999E-2</v>
      </c>
      <c r="J89" s="414">
        <f t="shared" si="51"/>
        <v>3.0000000000000001E-3</v>
      </c>
      <c r="K89" s="415">
        <f t="shared" si="51"/>
        <v>9.2500000000000013E-3</v>
      </c>
      <c r="L89" s="415">
        <f t="shared" si="51"/>
        <v>3.2599999999999997E-2</v>
      </c>
      <c r="M89" s="415">
        <f t="shared" si="51"/>
        <v>4.8899999999999999E-2</v>
      </c>
      <c r="N89" s="416">
        <f t="shared" si="51"/>
        <v>3.245E-2</v>
      </c>
      <c r="O89" s="414">
        <f t="shared" si="51"/>
        <v>2.0400000000000001E-2</v>
      </c>
      <c r="P89" s="415">
        <f t="shared" si="51"/>
        <v>3.3050000000000003E-2</v>
      </c>
      <c r="Q89" s="415">
        <f t="shared" si="51"/>
        <v>6.9800000000000001E-2</v>
      </c>
      <c r="R89" s="415">
        <f t="shared" si="51"/>
        <v>7.3349999999999999E-2</v>
      </c>
      <c r="S89" s="416">
        <f t="shared" si="51"/>
        <v>5.0450000000000002E-2</v>
      </c>
      <c r="T89" s="414">
        <f t="shared" si="51"/>
        <v>1.9E-3</v>
      </c>
      <c r="U89" s="415">
        <f t="shared" si="51"/>
        <v>4.0000000000000001E-3</v>
      </c>
      <c r="V89" s="415">
        <f t="shared" si="51"/>
        <v>1.6549999999999999E-2</v>
      </c>
      <c r="W89" s="415">
        <f t="shared" si="51"/>
        <v>3.2549999999999996E-2</v>
      </c>
      <c r="X89" s="416">
        <f t="shared" si="51"/>
        <v>4.0250000000000001E-2</v>
      </c>
      <c r="Y89" s="414">
        <f t="shared" si="51"/>
        <v>6.0499999999999998E-3</v>
      </c>
      <c r="Z89" s="415">
        <f t="shared" si="51"/>
        <v>9.0500000000000008E-3</v>
      </c>
      <c r="AA89" s="415">
        <f t="shared" si="51"/>
        <v>7.3050000000000004E-2</v>
      </c>
      <c r="AB89" s="415">
        <f t="shared" si="51"/>
        <v>0.15564999999999998</v>
      </c>
      <c r="AC89" s="416">
        <f t="shared" si="51"/>
        <v>0.23335</v>
      </c>
      <c r="AD89" s="414">
        <f t="shared" si="51"/>
        <v>0.20824999999999999</v>
      </c>
      <c r="AE89" s="415">
        <f t="shared" si="51"/>
        <v>0.16039999999999999</v>
      </c>
      <c r="AF89" s="415">
        <f t="shared" si="51"/>
        <v>0.3947</v>
      </c>
      <c r="AG89" s="416">
        <f t="shared" si="51"/>
        <v>0.23665</v>
      </c>
      <c r="AH89" s="414">
        <f t="shared" si="51"/>
        <v>0.5</v>
      </c>
      <c r="AI89" s="415">
        <f t="shared" si="51"/>
        <v>0.5</v>
      </c>
      <c r="AJ89" s="415">
        <f t="shared" si="51"/>
        <v>0</v>
      </c>
      <c r="AK89" s="407"/>
      <c r="AL89" s="417"/>
      <c r="AM89" s="418"/>
      <c r="AO89"/>
      <c r="AP89"/>
      <c r="AQ89"/>
      <c r="AR89"/>
      <c r="AS89"/>
      <c r="AT89"/>
      <c r="AU89"/>
      <c r="AV89"/>
      <c r="AW89"/>
      <c r="AX89"/>
      <c r="AY89"/>
    </row>
    <row r="90" spans="2:51" ht="16.5" customHeight="1" outlineLevel="1">
      <c r="B90" s="110"/>
      <c r="C90" s="109"/>
      <c r="D90" s="180" t="s">
        <v>347</v>
      </c>
      <c r="E90" s="414">
        <f t="shared" ref="E90:AJ90" si="52">IFERROR(E80/$AL79,0)</f>
        <v>5.0000000000000001E-3</v>
      </c>
      <c r="F90" s="415">
        <f t="shared" si="52"/>
        <v>0</v>
      </c>
      <c r="G90" s="415">
        <f t="shared" si="52"/>
        <v>5.0000000000000001E-3</v>
      </c>
      <c r="H90" s="415">
        <f t="shared" si="52"/>
        <v>0.01</v>
      </c>
      <c r="I90" s="415">
        <f t="shared" si="52"/>
        <v>0.03</v>
      </c>
      <c r="J90" s="414">
        <f t="shared" si="52"/>
        <v>5.0000000000000001E-3</v>
      </c>
      <c r="K90" s="415">
        <f t="shared" si="52"/>
        <v>0.01</v>
      </c>
      <c r="L90" s="415">
        <f t="shared" si="52"/>
        <v>3.5000000000000003E-2</v>
      </c>
      <c r="M90" s="415">
        <f t="shared" si="52"/>
        <v>0.05</v>
      </c>
      <c r="N90" s="416">
        <f t="shared" si="52"/>
        <v>0.03</v>
      </c>
      <c r="O90" s="414">
        <f t="shared" si="52"/>
        <v>0.02</v>
      </c>
      <c r="P90" s="415">
        <f t="shared" si="52"/>
        <v>0.03</v>
      </c>
      <c r="Q90" s="415">
        <f t="shared" si="52"/>
        <v>7.0000000000000007E-2</v>
      </c>
      <c r="R90" s="415">
        <f t="shared" si="52"/>
        <v>7.4999999999999997E-2</v>
      </c>
      <c r="S90" s="416">
        <f t="shared" si="52"/>
        <v>0.05</v>
      </c>
      <c r="T90" s="414">
        <f t="shared" si="52"/>
        <v>0</v>
      </c>
      <c r="U90" s="415">
        <f t="shared" si="52"/>
        <v>0</v>
      </c>
      <c r="V90" s="415">
        <f t="shared" si="52"/>
        <v>1.4999999999999999E-2</v>
      </c>
      <c r="W90" s="415">
        <f t="shared" si="52"/>
        <v>3.5000000000000003E-2</v>
      </c>
      <c r="X90" s="416">
        <f t="shared" si="52"/>
        <v>0.04</v>
      </c>
      <c r="Y90" s="414">
        <f t="shared" si="52"/>
        <v>5.0000000000000001E-3</v>
      </c>
      <c r="Z90" s="415">
        <f t="shared" si="52"/>
        <v>0</v>
      </c>
      <c r="AA90" s="415">
        <f t="shared" si="52"/>
        <v>7.0000000000000007E-2</v>
      </c>
      <c r="AB90" s="415">
        <f t="shared" si="52"/>
        <v>0.15</v>
      </c>
      <c r="AC90" s="416">
        <f t="shared" si="52"/>
        <v>0.23499999999999999</v>
      </c>
      <c r="AD90" s="414">
        <f t="shared" si="52"/>
        <v>0.27</v>
      </c>
      <c r="AE90" s="415">
        <f t="shared" si="52"/>
        <v>0.155</v>
      </c>
      <c r="AF90" s="415">
        <f t="shared" si="52"/>
        <v>0.315</v>
      </c>
      <c r="AG90" s="416">
        <f t="shared" si="52"/>
        <v>0.23499999999999999</v>
      </c>
      <c r="AH90" s="415">
        <f t="shared" si="52"/>
        <v>0.48</v>
      </c>
      <c r="AI90" s="415">
        <f t="shared" si="52"/>
        <v>0.495</v>
      </c>
      <c r="AJ90" s="415">
        <f t="shared" si="52"/>
        <v>0</v>
      </c>
      <c r="AK90" s="407"/>
      <c r="AL90" s="417"/>
      <c r="AM90" s="418"/>
      <c r="AO90"/>
      <c r="AP90"/>
      <c r="AQ90"/>
      <c r="AR90"/>
      <c r="AS90"/>
      <c r="AT90"/>
      <c r="AU90"/>
      <c r="AV90"/>
      <c r="AW90"/>
      <c r="AX90"/>
      <c r="AY90"/>
    </row>
    <row r="91" spans="2:51" ht="16.5" outlineLevel="1" thickBot="1">
      <c r="B91" s="110"/>
      <c r="C91" s="109"/>
      <c r="D91" s="180" t="s">
        <v>348</v>
      </c>
      <c r="E91" s="419">
        <f t="shared" ref="E91:AJ91" si="53">E90-E89</f>
        <v>2.6500000000000004E-3</v>
      </c>
      <c r="F91" s="420">
        <f t="shared" si="53"/>
        <v>-2.5000000000000001E-3</v>
      </c>
      <c r="G91" s="420">
        <f t="shared" si="53"/>
        <v>-7.499999999999998E-4</v>
      </c>
      <c r="H91" s="420">
        <f t="shared" si="53"/>
        <v>6.9999999999999923E-4</v>
      </c>
      <c r="I91" s="420">
        <f t="shared" si="53"/>
        <v>-4.3499999999999997E-3</v>
      </c>
      <c r="J91" s="419">
        <f t="shared" si="53"/>
        <v>2E-3</v>
      </c>
      <c r="K91" s="420">
        <f t="shared" si="53"/>
        <v>7.4999999999999893E-4</v>
      </c>
      <c r="L91" s="420">
        <f t="shared" si="53"/>
        <v>2.4000000000000063E-3</v>
      </c>
      <c r="M91" s="420">
        <f t="shared" si="53"/>
        <v>1.1000000000000038E-3</v>
      </c>
      <c r="N91" s="421">
        <f t="shared" si="53"/>
        <v>-2.4500000000000008E-3</v>
      </c>
      <c r="O91" s="419">
        <f t="shared" si="53"/>
        <v>-4.0000000000000105E-4</v>
      </c>
      <c r="P91" s="420">
        <f t="shared" si="53"/>
        <v>-3.0500000000000041E-3</v>
      </c>
      <c r="Q91" s="420">
        <f t="shared" si="53"/>
        <v>2.0000000000000573E-4</v>
      </c>
      <c r="R91" s="420">
        <f t="shared" si="53"/>
        <v>1.6499999999999987E-3</v>
      </c>
      <c r="S91" s="421">
        <f t="shared" si="53"/>
        <v>-4.4999999999999901E-4</v>
      </c>
      <c r="T91" s="419">
        <f t="shared" si="53"/>
        <v>-1.9E-3</v>
      </c>
      <c r="U91" s="420">
        <f t="shared" si="53"/>
        <v>-4.0000000000000001E-3</v>
      </c>
      <c r="V91" s="420">
        <f t="shared" si="53"/>
        <v>-1.5499999999999993E-3</v>
      </c>
      <c r="W91" s="420">
        <f t="shared" si="53"/>
        <v>2.4500000000000077E-3</v>
      </c>
      <c r="X91" s="421">
        <f t="shared" si="53"/>
        <v>-2.5000000000000022E-4</v>
      </c>
      <c r="Y91" s="419">
        <f t="shared" si="53"/>
        <v>-1.0499999999999997E-3</v>
      </c>
      <c r="Z91" s="420">
        <f t="shared" si="53"/>
        <v>-9.0500000000000008E-3</v>
      </c>
      <c r="AA91" s="420">
        <f t="shared" si="53"/>
        <v>-3.0499999999999972E-3</v>
      </c>
      <c r="AB91" s="420">
        <f t="shared" si="53"/>
        <v>-5.6499999999999884E-3</v>
      </c>
      <c r="AC91" s="421">
        <f t="shared" si="53"/>
        <v>1.6499999999999848E-3</v>
      </c>
      <c r="AD91" s="419">
        <f t="shared" si="53"/>
        <v>6.1750000000000027E-2</v>
      </c>
      <c r="AE91" s="420">
        <f t="shared" si="53"/>
        <v>-5.3999999999999881E-3</v>
      </c>
      <c r="AF91" s="420">
        <f t="shared" si="53"/>
        <v>-7.9699999999999993E-2</v>
      </c>
      <c r="AG91" s="421">
        <f t="shared" si="53"/>
        <v>-1.6500000000000126E-3</v>
      </c>
      <c r="AH91" s="420">
        <f t="shared" si="53"/>
        <v>-2.0000000000000018E-2</v>
      </c>
      <c r="AI91" s="420">
        <f t="shared" si="53"/>
        <v>-5.0000000000000044E-3</v>
      </c>
      <c r="AJ91" s="420">
        <f t="shared" si="53"/>
        <v>0</v>
      </c>
      <c r="AK91" s="407"/>
      <c r="AL91" s="422"/>
      <c r="AM91" s="423"/>
      <c r="AO91"/>
      <c r="AP91"/>
      <c r="AQ91"/>
      <c r="AR91"/>
      <c r="AS91"/>
      <c r="AT91"/>
      <c r="AU91"/>
      <c r="AV91"/>
      <c r="AW91"/>
      <c r="AX91"/>
      <c r="AY91"/>
    </row>
    <row r="92" spans="2:51" ht="16.5" thickTop="1">
      <c r="B92" s="451" t="s">
        <v>338</v>
      </c>
      <c r="C92" s="453" t="str">
        <f>aurora_data!A52</f>
        <v>12.00.00-12.11.30</v>
      </c>
      <c r="D92" s="34" t="s">
        <v>306</v>
      </c>
      <c r="E92" s="152">
        <f>aurora_data!D52</f>
        <v>0.35</v>
      </c>
      <c r="F92" s="153">
        <f>aurora_data!E52</f>
        <v>0.42</v>
      </c>
      <c r="G92" s="153">
        <f>aurora_data!F52</f>
        <v>1.23</v>
      </c>
      <c r="H92" s="153">
        <f>aurora_data!G52</f>
        <v>1.65</v>
      </c>
      <c r="I92" s="153">
        <f>aurora_data!H52</f>
        <v>6.07</v>
      </c>
      <c r="J92" s="152">
        <f>aurora_data!I52</f>
        <v>0.55000000000000004</v>
      </c>
      <c r="K92" s="153">
        <f>aurora_data!J52</f>
        <v>1.51</v>
      </c>
      <c r="L92" s="153">
        <f>aurora_data!K52</f>
        <v>6.43</v>
      </c>
      <c r="M92" s="153">
        <f>aurora_data!L52</f>
        <v>10.37</v>
      </c>
      <c r="N92" s="154">
        <f>aurora_data!M52</f>
        <v>6.96</v>
      </c>
      <c r="O92" s="152">
        <f>aurora_data!N52</f>
        <v>4.9400000000000004</v>
      </c>
      <c r="P92" s="153">
        <f>aurora_data!O52</f>
        <v>6.69</v>
      </c>
      <c r="Q92" s="153">
        <f>aurora_data!P52</f>
        <v>13.89</v>
      </c>
      <c r="R92" s="153">
        <f>aurora_data!Q52</f>
        <v>14.8</v>
      </c>
      <c r="S92" s="154">
        <f>aurora_data!R52</f>
        <v>9.57</v>
      </c>
      <c r="T92" s="152">
        <f>aurora_data!S52</f>
        <v>0.41</v>
      </c>
      <c r="U92" s="153">
        <f>aurora_data!T52</f>
        <v>0.82</v>
      </c>
      <c r="V92" s="153">
        <f>aurora_data!U52</f>
        <v>3.71</v>
      </c>
      <c r="W92" s="153">
        <f>aurora_data!V52</f>
        <v>6.88</v>
      </c>
      <c r="X92" s="154">
        <f>aurora_data!W52</f>
        <v>7.41</v>
      </c>
      <c r="Y92" s="152">
        <f>aurora_data!X52</f>
        <v>1.05</v>
      </c>
      <c r="Z92" s="153">
        <f>aurora_data!Y52</f>
        <v>2.2999999999999998</v>
      </c>
      <c r="AA92" s="153">
        <f>aurora_data!Z52</f>
        <v>14.65</v>
      </c>
      <c r="AB92" s="153">
        <f>aurora_data!AA52</f>
        <v>30.93</v>
      </c>
      <c r="AC92" s="154">
        <f>aurora_data!AB52</f>
        <v>46.39</v>
      </c>
      <c r="AD92" s="152">
        <f>aurora_data!AC52</f>
        <v>42.42</v>
      </c>
      <c r="AE92" s="153">
        <f>aurora_data!AD52</f>
        <v>31.5</v>
      </c>
      <c r="AF92" s="153">
        <f>aurora_data!AE52</f>
        <v>78.260000000000005</v>
      </c>
      <c r="AG92" s="154">
        <f>aurora_data!AF52</f>
        <v>47.82</v>
      </c>
      <c r="AH92" s="155">
        <f>aurora_data!AG52</f>
        <v>100</v>
      </c>
      <c r="AI92" s="171">
        <f>aurora_data!AH52</f>
        <v>100</v>
      </c>
      <c r="AJ92" s="201">
        <f>aurora_data!AI52</f>
        <v>0</v>
      </c>
      <c r="AK92" s="407"/>
      <c r="AL92" s="155">
        <f>aurora_data!AJ52</f>
        <v>200</v>
      </c>
      <c r="AM92" s="167">
        <f t="shared" ref="AM92:AM99" si="54">SUM(AL92)/$AL$92</f>
        <v>1</v>
      </c>
      <c r="AO92"/>
      <c r="AP92"/>
      <c r="AQ92"/>
      <c r="AR92"/>
      <c r="AS92"/>
      <c r="AT92"/>
      <c r="AU92"/>
      <c r="AV92"/>
      <c r="AW92"/>
      <c r="AX92"/>
      <c r="AY92"/>
    </row>
    <row r="93" spans="2:51">
      <c r="B93" s="452"/>
      <c r="C93" s="454"/>
      <c r="D93" s="35" t="s">
        <v>339</v>
      </c>
      <c r="E93" s="262">
        <f>aurora_data!D53</f>
        <v>0</v>
      </c>
      <c r="F93" s="263">
        <f>aurora_data!E53</f>
        <v>1</v>
      </c>
      <c r="G93" s="263">
        <f>aurora_data!F53</f>
        <v>1</v>
      </c>
      <c r="H93" s="263">
        <f>aurora_data!G53</f>
        <v>2</v>
      </c>
      <c r="I93" s="263">
        <f>aurora_data!H53</f>
        <v>6</v>
      </c>
      <c r="J93" s="262">
        <f>aurora_data!I53</f>
        <v>1</v>
      </c>
      <c r="K93" s="263">
        <f>aurora_data!J53</f>
        <v>2</v>
      </c>
      <c r="L93" s="263">
        <f>aurora_data!K53</f>
        <v>6</v>
      </c>
      <c r="M93" s="263">
        <f>aurora_data!L53</f>
        <v>10</v>
      </c>
      <c r="N93" s="264">
        <f>aurora_data!M53</f>
        <v>7</v>
      </c>
      <c r="O93" s="262">
        <f>aurora_data!N53</f>
        <v>5</v>
      </c>
      <c r="P93" s="263">
        <f>aurora_data!O53</f>
        <v>7</v>
      </c>
      <c r="Q93" s="263">
        <f>aurora_data!P53</f>
        <v>14</v>
      </c>
      <c r="R93" s="263">
        <f>aurora_data!Q53</f>
        <v>15</v>
      </c>
      <c r="S93" s="264">
        <f>aurora_data!R53</f>
        <v>10</v>
      </c>
      <c r="T93" s="262">
        <f>aurora_data!S53</f>
        <v>0</v>
      </c>
      <c r="U93" s="263">
        <f>aurora_data!T53</f>
        <v>0</v>
      </c>
      <c r="V93" s="263">
        <f>aurora_data!U53</f>
        <v>3</v>
      </c>
      <c r="W93" s="263">
        <f>aurora_data!V53</f>
        <v>7</v>
      </c>
      <c r="X93" s="264">
        <f>aurora_data!W53</f>
        <v>7</v>
      </c>
      <c r="Y93" s="262">
        <f>aurora_data!X53</f>
        <v>1</v>
      </c>
      <c r="Z93" s="263">
        <f>aurora_data!Y53</f>
        <v>2</v>
      </c>
      <c r="AA93" s="263">
        <f>aurora_data!Z53</f>
        <v>15</v>
      </c>
      <c r="AB93" s="263">
        <f>aurora_data!AA53</f>
        <v>31</v>
      </c>
      <c r="AC93" s="264">
        <f>aurora_data!AB53</f>
        <v>46</v>
      </c>
      <c r="AD93" s="262">
        <f>aurora_data!AC53</f>
        <v>55</v>
      </c>
      <c r="AE93" s="263">
        <f>aurora_data!AD53</f>
        <v>30</v>
      </c>
      <c r="AF93" s="263">
        <f>aurora_data!AE53</f>
        <v>66</v>
      </c>
      <c r="AG93" s="264">
        <f>aurora_data!AF53</f>
        <v>48</v>
      </c>
      <c r="AH93" s="262">
        <f>aurora_data!AG53</f>
        <v>100</v>
      </c>
      <c r="AI93" s="263">
        <f>aurora_data!AH53</f>
        <v>99</v>
      </c>
      <c r="AJ93" s="264">
        <f>aurora_data!AI53</f>
        <v>0</v>
      </c>
      <c r="AK93" s="407"/>
      <c r="AL93" s="408">
        <f>aurora_data!AJ53</f>
        <v>199</v>
      </c>
      <c r="AM93" s="409">
        <f t="shared" si="54"/>
        <v>0.995</v>
      </c>
      <c r="AO93"/>
      <c r="AP93"/>
      <c r="AQ93"/>
      <c r="AR93"/>
      <c r="AS93"/>
      <c r="AT93"/>
      <c r="AU93"/>
      <c r="AV93"/>
      <c r="AW93"/>
      <c r="AX93"/>
      <c r="AY93"/>
    </row>
    <row r="94" spans="2:51">
      <c r="B94" s="452"/>
      <c r="C94" s="454"/>
      <c r="D94" s="35" t="s">
        <v>291</v>
      </c>
      <c r="E94" s="408">
        <f>aurora_data!D54</f>
        <v>0</v>
      </c>
      <c r="F94" s="410">
        <f>aurora_data!E54</f>
        <v>0</v>
      </c>
      <c r="G94" s="410">
        <f>aurora_data!F54</f>
        <v>1</v>
      </c>
      <c r="H94" s="410">
        <f>aurora_data!G54</f>
        <v>1</v>
      </c>
      <c r="I94" s="410">
        <f>aurora_data!H54</f>
        <v>1</v>
      </c>
      <c r="J94" s="408">
        <f>aurora_data!I54</f>
        <v>1</v>
      </c>
      <c r="K94" s="410">
        <f>aurora_data!J54</f>
        <v>2</v>
      </c>
      <c r="L94" s="410">
        <f>aurora_data!K54</f>
        <v>0</v>
      </c>
      <c r="M94" s="410">
        <f>aurora_data!L54</f>
        <v>1</v>
      </c>
      <c r="N94" s="411">
        <f>aurora_data!M54</f>
        <v>0</v>
      </c>
      <c r="O94" s="408">
        <f>aurora_data!N54</f>
        <v>0</v>
      </c>
      <c r="P94" s="410">
        <f>aurora_data!O54</f>
        <v>0</v>
      </c>
      <c r="Q94" s="410">
        <f>aurora_data!P54</f>
        <v>2</v>
      </c>
      <c r="R94" s="410">
        <f>aurora_data!Q54</f>
        <v>6</v>
      </c>
      <c r="S94" s="411">
        <f>aurora_data!R54</f>
        <v>0</v>
      </c>
      <c r="T94" s="408">
        <f>aurora_data!S54</f>
        <v>0</v>
      </c>
      <c r="U94" s="410">
        <f>aurora_data!T54</f>
        <v>0</v>
      </c>
      <c r="V94" s="410">
        <f>aurora_data!U54</f>
        <v>0</v>
      </c>
      <c r="W94" s="410">
        <f>aurora_data!V54</f>
        <v>0</v>
      </c>
      <c r="X94" s="411">
        <f>aurora_data!W54</f>
        <v>2</v>
      </c>
      <c r="Y94" s="408">
        <f>aurora_data!X54</f>
        <v>0</v>
      </c>
      <c r="Z94" s="410">
        <f>aurora_data!Y54</f>
        <v>1</v>
      </c>
      <c r="AA94" s="410">
        <f>aurora_data!Z54</f>
        <v>0</v>
      </c>
      <c r="AB94" s="410">
        <f>aurora_data!AA54</f>
        <v>0</v>
      </c>
      <c r="AC94" s="411">
        <f>aurora_data!AB54</f>
        <v>6</v>
      </c>
      <c r="AD94" s="408">
        <f>aurora_data!AC54</f>
        <v>13</v>
      </c>
      <c r="AE94" s="410">
        <f>aurora_data!AD54</f>
        <v>3</v>
      </c>
      <c r="AF94" s="410">
        <f>aurora_data!AE54</f>
        <v>1</v>
      </c>
      <c r="AG94" s="411">
        <f>aurora_data!AF54</f>
        <v>7</v>
      </c>
      <c r="AH94" s="408">
        <f>aurora_data!AG54</f>
        <v>18</v>
      </c>
      <c r="AI94" s="410">
        <f>aurora_data!AH54</f>
        <v>6</v>
      </c>
      <c r="AJ94" s="411">
        <f>aurora_data!AI54</f>
        <v>0</v>
      </c>
      <c r="AK94" s="407"/>
      <c r="AL94" s="408">
        <f>aurora_data!AJ54</f>
        <v>24</v>
      </c>
      <c r="AM94" s="409">
        <f t="shared" si="54"/>
        <v>0.12</v>
      </c>
      <c r="AO94"/>
      <c r="AP94"/>
      <c r="AQ94"/>
      <c r="AR94"/>
      <c r="AS94"/>
      <c r="AT94"/>
      <c r="AU94"/>
      <c r="AV94"/>
      <c r="AW94"/>
      <c r="AX94"/>
      <c r="AY94"/>
    </row>
    <row r="95" spans="2:51">
      <c r="B95" s="452"/>
      <c r="C95" s="454"/>
      <c r="D95" s="35" t="s">
        <v>340</v>
      </c>
      <c r="E95" s="408">
        <f>aurora_data!D55</f>
        <v>0</v>
      </c>
      <c r="F95" s="410">
        <f>aurora_data!E55</f>
        <v>0</v>
      </c>
      <c r="G95" s="410">
        <f>aurora_data!F55</f>
        <v>0</v>
      </c>
      <c r="H95" s="410">
        <f>aurora_data!G55</f>
        <v>0</v>
      </c>
      <c r="I95" s="410">
        <f>aurora_data!H55</f>
        <v>0</v>
      </c>
      <c r="J95" s="408">
        <f>aurora_data!I55</f>
        <v>0</v>
      </c>
      <c r="K95" s="410">
        <f>aurora_data!J55</f>
        <v>0</v>
      </c>
      <c r="L95" s="410">
        <f>aurora_data!K55</f>
        <v>0</v>
      </c>
      <c r="M95" s="410">
        <f>aurora_data!L55</f>
        <v>0</v>
      </c>
      <c r="N95" s="411">
        <f>aurora_data!M55</f>
        <v>0</v>
      </c>
      <c r="O95" s="408">
        <f>aurora_data!N55</f>
        <v>0</v>
      </c>
      <c r="P95" s="410">
        <f>aurora_data!O55</f>
        <v>0</v>
      </c>
      <c r="Q95" s="410">
        <f>aurora_data!P55</f>
        <v>0</v>
      </c>
      <c r="R95" s="410">
        <f>aurora_data!Q55</f>
        <v>0</v>
      </c>
      <c r="S95" s="411">
        <f>aurora_data!R55</f>
        <v>0</v>
      </c>
      <c r="T95" s="408">
        <f>aurora_data!S55</f>
        <v>0</v>
      </c>
      <c r="U95" s="410">
        <f>aurora_data!T55</f>
        <v>0</v>
      </c>
      <c r="V95" s="410">
        <f>aurora_data!U55</f>
        <v>0</v>
      </c>
      <c r="W95" s="410">
        <f>aurora_data!V55</f>
        <v>0</v>
      </c>
      <c r="X95" s="411">
        <f>aurora_data!W55</f>
        <v>0</v>
      </c>
      <c r="Y95" s="408">
        <f>aurora_data!X55</f>
        <v>0</v>
      </c>
      <c r="Z95" s="410">
        <f>aurora_data!Y55</f>
        <v>0</v>
      </c>
      <c r="AA95" s="410">
        <f>aurora_data!Z55</f>
        <v>0</v>
      </c>
      <c r="AB95" s="410">
        <f>aurora_data!AA55</f>
        <v>0</v>
      </c>
      <c r="AC95" s="411">
        <f>aurora_data!AB55</f>
        <v>0</v>
      </c>
      <c r="AD95" s="408">
        <f>aurora_data!AC55</f>
        <v>0</v>
      </c>
      <c r="AE95" s="410">
        <f>aurora_data!AD55</f>
        <v>0</v>
      </c>
      <c r="AF95" s="410">
        <f>aurora_data!AE55</f>
        <v>0</v>
      </c>
      <c r="AG95" s="411">
        <f>aurora_data!AF55</f>
        <v>0</v>
      </c>
      <c r="AH95" s="408">
        <f>aurora_data!AG55</f>
        <v>0</v>
      </c>
      <c r="AI95" s="410">
        <f>aurora_data!AH55</f>
        <v>0</v>
      </c>
      <c r="AJ95" s="411">
        <f>aurora_data!AI55</f>
        <v>0</v>
      </c>
      <c r="AK95" s="407"/>
      <c r="AL95" s="408">
        <f>aurora_data!AJ55</f>
        <v>0</v>
      </c>
      <c r="AM95" s="409">
        <f t="shared" si="54"/>
        <v>0</v>
      </c>
      <c r="AO95"/>
      <c r="AP95"/>
      <c r="AQ95"/>
      <c r="AR95"/>
      <c r="AS95"/>
      <c r="AT95"/>
      <c r="AU95"/>
      <c r="AV95"/>
      <c r="AW95"/>
      <c r="AX95"/>
      <c r="AY95"/>
    </row>
    <row r="96" spans="2:51">
      <c r="B96" s="452"/>
      <c r="C96" s="454"/>
      <c r="D96" s="35" t="s">
        <v>341</v>
      </c>
      <c r="E96" s="408">
        <f>aurora_data!D56</f>
        <v>0</v>
      </c>
      <c r="F96" s="410">
        <f>aurora_data!E56</f>
        <v>0</v>
      </c>
      <c r="G96" s="410">
        <f>aurora_data!F56</f>
        <v>0</v>
      </c>
      <c r="H96" s="410">
        <f>aurora_data!G56</f>
        <v>0</v>
      </c>
      <c r="I96" s="410">
        <f>aurora_data!H56</f>
        <v>0</v>
      </c>
      <c r="J96" s="408">
        <f>aurora_data!I56</f>
        <v>0</v>
      </c>
      <c r="K96" s="410">
        <f>aurora_data!J56</f>
        <v>0</v>
      </c>
      <c r="L96" s="410">
        <f>aurora_data!K56</f>
        <v>0</v>
      </c>
      <c r="M96" s="410">
        <f>aurora_data!L56</f>
        <v>0</v>
      </c>
      <c r="N96" s="411">
        <f>aurora_data!M56</f>
        <v>0</v>
      </c>
      <c r="O96" s="408">
        <f>aurora_data!N56</f>
        <v>0</v>
      </c>
      <c r="P96" s="410">
        <f>aurora_data!O56</f>
        <v>0</v>
      </c>
      <c r="Q96" s="410">
        <f>aurora_data!P56</f>
        <v>0</v>
      </c>
      <c r="R96" s="410">
        <f>aurora_data!Q56</f>
        <v>0</v>
      </c>
      <c r="S96" s="411">
        <f>aurora_data!R56</f>
        <v>0</v>
      </c>
      <c r="T96" s="408">
        <f>aurora_data!S56</f>
        <v>0</v>
      </c>
      <c r="U96" s="410">
        <f>aurora_data!T56</f>
        <v>0</v>
      </c>
      <c r="V96" s="410">
        <f>aurora_data!U56</f>
        <v>2</v>
      </c>
      <c r="W96" s="410">
        <f>aurora_data!V56</f>
        <v>0</v>
      </c>
      <c r="X96" s="411">
        <f>aurora_data!W56</f>
        <v>0</v>
      </c>
      <c r="Y96" s="408">
        <f>aurora_data!X56</f>
        <v>1</v>
      </c>
      <c r="Z96" s="410">
        <f>aurora_data!Y56</f>
        <v>0</v>
      </c>
      <c r="AA96" s="410">
        <f>aurora_data!Z56</f>
        <v>0</v>
      </c>
      <c r="AB96" s="410">
        <f>aurora_data!AA56</f>
        <v>0</v>
      </c>
      <c r="AC96" s="411">
        <f>aurora_data!AB56</f>
        <v>0</v>
      </c>
      <c r="AD96" s="408">
        <f>aurora_data!AC56</f>
        <v>1</v>
      </c>
      <c r="AE96" s="410">
        <f>aurora_data!AD56</f>
        <v>1</v>
      </c>
      <c r="AF96" s="410">
        <f>aurora_data!AE56</f>
        <v>1</v>
      </c>
      <c r="AG96" s="411">
        <f>aurora_data!AF56</f>
        <v>0</v>
      </c>
      <c r="AH96" s="408">
        <f>aurora_data!AG56</f>
        <v>2</v>
      </c>
      <c r="AI96" s="410">
        <f>aurora_data!AH56</f>
        <v>1</v>
      </c>
      <c r="AJ96" s="411">
        <f>aurora_data!AI56</f>
        <v>0</v>
      </c>
      <c r="AK96" s="407"/>
      <c r="AL96" s="408">
        <f>aurora_data!AJ56</f>
        <v>3</v>
      </c>
      <c r="AM96" s="409">
        <f t="shared" si="54"/>
        <v>1.4999999999999999E-2</v>
      </c>
      <c r="AO96"/>
      <c r="AP96"/>
      <c r="AQ96"/>
      <c r="AR96"/>
      <c r="AS96"/>
      <c r="AT96"/>
      <c r="AU96"/>
      <c r="AV96"/>
      <c r="AW96"/>
      <c r="AX96"/>
      <c r="AY96"/>
    </row>
    <row r="97" spans="2:51" ht="16.5" thickBot="1">
      <c r="B97" s="452"/>
      <c r="C97" s="454"/>
      <c r="D97" s="35" t="s">
        <v>342</v>
      </c>
      <c r="E97" s="408">
        <f>aurora_data!D57</f>
        <v>0</v>
      </c>
      <c r="F97" s="410">
        <f>aurora_data!E57</f>
        <v>0</v>
      </c>
      <c r="G97" s="410">
        <f>aurora_data!F57</f>
        <v>0</v>
      </c>
      <c r="H97" s="410">
        <f>aurora_data!G57</f>
        <v>0</v>
      </c>
      <c r="I97" s="410">
        <f>aurora_data!H57</f>
        <v>0</v>
      </c>
      <c r="J97" s="408">
        <f>aurora_data!I57</f>
        <v>0</v>
      </c>
      <c r="K97" s="410">
        <f>aurora_data!J57</f>
        <v>0</v>
      </c>
      <c r="L97" s="410">
        <f>aurora_data!K57</f>
        <v>0</v>
      </c>
      <c r="M97" s="410">
        <f>aurora_data!L57</f>
        <v>0</v>
      </c>
      <c r="N97" s="411">
        <f>aurora_data!M57</f>
        <v>0</v>
      </c>
      <c r="O97" s="408">
        <f>aurora_data!N57</f>
        <v>0</v>
      </c>
      <c r="P97" s="410">
        <f>aurora_data!O57</f>
        <v>0</v>
      </c>
      <c r="Q97" s="410">
        <f>aurora_data!P57</f>
        <v>0</v>
      </c>
      <c r="R97" s="410">
        <f>aurora_data!Q57</f>
        <v>0</v>
      </c>
      <c r="S97" s="411">
        <f>aurora_data!R57</f>
        <v>0</v>
      </c>
      <c r="T97" s="408">
        <f>aurora_data!S57</f>
        <v>0</v>
      </c>
      <c r="U97" s="410">
        <f>aurora_data!T57</f>
        <v>0</v>
      </c>
      <c r="V97" s="410">
        <f>aurora_data!U57</f>
        <v>0</v>
      </c>
      <c r="W97" s="410">
        <f>aurora_data!V57</f>
        <v>0</v>
      </c>
      <c r="X97" s="411">
        <f>aurora_data!W57</f>
        <v>0</v>
      </c>
      <c r="Y97" s="408">
        <f>aurora_data!X57</f>
        <v>0</v>
      </c>
      <c r="Z97" s="410">
        <f>aurora_data!Y57</f>
        <v>0</v>
      </c>
      <c r="AA97" s="410">
        <f>aurora_data!Z57</f>
        <v>0</v>
      </c>
      <c r="AB97" s="410">
        <f>aurora_data!AA57</f>
        <v>0</v>
      </c>
      <c r="AC97" s="411">
        <f>aurora_data!AB57</f>
        <v>0</v>
      </c>
      <c r="AD97" s="408">
        <f>aurora_data!AC57</f>
        <v>0</v>
      </c>
      <c r="AE97" s="410">
        <f>aurora_data!AD57</f>
        <v>0</v>
      </c>
      <c r="AF97" s="410">
        <f>aurora_data!AE57</f>
        <v>0</v>
      </c>
      <c r="AG97" s="411">
        <f>aurora_data!AF57</f>
        <v>0</v>
      </c>
      <c r="AH97" s="408">
        <f>aurora_data!AG57</f>
        <v>0</v>
      </c>
      <c r="AI97" s="410">
        <f>aurora_data!AH57</f>
        <v>0</v>
      </c>
      <c r="AJ97" s="411">
        <f>aurora_data!AI57</f>
        <v>0</v>
      </c>
      <c r="AK97" s="412"/>
      <c r="AL97" s="408">
        <f>aurora_data!AJ57</f>
        <v>0</v>
      </c>
      <c r="AM97" s="409">
        <f t="shared" si="54"/>
        <v>0</v>
      </c>
      <c r="AO97"/>
      <c r="AP97"/>
      <c r="AQ97"/>
      <c r="AR97"/>
      <c r="AS97"/>
      <c r="AT97"/>
      <c r="AU97"/>
      <c r="AV97"/>
      <c r="AW97"/>
      <c r="AX97"/>
      <c r="AY97"/>
    </row>
    <row r="98" spans="2:51" ht="16.5" thickBot="1">
      <c r="B98" s="452"/>
      <c r="C98" s="454"/>
      <c r="D98" s="37" t="s">
        <v>17</v>
      </c>
      <c r="E98" s="182">
        <f>aurora_data!D58</f>
        <v>0</v>
      </c>
      <c r="F98" s="183">
        <f>aurora_data!E58</f>
        <v>1</v>
      </c>
      <c r="G98" s="183">
        <f>aurora_data!F58</f>
        <v>2</v>
      </c>
      <c r="H98" s="183">
        <f>aurora_data!G58</f>
        <v>3</v>
      </c>
      <c r="I98" s="184">
        <f>aurora_data!H58</f>
        <v>7</v>
      </c>
      <c r="J98" s="182">
        <f>aurora_data!I58</f>
        <v>2</v>
      </c>
      <c r="K98" s="183">
        <f>aurora_data!J58</f>
        <v>4</v>
      </c>
      <c r="L98" s="183">
        <f>aurora_data!K58</f>
        <v>6</v>
      </c>
      <c r="M98" s="183">
        <f>aurora_data!L58</f>
        <v>11</v>
      </c>
      <c r="N98" s="184">
        <f>aurora_data!M58</f>
        <v>7</v>
      </c>
      <c r="O98" s="182">
        <f>aurora_data!N58</f>
        <v>5</v>
      </c>
      <c r="P98" s="183">
        <f>aurora_data!O58</f>
        <v>7</v>
      </c>
      <c r="Q98" s="183">
        <f>aurora_data!P58</f>
        <v>16</v>
      </c>
      <c r="R98" s="183">
        <f>aurora_data!Q58</f>
        <v>21</v>
      </c>
      <c r="S98" s="184">
        <f>aurora_data!R58</f>
        <v>10</v>
      </c>
      <c r="T98" s="182">
        <f>aurora_data!S58</f>
        <v>0</v>
      </c>
      <c r="U98" s="183">
        <f>aurora_data!T58</f>
        <v>0</v>
      </c>
      <c r="V98" s="183">
        <f>aurora_data!U58</f>
        <v>5</v>
      </c>
      <c r="W98" s="183">
        <f>aurora_data!V58</f>
        <v>7</v>
      </c>
      <c r="X98" s="184">
        <f>aurora_data!W58</f>
        <v>9</v>
      </c>
      <c r="Y98" s="182">
        <f>aurora_data!X58</f>
        <v>2</v>
      </c>
      <c r="Z98" s="183">
        <f>aurora_data!Y58</f>
        <v>3</v>
      </c>
      <c r="AA98" s="183">
        <f>aurora_data!Z58</f>
        <v>15</v>
      </c>
      <c r="AB98" s="183">
        <f>aurora_data!AA58</f>
        <v>31</v>
      </c>
      <c r="AC98" s="184">
        <f>aurora_data!AB58</f>
        <v>52</v>
      </c>
      <c r="AD98" s="182">
        <f>aurora_data!AC58</f>
        <v>69</v>
      </c>
      <c r="AE98" s="183">
        <f>aurora_data!AD58</f>
        <v>34</v>
      </c>
      <c r="AF98" s="183">
        <f>aurora_data!AE58</f>
        <v>68</v>
      </c>
      <c r="AG98" s="184">
        <f>aurora_data!AF58</f>
        <v>55</v>
      </c>
      <c r="AH98" s="182">
        <f>aurora_data!AG58</f>
        <v>120</v>
      </c>
      <c r="AI98" s="183">
        <f>aurora_data!AH58</f>
        <v>106</v>
      </c>
      <c r="AJ98" s="183">
        <f>aurora_data!AI58</f>
        <v>0</v>
      </c>
      <c r="AK98" s="412"/>
      <c r="AL98" s="182">
        <f>aurora_data!AJ58</f>
        <v>226</v>
      </c>
      <c r="AM98" s="413">
        <f t="shared" si="54"/>
        <v>1.1299999999999999</v>
      </c>
      <c r="AO98"/>
      <c r="AP98"/>
      <c r="AQ98"/>
      <c r="AR98"/>
      <c r="AS98"/>
      <c r="AT98"/>
      <c r="AU98"/>
      <c r="AV98"/>
      <c r="AW98"/>
      <c r="AX98"/>
      <c r="AY98"/>
    </row>
    <row r="99" spans="2:51" ht="16.5" thickBot="1">
      <c r="B99" s="452"/>
      <c r="C99" s="454"/>
      <c r="D99" s="38" t="s">
        <v>343</v>
      </c>
      <c r="E99" s="265">
        <f>aurora_data!D59</f>
        <v>0</v>
      </c>
      <c r="F99" s="266">
        <f>aurora_data!E59</f>
        <v>0</v>
      </c>
      <c r="G99" s="266">
        <f>aurora_data!F59</f>
        <v>0</v>
      </c>
      <c r="H99" s="266">
        <f>aurora_data!G59</f>
        <v>0</v>
      </c>
      <c r="I99" s="266">
        <f>aurora_data!H59</f>
        <v>0</v>
      </c>
      <c r="J99" s="265">
        <f>aurora_data!I59</f>
        <v>0</v>
      </c>
      <c r="K99" s="266">
        <f>aurora_data!J59</f>
        <v>0</v>
      </c>
      <c r="L99" s="266">
        <f>aurora_data!K59</f>
        <v>0</v>
      </c>
      <c r="M99" s="266">
        <f>aurora_data!L59</f>
        <v>1</v>
      </c>
      <c r="N99" s="267">
        <f>aurora_data!M59</f>
        <v>1</v>
      </c>
      <c r="O99" s="265">
        <f>aurora_data!N59</f>
        <v>0</v>
      </c>
      <c r="P99" s="266">
        <f>aurora_data!O59</f>
        <v>0</v>
      </c>
      <c r="Q99" s="266">
        <f>aurora_data!P59</f>
        <v>0</v>
      </c>
      <c r="R99" s="266">
        <f>aurora_data!Q59</f>
        <v>0</v>
      </c>
      <c r="S99" s="267">
        <f>aurora_data!R59</f>
        <v>0</v>
      </c>
      <c r="T99" s="265">
        <f>aurora_data!S59</f>
        <v>0</v>
      </c>
      <c r="U99" s="266">
        <f>aurora_data!T59</f>
        <v>1</v>
      </c>
      <c r="V99" s="266">
        <f>aurora_data!U59</f>
        <v>0</v>
      </c>
      <c r="W99" s="266">
        <f>aurora_data!V59</f>
        <v>0</v>
      </c>
      <c r="X99" s="267">
        <f>aurora_data!W59</f>
        <v>0</v>
      </c>
      <c r="Y99" s="265">
        <f>aurora_data!X59</f>
        <v>0</v>
      </c>
      <c r="Z99" s="266">
        <f>aurora_data!Y59</f>
        <v>0</v>
      </c>
      <c r="AA99" s="266">
        <f>aurora_data!Z59</f>
        <v>0</v>
      </c>
      <c r="AB99" s="266">
        <f>aurora_data!AA59</f>
        <v>0</v>
      </c>
      <c r="AC99" s="267">
        <f>aurora_data!AB59</f>
        <v>0</v>
      </c>
      <c r="AD99" s="265">
        <f>aurora_data!AC59</f>
        <v>0</v>
      </c>
      <c r="AE99" s="266">
        <f>aurora_data!AD59</f>
        <v>1</v>
      </c>
      <c r="AF99" s="266">
        <f>aurora_data!AE59</f>
        <v>1</v>
      </c>
      <c r="AG99" s="267">
        <f>aurora_data!AF59</f>
        <v>1</v>
      </c>
      <c r="AH99" s="265">
        <f>aurora_data!AG59</f>
        <v>1</v>
      </c>
      <c r="AI99" s="266">
        <f>aurora_data!AH59</f>
        <v>2</v>
      </c>
      <c r="AJ99" s="268">
        <f>aurora_data!AI59</f>
        <v>0</v>
      </c>
      <c r="AK99" s="269"/>
      <c r="AL99" s="265">
        <f>aurora_data!AJ59</f>
        <v>3</v>
      </c>
      <c r="AM99" s="270">
        <f t="shared" si="54"/>
        <v>1.4999999999999999E-2</v>
      </c>
      <c r="AO99"/>
      <c r="AP99"/>
      <c r="AQ99"/>
      <c r="AR99"/>
      <c r="AS99"/>
      <c r="AT99"/>
      <c r="AU99"/>
      <c r="AV99"/>
      <c r="AW99"/>
      <c r="AX99"/>
      <c r="AY99"/>
    </row>
    <row r="100" spans="2:51" outlineLevel="1">
      <c r="B100" s="452"/>
      <c r="C100" s="454"/>
      <c r="D100" s="199" t="s">
        <v>344</v>
      </c>
      <c r="E100" s="271">
        <f t="shared" ref="E100:AC100" si="55">ROUNDDOWN((E102+$E$9)*($AL92),0)</f>
        <v>4</v>
      </c>
      <c r="F100" s="272">
        <f t="shared" si="55"/>
        <v>4</v>
      </c>
      <c r="G100" s="272">
        <f t="shared" si="55"/>
        <v>5</v>
      </c>
      <c r="H100" s="272">
        <f t="shared" si="55"/>
        <v>5</v>
      </c>
      <c r="I100" s="272">
        <f t="shared" si="55"/>
        <v>10</v>
      </c>
      <c r="J100" s="271">
        <f t="shared" si="55"/>
        <v>4</v>
      </c>
      <c r="K100" s="272">
        <f t="shared" si="55"/>
        <v>5</v>
      </c>
      <c r="L100" s="272">
        <f t="shared" si="55"/>
        <v>10</v>
      </c>
      <c r="M100" s="272">
        <f t="shared" si="55"/>
        <v>14</v>
      </c>
      <c r="N100" s="268">
        <f t="shared" si="55"/>
        <v>10</v>
      </c>
      <c r="O100" s="271">
        <f t="shared" si="55"/>
        <v>8</v>
      </c>
      <c r="P100" s="272">
        <f t="shared" si="55"/>
        <v>10</v>
      </c>
      <c r="Q100" s="272">
        <f t="shared" si="55"/>
        <v>17</v>
      </c>
      <c r="R100" s="272">
        <f t="shared" si="55"/>
        <v>18</v>
      </c>
      <c r="S100" s="268">
        <f t="shared" si="55"/>
        <v>13</v>
      </c>
      <c r="T100" s="271">
        <f t="shared" si="55"/>
        <v>4</v>
      </c>
      <c r="U100" s="272">
        <f t="shared" si="55"/>
        <v>4</v>
      </c>
      <c r="V100" s="272">
        <f t="shared" si="55"/>
        <v>7</v>
      </c>
      <c r="W100" s="272">
        <f t="shared" si="55"/>
        <v>10</v>
      </c>
      <c r="X100" s="268">
        <f t="shared" si="55"/>
        <v>11</v>
      </c>
      <c r="Y100" s="271">
        <f t="shared" si="55"/>
        <v>5</v>
      </c>
      <c r="Z100" s="272">
        <f t="shared" si="55"/>
        <v>6</v>
      </c>
      <c r="AA100" s="272">
        <f t="shared" si="55"/>
        <v>18</v>
      </c>
      <c r="AB100" s="272">
        <f t="shared" si="55"/>
        <v>34</v>
      </c>
      <c r="AC100" s="268">
        <f t="shared" si="55"/>
        <v>50</v>
      </c>
      <c r="AD100" s="271">
        <f>ROUNDDOWN((AD102+$AD$9)*($AL92),0)</f>
        <v>62</v>
      </c>
      <c r="AE100" s="272">
        <f>ROUNDDOWN((AE102+$AD$9)*($AL92),0)</f>
        <v>51</v>
      </c>
      <c r="AF100" s="272">
        <f t="shared" ref="AF100:AG100" si="56">ROUNDDOWN((AF102+$AD$9)*($AL92),0)</f>
        <v>98</v>
      </c>
      <c r="AG100" s="272">
        <f t="shared" si="56"/>
        <v>67</v>
      </c>
      <c r="AH100" s="271">
        <f>ROUNDDOWN((AH102+$AH$9)*($AL92),0)</f>
        <v>100</v>
      </c>
      <c r="AI100" s="272">
        <f>ROUNDDOWN((AI102+$AH$9)*($AL92),0)</f>
        <v>100</v>
      </c>
      <c r="AJ100" s="272">
        <f>ROUNDDOWN((AJ102+$AH$8)*($AL92),0)</f>
        <v>0</v>
      </c>
      <c r="AK100" s="273"/>
      <c r="AL100" s="274"/>
      <c r="AM100" s="275"/>
      <c r="AO100"/>
      <c r="AP100"/>
      <c r="AQ100"/>
      <c r="AR100"/>
      <c r="AS100"/>
      <c r="AT100"/>
      <c r="AU100"/>
      <c r="AV100"/>
      <c r="AW100"/>
      <c r="AX100"/>
      <c r="AY100"/>
    </row>
    <row r="101" spans="2:51" ht="15.75" customHeight="1" outlineLevel="1" thickBot="1">
      <c r="B101" s="452"/>
      <c r="C101" s="454"/>
      <c r="D101" s="199" t="s">
        <v>345</v>
      </c>
      <c r="E101" s="276">
        <f t="shared" ref="E101:AC101" si="57">IF(ROUND(((E102-$E$9)*($AL92))+0.25,0) &lt;=0,1,((E102-$E$9)*($AL92))+0.25)</f>
        <v>1</v>
      </c>
      <c r="F101" s="277">
        <f t="shared" si="57"/>
        <v>1</v>
      </c>
      <c r="G101" s="277">
        <f t="shared" si="57"/>
        <v>1</v>
      </c>
      <c r="H101" s="277">
        <f t="shared" si="57"/>
        <v>1</v>
      </c>
      <c r="I101" s="277">
        <f t="shared" si="57"/>
        <v>2.3200000000000003</v>
      </c>
      <c r="J101" s="276">
        <f t="shared" si="57"/>
        <v>1</v>
      </c>
      <c r="K101" s="277">
        <f t="shared" si="57"/>
        <v>1</v>
      </c>
      <c r="L101" s="277">
        <f t="shared" si="57"/>
        <v>2.6799999999999997</v>
      </c>
      <c r="M101" s="277">
        <f t="shared" si="57"/>
        <v>6.6199999999999974</v>
      </c>
      <c r="N101" s="278">
        <f t="shared" si="57"/>
        <v>3.2099999999999995</v>
      </c>
      <c r="O101" s="276">
        <f t="shared" si="57"/>
        <v>1.1900000000000006</v>
      </c>
      <c r="P101" s="277">
        <f t="shared" si="57"/>
        <v>2.94</v>
      </c>
      <c r="Q101" s="277">
        <f t="shared" si="57"/>
        <v>10.139999999999999</v>
      </c>
      <c r="R101" s="277">
        <f t="shared" si="57"/>
        <v>11.05</v>
      </c>
      <c r="S101" s="278">
        <f t="shared" si="57"/>
        <v>5.82</v>
      </c>
      <c r="T101" s="276">
        <f t="shared" si="57"/>
        <v>1</v>
      </c>
      <c r="U101" s="277">
        <f t="shared" si="57"/>
        <v>1</v>
      </c>
      <c r="V101" s="277">
        <f t="shared" si="57"/>
        <v>1</v>
      </c>
      <c r="W101" s="277">
        <f t="shared" si="57"/>
        <v>3.13</v>
      </c>
      <c r="X101" s="278">
        <f t="shared" si="57"/>
        <v>3.6599999999999997</v>
      </c>
      <c r="Y101" s="276">
        <f t="shared" si="57"/>
        <v>1</v>
      </c>
      <c r="Z101" s="277">
        <f t="shared" si="57"/>
        <v>1</v>
      </c>
      <c r="AA101" s="277">
        <f t="shared" si="57"/>
        <v>10.899999999999999</v>
      </c>
      <c r="AB101" s="277">
        <f t="shared" si="57"/>
        <v>27.180000000000003</v>
      </c>
      <c r="AC101" s="278">
        <f t="shared" si="57"/>
        <v>42.64</v>
      </c>
      <c r="AD101" s="276">
        <f>IF(((AD102-$AD$9)*($AL92))+0.5 &lt;0,1,((AD102-$AD$9)*($AL92))+0.5 )</f>
        <v>22.92</v>
      </c>
      <c r="AE101" s="277">
        <f>IF(((AE102-$AD$9)*($AL92))+0.5 &lt;0,1,((AE102-$AD$9)*($AL92))+0.5 )</f>
        <v>12</v>
      </c>
      <c r="AF101" s="277">
        <f t="shared" ref="AF101" si="58">IF(((AF102-$AD$9)*($AL92))+0.5 &lt;0,1,((AF102-$AD$9)*($AL92))+0.5 )</f>
        <v>58.76</v>
      </c>
      <c r="AG101" s="277">
        <f t="shared" ref="AG101" si="59">IF(((AG102-$AD$9)*($AL92))+0.5 &lt;0,1,((AG102-$AD$9)*($AL92))+0.5 )</f>
        <v>28.32</v>
      </c>
      <c r="AH101" s="276">
        <f>IF(((AH102-$AH$9)*($AL92))+0.5 &lt;0,1,((AH102-$AH$9)*($AL92)) )</f>
        <v>100</v>
      </c>
      <c r="AI101" s="277">
        <f>IF(((AI102-$AH$9)*($AL92))+0.5 &lt;0,1,((AI102-$AH$9)*($AL92)))</f>
        <v>100</v>
      </c>
      <c r="AJ101" s="277">
        <f>IF(((AJ102-$AH$8)*($AL92))+0.5 &lt;0,1,((AJ102-$AH$8)*($AL92))+0.5 )</f>
        <v>0.5</v>
      </c>
      <c r="AK101" s="273"/>
      <c r="AL101" s="279"/>
      <c r="AM101" s="280"/>
      <c r="AO101"/>
      <c r="AP101"/>
      <c r="AQ101"/>
      <c r="AR101"/>
      <c r="AS101"/>
      <c r="AT101"/>
      <c r="AU101"/>
      <c r="AV101"/>
      <c r="AW101"/>
      <c r="AX101"/>
      <c r="AY101"/>
    </row>
    <row r="102" spans="2:51" ht="15.75" customHeight="1" outlineLevel="1" thickTop="1">
      <c r="B102" s="110"/>
      <c r="C102" s="109"/>
      <c r="D102" s="95" t="s">
        <v>346</v>
      </c>
      <c r="E102" s="414">
        <f t="shared" ref="E102:AJ102" si="60">IFERROR(E92/$AL92,0)</f>
        <v>1.7499999999999998E-3</v>
      </c>
      <c r="F102" s="415">
        <f t="shared" si="60"/>
        <v>2.0999999999999999E-3</v>
      </c>
      <c r="G102" s="415">
        <f t="shared" si="60"/>
        <v>6.1500000000000001E-3</v>
      </c>
      <c r="H102" s="415">
        <f t="shared" si="60"/>
        <v>8.2500000000000004E-3</v>
      </c>
      <c r="I102" s="415">
        <f t="shared" si="60"/>
        <v>3.0350000000000002E-2</v>
      </c>
      <c r="J102" s="414">
        <f t="shared" si="60"/>
        <v>2.7500000000000003E-3</v>
      </c>
      <c r="K102" s="415">
        <f t="shared" si="60"/>
        <v>7.5500000000000003E-3</v>
      </c>
      <c r="L102" s="415">
        <f t="shared" si="60"/>
        <v>3.2149999999999998E-2</v>
      </c>
      <c r="M102" s="415">
        <f t="shared" si="60"/>
        <v>5.1849999999999993E-2</v>
      </c>
      <c r="N102" s="416">
        <f t="shared" si="60"/>
        <v>3.4799999999999998E-2</v>
      </c>
      <c r="O102" s="414">
        <f t="shared" si="60"/>
        <v>2.4700000000000003E-2</v>
      </c>
      <c r="P102" s="415">
        <f t="shared" si="60"/>
        <v>3.3450000000000001E-2</v>
      </c>
      <c r="Q102" s="415">
        <f t="shared" si="60"/>
        <v>6.9449999999999998E-2</v>
      </c>
      <c r="R102" s="415">
        <f t="shared" si="60"/>
        <v>7.400000000000001E-2</v>
      </c>
      <c r="S102" s="416">
        <f t="shared" si="60"/>
        <v>4.7850000000000004E-2</v>
      </c>
      <c r="T102" s="414">
        <f t="shared" si="60"/>
        <v>2.0499999999999997E-3</v>
      </c>
      <c r="U102" s="415">
        <f t="shared" si="60"/>
        <v>4.0999999999999995E-3</v>
      </c>
      <c r="V102" s="415">
        <f t="shared" si="60"/>
        <v>1.8550000000000001E-2</v>
      </c>
      <c r="W102" s="415">
        <f t="shared" si="60"/>
        <v>3.44E-2</v>
      </c>
      <c r="X102" s="416">
        <f t="shared" si="60"/>
        <v>3.705E-2</v>
      </c>
      <c r="Y102" s="414">
        <f t="shared" si="60"/>
        <v>5.2500000000000003E-3</v>
      </c>
      <c r="Z102" s="415">
        <f t="shared" si="60"/>
        <v>1.15E-2</v>
      </c>
      <c r="AA102" s="415">
        <f t="shared" si="60"/>
        <v>7.3249999999999996E-2</v>
      </c>
      <c r="AB102" s="415">
        <f t="shared" si="60"/>
        <v>0.15465000000000001</v>
      </c>
      <c r="AC102" s="416">
        <f t="shared" si="60"/>
        <v>0.23194999999999999</v>
      </c>
      <c r="AD102" s="414">
        <f t="shared" si="60"/>
        <v>0.21210000000000001</v>
      </c>
      <c r="AE102" s="415">
        <f t="shared" si="60"/>
        <v>0.1575</v>
      </c>
      <c r="AF102" s="415">
        <f t="shared" si="60"/>
        <v>0.39130000000000004</v>
      </c>
      <c r="AG102" s="416">
        <f t="shared" si="60"/>
        <v>0.23910000000000001</v>
      </c>
      <c r="AH102" s="414">
        <f t="shared" si="60"/>
        <v>0.5</v>
      </c>
      <c r="AI102" s="415">
        <f t="shared" si="60"/>
        <v>0.5</v>
      </c>
      <c r="AJ102" s="415">
        <f t="shared" si="60"/>
        <v>0</v>
      </c>
      <c r="AK102" s="407"/>
      <c r="AL102" s="417"/>
      <c r="AM102" s="418"/>
      <c r="AO102"/>
      <c r="AP102"/>
      <c r="AQ102"/>
      <c r="AR102"/>
      <c r="AS102"/>
      <c r="AT102"/>
      <c r="AU102"/>
      <c r="AV102"/>
      <c r="AW102"/>
      <c r="AX102"/>
      <c r="AY102"/>
    </row>
    <row r="103" spans="2:51" ht="16.5" customHeight="1" outlineLevel="1">
      <c r="B103" s="110"/>
      <c r="C103" s="109"/>
      <c r="D103" s="180" t="s">
        <v>347</v>
      </c>
      <c r="E103" s="414">
        <f t="shared" ref="E103:AJ103" si="61">IFERROR(E93/$AL92,0)</f>
        <v>0</v>
      </c>
      <c r="F103" s="415">
        <f t="shared" si="61"/>
        <v>5.0000000000000001E-3</v>
      </c>
      <c r="G103" s="415">
        <f t="shared" si="61"/>
        <v>5.0000000000000001E-3</v>
      </c>
      <c r="H103" s="415">
        <f t="shared" si="61"/>
        <v>0.01</v>
      </c>
      <c r="I103" s="415">
        <f t="shared" si="61"/>
        <v>0.03</v>
      </c>
      <c r="J103" s="414">
        <f t="shared" si="61"/>
        <v>5.0000000000000001E-3</v>
      </c>
      <c r="K103" s="415">
        <f t="shared" si="61"/>
        <v>0.01</v>
      </c>
      <c r="L103" s="415">
        <f t="shared" si="61"/>
        <v>0.03</v>
      </c>
      <c r="M103" s="415">
        <f t="shared" si="61"/>
        <v>0.05</v>
      </c>
      <c r="N103" s="416">
        <f t="shared" si="61"/>
        <v>3.5000000000000003E-2</v>
      </c>
      <c r="O103" s="414">
        <f t="shared" si="61"/>
        <v>2.5000000000000001E-2</v>
      </c>
      <c r="P103" s="415">
        <f t="shared" si="61"/>
        <v>3.5000000000000003E-2</v>
      </c>
      <c r="Q103" s="415">
        <f t="shared" si="61"/>
        <v>7.0000000000000007E-2</v>
      </c>
      <c r="R103" s="415">
        <f t="shared" si="61"/>
        <v>7.4999999999999997E-2</v>
      </c>
      <c r="S103" s="416">
        <f t="shared" si="61"/>
        <v>0.05</v>
      </c>
      <c r="T103" s="414">
        <f t="shared" si="61"/>
        <v>0</v>
      </c>
      <c r="U103" s="415">
        <f t="shared" si="61"/>
        <v>0</v>
      </c>
      <c r="V103" s="415">
        <f t="shared" si="61"/>
        <v>1.4999999999999999E-2</v>
      </c>
      <c r="W103" s="415">
        <f t="shared" si="61"/>
        <v>3.5000000000000003E-2</v>
      </c>
      <c r="X103" s="416">
        <f t="shared" si="61"/>
        <v>3.5000000000000003E-2</v>
      </c>
      <c r="Y103" s="414">
        <f t="shared" si="61"/>
        <v>5.0000000000000001E-3</v>
      </c>
      <c r="Z103" s="415">
        <f t="shared" si="61"/>
        <v>0.01</v>
      </c>
      <c r="AA103" s="415">
        <f t="shared" si="61"/>
        <v>7.4999999999999997E-2</v>
      </c>
      <c r="AB103" s="415">
        <f t="shared" si="61"/>
        <v>0.155</v>
      </c>
      <c r="AC103" s="416">
        <f t="shared" si="61"/>
        <v>0.23</v>
      </c>
      <c r="AD103" s="414">
        <f t="shared" si="61"/>
        <v>0.27500000000000002</v>
      </c>
      <c r="AE103" s="415">
        <f t="shared" si="61"/>
        <v>0.15</v>
      </c>
      <c r="AF103" s="415">
        <f t="shared" si="61"/>
        <v>0.33</v>
      </c>
      <c r="AG103" s="416">
        <f t="shared" si="61"/>
        <v>0.24</v>
      </c>
      <c r="AH103" s="415">
        <f t="shared" si="61"/>
        <v>0.5</v>
      </c>
      <c r="AI103" s="415">
        <f t="shared" si="61"/>
        <v>0.495</v>
      </c>
      <c r="AJ103" s="415">
        <f t="shared" si="61"/>
        <v>0</v>
      </c>
      <c r="AK103" s="407"/>
      <c r="AL103" s="417"/>
      <c r="AM103" s="418"/>
      <c r="AO103"/>
      <c r="AP103"/>
      <c r="AQ103"/>
      <c r="AR103"/>
      <c r="AS103"/>
      <c r="AT103"/>
      <c r="AU103"/>
      <c r="AV103"/>
      <c r="AW103"/>
      <c r="AX103"/>
      <c r="AY103"/>
    </row>
    <row r="104" spans="2:51" ht="16.5" outlineLevel="1" thickBot="1">
      <c r="B104" s="110"/>
      <c r="C104" s="109"/>
      <c r="D104" s="180" t="s">
        <v>348</v>
      </c>
      <c r="E104" s="419">
        <f t="shared" ref="E104:AJ104" si="62">E103-E102</f>
        <v>-1.7499999999999998E-3</v>
      </c>
      <c r="F104" s="420">
        <f t="shared" si="62"/>
        <v>2.9000000000000002E-3</v>
      </c>
      <c r="G104" s="420">
        <f t="shared" si="62"/>
        <v>-1.15E-3</v>
      </c>
      <c r="H104" s="420">
        <f t="shared" si="62"/>
        <v>1.7499999999999998E-3</v>
      </c>
      <c r="I104" s="420">
        <f t="shared" si="62"/>
        <v>-3.5000000000000309E-4</v>
      </c>
      <c r="J104" s="419">
        <f t="shared" si="62"/>
        <v>2.2499999999999998E-3</v>
      </c>
      <c r="K104" s="420">
        <f t="shared" si="62"/>
        <v>2.4499999999999999E-3</v>
      </c>
      <c r="L104" s="420">
        <f t="shared" si="62"/>
        <v>-2.1499999999999991E-3</v>
      </c>
      <c r="M104" s="420">
        <f t="shared" si="62"/>
        <v>-1.8499999999999905E-3</v>
      </c>
      <c r="N104" s="421">
        <f t="shared" si="62"/>
        <v>2.0000000000000573E-4</v>
      </c>
      <c r="O104" s="419">
        <f t="shared" si="62"/>
        <v>2.9999999999999818E-4</v>
      </c>
      <c r="P104" s="420">
        <f t="shared" si="62"/>
        <v>1.5500000000000028E-3</v>
      </c>
      <c r="Q104" s="420">
        <f t="shared" si="62"/>
        <v>5.5000000000000882E-4</v>
      </c>
      <c r="R104" s="420">
        <f t="shared" si="62"/>
        <v>9.9999999999998701E-4</v>
      </c>
      <c r="S104" s="421">
        <f t="shared" si="62"/>
        <v>2.1499999999999991E-3</v>
      </c>
      <c r="T104" s="419">
        <f t="shared" si="62"/>
        <v>-2.0499999999999997E-3</v>
      </c>
      <c r="U104" s="420">
        <f t="shared" si="62"/>
        <v>-4.0999999999999995E-3</v>
      </c>
      <c r="V104" s="420">
        <f t="shared" si="62"/>
        <v>-3.5500000000000011E-3</v>
      </c>
      <c r="W104" s="420">
        <f t="shared" si="62"/>
        <v>6.0000000000000331E-4</v>
      </c>
      <c r="X104" s="421">
        <f t="shared" si="62"/>
        <v>-2.0499999999999963E-3</v>
      </c>
      <c r="Y104" s="419">
        <f t="shared" si="62"/>
        <v>-2.5000000000000022E-4</v>
      </c>
      <c r="Z104" s="420">
        <f t="shared" si="62"/>
        <v>-1.4999999999999996E-3</v>
      </c>
      <c r="AA104" s="420">
        <f t="shared" si="62"/>
        <v>1.7500000000000016E-3</v>
      </c>
      <c r="AB104" s="420">
        <f t="shared" si="62"/>
        <v>3.4999999999998921E-4</v>
      </c>
      <c r="AC104" s="421">
        <f t="shared" si="62"/>
        <v>-1.9499999999999795E-3</v>
      </c>
      <c r="AD104" s="419">
        <f t="shared" si="62"/>
        <v>6.2900000000000011E-2</v>
      </c>
      <c r="AE104" s="420">
        <f t="shared" si="62"/>
        <v>-7.5000000000000067E-3</v>
      </c>
      <c r="AF104" s="420">
        <f t="shared" si="62"/>
        <v>-6.1300000000000021E-2</v>
      </c>
      <c r="AG104" s="421">
        <f t="shared" si="62"/>
        <v>8.9999999999998415E-4</v>
      </c>
      <c r="AH104" s="420">
        <f t="shared" si="62"/>
        <v>0</v>
      </c>
      <c r="AI104" s="420">
        <f t="shared" si="62"/>
        <v>-5.0000000000000044E-3</v>
      </c>
      <c r="AJ104" s="420">
        <f t="shared" si="62"/>
        <v>0</v>
      </c>
      <c r="AK104" s="407"/>
      <c r="AL104" s="422"/>
      <c r="AM104" s="423"/>
      <c r="AO104"/>
      <c r="AP104"/>
      <c r="AQ104"/>
      <c r="AR104"/>
      <c r="AS104"/>
      <c r="AT104"/>
      <c r="AU104"/>
      <c r="AV104"/>
      <c r="AW104"/>
      <c r="AX104"/>
      <c r="AY104"/>
    </row>
    <row r="105" spans="2:51" ht="16.5" thickTop="1">
      <c r="B105" s="451" t="s">
        <v>338</v>
      </c>
      <c r="C105" s="453" t="str">
        <f>aurora_data!A60</f>
        <v>13.00.00-13.11.30</v>
      </c>
      <c r="D105" s="34" t="s">
        <v>306</v>
      </c>
      <c r="E105" s="152">
        <f>aurora_data!D60</f>
        <v>0.45</v>
      </c>
      <c r="F105" s="153">
        <f>aurora_data!E60</f>
        <v>0.54</v>
      </c>
      <c r="G105" s="153">
        <f>aurora_data!F60</f>
        <v>1.32</v>
      </c>
      <c r="H105" s="153">
        <f>aurora_data!G60</f>
        <v>1.68</v>
      </c>
      <c r="I105" s="153">
        <f>aurora_data!H60</f>
        <v>6.54</v>
      </c>
      <c r="J105" s="152">
        <f>aurora_data!I60</f>
        <v>0.44</v>
      </c>
      <c r="K105" s="153">
        <f>aurora_data!J60</f>
        <v>1.62</v>
      </c>
      <c r="L105" s="153">
        <f>aurora_data!K60</f>
        <v>7.31</v>
      </c>
      <c r="M105" s="153">
        <f>aurora_data!L60</f>
        <v>9.49</v>
      </c>
      <c r="N105" s="154">
        <f>aurora_data!M60</f>
        <v>6.75</v>
      </c>
      <c r="O105" s="152">
        <f>aurora_data!N60</f>
        <v>5.18</v>
      </c>
      <c r="P105" s="153">
        <f>aurora_data!O60</f>
        <v>7.42</v>
      </c>
      <c r="Q105" s="153">
        <f>aurora_data!P60</f>
        <v>13.93</v>
      </c>
      <c r="R105" s="153">
        <f>aurora_data!Q60</f>
        <v>14.34</v>
      </c>
      <c r="S105" s="154">
        <f>aurora_data!R60</f>
        <v>10.029999999999999</v>
      </c>
      <c r="T105" s="152">
        <f>aurora_data!S60</f>
        <v>0.4</v>
      </c>
      <c r="U105" s="153">
        <f>aurora_data!T60</f>
        <v>0.94</v>
      </c>
      <c r="V105" s="153">
        <f>aurora_data!U60</f>
        <v>2.88</v>
      </c>
      <c r="W105" s="153">
        <f>aurora_data!V60</f>
        <v>6.7</v>
      </c>
      <c r="X105" s="154">
        <f>aurora_data!W60</f>
        <v>7.58</v>
      </c>
      <c r="Y105" s="152">
        <f>aurora_data!X60</f>
        <v>1.18</v>
      </c>
      <c r="Z105" s="153">
        <f>aurora_data!Y60</f>
        <v>2.0099999999999998</v>
      </c>
      <c r="AA105" s="153">
        <f>aurora_data!Z60</f>
        <v>14.63</v>
      </c>
      <c r="AB105" s="153">
        <f>aurora_data!AA60</f>
        <v>31.01</v>
      </c>
      <c r="AC105" s="154">
        <f>aurora_data!AB60</f>
        <v>45.63</v>
      </c>
      <c r="AD105" s="152">
        <f>aurora_data!AC60</f>
        <v>40.82</v>
      </c>
      <c r="AE105" s="153">
        <f>aurora_data!AD60</f>
        <v>31.63</v>
      </c>
      <c r="AF105" s="153">
        <f>aurora_data!AE60</f>
        <v>79.58</v>
      </c>
      <c r="AG105" s="154">
        <f>aurora_data!AF60</f>
        <v>47.97</v>
      </c>
      <c r="AH105" s="155">
        <f>aurora_data!AG60</f>
        <v>100</v>
      </c>
      <c r="AI105" s="171">
        <f>aurora_data!AH60</f>
        <v>100</v>
      </c>
      <c r="AJ105" s="201">
        <f>aurora_data!AI60</f>
        <v>0</v>
      </c>
      <c r="AK105" s="407"/>
      <c r="AL105" s="155">
        <f>aurora_data!AJ60</f>
        <v>200</v>
      </c>
      <c r="AM105" s="167">
        <f t="shared" ref="AM105:AM112" si="63">SUM(AL105)/$AL$105</f>
        <v>1</v>
      </c>
      <c r="AO105"/>
      <c r="AP105"/>
      <c r="AQ105"/>
      <c r="AR105"/>
      <c r="AS105"/>
      <c r="AT105"/>
      <c r="AU105"/>
      <c r="AV105"/>
      <c r="AW105"/>
      <c r="AX105"/>
      <c r="AY105"/>
    </row>
    <row r="106" spans="2:51">
      <c r="B106" s="452"/>
      <c r="C106" s="454"/>
      <c r="D106" s="35" t="s">
        <v>339</v>
      </c>
      <c r="E106" s="262">
        <f>aurora_data!D61</f>
        <v>0</v>
      </c>
      <c r="F106" s="263">
        <f>aurora_data!E61</f>
        <v>1</v>
      </c>
      <c r="G106" s="263">
        <f>aurora_data!F61</f>
        <v>1</v>
      </c>
      <c r="H106" s="263">
        <f>aurora_data!G61</f>
        <v>2</v>
      </c>
      <c r="I106" s="263">
        <f>aurora_data!H61</f>
        <v>7</v>
      </c>
      <c r="J106" s="262">
        <f>aurora_data!I61</f>
        <v>0</v>
      </c>
      <c r="K106" s="263">
        <f>aurora_data!J61</f>
        <v>2</v>
      </c>
      <c r="L106" s="263">
        <f>aurora_data!K61</f>
        <v>7</v>
      </c>
      <c r="M106" s="263">
        <f>aurora_data!L61</f>
        <v>9</v>
      </c>
      <c r="N106" s="264">
        <f>aurora_data!M61</f>
        <v>7</v>
      </c>
      <c r="O106" s="262">
        <f>aurora_data!N61</f>
        <v>5</v>
      </c>
      <c r="P106" s="263">
        <f>aurora_data!O61</f>
        <v>6</v>
      </c>
      <c r="Q106" s="263">
        <f>aurora_data!P61</f>
        <v>12</v>
      </c>
      <c r="R106" s="263">
        <f>aurora_data!Q61</f>
        <v>14</v>
      </c>
      <c r="S106" s="264">
        <f>aurora_data!R61</f>
        <v>10</v>
      </c>
      <c r="T106" s="262">
        <f>aurora_data!S61</f>
        <v>0</v>
      </c>
      <c r="U106" s="263">
        <f>aurora_data!T61</f>
        <v>1</v>
      </c>
      <c r="V106" s="263">
        <f>aurora_data!U61</f>
        <v>3</v>
      </c>
      <c r="W106" s="263">
        <f>aurora_data!V61</f>
        <v>5</v>
      </c>
      <c r="X106" s="264">
        <f>aurora_data!W61</f>
        <v>8</v>
      </c>
      <c r="Y106" s="262">
        <f>aurora_data!X61</f>
        <v>1</v>
      </c>
      <c r="Z106" s="263">
        <f>aurora_data!Y61</f>
        <v>2</v>
      </c>
      <c r="AA106" s="263">
        <f>aurora_data!Z61</f>
        <v>15</v>
      </c>
      <c r="AB106" s="263">
        <f>aurora_data!AA61</f>
        <v>31</v>
      </c>
      <c r="AC106" s="264">
        <f>aurora_data!AB61</f>
        <v>46</v>
      </c>
      <c r="AD106" s="262">
        <f>aurora_data!AC61</f>
        <v>42</v>
      </c>
      <c r="AE106" s="263">
        <f>aurora_data!AD61</f>
        <v>34</v>
      </c>
      <c r="AF106" s="263">
        <f>aurora_data!AE61</f>
        <v>70</v>
      </c>
      <c r="AG106" s="264">
        <f>aurora_data!AF61</f>
        <v>49</v>
      </c>
      <c r="AH106" s="262">
        <f>aurora_data!AG61</f>
        <v>98</v>
      </c>
      <c r="AI106" s="263">
        <f>aurora_data!AH61</f>
        <v>97</v>
      </c>
      <c r="AJ106" s="264">
        <f>aurora_data!AI61</f>
        <v>0</v>
      </c>
      <c r="AK106" s="407"/>
      <c r="AL106" s="408">
        <f>aurora_data!AJ61</f>
        <v>195</v>
      </c>
      <c r="AM106" s="409">
        <f t="shared" si="63"/>
        <v>0.97499999999999998</v>
      </c>
      <c r="AO106"/>
      <c r="AP106"/>
      <c r="AQ106"/>
      <c r="AR106"/>
      <c r="AS106"/>
      <c r="AT106"/>
      <c r="AU106"/>
      <c r="AV106"/>
      <c r="AW106"/>
      <c r="AX106"/>
      <c r="AY106"/>
    </row>
    <row r="107" spans="2:51">
      <c r="B107" s="452"/>
      <c r="C107" s="454"/>
      <c r="D107" s="35" t="s">
        <v>291</v>
      </c>
      <c r="E107" s="408">
        <f>aurora_data!D62</f>
        <v>1</v>
      </c>
      <c r="F107" s="410">
        <f>aurora_data!E62</f>
        <v>1</v>
      </c>
      <c r="G107" s="410">
        <f>aurora_data!F62</f>
        <v>1</v>
      </c>
      <c r="H107" s="410">
        <f>aurora_data!G62</f>
        <v>2</v>
      </c>
      <c r="I107" s="410">
        <f>aurora_data!H62</f>
        <v>0</v>
      </c>
      <c r="J107" s="408">
        <f>aurora_data!I62</f>
        <v>2</v>
      </c>
      <c r="K107" s="410">
        <f>aurora_data!J62</f>
        <v>1</v>
      </c>
      <c r="L107" s="410">
        <f>aurora_data!K62</f>
        <v>2</v>
      </c>
      <c r="M107" s="410">
        <f>aurora_data!L62</f>
        <v>1</v>
      </c>
      <c r="N107" s="411">
        <f>aurora_data!M62</f>
        <v>2</v>
      </c>
      <c r="O107" s="408">
        <f>aurora_data!N62</f>
        <v>0</v>
      </c>
      <c r="P107" s="410">
        <f>aurora_data!O62</f>
        <v>0</v>
      </c>
      <c r="Q107" s="410">
        <f>aurora_data!P62</f>
        <v>0</v>
      </c>
      <c r="R107" s="410">
        <f>aurora_data!Q62</f>
        <v>3</v>
      </c>
      <c r="S107" s="411">
        <f>aurora_data!R62</f>
        <v>0</v>
      </c>
      <c r="T107" s="408">
        <f>aurora_data!S62</f>
        <v>0</v>
      </c>
      <c r="U107" s="410">
        <f>aurora_data!T62</f>
        <v>0</v>
      </c>
      <c r="V107" s="410">
        <f>aurora_data!U62</f>
        <v>1</v>
      </c>
      <c r="W107" s="410">
        <f>aurora_data!V62</f>
        <v>0</v>
      </c>
      <c r="X107" s="411">
        <f>aurora_data!W62</f>
        <v>1</v>
      </c>
      <c r="Y107" s="408">
        <f>aurora_data!X62</f>
        <v>2</v>
      </c>
      <c r="Z107" s="410">
        <f>aurora_data!Y62</f>
        <v>2</v>
      </c>
      <c r="AA107" s="410">
        <f>aurora_data!Z62</f>
        <v>0</v>
      </c>
      <c r="AB107" s="410">
        <f>aurora_data!AA62</f>
        <v>1</v>
      </c>
      <c r="AC107" s="411">
        <f>aurora_data!AB62</f>
        <v>7</v>
      </c>
      <c r="AD107" s="408">
        <f>aurora_data!AC62</f>
        <v>5</v>
      </c>
      <c r="AE107" s="410">
        <f>aurora_data!AD62</f>
        <v>9</v>
      </c>
      <c r="AF107" s="410">
        <f>aurora_data!AE62</f>
        <v>6</v>
      </c>
      <c r="AG107" s="411">
        <f>aurora_data!AF62</f>
        <v>10</v>
      </c>
      <c r="AH107" s="408">
        <f>aurora_data!AG62</f>
        <v>9</v>
      </c>
      <c r="AI107" s="410">
        <f>aurora_data!AH62</f>
        <v>21</v>
      </c>
      <c r="AJ107" s="411">
        <f>aurora_data!AI62</f>
        <v>0</v>
      </c>
      <c r="AK107" s="407"/>
      <c r="AL107" s="408">
        <f>aurora_data!AJ62</f>
        <v>30</v>
      </c>
      <c r="AM107" s="409">
        <f t="shared" si="63"/>
        <v>0.15</v>
      </c>
      <c r="AO107"/>
      <c r="AP107"/>
      <c r="AQ107"/>
      <c r="AR107"/>
      <c r="AS107"/>
      <c r="AT107"/>
      <c r="AU107"/>
      <c r="AV107"/>
      <c r="AW107"/>
      <c r="AX107"/>
      <c r="AY107"/>
    </row>
    <row r="108" spans="2:51">
      <c r="B108" s="452"/>
      <c r="C108" s="454"/>
      <c r="D108" s="35" t="s">
        <v>340</v>
      </c>
      <c r="E108" s="408">
        <f>aurora_data!D63</f>
        <v>0</v>
      </c>
      <c r="F108" s="410">
        <f>aurora_data!E63</f>
        <v>0</v>
      </c>
      <c r="G108" s="410">
        <f>aurora_data!F63</f>
        <v>0</v>
      </c>
      <c r="H108" s="410">
        <f>aurora_data!G63</f>
        <v>0</v>
      </c>
      <c r="I108" s="410">
        <f>aurora_data!H63</f>
        <v>0</v>
      </c>
      <c r="J108" s="408">
        <f>aurora_data!I63</f>
        <v>0</v>
      </c>
      <c r="K108" s="410">
        <f>aurora_data!J63</f>
        <v>0</v>
      </c>
      <c r="L108" s="410">
        <f>aurora_data!K63</f>
        <v>0</v>
      </c>
      <c r="M108" s="410">
        <f>aurora_data!L63</f>
        <v>0</v>
      </c>
      <c r="N108" s="411">
        <f>aurora_data!M63</f>
        <v>0</v>
      </c>
      <c r="O108" s="408">
        <f>aurora_data!N63</f>
        <v>0</v>
      </c>
      <c r="P108" s="410">
        <f>aurora_data!O63</f>
        <v>0</v>
      </c>
      <c r="Q108" s="410">
        <f>aurora_data!P63</f>
        <v>0</v>
      </c>
      <c r="R108" s="410">
        <f>aurora_data!Q63</f>
        <v>0</v>
      </c>
      <c r="S108" s="411">
        <f>aurora_data!R63</f>
        <v>0</v>
      </c>
      <c r="T108" s="408">
        <f>aurora_data!S63</f>
        <v>0</v>
      </c>
      <c r="U108" s="410">
        <f>aurora_data!T63</f>
        <v>0</v>
      </c>
      <c r="V108" s="410">
        <f>aurora_data!U63</f>
        <v>0</v>
      </c>
      <c r="W108" s="410">
        <f>aurora_data!V63</f>
        <v>0</v>
      </c>
      <c r="X108" s="411">
        <f>aurora_data!W63</f>
        <v>0</v>
      </c>
      <c r="Y108" s="408">
        <f>aurora_data!X63</f>
        <v>0</v>
      </c>
      <c r="Z108" s="410">
        <f>aurora_data!Y63</f>
        <v>0</v>
      </c>
      <c r="AA108" s="410">
        <f>aurora_data!Z63</f>
        <v>0</v>
      </c>
      <c r="AB108" s="410">
        <f>aurora_data!AA63</f>
        <v>0</v>
      </c>
      <c r="AC108" s="411">
        <f>aurora_data!AB63</f>
        <v>0</v>
      </c>
      <c r="AD108" s="408">
        <f>aurora_data!AC63</f>
        <v>0</v>
      </c>
      <c r="AE108" s="410">
        <f>aurora_data!AD63</f>
        <v>0</v>
      </c>
      <c r="AF108" s="410">
        <f>aurora_data!AE63</f>
        <v>0</v>
      </c>
      <c r="AG108" s="411">
        <f>aurora_data!AF63</f>
        <v>0</v>
      </c>
      <c r="AH108" s="408">
        <f>aurora_data!AG63</f>
        <v>0</v>
      </c>
      <c r="AI108" s="410">
        <f>aurora_data!AH63</f>
        <v>0</v>
      </c>
      <c r="AJ108" s="411">
        <f>aurora_data!AI63</f>
        <v>0</v>
      </c>
      <c r="AK108" s="407"/>
      <c r="AL108" s="408">
        <f>aurora_data!AJ63</f>
        <v>0</v>
      </c>
      <c r="AM108" s="409">
        <f t="shared" si="63"/>
        <v>0</v>
      </c>
      <c r="AO108"/>
      <c r="AP108"/>
      <c r="AQ108"/>
      <c r="AR108"/>
      <c r="AS108"/>
      <c r="AT108"/>
      <c r="AU108"/>
      <c r="AV108"/>
      <c r="AW108"/>
      <c r="AX108"/>
      <c r="AY108"/>
    </row>
    <row r="109" spans="2:51">
      <c r="B109" s="452"/>
      <c r="C109" s="454"/>
      <c r="D109" s="35" t="s">
        <v>341</v>
      </c>
      <c r="E109" s="408">
        <f>aurora_data!D64</f>
        <v>0</v>
      </c>
      <c r="F109" s="410">
        <f>aurora_data!E64</f>
        <v>0</v>
      </c>
      <c r="G109" s="410">
        <f>aurora_data!F64</f>
        <v>0</v>
      </c>
      <c r="H109" s="410">
        <f>aurora_data!G64</f>
        <v>0</v>
      </c>
      <c r="I109" s="410">
        <f>aurora_data!H64</f>
        <v>0</v>
      </c>
      <c r="J109" s="408">
        <f>aurora_data!I64</f>
        <v>0</v>
      </c>
      <c r="K109" s="410">
        <f>aurora_data!J64</f>
        <v>0</v>
      </c>
      <c r="L109" s="410">
        <f>aurora_data!K64</f>
        <v>0</v>
      </c>
      <c r="M109" s="410">
        <f>aurora_data!L64</f>
        <v>0</v>
      </c>
      <c r="N109" s="411">
        <f>aurora_data!M64</f>
        <v>0</v>
      </c>
      <c r="O109" s="408">
        <f>aurora_data!N64</f>
        <v>0</v>
      </c>
      <c r="P109" s="410">
        <f>aurora_data!O64</f>
        <v>1</v>
      </c>
      <c r="Q109" s="410">
        <f>aurora_data!P64</f>
        <v>1</v>
      </c>
      <c r="R109" s="410">
        <f>aurora_data!Q64</f>
        <v>0</v>
      </c>
      <c r="S109" s="411">
        <f>aurora_data!R64</f>
        <v>0</v>
      </c>
      <c r="T109" s="408">
        <f>aurora_data!S64</f>
        <v>0</v>
      </c>
      <c r="U109" s="410">
        <f>aurora_data!T64</f>
        <v>0</v>
      </c>
      <c r="V109" s="410">
        <f>aurora_data!U64</f>
        <v>0</v>
      </c>
      <c r="W109" s="410">
        <f>aurora_data!V64</f>
        <v>1</v>
      </c>
      <c r="X109" s="411">
        <f>aurora_data!W64</f>
        <v>0</v>
      </c>
      <c r="Y109" s="408">
        <f>aurora_data!X64</f>
        <v>0</v>
      </c>
      <c r="Z109" s="410">
        <f>aurora_data!Y64</f>
        <v>0</v>
      </c>
      <c r="AA109" s="410">
        <f>aurora_data!Z64</f>
        <v>0</v>
      </c>
      <c r="AB109" s="410">
        <f>aurora_data!AA64</f>
        <v>0</v>
      </c>
      <c r="AC109" s="411">
        <f>aurora_data!AB64</f>
        <v>0</v>
      </c>
      <c r="AD109" s="408">
        <f>aurora_data!AC64</f>
        <v>1</v>
      </c>
      <c r="AE109" s="410">
        <f>aurora_data!AD64</f>
        <v>2</v>
      </c>
      <c r="AF109" s="410">
        <f>aurora_data!AE64</f>
        <v>0</v>
      </c>
      <c r="AG109" s="411">
        <f>aurora_data!AF64</f>
        <v>0</v>
      </c>
      <c r="AH109" s="408">
        <f>aurora_data!AG64</f>
        <v>1</v>
      </c>
      <c r="AI109" s="410">
        <f>aurora_data!AH64</f>
        <v>2</v>
      </c>
      <c r="AJ109" s="411">
        <f>aurora_data!AI64</f>
        <v>0</v>
      </c>
      <c r="AK109" s="407"/>
      <c r="AL109" s="408">
        <f>aurora_data!AJ64</f>
        <v>3</v>
      </c>
      <c r="AM109" s="409">
        <f t="shared" si="63"/>
        <v>1.4999999999999999E-2</v>
      </c>
      <c r="AO109"/>
      <c r="AP109"/>
      <c r="AQ109"/>
      <c r="AR109"/>
      <c r="AS109"/>
      <c r="AT109"/>
      <c r="AU109"/>
      <c r="AV109"/>
      <c r="AW109"/>
      <c r="AX109"/>
      <c r="AY109"/>
    </row>
    <row r="110" spans="2:51" ht="16.5" thickBot="1">
      <c r="B110" s="452"/>
      <c r="C110" s="454"/>
      <c r="D110" s="35" t="s">
        <v>342</v>
      </c>
      <c r="E110" s="408">
        <f>aurora_data!D65</f>
        <v>0</v>
      </c>
      <c r="F110" s="410">
        <f>aurora_data!E65</f>
        <v>0</v>
      </c>
      <c r="G110" s="410">
        <f>aurora_data!F65</f>
        <v>0</v>
      </c>
      <c r="H110" s="410">
        <f>aurora_data!G65</f>
        <v>0</v>
      </c>
      <c r="I110" s="410">
        <f>aurora_data!H65</f>
        <v>0</v>
      </c>
      <c r="J110" s="408">
        <f>aurora_data!I65</f>
        <v>0</v>
      </c>
      <c r="K110" s="410">
        <f>aurora_data!J65</f>
        <v>0</v>
      </c>
      <c r="L110" s="410">
        <f>aurora_data!K65</f>
        <v>0</v>
      </c>
      <c r="M110" s="410">
        <f>aurora_data!L65</f>
        <v>0</v>
      </c>
      <c r="N110" s="411">
        <f>aurora_data!M65</f>
        <v>0</v>
      </c>
      <c r="O110" s="408">
        <f>aurora_data!N65</f>
        <v>0</v>
      </c>
      <c r="P110" s="410">
        <f>aurora_data!O65</f>
        <v>0</v>
      </c>
      <c r="Q110" s="410">
        <f>aurora_data!P65</f>
        <v>0</v>
      </c>
      <c r="R110" s="410">
        <f>aurora_data!Q65</f>
        <v>0</v>
      </c>
      <c r="S110" s="411">
        <f>aurora_data!R65</f>
        <v>0</v>
      </c>
      <c r="T110" s="408">
        <f>aurora_data!S65</f>
        <v>0</v>
      </c>
      <c r="U110" s="410">
        <f>aurora_data!T65</f>
        <v>0</v>
      </c>
      <c r="V110" s="410">
        <f>aurora_data!U65</f>
        <v>0</v>
      </c>
      <c r="W110" s="410">
        <f>aurora_data!V65</f>
        <v>0</v>
      </c>
      <c r="X110" s="411">
        <f>aurora_data!W65</f>
        <v>0</v>
      </c>
      <c r="Y110" s="408">
        <f>aurora_data!X65</f>
        <v>0</v>
      </c>
      <c r="Z110" s="410">
        <f>aurora_data!Y65</f>
        <v>0</v>
      </c>
      <c r="AA110" s="410">
        <f>aurora_data!Z65</f>
        <v>0</v>
      </c>
      <c r="AB110" s="410">
        <f>aurora_data!AA65</f>
        <v>0</v>
      </c>
      <c r="AC110" s="411">
        <f>aurora_data!AB65</f>
        <v>0</v>
      </c>
      <c r="AD110" s="408">
        <f>aurora_data!AC65</f>
        <v>0</v>
      </c>
      <c r="AE110" s="410">
        <f>aurora_data!AD65</f>
        <v>0</v>
      </c>
      <c r="AF110" s="410">
        <f>aurora_data!AE65</f>
        <v>0</v>
      </c>
      <c r="AG110" s="411">
        <f>aurora_data!AF65</f>
        <v>0</v>
      </c>
      <c r="AH110" s="408">
        <f>aurora_data!AG65</f>
        <v>0</v>
      </c>
      <c r="AI110" s="410">
        <f>aurora_data!AH65</f>
        <v>0</v>
      </c>
      <c r="AJ110" s="411">
        <f>aurora_data!AI65</f>
        <v>0</v>
      </c>
      <c r="AK110" s="412"/>
      <c r="AL110" s="408">
        <f>aurora_data!AJ65</f>
        <v>0</v>
      </c>
      <c r="AM110" s="409">
        <f t="shared" si="63"/>
        <v>0</v>
      </c>
      <c r="AO110"/>
      <c r="AP110"/>
      <c r="AQ110"/>
      <c r="AR110"/>
      <c r="AS110"/>
      <c r="AT110"/>
      <c r="AU110"/>
      <c r="AV110"/>
      <c r="AW110"/>
      <c r="AX110"/>
      <c r="AY110"/>
    </row>
    <row r="111" spans="2:51" ht="16.5" thickBot="1">
      <c r="B111" s="452"/>
      <c r="C111" s="454"/>
      <c r="D111" s="37" t="s">
        <v>17</v>
      </c>
      <c r="E111" s="182">
        <f>aurora_data!D66</f>
        <v>1</v>
      </c>
      <c r="F111" s="183">
        <f>aurora_data!E66</f>
        <v>2</v>
      </c>
      <c r="G111" s="183">
        <f>aurora_data!F66</f>
        <v>2</v>
      </c>
      <c r="H111" s="183">
        <f>aurora_data!G66</f>
        <v>4</v>
      </c>
      <c r="I111" s="184">
        <f>aurora_data!H66</f>
        <v>7</v>
      </c>
      <c r="J111" s="182">
        <f>aurora_data!I66</f>
        <v>2</v>
      </c>
      <c r="K111" s="183">
        <f>aurora_data!J66</f>
        <v>3</v>
      </c>
      <c r="L111" s="183">
        <f>aurora_data!K66</f>
        <v>9</v>
      </c>
      <c r="M111" s="183">
        <f>aurora_data!L66</f>
        <v>10</v>
      </c>
      <c r="N111" s="184">
        <f>aurora_data!M66</f>
        <v>9</v>
      </c>
      <c r="O111" s="182">
        <f>aurora_data!N66</f>
        <v>5</v>
      </c>
      <c r="P111" s="183">
        <f>aurora_data!O66</f>
        <v>7</v>
      </c>
      <c r="Q111" s="183">
        <f>aurora_data!P66</f>
        <v>13</v>
      </c>
      <c r="R111" s="183">
        <f>aurora_data!Q66</f>
        <v>17</v>
      </c>
      <c r="S111" s="184">
        <f>aurora_data!R66</f>
        <v>10</v>
      </c>
      <c r="T111" s="182">
        <f>aurora_data!S66</f>
        <v>0</v>
      </c>
      <c r="U111" s="183">
        <f>aurora_data!T66</f>
        <v>1</v>
      </c>
      <c r="V111" s="183">
        <f>aurora_data!U66</f>
        <v>4</v>
      </c>
      <c r="W111" s="183">
        <f>aurora_data!V66</f>
        <v>6</v>
      </c>
      <c r="X111" s="184">
        <f>aurora_data!W66</f>
        <v>9</v>
      </c>
      <c r="Y111" s="182">
        <f>aurora_data!X66</f>
        <v>3</v>
      </c>
      <c r="Z111" s="183">
        <f>aurora_data!Y66</f>
        <v>4</v>
      </c>
      <c r="AA111" s="183">
        <f>aurora_data!Z66</f>
        <v>15</v>
      </c>
      <c r="AB111" s="183">
        <f>aurora_data!AA66</f>
        <v>32</v>
      </c>
      <c r="AC111" s="184">
        <f>aurora_data!AB66</f>
        <v>53</v>
      </c>
      <c r="AD111" s="182">
        <f>aurora_data!AC66</f>
        <v>48</v>
      </c>
      <c r="AE111" s="183">
        <f>aurora_data!AD66</f>
        <v>45</v>
      </c>
      <c r="AF111" s="183">
        <f>aurora_data!AE66</f>
        <v>76</v>
      </c>
      <c r="AG111" s="184">
        <f>aurora_data!AF66</f>
        <v>59</v>
      </c>
      <c r="AH111" s="182">
        <f>aurora_data!AG66</f>
        <v>108</v>
      </c>
      <c r="AI111" s="183">
        <f>aurora_data!AH66</f>
        <v>120</v>
      </c>
      <c r="AJ111" s="183">
        <f>aurora_data!AI66</f>
        <v>0</v>
      </c>
      <c r="AK111" s="412"/>
      <c r="AL111" s="182">
        <f>aurora_data!AJ66</f>
        <v>228</v>
      </c>
      <c r="AM111" s="413">
        <f t="shared" si="63"/>
        <v>1.1399999999999999</v>
      </c>
      <c r="AO111"/>
      <c r="AP111"/>
      <c r="AQ111"/>
      <c r="AR111"/>
      <c r="AS111"/>
      <c r="AT111"/>
      <c r="AU111"/>
      <c r="AV111"/>
      <c r="AW111"/>
      <c r="AX111"/>
      <c r="AY111"/>
    </row>
    <row r="112" spans="2:51" ht="16.5" thickBot="1">
      <c r="B112" s="452"/>
      <c r="C112" s="454"/>
      <c r="D112" s="38" t="s">
        <v>343</v>
      </c>
      <c r="E112" s="265">
        <f>aurora_data!D67</f>
        <v>0</v>
      </c>
      <c r="F112" s="266">
        <f>aurora_data!E67</f>
        <v>0</v>
      </c>
      <c r="G112" s="266">
        <f>aurora_data!F67</f>
        <v>0</v>
      </c>
      <c r="H112" s="266">
        <f>aurora_data!G67</f>
        <v>0</v>
      </c>
      <c r="I112" s="266">
        <f>aurora_data!H67</f>
        <v>0</v>
      </c>
      <c r="J112" s="265">
        <f>aurora_data!I67</f>
        <v>0</v>
      </c>
      <c r="K112" s="266">
        <f>aurora_data!J67</f>
        <v>0</v>
      </c>
      <c r="L112" s="266">
        <f>aurora_data!K67</f>
        <v>0</v>
      </c>
      <c r="M112" s="266">
        <f>aurora_data!L67</f>
        <v>1</v>
      </c>
      <c r="N112" s="267">
        <f>aurora_data!M67</f>
        <v>0</v>
      </c>
      <c r="O112" s="265">
        <f>aurora_data!N67</f>
        <v>0</v>
      </c>
      <c r="P112" s="266">
        <f>aurora_data!O67</f>
        <v>0</v>
      </c>
      <c r="Q112" s="266">
        <f>aurora_data!P67</f>
        <v>1</v>
      </c>
      <c r="R112" s="266">
        <f>aurora_data!Q67</f>
        <v>1</v>
      </c>
      <c r="S112" s="267">
        <f>aurora_data!R67</f>
        <v>0</v>
      </c>
      <c r="T112" s="265">
        <f>aurora_data!S67</f>
        <v>0</v>
      </c>
      <c r="U112" s="266">
        <f>aurora_data!T67</f>
        <v>0</v>
      </c>
      <c r="V112" s="266">
        <f>aurora_data!U67</f>
        <v>0</v>
      </c>
      <c r="W112" s="266">
        <f>aurora_data!V67</f>
        <v>1</v>
      </c>
      <c r="X112" s="267">
        <f>aurora_data!W67</f>
        <v>0</v>
      </c>
      <c r="Y112" s="265">
        <f>aurora_data!X67</f>
        <v>0</v>
      </c>
      <c r="Z112" s="266">
        <f>aurora_data!Y67</f>
        <v>0</v>
      </c>
      <c r="AA112" s="266">
        <f>aurora_data!Z67</f>
        <v>1</v>
      </c>
      <c r="AB112" s="266">
        <f>aurora_data!AA67</f>
        <v>0</v>
      </c>
      <c r="AC112" s="267">
        <f>aurora_data!AB67</f>
        <v>1</v>
      </c>
      <c r="AD112" s="265">
        <f>aurora_data!AC67</f>
        <v>2</v>
      </c>
      <c r="AE112" s="266">
        <f>aurora_data!AD67</f>
        <v>1</v>
      </c>
      <c r="AF112" s="266">
        <f>aurora_data!AE67</f>
        <v>2</v>
      </c>
      <c r="AG112" s="267">
        <f>aurora_data!AF67</f>
        <v>1</v>
      </c>
      <c r="AH112" s="265">
        <f>aurora_data!AG67</f>
        <v>3</v>
      </c>
      <c r="AI112" s="266">
        <f>aurora_data!AH67</f>
        <v>3</v>
      </c>
      <c r="AJ112" s="268">
        <f>aurora_data!AI67</f>
        <v>0</v>
      </c>
      <c r="AK112" s="269"/>
      <c r="AL112" s="265">
        <f>aurora_data!AJ67</f>
        <v>6</v>
      </c>
      <c r="AM112" s="270">
        <f t="shared" si="63"/>
        <v>0.03</v>
      </c>
      <c r="AO112"/>
      <c r="AP112"/>
      <c r="AQ112"/>
      <c r="AR112"/>
      <c r="AS112"/>
      <c r="AT112"/>
      <c r="AU112"/>
      <c r="AV112"/>
      <c r="AW112"/>
      <c r="AX112"/>
      <c r="AY112"/>
    </row>
    <row r="113" spans="2:51" outlineLevel="1">
      <c r="B113" s="452"/>
      <c r="C113" s="454"/>
      <c r="D113" s="199" t="s">
        <v>344</v>
      </c>
      <c r="E113" s="271">
        <f t="shared" ref="E113:AC113" si="64">ROUNDDOWN((E115+$E$9)*($AL105),0)</f>
        <v>4</v>
      </c>
      <c r="F113" s="272">
        <f t="shared" si="64"/>
        <v>4</v>
      </c>
      <c r="G113" s="272">
        <f t="shared" si="64"/>
        <v>5</v>
      </c>
      <c r="H113" s="272">
        <f t="shared" si="64"/>
        <v>5</v>
      </c>
      <c r="I113" s="272">
        <f t="shared" si="64"/>
        <v>10</v>
      </c>
      <c r="J113" s="271">
        <f t="shared" si="64"/>
        <v>4</v>
      </c>
      <c r="K113" s="272">
        <f t="shared" si="64"/>
        <v>5</v>
      </c>
      <c r="L113" s="272">
        <f t="shared" si="64"/>
        <v>11</v>
      </c>
      <c r="M113" s="272">
        <f t="shared" si="64"/>
        <v>13</v>
      </c>
      <c r="N113" s="268">
        <f t="shared" si="64"/>
        <v>10</v>
      </c>
      <c r="O113" s="271">
        <f t="shared" si="64"/>
        <v>9</v>
      </c>
      <c r="P113" s="272">
        <f t="shared" si="64"/>
        <v>11</v>
      </c>
      <c r="Q113" s="272">
        <f t="shared" si="64"/>
        <v>17</v>
      </c>
      <c r="R113" s="272">
        <f t="shared" si="64"/>
        <v>18</v>
      </c>
      <c r="S113" s="268">
        <f t="shared" si="64"/>
        <v>14</v>
      </c>
      <c r="T113" s="271">
        <f t="shared" si="64"/>
        <v>4</v>
      </c>
      <c r="U113" s="272">
        <f t="shared" si="64"/>
        <v>4</v>
      </c>
      <c r="V113" s="272">
        <f t="shared" si="64"/>
        <v>6</v>
      </c>
      <c r="W113" s="272">
        <f t="shared" si="64"/>
        <v>10</v>
      </c>
      <c r="X113" s="268">
        <f t="shared" si="64"/>
        <v>11</v>
      </c>
      <c r="Y113" s="271">
        <f t="shared" si="64"/>
        <v>5</v>
      </c>
      <c r="Z113" s="272">
        <f t="shared" si="64"/>
        <v>6</v>
      </c>
      <c r="AA113" s="272">
        <f t="shared" si="64"/>
        <v>18</v>
      </c>
      <c r="AB113" s="272">
        <f t="shared" si="64"/>
        <v>35</v>
      </c>
      <c r="AC113" s="268">
        <f t="shared" si="64"/>
        <v>49</v>
      </c>
      <c r="AD113" s="271">
        <f>ROUNDDOWN((AD115+$AD$9)*($AL105),0)</f>
        <v>60</v>
      </c>
      <c r="AE113" s="272">
        <f>ROUNDDOWN((AE115+$AD$9)*($AL105),0)</f>
        <v>51</v>
      </c>
      <c r="AF113" s="272">
        <f t="shared" ref="AF113:AG113" si="65">ROUNDDOWN((AF115+$AD$9)*($AL105),0)</f>
        <v>99</v>
      </c>
      <c r="AG113" s="272">
        <f t="shared" si="65"/>
        <v>67</v>
      </c>
      <c r="AH113" s="271">
        <f>ROUNDDOWN((AH115+$AH$9)*($AL105),0)</f>
        <v>100</v>
      </c>
      <c r="AI113" s="272">
        <f>ROUNDDOWN((AI115+$AH$9)*($AL105),0)</f>
        <v>100</v>
      </c>
      <c r="AJ113" s="272">
        <f>ROUNDDOWN((AJ115+$AH$8)*($AL105),0)</f>
        <v>0</v>
      </c>
      <c r="AK113" s="273"/>
      <c r="AL113" s="274"/>
      <c r="AM113" s="275"/>
      <c r="AO113"/>
      <c r="AP113"/>
      <c r="AQ113"/>
      <c r="AR113"/>
      <c r="AS113"/>
      <c r="AT113"/>
      <c r="AU113"/>
      <c r="AV113"/>
      <c r="AW113"/>
      <c r="AX113"/>
      <c r="AY113"/>
    </row>
    <row r="114" spans="2:51" ht="15.75" customHeight="1" outlineLevel="1" thickBot="1">
      <c r="B114" s="452"/>
      <c r="C114" s="454"/>
      <c r="D114" s="199" t="s">
        <v>345</v>
      </c>
      <c r="E114" s="276">
        <f t="shared" ref="E114:AC114" si="66">IF(ROUND(((E115-$E$9)*($AL105))+0.25,0) &lt;=0,1,((E115-$E$9)*($AL105))+0.25)</f>
        <v>1</v>
      </c>
      <c r="F114" s="277">
        <f t="shared" si="66"/>
        <v>1</v>
      </c>
      <c r="G114" s="277">
        <f t="shared" si="66"/>
        <v>1</v>
      </c>
      <c r="H114" s="277">
        <f t="shared" si="66"/>
        <v>1</v>
      </c>
      <c r="I114" s="277">
        <f t="shared" si="66"/>
        <v>2.79</v>
      </c>
      <c r="J114" s="276">
        <f t="shared" si="66"/>
        <v>1</v>
      </c>
      <c r="K114" s="277">
        <f t="shared" si="66"/>
        <v>1</v>
      </c>
      <c r="L114" s="277">
        <f t="shared" si="66"/>
        <v>3.5599999999999996</v>
      </c>
      <c r="M114" s="277">
        <f t="shared" si="66"/>
        <v>5.7399999999999993</v>
      </c>
      <c r="N114" s="278">
        <f t="shared" si="66"/>
        <v>3.0000000000000004</v>
      </c>
      <c r="O114" s="276">
        <f t="shared" si="66"/>
        <v>1.4299999999999997</v>
      </c>
      <c r="P114" s="277">
        <f t="shared" si="66"/>
        <v>3.67</v>
      </c>
      <c r="Q114" s="277">
        <f t="shared" si="66"/>
        <v>10.18</v>
      </c>
      <c r="R114" s="277">
        <f t="shared" si="66"/>
        <v>10.59</v>
      </c>
      <c r="S114" s="278">
        <f t="shared" si="66"/>
        <v>6.28</v>
      </c>
      <c r="T114" s="276">
        <f t="shared" si="66"/>
        <v>1</v>
      </c>
      <c r="U114" s="277">
        <f t="shared" si="66"/>
        <v>1</v>
      </c>
      <c r="V114" s="277">
        <f t="shared" si="66"/>
        <v>1</v>
      </c>
      <c r="W114" s="277">
        <f t="shared" si="66"/>
        <v>2.95</v>
      </c>
      <c r="X114" s="278">
        <f t="shared" si="66"/>
        <v>3.8300000000000005</v>
      </c>
      <c r="Y114" s="276">
        <f t="shared" si="66"/>
        <v>1</v>
      </c>
      <c r="Z114" s="277">
        <f t="shared" si="66"/>
        <v>1</v>
      </c>
      <c r="AA114" s="277">
        <f t="shared" si="66"/>
        <v>10.88</v>
      </c>
      <c r="AB114" s="277">
        <f t="shared" si="66"/>
        <v>27.260000000000005</v>
      </c>
      <c r="AC114" s="278">
        <f t="shared" si="66"/>
        <v>41.88</v>
      </c>
      <c r="AD114" s="276">
        <f>IF(((AD115-$AD$9)*($AL105))+0.5 &lt;0,1,((AD115-$AD$9)*($AL105))+0.5 )</f>
        <v>21.32</v>
      </c>
      <c r="AE114" s="277">
        <f>IF(((AE115-$AD$9)*($AL105))+0.5 &lt;0,1,((AE115-$AD$9)*($AL105))+0.5 )</f>
        <v>12.129999999999995</v>
      </c>
      <c r="AF114" s="277">
        <f t="shared" ref="AF114" si="67">IF(((AF115-$AD$9)*($AL105))+0.5 &lt;0,1,((AF115-$AD$9)*($AL105))+0.5 )</f>
        <v>60.079999999999991</v>
      </c>
      <c r="AG114" s="277">
        <f t="shared" ref="AG114" si="68">IF(((AG115-$AD$9)*($AL105))+0.5 &lt;0,1,((AG115-$AD$9)*($AL105))+0.5 )</f>
        <v>28.47</v>
      </c>
      <c r="AH114" s="276">
        <f>IF(((AH115-$AH$9)*($AL105))+0.5 &lt;0,1,((AH115-$AH$9)*($AL105)) )</f>
        <v>100</v>
      </c>
      <c r="AI114" s="277">
        <f>IF(((AI115-$AH$9)*($AL105))+0.5 &lt;0,1,((AI115-$AH$9)*($AL105)))</f>
        <v>100</v>
      </c>
      <c r="AJ114" s="277">
        <f>IF(((AJ115-$AH$8)*($AL105))+0.5 &lt;0,1,((AJ115-$AH$8)*($AL105))+0.5 )</f>
        <v>0.5</v>
      </c>
      <c r="AK114" s="273"/>
      <c r="AL114" s="279"/>
      <c r="AM114" s="280"/>
      <c r="AO114"/>
      <c r="AP114"/>
      <c r="AQ114"/>
      <c r="AR114"/>
      <c r="AS114"/>
      <c r="AT114"/>
      <c r="AU114"/>
      <c r="AV114"/>
      <c r="AW114"/>
      <c r="AX114"/>
      <c r="AY114"/>
    </row>
    <row r="115" spans="2:51" ht="15.75" customHeight="1" outlineLevel="1" thickTop="1">
      <c r="B115" s="110"/>
      <c r="C115" s="109"/>
      <c r="D115" s="95" t="s">
        <v>346</v>
      </c>
      <c r="E115" s="414">
        <f t="shared" ref="E115:AJ115" si="69">IFERROR(E105/$AL105,0)</f>
        <v>2.2500000000000003E-3</v>
      </c>
      <c r="F115" s="415">
        <f t="shared" si="69"/>
        <v>2.7000000000000001E-3</v>
      </c>
      <c r="G115" s="415">
        <f t="shared" si="69"/>
        <v>6.6E-3</v>
      </c>
      <c r="H115" s="415">
        <f t="shared" si="69"/>
        <v>8.3999999999999995E-3</v>
      </c>
      <c r="I115" s="415">
        <f t="shared" si="69"/>
        <v>3.27E-2</v>
      </c>
      <c r="J115" s="414">
        <f t="shared" si="69"/>
        <v>2.2000000000000001E-3</v>
      </c>
      <c r="K115" s="415">
        <f t="shared" si="69"/>
        <v>8.1000000000000013E-3</v>
      </c>
      <c r="L115" s="415">
        <f t="shared" si="69"/>
        <v>3.6549999999999999E-2</v>
      </c>
      <c r="M115" s="415">
        <f t="shared" si="69"/>
        <v>4.7449999999999999E-2</v>
      </c>
      <c r="N115" s="416">
        <f t="shared" si="69"/>
        <v>3.3750000000000002E-2</v>
      </c>
      <c r="O115" s="414">
        <f t="shared" si="69"/>
        <v>2.5899999999999999E-2</v>
      </c>
      <c r="P115" s="415">
        <f t="shared" si="69"/>
        <v>3.7100000000000001E-2</v>
      </c>
      <c r="Q115" s="415">
        <f t="shared" si="69"/>
        <v>6.9650000000000004E-2</v>
      </c>
      <c r="R115" s="415">
        <f t="shared" si="69"/>
        <v>7.17E-2</v>
      </c>
      <c r="S115" s="416">
        <f t="shared" si="69"/>
        <v>5.015E-2</v>
      </c>
      <c r="T115" s="414">
        <f t="shared" si="69"/>
        <v>2E-3</v>
      </c>
      <c r="U115" s="415">
        <f t="shared" si="69"/>
        <v>4.6999999999999993E-3</v>
      </c>
      <c r="V115" s="415">
        <f t="shared" si="69"/>
        <v>1.44E-2</v>
      </c>
      <c r="W115" s="415">
        <f t="shared" si="69"/>
        <v>3.3500000000000002E-2</v>
      </c>
      <c r="X115" s="416">
        <f t="shared" si="69"/>
        <v>3.7900000000000003E-2</v>
      </c>
      <c r="Y115" s="414">
        <f t="shared" si="69"/>
        <v>5.8999999999999999E-3</v>
      </c>
      <c r="Z115" s="415">
        <f t="shared" si="69"/>
        <v>1.0049999999999998E-2</v>
      </c>
      <c r="AA115" s="415">
        <f t="shared" si="69"/>
        <v>7.3150000000000007E-2</v>
      </c>
      <c r="AB115" s="415">
        <f t="shared" si="69"/>
        <v>0.15505000000000002</v>
      </c>
      <c r="AC115" s="416">
        <f t="shared" si="69"/>
        <v>0.22815000000000002</v>
      </c>
      <c r="AD115" s="414">
        <f t="shared" si="69"/>
        <v>0.2041</v>
      </c>
      <c r="AE115" s="415">
        <f t="shared" si="69"/>
        <v>0.15814999999999999</v>
      </c>
      <c r="AF115" s="415">
        <f t="shared" si="69"/>
        <v>0.39789999999999998</v>
      </c>
      <c r="AG115" s="416">
        <f t="shared" si="69"/>
        <v>0.23985000000000001</v>
      </c>
      <c r="AH115" s="414">
        <f t="shared" si="69"/>
        <v>0.5</v>
      </c>
      <c r="AI115" s="415">
        <f t="shared" si="69"/>
        <v>0.5</v>
      </c>
      <c r="AJ115" s="415">
        <f t="shared" si="69"/>
        <v>0</v>
      </c>
      <c r="AK115" s="407"/>
      <c r="AL115" s="417"/>
      <c r="AM115" s="418"/>
      <c r="AO115"/>
      <c r="AP115"/>
      <c r="AQ115"/>
      <c r="AR115"/>
      <c r="AS115"/>
      <c r="AT115"/>
      <c r="AU115"/>
      <c r="AV115"/>
      <c r="AW115"/>
      <c r="AX115"/>
      <c r="AY115"/>
    </row>
    <row r="116" spans="2:51" ht="16.5" customHeight="1" outlineLevel="1">
      <c r="B116" s="110"/>
      <c r="C116" s="109"/>
      <c r="D116" s="180" t="s">
        <v>347</v>
      </c>
      <c r="E116" s="414">
        <f t="shared" ref="E116:AJ116" si="70">IFERROR(E106/$AL105,0)</f>
        <v>0</v>
      </c>
      <c r="F116" s="415">
        <f t="shared" si="70"/>
        <v>5.0000000000000001E-3</v>
      </c>
      <c r="G116" s="415">
        <f t="shared" si="70"/>
        <v>5.0000000000000001E-3</v>
      </c>
      <c r="H116" s="415">
        <f t="shared" si="70"/>
        <v>0.01</v>
      </c>
      <c r="I116" s="415">
        <f t="shared" si="70"/>
        <v>3.5000000000000003E-2</v>
      </c>
      <c r="J116" s="414">
        <f t="shared" si="70"/>
        <v>0</v>
      </c>
      <c r="K116" s="415">
        <f t="shared" si="70"/>
        <v>0.01</v>
      </c>
      <c r="L116" s="415">
        <f t="shared" si="70"/>
        <v>3.5000000000000003E-2</v>
      </c>
      <c r="M116" s="415">
        <f t="shared" si="70"/>
        <v>4.4999999999999998E-2</v>
      </c>
      <c r="N116" s="416">
        <f t="shared" si="70"/>
        <v>3.5000000000000003E-2</v>
      </c>
      <c r="O116" s="414">
        <f t="shared" si="70"/>
        <v>2.5000000000000001E-2</v>
      </c>
      <c r="P116" s="415">
        <f t="shared" si="70"/>
        <v>0.03</v>
      </c>
      <c r="Q116" s="415">
        <f t="shared" si="70"/>
        <v>0.06</v>
      </c>
      <c r="R116" s="415">
        <f t="shared" si="70"/>
        <v>7.0000000000000007E-2</v>
      </c>
      <c r="S116" s="416">
        <f t="shared" si="70"/>
        <v>0.05</v>
      </c>
      <c r="T116" s="414">
        <f t="shared" si="70"/>
        <v>0</v>
      </c>
      <c r="U116" s="415">
        <f t="shared" si="70"/>
        <v>5.0000000000000001E-3</v>
      </c>
      <c r="V116" s="415">
        <f t="shared" si="70"/>
        <v>1.4999999999999999E-2</v>
      </c>
      <c r="W116" s="415">
        <f t="shared" si="70"/>
        <v>2.5000000000000001E-2</v>
      </c>
      <c r="X116" s="416">
        <f t="shared" si="70"/>
        <v>0.04</v>
      </c>
      <c r="Y116" s="414">
        <f t="shared" si="70"/>
        <v>5.0000000000000001E-3</v>
      </c>
      <c r="Z116" s="415">
        <f t="shared" si="70"/>
        <v>0.01</v>
      </c>
      <c r="AA116" s="415">
        <f t="shared" si="70"/>
        <v>7.4999999999999997E-2</v>
      </c>
      <c r="AB116" s="415">
        <f t="shared" si="70"/>
        <v>0.155</v>
      </c>
      <c r="AC116" s="416">
        <f t="shared" si="70"/>
        <v>0.23</v>
      </c>
      <c r="AD116" s="414">
        <f t="shared" si="70"/>
        <v>0.21</v>
      </c>
      <c r="AE116" s="415">
        <f t="shared" si="70"/>
        <v>0.17</v>
      </c>
      <c r="AF116" s="415">
        <f t="shared" si="70"/>
        <v>0.35</v>
      </c>
      <c r="AG116" s="416">
        <f t="shared" si="70"/>
        <v>0.245</v>
      </c>
      <c r="AH116" s="415">
        <f t="shared" si="70"/>
        <v>0.49</v>
      </c>
      <c r="AI116" s="415">
        <f t="shared" si="70"/>
        <v>0.48499999999999999</v>
      </c>
      <c r="AJ116" s="415">
        <f t="shared" si="70"/>
        <v>0</v>
      </c>
      <c r="AK116" s="407"/>
      <c r="AL116" s="417"/>
      <c r="AM116" s="418"/>
      <c r="AO116"/>
      <c r="AP116"/>
      <c r="AQ116"/>
      <c r="AR116"/>
      <c r="AS116"/>
      <c r="AT116"/>
      <c r="AU116"/>
      <c r="AV116"/>
      <c r="AW116"/>
      <c r="AX116"/>
      <c r="AY116"/>
    </row>
    <row r="117" spans="2:51" ht="16.5" outlineLevel="1" thickBot="1">
      <c r="B117" s="110"/>
      <c r="C117" s="109"/>
      <c r="D117" s="180" t="s">
        <v>348</v>
      </c>
      <c r="E117" s="419">
        <f t="shared" ref="E117:AJ117" si="71">E116-E115</f>
        <v>-2.2500000000000003E-3</v>
      </c>
      <c r="F117" s="420">
        <f t="shared" si="71"/>
        <v>2.3E-3</v>
      </c>
      <c r="G117" s="420">
        <f t="shared" si="71"/>
        <v>-1.5999999999999999E-3</v>
      </c>
      <c r="H117" s="420">
        <f t="shared" si="71"/>
        <v>1.6000000000000007E-3</v>
      </c>
      <c r="I117" s="420">
        <f t="shared" si="71"/>
        <v>2.3000000000000034E-3</v>
      </c>
      <c r="J117" s="419">
        <f t="shared" si="71"/>
        <v>-2.2000000000000001E-3</v>
      </c>
      <c r="K117" s="420">
        <f t="shared" si="71"/>
        <v>1.8999999999999989E-3</v>
      </c>
      <c r="L117" s="420">
        <f t="shared" si="71"/>
        <v>-1.5499999999999958E-3</v>
      </c>
      <c r="M117" s="420">
        <f t="shared" si="71"/>
        <v>-2.4500000000000008E-3</v>
      </c>
      <c r="N117" s="421">
        <f t="shared" si="71"/>
        <v>1.2500000000000011E-3</v>
      </c>
      <c r="O117" s="419">
        <f t="shared" si="71"/>
        <v>-8.9999999999999802E-4</v>
      </c>
      <c r="P117" s="420">
        <f t="shared" si="71"/>
        <v>-7.1000000000000021E-3</v>
      </c>
      <c r="Q117" s="420">
        <f t="shared" si="71"/>
        <v>-9.6500000000000058E-3</v>
      </c>
      <c r="R117" s="420">
        <f t="shared" si="71"/>
        <v>-1.6999999999999932E-3</v>
      </c>
      <c r="S117" s="421">
        <f t="shared" si="71"/>
        <v>-1.4999999999999736E-4</v>
      </c>
      <c r="T117" s="419">
        <f t="shared" si="71"/>
        <v>-2E-3</v>
      </c>
      <c r="U117" s="420">
        <f t="shared" si="71"/>
        <v>3.0000000000000079E-4</v>
      </c>
      <c r="V117" s="420">
        <f t="shared" si="71"/>
        <v>5.9999999999999984E-4</v>
      </c>
      <c r="W117" s="420">
        <f t="shared" si="71"/>
        <v>-8.5000000000000006E-3</v>
      </c>
      <c r="X117" s="421">
        <f t="shared" si="71"/>
        <v>2.0999999999999977E-3</v>
      </c>
      <c r="Y117" s="419">
        <f t="shared" si="71"/>
        <v>-8.9999999999999976E-4</v>
      </c>
      <c r="Z117" s="420">
        <f t="shared" si="71"/>
        <v>-4.9999999999997963E-5</v>
      </c>
      <c r="AA117" s="420">
        <f t="shared" si="71"/>
        <v>1.8499999999999905E-3</v>
      </c>
      <c r="AB117" s="420">
        <f t="shared" si="71"/>
        <v>-5.0000000000022249E-5</v>
      </c>
      <c r="AC117" s="421">
        <f t="shared" si="71"/>
        <v>1.8499999999999905E-3</v>
      </c>
      <c r="AD117" s="419">
        <f t="shared" si="71"/>
        <v>5.8999999999999886E-3</v>
      </c>
      <c r="AE117" s="420">
        <f t="shared" si="71"/>
        <v>1.1850000000000027E-2</v>
      </c>
      <c r="AF117" s="420">
        <f t="shared" si="71"/>
        <v>-4.7899999999999998E-2</v>
      </c>
      <c r="AG117" s="421">
        <f t="shared" si="71"/>
        <v>5.1499999999999879E-3</v>
      </c>
      <c r="AH117" s="420">
        <f t="shared" si="71"/>
        <v>-1.0000000000000009E-2</v>
      </c>
      <c r="AI117" s="420">
        <f t="shared" si="71"/>
        <v>-1.5000000000000013E-2</v>
      </c>
      <c r="AJ117" s="420">
        <f t="shared" si="71"/>
        <v>0</v>
      </c>
      <c r="AK117" s="407"/>
      <c r="AL117" s="422"/>
      <c r="AM117" s="423"/>
      <c r="AO117"/>
      <c r="AP117"/>
      <c r="AQ117"/>
      <c r="AR117"/>
      <c r="AS117"/>
      <c r="AT117"/>
      <c r="AU117"/>
      <c r="AV117"/>
      <c r="AW117"/>
      <c r="AX117"/>
      <c r="AY117"/>
    </row>
    <row r="118" spans="2:51" ht="16.5" thickTop="1">
      <c r="B118" s="451" t="s">
        <v>338</v>
      </c>
      <c r="C118" s="453" t="str">
        <f>aurora_data!A68</f>
        <v>14.00.00-14.11.30</v>
      </c>
      <c r="D118" s="34" t="s">
        <v>306</v>
      </c>
      <c r="E118" s="152">
        <f>aurora_data!D68</f>
        <v>0.42</v>
      </c>
      <c r="F118" s="153">
        <f>aurora_data!E68</f>
        <v>0.54</v>
      </c>
      <c r="G118" s="153">
        <f>aurora_data!F68</f>
        <v>1.2</v>
      </c>
      <c r="H118" s="153">
        <f>aurora_data!G68</f>
        <v>1.82</v>
      </c>
      <c r="I118" s="153">
        <f>aurora_data!H68</f>
        <v>6.28</v>
      </c>
      <c r="J118" s="152">
        <f>aurora_data!I68</f>
        <v>0.47</v>
      </c>
      <c r="K118" s="153">
        <f>aurora_data!J68</f>
        <v>1.75</v>
      </c>
      <c r="L118" s="153">
        <f>aurora_data!K68</f>
        <v>7.01</v>
      </c>
      <c r="M118" s="153">
        <f>aurora_data!L68</f>
        <v>9.31</v>
      </c>
      <c r="N118" s="154">
        <f>aurora_data!M68</f>
        <v>6.74</v>
      </c>
      <c r="O118" s="152">
        <f>aurora_data!N68</f>
        <v>5.65</v>
      </c>
      <c r="P118" s="153">
        <f>aurora_data!O68</f>
        <v>8.1199999999999992</v>
      </c>
      <c r="Q118" s="153">
        <f>aurora_data!P68</f>
        <v>14.18</v>
      </c>
      <c r="R118" s="153">
        <f>aurora_data!Q68</f>
        <v>15.01</v>
      </c>
      <c r="S118" s="154">
        <f>aurora_data!R68</f>
        <v>9.9700000000000006</v>
      </c>
      <c r="T118" s="152">
        <f>aurora_data!S68</f>
        <v>0.41</v>
      </c>
      <c r="U118" s="153">
        <f>aurora_data!T68</f>
        <v>0.89</v>
      </c>
      <c r="V118" s="153">
        <f>aurora_data!U68</f>
        <v>3.4</v>
      </c>
      <c r="W118" s="153">
        <f>aurora_data!V68</f>
        <v>6.77</v>
      </c>
      <c r="X118" s="154">
        <f>aurora_data!W68</f>
        <v>7.51</v>
      </c>
      <c r="Y118" s="152">
        <f>aurora_data!X68</f>
        <v>1.1100000000000001</v>
      </c>
      <c r="Z118" s="153">
        <f>aurora_data!Y68</f>
        <v>2.2599999999999998</v>
      </c>
      <c r="AA118" s="153">
        <f>aurora_data!Z68</f>
        <v>14.49</v>
      </c>
      <c r="AB118" s="153">
        <f>aurora_data!AA68</f>
        <v>30.13</v>
      </c>
      <c r="AC118" s="154">
        <f>aurora_data!AB68</f>
        <v>44.55</v>
      </c>
      <c r="AD118" s="152">
        <f>aurora_data!AC68</f>
        <v>41.33</v>
      </c>
      <c r="AE118" s="153">
        <f>aurora_data!AD68</f>
        <v>30.67</v>
      </c>
      <c r="AF118" s="153">
        <f>aurora_data!AE68</f>
        <v>79.31</v>
      </c>
      <c r="AG118" s="154">
        <f>aurora_data!AF68</f>
        <v>48.69</v>
      </c>
      <c r="AH118" s="155">
        <f>aurora_data!AG68</f>
        <v>100</v>
      </c>
      <c r="AI118" s="171">
        <f>aurora_data!AH68</f>
        <v>100</v>
      </c>
      <c r="AJ118" s="201">
        <f>aurora_data!AI68</f>
        <v>0</v>
      </c>
      <c r="AK118" s="407"/>
      <c r="AL118" s="155">
        <f>aurora_data!AJ68</f>
        <v>200</v>
      </c>
      <c r="AM118" s="167">
        <f t="shared" ref="AM118:AM125" si="72">SUM(AL118)/$AL$118</f>
        <v>1</v>
      </c>
      <c r="AO118"/>
      <c r="AP118"/>
      <c r="AQ118"/>
      <c r="AR118"/>
      <c r="AS118"/>
      <c r="AT118"/>
      <c r="AU118"/>
      <c r="AV118"/>
      <c r="AW118"/>
      <c r="AX118"/>
      <c r="AY118"/>
    </row>
    <row r="119" spans="2:51">
      <c r="B119" s="452"/>
      <c r="C119" s="454"/>
      <c r="D119" s="35" t="s">
        <v>339</v>
      </c>
      <c r="E119" s="262">
        <f>aurora_data!D69</f>
        <v>1</v>
      </c>
      <c r="F119" s="263">
        <f>aurora_data!E69</f>
        <v>1</v>
      </c>
      <c r="G119" s="263">
        <f>aurora_data!F69</f>
        <v>1</v>
      </c>
      <c r="H119" s="263">
        <f>aurora_data!G69</f>
        <v>2</v>
      </c>
      <c r="I119" s="263">
        <f>aurora_data!H69</f>
        <v>6</v>
      </c>
      <c r="J119" s="262">
        <f>aurora_data!I69</f>
        <v>0</v>
      </c>
      <c r="K119" s="263">
        <f>aurora_data!J69</f>
        <v>2</v>
      </c>
      <c r="L119" s="263">
        <f>aurora_data!K69</f>
        <v>7</v>
      </c>
      <c r="M119" s="263">
        <f>aurora_data!L69</f>
        <v>9</v>
      </c>
      <c r="N119" s="264">
        <f>aurora_data!M69</f>
        <v>7</v>
      </c>
      <c r="O119" s="262">
        <f>aurora_data!N69</f>
        <v>6</v>
      </c>
      <c r="P119" s="263">
        <f>aurora_data!O69</f>
        <v>7</v>
      </c>
      <c r="Q119" s="263">
        <f>aurora_data!P69</f>
        <v>14</v>
      </c>
      <c r="R119" s="263">
        <f>aurora_data!Q69</f>
        <v>15</v>
      </c>
      <c r="S119" s="264">
        <f>aurora_data!R69</f>
        <v>10</v>
      </c>
      <c r="T119" s="262">
        <f>aurora_data!S69</f>
        <v>0</v>
      </c>
      <c r="U119" s="263">
        <f>aurora_data!T69</f>
        <v>1</v>
      </c>
      <c r="V119" s="263">
        <f>aurora_data!U69</f>
        <v>1</v>
      </c>
      <c r="W119" s="263">
        <f>aurora_data!V69</f>
        <v>7</v>
      </c>
      <c r="X119" s="264">
        <f>aurora_data!W69</f>
        <v>8</v>
      </c>
      <c r="Y119" s="262">
        <f>aurora_data!X69</f>
        <v>0</v>
      </c>
      <c r="Z119" s="263">
        <f>aurora_data!Y69</f>
        <v>2</v>
      </c>
      <c r="AA119" s="263">
        <f>aurora_data!Z69</f>
        <v>12</v>
      </c>
      <c r="AB119" s="263">
        <f>aurora_data!AA69</f>
        <v>30</v>
      </c>
      <c r="AC119" s="264">
        <f>aurora_data!AB69</f>
        <v>45</v>
      </c>
      <c r="AD119" s="262">
        <f>aurora_data!AC69</f>
        <v>45</v>
      </c>
      <c r="AE119" s="263">
        <f>aurora_data!AD69</f>
        <v>33</v>
      </c>
      <c r="AF119" s="263">
        <f>aurora_data!AE69</f>
        <v>69</v>
      </c>
      <c r="AG119" s="264">
        <f>aurora_data!AF69</f>
        <v>47</v>
      </c>
      <c r="AH119" s="262">
        <f>aurora_data!AG69</f>
        <v>100</v>
      </c>
      <c r="AI119" s="263">
        <f>aurora_data!AH69</f>
        <v>94</v>
      </c>
      <c r="AJ119" s="264">
        <f>aurora_data!AI69</f>
        <v>0</v>
      </c>
      <c r="AK119" s="407"/>
      <c r="AL119" s="408">
        <f>aurora_data!AJ69</f>
        <v>194</v>
      </c>
      <c r="AM119" s="409">
        <f t="shared" si="72"/>
        <v>0.97</v>
      </c>
      <c r="AO119"/>
      <c r="AP119"/>
      <c r="AQ119"/>
      <c r="AR119"/>
      <c r="AS119"/>
      <c r="AT119"/>
      <c r="AU119"/>
      <c r="AV119"/>
      <c r="AW119"/>
      <c r="AX119"/>
      <c r="AY119"/>
    </row>
    <row r="120" spans="2:51">
      <c r="B120" s="452"/>
      <c r="C120" s="454"/>
      <c r="D120" s="35" t="s">
        <v>291</v>
      </c>
      <c r="E120" s="408">
        <f>aurora_data!D70</f>
        <v>0</v>
      </c>
      <c r="F120" s="410">
        <f>aurora_data!E70</f>
        <v>0</v>
      </c>
      <c r="G120" s="410">
        <f>aurora_data!F70</f>
        <v>0</v>
      </c>
      <c r="H120" s="410">
        <f>aurora_data!G70</f>
        <v>0</v>
      </c>
      <c r="I120" s="410">
        <f>aurora_data!H70</f>
        <v>0</v>
      </c>
      <c r="J120" s="408">
        <f>aurora_data!I70</f>
        <v>2</v>
      </c>
      <c r="K120" s="410">
        <f>aurora_data!J70</f>
        <v>2</v>
      </c>
      <c r="L120" s="410">
        <f>aurora_data!K70</f>
        <v>4</v>
      </c>
      <c r="M120" s="410">
        <f>aurora_data!L70</f>
        <v>2</v>
      </c>
      <c r="N120" s="411">
        <f>aurora_data!M70</f>
        <v>1</v>
      </c>
      <c r="O120" s="408">
        <f>aurora_data!N70</f>
        <v>0</v>
      </c>
      <c r="P120" s="410">
        <f>aurora_data!O70</f>
        <v>0</v>
      </c>
      <c r="Q120" s="410">
        <f>aurora_data!P70</f>
        <v>1</v>
      </c>
      <c r="R120" s="410">
        <f>aurora_data!Q70</f>
        <v>1</v>
      </c>
      <c r="S120" s="411">
        <f>aurora_data!R70</f>
        <v>0</v>
      </c>
      <c r="T120" s="408">
        <f>aurora_data!S70</f>
        <v>0</v>
      </c>
      <c r="U120" s="410">
        <f>aurora_data!T70</f>
        <v>0</v>
      </c>
      <c r="V120" s="410">
        <f>aurora_data!U70</f>
        <v>0</v>
      </c>
      <c r="W120" s="410">
        <f>aurora_data!V70</f>
        <v>0</v>
      </c>
      <c r="X120" s="411">
        <f>aurora_data!W70</f>
        <v>2</v>
      </c>
      <c r="Y120" s="408">
        <f>aurora_data!X70</f>
        <v>0</v>
      </c>
      <c r="Z120" s="410">
        <f>aurora_data!Y70</f>
        <v>0</v>
      </c>
      <c r="AA120" s="410">
        <f>aurora_data!Z70</f>
        <v>0</v>
      </c>
      <c r="AB120" s="410">
        <f>aurora_data!AA70</f>
        <v>5</v>
      </c>
      <c r="AC120" s="411">
        <f>aurora_data!AB70</f>
        <v>5</v>
      </c>
      <c r="AD120" s="408">
        <f>aurora_data!AC70</f>
        <v>12</v>
      </c>
      <c r="AE120" s="410">
        <f>aurora_data!AD70</f>
        <v>9</v>
      </c>
      <c r="AF120" s="410">
        <f>aurora_data!AE70</f>
        <v>4</v>
      </c>
      <c r="AG120" s="411">
        <f>aurora_data!AF70</f>
        <v>0</v>
      </c>
      <c r="AH120" s="408">
        <f>aurora_data!AG70</f>
        <v>22</v>
      </c>
      <c r="AI120" s="410">
        <f>aurora_data!AH70</f>
        <v>3</v>
      </c>
      <c r="AJ120" s="411">
        <f>aurora_data!AI70</f>
        <v>0</v>
      </c>
      <c r="AK120" s="407"/>
      <c r="AL120" s="408">
        <f>aurora_data!AJ70</f>
        <v>25</v>
      </c>
      <c r="AM120" s="409">
        <f t="shared" si="72"/>
        <v>0.125</v>
      </c>
      <c r="AO120"/>
      <c r="AP120"/>
      <c r="AQ120"/>
      <c r="AR120"/>
      <c r="AS120"/>
      <c r="AT120"/>
      <c r="AU120"/>
      <c r="AV120"/>
      <c r="AW120"/>
      <c r="AX120"/>
      <c r="AY120"/>
    </row>
    <row r="121" spans="2:51">
      <c r="B121" s="452"/>
      <c r="C121" s="454"/>
      <c r="D121" s="35" t="s">
        <v>340</v>
      </c>
      <c r="E121" s="408">
        <f>aurora_data!D71</f>
        <v>0</v>
      </c>
      <c r="F121" s="410">
        <f>aurora_data!E71</f>
        <v>0</v>
      </c>
      <c r="G121" s="410">
        <f>aurora_data!F71</f>
        <v>0</v>
      </c>
      <c r="H121" s="410">
        <f>aurora_data!G71</f>
        <v>0</v>
      </c>
      <c r="I121" s="410">
        <f>aurora_data!H71</f>
        <v>0</v>
      </c>
      <c r="J121" s="408">
        <f>aurora_data!I71</f>
        <v>0</v>
      </c>
      <c r="K121" s="410">
        <f>aurora_data!J71</f>
        <v>0</v>
      </c>
      <c r="L121" s="410">
        <f>aurora_data!K71</f>
        <v>0</v>
      </c>
      <c r="M121" s="410">
        <f>aurora_data!L71</f>
        <v>0</v>
      </c>
      <c r="N121" s="411">
        <f>aurora_data!M71</f>
        <v>0</v>
      </c>
      <c r="O121" s="408">
        <f>aurora_data!N71</f>
        <v>0</v>
      </c>
      <c r="P121" s="410">
        <f>aurora_data!O71</f>
        <v>0</v>
      </c>
      <c r="Q121" s="410">
        <f>aurora_data!P71</f>
        <v>1</v>
      </c>
      <c r="R121" s="410">
        <f>aurora_data!Q71</f>
        <v>0</v>
      </c>
      <c r="S121" s="411">
        <f>aurora_data!R71</f>
        <v>0</v>
      </c>
      <c r="T121" s="408">
        <f>aurora_data!S71</f>
        <v>0</v>
      </c>
      <c r="U121" s="410">
        <f>aurora_data!T71</f>
        <v>0</v>
      </c>
      <c r="V121" s="410">
        <f>aurora_data!U71</f>
        <v>0</v>
      </c>
      <c r="W121" s="410">
        <f>aurora_data!V71</f>
        <v>0</v>
      </c>
      <c r="X121" s="411">
        <f>aurora_data!W71</f>
        <v>0</v>
      </c>
      <c r="Y121" s="408">
        <f>aurora_data!X71</f>
        <v>0</v>
      </c>
      <c r="Z121" s="410">
        <f>aurora_data!Y71</f>
        <v>0</v>
      </c>
      <c r="AA121" s="410">
        <f>aurora_data!Z71</f>
        <v>0</v>
      </c>
      <c r="AB121" s="410">
        <f>aurora_data!AA71</f>
        <v>0</v>
      </c>
      <c r="AC121" s="411">
        <f>aurora_data!AB71</f>
        <v>0</v>
      </c>
      <c r="AD121" s="408">
        <f>aurora_data!AC71</f>
        <v>1</v>
      </c>
      <c r="AE121" s="410">
        <f>aurora_data!AD71</f>
        <v>0</v>
      </c>
      <c r="AF121" s="410">
        <f>aurora_data!AE71</f>
        <v>0</v>
      </c>
      <c r="AG121" s="411">
        <f>aurora_data!AF71</f>
        <v>0</v>
      </c>
      <c r="AH121" s="408">
        <f>aurora_data!AG71</f>
        <v>0</v>
      </c>
      <c r="AI121" s="410">
        <f>aurora_data!AH71</f>
        <v>1</v>
      </c>
      <c r="AJ121" s="411">
        <f>aurora_data!AI71</f>
        <v>0</v>
      </c>
      <c r="AK121" s="407"/>
      <c r="AL121" s="408">
        <f>aurora_data!AJ71</f>
        <v>1</v>
      </c>
      <c r="AM121" s="409">
        <f t="shared" si="72"/>
        <v>5.0000000000000001E-3</v>
      </c>
      <c r="AO121"/>
      <c r="AP121"/>
      <c r="AQ121"/>
      <c r="AR121"/>
      <c r="AS121"/>
      <c r="AT121"/>
      <c r="AU121"/>
      <c r="AV121"/>
      <c r="AW121"/>
      <c r="AX121"/>
      <c r="AY121"/>
    </row>
    <row r="122" spans="2:51">
      <c r="B122" s="452"/>
      <c r="C122" s="454"/>
      <c r="D122" s="35" t="s">
        <v>341</v>
      </c>
      <c r="E122" s="408">
        <f>aurora_data!D72</f>
        <v>0</v>
      </c>
      <c r="F122" s="410">
        <f>aurora_data!E72</f>
        <v>0</v>
      </c>
      <c r="G122" s="410">
        <f>aurora_data!F72</f>
        <v>0</v>
      </c>
      <c r="H122" s="410">
        <f>aurora_data!G72</f>
        <v>0</v>
      </c>
      <c r="I122" s="410">
        <f>aurora_data!H72</f>
        <v>0</v>
      </c>
      <c r="J122" s="408">
        <f>aurora_data!I72</f>
        <v>0</v>
      </c>
      <c r="K122" s="410">
        <f>aurora_data!J72</f>
        <v>0</v>
      </c>
      <c r="L122" s="410">
        <f>aurora_data!K72</f>
        <v>0</v>
      </c>
      <c r="M122" s="410">
        <f>aurora_data!L72</f>
        <v>0</v>
      </c>
      <c r="N122" s="411">
        <f>aurora_data!M72</f>
        <v>0</v>
      </c>
      <c r="O122" s="408">
        <f>aurora_data!N72</f>
        <v>0</v>
      </c>
      <c r="P122" s="410">
        <f>aurora_data!O72</f>
        <v>1</v>
      </c>
      <c r="Q122" s="410">
        <f>aurora_data!P72</f>
        <v>0</v>
      </c>
      <c r="R122" s="410">
        <f>aurora_data!Q72</f>
        <v>0</v>
      </c>
      <c r="S122" s="411">
        <f>aurora_data!R72</f>
        <v>0</v>
      </c>
      <c r="T122" s="408">
        <f>aurora_data!S72</f>
        <v>0</v>
      </c>
      <c r="U122" s="410">
        <f>aurora_data!T72</f>
        <v>0</v>
      </c>
      <c r="V122" s="410">
        <f>aurora_data!U72</f>
        <v>0</v>
      </c>
      <c r="W122" s="410">
        <f>aurora_data!V72</f>
        <v>0</v>
      </c>
      <c r="X122" s="411">
        <f>aurora_data!W72</f>
        <v>0</v>
      </c>
      <c r="Y122" s="408">
        <f>aurora_data!X72</f>
        <v>1</v>
      </c>
      <c r="Z122" s="410">
        <f>aurora_data!Y72</f>
        <v>0</v>
      </c>
      <c r="AA122" s="410">
        <f>aurora_data!Z72</f>
        <v>3</v>
      </c>
      <c r="AB122" s="410">
        <f>aurora_data!AA72</f>
        <v>1</v>
      </c>
      <c r="AC122" s="411">
        <f>aurora_data!AB72</f>
        <v>0</v>
      </c>
      <c r="AD122" s="408">
        <f>aurora_data!AC72</f>
        <v>1</v>
      </c>
      <c r="AE122" s="410">
        <f>aurora_data!AD72</f>
        <v>2</v>
      </c>
      <c r="AF122" s="410">
        <f>aurora_data!AE72</f>
        <v>1</v>
      </c>
      <c r="AG122" s="411">
        <f>aurora_data!AF72</f>
        <v>2</v>
      </c>
      <c r="AH122" s="408">
        <f>aurora_data!AG72</f>
        <v>2</v>
      </c>
      <c r="AI122" s="410">
        <f>aurora_data!AH72</f>
        <v>4</v>
      </c>
      <c r="AJ122" s="411">
        <f>aurora_data!AI72</f>
        <v>0</v>
      </c>
      <c r="AK122" s="407"/>
      <c r="AL122" s="408">
        <f>aurora_data!AJ72</f>
        <v>6</v>
      </c>
      <c r="AM122" s="409">
        <f t="shared" si="72"/>
        <v>0.03</v>
      </c>
      <c r="AO122"/>
      <c r="AP122"/>
      <c r="AQ122"/>
      <c r="AR122"/>
      <c r="AS122"/>
      <c r="AT122"/>
      <c r="AU122"/>
      <c r="AV122"/>
      <c r="AW122"/>
      <c r="AX122"/>
      <c r="AY122"/>
    </row>
    <row r="123" spans="2:51" ht="16.5" thickBot="1">
      <c r="B123" s="452"/>
      <c r="C123" s="454"/>
      <c r="D123" s="35" t="s">
        <v>342</v>
      </c>
      <c r="E123" s="408">
        <f>aurora_data!D73</f>
        <v>0</v>
      </c>
      <c r="F123" s="410">
        <f>aurora_data!E73</f>
        <v>0</v>
      </c>
      <c r="G123" s="410">
        <f>aurora_data!F73</f>
        <v>0</v>
      </c>
      <c r="H123" s="410">
        <f>aurora_data!G73</f>
        <v>0</v>
      </c>
      <c r="I123" s="410">
        <f>aurora_data!H73</f>
        <v>0</v>
      </c>
      <c r="J123" s="408">
        <f>aurora_data!I73</f>
        <v>0</v>
      </c>
      <c r="K123" s="410">
        <f>aurora_data!J73</f>
        <v>0</v>
      </c>
      <c r="L123" s="410">
        <f>aurora_data!K73</f>
        <v>0</v>
      </c>
      <c r="M123" s="410">
        <f>aurora_data!L73</f>
        <v>0</v>
      </c>
      <c r="N123" s="411">
        <f>aurora_data!M73</f>
        <v>0</v>
      </c>
      <c r="O123" s="408">
        <f>aurora_data!N73</f>
        <v>0</v>
      </c>
      <c r="P123" s="410">
        <f>aurora_data!O73</f>
        <v>0</v>
      </c>
      <c r="Q123" s="410">
        <f>aurora_data!P73</f>
        <v>0</v>
      </c>
      <c r="R123" s="410">
        <f>aurora_data!Q73</f>
        <v>0</v>
      </c>
      <c r="S123" s="411">
        <f>aurora_data!R73</f>
        <v>0</v>
      </c>
      <c r="T123" s="408">
        <f>aurora_data!S73</f>
        <v>0</v>
      </c>
      <c r="U123" s="410">
        <f>aurora_data!T73</f>
        <v>0</v>
      </c>
      <c r="V123" s="410">
        <f>aurora_data!U73</f>
        <v>0</v>
      </c>
      <c r="W123" s="410">
        <f>aurora_data!V73</f>
        <v>0</v>
      </c>
      <c r="X123" s="411">
        <f>aurora_data!W73</f>
        <v>0</v>
      </c>
      <c r="Y123" s="408">
        <f>aurora_data!X73</f>
        <v>0</v>
      </c>
      <c r="Z123" s="410">
        <f>aurora_data!Y73</f>
        <v>0</v>
      </c>
      <c r="AA123" s="410">
        <f>aurora_data!Z73</f>
        <v>0</v>
      </c>
      <c r="AB123" s="410">
        <f>aurora_data!AA73</f>
        <v>0</v>
      </c>
      <c r="AC123" s="411">
        <f>aurora_data!AB73</f>
        <v>0</v>
      </c>
      <c r="AD123" s="408">
        <f>aurora_data!AC73</f>
        <v>0</v>
      </c>
      <c r="AE123" s="410">
        <f>aurora_data!AD73</f>
        <v>0</v>
      </c>
      <c r="AF123" s="410">
        <f>aurora_data!AE73</f>
        <v>0</v>
      </c>
      <c r="AG123" s="411">
        <f>aurora_data!AF73</f>
        <v>0</v>
      </c>
      <c r="AH123" s="408">
        <f>aurora_data!AG73</f>
        <v>0</v>
      </c>
      <c r="AI123" s="410">
        <f>aurora_data!AH73</f>
        <v>0</v>
      </c>
      <c r="AJ123" s="411">
        <f>aurora_data!AI73</f>
        <v>0</v>
      </c>
      <c r="AK123" s="412"/>
      <c r="AL123" s="408">
        <f>aurora_data!AJ73</f>
        <v>0</v>
      </c>
      <c r="AM123" s="409">
        <f t="shared" si="72"/>
        <v>0</v>
      </c>
      <c r="AO123"/>
      <c r="AP123"/>
      <c r="AQ123"/>
      <c r="AR123"/>
      <c r="AS123"/>
      <c r="AT123"/>
      <c r="AU123"/>
      <c r="AV123"/>
      <c r="AW123"/>
      <c r="AX123"/>
      <c r="AY123"/>
    </row>
    <row r="124" spans="2:51" ht="16.5" thickBot="1">
      <c r="B124" s="452"/>
      <c r="C124" s="454"/>
      <c r="D124" s="37" t="s">
        <v>17</v>
      </c>
      <c r="E124" s="182">
        <f>aurora_data!D74</f>
        <v>1</v>
      </c>
      <c r="F124" s="183">
        <f>aurora_data!E74</f>
        <v>1</v>
      </c>
      <c r="G124" s="183">
        <f>aurora_data!F74</f>
        <v>1</v>
      </c>
      <c r="H124" s="183">
        <f>aurora_data!G74</f>
        <v>2</v>
      </c>
      <c r="I124" s="184">
        <f>aurora_data!H74</f>
        <v>6</v>
      </c>
      <c r="J124" s="182">
        <f>aurora_data!I74</f>
        <v>2</v>
      </c>
      <c r="K124" s="183">
        <f>aurora_data!J74</f>
        <v>4</v>
      </c>
      <c r="L124" s="183">
        <f>aurora_data!K74</f>
        <v>11</v>
      </c>
      <c r="M124" s="183">
        <f>aurora_data!L74</f>
        <v>11</v>
      </c>
      <c r="N124" s="184">
        <f>aurora_data!M74</f>
        <v>8</v>
      </c>
      <c r="O124" s="182">
        <f>aurora_data!N74</f>
        <v>6</v>
      </c>
      <c r="P124" s="183">
        <f>aurora_data!O74</f>
        <v>8</v>
      </c>
      <c r="Q124" s="183">
        <f>aurora_data!P74</f>
        <v>16</v>
      </c>
      <c r="R124" s="183">
        <f>aurora_data!Q74</f>
        <v>16</v>
      </c>
      <c r="S124" s="184">
        <f>aurora_data!R74</f>
        <v>10</v>
      </c>
      <c r="T124" s="182">
        <f>aurora_data!S74</f>
        <v>0</v>
      </c>
      <c r="U124" s="183">
        <f>aurora_data!T74</f>
        <v>1</v>
      </c>
      <c r="V124" s="183">
        <f>aurora_data!U74</f>
        <v>1</v>
      </c>
      <c r="W124" s="183">
        <f>aurora_data!V74</f>
        <v>7</v>
      </c>
      <c r="X124" s="184">
        <f>aurora_data!W74</f>
        <v>10</v>
      </c>
      <c r="Y124" s="182">
        <f>aurora_data!X74</f>
        <v>1</v>
      </c>
      <c r="Z124" s="183">
        <f>aurora_data!Y74</f>
        <v>2</v>
      </c>
      <c r="AA124" s="183">
        <f>aurora_data!Z74</f>
        <v>15</v>
      </c>
      <c r="AB124" s="183">
        <f>aurora_data!AA74</f>
        <v>36</v>
      </c>
      <c r="AC124" s="184">
        <f>aurora_data!AB74</f>
        <v>50</v>
      </c>
      <c r="AD124" s="182">
        <f>aurora_data!AC74</f>
        <v>59</v>
      </c>
      <c r="AE124" s="183">
        <f>aurora_data!AD74</f>
        <v>44</v>
      </c>
      <c r="AF124" s="183">
        <f>aurora_data!AE74</f>
        <v>74</v>
      </c>
      <c r="AG124" s="184">
        <f>aurora_data!AF74</f>
        <v>49</v>
      </c>
      <c r="AH124" s="182">
        <f>aurora_data!AG74</f>
        <v>124</v>
      </c>
      <c r="AI124" s="183">
        <f>aurora_data!AH74</f>
        <v>102</v>
      </c>
      <c r="AJ124" s="183">
        <f>aurora_data!AI74</f>
        <v>0</v>
      </c>
      <c r="AK124" s="412"/>
      <c r="AL124" s="182">
        <f>aurora_data!AJ74</f>
        <v>226</v>
      </c>
      <c r="AM124" s="413">
        <f t="shared" si="72"/>
        <v>1.1299999999999999</v>
      </c>
      <c r="AO124"/>
      <c r="AP124"/>
      <c r="AQ124"/>
      <c r="AR124"/>
      <c r="AS124"/>
      <c r="AT124"/>
      <c r="AU124"/>
      <c r="AV124"/>
      <c r="AW124"/>
      <c r="AX124"/>
      <c r="AY124"/>
    </row>
    <row r="125" spans="2:51" ht="16.5" thickBot="1">
      <c r="B125" s="452"/>
      <c r="C125" s="454"/>
      <c r="D125" s="38" t="s">
        <v>343</v>
      </c>
      <c r="E125" s="265">
        <f>aurora_data!D75</f>
        <v>0</v>
      </c>
      <c r="F125" s="266">
        <f>aurora_data!E75</f>
        <v>0</v>
      </c>
      <c r="G125" s="266">
        <f>aurora_data!F75</f>
        <v>0</v>
      </c>
      <c r="H125" s="266">
        <f>aurora_data!G75</f>
        <v>0</v>
      </c>
      <c r="I125" s="266">
        <f>aurora_data!H75</f>
        <v>0</v>
      </c>
      <c r="J125" s="265">
        <f>aurora_data!I75</f>
        <v>0</v>
      </c>
      <c r="K125" s="266">
        <f>aurora_data!J75</f>
        <v>0</v>
      </c>
      <c r="L125" s="266">
        <f>aurora_data!K75</f>
        <v>0</v>
      </c>
      <c r="M125" s="266">
        <f>aurora_data!L75</f>
        <v>0</v>
      </c>
      <c r="N125" s="267">
        <f>aurora_data!M75</f>
        <v>2</v>
      </c>
      <c r="O125" s="265">
        <f>aurora_data!N75</f>
        <v>0</v>
      </c>
      <c r="P125" s="266">
        <f>aurora_data!O75</f>
        <v>0</v>
      </c>
      <c r="Q125" s="266">
        <f>aurora_data!P75</f>
        <v>0</v>
      </c>
      <c r="R125" s="266">
        <f>aurora_data!Q75</f>
        <v>1</v>
      </c>
      <c r="S125" s="267">
        <f>aurora_data!R75</f>
        <v>0</v>
      </c>
      <c r="T125" s="265">
        <f>aurora_data!S75</f>
        <v>0</v>
      </c>
      <c r="U125" s="266">
        <f>aurora_data!T75</f>
        <v>0</v>
      </c>
      <c r="V125" s="266">
        <f>aurora_data!U75</f>
        <v>0</v>
      </c>
      <c r="W125" s="266">
        <f>aurora_data!V75</f>
        <v>0</v>
      </c>
      <c r="X125" s="267">
        <f>aurora_data!W75</f>
        <v>1</v>
      </c>
      <c r="Y125" s="265">
        <f>aurora_data!X75</f>
        <v>0</v>
      </c>
      <c r="Z125" s="266">
        <f>aurora_data!Y75</f>
        <v>0</v>
      </c>
      <c r="AA125" s="266">
        <f>aurora_data!Z75</f>
        <v>1</v>
      </c>
      <c r="AB125" s="266">
        <f>aurora_data!AA75</f>
        <v>0</v>
      </c>
      <c r="AC125" s="267">
        <f>aurora_data!AB75</f>
        <v>3</v>
      </c>
      <c r="AD125" s="265">
        <f>aurora_data!AC75</f>
        <v>0</v>
      </c>
      <c r="AE125" s="266">
        <f>aurora_data!AD75</f>
        <v>2</v>
      </c>
      <c r="AF125" s="266">
        <f>aurora_data!AE75</f>
        <v>5</v>
      </c>
      <c r="AG125" s="267">
        <f>aurora_data!AF75</f>
        <v>1</v>
      </c>
      <c r="AH125" s="265">
        <f>aurora_data!AG75</f>
        <v>6</v>
      </c>
      <c r="AI125" s="266">
        <f>aurora_data!AH75</f>
        <v>2</v>
      </c>
      <c r="AJ125" s="268">
        <f>aurora_data!AI75</f>
        <v>0</v>
      </c>
      <c r="AK125" s="269"/>
      <c r="AL125" s="265">
        <f>aurora_data!AJ75</f>
        <v>8</v>
      </c>
      <c r="AM125" s="270">
        <f t="shared" si="72"/>
        <v>0.04</v>
      </c>
      <c r="AO125"/>
      <c r="AP125"/>
      <c r="AQ125"/>
      <c r="AR125"/>
      <c r="AS125"/>
      <c r="AT125"/>
      <c r="AU125"/>
      <c r="AV125"/>
      <c r="AW125"/>
      <c r="AX125"/>
      <c r="AY125"/>
    </row>
    <row r="126" spans="2:51" outlineLevel="1">
      <c r="B126" s="452"/>
      <c r="C126" s="454"/>
      <c r="D126" s="199" t="s">
        <v>344</v>
      </c>
      <c r="E126" s="271">
        <f t="shared" ref="E126:AC126" si="73">ROUNDDOWN((E128+$E$9)*($AL118),0)</f>
        <v>4</v>
      </c>
      <c r="F126" s="272">
        <f t="shared" si="73"/>
        <v>4</v>
      </c>
      <c r="G126" s="272">
        <f t="shared" si="73"/>
        <v>5</v>
      </c>
      <c r="H126" s="272">
        <f t="shared" si="73"/>
        <v>5</v>
      </c>
      <c r="I126" s="272">
        <f t="shared" si="73"/>
        <v>10</v>
      </c>
      <c r="J126" s="271">
        <f t="shared" si="73"/>
        <v>4</v>
      </c>
      <c r="K126" s="272">
        <f t="shared" si="73"/>
        <v>5</v>
      </c>
      <c r="L126" s="272">
        <f t="shared" si="73"/>
        <v>11</v>
      </c>
      <c r="M126" s="272">
        <f t="shared" si="73"/>
        <v>13</v>
      </c>
      <c r="N126" s="268">
        <f t="shared" si="73"/>
        <v>10</v>
      </c>
      <c r="O126" s="271">
        <f t="shared" si="73"/>
        <v>9</v>
      </c>
      <c r="P126" s="272">
        <f t="shared" si="73"/>
        <v>12</v>
      </c>
      <c r="Q126" s="272">
        <f t="shared" si="73"/>
        <v>18</v>
      </c>
      <c r="R126" s="272">
        <f t="shared" si="73"/>
        <v>19</v>
      </c>
      <c r="S126" s="268">
        <f t="shared" si="73"/>
        <v>13</v>
      </c>
      <c r="T126" s="271">
        <f t="shared" si="73"/>
        <v>4</v>
      </c>
      <c r="U126" s="272">
        <f t="shared" si="73"/>
        <v>4</v>
      </c>
      <c r="V126" s="272">
        <f t="shared" si="73"/>
        <v>7</v>
      </c>
      <c r="W126" s="272">
        <f t="shared" si="73"/>
        <v>10</v>
      </c>
      <c r="X126" s="268">
        <f t="shared" si="73"/>
        <v>11</v>
      </c>
      <c r="Y126" s="271">
        <f t="shared" si="73"/>
        <v>5</v>
      </c>
      <c r="Z126" s="272">
        <f t="shared" si="73"/>
        <v>6</v>
      </c>
      <c r="AA126" s="272">
        <f t="shared" si="73"/>
        <v>18</v>
      </c>
      <c r="AB126" s="272">
        <f t="shared" si="73"/>
        <v>34</v>
      </c>
      <c r="AC126" s="268">
        <f t="shared" si="73"/>
        <v>48</v>
      </c>
      <c r="AD126" s="271">
        <f>ROUNDDOWN((AD128+$AD$9)*($AL118),0)</f>
        <v>61</v>
      </c>
      <c r="AE126" s="272">
        <f>ROUNDDOWN((AE128+$AD$9)*($AL118),0)</f>
        <v>50</v>
      </c>
      <c r="AF126" s="272">
        <f t="shared" ref="AF126:AG126" si="74">ROUNDDOWN((AF128+$AD$9)*($AL118),0)</f>
        <v>99</v>
      </c>
      <c r="AG126" s="272">
        <f t="shared" si="74"/>
        <v>68</v>
      </c>
      <c r="AH126" s="271">
        <f>ROUNDDOWN((AH128+$AH$9)*($AL118),0)</f>
        <v>100</v>
      </c>
      <c r="AI126" s="272">
        <f>ROUNDDOWN((AI128+$AH$9)*($AL118),0)</f>
        <v>100</v>
      </c>
      <c r="AJ126" s="272">
        <f>ROUNDDOWN((AJ128+$AH$8)*($AL118),0)</f>
        <v>0</v>
      </c>
      <c r="AK126" s="273"/>
      <c r="AL126" s="274"/>
      <c r="AM126" s="275"/>
      <c r="AO126"/>
      <c r="AP126"/>
      <c r="AQ126"/>
      <c r="AR126"/>
      <c r="AS126"/>
      <c r="AT126"/>
      <c r="AU126"/>
      <c r="AV126"/>
      <c r="AW126"/>
      <c r="AX126"/>
      <c r="AY126"/>
    </row>
    <row r="127" spans="2:51" ht="15.75" customHeight="1" outlineLevel="1" thickBot="1">
      <c r="B127" s="452"/>
      <c r="C127" s="454"/>
      <c r="D127" s="199" t="s">
        <v>345</v>
      </c>
      <c r="E127" s="276">
        <f t="shared" ref="E127:AC127" si="75">IF(ROUND(((E128-$E$9)*($AL118))+0.25,0) &lt;=0,1,((E128-$E$9)*($AL118))+0.25)</f>
        <v>1</v>
      </c>
      <c r="F127" s="277">
        <f t="shared" si="75"/>
        <v>1</v>
      </c>
      <c r="G127" s="277">
        <f t="shared" si="75"/>
        <v>1</v>
      </c>
      <c r="H127" s="277">
        <f t="shared" si="75"/>
        <v>1</v>
      </c>
      <c r="I127" s="277">
        <f t="shared" si="75"/>
        <v>2.5300000000000007</v>
      </c>
      <c r="J127" s="276">
        <f t="shared" si="75"/>
        <v>1</v>
      </c>
      <c r="K127" s="277">
        <f t="shared" si="75"/>
        <v>1</v>
      </c>
      <c r="L127" s="277">
        <f t="shared" si="75"/>
        <v>3.2599999999999993</v>
      </c>
      <c r="M127" s="277">
        <f t="shared" si="75"/>
        <v>5.5600000000000005</v>
      </c>
      <c r="N127" s="278">
        <f t="shared" si="75"/>
        <v>2.99</v>
      </c>
      <c r="O127" s="276">
        <f t="shared" si="75"/>
        <v>1.9000000000000001</v>
      </c>
      <c r="P127" s="277">
        <f t="shared" si="75"/>
        <v>4.3699999999999992</v>
      </c>
      <c r="Q127" s="277">
        <f t="shared" si="75"/>
        <v>10.43</v>
      </c>
      <c r="R127" s="277">
        <f t="shared" si="75"/>
        <v>11.26</v>
      </c>
      <c r="S127" s="278">
        <f t="shared" si="75"/>
        <v>6.2200000000000006</v>
      </c>
      <c r="T127" s="276">
        <f t="shared" si="75"/>
        <v>1</v>
      </c>
      <c r="U127" s="277">
        <f t="shared" si="75"/>
        <v>1</v>
      </c>
      <c r="V127" s="277">
        <f t="shared" si="75"/>
        <v>1</v>
      </c>
      <c r="W127" s="277">
        <f t="shared" si="75"/>
        <v>3.0199999999999996</v>
      </c>
      <c r="X127" s="278">
        <f t="shared" si="75"/>
        <v>3.76</v>
      </c>
      <c r="Y127" s="276">
        <f t="shared" si="75"/>
        <v>1</v>
      </c>
      <c r="Z127" s="277">
        <f t="shared" si="75"/>
        <v>1</v>
      </c>
      <c r="AA127" s="277">
        <f t="shared" si="75"/>
        <v>10.739999999999998</v>
      </c>
      <c r="AB127" s="277">
        <f t="shared" si="75"/>
        <v>26.380000000000003</v>
      </c>
      <c r="AC127" s="278">
        <f t="shared" si="75"/>
        <v>40.799999999999997</v>
      </c>
      <c r="AD127" s="276">
        <f>IF(((AD128-$AD$9)*($AL118))+0.5 &lt;0,1,((AD128-$AD$9)*($AL118))+0.5 )</f>
        <v>21.83</v>
      </c>
      <c r="AE127" s="277">
        <f>IF(((AE128-$AD$9)*($AL118))+0.5 &lt;0,1,((AE128-$AD$9)*($AL118))+0.5 )</f>
        <v>11.170000000000002</v>
      </c>
      <c r="AF127" s="277">
        <f t="shared" ref="AF127" si="76">IF(((AF128-$AD$9)*($AL118))+0.5 &lt;0,1,((AF128-$AD$9)*($AL118))+0.5 )</f>
        <v>59.809999999999995</v>
      </c>
      <c r="AG127" s="277">
        <f t="shared" ref="AG127" si="77">IF(((AG128-$AD$9)*($AL118))+0.5 &lt;0,1,((AG128-$AD$9)*($AL118))+0.5 )</f>
        <v>29.189999999999998</v>
      </c>
      <c r="AH127" s="276">
        <f>IF(((AH128-$AH$9)*($AL118))+0.5 &lt;0,1,((AH128-$AH$9)*($AL118)) )</f>
        <v>100</v>
      </c>
      <c r="AI127" s="277">
        <f>IF(((AI128-$AH$9)*($AL118))+0.5 &lt;0,1,((AI128-$AH$9)*($AL118)))</f>
        <v>100</v>
      </c>
      <c r="AJ127" s="277">
        <f>IF(((AJ128-$AH$8)*($AL118))+0.5 &lt;0,1,((AJ128-$AH$8)*($AL118))+0.5 )</f>
        <v>0.5</v>
      </c>
      <c r="AK127" s="273"/>
      <c r="AL127" s="279"/>
      <c r="AM127" s="280"/>
      <c r="AO127"/>
      <c r="AP127"/>
      <c r="AQ127"/>
      <c r="AR127"/>
      <c r="AS127"/>
      <c r="AT127"/>
      <c r="AU127"/>
      <c r="AV127"/>
      <c r="AW127"/>
      <c r="AX127"/>
      <c r="AY127"/>
    </row>
    <row r="128" spans="2:51" ht="15.75" customHeight="1" outlineLevel="1" thickTop="1">
      <c r="B128" s="110"/>
      <c r="C128" s="109"/>
      <c r="D128" s="95" t="s">
        <v>346</v>
      </c>
      <c r="E128" s="414">
        <f t="shared" ref="E128:AJ128" si="78">IFERROR(E118/$AL118,0)</f>
        <v>2.0999999999999999E-3</v>
      </c>
      <c r="F128" s="415">
        <f t="shared" si="78"/>
        <v>2.7000000000000001E-3</v>
      </c>
      <c r="G128" s="415">
        <f t="shared" si="78"/>
        <v>6.0000000000000001E-3</v>
      </c>
      <c r="H128" s="415">
        <f t="shared" si="78"/>
        <v>9.1000000000000004E-3</v>
      </c>
      <c r="I128" s="415">
        <f t="shared" si="78"/>
        <v>3.1400000000000004E-2</v>
      </c>
      <c r="J128" s="414">
        <f t="shared" si="78"/>
        <v>2.3499999999999997E-3</v>
      </c>
      <c r="K128" s="415">
        <f t="shared" si="78"/>
        <v>8.7500000000000008E-3</v>
      </c>
      <c r="L128" s="415">
        <f t="shared" si="78"/>
        <v>3.5049999999999998E-2</v>
      </c>
      <c r="M128" s="415">
        <f t="shared" si="78"/>
        <v>4.6550000000000001E-2</v>
      </c>
      <c r="N128" s="416">
        <f t="shared" si="78"/>
        <v>3.3700000000000001E-2</v>
      </c>
      <c r="O128" s="414">
        <f t="shared" si="78"/>
        <v>2.8250000000000001E-2</v>
      </c>
      <c r="P128" s="415">
        <f t="shared" si="78"/>
        <v>4.0599999999999997E-2</v>
      </c>
      <c r="Q128" s="415">
        <f t="shared" si="78"/>
        <v>7.0900000000000005E-2</v>
      </c>
      <c r="R128" s="415">
        <f t="shared" si="78"/>
        <v>7.5050000000000006E-2</v>
      </c>
      <c r="S128" s="416">
        <f t="shared" si="78"/>
        <v>4.9850000000000005E-2</v>
      </c>
      <c r="T128" s="414">
        <f t="shared" si="78"/>
        <v>2.0499999999999997E-3</v>
      </c>
      <c r="U128" s="415">
        <f t="shared" si="78"/>
        <v>4.45E-3</v>
      </c>
      <c r="V128" s="415">
        <f t="shared" si="78"/>
        <v>1.7000000000000001E-2</v>
      </c>
      <c r="W128" s="415">
        <f t="shared" si="78"/>
        <v>3.3849999999999998E-2</v>
      </c>
      <c r="X128" s="416">
        <f t="shared" si="78"/>
        <v>3.755E-2</v>
      </c>
      <c r="Y128" s="414">
        <f t="shared" si="78"/>
        <v>5.5500000000000002E-3</v>
      </c>
      <c r="Z128" s="415">
        <f t="shared" si="78"/>
        <v>1.1299999999999999E-2</v>
      </c>
      <c r="AA128" s="415">
        <f t="shared" si="78"/>
        <v>7.2450000000000001E-2</v>
      </c>
      <c r="AB128" s="415">
        <f t="shared" si="78"/>
        <v>0.15065000000000001</v>
      </c>
      <c r="AC128" s="416">
        <f t="shared" si="78"/>
        <v>0.22274999999999998</v>
      </c>
      <c r="AD128" s="414">
        <f t="shared" si="78"/>
        <v>0.20665</v>
      </c>
      <c r="AE128" s="415">
        <f t="shared" si="78"/>
        <v>0.15335000000000001</v>
      </c>
      <c r="AF128" s="415">
        <f t="shared" si="78"/>
        <v>0.39655000000000001</v>
      </c>
      <c r="AG128" s="416">
        <f t="shared" si="78"/>
        <v>0.24345</v>
      </c>
      <c r="AH128" s="414">
        <f t="shared" si="78"/>
        <v>0.5</v>
      </c>
      <c r="AI128" s="415">
        <f t="shared" si="78"/>
        <v>0.5</v>
      </c>
      <c r="AJ128" s="415">
        <f t="shared" si="78"/>
        <v>0</v>
      </c>
      <c r="AK128" s="407"/>
      <c r="AL128" s="417"/>
      <c r="AM128" s="418"/>
      <c r="AO128"/>
      <c r="AP128"/>
      <c r="AQ128"/>
      <c r="AR128"/>
      <c r="AS128"/>
      <c r="AT128"/>
      <c r="AU128"/>
      <c r="AV128"/>
      <c r="AW128"/>
      <c r="AX128"/>
      <c r="AY128"/>
    </row>
    <row r="129" spans="2:51" ht="16.5" customHeight="1" outlineLevel="1">
      <c r="B129" s="110"/>
      <c r="C129" s="109"/>
      <c r="D129" s="180" t="s">
        <v>347</v>
      </c>
      <c r="E129" s="414">
        <f t="shared" ref="E129:AJ129" si="79">IFERROR(E119/$AL118,0)</f>
        <v>5.0000000000000001E-3</v>
      </c>
      <c r="F129" s="415">
        <f t="shared" si="79"/>
        <v>5.0000000000000001E-3</v>
      </c>
      <c r="G129" s="415">
        <f t="shared" si="79"/>
        <v>5.0000000000000001E-3</v>
      </c>
      <c r="H129" s="415">
        <f t="shared" si="79"/>
        <v>0.01</v>
      </c>
      <c r="I129" s="415">
        <f t="shared" si="79"/>
        <v>0.03</v>
      </c>
      <c r="J129" s="414">
        <f t="shared" si="79"/>
        <v>0</v>
      </c>
      <c r="K129" s="415">
        <f t="shared" si="79"/>
        <v>0.01</v>
      </c>
      <c r="L129" s="415">
        <f t="shared" si="79"/>
        <v>3.5000000000000003E-2</v>
      </c>
      <c r="M129" s="415">
        <f t="shared" si="79"/>
        <v>4.4999999999999998E-2</v>
      </c>
      <c r="N129" s="416">
        <f t="shared" si="79"/>
        <v>3.5000000000000003E-2</v>
      </c>
      <c r="O129" s="414">
        <f t="shared" si="79"/>
        <v>0.03</v>
      </c>
      <c r="P129" s="415">
        <f t="shared" si="79"/>
        <v>3.5000000000000003E-2</v>
      </c>
      <c r="Q129" s="415">
        <f t="shared" si="79"/>
        <v>7.0000000000000007E-2</v>
      </c>
      <c r="R129" s="415">
        <f t="shared" si="79"/>
        <v>7.4999999999999997E-2</v>
      </c>
      <c r="S129" s="416">
        <f t="shared" si="79"/>
        <v>0.05</v>
      </c>
      <c r="T129" s="414">
        <f t="shared" si="79"/>
        <v>0</v>
      </c>
      <c r="U129" s="415">
        <f t="shared" si="79"/>
        <v>5.0000000000000001E-3</v>
      </c>
      <c r="V129" s="415">
        <f t="shared" si="79"/>
        <v>5.0000000000000001E-3</v>
      </c>
      <c r="W129" s="415">
        <f t="shared" si="79"/>
        <v>3.5000000000000003E-2</v>
      </c>
      <c r="X129" s="416">
        <f t="shared" si="79"/>
        <v>0.04</v>
      </c>
      <c r="Y129" s="414">
        <f t="shared" si="79"/>
        <v>0</v>
      </c>
      <c r="Z129" s="415">
        <f t="shared" si="79"/>
        <v>0.01</v>
      </c>
      <c r="AA129" s="415">
        <f t="shared" si="79"/>
        <v>0.06</v>
      </c>
      <c r="AB129" s="415">
        <f t="shared" si="79"/>
        <v>0.15</v>
      </c>
      <c r="AC129" s="416">
        <f t="shared" si="79"/>
        <v>0.22500000000000001</v>
      </c>
      <c r="AD129" s="414">
        <f t="shared" si="79"/>
        <v>0.22500000000000001</v>
      </c>
      <c r="AE129" s="415">
        <f t="shared" si="79"/>
        <v>0.16500000000000001</v>
      </c>
      <c r="AF129" s="415">
        <f t="shared" si="79"/>
        <v>0.34499999999999997</v>
      </c>
      <c r="AG129" s="416">
        <f t="shared" si="79"/>
        <v>0.23499999999999999</v>
      </c>
      <c r="AH129" s="415">
        <f t="shared" si="79"/>
        <v>0.5</v>
      </c>
      <c r="AI129" s="415">
        <f t="shared" si="79"/>
        <v>0.47</v>
      </c>
      <c r="AJ129" s="415">
        <f t="shared" si="79"/>
        <v>0</v>
      </c>
      <c r="AK129" s="407"/>
      <c r="AL129" s="417"/>
      <c r="AM129" s="418"/>
      <c r="AO129"/>
      <c r="AP129"/>
      <c r="AQ129"/>
      <c r="AR129"/>
      <c r="AS129"/>
      <c r="AT129"/>
      <c r="AU129"/>
      <c r="AV129"/>
      <c r="AW129"/>
      <c r="AX129"/>
      <c r="AY129"/>
    </row>
    <row r="130" spans="2:51" ht="16.5" outlineLevel="1" thickBot="1">
      <c r="B130" s="110"/>
      <c r="C130" s="109"/>
      <c r="D130" s="180" t="s">
        <v>348</v>
      </c>
      <c r="E130" s="419">
        <f t="shared" ref="E130:AJ130" si="80">E129-E128</f>
        <v>2.9000000000000002E-3</v>
      </c>
      <c r="F130" s="420">
        <f t="shared" si="80"/>
        <v>2.3E-3</v>
      </c>
      <c r="G130" s="420">
        <f t="shared" si="80"/>
        <v>-1E-3</v>
      </c>
      <c r="H130" s="420">
        <f t="shared" si="80"/>
        <v>8.9999999999999976E-4</v>
      </c>
      <c r="I130" s="420">
        <f t="shared" si="80"/>
        <v>-1.4000000000000054E-3</v>
      </c>
      <c r="J130" s="419">
        <f t="shared" si="80"/>
        <v>-2.3499999999999997E-3</v>
      </c>
      <c r="K130" s="420">
        <f t="shared" si="80"/>
        <v>1.2499999999999994E-3</v>
      </c>
      <c r="L130" s="420">
        <f t="shared" si="80"/>
        <v>-4.9999999999994493E-5</v>
      </c>
      <c r="M130" s="420">
        <f t="shared" si="80"/>
        <v>-1.5500000000000028E-3</v>
      </c>
      <c r="N130" s="421">
        <f t="shared" si="80"/>
        <v>1.3000000000000025E-3</v>
      </c>
      <c r="O130" s="419">
        <f t="shared" si="80"/>
        <v>1.7499999999999981E-3</v>
      </c>
      <c r="P130" s="420">
        <f t="shared" si="80"/>
        <v>-5.5999999999999939E-3</v>
      </c>
      <c r="Q130" s="420">
        <f t="shared" si="80"/>
        <v>-8.9999999999999802E-4</v>
      </c>
      <c r="R130" s="420">
        <f t="shared" si="80"/>
        <v>-5.0000000000008371E-5</v>
      </c>
      <c r="S130" s="421">
        <f t="shared" si="80"/>
        <v>1.4999999999999736E-4</v>
      </c>
      <c r="T130" s="419">
        <f t="shared" si="80"/>
        <v>-2.0499999999999997E-3</v>
      </c>
      <c r="U130" s="420">
        <f t="shared" si="80"/>
        <v>5.5000000000000014E-4</v>
      </c>
      <c r="V130" s="420">
        <f t="shared" si="80"/>
        <v>-1.2E-2</v>
      </c>
      <c r="W130" s="420">
        <f t="shared" si="80"/>
        <v>1.1500000000000052E-3</v>
      </c>
      <c r="X130" s="421">
        <f t="shared" si="80"/>
        <v>2.4500000000000008E-3</v>
      </c>
      <c r="Y130" s="419">
        <f t="shared" si="80"/>
        <v>-5.5500000000000002E-3</v>
      </c>
      <c r="Z130" s="420">
        <f t="shared" si="80"/>
        <v>-1.2999999999999991E-3</v>
      </c>
      <c r="AA130" s="420">
        <f t="shared" si="80"/>
        <v>-1.2450000000000003E-2</v>
      </c>
      <c r="AB130" s="420">
        <f t="shared" si="80"/>
        <v>-6.5000000000001168E-4</v>
      </c>
      <c r="AC130" s="421">
        <f t="shared" si="80"/>
        <v>2.2500000000000298E-3</v>
      </c>
      <c r="AD130" s="419">
        <f t="shared" si="80"/>
        <v>1.8350000000000005E-2</v>
      </c>
      <c r="AE130" s="420">
        <f t="shared" si="80"/>
        <v>1.1649999999999994E-2</v>
      </c>
      <c r="AF130" s="420">
        <f t="shared" si="80"/>
        <v>-5.155000000000004E-2</v>
      </c>
      <c r="AG130" s="421">
        <f t="shared" si="80"/>
        <v>-8.4500000000000131E-3</v>
      </c>
      <c r="AH130" s="420">
        <f t="shared" si="80"/>
        <v>0</v>
      </c>
      <c r="AI130" s="420">
        <f t="shared" si="80"/>
        <v>-3.0000000000000027E-2</v>
      </c>
      <c r="AJ130" s="420">
        <f t="shared" si="80"/>
        <v>0</v>
      </c>
      <c r="AK130" s="407"/>
      <c r="AL130" s="422"/>
      <c r="AM130" s="423"/>
      <c r="AO130"/>
      <c r="AP130"/>
      <c r="AQ130"/>
      <c r="AR130"/>
      <c r="AS130"/>
      <c r="AT130"/>
      <c r="AU130"/>
      <c r="AV130"/>
      <c r="AW130"/>
      <c r="AX130"/>
      <c r="AY130"/>
    </row>
    <row r="131" spans="2:51" ht="16.5" thickTop="1">
      <c r="B131" s="451" t="s">
        <v>338</v>
      </c>
      <c r="C131" s="453" t="str">
        <f>aurora_data!A76</f>
        <v>15.00.00-15.11.30</v>
      </c>
      <c r="D131" s="34" t="s">
        <v>306</v>
      </c>
      <c r="E131" s="152">
        <f>aurora_data!D76</f>
        <v>0.45</v>
      </c>
      <c r="F131" s="153">
        <f>aurora_data!E76</f>
        <v>0.6</v>
      </c>
      <c r="G131" s="153">
        <f>aurora_data!F76</f>
        <v>1.06</v>
      </c>
      <c r="H131" s="153">
        <f>aurora_data!G76</f>
        <v>1.95</v>
      </c>
      <c r="I131" s="153">
        <f>aurora_data!H76</f>
        <v>5.79</v>
      </c>
      <c r="J131" s="152">
        <f>aurora_data!I76</f>
        <v>0.61</v>
      </c>
      <c r="K131" s="153">
        <f>aurora_data!J76</f>
        <v>1.65</v>
      </c>
      <c r="L131" s="153">
        <f>aurora_data!K76</f>
        <v>6.81</v>
      </c>
      <c r="M131" s="153">
        <f>aurora_data!L76</f>
        <v>9.7899999999999991</v>
      </c>
      <c r="N131" s="154">
        <f>aurora_data!M76</f>
        <v>6.93</v>
      </c>
      <c r="O131" s="152">
        <f>aurora_data!N76</f>
        <v>5.28</v>
      </c>
      <c r="P131" s="153">
        <f>aurora_data!O76</f>
        <v>7.99</v>
      </c>
      <c r="Q131" s="153">
        <f>aurora_data!P76</f>
        <v>13.54</v>
      </c>
      <c r="R131" s="153">
        <f>aurora_data!Q76</f>
        <v>13.39</v>
      </c>
      <c r="S131" s="154">
        <f>aurora_data!R76</f>
        <v>9.5500000000000007</v>
      </c>
      <c r="T131" s="152">
        <f>aurora_data!S76</f>
        <v>0.4</v>
      </c>
      <c r="U131" s="153">
        <f>aurora_data!T76</f>
        <v>0.8</v>
      </c>
      <c r="V131" s="153">
        <f>aurora_data!U76</f>
        <v>3.29</v>
      </c>
      <c r="W131" s="153">
        <f>aurora_data!V76</f>
        <v>6.26</v>
      </c>
      <c r="X131" s="154">
        <f>aurora_data!W76</f>
        <v>6.84</v>
      </c>
      <c r="Y131" s="152">
        <f>aurora_data!X76</f>
        <v>1.1200000000000001</v>
      </c>
      <c r="Z131" s="153">
        <f>aurora_data!Y76</f>
        <v>2.4700000000000002</v>
      </c>
      <c r="AA131" s="153">
        <f>aurora_data!Z76</f>
        <v>15.08</v>
      </c>
      <c r="AB131" s="153">
        <f>aurora_data!AA76</f>
        <v>31.3</v>
      </c>
      <c r="AC131" s="154">
        <f>aurora_data!AB76</f>
        <v>47.04</v>
      </c>
      <c r="AD131" s="152">
        <f>aurora_data!AC76</f>
        <v>42.15</v>
      </c>
      <c r="AE131" s="153">
        <f>aurora_data!AD76</f>
        <v>31.3</v>
      </c>
      <c r="AF131" s="153">
        <f>aurora_data!AE76</f>
        <v>79.900000000000006</v>
      </c>
      <c r="AG131" s="154">
        <f>aurora_data!AF76</f>
        <v>46.65</v>
      </c>
      <c r="AH131" s="155">
        <f>aurora_data!AG76</f>
        <v>100</v>
      </c>
      <c r="AI131" s="171">
        <f>aurora_data!AH76</f>
        <v>100</v>
      </c>
      <c r="AJ131" s="201">
        <f>aurora_data!AI76</f>
        <v>0</v>
      </c>
      <c r="AK131" s="407"/>
      <c r="AL131" s="155">
        <f>aurora_data!AJ76</f>
        <v>200</v>
      </c>
      <c r="AM131" s="167">
        <f t="shared" ref="AM131:AM138" si="81">SUM(AL131)/$AL$131</f>
        <v>1</v>
      </c>
      <c r="AO131"/>
      <c r="AP131"/>
      <c r="AQ131"/>
      <c r="AR131"/>
      <c r="AS131"/>
      <c r="AT131"/>
      <c r="AU131"/>
      <c r="AV131"/>
      <c r="AW131"/>
      <c r="AX131"/>
      <c r="AY131"/>
    </row>
    <row r="132" spans="2:51">
      <c r="B132" s="452"/>
      <c r="C132" s="454"/>
      <c r="D132" s="35" t="s">
        <v>339</v>
      </c>
      <c r="E132" s="262">
        <f>aurora_data!D77</f>
        <v>0</v>
      </c>
      <c r="F132" s="263">
        <f>aurora_data!E77</f>
        <v>0</v>
      </c>
      <c r="G132" s="263">
        <f>aurora_data!F77</f>
        <v>0</v>
      </c>
      <c r="H132" s="263">
        <f>aurora_data!G77</f>
        <v>2</v>
      </c>
      <c r="I132" s="263">
        <f>aurora_data!H77</f>
        <v>6</v>
      </c>
      <c r="J132" s="262">
        <f>aurora_data!I77</f>
        <v>1</v>
      </c>
      <c r="K132" s="263">
        <f>aurora_data!J77</f>
        <v>2</v>
      </c>
      <c r="L132" s="263">
        <f>aurora_data!K77</f>
        <v>7</v>
      </c>
      <c r="M132" s="263">
        <f>aurora_data!L77</f>
        <v>10</v>
      </c>
      <c r="N132" s="264">
        <f>aurora_data!M77</f>
        <v>7</v>
      </c>
      <c r="O132" s="262">
        <f>aurora_data!N77</f>
        <v>4</v>
      </c>
      <c r="P132" s="263">
        <f>aurora_data!O77</f>
        <v>8</v>
      </c>
      <c r="Q132" s="263">
        <f>aurora_data!P77</f>
        <v>14</v>
      </c>
      <c r="R132" s="263">
        <f>aurora_data!Q77</f>
        <v>13</v>
      </c>
      <c r="S132" s="264">
        <f>aurora_data!R77</f>
        <v>10</v>
      </c>
      <c r="T132" s="262">
        <f>aurora_data!S77</f>
        <v>0</v>
      </c>
      <c r="U132" s="263">
        <f>aurora_data!T77</f>
        <v>1</v>
      </c>
      <c r="V132" s="263">
        <f>aurora_data!U77</f>
        <v>3</v>
      </c>
      <c r="W132" s="263">
        <f>aurora_data!V77</f>
        <v>6</v>
      </c>
      <c r="X132" s="264">
        <f>aurora_data!W77</f>
        <v>7</v>
      </c>
      <c r="Y132" s="262">
        <f>aurora_data!X77</f>
        <v>1</v>
      </c>
      <c r="Z132" s="263">
        <f>aurora_data!Y77</f>
        <v>2</v>
      </c>
      <c r="AA132" s="263">
        <f>aurora_data!Z77</f>
        <v>14</v>
      </c>
      <c r="AB132" s="263">
        <f>aurora_data!AA77</f>
        <v>31</v>
      </c>
      <c r="AC132" s="264">
        <f>aurora_data!AB77</f>
        <v>47</v>
      </c>
      <c r="AD132" s="262">
        <f>aurora_data!AC77</f>
        <v>49</v>
      </c>
      <c r="AE132" s="263">
        <f>aurora_data!AD77</f>
        <v>42</v>
      </c>
      <c r="AF132" s="263">
        <f>aurora_data!AE77</f>
        <v>59</v>
      </c>
      <c r="AG132" s="264">
        <f>aurora_data!AF77</f>
        <v>46</v>
      </c>
      <c r="AH132" s="262">
        <f>aurora_data!AG77</f>
        <v>99</v>
      </c>
      <c r="AI132" s="263">
        <f>aurora_data!AH77</f>
        <v>97</v>
      </c>
      <c r="AJ132" s="264">
        <f>aurora_data!AI77</f>
        <v>0</v>
      </c>
      <c r="AK132" s="407"/>
      <c r="AL132" s="408">
        <f>aurora_data!AJ77</f>
        <v>196</v>
      </c>
      <c r="AM132" s="409">
        <f t="shared" si="81"/>
        <v>0.98</v>
      </c>
      <c r="AO132"/>
      <c r="AP132"/>
      <c r="AQ132"/>
      <c r="AR132"/>
      <c r="AS132"/>
      <c r="AT132"/>
      <c r="AU132"/>
      <c r="AV132"/>
      <c r="AW132"/>
      <c r="AX132"/>
      <c r="AY132"/>
    </row>
    <row r="133" spans="2:51">
      <c r="B133" s="452"/>
      <c r="C133" s="454"/>
      <c r="D133" s="35" t="s">
        <v>291</v>
      </c>
      <c r="E133" s="408">
        <f>aurora_data!D78</f>
        <v>2</v>
      </c>
      <c r="F133" s="410">
        <f>aurora_data!E78</f>
        <v>0</v>
      </c>
      <c r="G133" s="410">
        <f>aurora_data!F78</f>
        <v>0</v>
      </c>
      <c r="H133" s="410">
        <f>aurora_data!G78</f>
        <v>0</v>
      </c>
      <c r="I133" s="410">
        <f>aurora_data!H78</f>
        <v>0</v>
      </c>
      <c r="J133" s="408">
        <f>aurora_data!I78</f>
        <v>0</v>
      </c>
      <c r="K133" s="410">
        <f>aurora_data!J78</f>
        <v>0</v>
      </c>
      <c r="L133" s="410">
        <f>aurora_data!K78</f>
        <v>0</v>
      </c>
      <c r="M133" s="410">
        <f>aurora_data!L78</f>
        <v>2</v>
      </c>
      <c r="N133" s="411">
        <f>aurora_data!M78</f>
        <v>3</v>
      </c>
      <c r="O133" s="408">
        <f>aurora_data!N78</f>
        <v>0</v>
      </c>
      <c r="P133" s="410">
        <f>aurora_data!O78</f>
        <v>1</v>
      </c>
      <c r="Q133" s="410">
        <f>aurora_data!P78</f>
        <v>0</v>
      </c>
      <c r="R133" s="410">
        <f>aurora_data!Q78</f>
        <v>0</v>
      </c>
      <c r="S133" s="411">
        <f>aurora_data!R78</f>
        <v>0</v>
      </c>
      <c r="T133" s="408">
        <f>aurora_data!S78</f>
        <v>0</v>
      </c>
      <c r="U133" s="410">
        <f>aurora_data!T78</f>
        <v>1</v>
      </c>
      <c r="V133" s="410">
        <f>aurora_data!U78</f>
        <v>1</v>
      </c>
      <c r="W133" s="410">
        <f>aurora_data!V78</f>
        <v>3</v>
      </c>
      <c r="X133" s="411">
        <f>aurora_data!W78</f>
        <v>0</v>
      </c>
      <c r="Y133" s="408">
        <f>aurora_data!X78</f>
        <v>0</v>
      </c>
      <c r="Z133" s="410">
        <f>aurora_data!Y78</f>
        <v>0</v>
      </c>
      <c r="AA133" s="410">
        <f>aurora_data!Z78</f>
        <v>0</v>
      </c>
      <c r="AB133" s="410">
        <f>aurora_data!AA78</f>
        <v>1</v>
      </c>
      <c r="AC133" s="411">
        <f>aurora_data!AB78</f>
        <v>2</v>
      </c>
      <c r="AD133" s="408">
        <f>aurora_data!AC78</f>
        <v>4</v>
      </c>
      <c r="AE133" s="410">
        <f>aurora_data!AD78</f>
        <v>5</v>
      </c>
      <c r="AF133" s="410">
        <f>aurora_data!AE78</f>
        <v>2</v>
      </c>
      <c r="AG133" s="411">
        <f>aurora_data!AF78</f>
        <v>5</v>
      </c>
      <c r="AH133" s="408">
        <f>aurora_data!AG78</f>
        <v>4</v>
      </c>
      <c r="AI133" s="410">
        <f>aurora_data!AH78</f>
        <v>12</v>
      </c>
      <c r="AJ133" s="411">
        <f>aurora_data!AI78</f>
        <v>0</v>
      </c>
      <c r="AK133" s="407"/>
      <c r="AL133" s="408">
        <f>aurora_data!AJ78</f>
        <v>16</v>
      </c>
      <c r="AM133" s="409">
        <f t="shared" si="81"/>
        <v>0.08</v>
      </c>
      <c r="AO133"/>
      <c r="AP133"/>
      <c r="AQ133"/>
      <c r="AR133"/>
      <c r="AS133"/>
      <c r="AT133"/>
      <c r="AU133"/>
      <c r="AV133"/>
      <c r="AW133"/>
      <c r="AX133"/>
      <c r="AY133"/>
    </row>
    <row r="134" spans="2:51">
      <c r="B134" s="452"/>
      <c r="C134" s="454"/>
      <c r="D134" s="35" t="s">
        <v>340</v>
      </c>
      <c r="E134" s="408">
        <f>aurora_data!D79</f>
        <v>0</v>
      </c>
      <c r="F134" s="410">
        <f>aurora_data!E79</f>
        <v>0</v>
      </c>
      <c r="G134" s="410">
        <f>aurora_data!F79</f>
        <v>0</v>
      </c>
      <c r="H134" s="410">
        <f>aurora_data!G79</f>
        <v>0</v>
      </c>
      <c r="I134" s="410">
        <f>aurora_data!H79</f>
        <v>0</v>
      </c>
      <c r="J134" s="408">
        <f>aurora_data!I79</f>
        <v>0</v>
      </c>
      <c r="K134" s="410">
        <f>aurora_data!J79</f>
        <v>0</v>
      </c>
      <c r="L134" s="410">
        <f>aurora_data!K79</f>
        <v>0</v>
      </c>
      <c r="M134" s="410">
        <f>aurora_data!L79</f>
        <v>0</v>
      </c>
      <c r="N134" s="411">
        <f>aurora_data!M79</f>
        <v>0</v>
      </c>
      <c r="O134" s="408">
        <f>aurora_data!N79</f>
        <v>0</v>
      </c>
      <c r="P134" s="410">
        <f>aurora_data!O79</f>
        <v>0</v>
      </c>
      <c r="Q134" s="410">
        <f>aurora_data!P79</f>
        <v>0</v>
      </c>
      <c r="R134" s="410">
        <f>aurora_data!Q79</f>
        <v>1</v>
      </c>
      <c r="S134" s="411">
        <f>aurora_data!R79</f>
        <v>0</v>
      </c>
      <c r="T134" s="408">
        <f>aurora_data!S79</f>
        <v>0</v>
      </c>
      <c r="U134" s="410">
        <f>aurora_data!T79</f>
        <v>0</v>
      </c>
      <c r="V134" s="410">
        <f>aurora_data!U79</f>
        <v>0</v>
      </c>
      <c r="W134" s="410">
        <f>aurora_data!V79</f>
        <v>0</v>
      </c>
      <c r="X134" s="411">
        <f>aurora_data!W79</f>
        <v>0</v>
      </c>
      <c r="Y134" s="408">
        <f>aurora_data!X79</f>
        <v>0</v>
      </c>
      <c r="Z134" s="410">
        <f>aurora_data!Y79</f>
        <v>0</v>
      </c>
      <c r="AA134" s="410">
        <f>aurora_data!Z79</f>
        <v>0</v>
      </c>
      <c r="AB134" s="410">
        <f>aurora_data!AA79</f>
        <v>0</v>
      </c>
      <c r="AC134" s="411">
        <f>aurora_data!AB79</f>
        <v>0</v>
      </c>
      <c r="AD134" s="408">
        <f>aurora_data!AC79</f>
        <v>0</v>
      </c>
      <c r="AE134" s="410">
        <f>aurora_data!AD79</f>
        <v>0</v>
      </c>
      <c r="AF134" s="410">
        <f>aurora_data!AE79</f>
        <v>0</v>
      </c>
      <c r="AG134" s="411">
        <f>aurora_data!AF79</f>
        <v>1</v>
      </c>
      <c r="AH134" s="408">
        <f>aurora_data!AG79</f>
        <v>0</v>
      </c>
      <c r="AI134" s="410">
        <f>aurora_data!AH79</f>
        <v>1</v>
      </c>
      <c r="AJ134" s="411">
        <f>aurora_data!AI79</f>
        <v>0</v>
      </c>
      <c r="AK134" s="407"/>
      <c r="AL134" s="408">
        <f>aurora_data!AJ79</f>
        <v>1</v>
      </c>
      <c r="AM134" s="409">
        <f t="shared" si="81"/>
        <v>5.0000000000000001E-3</v>
      </c>
      <c r="AO134"/>
      <c r="AP134"/>
      <c r="AQ134"/>
      <c r="AR134"/>
      <c r="AS134"/>
      <c r="AT134"/>
      <c r="AU134"/>
      <c r="AV134"/>
      <c r="AW134"/>
      <c r="AX134"/>
      <c r="AY134"/>
    </row>
    <row r="135" spans="2:51">
      <c r="B135" s="452"/>
      <c r="C135" s="454"/>
      <c r="D135" s="35" t="s">
        <v>341</v>
      </c>
      <c r="E135" s="408">
        <f>aurora_data!D80</f>
        <v>0</v>
      </c>
      <c r="F135" s="410">
        <f>aurora_data!E80</f>
        <v>0</v>
      </c>
      <c r="G135" s="410">
        <f>aurora_data!F80</f>
        <v>1</v>
      </c>
      <c r="H135" s="410">
        <f>aurora_data!G80</f>
        <v>0</v>
      </c>
      <c r="I135" s="410">
        <f>aurora_data!H80</f>
        <v>0</v>
      </c>
      <c r="J135" s="408">
        <f>aurora_data!I80</f>
        <v>0</v>
      </c>
      <c r="K135" s="410">
        <f>aurora_data!J80</f>
        <v>0</v>
      </c>
      <c r="L135" s="410">
        <f>aurora_data!K80</f>
        <v>0</v>
      </c>
      <c r="M135" s="410">
        <f>aurora_data!L80</f>
        <v>0</v>
      </c>
      <c r="N135" s="411">
        <f>aurora_data!M80</f>
        <v>0</v>
      </c>
      <c r="O135" s="408">
        <f>aurora_data!N80</f>
        <v>0</v>
      </c>
      <c r="P135" s="410">
        <f>aurora_data!O80</f>
        <v>0</v>
      </c>
      <c r="Q135" s="410">
        <f>aurora_data!P80</f>
        <v>0</v>
      </c>
      <c r="R135" s="410">
        <f>aurora_data!Q80</f>
        <v>0</v>
      </c>
      <c r="S135" s="411">
        <f>aurora_data!R80</f>
        <v>0</v>
      </c>
      <c r="T135" s="408">
        <f>aurora_data!S80</f>
        <v>1</v>
      </c>
      <c r="U135" s="410">
        <f>aurora_data!T80</f>
        <v>0</v>
      </c>
      <c r="V135" s="410">
        <f>aurora_data!U80</f>
        <v>0</v>
      </c>
      <c r="W135" s="410">
        <f>aurora_data!V80</f>
        <v>0</v>
      </c>
      <c r="X135" s="411">
        <f>aurora_data!W80</f>
        <v>0</v>
      </c>
      <c r="Y135" s="408">
        <f>aurora_data!X80</f>
        <v>0</v>
      </c>
      <c r="Z135" s="410">
        <f>aurora_data!Y80</f>
        <v>0</v>
      </c>
      <c r="AA135" s="410">
        <f>aurora_data!Z80</f>
        <v>1</v>
      </c>
      <c r="AB135" s="410">
        <f>aurora_data!AA80</f>
        <v>0</v>
      </c>
      <c r="AC135" s="411">
        <f>aurora_data!AB80</f>
        <v>0</v>
      </c>
      <c r="AD135" s="408">
        <f>aurora_data!AC80</f>
        <v>1</v>
      </c>
      <c r="AE135" s="410">
        <f>aurora_data!AD80</f>
        <v>2</v>
      </c>
      <c r="AF135" s="410">
        <f>aurora_data!AE80</f>
        <v>0</v>
      </c>
      <c r="AG135" s="411">
        <f>aurora_data!AF80</f>
        <v>0</v>
      </c>
      <c r="AH135" s="408">
        <f>aurora_data!AG80</f>
        <v>1</v>
      </c>
      <c r="AI135" s="410">
        <f>aurora_data!AH80</f>
        <v>2</v>
      </c>
      <c r="AJ135" s="411">
        <f>aurora_data!AI80</f>
        <v>0</v>
      </c>
      <c r="AK135" s="407"/>
      <c r="AL135" s="408">
        <f>aurora_data!AJ80</f>
        <v>3</v>
      </c>
      <c r="AM135" s="409">
        <f t="shared" si="81"/>
        <v>1.4999999999999999E-2</v>
      </c>
      <c r="AO135"/>
      <c r="AP135"/>
      <c r="AQ135"/>
      <c r="AR135"/>
      <c r="AS135"/>
      <c r="AT135"/>
      <c r="AU135"/>
      <c r="AV135"/>
      <c r="AW135"/>
      <c r="AX135"/>
      <c r="AY135"/>
    </row>
    <row r="136" spans="2:51" ht="16.5" thickBot="1">
      <c r="B136" s="452"/>
      <c r="C136" s="454"/>
      <c r="D136" s="35" t="s">
        <v>342</v>
      </c>
      <c r="E136" s="408">
        <f>aurora_data!D81</f>
        <v>0</v>
      </c>
      <c r="F136" s="410">
        <f>aurora_data!E81</f>
        <v>1</v>
      </c>
      <c r="G136" s="410">
        <f>aurora_data!F81</f>
        <v>0</v>
      </c>
      <c r="H136" s="410">
        <f>aurora_data!G81</f>
        <v>0</v>
      </c>
      <c r="I136" s="410">
        <f>aurora_data!H81</f>
        <v>1</v>
      </c>
      <c r="J136" s="408">
        <f>aurora_data!I81</f>
        <v>0</v>
      </c>
      <c r="K136" s="410">
        <f>aurora_data!J81</f>
        <v>0</v>
      </c>
      <c r="L136" s="410">
        <f>aurora_data!K81</f>
        <v>0</v>
      </c>
      <c r="M136" s="410">
        <f>aurora_data!L81</f>
        <v>0</v>
      </c>
      <c r="N136" s="411">
        <f>aurora_data!M81</f>
        <v>0</v>
      </c>
      <c r="O136" s="408">
        <f>aurora_data!N81</f>
        <v>0</v>
      </c>
      <c r="P136" s="410">
        <f>aurora_data!O81</f>
        <v>0</v>
      </c>
      <c r="Q136" s="410">
        <f>aurora_data!P81</f>
        <v>0</v>
      </c>
      <c r="R136" s="410">
        <f>aurora_data!Q81</f>
        <v>0</v>
      </c>
      <c r="S136" s="411">
        <f>aurora_data!R81</f>
        <v>0</v>
      </c>
      <c r="T136" s="408">
        <f>aurora_data!S81</f>
        <v>0</v>
      </c>
      <c r="U136" s="410">
        <f>aurora_data!T81</f>
        <v>0</v>
      </c>
      <c r="V136" s="410">
        <f>aurora_data!U81</f>
        <v>0</v>
      </c>
      <c r="W136" s="410">
        <f>aurora_data!V81</f>
        <v>0</v>
      </c>
      <c r="X136" s="411">
        <f>aurora_data!W81</f>
        <v>0</v>
      </c>
      <c r="Y136" s="408">
        <f>aurora_data!X81</f>
        <v>0</v>
      </c>
      <c r="Z136" s="410">
        <f>aurora_data!Y81</f>
        <v>0</v>
      </c>
      <c r="AA136" s="410">
        <f>aurora_data!Z81</f>
        <v>0</v>
      </c>
      <c r="AB136" s="410">
        <f>aurora_data!AA81</f>
        <v>0</v>
      </c>
      <c r="AC136" s="411">
        <f>aurora_data!AB81</f>
        <v>0</v>
      </c>
      <c r="AD136" s="408">
        <f>aurora_data!AC81</f>
        <v>0</v>
      </c>
      <c r="AE136" s="410">
        <f>aurora_data!AD81</f>
        <v>1</v>
      </c>
      <c r="AF136" s="410">
        <f>aurora_data!AE81</f>
        <v>1</v>
      </c>
      <c r="AG136" s="411">
        <f>aurora_data!AF81</f>
        <v>0</v>
      </c>
      <c r="AH136" s="408">
        <f>aurora_data!AG81</f>
        <v>1</v>
      </c>
      <c r="AI136" s="410">
        <f>aurora_data!AH81</f>
        <v>1</v>
      </c>
      <c r="AJ136" s="411">
        <f>aurora_data!AI81</f>
        <v>0</v>
      </c>
      <c r="AK136" s="412"/>
      <c r="AL136" s="408">
        <f>aurora_data!AJ81</f>
        <v>2</v>
      </c>
      <c r="AM136" s="409">
        <f t="shared" si="81"/>
        <v>0.01</v>
      </c>
      <c r="AO136"/>
      <c r="AP136"/>
      <c r="AQ136"/>
      <c r="AR136"/>
      <c r="AS136"/>
      <c r="AT136"/>
      <c r="AU136"/>
      <c r="AV136"/>
      <c r="AW136"/>
      <c r="AX136"/>
      <c r="AY136"/>
    </row>
    <row r="137" spans="2:51" ht="16.5" thickBot="1">
      <c r="B137" s="452"/>
      <c r="C137" s="454"/>
      <c r="D137" s="37" t="s">
        <v>17</v>
      </c>
      <c r="E137" s="182">
        <f>aurora_data!D82</f>
        <v>2</v>
      </c>
      <c r="F137" s="183">
        <f>aurora_data!E82</f>
        <v>1</v>
      </c>
      <c r="G137" s="183">
        <f>aurora_data!F82</f>
        <v>1</v>
      </c>
      <c r="H137" s="183">
        <f>aurora_data!G82</f>
        <v>2</v>
      </c>
      <c r="I137" s="184">
        <f>aurora_data!H82</f>
        <v>7</v>
      </c>
      <c r="J137" s="182">
        <f>aurora_data!I82</f>
        <v>1</v>
      </c>
      <c r="K137" s="183">
        <f>aurora_data!J82</f>
        <v>2</v>
      </c>
      <c r="L137" s="183">
        <f>aurora_data!K82</f>
        <v>7</v>
      </c>
      <c r="M137" s="183">
        <f>aurora_data!L82</f>
        <v>12</v>
      </c>
      <c r="N137" s="184">
        <f>aurora_data!M82</f>
        <v>10</v>
      </c>
      <c r="O137" s="182">
        <f>aurora_data!N82</f>
        <v>4</v>
      </c>
      <c r="P137" s="183">
        <f>aurora_data!O82</f>
        <v>9</v>
      </c>
      <c r="Q137" s="183">
        <f>aurora_data!P82</f>
        <v>14</v>
      </c>
      <c r="R137" s="183">
        <f>aurora_data!Q82</f>
        <v>14</v>
      </c>
      <c r="S137" s="184">
        <f>aurora_data!R82</f>
        <v>10</v>
      </c>
      <c r="T137" s="182">
        <f>aurora_data!S82</f>
        <v>1</v>
      </c>
      <c r="U137" s="183">
        <f>aurora_data!T82</f>
        <v>2</v>
      </c>
      <c r="V137" s="183">
        <f>aurora_data!U82</f>
        <v>4</v>
      </c>
      <c r="W137" s="183">
        <f>aurora_data!V82</f>
        <v>9</v>
      </c>
      <c r="X137" s="184">
        <f>aurora_data!W82</f>
        <v>7</v>
      </c>
      <c r="Y137" s="182">
        <f>aurora_data!X82</f>
        <v>1</v>
      </c>
      <c r="Z137" s="183">
        <f>aurora_data!Y82</f>
        <v>2</v>
      </c>
      <c r="AA137" s="183">
        <f>aurora_data!Z82</f>
        <v>15</v>
      </c>
      <c r="AB137" s="183">
        <f>aurora_data!AA82</f>
        <v>32</v>
      </c>
      <c r="AC137" s="184">
        <f>aurora_data!AB82</f>
        <v>49</v>
      </c>
      <c r="AD137" s="182">
        <f>aurora_data!AC82</f>
        <v>54</v>
      </c>
      <c r="AE137" s="183">
        <f>aurora_data!AD82</f>
        <v>50</v>
      </c>
      <c r="AF137" s="183">
        <f>aurora_data!AE82</f>
        <v>62</v>
      </c>
      <c r="AG137" s="184">
        <f>aurora_data!AF82</f>
        <v>52</v>
      </c>
      <c r="AH137" s="182">
        <f>aurora_data!AG82</f>
        <v>105</v>
      </c>
      <c r="AI137" s="183">
        <f>aurora_data!AH82</f>
        <v>113</v>
      </c>
      <c r="AJ137" s="183">
        <f>aurora_data!AI82</f>
        <v>0</v>
      </c>
      <c r="AK137" s="412"/>
      <c r="AL137" s="182">
        <f>aurora_data!AJ82</f>
        <v>218</v>
      </c>
      <c r="AM137" s="413">
        <f t="shared" si="81"/>
        <v>1.0900000000000001</v>
      </c>
      <c r="AO137"/>
      <c r="AP137"/>
      <c r="AQ137"/>
      <c r="AR137"/>
      <c r="AS137"/>
      <c r="AT137"/>
      <c r="AU137"/>
      <c r="AV137"/>
      <c r="AW137"/>
      <c r="AX137"/>
      <c r="AY137"/>
    </row>
    <row r="138" spans="2:51" ht="16.5" thickBot="1">
      <c r="B138" s="452"/>
      <c r="C138" s="454"/>
      <c r="D138" s="38" t="s">
        <v>343</v>
      </c>
      <c r="E138" s="265">
        <f>aurora_data!D83</f>
        <v>0</v>
      </c>
      <c r="F138" s="266">
        <f>aurora_data!E83</f>
        <v>0</v>
      </c>
      <c r="G138" s="266">
        <f>aurora_data!F83</f>
        <v>0</v>
      </c>
      <c r="H138" s="266">
        <f>aurora_data!G83</f>
        <v>0</v>
      </c>
      <c r="I138" s="266">
        <f>aurora_data!H83</f>
        <v>0</v>
      </c>
      <c r="J138" s="265">
        <f>aurora_data!I83</f>
        <v>0</v>
      </c>
      <c r="K138" s="266">
        <f>aurora_data!J83</f>
        <v>0</v>
      </c>
      <c r="L138" s="266">
        <f>aurora_data!K83</f>
        <v>0</v>
      </c>
      <c r="M138" s="266">
        <f>aurora_data!L83</f>
        <v>0</v>
      </c>
      <c r="N138" s="267">
        <f>aurora_data!M83</f>
        <v>0</v>
      </c>
      <c r="O138" s="265">
        <f>aurora_data!N83</f>
        <v>0</v>
      </c>
      <c r="P138" s="266">
        <f>aurora_data!O83</f>
        <v>0</v>
      </c>
      <c r="Q138" s="266">
        <f>aurora_data!P83</f>
        <v>0</v>
      </c>
      <c r="R138" s="266">
        <f>aurora_data!Q83</f>
        <v>1</v>
      </c>
      <c r="S138" s="267">
        <f>aurora_data!R83</f>
        <v>0</v>
      </c>
      <c r="T138" s="265">
        <f>aurora_data!S83</f>
        <v>0</v>
      </c>
      <c r="U138" s="266">
        <f>aurora_data!T83</f>
        <v>0</v>
      </c>
      <c r="V138" s="266">
        <f>aurora_data!U83</f>
        <v>1</v>
      </c>
      <c r="W138" s="266">
        <f>aurora_data!V83</f>
        <v>0</v>
      </c>
      <c r="X138" s="267">
        <f>aurora_data!W83</f>
        <v>0</v>
      </c>
      <c r="Y138" s="265">
        <f>aurora_data!X83</f>
        <v>0</v>
      </c>
      <c r="Z138" s="266">
        <f>aurora_data!Y83</f>
        <v>0</v>
      </c>
      <c r="AA138" s="266">
        <f>aurora_data!Z83</f>
        <v>0</v>
      </c>
      <c r="AB138" s="266">
        <f>aurora_data!AA83</f>
        <v>2</v>
      </c>
      <c r="AC138" s="267">
        <f>aurora_data!AB83</f>
        <v>1</v>
      </c>
      <c r="AD138" s="265">
        <f>aurora_data!AC83</f>
        <v>2</v>
      </c>
      <c r="AE138" s="266">
        <f>aurora_data!AD83</f>
        <v>2</v>
      </c>
      <c r="AF138" s="266">
        <f>aurora_data!AE83</f>
        <v>1</v>
      </c>
      <c r="AG138" s="267">
        <f>aurora_data!AF83</f>
        <v>0</v>
      </c>
      <c r="AH138" s="265">
        <f>aurora_data!AG83</f>
        <v>1</v>
      </c>
      <c r="AI138" s="266">
        <f>aurora_data!AH83</f>
        <v>4</v>
      </c>
      <c r="AJ138" s="268">
        <f>aurora_data!AI83</f>
        <v>0</v>
      </c>
      <c r="AK138" s="269"/>
      <c r="AL138" s="265">
        <f>aurora_data!AJ83</f>
        <v>5</v>
      </c>
      <c r="AM138" s="270">
        <f t="shared" si="81"/>
        <v>2.5000000000000001E-2</v>
      </c>
      <c r="AO138"/>
      <c r="AP138"/>
      <c r="AQ138"/>
      <c r="AR138"/>
      <c r="AS138"/>
      <c r="AT138"/>
      <c r="AU138"/>
      <c r="AV138"/>
      <c r="AW138"/>
      <c r="AX138"/>
      <c r="AY138"/>
    </row>
    <row r="139" spans="2:51" outlineLevel="1">
      <c r="B139" s="452"/>
      <c r="C139" s="454"/>
      <c r="D139" s="199" t="s">
        <v>344</v>
      </c>
      <c r="E139" s="271">
        <f t="shared" ref="E139:AC139" si="82">ROUNDDOWN((E141+$E$9)*($AL131),0)</f>
        <v>4</v>
      </c>
      <c r="F139" s="272">
        <f t="shared" si="82"/>
        <v>4</v>
      </c>
      <c r="G139" s="272">
        <f t="shared" si="82"/>
        <v>5</v>
      </c>
      <c r="H139" s="272">
        <f t="shared" si="82"/>
        <v>5</v>
      </c>
      <c r="I139" s="272">
        <f t="shared" si="82"/>
        <v>9</v>
      </c>
      <c r="J139" s="271">
        <f t="shared" si="82"/>
        <v>4</v>
      </c>
      <c r="K139" s="272">
        <f t="shared" si="82"/>
        <v>5</v>
      </c>
      <c r="L139" s="272">
        <f t="shared" si="82"/>
        <v>10</v>
      </c>
      <c r="M139" s="272">
        <f t="shared" si="82"/>
        <v>13</v>
      </c>
      <c r="N139" s="268">
        <f t="shared" si="82"/>
        <v>10</v>
      </c>
      <c r="O139" s="271">
        <f t="shared" si="82"/>
        <v>9</v>
      </c>
      <c r="P139" s="272">
        <f t="shared" si="82"/>
        <v>11</v>
      </c>
      <c r="Q139" s="272">
        <f t="shared" si="82"/>
        <v>17</v>
      </c>
      <c r="R139" s="272">
        <f t="shared" si="82"/>
        <v>17</v>
      </c>
      <c r="S139" s="268">
        <f t="shared" si="82"/>
        <v>13</v>
      </c>
      <c r="T139" s="271">
        <f t="shared" si="82"/>
        <v>4</v>
      </c>
      <c r="U139" s="272">
        <f t="shared" si="82"/>
        <v>4</v>
      </c>
      <c r="V139" s="272">
        <f t="shared" si="82"/>
        <v>7</v>
      </c>
      <c r="W139" s="272">
        <f t="shared" si="82"/>
        <v>10</v>
      </c>
      <c r="X139" s="268">
        <f t="shared" si="82"/>
        <v>10</v>
      </c>
      <c r="Y139" s="271">
        <f t="shared" si="82"/>
        <v>5</v>
      </c>
      <c r="Z139" s="272">
        <f t="shared" si="82"/>
        <v>6</v>
      </c>
      <c r="AA139" s="272">
        <f t="shared" si="82"/>
        <v>19</v>
      </c>
      <c r="AB139" s="272">
        <f t="shared" si="82"/>
        <v>35</v>
      </c>
      <c r="AC139" s="268">
        <f t="shared" si="82"/>
        <v>51</v>
      </c>
      <c r="AD139" s="271">
        <f>ROUNDDOWN((AD141+$AD$9)*($AL131),0)</f>
        <v>62</v>
      </c>
      <c r="AE139" s="272">
        <f>ROUNDDOWN((AE141+$AD$9)*($AL131),0)</f>
        <v>51</v>
      </c>
      <c r="AF139" s="272">
        <f t="shared" ref="AF139:AG139" si="83">ROUNDDOWN((AF141+$AD$9)*($AL131),0)</f>
        <v>99</v>
      </c>
      <c r="AG139" s="272">
        <f t="shared" si="83"/>
        <v>66</v>
      </c>
      <c r="AH139" s="271">
        <f>ROUNDDOWN((AH141+$AH$9)*($AL131),0)</f>
        <v>100</v>
      </c>
      <c r="AI139" s="272">
        <f>ROUNDDOWN((AI141+$AH$9)*($AL131),0)</f>
        <v>100</v>
      </c>
      <c r="AJ139" s="272">
        <f>ROUNDDOWN((AJ141+$AH$8)*($AL131),0)</f>
        <v>0</v>
      </c>
      <c r="AK139" s="273"/>
      <c r="AL139" s="274"/>
      <c r="AM139" s="275"/>
      <c r="AO139"/>
      <c r="AP139"/>
      <c r="AQ139"/>
      <c r="AR139"/>
      <c r="AS139"/>
      <c r="AT139"/>
      <c r="AU139"/>
      <c r="AV139"/>
      <c r="AW139"/>
      <c r="AX139"/>
      <c r="AY139"/>
    </row>
    <row r="140" spans="2:51" ht="15.75" customHeight="1" outlineLevel="1" thickBot="1">
      <c r="B140" s="452"/>
      <c r="C140" s="454"/>
      <c r="D140" s="199" t="s">
        <v>345</v>
      </c>
      <c r="E140" s="276">
        <f t="shared" ref="E140:AC140" si="84">IF(ROUND(((E141-$E$9)*($AL131))+0.25,0) &lt;=0,1,((E141-$E$9)*($AL131))+0.25)</f>
        <v>1</v>
      </c>
      <c r="F140" s="277">
        <f t="shared" si="84"/>
        <v>1</v>
      </c>
      <c r="G140" s="277">
        <f t="shared" si="84"/>
        <v>1</v>
      </c>
      <c r="H140" s="277">
        <f t="shared" si="84"/>
        <v>1</v>
      </c>
      <c r="I140" s="277">
        <f t="shared" si="84"/>
        <v>2.04</v>
      </c>
      <c r="J140" s="276">
        <f t="shared" si="84"/>
        <v>1</v>
      </c>
      <c r="K140" s="277">
        <f t="shared" si="84"/>
        <v>1</v>
      </c>
      <c r="L140" s="277">
        <f t="shared" si="84"/>
        <v>3.0599999999999992</v>
      </c>
      <c r="M140" s="277">
        <f t="shared" si="84"/>
        <v>6.0399999999999983</v>
      </c>
      <c r="N140" s="278">
        <f t="shared" si="84"/>
        <v>3.18</v>
      </c>
      <c r="O140" s="276">
        <f t="shared" si="84"/>
        <v>1.5299999999999998</v>
      </c>
      <c r="P140" s="277">
        <f t="shared" si="84"/>
        <v>4.24</v>
      </c>
      <c r="Q140" s="277">
        <f t="shared" si="84"/>
        <v>9.7899999999999991</v>
      </c>
      <c r="R140" s="277">
        <f t="shared" si="84"/>
        <v>9.64</v>
      </c>
      <c r="S140" s="278">
        <f t="shared" si="84"/>
        <v>5.8</v>
      </c>
      <c r="T140" s="276">
        <f t="shared" si="84"/>
        <v>1</v>
      </c>
      <c r="U140" s="277">
        <f t="shared" si="84"/>
        <v>1</v>
      </c>
      <c r="V140" s="277">
        <f t="shared" si="84"/>
        <v>1</v>
      </c>
      <c r="W140" s="277">
        <f t="shared" si="84"/>
        <v>2.5100000000000002</v>
      </c>
      <c r="X140" s="278">
        <f t="shared" si="84"/>
        <v>3.0900000000000003</v>
      </c>
      <c r="Y140" s="276">
        <f t="shared" si="84"/>
        <v>1</v>
      </c>
      <c r="Z140" s="277">
        <f t="shared" si="84"/>
        <v>1</v>
      </c>
      <c r="AA140" s="277">
        <f t="shared" si="84"/>
        <v>11.329999999999998</v>
      </c>
      <c r="AB140" s="277">
        <f t="shared" si="84"/>
        <v>27.55</v>
      </c>
      <c r="AC140" s="278">
        <f t="shared" si="84"/>
        <v>43.29</v>
      </c>
      <c r="AD140" s="276">
        <f>IF(((AD141-$AD$9)*($AL131))+0.5 &lt;0,1,((AD141-$AD$9)*($AL131))+0.5 )</f>
        <v>22.65</v>
      </c>
      <c r="AE140" s="277">
        <f>IF(((AE141-$AD$9)*($AL131))+0.5 &lt;0,1,((AE141-$AD$9)*($AL131))+0.5 )</f>
        <v>11.799999999999999</v>
      </c>
      <c r="AF140" s="277">
        <f t="shared" ref="AF140" si="85">IF(((AF141-$AD$9)*($AL131))+0.5 &lt;0,1,((AF141-$AD$9)*($AL131))+0.5 )</f>
        <v>60.4</v>
      </c>
      <c r="AG140" s="277">
        <f t="shared" ref="AG140" si="86">IF(((AG141-$AD$9)*($AL131))+0.5 &lt;0,1,((AG141-$AD$9)*($AL131))+0.5 )</f>
        <v>27.149999999999995</v>
      </c>
      <c r="AH140" s="276">
        <f>IF(((AH141-$AH$9)*($AL131))+0.5 &lt;0,1,((AH141-$AH$9)*($AL131)) )</f>
        <v>100</v>
      </c>
      <c r="AI140" s="277">
        <f>IF(((AI141-$AH$9)*($AL131))+0.5 &lt;0,1,((AI141-$AH$9)*($AL131)))</f>
        <v>100</v>
      </c>
      <c r="AJ140" s="277">
        <f>IF(((AJ141-$AH$8)*($AL131))+0.5 &lt;0,1,((AJ141-$AH$8)*($AL131))+0.5 )</f>
        <v>0.5</v>
      </c>
      <c r="AK140" s="273"/>
      <c r="AL140" s="279"/>
      <c r="AM140" s="280"/>
      <c r="AO140"/>
      <c r="AP140"/>
      <c r="AQ140"/>
      <c r="AR140"/>
      <c r="AS140"/>
      <c r="AT140"/>
      <c r="AU140"/>
      <c r="AV140"/>
      <c r="AW140"/>
      <c r="AX140"/>
      <c r="AY140"/>
    </row>
    <row r="141" spans="2:51" ht="15.75" customHeight="1" outlineLevel="1" thickTop="1">
      <c r="B141" s="110"/>
      <c r="C141" s="109"/>
      <c r="D141" s="95" t="s">
        <v>346</v>
      </c>
      <c r="E141" s="414">
        <f t="shared" ref="E141:AJ141" si="87">IFERROR(E131/$AL131,0)</f>
        <v>2.2500000000000003E-3</v>
      </c>
      <c r="F141" s="415">
        <f t="shared" si="87"/>
        <v>3.0000000000000001E-3</v>
      </c>
      <c r="G141" s="415">
        <f t="shared" si="87"/>
        <v>5.3E-3</v>
      </c>
      <c r="H141" s="415">
        <f t="shared" si="87"/>
        <v>9.75E-3</v>
      </c>
      <c r="I141" s="415">
        <f t="shared" si="87"/>
        <v>2.895E-2</v>
      </c>
      <c r="J141" s="414">
        <f t="shared" si="87"/>
        <v>3.0499999999999998E-3</v>
      </c>
      <c r="K141" s="415">
        <f t="shared" si="87"/>
        <v>8.2500000000000004E-3</v>
      </c>
      <c r="L141" s="415">
        <f t="shared" si="87"/>
        <v>3.4049999999999997E-2</v>
      </c>
      <c r="M141" s="415">
        <f t="shared" si="87"/>
        <v>4.8949999999999994E-2</v>
      </c>
      <c r="N141" s="416">
        <f t="shared" si="87"/>
        <v>3.465E-2</v>
      </c>
      <c r="O141" s="414">
        <f t="shared" si="87"/>
        <v>2.64E-2</v>
      </c>
      <c r="P141" s="415">
        <f t="shared" si="87"/>
        <v>3.9949999999999999E-2</v>
      </c>
      <c r="Q141" s="415">
        <f t="shared" si="87"/>
        <v>6.7699999999999996E-2</v>
      </c>
      <c r="R141" s="415">
        <f t="shared" si="87"/>
        <v>6.695000000000001E-2</v>
      </c>
      <c r="S141" s="416">
        <f t="shared" si="87"/>
        <v>4.7750000000000001E-2</v>
      </c>
      <c r="T141" s="414">
        <f t="shared" si="87"/>
        <v>2E-3</v>
      </c>
      <c r="U141" s="415">
        <f t="shared" si="87"/>
        <v>4.0000000000000001E-3</v>
      </c>
      <c r="V141" s="415">
        <f t="shared" si="87"/>
        <v>1.6449999999999999E-2</v>
      </c>
      <c r="W141" s="415">
        <f t="shared" si="87"/>
        <v>3.1300000000000001E-2</v>
      </c>
      <c r="X141" s="416">
        <f t="shared" si="87"/>
        <v>3.4200000000000001E-2</v>
      </c>
      <c r="Y141" s="414">
        <f t="shared" si="87"/>
        <v>5.6000000000000008E-3</v>
      </c>
      <c r="Z141" s="415">
        <f t="shared" si="87"/>
        <v>1.2350000000000002E-2</v>
      </c>
      <c r="AA141" s="415">
        <f t="shared" si="87"/>
        <v>7.5399999999999995E-2</v>
      </c>
      <c r="AB141" s="415">
        <f t="shared" si="87"/>
        <v>0.1565</v>
      </c>
      <c r="AC141" s="416">
        <f t="shared" si="87"/>
        <v>0.23519999999999999</v>
      </c>
      <c r="AD141" s="414">
        <f t="shared" si="87"/>
        <v>0.21074999999999999</v>
      </c>
      <c r="AE141" s="415">
        <f t="shared" si="87"/>
        <v>0.1565</v>
      </c>
      <c r="AF141" s="415">
        <f t="shared" si="87"/>
        <v>0.39950000000000002</v>
      </c>
      <c r="AG141" s="416">
        <f t="shared" si="87"/>
        <v>0.23324999999999999</v>
      </c>
      <c r="AH141" s="414">
        <f t="shared" si="87"/>
        <v>0.5</v>
      </c>
      <c r="AI141" s="415">
        <f t="shared" si="87"/>
        <v>0.5</v>
      </c>
      <c r="AJ141" s="415">
        <f t="shared" si="87"/>
        <v>0</v>
      </c>
      <c r="AK141" s="407"/>
      <c r="AL141" s="417"/>
      <c r="AM141" s="418"/>
      <c r="AO141"/>
      <c r="AP141"/>
      <c r="AQ141"/>
      <c r="AR141"/>
      <c r="AS141"/>
      <c r="AT141"/>
      <c r="AU141"/>
      <c r="AV141"/>
      <c r="AW141"/>
      <c r="AX141"/>
      <c r="AY141"/>
    </row>
    <row r="142" spans="2:51" ht="16.5" customHeight="1" outlineLevel="1">
      <c r="B142" s="110"/>
      <c r="C142" s="109"/>
      <c r="D142" s="180" t="s">
        <v>347</v>
      </c>
      <c r="E142" s="414">
        <f t="shared" ref="E142:AJ142" si="88">IFERROR(E132/$AL131,0)</f>
        <v>0</v>
      </c>
      <c r="F142" s="415">
        <f t="shared" si="88"/>
        <v>0</v>
      </c>
      <c r="G142" s="415">
        <f t="shared" si="88"/>
        <v>0</v>
      </c>
      <c r="H142" s="415">
        <f t="shared" si="88"/>
        <v>0.01</v>
      </c>
      <c r="I142" s="415">
        <f t="shared" si="88"/>
        <v>0.03</v>
      </c>
      <c r="J142" s="414">
        <f t="shared" si="88"/>
        <v>5.0000000000000001E-3</v>
      </c>
      <c r="K142" s="415">
        <f t="shared" si="88"/>
        <v>0.01</v>
      </c>
      <c r="L142" s="415">
        <f t="shared" si="88"/>
        <v>3.5000000000000003E-2</v>
      </c>
      <c r="M142" s="415">
        <f t="shared" si="88"/>
        <v>0.05</v>
      </c>
      <c r="N142" s="416">
        <f t="shared" si="88"/>
        <v>3.5000000000000003E-2</v>
      </c>
      <c r="O142" s="414">
        <f t="shared" si="88"/>
        <v>0.02</v>
      </c>
      <c r="P142" s="415">
        <f t="shared" si="88"/>
        <v>0.04</v>
      </c>
      <c r="Q142" s="415">
        <f t="shared" si="88"/>
        <v>7.0000000000000007E-2</v>
      </c>
      <c r="R142" s="415">
        <f t="shared" si="88"/>
        <v>6.5000000000000002E-2</v>
      </c>
      <c r="S142" s="416">
        <f t="shared" si="88"/>
        <v>0.05</v>
      </c>
      <c r="T142" s="414">
        <f t="shared" si="88"/>
        <v>0</v>
      </c>
      <c r="U142" s="415">
        <f t="shared" si="88"/>
        <v>5.0000000000000001E-3</v>
      </c>
      <c r="V142" s="415">
        <f t="shared" si="88"/>
        <v>1.4999999999999999E-2</v>
      </c>
      <c r="W142" s="415">
        <f t="shared" si="88"/>
        <v>0.03</v>
      </c>
      <c r="X142" s="416">
        <f t="shared" si="88"/>
        <v>3.5000000000000003E-2</v>
      </c>
      <c r="Y142" s="414">
        <f t="shared" si="88"/>
        <v>5.0000000000000001E-3</v>
      </c>
      <c r="Z142" s="415">
        <f t="shared" si="88"/>
        <v>0.01</v>
      </c>
      <c r="AA142" s="415">
        <f t="shared" si="88"/>
        <v>7.0000000000000007E-2</v>
      </c>
      <c r="AB142" s="415">
        <f t="shared" si="88"/>
        <v>0.155</v>
      </c>
      <c r="AC142" s="416">
        <f t="shared" si="88"/>
        <v>0.23499999999999999</v>
      </c>
      <c r="AD142" s="414">
        <f t="shared" si="88"/>
        <v>0.245</v>
      </c>
      <c r="AE142" s="415">
        <f t="shared" si="88"/>
        <v>0.21</v>
      </c>
      <c r="AF142" s="415">
        <f t="shared" si="88"/>
        <v>0.29499999999999998</v>
      </c>
      <c r="AG142" s="416">
        <f t="shared" si="88"/>
        <v>0.23</v>
      </c>
      <c r="AH142" s="415">
        <f t="shared" si="88"/>
        <v>0.495</v>
      </c>
      <c r="AI142" s="415">
        <f t="shared" si="88"/>
        <v>0.48499999999999999</v>
      </c>
      <c r="AJ142" s="415">
        <f t="shared" si="88"/>
        <v>0</v>
      </c>
      <c r="AK142" s="407"/>
      <c r="AL142" s="417"/>
      <c r="AM142" s="418"/>
      <c r="AO142"/>
      <c r="AP142"/>
      <c r="AQ142"/>
      <c r="AR142"/>
      <c r="AS142"/>
      <c r="AT142"/>
      <c r="AU142"/>
      <c r="AV142"/>
      <c r="AW142"/>
      <c r="AX142"/>
      <c r="AY142"/>
    </row>
    <row r="143" spans="2:51" ht="15.75" customHeight="1" outlineLevel="1" thickBot="1">
      <c r="B143" s="110"/>
      <c r="C143" s="109"/>
      <c r="D143" s="180" t="s">
        <v>348</v>
      </c>
      <c r="E143" s="419">
        <f t="shared" ref="E143:AJ143" si="89">E142-E141</f>
        <v>-2.2500000000000003E-3</v>
      </c>
      <c r="F143" s="420">
        <f t="shared" si="89"/>
        <v>-3.0000000000000001E-3</v>
      </c>
      <c r="G143" s="420">
        <f t="shared" si="89"/>
        <v>-5.3E-3</v>
      </c>
      <c r="H143" s="420">
        <f t="shared" si="89"/>
        <v>2.5000000000000022E-4</v>
      </c>
      <c r="I143" s="420">
        <f t="shared" si="89"/>
        <v>1.0499999999999989E-3</v>
      </c>
      <c r="J143" s="419">
        <f t="shared" si="89"/>
        <v>1.9500000000000003E-3</v>
      </c>
      <c r="K143" s="420">
        <f t="shared" si="89"/>
        <v>1.7499999999999998E-3</v>
      </c>
      <c r="L143" s="420">
        <f t="shared" si="89"/>
        <v>9.5000000000000639E-4</v>
      </c>
      <c r="M143" s="420">
        <f t="shared" si="89"/>
        <v>1.0500000000000093E-3</v>
      </c>
      <c r="N143" s="421">
        <f t="shared" si="89"/>
        <v>3.5000000000000309E-4</v>
      </c>
      <c r="O143" s="419">
        <f t="shared" si="89"/>
        <v>-6.3999999999999994E-3</v>
      </c>
      <c r="P143" s="420">
        <f t="shared" si="89"/>
        <v>5.0000000000001432E-5</v>
      </c>
      <c r="Q143" s="420">
        <f t="shared" si="89"/>
        <v>2.3000000000000104E-3</v>
      </c>
      <c r="R143" s="420">
        <f t="shared" si="89"/>
        <v>-1.9500000000000073E-3</v>
      </c>
      <c r="S143" s="421">
        <f t="shared" si="89"/>
        <v>2.250000000000002E-3</v>
      </c>
      <c r="T143" s="419">
        <f t="shared" si="89"/>
        <v>-2E-3</v>
      </c>
      <c r="U143" s="420">
        <f t="shared" si="89"/>
        <v>1E-3</v>
      </c>
      <c r="V143" s="420">
        <f t="shared" si="89"/>
        <v>-1.4499999999999999E-3</v>
      </c>
      <c r="W143" s="420">
        <f t="shared" si="89"/>
        <v>-1.3000000000000025E-3</v>
      </c>
      <c r="X143" s="421">
        <f t="shared" si="89"/>
        <v>8.000000000000021E-4</v>
      </c>
      <c r="Y143" s="419">
        <f t="shared" si="89"/>
        <v>-6.0000000000000071E-4</v>
      </c>
      <c r="Z143" s="420">
        <f t="shared" si="89"/>
        <v>-2.3500000000000014E-3</v>
      </c>
      <c r="AA143" s="420">
        <f t="shared" si="89"/>
        <v>-5.3999999999999881E-3</v>
      </c>
      <c r="AB143" s="420">
        <f t="shared" si="89"/>
        <v>-1.5000000000000013E-3</v>
      </c>
      <c r="AC143" s="421">
        <f t="shared" si="89"/>
        <v>-2.0000000000000573E-4</v>
      </c>
      <c r="AD143" s="419">
        <f t="shared" si="89"/>
        <v>3.4250000000000003E-2</v>
      </c>
      <c r="AE143" s="420">
        <f t="shared" si="89"/>
        <v>5.3499999999999992E-2</v>
      </c>
      <c r="AF143" s="420">
        <f t="shared" si="89"/>
        <v>-0.10450000000000004</v>
      </c>
      <c r="AG143" s="421">
        <f t="shared" si="89"/>
        <v>-3.2499999999999751E-3</v>
      </c>
      <c r="AH143" s="420">
        <f t="shared" si="89"/>
        <v>-5.0000000000000044E-3</v>
      </c>
      <c r="AI143" s="420">
        <f t="shared" si="89"/>
        <v>-1.5000000000000013E-2</v>
      </c>
      <c r="AJ143" s="420">
        <f t="shared" si="89"/>
        <v>0</v>
      </c>
      <c r="AK143" s="407"/>
      <c r="AL143" s="422"/>
      <c r="AM143" s="423"/>
      <c r="AO143"/>
      <c r="AP143"/>
      <c r="AQ143"/>
      <c r="AR143"/>
      <c r="AS143"/>
      <c r="AT143"/>
      <c r="AU143"/>
      <c r="AV143"/>
      <c r="AW143"/>
      <c r="AX143"/>
      <c r="AY143"/>
    </row>
    <row r="144" spans="2:51" ht="16.5" thickTop="1">
      <c r="B144" s="451" t="s">
        <v>338</v>
      </c>
      <c r="C144" s="453" t="str">
        <f>aurora_data!A84</f>
        <v>16.00.00-16.11.30</v>
      </c>
      <c r="D144" s="34" t="s">
        <v>306</v>
      </c>
      <c r="E144" s="152">
        <f>aurora_data!D84</f>
        <v>0.46</v>
      </c>
      <c r="F144" s="153">
        <f>aurora_data!E84</f>
        <v>0.51</v>
      </c>
      <c r="G144" s="153">
        <f>aurora_data!F84</f>
        <v>1.23</v>
      </c>
      <c r="H144" s="153">
        <f>aurora_data!G84</f>
        <v>1.95</v>
      </c>
      <c r="I144" s="153">
        <f>aurora_data!H84</f>
        <v>5.32</v>
      </c>
      <c r="J144" s="152">
        <f>aurora_data!I84</f>
        <v>0.55000000000000004</v>
      </c>
      <c r="K144" s="153">
        <f>aurora_data!J84</f>
        <v>1.73</v>
      </c>
      <c r="L144" s="153">
        <f>aurora_data!K84</f>
        <v>6.84</v>
      </c>
      <c r="M144" s="153">
        <f>aurora_data!L84</f>
        <v>10.18</v>
      </c>
      <c r="N144" s="154">
        <f>aurora_data!M84</f>
        <v>6.87</v>
      </c>
      <c r="O144" s="152">
        <f>aurora_data!N84</f>
        <v>5.49</v>
      </c>
      <c r="P144" s="153">
        <f>aurora_data!O84</f>
        <v>7.39</v>
      </c>
      <c r="Q144" s="153">
        <f>aurora_data!P84</f>
        <v>13.12</v>
      </c>
      <c r="R144" s="153">
        <f>aurora_data!Q84</f>
        <v>13.25</v>
      </c>
      <c r="S144" s="154">
        <f>aurora_data!R84</f>
        <v>9.66</v>
      </c>
      <c r="T144" s="152">
        <f>aurora_data!S84</f>
        <v>0.46</v>
      </c>
      <c r="U144" s="153">
        <f>aurora_data!T84</f>
        <v>0.87</v>
      </c>
      <c r="V144" s="153">
        <f>aurora_data!U84</f>
        <v>3.39</v>
      </c>
      <c r="W144" s="153">
        <f>aurora_data!V84</f>
        <v>5.76</v>
      </c>
      <c r="X144" s="154">
        <f>aurora_data!W84</f>
        <v>6.83</v>
      </c>
      <c r="Y144" s="152">
        <f>aurora_data!X84</f>
        <v>1.0900000000000001</v>
      </c>
      <c r="Z144" s="153">
        <f>aurora_data!Y84</f>
        <v>2.3199999999999998</v>
      </c>
      <c r="AA144" s="153">
        <f>aurora_data!Z84</f>
        <v>15.86</v>
      </c>
      <c r="AB144" s="153">
        <f>aurora_data!AA84</f>
        <v>31.97</v>
      </c>
      <c r="AC144" s="154">
        <f>aurora_data!AB84</f>
        <v>46.89</v>
      </c>
      <c r="AD144" s="152">
        <f>aurora_data!AC84</f>
        <v>42.59</v>
      </c>
      <c r="AE144" s="153">
        <f>aurora_data!AD84</f>
        <v>31.57</v>
      </c>
      <c r="AF144" s="153">
        <f>aurora_data!AE84</f>
        <v>78.150000000000006</v>
      </c>
      <c r="AG144" s="154">
        <f>aurora_data!AF84</f>
        <v>47.7</v>
      </c>
      <c r="AH144" s="155">
        <f>aurora_data!AG84</f>
        <v>100</v>
      </c>
      <c r="AI144" s="171">
        <f>aurora_data!AH84</f>
        <v>100</v>
      </c>
      <c r="AJ144" s="201">
        <f>aurora_data!AI89</f>
        <v>0</v>
      </c>
      <c r="AK144" s="407"/>
      <c r="AL144" s="155">
        <f>aurora_data!AJ84</f>
        <v>200</v>
      </c>
      <c r="AM144" s="167">
        <f t="shared" ref="AM144:AM151" si="90">SUM(AL144)/$AL$144</f>
        <v>1</v>
      </c>
      <c r="AO144"/>
      <c r="AP144"/>
      <c r="AQ144"/>
      <c r="AR144"/>
      <c r="AS144"/>
      <c r="AT144"/>
      <c r="AU144"/>
      <c r="AV144"/>
      <c r="AW144"/>
      <c r="AX144"/>
      <c r="AY144"/>
    </row>
    <row r="145" spans="2:51">
      <c r="B145" s="452"/>
      <c r="C145" s="454"/>
      <c r="D145" s="35" t="s">
        <v>339</v>
      </c>
      <c r="E145" s="262">
        <f>aurora_data!D85</f>
        <v>1</v>
      </c>
      <c r="F145" s="263">
        <f>aurora_data!E85</f>
        <v>1</v>
      </c>
      <c r="G145" s="263">
        <f>aurora_data!F85</f>
        <v>0</v>
      </c>
      <c r="H145" s="263">
        <f>aurora_data!G85</f>
        <v>1</v>
      </c>
      <c r="I145" s="263">
        <f>aurora_data!H85</f>
        <v>5</v>
      </c>
      <c r="J145" s="262">
        <f>aurora_data!I85</f>
        <v>0</v>
      </c>
      <c r="K145" s="263">
        <f>aurora_data!J85</f>
        <v>2</v>
      </c>
      <c r="L145" s="263">
        <f>aurora_data!K85</f>
        <v>7</v>
      </c>
      <c r="M145" s="263">
        <f>aurora_data!L85</f>
        <v>10</v>
      </c>
      <c r="N145" s="264">
        <f>aurora_data!M85</f>
        <v>7</v>
      </c>
      <c r="O145" s="262">
        <f>aurora_data!N85</f>
        <v>5</v>
      </c>
      <c r="P145" s="263">
        <f>aurora_data!O85</f>
        <v>7</v>
      </c>
      <c r="Q145" s="263">
        <f>aurora_data!P85</f>
        <v>13</v>
      </c>
      <c r="R145" s="263">
        <f>aurora_data!Q85</f>
        <v>13</v>
      </c>
      <c r="S145" s="264">
        <f>aurora_data!R85</f>
        <v>10</v>
      </c>
      <c r="T145" s="262">
        <f>aurora_data!S85</f>
        <v>1</v>
      </c>
      <c r="U145" s="263">
        <f>aurora_data!T85</f>
        <v>0</v>
      </c>
      <c r="V145" s="263">
        <f>aurora_data!U85</f>
        <v>3</v>
      </c>
      <c r="W145" s="263">
        <f>aurora_data!V85</f>
        <v>6</v>
      </c>
      <c r="X145" s="264">
        <f>aurora_data!W85</f>
        <v>7</v>
      </c>
      <c r="Y145" s="262">
        <f>aurora_data!X85</f>
        <v>0</v>
      </c>
      <c r="Z145" s="263">
        <f>aurora_data!Y85</f>
        <v>2</v>
      </c>
      <c r="AA145" s="263">
        <f>aurora_data!Z85</f>
        <v>14</v>
      </c>
      <c r="AB145" s="263">
        <f>aurora_data!AA85</f>
        <v>32</v>
      </c>
      <c r="AC145" s="264">
        <f>aurora_data!AB85</f>
        <v>47</v>
      </c>
      <c r="AD145" s="262">
        <f>aurora_data!AC85</f>
        <v>46</v>
      </c>
      <c r="AE145" s="263">
        <f>aurora_data!AD85</f>
        <v>36</v>
      </c>
      <c r="AF145" s="263">
        <f>aurora_data!AE85</f>
        <v>61</v>
      </c>
      <c r="AG145" s="264">
        <f>aurora_data!AF85</f>
        <v>51</v>
      </c>
      <c r="AH145" s="262">
        <f>aurora_data!AG85</f>
        <v>97</v>
      </c>
      <c r="AI145" s="263">
        <f>aurora_data!AH85</f>
        <v>97</v>
      </c>
      <c r="AJ145" s="264">
        <f>aurora_data!AI90</f>
        <v>0</v>
      </c>
      <c r="AK145" s="407"/>
      <c r="AL145" s="408">
        <f>aurora_data!AJ85</f>
        <v>194</v>
      </c>
      <c r="AM145" s="409">
        <f t="shared" si="90"/>
        <v>0.97</v>
      </c>
      <c r="AO145"/>
      <c r="AP145"/>
      <c r="AQ145"/>
      <c r="AR145"/>
      <c r="AS145"/>
      <c r="AT145"/>
      <c r="AU145"/>
      <c r="AV145"/>
      <c r="AW145"/>
      <c r="AX145"/>
      <c r="AY145"/>
    </row>
    <row r="146" spans="2:51">
      <c r="B146" s="452"/>
      <c r="C146" s="454"/>
      <c r="D146" s="35" t="s">
        <v>291</v>
      </c>
      <c r="E146" s="408">
        <f>aurora_data!D86</f>
        <v>0</v>
      </c>
      <c r="F146" s="410">
        <f>aurora_data!E86</f>
        <v>0</v>
      </c>
      <c r="G146" s="410">
        <f>aurora_data!F86</f>
        <v>0</v>
      </c>
      <c r="H146" s="410">
        <f>aurora_data!G86</f>
        <v>0</v>
      </c>
      <c r="I146" s="410">
        <f>aurora_data!H86</f>
        <v>4</v>
      </c>
      <c r="J146" s="408">
        <f>aurora_data!I86</f>
        <v>0</v>
      </c>
      <c r="K146" s="410">
        <f>aurora_data!J86</f>
        <v>1</v>
      </c>
      <c r="L146" s="410">
        <f>aurora_data!K86</f>
        <v>0</v>
      </c>
      <c r="M146" s="410">
        <f>aurora_data!L86</f>
        <v>0</v>
      </c>
      <c r="N146" s="411">
        <f>aurora_data!M86</f>
        <v>3</v>
      </c>
      <c r="O146" s="408">
        <f>aurora_data!N86</f>
        <v>2</v>
      </c>
      <c r="P146" s="410">
        <f>aurora_data!O86</f>
        <v>0</v>
      </c>
      <c r="Q146" s="410">
        <f>aurora_data!P86</f>
        <v>2</v>
      </c>
      <c r="R146" s="410">
        <f>aurora_data!Q86</f>
        <v>2</v>
      </c>
      <c r="S146" s="411">
        <f>aurora_data!R86</f>
        <v>1</v>
      </c>
      <c r="T146" s="408">
        <f>aurora_data!S86</f>
        <v>0</v>
      </c>
      <c r="U146" s="410">
        <f>aurora_data!T86</f>
        <v>0</v>
      </c>
      <c r="V146" s="410">
        <f>aurora_data!U86</f>
        <v>1</v>
      </c>
      <c r="W146" s="410">
        <f>aurora_data!V86</f>
        <v>3</v>
      </c>
      <c r="X146" s="411">
        <f>aurora_data!W86</f>
        <v>0</v>
      </c>
      <c r="Y146" s="408">
        <f>aurora_data!X86</f>
        <v>0</v>
      </c>
      <c r="Z146" s="410">
        <f>aurora_data!Y86</f>
        <v>0</v>
      </c>
      <c r="AA146" s="410">
        <f>aurora_data!Z86</f>
        <v>0</v>
      </c>
      <c r="AB146" s="410">
        <f>aurora_data!AA86</f>
        <v>8</v>
      </c>
      <c r="AC146" s="411">
        <f>aurora_data!AB86</f>
        <v>5</v>
      </c>
      <c r="AD146" s="408">
        <f>aurora_data!AC86</f>
        <v>10</v>
      </c>
      <c r="AE146" s="410">
        <f>aurora_data!AD86</f>
        <v>2</v>
      </c>
      <c r="AF146" s="410">
        <f>aurora_data!AE86</f>
        <v>5</v>
      </c>
      <c r="AG146" s="411">
        <f>aurora_data!AF86</f>
        <v>15</v>
      </c>
      <c r="AH146" s="408">
        <f>aurora_data!AG86</f>
        <v>26</v>
      </c>
      <c r="AI146" s="410">
        <f>aurora_data!AH86</f>
        <v>6</v>
      </c>
      <c r="AJ146" s="411">
        <f>aurora_data!AI91</f>
        <v>0</v>
      </c>
      <c r="AK146" s="407"/>
      <c r="AL146" s="408">
        <f>aurora_data!AJ86</f>
        <v>32</v>
      </c>
      <c r="AM146" s="409">
        <f t="shared" si="90"/>
        <v>0.16</v>
      </c>
      <c r="AO146"/>
      <c r="AP146"/>
      <c r="AQ146"/>
      <c r="AR146"/>
      <c r="AS146"/>
      <c r="AT146"/>
      <c r="AU146"/>
      <c r="AV146"/>
      <c r="AW146"/>
      <c r="AX146"/>
      <c r="AY146"/>
    </row>
    <row r="147" spans="2:51">
      <c r="B147" s="452"/>
      <c r="C147" s="454"/>
      <c r="D147" s="35" t="s">
        <v>340</v>
      </c>
      <c r="E147" s="408">
        <f>aurora_data!D87</f>
        <v>0</v>
      </c>
      <c r="F147" s="410">
        <f>aurora_data!E87</f>
        <v>0</v>
      </c>
      <c r="G147" s="410">
        <f>aurora_data!F87</f>
        <v>0</v>
      </c>
      <c r="H147" s="410">
        <f>aurora_data!G87</f>
        <v>0</v>
      </c>
      <c r="I147" s="410">
        <f>aurora_data!H87</f>
        <v>0</v>
      </c>
      <c r="J147" s="408">
        <f>aurora_data!I87</f>
        <v>0</v>
      </c>
      <c r="K147" s="410">
        <f>aurora_data!J87</f>
        <v>0</v>
      </c>
      <c r="L147" s="410">
        <f>aurora_data!K87</f>
        <v>0</v>
      </c>
      <c r="M147" s="410">
        <f>aurora_data!L87</f>
        <v>0</v>
      </c>
      <c r="N147" s="411">
        <f>aurora_data!M87</f>
        <v>0</v>
      </c>
      <c r="O147" s="408">
        <f>aurora_data!N87</f>
        <v>0</v>
      </c>
      <c r="P147" s="410">
        <f>aurora_data!O87</f>
        <v>0</v>
      </c>
      <c r="Q147" s="410">
        <f>aurora_data!P87</f>
        <v>0</v>
      </c>
      <c r="R147" s="410">
        <f>aurora_data!Q87</f>
        <v>0</v>
      </c>
      <c r="S147" s="411">
        <f>aurora_data!R87</f>
        <v>0</v>
      </c>
      <c r="T147" s="408">
        <f>aurora_data!S87</f>
        <v>0</v>
      </c>
      <c r="U147" s="410">
        <f>aurora_data!T87</f>
        <v>0</v>
      </c>
      <c r="V147" s="410">
        <f>aurora_data!U87</f>
        <v>0</v>
      </c>
      <c r="W147" s="410">
        <f>aurora_data!V87</f>
        <v>0</v>
      </c>
      <c r="X147" s="411">
        <f>aurora_data!W87</f>
        <v>0</v>
      </c>
      <c r="Y147" s="408">
        <f>aurora_data!X87</f>
        <v>0</v>
      </c>
      <c r="Z147" s="410">
        <f>aurora_data!Y87</f>
        <v>0</v>
      </c>
      <c r="AA147" s="410">
        <f>aurora_data!Z87</f>
        <v>0</v>
      </c>
      <c r="AB147" s="410">
        <f>aurora_data!AA87</f>
        <v>0</v>
      </c>
      <c r="AC147" s="411">
        <f>aurora_data!AB87</f>
        <v>0</v>
      </c>
      <c r="AD147" s="408">
        <f>aurora_data!AC87</f>
        <v>0</v>
      </c>
      <c r="AE147" s="410">
        <f>aurora_data!AD87</f>
        <v>0</v>
      </c>
      <c r="AF147" s="410">
        <f>aurora_data!AE87</f>
        <v>0</v>
      </c>
      <c r="AG147" s="411">
        <f>aurora_data!AF87</f>
        <v>0</v>
      </c>
      <c r="AH147" s="408">
        <f>aurora_data!AG87</f>
        <v>0</v>
      </c>
      <c r="AI147" s="410">
        <f>aurora_data!AH87</f>
        <v>0</v>
      </c>
      <c r="AJ147" s="411">
        <f>aurora_data!AI92</f>
        <v>0</v>
      </c>
      <c r="AK147" s="407"/>
      <c r="AL147" s="408">
        <f>aurora_data!AJ87</f>
        <v>0</v>
      </c>
      <c r="AM147" s="409">
        <f t="shared" si="90"/>
        <v>0</v>
      </c>
      <c r="AO147"/>
      <c r="AP147"/>
      <c r="AQ147"/>
      <c r="AR147"/>
      <c r="AS147"/>
      <c r="AT147"/>
      <c r="AU147"/>
      <c r="AV147"/>
      <c r="AW147"/>
      <c r="AX147"/>
      <c r="AY147"/>
    </row>
    <row r="148" spans="2:51">
      <c r="B148" s="452"/>
      <c r="C148" s="454"/>
      <c r="D148" s="35" t="s">
        <v>341</v>
      </c>
      <c r="E148" s="408">
        <f>aurora_data!D88</f>
        <v>0</v>
      </c>
      <c r="F148" s="410">
        <f>aurora_data!E88</f>
        <v>0</v>
      </c>
      <c r="G148" s="410">
        <f>aurora_data!F88</f>
        <v>0</v>
      </c>
      <c r="H148" s="410">
        <f>aurora_data!G88</f>
        <v>0</v>
      </c>
      <c r="I148" s="410">
        <f>aurora_data!H88</f>
        <v>0</v>
      </c>
      <c r="J148" s="408">
        <f>aurora_data!I88</f>
        <v>1</v>
      </c>
      <c r="K148" s="410">
        <f>aurora_data!J88</f>
        <v>0</v>
      </c>
      <c r="L148" s="410">
        <f>aurora_data!K88</f>
        <v>2</v>
      </c>
      <c r="M148" s="410">
        <f>aurora_data!L88</f>
        <v>2</v>
      </c>
      <c r="N148" s="411">
        <f>aurora_data!M88</f>
        <v>0</v>
      </c>
      <c r="O148" s="408">
        <f>aurora_data!N88</f>
        <v>0</v>
      </c>
      <c r="P148" s="410">
        <f>aurora_data!O88</f>
        <v>0</v>
      </c>
      <c r="Q148" s="410">
        <f>aurora_data!P88</f>
        <v>1</v>
      </c>
      <c r="R148" s="410">
        <f>aurora_data!Q88</f>
        <v>0</v>
      </c>
      <c r="S148" s="411">
        <f>aurora_data!R88</f>
        <v>0</v>
      </c>
      <c r="T148" s="408">
        <f>aurora_data!S88</f>
        <v>0</v>
      </c>
      <c r="U148" s="410">
        <f>aurora_data!T88</f>
        <v>0</v>
      </c>
      <c r="V148" s="410">
        <f>aurora_data!U88</f>
        <v>0</v>
      </c>
      <c r="W148" s="410">
        <f>aurora_data!V88</f>
        <v>0</v>
      </c>
      <c r="X148" s="411">
        <f>aurora_data!W88</f>
        <v>0</v>
      </c>
      <c r="Y148" s="408">
        <f>aurora_data!X88</f>
        <v>0</v>
      </c>
      <c r="Z148" s="410">
        <f>aurora_data!Y88</f>
        <v>0</v>
      </c>
      <c r="AA148" s="410">
        <f>aurora_data!Z88</f>
        <v>1</v>
      </c>
      <c r="AB148" s="410">
        <f>aurora_data!AA88</f>
        <v>1</v>
      </c>
      <c r="AC148" s="411">
        <f>aurora_data!AB88</f>
        <v>0</v>
      </c>
      <c r="AD148" s="408">
        <f>aurora_data!AC88</f>
        <v>2</v>
      </c>
      <c r="AE148" s="410">
        <f>aurora_data!AD88</f>
        <v>3</v>
      </c>
      <c r="AF148" s="410">
        <f>aurora_data!AE88</f>
        <v>3</v>
      </c>
      <c r="AG148" s="411">
        <f>aurora_data!AF88</f>
        <v>0</v>
      </c>
      <c r="AH148" s="408">
        <f>aurora_data!AG88</f>
        <v>3</v>
      </c>
      <c r="AI148" s="410">
        <f>aurora_data!AH88</f>
        <v>5</v>
      </c>
      <c r="AJ148" s="411">
        <f>aurora_data!AI93</f>
        <v>0</v>
      </c>
      <c r="AK148" s="407"/>
      <c r="AL148" s="408">
        <f>aurora_data!AJ88</f>
        <v>8</v>
      </c>
      <c r="AM148" s="409">
        <f t="shared" si="90"/>
        <v>0.04</v>
      </c>
      <c r="AO148"/>
      <c r="AP148"/>
      <c r="AQ148"/>
      <c r="AR148"/>
      <c r="AS148"/>
      <c r="AT148"/>
      <c r="AU148"/>
      <c r="AV148"/>
      <c r="AW148"/>
      <c r="AX148"/>
      <c r="AY148"/>
    </row>
    <row r="149" spans="2:51" ht="16.5" thickBot="1">
      <c r="B149" s="452"/>
      <c r="C149" s="454"/>
      <c r="D149" s="35" t="s">
        <v>342</v>
      </c>
      <c r="E149" s="408">
        <f>aurora_data!D89</f>
        <v>0</v>
      </c>
      <c r="F149" s="410">
        <f>aurora_data!E89</f>
        <v>0</v>
      </c>
      <c r="G149" s="410">
        <f>aurora_data!F89</f>
        <v>0</v>
      </c>
      <c r="H149" s="410">
        <f>aurora_data!G89</f>
        <v>0</v>
      </c>
      <c r="I149" s="410">
        <f>aurora_data!H89</f>
        <v>0</v>
      </c>
      <c r="J149" s="408">
        <f>aurora_data!I89</f>
        <v>0</v>
      </c>
      <c r="K149" s="410">
        <f>aurora_data!J89</f>
        <v>0</v>
      </c>
      <c r="L149" s="410">
        <f>aurora_data!K89</f>
        <v>0</v>
      </c>
      <c r="M149" s="410">
        <f>aurora_data!L89</f>
        <v>0</v>
      </c>
      <c r="N149" s="411">
        <f>aurora_data!M89</f>
        <v>0</v>
      </c>
      <c r="O149" s="408">
        <f>aurora_data!N89</f>
        <v>0</v>
      </c>
      <c r="P149" s="410">
        <f>aurora_data!O89</f>
        <v>0</v>
      </c>
      <c r="Q149" s="410">
        <f>aurora_data!P89</f>
        <v>0</v>
      </c>
      <c r="R149" s="410">
        <f>aurora_data!Q89</f>
        <v>0</v>
      </c>
      <c r="S149" s="411">
        <f>aurora_data!R89</f>
        <v>0</v>
      </c>
      <c r="T149" s="408">
        <f>aurora_data!S89</f>
        <v>0</v>
      </c>
      <c r="U149" s="410">
        <f>aurora_data!T89</f>
        <v>0</v>
      </c>
      <c r="V149" s="410">
        <f>aurora_data!U89</f>
        <v>0</v>
      </c>
      <c r="W149" s="410">
        <f>aurora_data!V89</f>
        <v>0</v>
      </c>
      <c r="X149" s="411">
        <f>aurora_data!W89</f>
        <v>0</v>
      </c>
      <c r="Y149" s="408">
        <f>aurora_data!X89</f>
        <v>0</v>
      </c>
      <c r="Z149" s="410">
        <f>aurora_data!Y89</f>
        <v>0</v>
      </c>
      <c r="AA149" s="410">
        <f>aurora_data!Z89</f>
        <v>0</v>
      </c>
      <c r="AB149" s="410">
        <f>aurora_data!AA89</f>
        <v>0</v>
      </c>
      <c r="AC149" s="411">
        <f>aurora_data!AB89</f>
        <v>0</v>
      </c>
      <c r="AD149" s="408">
        <f>aurora_data!AC89</f>
        <v>0</v>
      </c>
      <c r="AE149" s="410">
        <f>aurora_data!AD89</f>
        <v>0</v>
      </c>
      <c r="AF149" s="410">
        <f>aurora_data!AE89</f>
        <v>0</v>
      </c>
      <c r="AG149" s="411">
        <f>aurora_data!AF89</f>
        <v>0</v>
      </c>
      <c r="AH149" s="408">
        <f>aurora_data!AG89</f>
        <v>0</v>
      </c>
      <c r="AI149" s="410">
        <f>aurora_data!AH89</f>
        <v>0</v>
      </c>
      <c r="AJ149" s="411">
        <f>aurora_data!AI94</f>
        <v>0</v>
      </c>
      <c r="AK149" s="412"/>
      <c r="AL149" s="408">
        <f>aurora_data!AJ89</f>
        <v>0</v>
      </c>
      <c r="AM149" s="409">
        <f t="shared" si="90"/>
        <v>0</v>
      </c>
      <c r="AO149"/>
      <c r="AP149"/>
      <c r="AQ149"/>
      <c r="AR149"/>
      <c r="AS149"/>
      <c r="AT149"/>
      <c r="AU149"/>
      <c r="AV149"/>
      <c r="AW149"/>
      <c r="AX149"/>
      <c r="AY149"/>
    </row>
    <row r="150" spans="2:51" ht="16.5" thickBot="1">
      <c r="B150" s="452"/>
      <c r="C150" s="454"/>
      <c r="D150" s="37" t="s">
        <v>17</v>
      </c>
      <c r="E150" s="182">
        <f>aurora_data!D90</f>
        <v>1</v>
      </c>
      <c r="F150" s="183">
        <f>aurora_data!E90</f>
        <v>1</v>
      </c>
      <c r="G150" s="183">
        <f>aurora_data!F90</f>
        <v>0</v>
      </c>
      <c r="H150" s="183">
        <f>aurora_data!G90</f>
        <v>1</v>
      </c>
      <c r="I150" s="184">
        <f>aurora_data!H90</f>
        <v>9</v>
      </c>
      <c r="J150" s="182">
        <f>aurora_data!I90</f>
        <v>1</v>
      </c>
      <c r="K150" s="183">
        <f>aurora_data!J90</f>
        <v>3</v>
      </c>
      <c r="L150" s="183">
        <f>aurora_data!K90</f>
        <v>9</v>
      </c>
      <c r="M150" s="183">
        <f>aurora_data!L90</f>
        <v>12</v>
      </c>
      <c r="N150" s="184">
        <f>aurora_data!M90</f>
        <v>10</v>
      </c>
      <c r="O150" s="182">
        <f>aurora_data!N90</f>
        <v>7</v>
      </c>
      <c r="P150" s="183">
        <f>aurora_data!O90</f>
        <v>7</v>
      </c>
      <c r="Q150" s="183">
        <f>aurora_data!P90</f>
        <v>16</v>
      </c>
      <c r="R150" s="183">
        <f>aurora_data!Q90</f>
        <v>15</v>
      </c>
      <c r="S150" s="184">
        <f>aurora_data!R90</f>
        <v>11</v>
      </c>
      <c r="T150" s="182">
        <f>aurora_data!S90</f>
        <v>1</v>
      </c>
      <c r="U150" s="183">
        <f>aurora_data!T90</f>
        <v>0</v>
      </c>
      <c r="V150" s="183">
        <f>aurora_data!U90</f>
        <v>4</v>
      </c>
      <c r="W150" s="183">
        <f>aurora_data!V90</f>
        <v>9</v>
      </c>
      <c r="X150" s="184">
        <f>aurora_data!W90</f>
        <v>7</v>
      </c>
      <c r="Y150" s="182">
        <f>aurora_data!X90</f>
        <v>0</v>
      </c>
      <c r="Z150" s="183">
        <f>aurora_data!Y90</f>
        <v>2</v>
      </c>
      <c r="AA150" s="183">
        <f>aurora_data!Z90</f>
        <v>15</v>
      </c>
      <c r="AB150" s="183">
        <f>aurora_data!AA90</f>
        <v>41</v>
      </c>
      <c r="AC150" s="184">
        <f>aurora_data!AB90</f>
        <v>52</v>
      </c>
      <c r="AD150" s="182">
        <f>aurora_data!AC90</f>
        <v>58</v>
      </c>
      <c r="AE150" s="183">
        <f>aurora_data!AD90</f>
        <v>41</v>
      </c>
      <c r="AF150" s="183">
        <f>aurora_data!AE90</f>
        <v>69</v>
      </c>
      <c r="AG150" s="184">
        <f>aurora_data!AF90</f>
        <v>66</v>
      </c>
      <c r="AH150" s="182">
        <f>aurora_data!AG90</f>
        <v>126</v>
      </c>
      <c r="AI150" s="183">
        <f>aurora_data!AH90</f>
        <v>108</v>
      </c>
      <c r="AJ150" s="183">
        <f>aurora_data!AI95</f>
        <v>0</v>
      </c>
      <c r="AK150" s="412"/>
      <c r="AL150" s="182">
        <f>aurora_data!AJ90</f>
        <v>234</v>
      </c>
      <c r="AM150" s="413">
        <f t="shared" si="90"/>
        <v>1.17</v>
      </c>
      <c r="AO150"/>
      <c r="AP150"/>
      <c r="AQ150"/>
      <c r="AR150"/>
      <c r="AS150"/>
      <c r="AT150"/>
      <c r="AU150"/>
      <c r="AV150"/>
      <c r="AW150"/>
      <c r="AX150"/>
      <c r="AY150"/>
    </row>
    <row r="151" spans="2:51" ht="16.5" thickBot="1">
      <c r="B151" s="452"/>
      <c r="C151" s="454"/>
      <c r="D151" s="38" t="s">
        <v>343</v>
      </c>
      <c r="E151" s="265">
        <f>aurora_data!D91</f>
        <v>0</v>
      </c>
      <c r="F151" s="266">
        <f>aurora_data!E91</f>
        <v>0</v>
      </c>
      <c r="G151" s="266">
        <f>aurora_data!F91</f>
        <v>0</v>
      </c>
      <c r="H151" s="266">
        <f>aurora_data!G91</f>
        <v>0</v>
      </c>
      <c r="I151" s="266">
        <f>aurora_data!H91</f>
        <v>0</v>
      </c>
      <c r="J151" s="265">
        <f>aurora_data!I91</f>
        <v>0</v>
      </c>
      <c r="K151" s="266">
        <f>aurora_data!J91</f>
        <v>0</v>
      </c>
      <c r="L151" s="266">
        <f>aurora_data!K91</f>
        <v>1</v>
      </c>
      <c r="M151" s="266">
        <f>aurora_data!L91</f>
        <v>0</v>
      </c>
      <c r="N151" s="267">
        <f>aurora_data!M91</f>
        <v>0</v>
      </c>
      <c r="O151" s="265">
        <f>aurora_data!N91</f>
        <v>0</v>
      </c>
      <c r="P151" s="266">
        <f>aurora_data!O91</f>
        <v>0</v>
      </c>
      <c r="Q151" s="266">
        <f>aurora_data!P91</f>
        <v>0</v>
      </c>
      <c r="R151" s="266">
        <f>aurora_data!Q91</f>
        <v>0</v>
      </c>
      <c r="S151" s="267">
        <f>aurora_data!R91</f>
        <v>0</v>
      </c>
      <c r="T151" s="265">
        <f>aurora_data!S91</f>
        <v>0</v>
      </c>
      <c r="U151" s="266">
        <f>aurora_data!T91</f>
        <v>0</v>
      </c>
      <c r="V151" s="266">
        <f>aurora_data!U91</f>
        <v>0</v>
      </c>
      <c r="W151" s="266">
        <f>aurora_data!V91</f>
        <v>0</v>
      </c>
      <c r="X151" s="267">
        <f>aurora_data!W91</f>
        <v>1</v>
      </c>
      <c r="Y151" s="265">
        <f>aurora_data!X91</f>
        <v>0</v>
      </c>
      <c r="Z151" s="266">
        <f>aurora_data!Y91</f>
        <v>0</v>
      </c>
      <c r="AA151" s="266">
        <f>aurora_data!Z91</f>
        <v>0</v>
      </c>
      <c r="AB151" s="266">
        <f>aurora_data!AA91</f>
        <v>5</v>
      </c>
      <c r="AC151" s="267">
        <f>aurora_data!AB91</f>
        <v>1</v>
      </c>
      <c r="AD151" s="265">
        <f>aurora_data!AC91</f>
        <v>2</v>
      </c>
      <c r="AE151" s="266">
        <f>aurora_data!AD91</f>
        <v>3</v>
      </c>
      <c r="AF151" s="266">
        <f>aurora_data!AE91</f>
        <v>3</v>
      </c>
      <c r="AG151" s="267">
        <f>aurora_data!AF91</f>
        <v>0</v>
      </c>
      <c r="AH151" s="265">
        <f>aurora_data!AG91</f>
        <v>4</v>
      </c>
      <c r="AI151" s="266">
        <f>aurora_data!AH91</f>
        <v>4</v>
      </c>
      <c r="AJ151" s="268">
        <f>aurora_data!AI96</f>
        <v>0</v>
      </c>
      <c r="AK151" s="269"/>
      <c r="AL151" s="265">
        <f>aurora_data!AJ91</f>
        <v>8</v>
      </c>
      <c r="AM151" s="270">
        <f t="shared" si="90"/>
        <v>0.04</v>
      </c>
      <c r="AO151"/>
      <c r="AP151"/>
      <c r="AQ151"/>
      <c r="AR151"/>
      <c r="AS151"/>
      <c r="AT151"/>
      <c r="AU151"/>
      <c r="AV151"/>
      <c r="AW151"/>
      <c r="AX151"/>
      <c r="AY151"/>
    </row>
    <row r="152" spans="2:51" outlineLevel="1">
      <c r="B152" s="452"/>
      <c r="C152" s="454"/>
      <c r="D152" s="199" t="s">
        <v>344</v>
      </c>
      <c r="E152" s="271">
        <f t="shared" ref="E152:AC152" si="91">ROUNDDOWN((E154+$E$9)*($AL144),0)</f>
        <v>4</v>
      </c>
      <c r="F152" s="272">
        <f t="shared" si="91"/>
        <v>4</v>
      </c>
      <c r="G152" s="272">
        <f t="shared" si="91"/>
        <v>5</v>
      </c>
      <c r="H152" s="272">
        <f t="shared" si="91"/>
        <v>5</v>
      </c>
      <c r="I152" s="272">
        <f t="shared" si="91"/>
        <v>9</v>
      </c>
      <c r="J152" s="271">
        <f t="shared" si="91"/>
        <v>4</v>
      </c>
      <c r="K152" s="272">
        <f t="shared" si="91"/>
        <v>5</v>
      </c>
      <c r="L152" s="272">
        <f t="shared" si="91"/>
        <v>10</v>
      </c>
      <c r="M152" s="272">
        <f t="shared" si="91"/>
        <v>14</v>
      </c>
      <c r="N152" s="268">
        <f t="shared" si="91"/>
        <v>10</v>
      </c>
      <c r="O152" s="271">
        <f t="shared" si="91"/>
        <v>9</v>
      </c>
      <c r="P152" s="272">
        <f t="shared" si="91"/>
        <v>11</v>
      </c>
      <c r="Q152" s="272">
        <f t="shared" si="91"/>
        <v>17</v>
      </c>
      <c r="R152" s="272">
        <f t="shared" si="91"/>
        <v>17</v>
      </c>
      <c r="S152" s="268">
        <f t="shared" si="91"/>
        <v>13</v>
      </c>
      <c r="T152" s="271">
        <f t="shared" si="91"/>
        <v>4</v>
      </c>
      <c r="U152" s="272">
        <f t="shared" si="91"/>
        <v>4</v>
      </c>
      <c r="V152" s="272">
        <f t="shared" si="91"/>
        <v>7</v>
      </c>
      <c r="W152" s="272">
        <f t="shared" si="91"/>
        <v>9</v>
      </c>
      <c r="X152" s="268">
        <f t="shared" si="91"/>
        <v>10</v>
      </c>
      <c r="Y152" s="271">
        <f t="shared" si="91"/>
        <v>5</v>
      </c>
      <c r="Z152" s="272">
        <f t="shared" si="91"/>
        <v>6</v>
      </c>
      <c r="AA152" s="272">
        <f t="shared" si="91"/>
        <v>19</v>
      </c>
      <c r="AB152" s="272">
        <f t="shared" si="91"/>
        <v>35</v>
      </c>
      <c r="AC152" s="268">
        <f t="shared" si="91"/>
        <v>50</v>
      </c>
      <c r="AD152" s="271">
        <f>ROUNDDOWN((AD154+$AD$9)*($AL144),0)</f>
        <v>62</v>
      </c>
      <c r="AE152" s="272">
        <f>ROUNDDOWN((AE154+$AD$9)*($AL144),0)</f>
        <v>51</v>
      </c>
      <c r="AF152" s="272">
        <f t="shared" ref="AF152:AG152" si="92">ROUNDDOWN((AF154+$AD$9)*($AL144),0)</f>
        <v>98</v>
      </c>
      <c r="AG152" s="272">
        <f t="shared" si="92"/>
        <v>67</v>
      </c>
      <c r="AH152" s="271">
        <f>ROUNDDOWN((AH154+$AH$9)*($AL144),0)</f>
        <v>100</v>
      </c>
      <c r="AI152" s="272">
        <f>ROUNDDOWN((AI154+$AH$9)*($AL144),0)</f>
        <v>100</v>
      </c>
      <c r="AJ152" s="272">
        <f>ROUNDDOWN((AJ154+$AH$8)*($AL144),0)</f>
        <v>0</v>
      </c>
      <c r="AK152" s="273"/>
      <c r="AL152" s="274"/>
      <c r="AM152" s="275"/>
      <c r="AO152"/>
      <c r="AP152"/>
      <c r="AQ152"/>
      <c r="AR152"/>
      <c r="AS152"/>
      <c r="AT152"/>
      <c r="AU152"/>
      <c r="AV152"/>
      <c r="AW152"/>
      <c r="AX152"/>
      <c r="AY152"/>
    </row>
    <row r="153" spans="2:51" ht="15.75" customHeight="1" outlineLevel="1" thickBot="1">
      <c r="B153" s="452"/>
      <c r="C153" s="454"/>
      <c r="D153" s="199" t="s">
        <v>345</v>
      </c>
      <c r="E153" s="276">
        <f t="shared" ref="E153:AC153" si="93">IF(ROUND(((E154-$E$9)*($AL144))+0.25,0) &lt;=0,1,((E154-$E$9)*($AL144))+0.25)</f>
        <v>1</v>
      </c>
      <c r="F153" s="277">
        <f t="shared" si="93"/>
        <v>1</v>
      </c>
      <c r="G153" s="277">
        <f t="shared" si="93"/>
        <v>1</v>
      </c>
      <c r="H153" s="277">
        <f t="shared" si="93"/>
        <v>1</v>
      </c>
      <c r="I153" s="277">
        <f t="shared" si="93"/>
        <v>1.5700000000000003</v>
      </c>
      <c r="J153" s="276">
        <f t="shared" si="93"/>
        <v>1</v>
      </c>
      <c r="K153" s="277">
        <f t="shared" si="93"/>
        <v>1</v>
      </c>
      <c r="L153" s="277">
        <f t="shared" si="93"/>
        <v>3.0900000000000003</v>
      </c>
      <c r="M153" s="277">
        <f t="shared" si="93"/>
        <v>6.43</v>
      </c>
      <c r="N153" s="278">
        <f t="shared" si="93"/>
        <v>3.1199999999999997</v>
      </c>
      <c r="O153" s="276">
        <f t="shared" si="93"/>
        <v>1.7400000000000004</v>
      </c>
      <c r="P153" s="277">
        <f t="shared" si="93"/>
        <v>3.6399999999999992</v>
      </c>
      <c r="Q153" s="277">
        <f t="shared" si="93"/>
        <v>9.3699999999999974</v>
      </c>
      <c r="R153" s="277">
        <f t="shared" si="93"/>
        <v>9.5</v>
      </c>
      <c r="S153" s="278">
        <f t="shared" si="93"/>
        <v>5.91</v>
      </c>
      <c r="T153" s="276">
        <f t="shared" si="93"/>
        <v>1</v>
      </c>
      <c r="U153" s="277">
        <f t="shared" si="93"/>
        <v>1</v>
      </c>
      <c r="V153" s="277">
        <f t="shared" si="93"/>
        <v>1</v>
      </c>
      <c r="W153" s="277">
        <f t="shared" si="93"/>
        <v>2.0099999999999998</v>
      </c>
      <c r="X153" s="278">
        <f t="shared" si="93"/>
        <v>3.08</v>
      </c>
      <c r="Y153" s="276">
        <f t="shared" si="93"/>
        <v>1</v>
      </c>
      <c r="Z153" s="277">
        <f t="shared" si="93"/>
        <v>1</v>
      </c>
      <c r="AA153" s="277">
        <f t="shared" si="93"/>
        <v>12.109999999999998</v>
      </c>
      <c r="AB153" s="277">
        <f t="shared" si="93"/>
        <v>28.22</v>
      </c>
      <c r="AC153" s="278">
        <f t="shared" si="93"/>
        <v>43.14</v>
      </c>
      <c r="AD153" s="276">
        <f>IF(((AD154-$AD$9)*($AL144))+0.5 &lt;0,1,((AD154-$AD$9)*($AL144))+0.5 )</f>
        <v>23.090000000000003</v>
      </c>
      <c r="AE153" s="277">
        <f>IF(((AE154-$AD$9)*($AL144))+0.5 &lt;0,1,((AE154-$AD$9)*($AL144))+0.5 )</f>
        <v>12.069999999999997</v>
      </c>
      <c r="AF153" s="277">
        <f t="shared" ref="AF153" si="94">IF(((AF154-$AD$9)*($AL144))+0.5 &lt;0,1,((AF154-$AD$9)*($AL144))+0.5 )</f>
        <v>58.650000000000013</v>
      </c>
      <c r="AG153" s="277">
        <f t="shared" ref="AG153" si="95">IF(((AG154-$AD$9)*($AL144))+0.5 &lt;0,1,((AG154-$AD$9)*($AL144))+0.5 )</f>
        <v>28.200000000000003</v>
      </c>
      <c r="AH153" s="276">
        <f>IF(((AH154-$AH$9)*($AL144))+0.5 &lt;0,1,((AH154-$AH$9)*($AL144)) )</f>
        <v>100</v>
      </c>
      <c r="AI153" s="277">
        <f>IF(((AI154-$AH$9)*($AL144))+0.5 &lt;0,1,((AI154-$AH$9)*($AL144)))</f>
        <v>100</v>
      </c>
      <c r="AJ153" s="277">
        <f>IF(((AJ154-$AH$8)*($AL144))+0.5 &lt;0,1,((AJ154-$AH$8)*($AL144))+0.5 )</f>
        <v>0.5</v>
      </c>
      <c r="AK153" s="273"/>
      <c r="AL153" s="279"/>
      <c r="AM153" s="280"/>
      <c r="AO153"/>
      <c r="AP153"/>
      <c r="AQ153"/>
      <c r="AR153"/>
      <c r="AS153"/>
      <c r="AT153"/>
      <c r="AU153"/>
      <c r="AV153"/>
      <c r="AW153"/>
      <c r="AX153"/>
      <c r="AY153"/>
    </row>
    <row r="154" spans="2:51" ht="15.75" customHeight="1" outlineLevel="1" thickTop="1">
      <c r="B154" s="110"/>
      <c r="C154" s="109"/>
      <c r="D154" s="95" t="s">
        <v>346</v>
      </c>
      <c r="E154" s="414">
        <f t="shared" ref="E154:AJ154" si="96">IFERROR(E144/$AL144,0)</f>
        <v>2.3E-3</v>
      </c>
      <c r="F154" s="415">
        <f t="shared" si="96"/>
        <v>2.5500000000000002E-3</v>
      </c>
      <c r="G154" s="415">
        <f t="shared" si="96"/>
        <v>6.1500000000000001E-3</v>
      </c>
      <c r="H154" s="415">
        <f t="shared" si="96"/>
        <v>9.75E-3</v>
      </c>
      <c r="I154" s="415">
        <f t="shared" si="96"/>
        <v>2.6600000000000002E-2</v>
      </c>
      <c r="J154" s="414">
        <f t="shared" si="96"/>
        <v>2.7500000000000003E-3</v>
      </c>
      <c r="K154" s="415">
        <f t="shared" si="96"/>
        <v>8.6499999999999997E-3</v>
      </c>
      <c r="L154" s="415">
        <f t="shared" si="96"/>
        <v>3.4200000000000001E-2</v>
      </c>
      <c r="M154" s="415">
        <f t="shared" si="96"/>
        <v>5.0900000000000001E-2</v>
      </c>
      <c r="N154" s="416">
        <f t="shared" si="96"/>
        <v>3.4349999999999999E-2</v>
      </c>
      <c r="O154" s="414">
        <f t="shared" si="96"/>
        <v>2.7450000000000002E-2</v>
      </c>
      <c r="P154" s="415">
        <f t="shared" si="96"/>
        <v>3.6949999999999997E-2</v>
      </c>
      <c r="Q154" s="415">
        <f t="shared" si="96"/>
        <v>6.5599999999999992E-2</v>
      </c>
      <c r="R154" s="415">
        <f t="shared" si="96"/>
        <v>6.6250000000000003E-2</v>
      </c>
      <c r="S154" s="416">
        <f t="shared" si="96"/>
        <v>4.8300000000000003E-2</v>
      </c>
      <c r="T154" s="414">
        <f t="shared" si="96"/>
        <v>2.3E-3</v>
      </c>
      <c r="U154" s="415">
        <f t="shared" si="96"/>
        <v>4.3499999999999997E-3</v>
      </c>
      <c r="V154" s="415">
        <f t="shared" si="96"/>
        <v>1.695E-2</v>
      </c>
      <c r="W154" s="415">
        <f t="shared" si="96"/>
        <v>2.8799999999999999E-2</v>
      </c>
      <c r="X154" s="416">
        <f t="shared" si="96"/>
        <v>3.415E-2</v>
      </c>
      <c r="Y154" s="414">
        <f t="shared" si="96"/>
        <v>5.45E-3</v>
      </c>
      <c r="Z154" s="415">
        <f t="shared" si="96"/>
        <v>1.1599999999999999E-2</v>
      </c>
      <c r="AA154" s="415">
        <f t="shared" si="96"/>
        <v>7.9299999999999995E-2</v>
      </c>
      <c r="AB154" s="415">
        <f t="shared" si="96"/>
        <v>0.15984999999999999</v>
      </c>
      <c r="AC154" s="416">
        <f t="shared" si="96"/>
        <v>0.23444999999999999</v>
      </c>
      <c r="AD154" s="414">
        <f t="shared" si="96"/>
        <v>0.21295000000000003</v>
      </c>
      <c r="AE154" s="415">
        <f t="shared" si="96"/>
        <v>0.15784999999999999</v>
      </c>
      <c r="AF154" s="415">
        <f t="shared" si="96"/>
        <v>0.39075000000000004</v>
      </c>
      <c r="AG154" s="416">
        <f t="shared" si="96"/>
        <v>0.23850000000000002</v>
      </c>
      <c r="AH154" s="414">
        <f t="shared" si="96"/>
        <v>0.5</v>
      </c>
      <c r="AI154" s="415">
        <f t="shared" si="96"/>
        <v>0.5</v>
      </c>
      <c r="AJ154" s="415">
        <f t="shared" si="96"/>
        <v>0</v>
      </c>
      <c r="AK154" s="407"/>
      <c r="AL154" s="417"/>
      <c r="AM154" s="418"/>
      <c r="AO154"/>
      <c r="AP154"/>
      <c r="AQ154"/>
      <c r="AR154"/>
      <c r="AS154"/>
      <c r="AT154"/>
      <c r="AU154"/>
      <c r="AV154"/>
      <c r="AW154"/>
      <c r="AX154"/>
      <c r="AY154"/>
    </row>
    <row r="155" spans="2:51" ht="16.5" customHeight="1" outlineLevel="1">
      <c r="B155" s="110"/>
      <c r="C155" s="109"/>
      <c r="D155" s="180" t="s">
        <v>347</v>
      </c>
      <c r="E155" s="414">
        <f t="shared" ref="E155:AJ155" si="97">IFERROR(E145/$AL144,0)</f>
        <v>5.0000000000000001E-3</v>
      </c>
      <c r="F155" s="415">
        <f t="shared" si="97"/>
        <v>5.0000000000000001E-3</v>
      </c>
      <c r="G155" s="415">
        <f t="shared" si="97"/>
        <v>0</v>
      </c>
      <c r="H155" s="415">
        <f t="shared" si="97"/>
        <v>5.0000000000000001E-3</v>
      </c>
      <c r="I155" s="415">
        <f t="shared" si="97"/>
        <v>2.5000000000000001E-2</v>
      </c>
      <c r="J155" s="414">
        <f t="shared" si="97"/>
        <v>0</v>
      </c>
      <c r="K155" s="415">
        <f t="shared" si="97"/>
        <v>0.01</v>
      </c>
      <c r="L155" s="415">
        <f t="shared" si="97"/>
        <v>3.5000000000000003E-2</v>
      </c>
      <c r="M155" s="415">
        <f t="shared" si="97"/>
        <v>0.05</v>
      </c>
      <c r="N155" s="416">
        <f t="shared" si="97"/>
        <v>3.5000000000000003E-2</v>
      </c>
      <c r="O155" s="414">
        <f t="shared" si="97"/>
        <v>2.5000000000000001E-2</v>
      </c>
      <c r="P155" s="415">
        <f t="shared" si="97"/>
        <v>3.5000000000000003E-2</v>
      </c>
      <c r="Q155" s="415">
        <f t="shared" si="97"/>
        <v>6.5000000000000002E-2</v>
      </c>
      <c r="R155" s="415">
        <f t="shared" si="97"/>
        <v>6.5000000000000002E-2</v>
      </c>
      <c r="S155" s="416">
        <f t="shared" si="97"/>
        <v>0.05</v>
      </c>
      <c r="T155" s="414">
        <f t="shared" si="97"/>
        <v>5.0000000000000001E-3</v>
      </c>
      <c r="U155" s="415">
        <f t="shared" si="97"/>
        <v>0</v>
      </c>
      <c r="V155" s="415">
        <f t="shared" si="97"/>
        <v>1.4999999999999999E-2</v>
      </c>
      <c r="W155" s="415">
        <f t="shared" si="97"/>
        <v>0.03</v>
      </c>
      <c r="X155" s="416">
        <f t="shared" si="97"/>
        <v>3.5000000000000003E-2</v>
      </c>
      <c r="Y155" s="414">
        <f t="shared" si="97"/>
        <v>0</v>
      </c>
      <c r="Z155" s="415">
        <f t="shared" si="97"/>
        <v>0.01</v>
      </c>
      <c r="AA155" s="415">
        <f t="shared" si="97"/>
        <v>7.0000000000000007E-2</v>
      </c>
      <c r="AB155" s="415">
        <f t="shared" si="97"/>
        <v>0.16</v>
      </c>
      <c r="AC155" s="416">
        <f t="shared" si="97"/>
        <v>0.23499999999999999</v>
      </c>
      <c r="AD155" s="414">
        <f t="shared" si="97"/>
        <v>0.23</v>
      </c>
      <c r="AE155" s="415">
        <f t="shared" si="97"/>
        <v>0.18</v>
      </c>
      <c r="AF155" s="415">
        <f t="shared" si="97"/>
        <v>0.30499999999999999</v>
      </c>
      <c r="AG155" s="416">
        <f t="shared" si="97"/>
        <v>0.255</v>
      </c>
      <c r="AH155" s="415">
        <f t="shared" si="97"/>
        <v>0.48499999999999999</v>
      </c>
      <c r="AI155" s="415">
        <f t="shared" si="97"/>
        <v>0.48499999999999999</v>
      </c>
      <c r="AJ155" s="415">
        <f t="shared" si="97"/>
        <v>0</v>
      </c>
      <c r="AK155" s="407"/>
      <c r="AL155" s="417"/>
      <c r="AM155" s="418"/>
      <c r="AO155"/>
      <c r="AP155"/>
      <c r="AQ155"/>
      <c r="AR155"/>
      <c r="AS155"/>
      <c r="AT155"/>
      <c r="AU155"/>
      <c r="AV155"/>
      <c r="AW155"/>
      <c r="AX155"/>
      <c r="AY155"/>
    </row>
    <row r="156" spans="2:51" ht="15.75" customHeight="1" outlineLevel="1" thickBot="1">
      <c r="B156" s="110"/>
      <c r="C156" s="109"/>
      <c r="D156" s="180" t="s">
        <v>348</v>
      </c>
      <c r="E156" s="419">
        <f t="shared" ref="E156:AJ156" si="98">E155-E154</f>
        <v>2.7000000000000001E-3</v>
      </c>
      <c r="F156" s="420">
        <f t="shared" si="98"/>
        <v>2.4499999999999999E-3</v>
      </c>
      <c r="G156" s="420">
        <f t="shared" si="98"/>
        <v>-6.1500000000000001E-3</v>
      </c>
      <c r="H156" s="420">
        <f t="shared" si="98"/>
        <v>-4.7499999999999999E-3</v>
      </c>
      <c r="I156" s="420">
        <f t="shared" si="98"/>
        <v>-1.6000000000000007E-3</v>
      </c>
      <c r="J156" s="419">
        <f t="shared" si="98"/>
        <v>-2.7500000000000003E-3</v>
      </c>
      <c r="K156" s="420">
        <f t="shared" si="98"/>
        <v>1.3500000000000005E-3</v>
      </c>
      <c r="L156" s="420">
        <f t="shared" si="98"/>
        <v>8.000000000000021E-4</v>
      </c>
      <c r="M156" s="420">
        <f t="shared" si="98"/>
        <v>-8.9999999999999802E-4</v>
      </c>
      <c r="N156" s="421">
        <f t="shared" si="98"/>
        <v>6.5000000000000474E-4</v>
      </c>
      <c r="O156" s="419">
        <f t="shared" si="98"/>
        <v>-2.4500000000000008E-3</v>
      </c>
      <c r="P156" s="420">
        <f t="shared" si="98"/>
        <v>-1.9499999999999934E-3</v>
      </c>
      <c r="Q156" s="420">
        <f t="shared" si="98"/>
        <v>-5.9999999999998943E-4</v>
      </c>
      <c r="R156" s="420">
        <f t="shared" si="98"/>
        <v>-1.2500000000000011E-3</v>
      </c>
      <c r="S156" s="421">
        <f t="shared" si="98"/>
        <v>1.7000000000000001E-3</v>
      </c>
      <c r="T156" s="419">
        <f t="shared" si="98"/>
        <v>2.7000000000000001E-3</v>
      </c>
      <c r="U156" s="420">
        <f t="shared" si="98"/>
        <v>-4.3499999999999997E-3</v>
      </c>
      <c r="V156" s="420">
        <f t="shared" si="98"/>
        <v>-1.9500000000000003E-3</v>
      </c>
      <c r="W156" s="420">
        <f t="shared" si="98"/>
        <v>1.1999999999999997E-3</v>
      </c>
      <c r="X156" s="421">
        <f t="shared" si="98"/>
        <v>8.5000000000000353E-4</v>
      </c>
      <c r="Y156" s="419">
        <f t="shared" si="98"/>
        <v>-5.45E-3</v>
      </c>
      <c r="Z156" s="420">
        <f t="shared" si="98"/>
        <v>-1.599999999999999E-3</v>
      </c>
      <c r="AA156" s="420">
        <f t="shared" si="98"/>
        <v>-9.2999999999999888E-3</v>
      </c>
      <c r="AB156" s="420">
        <f t="shared" si="98"/>
        <v>1.5000000000001124E-4</v>
      </c>
      <c r="AC156" s="421">
        <f t="shared" si="98"/>
        <v>5.4999999999999494E-4</v>
      </c>
      <c r="AD156" s="419">
        <f t="shared" si="98"/>
        <v>1.7049999999999982E-2</v>
      </c>
      <c r="AE156" s="420">
        <f t="shared" si="98"/>
        <v>2.2150000000000003E-2</v>
      </c>
      <c r="AF156" s="420">
        <f t="shared" si="98"/>
        <v>-8.5750000000000048E-2</v>
      </c>
      <c r="AG156" s="421">
        <f t="shared" si="98"/>
        <v>1.6499999999999987E-2</v>
      </c>
      <c r="AH156" s="420">
        <f t="shared" si="98"/>
        <v>-1.5000000000000013E-2</v>
      </c>
      <c r="AI156" s="420">
        <f t="shared" si="98"/>
        <v>-1.5000000000000013E-2</v>
      </c>
      <c r="AJ156" s="420">
        <f t="shared" si="98"/>
        <v>0</v>
      </c>
      <c r="AK156" s="407"/>
      <c r="AL156" s="422"/>
      <c r="AM156" s="423"/>
      <c r="AO156"/>
      <c r="AP156"/>
      <c r="AQ156"/>
      <c r="AR156"/>
      <c r="AS156"/>
      <c r="AT156"/>
      <c r="AU156"/>
      <c r="AV156"/>
      <c r="AW156"/>
      <c r="AX156"/>
      <c r="AY156"/>
    </row>
    <row r="157" spans="2:51" ht="15.75" customHeight="1" thickTop="1">
      <c r="B157" s="447" t="s">
        <v>338</v>
      </c>
      <c r="C157" s="449" t="s">
        <v>150</v>
      </c>
      <c r="D157" s="34" t="s">
        <v>306</v>
      </c>
      <c r="E157" s="152">
        <f>aurora_data!D92</f>
        <v>4.24</v>
      </c>
      <c r="F157" s="153">
        <f>aurora_data!E92</f>
        <v>5.0199999999999996</v>
      </c>
      <c r="G157" s="153">
        <f>aurora_data!F92</f>
        <v>12.65</v>
      </c>
      <c r="H157" s="153">
        <f>aurora_data!G92</f>
        <v>19</v>
      </c>
      <c r="I157" s="153">
        <f>aurora_data!H92</f>
        <v>69.760000000000005</v>
      </c>
      <c r="J157" s="152">
        <f>aurora_data!I92</f>
        <v>5.5</v>
      </c>
      <c r="K157" s="153">
        <f>aurora_data!J92</f>
        <v>18.350000000000001</v>
      </c>
      <c r="L157" s="153">
        <f>aurora_data!K92</f>
        <v>76.36</v>
      </c>
      <c r="M157" s="153">
        <f>aurora_data!L92</f>
        <v>106.12</v>
      </c>
      <c r="N157" s="154">
        <f>aurora_data!M92</f>
        <v>73.72</v>
      </c>
      <c r="O157" s="152">
        <f>aurora_data!N92</f>
        <v>47.42</v>
      </c>
      <c r="P157" s="153">
        <f>aurora_data!O92</f>
        <v>73.69</v>
      </c>
      <c r="Q157" s="153">
        <f>aurora_data!P92</f>
        <v>150.24</v>
      </c>
      <c r="R157" s="153">
        <f>aurora_data!Q92</f>
        <v>162.11000000000001</v>
      </c>
      <c r="S157" s="154">
        <f>aurora_data!R92</f>
        <v>111.46</v>
      </c>
      <c r="T157" s="152">
        <f>aurora_data!S92</f>
        <v>4.2</v>
      </c>
      <c r="U157" s="153">
        <f>aurora_data!T92</f>
        <v>9.25</v>
      </c>
      <c r="V157" s="153">
        <f>aurora_data!U92</f>
        <v>37.22</v>
      </c>
      <c r="W157" s="153">
        <f>aurora_data!V92</f>
        <v>73.25</v>
      </c>
      <c r="X157" s="154">
        <f>aurora_data!W92</f>
        <v>84.9</v>
      </c>
      <c r="Y157" s="152">
        <f>aurora_data!X92</f>
        <v>12.06</v>
      </c>
      <c r="Z157" s="153">
        <f>aurora_data!Y92</f>
        <v>23.41</v>
      </c>
      <c r="AA157" s="153">
        <f>aurora_data!Z92</f>
        <v>162.52000000000001</v>
      </c>
      <c r="AB157" s="153">
        <f>aurora_data!AA92</f>
        <v>341.93</v>
      </c>
      <c r="AC157" s="154">
        <f>aurora_data!AB92</f>
        <v>515.54</v>
      </c>
      <c r="AD157" s="152">
        <f>aurora_data!AC92</f>
        <v>464.46</v>
      </c>
      <c r="AE157" s="153">
        <f>aurora_data!AD92</f>
        <v>342.09</v>
      </c>
      <c r="AF157" s="153">
        <f>aurora_data!AE92</f>
        <v>873.93</v>
      </c>
      <c r="AG157" s="154">
        <f>aurora_data!AF92</f>
        <v>519.53</v>
      </c>
      <c r="AH157" s="155">
        <f>aurora_data!AG92</f>
        <v>1100</v>
      </c>
      <c r="AI157" s="171">
        <f>aurora_data!AH92</f>
        <v>1100</v>
      </c>
      <c r="AJ157" s="201">
        <f>aurora_data!AI84</f>
        <v>0</v>
      </c>
      <c r="AK157" s="407"/>
      <c r="AL157" s="155">
        <f>aurora_data!AJ92</f>
        <v>2200</v>
      </c>
      <c r="AM157" s="167">
        <f t="shared" ref="AM157:AM164" si="99">SUM(AL157)/$AL$157</f>
        <v>1</v>
      </c>
      <c r="AO157"/>
      <c r="AP157"/>
      <c r="AQ157"/>
      <c r="AR157"/>
      <c r="AS157"/>
      <c r="AT157"/>
      <c r="AU157"/>
      <c r="AV157"/>
      <c r="AW157"/>
      <c r="AX157"/>
      <c r="AY157"/>
    </row>
    <row r="158" spans="2:51" ht="15.75" customHeight="1">
      <c r="B158" s="448"/>
      <c r="C158" s="450"/>
      <c r="D158" s="35" t="s">
        <v>339</v>
      </c>
      <c r="E158" s="262">
        <f>aurora_data!D93</f>
        <v>4</v>
      </c>
      <c r="F158" s="263">
        <f>aurora_data!E93</f>
        <v>4</v>
      </c>
      <c r="G158" s="263">
        <f>aurora_data!F93</f>
        <v>9</v>
      </c>
      <c r="H158" s="263">
        <f>aurora_data!G93</f>
        <v>20</v>
      </c>
      <c r="I158" s="263">
        <f>aurora_data!H93</f>
        <v>69</v>
      </c>
      <c r="J158" s="262">
        <f>aurora_data!I93</f>
        <v>6</v>
      </c>
      <c r="K158" s="263">
        <f>aurora_data!J93</f>
        <v>21</v>
      </c>
      <c r="L158" s="263">
        <f>aurora_data!K93</f>
        <v>75</v>
      </c>
      <c r="M158" s="263">
        <f>aurora_data!L93</f>
        <v>104</v>
      </c>
      <c r="N158" s="264">
        <f>aurora_data!M93</f>
        <v>75</v>
      </c>
      <c r="O158" s="262">
        <f>aurora_data!N93</f>
        <v>42</v>
      </c>
      <c r="P158" s="263">
        <f>aurora_data!O93</f>
        <v>69</v>
      </c>
      <c r="Q158" s="263">
        <f>aurora_data!P93</f>
        <v>145</v>
      </c>
      <c r="R158" s="263">
        <f>aurora_data!Q93</f>
        <v>163</v>
      </c>
      <c r="S158" s="264">
        <f>aurora_data!R93</f>
        <v>111</v>
      </c>
      <c r="T158" s="262">
        <f>aurora_data!S93</f>
        <v>4</v>
      </c>
      <c r="U158" s="263">
        <f>aurora_data!T93</f>
        <v>8</v>
      </c>
      <c r="V158" s="263">
        <f>aurora_data!U93</f>
        <v>31</v>
      </c>
      <c r="W158" s="263">
        <f>aurora_data!V93</f>
        <v>73</v>
      </c>
      <c r="X158" s="264">
        <f>aurora_data!W93</f>
        <v>85</v>
      </c>
      <c r="Y158" s="262">
        <f>aurora_data!X93</f>
        <v>9</v>
      </c>
      <c r="Z158" s="263">
        <f>aurora_data!Y93</f>
        <v>15</v>
      </c>
      <c r="AA158" s="263">
        <f>aurora_data!Z93</f>
        <v>154</v>
      </c>
      <c r="AB158" s="263">
        <f>aurora_data!AA93</f>
        <v>340</v>
      </c>
      <c r="AC158" s="264">
        <f>aurora_data!AB93</f>
        <v>513</v>
      </c>
      <c r="AD158" s="262">
        <f>aurora_data!AC93</f>
        <v>531</v>
      </c>
      <c r="AE158" s="263">
        <f>aurora_data!AD93</f>
        <v>373</v>
      </c>
      <c r="AF158" s="263">
        <f>aurora_data!AE93</f>
        <v>759</v>
      </c>
      <c r="AG158" s="264">
        <f>aurora_data!AF93</f>
        <v>486</v>
      </c>
      <c r="AH158" s="262">
        <f>aurora_data!AG93</f>
        <v>1081</v>
      </c>
      <c r="AI158" s="263">
        <f>aurora_data!AH93</f>
        <v>1068</v>
      </c>
      <c r="AJ158" s="264">
        <f>aurora_data!AI85</f>
        <v>0</v>
      </c>
      <c r="AK158" s="407"/>
      <c r="AL158" s="408">
        <f>aurora_data!AJ93</f>
        <v>2149</v>
      </c>
      <c r="AM158" s="409">
        <f t="shared" si="99"/>
        <v>0.97681818181818181</v>
      </c>
      <c r="AO158"/>
      <c r="AP158"/>
      <c r="AQ158"/>
      <c r="AR158"/>
      <c r="AS158"/>
      <c r="AT158"/>
      <c r="AU158"/>
      <c r="AV158"/>
      <c r="AW158"/>
      <c r="AX158"/>
      <c r="AY158"/>
    </row>
    <row r="159" spans="2:51" ht="15.75" customHeight="1">
      <c r="B159" s="448"/>
      <c r="C159" s="450"/>
      <c r="D159" s="35" t="s">
        <v>291</v>
      </c>
      <c r="E159" s="262">
        <f>aurora_data!D94</f>
        <v>3</v>
      </c>
      <c r="F159" s="263">
        <f>aurora_data!E94</f>
        <v>1</v>
      </c>
      <c r="G159" s="263">
        <f>aurora_data!F94</f>
        <v>4</v>
      </c>
      <c r="H159" s="263">
        <f>aurora_data!G94</f>
        <v>9</v>
      </c>
      <c r="I159" s="263">
        <f>aurora_data!H94</f>
        <v>5</v>
      </c>
      <c r="J159" s="262">
        <f>aurora_data!I94</f>
        <v>10</v>
      </c>
      <c r="K159" s="263">
        <f>aurora_data!J94</f>
        <v>10</v>
      </c>
      <c r="L159" s="263">
        <f>aurora_data!K94</f>
        <v>13</v>
      </c>
      <c r="M159" s="263">
        <f>aurora_data!L94</f>
        <v>13</v>
      </c>
      <c r="N159" s="264">
        <f>aurora_data!M94</f>
        <v>16</v>
      </c>
      <c r="O159" s="262">
        <f>aurora_data!N94</f>
        <v>4</v>
      </c>
      <c r="P159" s="263">
        <f>aurora_data!O94</f>
        <v>4</v>
      </c>
      <c r="Q159" s="263">
        <f>aurora_data!P94</f>
        <v>8</v>
      </c>
      <c r="R159" s="263">
        <f>aurora_data!Q94</f>
        <v>32</v>
      </c>
      <c r="S159" s="264">
        <f>aurora_data!R94</f>
        <v>12</v>
      </c>
      <c r="T159" s="262">
        <f>aurora_data!S94</f>
        <v>0</v>
      </c>
      <c r="U159" s="263">
        <f>aurora_data!T94</f>
        <v>1</v>
      </c>
      <c r="V159" s="263">
        <f>aurora_data!U94</f>
        <v>7</v>
      </c>
      <c r="W159" s="263">
        <f>aurora_data!V94</f>
        <v>14</v>
      </c>
      <c r="X159" s="264">
        <f>aurora_data!W94</f>
        <v>23</v>
      </c>
      <c r="Y159" s="262">
        <f>aurora_data!X94</f>
        <v>7</v>
      </c>
      <c r="Z159" s="263">
        <f>aurora_data!Y94</f>
        <v>3</v>
      </c>
      <c r="AA159" s="263">
        <f>aurora_data!Z94</f>
        <v>6</v>
      </c>
      <c r="AB159" s="263">
        <f>aurora_data!AA94</f>
        <v>22</v>
      </c>
      <c r="AC159" s="264">
        <f>aurora_data!AB94</f>
        <v>70</v>
      </c>
      <c r="AD159" s="262">
        <f>aurora_data!AC94</f>
        <v>144</v>
      </c>
      <c r="AE159" s="263">
        <f>aurora_data!AD94</f>
        <v>60</v>
      </c>
      <c r="AF159" s="263">
        <f>aurora_data!AE94</f>
        <v>31</v>
      </c>
      <c r="AG159" s="264">
        <f>aurora_data!AF94</f>
        <v>62</v>
      </c>
      <c r="AH159" s="262">
        <f>aurora_data!AG94</f>
        <v>190</v>
      </c>
      <c r="AI159" s="263">
        <f>aurora_data!AH94</f>
        <v>107</v>
      </c>
      <c r="AJ159" s="264">
        <f>aurora_data!AI86</f>
        <v>0</v>
      </c>
      <c r="AK159" s="407"/>
      <c r="AL159" s="408">
        <f>aurora_data!AJ94</f>
        <v>297</v>
      </c>
      <c r="AM159" s="409">
        <f t="shared" si="99"/>
        <v>0.13500000000000001</v>
      </c>
      <c r="AO159"/>
      <c r="AP159"/>
      <c r="AQ159"/>
      <c r="AR159"/>
      <c r="AS159"/>
      <c r="AT159"/>
      <c r="AU159"/>
      <c r="AV159"/>
      <c r="AW159"/>
      <c r="AX159"/>
      <c r="AY159"/>
    </row>
    <row r="160" spans="2:51" ht="16.5" customHeight="1">
      <c r="B160" s="448"/>
      <c r="C160" s="450"/>
      <c r="D160" s="35" t="s">
        <v>340</v>
      </c>
      <c r="E160" s="262">
        <f>aurora_data!D95</f>
        <v>0</v>
      </c>
      <c r="F160" s="263">
        <f>aurora_data!E95</f>
        <v>0</v>
      </c>
      <c r="G160" s="263">
        <f>aurora_data!F95</f>
        <v>0</v>
      </c>
      <c r="H160" s="263">
        <f>aurora_data!G95</f>
        <v>0</v>
      </c>
      <c r="I160" s="263">
        <f>aurora_data!H95</f>
        <v>1</v>
      </c>
      <c r="J160" s="262">
        <f>aurora_data!I95</f>
        <v>0</v>
      </c>
      <c r="K160" s="263">
        <f>aurora_data!J95</f>
        <v>0</v>
      </c>
      <c r="L160" s="263">
        <f>aurora_data!K95</f>
        <v>0</v>
      </c>
      <c r="M160" s="263">
        <f>aurora_data!L95</f>
        <v>0</v>
      </c>
      <c r="N160" s="264">
        <f>aurora_data!M95</f>
        <v>0</v>
      </c>
      <c r="O160" s="262">
        <f>aurora_data!N95</f>
        <v>1</v>
      </c>
      <c r="P160" s="263">
        <f>aurora_data!O95</f>
        <v>0</v>
      </c>
      <c r="Q160" s="263">
        <f>aurora_data!P95</f>
        <v>2</v>
      </c>
      <c r="R160" s="263">
        <f>aurora_data!Q95</f>
        <v>1</v>
      </c>
      <c r="S160" s="264">
        <f>aurora_data!R95</f>
        <v>0</v>
      </c>
      <c r="T160" s="262">
        <f>aurora_data!S95</f>
        <v>0</v>
      </c>
      <c r="U160" s="263">
        <f>aurora_data!T95</f>
        <v>0</v>
      </c>
      <c r="V160" s="263">
        <f>aurora_data!U95</f>
        <v>0</v>
      </c>
      <c r="W160" s="263">
        <f>aurora_data!V95</f>
        <v>0</v>
      </c>
      <c r="X160" s="264">
        <f>aurora_data!W95</f>
        <v>0</v>
      </c>
      <c r="Y160" s="262">
        <f>aurora_data!X95</f>
        <v>0</v>
      </c>
      <c r="Z160" s="263">
        <f>aurora_data!Y95</f>
        <v>0</v>
      </c>
      <c r="AA160" s="263">
        <f>aurora_data!Z95</f>
        <v>1</v>
      </c>
      <c r="AB160" s="263">
        <f>aurora_data!AA95</f>
        <v>0</v>
      </c>
      <c r="AC160" s="264">
        <f>aurora_data!AB95</f>
        <v>0</v>
      </c>
      <c r="AD160" s="262">
        <f>aurora_data!AC95</f>
        <v>1</v>
      </c>
      <c r="AE160" s="263">
        <f>aurora_data!AD95</f>
        <v>3</v>
      </c>
      <c r="AF160" s="263">
        <f>aurora_data!AE95</f>
        <v>0</v>
      </c>
      <c r="AG160" s="264">
        <f>aurora_data!AF95</f>
        <v>2</v>
      </c>
      <c r="AH160" s="262">
        <f>aurora_data!AG95</f>
        <v>1</v>
      </c>
      <c r="AI160" s="263">
        <f>aurora_data!AH95</f>
        <v>5</v>
      </c>
      <c r="AJ160" s="264">
        <f>aurora_data!AI87</f>
        <v>0</v>
      </c>
      <c r="AK160" s="407"/>
      <c r="AL160" s="408">
        <f>aurora_data!AJ95</f>
        <v>6</v>
      </c>
      <c r="AM160" s="409">
        <f t="shared" si="99"/>
        <v>2.7272727272727275E-3</v>
      </c>
      <c r="AO160"/>
      <c r="AP160"/>
      <c r="AQ160"/>
      <c r="AR160"/>
      <c r="AS160"/>
      <c r="AT160"/>
      <c r="AU160"/>
      <c r="AV160"/>
      <c r="AW160"/>
      <c r="AX160"/>
      <c r="AY160"/>
    </row>
    <row r="161" spans="2:51" ht="16.5" customHeight="1">
      <c r="B161" s="448"/>
      <c r="C161" s="450"/>
      <c r="D161" s="35" t="s">
        <v>341</v>
      </c>
      <c r="E161" s="262">
        <f>aurora_data!D96</f>
        <v>0</v>
      </c>
      <c r="F161" s="263">
        <f>aurora_data!E96</f>
        <v>1</v>
      </c>
      <c r="G161" s="263">
        <f>aurora_data!F96</f>
        <v>3</v>
      </c>
      <c r="H161" s="263">
        <f>aurora_data!G96</f>
        <v>0</v>
      </c>
      <c r="I161" s="263">
        <f>aurora_data!H96</f>
        <v>0</v>
      </c>
      <c r="J161" s="262">
        <f>aurora_data!I96</f>
        <v>3</v>
      </c>
      <c r="K161" s="263">
        <f>aurora_data!J96</f>
        <v>0</v>
      </c>
      <c r="L161" s="263">
        <f>aurora_data!K96</f>
        <v>2</v>
      </c>
      <c r="M161" s="263">
        <f>aurora_data!L96</f>
        <v>4</v>
      </c>
      <c r="N161" s="264">
        <f>aurora_data!M96</f>
        <v>0</v>
      </c>
      <c r="O161" s="262">
        <f>aurora_data!N96</f>
        <v>3</v>
      </c>
      <c r="P161" s="263">
        <f>aurora_data!O96</f>
        <v>2</v>
      </c>
      <c r="Q161" s="263">
        <f>aurora_data!P96</f>
        <v>9</v>
      </c>
      <c r="R161" s="263">
        <f>aurora_data!Q96</f>
        <v>2</v>
      </c>
      <c r="S161" s="264">
        <f>aurora_data!R96</f>
        <v>1</v>
      </c>
      <c r="T161" s="262">
        <f>aurora_data!S96</f>
        <v>1</v>
      </c>
      <c r="U161" s="263">
        <f>aurora_data!T96</f>
        <v>1</v>
      </c>
      <c r="V161" s="263">
        <f>aurora_data!U96</f>
        <v>5</v>
      </c>
      <c r="W161" s="263">
        <f>aurora_data!V96</f>
        <v>1</v>
      </c>
      <c r="X161" s="264">
        <f>aurora_data!W96</f>
        <v>0</v>
      </c>
      <c r="Y161" s="262">
        <f>aurora_data!X96</f>
        <v>4</v>
      </c>
      <c r="Z161" s="263">
        <f>aurora_data!Y96</f>
        <v>6</v>
      </c>
      <c r="AA161" s="263">
        <f>aurora_data!Z96</f>
        <v>8</v>
      </c>
      <c r="AB161" s="263">
        <f>aurora_data!AA96</f>
        <v>4</v>
      </c>
      <c r="AC161" s="264">
        <f>aurora_data!AB96</f>
        <v>1</v>
      </c>
      <c r="AD161" s="262">
        <f>aurora_data!AC96</f>
        <v>14</v>
      </c>
      <c r="AE161" s="263">
        <f>aurora_data!AD96</f>
        <v>18</v>
      </c>
      <c r="AF161" s="263">
        <f>aurora_data!AE96</f>
        <v>20</v>
      </c>
      <c r="AG161" s="264">
        <f>aurora_data!AF96</f>
        <v>9</v>
      </c>
      <c r="AH161" s="262">
        <f>aurora_data!AG96</f>
        <v>28</v>
      </c>
      <c r="AI161" s="263">
        <f>aurora_data!AH96</f>
        <v>33</v>
      </c>
      <c r="AJ161" s="264">
        <f>aurora_data!AI88</f>
        <v>0</v>
      </c>
      <c r="AK161" s="407"/>
      <c r="AL161" s="408">
        <f>aurora_data!AJ96</f>
        <v>61</v>
      </c>
      <c r="AM161" s="409">
        <f t="shared" si="99"/>
        <v>2.7727272727272729E-2</v>
      </c>
      <c r="AO161"/>
      <c r="AP161"/>
      <c r="AQ161"/>
      <c r="AR161"/>
      <c r="AS161"/>
      <c r="AT161"/>
      <c r="AU161"/>
      <c r="AV161"/>
      <c r="AW161"/>
      <c r="AX161"/>
      <c r="AY161"/>
    </row>
    <row r="162" spans="2:51" ht="16.5" customHeight="1" thickBot="1">
      <c r="B162" s="448"/>
      <c r="C162" s="450"/>
      <c r="D162" s="35" t="s">
        <v>342</v>
      </c>
      <c r="E162" s="262">
        <f>aurora_data!D97</f>
        <v>0</v>
      </c>
      <c r="F162" s="263">
        <f>aurora_data!E97</f>
        <v>1</v>
      </c>
      <c r="G162" s="263">
        <f>aurora_data!F97</f>
        <v>0</v>
      </c>
      <c r="H162" s="263">
        <f>aurora_data!G97</f>
        <v>0</v>
      </c>
      <c r="I162" s="263">
        <f>aurora_data!H97</f>
        <v>1</v>
      </c>
      <c r="J162" s="262">
        <f>aurora_data!I97</f>
        <v>0</v>
      </c>
      <c r="K162" s="263">
        <f>aurora_data!J97</f>
        <v>0</v>
      </c>
      <c r="L162" s="263">
        <f>aurora_data!K97</f>
        <v>0</v>
      </c>
      <c r="M162" s="263">
        <f>aurora_data!L97</f>
        <v>0</v>
      </c>
      <c r="N162" s="264">
        <f>aurora_data!M97</f>
        <v>0</v>
      </c>
      <c r="O162" s="262">
        <f>aurora_data!N97</f>
        <v>0</v>
      </c>
      <c r="P162" s="263">
        <f>aurora_data!O97</f>
        <v>0</v>
      </c>
      <c r="Q162" s="263">
        <f>aurora_data!P97</f>
        <v>0</v>
      </c>
      <c r="R162" s="263">
        <f>aurora_data!Q97</f>
        <v>0</v>
      </c>
      <c r="S162" s="264">
        <f>aurora_data!R97</f>
        <v>1</v>
      </c>
      <c r="T162" s="262">
        <f>aurora_data!S97</f>
        <v>0</v>
      </c>
      <c r="U162" s="263">
        <f>aurora_data!T97</f>
        <v>0</v>
      </c>
      <c r="V162" s="263">
        <f>aurora_data!U97</f>
        <v>1</v>
      </c>
      <c r="W162" s="263">
        <f>aurora_data!V97</f>
        <v>0</v>
      </c>
      <c r="X162" s="264">
        <f>aurora_data!W97</f>
        <v>3</v>
      </c>
      <c r="Y162" s="262">
        <f>aurora_data!X97</f>
        <v>0</v>
      </c>
      <c r="Z162" s="263">
        <f>aurora_data!Y97</f>
        <v>0</v>
      </c>
      <c r="AA162" s="263">
        <f>aurora_data!Z97</f>
        <v>1</v>
      </c>
      <c r="AB162" s="263">
        <f>aurora_data!AA97</f>
        <v>1</v>
      </c>
      <c r="AC162" s="264">
        <f>aurora_data!AB97</f>
        <v>1</v>
      </c>
      <c r="AD162" s="262">
        <f>aurora_data!AC97</f>
        <v>4</v>
      </c>
      <c r="AE162" s="263">
        <f>aurora_data!AD97</f>
        <v>1</v>
      </c>
      <c r="AF162" s="263">
        <f>aurora_data!AE97</f>
        <v>3</v>
      </c>
      <c r="AG162" s="264">
        <f>aurora_data!AF97</f>
        <v>2</v>
      </c>
      <c r="AH162" s="262">
        <f>aurora_data!AG97</f>
        <v>4</v>
      </c>
      <c r="AI162" s="263">
        <f>aurora_data!AH97</f>
        <v>6</v>
      </c>
      <c r="AJ162" s="264">
        <f>aurora_data!AI89</f>
        <v>0</v>
      </c>
      <c r="AK162" s="407"/>
      <c r="AL162" s="408">
        <f>aurora_data!AJ97</f>
        <v>10</v>
      </c>
      <c r="AM162" s="409">
        <f t="shared" si="99"/>
        <v>4.5454545454545452E-3</v>
      </c>
      <c r="AO162"/>
      <c r="AP162"/>
      <c r="AQ162"/>
      <c r="AR162"/>
      <c r="AS162"/>
      <c r="AT162"/>
      <c r="AU162"/>
      <c r="AV162"/>
      <c r="AW162"/>
      <c r="AX162"/>
      <c r="AY162"/>
    </row>
    <row r="163" spans="2:51" ht="16.5" customHeight="1" thickBot="1">
      <c r="B163" s="448"/>
      <c r="C163" s="450"/>
      <c r="D163" s="37" t="s">
        <v>17</v>
      </c>
      <c r="E163" s="182">
        <f>aurora_data!D98</f>
        <v>7</v>
      </c>
      <c r="F163" s="183">
        <f>aurora_data!E98</f>
        <v>7</v>
      </c>
      <c r="G163" s="183">
        <f>aurora_data!F98</f>
        <v>16</v>
      </c>
      <c r="H163" s="183">
        <f>aurora_data!G98</f>
        <v>29</v>
      </c>
      <c r="I163" s="184">
        <f>aurora_data!H98</f>
        <v>76</v>
      </c>
      <c r="J163" s="182">
        <f>aurora_data!I98</f>
        <v>19</v>
      </c>
      <c r="K163" s="183">
        <f>aurora_data!J98</f>
        <v>31</v>
      </c>
      <c r="L163" s="183">
        <f>aurora_data!K98</f>
        <v>90</v>
      </c>
      <c r="M163" s="183">
        <f>aurora_data!L98</f>
        <v>121</v>
      </c>
      <c r="N163" s="184">
        <f>aurora_data!M98</f>
        <v>91</v>
      </c>
      <c r="O163" s="182">
        <f>aurora_data!N98</f>
        <v>50</v>
      </c>
      <c r="P163" s="183">
        <f>aurora_data!O98</f>
        <v>75</v>
      </c>
      <c r="Q163" s="183">
        <f>aurora_data!P98</f>
        <v>164</v>
      </c>
      <c r="R163" s="183">
        <f>aurora_data!Q98</f>
        <v>198</v>
      </c>
      <c r="S163" s="184">
        <f>aurora_data!R98</f>
        <v>125</v>
      </c>
      <c r="T163" s="182">
        <f>aurora_data!S98</f>
        <v>5</v>
      </c>
      <c r="U163" s="183">
        <f>aurora_data!T98</f>
        <v>10</v>
      </c>
      <c r="V163" s="183">
        <f>aurora_data!U98</f>
        <v>44</v>
      </c>
      <c r="W163" s="183">
        <f>aurora_data!V98</f>
        <v>88</v>
      </c>
      <c r="X163" s="184">
        <f>aurora_data!W98</f>
        <v>111</v>
      </c>
      <c r="Y163" s="182">
        <f>aurora_data!X98</f>
        <v>20</v>
      </c>
      <c r="Z163" s="183">
        <f>aurora_data!Y98</f>
        <v>24</v>
      </c>
      <c r="AA163" s="183">
        <f>aurora_data!Z98</f>
        <v>170</v>
      </c>
      <c r="AB163" s="183">
        <f>aurora_data!AA98</f>
        <v>367</v>
      </c>
      <c r="AC163" s="184">
        <f>aurora_data!AB98</f>
        <v>585</v>
      </c>
      <c r="AD163" s="182">
        <f>aurora_data!AC98</f>
        <v>694</v>
      </c>
      <c r="AE163" s="183">
        <f>aurora_data!AD98</f>
        <v>455</v>
      </c>
      <c r="AF163" s="183">
        <f>aurora_data!AE98</f>
        <v>813</v>
      </c>
      <c r="AG163" s="184">
        <f>aurora_data!AF98</f>
        <v>561</v>
      </c>
      <c r="AH163" s="182">
        <f>aurora_data!AG98</f>
        <v>1304</v>
      </c>
      <c r="AI163" s="183">
        <f>aurora_data!AH98</f>
        <v>1219</v>
      </c>
      <c r="AJ163" s="183">
        <f>aurora_data!AI90</f>
        <v>0</v>
      </c>
      <c r="AK163" s="412"/>
      <c r="AL163" s="182">
        <f>aurora_data!AJ98</f>
        <v>2523</v>
      </c>
      <c r="AM163" s="413">
        <f t="shared" si="99"/>
        <v>1.1468181818181817</v>
      </c>
      <c r="AO163"/>
      <c r="AP163"/>
      <c r="AQ163"/>
      <c r="AR163"/>
      <c r="AS163"/>
      <c r="AT163"/>
      <c r="AU163"/>
      <c r="AV163"/>
      <c r="AW163"/>
      <c r="AX163"/>
      <c r="AY163"/>
    </row>
    <row r="164" spans="2:51" ht="18.75" customHeight="1" thickBot="1">
      <c r="B164" s="448"/>
      <c r="C164" s="450"/>
      <c r="D164" s="38" t="s">
        <v>343</v>
      </c>
      <c r="E164" s="265">
        <f>aurora_data!D99</f>
        <v>0</v>
      </c>
      <c r="F164" s="266">
        <f>aurora_data!E99</f>
        <v>0</v>
      </c>
      <c r="G164" s="266">
        <f>aurora_data!F99</f>
        <v>0</v>
      </c>
      <c r="H164" s="266">
        <f>aurora_data!G99</f>
        <v>0</v>
      </c>
      <c r="I164" s="266">
        <f>aurora_data!H99</f>
        <v>4</v>
      </c>
      <c r="J164" s="265">
        <f>aurora_data!I99</f>
        <v>0</v>
      </c>
      <c r="K164" s="266">
        <f>aurora_data!J99</f>
        <v>0</v>
      </c>
      <c r="L164" s="266">
        <f>aurora_data!K99</f>
        <v>1</v>
      </c>
      <c r="M164" s="266">
        <f>aurora_data!L99</f>
        <v>3</v>
      </c>
      <c r="N164" s="267">
        <f>aurora_data!M99</f>
        <v>3</v>
      </c>
      <c r="O164" s="265">
        <f>aurora_data!N99</f>
        <v>1</v>
      </c>
      <c r="P164" s="266">
        <f>aurora_data!O99</f>
        <v>2</v>
      </c>
      <c r="Q164" s="266">
        <f>aurora_data!P99</f>
        <v>8</v>
      </c>
      <c r="R164" s="266">
        <f>aurora_data!Q99</f>
        <v>7</v>
      </c>
      <c r="S164" s="267">
        <f>aurora_data!R99</f>
        <v>1</v>
      </c>
      <c r="T164" s="265">
        <f>aurora_data!S99</f>
        <v>0</v>
      </c>
      <c r="U164" s="266">
        <f>aurora_data!T99</f>
        <v>2</v>
      </c>
      <c r="V164" s="266">
        <f>aurora_data!U99</f>
        <v>3</v>
      </c>
      <c r="W164" s="266">
        <f>aurora_data!V99</f>
        <v>1</v>
      </c>
      <c r="X164" s="267">
        <f>aurora_data!W99</f>
        <v>4</v>
      </c>
      <c r="Y164" s="265">
        <f>aurora_data!X99</f>
        <v>1</v>
      </c>
      <c r="Z164" s="266">
        <f>aurora_data!Y99</f>
        <v>1</v>
      </c>
      <c r="AA164" s="266">
        <f>aurora_data!Z99</f>
        <v>7</v>
      </c>
      <c r="AB164" s="266">
        <f>aurora_data!AA99</f>
        <v>13</v>
      </c>
      <c r="AC164" s="267">
        <f>aurora_data!AB99</f>
        <v>17</v>
      </c>
      <c r="AD164" s="265">
        <f>aurora_data!AC99</f>
        <v>13</v>
      </c>
      <c r="AE164" s="266">
        <f>aurora_data!AD99</f>
        <v>21</v>
      </c>
      <c r="AF164" s="266">
        <f>aurora_data!AE99</f>
        <v>37</v>
      </c>
      <c r="AG164" s="267">
        <f>aurora_data!AF99</f>
        <v>8</v>
      </c>
      <c r="AH164" s="265">
        <f>aurora_data!AG99</f>
        <v>36</v>
      </c>
      <c r="AI164" s="266">
        <f>aurora_data!AH99</f>
        <v>43</v>
      </c>
      <c r="AJ164" s="268">
        <f>aurora_data!AI91</f>
        <v>0</v>
      </c>
      <c r="AK164" s="269"/>
      <c r="AL164" s="265">
        <f>aurora_data!AJ99</f>
        <v>79</v>
      </c>
      <c r="AM164" s="270">
        <f t="shared" si="99"/>
        <v>3.5909090909090911E-2</v>
      </c>
      <c r="AO164"/>
      <c r="AP164"/>
      <c r="AQ164"/>
      <c r="AR164"/>
      <c r="AS164"/>
      <c r="AT164"/>
      <c r="AU164"/>
      <c r="AV164"/>
      <c r="AW164"/>
      <c r="AX164"/>
      <c r="AY164"/>
    </row>
    <row r="165" spans="2:51" ht="18.75" customHeight="1" outlineLevel="1">
      <c r="B165" s="448"/>
      <c r="C165" s="450"/>
      <c r="D165" s="199" t="s">
        <v>344</v>
      </c>
      <c r="E165" s="186">
        <f t="shared" ref="E165:AC165" si="100">ROUNDDOWN((E167+$E$9)*($AL157),0)</f>
        <v>48</v>
      </c>
      <c r="F165" s="187">
        <f t="shared" si="100"/>
        <v>49</v>
      </c>
      <c r="G165" s="187">
        <f t="shared" si="100"/>
        <v>56</v>
      </c>
      <c r="H165" s="187">
        <f t="shared" si="100"/>
        <v>63</v>
      </c>
      <c r="I165" s="187">
        <f t="shared" si="100"/>
        <v>113</v>
      </c>
      <c r="J165" s="186">
        <f t="shared" si="100"/>
        <v>49</v>
      </c>
      <c r="K165" s="187">
        <f t="shared" si="100"/>
        <v>62</v>
      </c>
      <c r="L165" s="187">
        <f t="shared" si="100"/>
        <v>120</v>
      </c>
      <c r="M165" s="187">
        <f t="shared" si="100"/>
        <v>150</v>
      </c>
      <c r="N165" s="188">
        <f t="shared" si="100"/>
        <v>117</v>
      </c>
      <c r="O165" s="186">
        <f t="shared" si="100"/>
        <v>91</v>
      </c>
      <c r="P165" s="187">
        <f t="shared" si="100"/>
        <v>117</v>
      </c>
      <c r="Q165" s="187">
        <f t="shared" si="100"/>
        <v>194</v>
      </c>
      <c r="R165" s="187">
        <f t="shared" si="100"/>
        <v>206</v>
      </c>
      <c r="S165" s="188">
        <f t="shared" si="100"/>
        <v>155</v>
      </c>
      <c r="T165" s="186">
        <f t="shared" si="100"/>
        <v>48</v>
      </c>
      <c r="U165" s="187">
        <f t="shared" si="100"/>
        <v>53</v>
      </c>
      <c r="V165" s="187">
        <f t="shared" si="100"/>
        <v>81</v>
      </c>
      <c r="W165" s="187">
        <f t="shared" si="100"/>
        <v>117</v>
      </c>
      <c r="X165" s="188">
        <f t="shared" si="100"/>
        <v>128</v>
      </c>
      <c r="Y165" s="186">
        <f t="shared" si="100"/>
        <v>56</v>
      </c>
      <c r="Z165" s="187">
        <f t="shared" si="100"/>
        <v>67</v>
      </c>
      <c r="AA165" s="187">
        <f t="shared" si="100"/>
        <v>206</v>
      </c>
      <c r="AB165" s="187">
        <f t="shared" si="100"/>
        <v>385</v>
      </c>
      <c r="AC165" s="188">
        <f t="shared" si="100"/>
        <v>559</v>
      </c>
      <c r="AD165" s="271">
        <f>ROUNDDOWN((AD167+$AD$9)*($AL157),0)</f>
        <v>684</v>
      </c>
      <c r="AE165" s="272">
        <f>ROUNDDOWN((AE167+$AD$9)*($AL157),0)</f>
        <v>562</v>
      </c>
      <c r="AF165" s="272">
        <f t="shared" ref="AF165:AG165" si="101">ROUNDDOWN((AF167+$AD$9)*($AL157),0)</f>
        <v>1093</v>
      </c>
      <c r="AG165" s="272">
        <f t="shared" si="101"/>
        <v>739</v>
      </c>
      <c r="AH165" s="271">
        <f>ROUNDDOWN((AH167+$AH$9)*($AL157),0)</f>
        <v>1100</v>
      </c>
      <c r="AI165" s="272">
        <f>ROUNDDOWN((AI167+$AH$9)*($AL157),0)</f>
        <v>1100</v>
      </c>
      <c r="AJ165" s="187">
        <f>ROUNDDOWN((AJ167+$AH$8)*($AL157),0)</f>
        <v>0</v>
      </c>
      <c r="AK165" s="194"/>
      <c r="AL165" s="195"/>
      <c r="AM165" s="196"/>
      <c r="AO165"/>
      <c r="AP165"/>
      <c r="AQ165"/>
      <c r="AR165"/>
      <c r="AS165"/>
      <c r="AT165"/>
      <c r="AU165"/>
      <c r="AV165"/>
      <c r="AW165"/>
      <c r="AX165"/>
      <c r="AY165"/>
    </row>
    <row r="166" spans="2:51" ht="18.75" customHeight="1" outlineLevel="1" thickBot="1">
      <c r="B166" s="448"/>
      <c r="C166" s="450"/>
      <c r="D166" s="202" t="s">
        <v>345</v>
      </c>
      <c r="E166" s="189">
        <f t="shared" ref="E166:AC166" si="102">IF(ROUND(((E167-$E$9)*($AL157))+0.25,0) &lt;=0,1,((E167-$E$9)*($AL157))+0.25)</f>
        <v>1</v>
      </c>
      <c r="F166" s="190">
        <f t="shared" si="102"/>
        <v>1</v>
      </c>
      <c r="G166" s="190">
        <f t="shared" si="102"/>
        <v>1</v>
      </c>
      <c r="H166" s="190">
        <f t="shared" si="102"/>
        <v>1</v>
      </c>
      <c r="I166" s="190">
        <f t="shared" si="102"/>
        <v>26.009999999999998</v>
      </c>
      <c r="J166" s="189">
        <f t="shared" si="102"/>
        <v>1</v>
      </c>
      <c r="K166" s="190">
        <f t="shared" si="102"/>
        <v>1</v>
      </c>
      <c r="L166" s="190">
        <f t="shared" si="102"/>
        <v>32.610000000000007</v>
      </c>
      <c r="M166" s="190">
        <f t="shared" si="102"/>
        <v>62.370000000000005</v>
      </c>
      <c r="N166" s="191">
        <f t="shared" si="102"/>
        <v>29.970000000000006</v>
      </c>
      <c r="O166" s="189">
        <f t="shared" si="102"/>
        <v>3.6699999999999995</v>
      </c>
      <c r="P166" s="190">
        <f t="shared" si="102"/>
        <v>29.939999999999994</v>
      </c>
      <c r="Q166" s="190">
        <f t="shared" si="102"/>
        <v>106.49000000000001</v>
      </c>
      <c r="R166" s="190">
        <f t="shared" si="102"/>
        <v>118.36000000000001</v>
      </c>
      <c r="S166" s="191">
        <f t="shared" si="102"/>
        <v>67.709999999999994</v>
      </c>
      <c r="T166" s="189">
        <f t="shared" si="102"/>
        <v>1</v>
      </c>
      <c r="U166" s="190">
        <f t="shared" si="102"/>
        <v>1</v>
      </c>
      <c r="V166" s="190">
        <f t="shared" si="102"/>
        <v>1</v>
      </c>
      <c r="W166" s="190">
        <f t="shared" si="102"/>
        <v>29.499999999999996</v>
      </c>
      <c r="X166" s="191">
        <f t="shared" si="102"/>
        <v>41.150000000000006</v>
      </c>
      <c r="Y166" s="189">
        <f t="shared" si="102"/>
        <v>1</v>
      </c>
      <c r="Z166" s="190">
        <f t="shared" si="102"/>
        <v>1</v>
      </c>
      <c r="AA166" s="190">
        <f t="shared" si="102"/>
        <v>118.76999999999998</v>
      </c>
      <c r="AB166" s="190">
        <f t="shared" si="102"/>
        <v>298.18</v>
      </c>
      <c r="AC166" s="191">
        <f t="shared" si="102"/>
        <v>471.78999999999996</v>
      </c>
      <c r="AD166" s="276">
        <f>IF(((AD167-$AD$9)*($AL157))+0.5 &lt;0,1,((AD167-$AD$9)*($AL157))+0.5 )</f>
        <v>244.95999999999998</v>
      </c>
      <c r="AE166" s="277">
        <f>IF(((AE167-$AD$9)*($AL157))+0.5 &lt;0,1,((AE167-$AD$9)*($AL157))+0.5 )</f>
        <v>122.58999999999999</v>
      </c>
      <c r="AF166" s="277">
        <f t="shared" ref="AF166" si="103">IF(((AF167-$AD$9)*($AL157))+0.5 &lt;0,1,((AF167-$AD$9)*($AL157))+0.5 )</f>
        <v>654.42999999999995</v>
      </c>
      <c r="AG166" s="277">
        <f t="shared" ref="AG166" si="104">IF(((AG167-$AD$9)*($AL157))+0.5 &lt;0,1,((AG167-$AD$9)*($AL157))+0.5 )</f>
        <v>300.02999999999997</v>
      </c>
      <c r="AH166" s="276">
        <f>IF(((AH167-$AH$9)*($AL157))+0.5 &lt;0,1,((AH167-$AH$9)*($AL157)) )</f>
        <v>1100</v>
      </c>
      <c r="AI166" s="277">
        <f>IF(((AI167-$AH$9)*($AL157))+0.5 &lt;0,1,((AI167-$AH$9)*($AL157)))</f>
        <v>1100</v>
      </c>
      <c r="AJ166" s="190">
        <f>IF(((AJ167-$AH$8)*($AL157))+0.5 &lt;0,1,((AJ167-$AH$8)*($AL157))+0.5 )</f>
        <v>0.5</v>
      </c>
      <c r="AK166" s="194"/>
      <c r="AL166" s="197"/>
      <c r="AM166" s="198"/>
      <c r="AO166"/>
      <c r="AP166"/>
      <c r="AQ166"/>
      <c r="AR166"/>
      <c r="AS166"/>
      <c r="AT166"/>
      <c r="AU166"/>
      <c r="AV166"/>
      <c r="AW166"/>
      <c r="AX166"/>
      <c r="AY166"/>
    </row>
    <row r="167" spans="2:51" ht="18.75" customHeight="1" outlineLevel="1" thickTop="1">
      <c r="B167" s="108"/>
      <c r="C167" s="251"/>
      <c r="D167" s="95" t="s">
        <v>346</v>
      </c>
      <c r="E167" s="159">
        <f t="shared" ref="E167:AJ167" si="105">IFERROR(E157/$AL157,0)</f>
        <v>1.9272727272727273E-3</v>
      </c>
      <c r="F167" s="160">
        <f t="shared" si="105"/>
        <v>2.2818181818181817E-3</v>
      </c>
      <c r="G167" s="160">
        <f t="shared" si="105"/>
        <v>5.7499999999999999E-3</v>
      </c>
      <c r="H167" s="160">
        <f t="shared" si="105"/>
        <v>8.6363636363636365E-3</v>
      </c>
      <c r="I167" s="160">
        <f t="shared" si="105"/>
        <v>3.1709090909090909E-2</v>
      </c>
      <c r="J167" s="159">
        <f t="shared" si="105"/>
        <v>2.5000000000000001E-3</v>
      </c>
      <c r="K167" s="160">
        <f t="shared" si="105"/>
        <v>8.3409090909090915E-3</v>
      </c>
      <c r="L167" s="160">
        <f t="shared" si="105"/>
        <v>3.4709090909090912E-2</v>
      </c>
      <c r="M167" s="160">
        <f t="shared" si="105"/>
        <v>4.823636363636364E-2</v>
      </c>
      <c r="N167" s="161">
        <f t="shared" si="105"/>
        <v>3.3509090909090912E-2</v>
      </c>
      <c r="O167" s="159">
        <f t="shared" si="105"/>
        <v>2.1554545454545455E-2</v>
      </c>
      <c r="P167" s="160">
        <f t="shared" si="105"/>
        <v>3.3495454545454544E-2</v>
      </c>
      <c r="Q167" s="160">
        <f t="shared" si="105"/>
        <v>6.8290909090909097E-2</v>
      </c>
      <c r="R167" s="160">
        <f t="shared" si="105"/>
        <v>7.3686363636363647E-2</v>
      </c>
      <c r="S167" s="161">
        <f t="shared" si="105"/>
        <v>5.0663636363636362E-2</v>
      </c>
      <c r="T167" s="159">
        <f t="shared" si="105"/>
        <v>1.9090909090909091E-3</v>
      </c>
      <c r="U167" s="160">
        <f t="shared" si="105"/>
        <v>4.2045454545454547E-3</v>
      </c>
      <c r="V167" s="160">
        <f t="shared" si="105"/>
        <v>1.6918181818181818E-2</v>
      </c>
      <c r="W167" s="160">
        <f t="shared" si="105"/>
        <v>3.3295454545454545E-2</v>
      </c>
      <c r="X167" s="161">
        <f t="shared" si="105"/>
        <v>3.8590909090909092E-2</v>
      </c>
      <c r="Y167" s="159">
        <f t="shared" si="105"/>
        <v>5.4818181818181823E-3</v>
      </c>
      <c r="Z167" s="160">
        <f t="shared" si="105"/>
        <v>1.0640909090909091E-2</v>
      </c>
      <c r="AA167" s="160">
        <f t="shared" si="105"/>
        <v>7.387272727272727E-2</v>
      </c>
      <c r="AB167" s="160">
        <f t="shared" si="105"/>
        <v>0.15542272727272727</v>
      </c>
      <c r="AC167" s="161">
        <f t="shared" si="105"/>
        <v>0.23433636363636362</v>
      </c>
      <c r="AD167" s="159">
        <f t="shared" si="105"/>
        <v>0.21111818181818182</v>
      </c>
      <c r="AE167" s="160">
        <f t="shared" si="105"/>
        <v>0.15549545454545455</v>
      </c>
      <c r="AF167" s="160">
        <f t="shared" si="105"/>
        <v>0.39724090909090909</v>
      </c>
      <c r="AG167" s="161">
        <f t="shared" si="105"/>
        <v>0.23615</v>
      </c>
      <c r="AH167" s="159">
        <f t="shared" si="105"/>
        <v>0.5</v>
      </c>
      <c r="AI167" s="160">
        <f t="shared" si="105"/>
        <v>0.5</v>
      </c>
      <c r="AJ167" s="160">
        <f t="shared" si="105"/>
        <v>0</v>
      </c>
      <c r="AK167" s="158"/>
      <c r="AL167" s="162"/>
      <c r="AM167" s="163"/>
      <c r="AO167"/>
      <c r="AP167"/>
      <c r="AQ167"/>
      <c r="AR167"/>
      <c r="AS167"/>
      <c r="AT167"/>
      <c r="AU167"/>
      <c r="AV167"/>
      <c r="AW167"/>
      <c r="AX167"/>
      <c r="AY167"/>
    </row>
    <row r="168" spans="2:51" ht="18.75" customHeight="1" outlineLevel="1">
      <c r="B168" s="108"/>
      <c r="C168" s="251"/>
      <c r="D168" s="180" t="s">
        <v>347</v>
      </c>
      <c r="E168" s="159">
        <f t="shared" ref="E168:AJ168" si="106">IFERROR(E158/$AL157,0)</f>
        <v>1.8181818181818182E-3</v>
      </c>
      <c r="F168" s="160">
        <f t="shared" si="106"/>
        <v>1.8181818181818182E-3</v>
      </c>
      <c r="G168" s="160">
        <f t="shared" si="106"/>
        <v>4.0909090909090912E-3</v>
      </c>
      <c r="H168" s="160">
        <f t="shared" si="106"/>
        <v>9.0909090909090905E-3</v>
      </c>
      <c r="I168" s="160">
        <f t="shared" si="106"/>
        <v>3.1363636363636364E-2</v>
      </c>
      <c r="J168" s="159">
        <f t="shared" si="106"/>
        <v>2.7272727272727275E-3</v>
      </c>
      <c r="K168" s="160">
        <f t="shared" si="106"/>
        <v>9.5454545454545462E-3</v>
      </c>
      <c r="L168" s="160">
        <f t="shared" si="106"/>
        <v>3.4090909090909088E-2</v>
      </c>
      <c r="M168" s="160">
        <f t="shared" si="106"/>
        <v>4.7272727272727272E-2</v>
      </c>
      <c r="N168" s="161">
        <f t="shared" si="106"/>
        <v>3.4090909090909088E-2</v>
      </c>
      <c r="O168" s="159">
        <f t="shared" si="106"/>
        <v>1.9090909090909092E-2</v>
      </c>
      <c r="P168" s="160">
        <f t="shared" si="106"/>
        <v>3.1363636363636364E-2</v>
      </c>
      <c r="Q168" s="160">
        <f t="shared" si="106"/>
        <v>6.5909090909090903E-2</v>
      </c>
      <c r="R168" s="160">
        <f t="shared" si="106"/>
        <v>7.4090909090909096E-2</v>
      </c>
      <c r="S168" s="161">
        <f t="shared" si="106"/>
        <v>5.0454545454545453E-2</v>
      </c>
      <c r="T168" s="159">
        <f t="shared" si="106"/>
        <v>1.8181818181818182E-3</v>
      </c>
      <c r="U168" s="160">
        <f t="shared" si="106"/>
        <v>3.6363636363636364E-3</v>
      </c>
      <c r="V168" s="160">
        <f t="shared" si="106"/>
        <v>1.4090909090909091E-2</v>
      </c>
      <c r="W168" s="160">
        <f t="shared" si="106"/>
        <v>3.318181818181818E-2</v>
      </c>
      <c r="X168" s="161">
        <f t="shared" si="106"/>
        <v>3.8636363636363635E-2</v>
      </c>
      <c r="Y168" s="159">
        <f t="shared" si="106"/>
        <v>4.0909090909090912E-3</v>
      </c>
      <c r="Z168" s="160">
        <f t="shared" si="106"/>
        <v>6.8181818181818179E-3</v>
      </c>
      <c r="AA168" s="160">
        <f t="shared" si="106"/>
        <v>7.0000000000000007E-2</v>
      </c>
      <c r="AB168" s="160">
        <f t="shared" si="106"/>
        <v>0.15454545454545454</v>
      </c>
      <c r="AC168" s="161">
        <f t="shared" si="106"/>
        <v>0.23318181818181818</v>
      </c>
      <c r="AD168" s="159">
        <f t="shared" si="106"/>
        <v>0.24136363636363636</v>
      </c>
      <c r="AE168" s="160">
        <f t="shared" si="106"/>
        <v>0.16954545454545455</v>
      </c>
      <c r="AF168" s="160">
        <f t="shared" si="106"/>
        <v>0.34499999999999997</v>
      </c>
      <c r="AG168" s="161">
        <f t="shared" si="106"/>
        <v>0.22090909090909092</v>
      </c>
      <c r="AH168" s="160">
        <f t="shared" si="106"/>
        <v>0.49136363636363639</v>
      </c>
      <c r="AI168" s="160">
        <f t="shared" si="106"/>
        <v>0.48545454545454547</v>
      </c>
      <c r="AJ168" s="160">
        <f t="shared" si="106"/>
        <v>0</v>
      </c>
      <c r="AK168" s="158"/>
      <c r="AL168" s="162"/>
      <c r="AM168" s="163"/>
      <c r="AO168"/>
      <c r="AP168"/>
      <c r="AQ168"/>
      <c r="AR168"/>
      <c r="AS168"/>
      <c r="AT168"/>
      <c r="AU168"/>
      <c r="AV168"/>
      <c r="AW168"/>
      <c r="AX168"/>
      <c r="AY168"/>
    </row>
    <row r="169" spans="2:51" ht="19.5" outlineLevel="1" thickBot="1">
      <c r="B169" s="108"/>
      <c r="C169" s="251"/>
      <c r="D169" s="180" t="s">
        <v>348</v>
      </c>
      <c r="E169" s="164">
        <f t="shared" ref="E169:AJ169" si="107">E168-E167</f>
        <v>-1.0909090909090916E-4</v>
      </c>
      <c r="F169" s="165">
        <f t="shared" si="107"/>
        <v>-4.6363636363636355E-4</v>
      </c>
      <c r="G169" s="165">
        <f t="shared" si="107"/>
        <v>-1.6590909090909087E-3</v>
      </c>
      <c r="H169" s="165">
        <f t="shared" si="107"/>
        <v>4.54545454545454E-4</v>
      </c>
      <c r="I169" s="165">
        <f t="shared" si="107"/>
        <v>-3.4545454545454463E-4</v>
      </c>
      <c r="J169" s="164">
        <f t="shared" si="107"/>
        <v>2.2727272727272744E-4</v>
      </c>
      <c r="K169" s="165">
        <f t="shared" si="107"/>
        <v>1.2045454545454547E-3</v>
      </c>
      <c r="L169" s="165">
        <f t="shared" si="107"/>
        <v>-6.1818181818182327E-4</v>
      </c>
      <c r="M169" s="165">
        <f t="shared" si="107"/>
        <v>-9.636363636363679E-4</v>
      </c>
      <c r="N169" s="166">
        <f t="shared" si="107"/>
        <v>5.8181818181817641E-4</v>
      </c>
      <c r="O169" s="164">
        <f t="shared" si="107"/>
        <v>-2.4636363636363623E-3</v>
      </c>
      <c r="P169" s="165">
        <f t="shared" si="107"/>
        <v>-2.1318181818181792E-3</v>
      </c>
      <c r="Q169" s="165">
        <f t="shared" si="107"/>
        <v>-2.3818181818181933E-3</v>
      </c>
      <c r="R169" s="165">
        <f t="shared" si="107"/>
        <v>4.045454545454491E-4</v>
      </c>
      <c r="S169" s="166">
        <f t="shared" si="107"/>
        <v>-2.0909090909090877E-4</v>
      </c>
      <c r="T169" s="164">
        <f t="shared" si="107"/>
        <v>-9.0909090909090931E-5</v>
      </c>
      <c r="U169" s="165">
        <f t="shared" si="107"/>
        <v>-5.6818181818181837E-4</v>
      </c>
      <c r="V169" s="165">
        <f t="shared" si="107"/>
        <v>-2.8272727272727269E-3</v>
      </c>
      <c r="W169" s="165">
        <f t="shared" si="107"/>
        <v>-1.1363636363636437E-4</v>
      </c>
      <c r="X169" s="166">
        <f t="shared" si="107"/>
        <v>4.5454545454542972E-5</v>
      </c>
      <c r="Y169" s="164">
        <f t="shared" si="107"/>
        <v>-1.3909090909090911E-3</v>
      </c>
      <c r="Z169" s="165">
        <f t="shared" si="107"/>
        <v>-3.8227272727272736E-3</v>
      </c>
      <c r="AA169" s="165">
        <f t="shared" si="107"/>
        <v>-3.8727272727272638E-3</v>
      </c>
      <c r="AB169" s="165">
        <f t="shared" si="107"/>
        <v>-8.7727272727272654E-4</v>
      </c>
      <c r="AC169" s="166">
        <f t="shared" si="107"/>
        <v>-1.1545454545454359E-3</v>
      </c>
      <c r="AD169" s="164">
        <f t="shared" si="107"/>
        <v>3.0245454545454548E-2</v>
      </c>
      <c r="AE169" s="165">
        <f t="shared" si="107"/>
        <v>1.4050000000000007E-2</v>
      </c>
      <c r="AF169" s="165">
        <f t="shared" si="107"/>
        <v>-5.2240909090909116E-2</v>
      </c>
      <c r="AG169" s="166">
        <f t="shared" si="107"/>
        <v>-1.5240909090909083E-2</v>
      </c>
      <c r="AH169" s="165">
        <f t="shared" si="107"/>
        <v>-8.6363636363636087E-3</v>
      </c>
      <c r="AI169" s="165">
        <f t="shared" si="107"/>
        <v>-1.4545454545454528E-2</v>
      </c>
      <c r="AJ169" s="165">
        <f t="shared" si="107"/>
        <v>0</v>
      </c>
      <c r="AK169" s="158"/>
      <c r="AL169" s="162"/>
      <c r="AM169" s="163"/>
    </row>
    <row r="170" spans="2:51" ht="15.75" customHeight="1">
      <c r="B170" s="96"/>
      <c r="C170" s="96"/>
      <c r="D170" s="252"/>
      <c r="E170" s="252"/>
      <c r="F170" s="252"/>
      <c r="G170" s="252"/>
      <c r="H170" s="252"/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T170" s="252"/>
      <c r="U170" s="252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</row>
    <row r="171" spans="2:51" ht="15.75" customHeight="1"/>
    <row r="172" spans="2:51" ht="15.75" customHeight="1"/>
    <row r="173" spans="2:51" ht="16.350000000000001" customHeight="1"/>
    <row r="174" spans="2:51" ht="16.350000000000001" customHeight="1"/>
    <row r="175" spans="2:51" ht="16.350000000000001" customHeight="1"/>
    <row r="176" spans="2:51" ht="15.75" customHeight="1"/>
    <row r="177" ht="15.75" customHeight="1"/>
    <row r="178" ht="15.75" customHeight="1"/>
    <row r="179" ht="15.75" customHeight="1"/>
    <row r="180" ht="16.350000000000001" customHeight="1"/>
  </sheetData>
  <mergeCells count="56">
    <mergeCell ref="B144:B153"/>
    <mergeCell ref="C144:C153"/>
    <mergeCell ref="D2:I2"/>
    <mergeCell ref="F3:I3"/>
    <mergeCell ref="D5:I5"/>
    <mergeCell ref="D6:I6"/>
    <mergeCell ref="B9:C9"/>
    <mergeCell ref="B10:B11"/>
    <mergeCell ref="D3:E3"/>
    <mergeCell ref="C118:C127"/>
    <mergeCell ref="B131:B140"/>
    <mergeCell ref="C131:C140"/>
    <mergeCell ref="B79:B88"/>
    <mergeCell ref="C79:C88"/>
    <mergeCell ref="B26:B35"/>
    <mergeCell ref="B118:B127"/>
    <mergeCell ref="K2:X5"/>
    <mergeCell ref="AL10:AM12"/>
    <mergeCell ref="C13:C25"/>
    <mergeCell ref="B13:B25"/>
    <mergeCell ref="AH10:AJ10"/>
    <mergeCell ref="AJ11:AJ12"/>
    <mergeCell ref="E11:I11"/>
    <mergeCell ref="J11:N11"/>
    <mergeCell ref="O11:S11"/>
    <mergeCell ref="T11:X11"/>
    <mergeCell ref="Y11:AC11"/>
    <mergeCell ref="AD11:AD12"/>
    <mergeCell ref="AE11:AE12"/>
    <mergeCell ref="AF11:AF12"/>
    <mergeCell ref="AG11:AG12"/>
    <mergeCell ref="B8:D8"/>
    <mergeCell ref="AH11:AH12"/>
    <mergeCell ref="AI11:AI12"/>
    <mergeCell ref="E8:AI8"/>
    <mergeCell ref="E9:AC9"/>
    <mergeCell ref="AD9:AG9"/>
    <mergeCell ref="AH9:AI9"/>
    <mergeCell ref="E10:AC10"/>
    <mergeCell ref="AD10:AG10"/>
    <mergeCell ref="A1:C1"/>
    <mergeCell ref="A2:C2"/>
    <mergeCell ref="D1:I1"/>
    <mergeCell ref="B157:B166"/>
    <mergeCell ref="C157:C166"/>
    <mergeCell ref="C26:C39"/>
    <mergeCell ref="B92:B101"/>
    <mergeCell ref="C92:C101"/>
    <mergeCell ref="B105:B114"/>
    <mergeCell ref="C105:C114"/>
    <mergeCell ref="B40:B49"/>
    <mergeCell ref="C40:C49"/>
    <mergeCell ref="B53:B62"/>
    <mergeCell ref="C53:C62"/>
    <mergeCell ref="B66:B75"/>
    <mergeCell ref="C66:C75"/>
  </mergeCells>
  <conditionalFormatting sqref="E14:I14 E41:I41 E54:I54 E67:I67 E80:I80 E93:I93 E106:I106 E119:I119 E132:I132 E145:I145 E158:I158">
    <cfRule type="expression" dxfId="301" priority="339">
      <formula>ROUND(E13,0)&lt;=ROUND(E14,0)</formula>
    </cfRule>
    <cfRule type="expression" dxfId="300" priority="340">
      <formula>AND(E25&lt;$E$8,E25&gt;($E$8*-1),E14&lt;&gt;0)</formula>
    </cfRule>
    <cfRule type="expression" dxfId="299" priority="341">
      <formula>E25&gt;$E$8</formula>
    </cfRule>
    <cfRule type="expression" dxfId="298" priority="342">
      <formula>AND(E25&lt;($E$8*-1),E14&lt;&gt;0)</formula>
    </cfRule>
  </conditionalFormatting>
  <conditionalFormatting sqref="E27:I27">
    <cfRule type="expression" dxfId="297" priority="343">
      <formula>ROUND(E26,0)&lt;=ROUND(E27,0)</formula>
    </cfRule>
  </conditionalFormatting>
  <conditionalFormatting sqref="E27:AC27">
    <cfRule type="expression" dxfId="296" priority="344">
      <formula>AND(E39&lt;$E$8,E39&gt;($E$8*-1),E27&lt;&gt;0)</formula>
    </cfRule>
    <cfRule type="expression" dxfId="295" priority="345">
      <formula>E39&gt;$E$8</formula>
    </cfRule>
    <cfRule type="expression" dxfId="294" priority="346">
      <formula>AND(E39&lt;($E$8*-1),E27&lt;&gt;0)</formula>
    </cfRule>
  </conditionalFormatting>
  <conditionalFormatting sqref="E163:AJ163 AL163 E150:AJ150 AL150 E137:AJ137 AL137 E19:AJ19 AL19 E32:AJ32 AL32 E46:AJ46 AL46 E59:AJ59 AL59 E72:AJ72 AL72 E85:AJ85 AL85 E98:AJ98 AL98 E111:AJ111 AL111 E124:AJ124 AL124">
    <cfRule type="expression" dxfId="293" priority="320">
      <formula>E19&gt;ROUND(E13,0)</formula>
    </cfRule>
  </conditionalFormatting>
  <conditionalFormatting sqref="E19:AL19">
    <cfRule type="expression" dxfId="292" priority="9">
      <formula>ROUND(E$19,0) &lt; ROUND(E$13,0)</formula>
    </cfRule>
  </conditionalFormatting>
  <conditionalFormatting sqref="E32:AL32">
    <cfRule type="expression" dxfId="291" priority="8">
      <formula>ROUND(E$32,0) &lt; ROUND(E$26,0)</formula>
    </cfRule>
  </conditionalFormatting>
  <conditionalFormatting sqref="E46:AL46">
    <cfRule type="expression" dxfId="290" priority="7">
      <formula>ROUND(E$46,0) &lt; ROUND(E$40,0)</formula>
    </cfRule>
  </conditionalFormatting>
  <conditionalFormatting sqref="E59:AL59">
    <cfRule type="expression" dxfId="289" priority="6">
      <formula>ROUND(E$59,0) &lt; ROUND(E$53,0)</formula>
    </cfRule>
  </conditionalFormatting>
  <conditionalFormatting sqref="E72:AL72">
    <cfRule type="expression" dxfId="288" priority="5">
      <formula>ROUND(E$72,0) &lt; ROUND(E$66,0)</formula>
    </cfRule>
  </conditionalFormatting>
  <conditionalFormatting sqref="E85:AL85">
    <cfRule type="expression" dxfId="287" priority="4">
      <formula>ROUND(E$85,0) &lt; ROUND(E$79,0)</formula>
    </cfRule>
  </conditionalFormatting>
  <conditionalFormatting sqref="E98:AL98">
    <cfRule type="expression" dxfId="286" priority="3">
      <formula>ROUND(E$98,0) &lt; ROUND(E$92,0)</formula>
    </cfRule>
  </conditionalFormatting>
  <conditionalFormatting sqref="E111:AL111">
    <cfRule type="expression" dxfId="285" priority="2">
      <formula>ROUND(E$111,0) &lt; ROUND(E$105,0)</formula>
    </cfRule>
  </conditionalFormatting>
  <conditionalFormatting sqref="E124:AL124">
    <cfRule type="expression" dxfId="284" priority="1">
      <formula>ROUND(E$124,0) &lt; ROUND(E$118,0)</formula>
    </cfRule>
  </conditionalFormatting>
  <conditionalFormatting sqref="E137:AL137">
    <cfRule type="expression" dxfId="283" priority="10">
      <formula>ROUND(E$137,0) &lt; ROUND(E$131,0)</formula>
    </cfRule>
  </conditionalFormatting>
  <conditionalFormatting sqref="E150:AL150">
    <cfRule type="expression" dxfId="282" priority="11">
      <formula>ROUND(E$150,0) &lt; ROUND(E$144,0)</formula>
    </cfRule>
  </conditionalFormatting>
  <conditionalFormatting sqref="E163:AL163">
    <cfRule type="expression" dxfId="281" priority="12">
      <formula>ROUND(E$163,0) &lt; ROUND(E$157,0)</formula>
    </cfRule>
  </conditionalFormatting>
  <conditionalFormatting sqref="J14:AC14 J41:AC41 J54:AC54 J67:AC67 J80:AC80 J93:AC93 J106:AC106 J119:AC119 J132:AC132 J145:AC145 J158:AC158">
    <cfRule type="expression" dxfId="280" priority="330">
      <formula>AND(J25&lt;($E$8*-1),J14&lt;&gt;0)</formula>
    </cfRule>
    <cfRule type="expression" dxfId="279" priority="329">
      <formula>J25&gt;$E$8</formula>
    </cfRule>
    <cfRule type="expression" dxfId="278" priority="328">
      <formula>AND(J25&lt;$E$8,J25&gt;($E$8*-1),J14&lt;&gt;0)</formula>
    </cfRule>
  </conditionalFormatting>
  <conditionalFormatting sqref="J14:AJ14 J27:AJ27 J41:AJ41 J54:AJ54 J67:AJ67 J80:AJ80 J93:AJ93 J106:AJ106 J119:AJ119 J132:AJ132 J145:AJ145 J158:AJ158">
    <cfRule type="expression" dxfId="277" priority="321">
      <formula>ROUND(J13,0)&lt;=J14</formula>
    </cfRule>
  </conditionalFormatting>
  <conditionalFormatting sqref="AD14:AG14 AD41:AG41 AD54:AG54 AD67:AG67 AD80:AG80 AD93:AG93 AD106:AG106 AD119:AG119 AD132:AG132 AD145:AG145 AD158:AG158">
    <cfRule type="expression" dxfId="276" priority="327">
      <formula>AND(AD25&lt;($AD$8*-1),AD14&lt;&gt;0)</formula>
    </cfRule>
    <cfRule type="expression" dxfId="275" priority="325">
      <formula>AND(AD25&lt;$AD$8,AD25&gt;($AD$8*-1),AD14&lt;&gt;0)</formula>
    </cfRule>
    <cfRule type="expression" dxfId="274" priority="326">
      <formula>AD25&gt;$AD$8</formula>
    </cfRule>
  </conditionalFormatting>
  <conditionalFormatting sqref="AD27:AG27">
    <cfRule type="expression" dxfId="273" priority="350">
      <formula>AND(AD39&lt;$AD$8,AD39&gt;($AD$8*-1),AD27&lt;&gt;0)</formula>
    </cfRule>
    <cfRule type="expression" dxfId="272" priority="351">
      <formula>AD39&gt;$AD$8</formula>
    </cfRule>
    <cfRule type="expression" dxfId="271" priority="352">
      <formula>AND(AD39&lt;($AD$8*-1),AD27&lt;&gt;0)</formula>
    </cfRule>
  </conditionalFormatting>
  <conditionalFormatting sqref="AH14:AJ14 AH41:AJ41 AH54:AJ54 AH67:AJ67 AH80:AJ80 AH93:AJ93 AH106:AJ106 AH119:AJ119 AH132:AJ132 AH145:AJ145 AH158:AJ158">
    <cfRule type="expression" dxfId="270" priority="322">
      <formula>AND(AH25&lt;$AH$8,AH25&gt;($AH$8*-1),AH14&lt;&gt;0)</formula>
    </cfRule>
    <cfRule type="expression" dxfId="269" priority="324">
      <formula>AND(AH25&lt;($AH$8*-1),AH14&lt;&gt;0)</formula>
    </cfRule>
    <cfRule type="expression" dxfId="268" priority="323">
      <formula>AH25&gt;$AH$8</formula>
    </cfRule>
  </conditionalFormatting>
  <conditionalFormatting sqref="AH27:AJ27">
    <cfRule type="expression" dxfId="267" priority="353">
      <formula>AND(AH39&lt;$AH$8,AH39&gt;($AH$8*-1),AH27&lt;&gt;0)</formula>
    </cfRule>
    <cfRule type="expression" dxfId="266" priority="354">
      <formula>AH39&gt;$AH$8</formula>
    </cfRule>
    <cfRule type="expression" dxfId="265" priority="355">
      <formula>AND(AH39&lt;($AH$8*-1),AH27&lt;&gt;0)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7137-6D18-45AD-8764-A9472C8DB110}">
  <sheetPr>
    <tabColor rgb="FFFFFF00"/>
  </sheetPr>
  <dimension ref="A1:Z169"/>
  <sheetViews>
    <sheetView topLeftCell="B6" workbookViewId="0">
      <selection activeCell="G19" sqref="G19"/>
    </sheetView>
  </sheetViews>
  <sheetFormatPr defaultColWidth="8.625" defaultRowHeight="15.75" outlineLevelRow="2"/>
  <cols>
    <col min="1" max="1" width="7.5" style="2" hidden="1" customWidth="1"/>
    <col min="2" max="2" width="7.5" style="2" customWidth="1"/>
    <col min="3" max="3" width="7.5" style="2" hidden="1" customWidth="1"/>
    <col min="4" max="4" width="21" style="2" customWidth="1"/>
    <col min="5" max="5" width="21.5" style="2" customWidth="1"/>
    <col min="6" max="15" width="7.5" style="2" customWidth="1"/>
    <col min="16" max="22" width="7.5" style="2" hidden="1" customWidth="1"/>
    <col min="23" max="23" width="0.625" style="2" customWidth="1"/>
    <col min="24" max="27" width="7.5" style="2" customWidth="1"/>
    <col min="28" max="16384" width="8.625" style="2"/>
  </cols>
  <sheetData>
    <row r="1" spans="1:26">
      <c r="A1"/>
      <c r="B1" s="494" t="s">
        <v>324</v>
      </c>
      <c r="C1" s="495"/>
      <c r="D1" s="496"/>
      <c r="E1" s="497" t="s">
        <v>325</v>
      </c>
      <c r="F1" s="498"/>
      <c r="G1" s="498"/>
      <c r="H1" s="498"/>
      <c r="I1" s="498"/>
      <c r="J1" s="498"/>
      <c r="K1" s="542"/>
      <c r="L1" s="86"/>
      <c r="M1" s="99"/>
      <c r="N1" s="99"/>
      <c r="O1" s="99"/>
      <c r="P1" s="99" t="s">
        <v>326</v>
      </c>
      <c r="Q1" s="99"/>
      <c r="R1" s="99"/>
      <c r="S1" s="99"/>
      <c r="T1" s="99"/>
      <c r="U1" s="99"/>
      <c r="V1" s="99"/>
      <c r="W1" s="99"/>
      <c r="X1" s="99"/>
      <c r="Y1" s="99"/>
      <c r="Z1" s="105"/>
    </row>
    <row r="2" spans="1:26" ht="32.1" customHeight="1" thickBot="1">
      <c r="A2"/>
      <c r="B2" s="499" t="s">
        <v>327</v>
      </c>
      <c r="C2" s="499"/>
      <c r="D2" s="500"/>
      <c r="E2" s="536" t="str">
        <f>_xlfn.CONCAT("Study Name: ","
WISC-6 Standardization - Paper")</f>
        <v>Study Name: 
WISC-6 Standardization - Paper</v>
      </c>
      <c r="F2" s="512"/>
      <c r="G2" s="512"/>
      <c r="H2" s="512"/>
      <c r="I2" s="512"/>
      <c r="J2" s="512"/>
      <c r="K2" s="513"/>
      <c r="L2" s="4"/>
      <c r="M2" s="504" t="s">
        <v>328</v>
      </c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6"/>
    </row>
    <row r="3" spans="1:26" ht="31.5" customHeight="1" thickBot="1">
      <c r="A3"/>
      <c r="E3" s="536" t="str">
        <f>_xlfn.CONCAT("Study Acronym: ","
WISC6_STDZ_P")</f>
        <v>Study Acronym: 
WISC6_STDZ_P</v>
      </c>
      <c r="F3" s="512"/>
      <c r="G3" s="513"/>
      <c r="H3" s="512" t="s">
        <v>329</v>
      </c>
      <c r="I3" s="512"/>
      <c r="J3" s="512"/>
      <c r="K3" s="513"/>
      <c r="L3" s="4"/>
      <c r="M3" s="504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6"/>
    </row>
    <row r="4" spans="1:26" ht="26.85" customHeight="1">
      <c r="A4"/>
      <c r="C4" s="24"/>
      <c r="F4" s="25"/>
      <c r="G4" s="25"/>
      <c r="H4" s="25"/>
      <c r="I4" s="25"/>
      <c r="J4" s="25"/>
      <c r="K4" s="25"/>
      <c r="L4" s="25"/>
      <c r="M4" s="504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5"/>
      <c r="Z4" s="506"/>
    </row>
    <row r="5" spans="1:26" ht="21" customHeight="1" thickBot="1">
      <c r="A5"/>
      <c r="D5" s="101"/>
      <c r="E5" s="497" t="s">
        <v>330</v>
      </c>
      <c r="F5" s="498"/>
      <c r="G5" s="498"/>
      <c r="H5" s="498"/>
      <c r="I5" s="498"/>
      <c r="J5" s="498"/>
      <c r="K5" s="498"/>
      <c r="L5" s="97"/>
      <c r="M5" s="504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5"/>
      <c r="Z5" s="506"/>
    </row>
    <row r="6" spans="1:26" ht="133.35" customHeight="1" thickBot="1">
      <c r="A6"/>
      <c r="D6" s="318"/>
      <c r="E6" s="537" t="s">
        <v>349</v>
      </c>
      <c r="F6" s="538"/>
      <c r="G6" s="538"/>
      <c r="H6" s="538"/>
      <c r="I6" s="538"/>
      <c r="J6" s="538"/>
      <c r="K6" s="539"/>
      <c r="L6" s="406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</row>
    <row r="7" spans="1:26">
      <c r="A7"/>
      <c r="D7" s="98"/>
      <c r="E7" s="308"/>
      <c r="F7" s="249"/>
      <c r="G7" s="249"/>
      <c r="H7" s="249"/>
      <c r="I7" s="249"/>
      <c r="J7" s="249"/>
      <c r="K7" s="249"/>
      <c r="L7" s="406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spans="1:26" ht="16.5" thickBot="1">
      <c r="A8"/>
      <c r="C8" s="3"/>
      <c r="D8" s="26"/>
      <c r="E8" s="27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8"/>
      <c r="X8" s="3"/>
      <c r="Y8" s="3"/>
    </row>
    <row r="9" spans="1:26">
      <c r="A9"/>
      <c r="C9" s="482" t="str">
        <f>_xlfn.CONCAT("Last Refreshed at: ",aurora_data!BV4)</f>
        <v>Last Refreshed at: 09/17/2026 @ 7:18 AM</v>
      </c>
      <c r="D9" s="483"/>
      <c r="E9" s="483"/>
      <c r="F9" s="540" t="s">
        <v>332</v>
      </c>
      <c r="G9" s="541"/>
      <c r="H9" s="541"/>
      <c r="I9" s="541"/>
      <c r="J9" s="541"/>
      <c r="K9" s="541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541"/>
      <c r="W9" s="44"/>
      <c r="X9" s="546" t="s">
        <v>337</v>
      </c>
      <c r="Y9" s="547"/>
    </row>
    <row r="10" spans="1:26" ht="16.5" thickBot="1">
      <c r="A10"/>
      <c r="C10" s="486"/>
      <c r="D10" s="487"/>
      <c r="E10" s="29" t="s">
        <v>333</v>
      </c>
      <c r="F10" s="528">
        <v>0.02</v>
      </c>
      <c r="G10" s="529"/>
      <c r="H10" s="529"/>
      <c r="I10" s="529"/>
      <c r="J10" s="529"/>
      <c r="K10" s="530">
        <v>0.04</v>
      </c>
      <c r="L10" s="531"/>
      <c r="M10" s="531"/>
      <c r="N10" s="531"/>
      <c r="O10" s="531"/>
      <c r="P10" s="532">
        <v>0.1</v>
      </c>
      <c r="Q10" s="533"/>
      <c r="R10" s="533"/>
      <c r="S10" s="533"/>
      <c r="T10" s="534"/>
      <c r="U10" s="535"/>
      <c r="V10" s="535"/>
      <c r="W10" s="225"/>
      <c r="X10" s="548"/>
      <c r="Y10" s="549"/>
    </row>
    <row r="11" spans="1:26" ht="17.25" thickTop="1" thickBot="1">
      <c r="A11"/>
      <c r="C11" s="463" t="s">
        <v>334</v>
      </c>
      <c r="D11" s="30"/>
      <c r="E11" s="31"/>
      <c r="F11" s="543" t="s">
        <v>350</v>
      </c>
      <c r="G11" s="476"/>
      <c r="H11" s="476"/>
      <c r="I11" s="476"/>
      <c r="J11" s="477"/>
      <c r="K11" s="476" t="s">
        <v>351</v>
      </c>
      <c r="L11" s="476"/>
      <c r="M11" s="476"/>
      <c r="N11" s="476"/>
      <c r="O11" s="477"/>
      <c r="P11" s="466" t="s">
        <v>336</v>
      </c>
      <c r="Q11" s="466"/>
      <c r="R11" s="466"/>
      <c r="S11" s="466"/>
      <c r="T11" s="544" t="s">
        <v>25</v>
      </c>
      <c r="U11" s="545"/>
      <c r="V11" s="545"/>
      <c r="W11" s="225"/>
      <c r="X11" s="548"/>
      <c r="Y11" s="549"/>
    </row>
    <row r="12" spans="1:26" ht="17.25" thickTop="1" thickBot="1">
      <c r="A12"/>
      <c r="C12" s="463"/>
      <c r="D12" s="30" t="s">
        <v>5</v>
      </c>
      <c r="E12" s="33" t="s">
        <v>260</v>
      </c>
      <c r="F12" s="94">
        <v>1</v>
      </c>
      <c r="G12" s="92">
        <v>2</v>
      </c>
      <c r="H12" s="93" t="s">
        <v>50</v>
      </c>
      <c r="I12" s="93">
        <v>4</v>
      </c>
      <c r="J12" s="93">
        <v>5</v>
      </c>
      <c r="K12" s="87" t="s">
        <v>22</v>
      </c>
      <c r="L12" s="87" t="s">
        <v>36</v>
      </c>
      <c r="M12" s="87" t="s">
        <v>24</v>
      </c>
      <c r="N12" s="91" t="s">
        <v>352</v>
      </c>
      <c r="O12" s="91" t="s">
        <v>39</v>
      </c>
      <c r="P12" s="87" t="s">
        <v>59</v>
      </c>
      <c r="Q12" s="87" t="s">
        <v>47</v>
      </c>
      <c r="R12" s="87" t="s">
        <v>33</v>
      </c>
      <c r="S12" s="87" t="s">
        <v>60</v>
      </c>
      <c r="T12" s="88" t="s">
        <v>45</v>
      </c>
      <c r="U12" s="89" t="s">
        <v>34</v>
      </c>
      <c r="V12" s="223" t="s">
        <v>353</v>
      </c>
      <c r="W12" s="225"/>
      <c r="X12" s="550"/>
      <c r="Y12" s="551"/>
    </row>
    <row r="13" spans="1:26">
      <c r="A13"/>
      <c r="C13" s="451" t="s">
        <v>338</v>
      </c>
      <c r="D13" s="453" t="str">
        <f>aurora_data!BA4</f>
        <v>06.00.00-06.11.30</v>
      </c>
      <c r="E13" s="34" t="s">
        <v>306</v>
      </c>
      <c r="F13" s="39">
        <f>IFERROR(aurora_data!BD4,0)</f>
        <v>5.24</v>
      </c>
      <c r="G13" s="40">
        <f>IFERROR(aurora_data!BE4,0)</f>
        <v>9.9</v>
      </c>
      <c r="H13" s="40">
        <f>IFERROR(aurora_data!BF4,0)</f>
        <v>39.65</v>
      </c>
      <c r="I13" s="40">
        <f>IFERROR(aurora_data!BG4,0)</f>
        <v>64.319999999999993</v>
      </c>
      <c r="J13" s="41">
        <f>IFERROR(aurora_data!BH4,0)</f>
        <v>80.88</v>
      </c>
      <c r="K13" s="39">
        <f>IFERROR(aurora_data!BI4,0)</f>
        <v>10.31</v>
      </c>
      <c r="L13" s="40">
        <f>IFERROR(aurora_data!BJ4,0)</f>
        <v>24.51</v>
      </c>
      <c r="M13" s="40">
        <f>IFERROR(aurora_data!BK4,0)</f>
        <v>48.37</v>
      </c>
      <c r="N13" s="40">
        <f>IFERROR(aurora_data!BL4,0)</f>
        <v>20.18</v>
      </c>
      <c r="O13" s="41">
        <f>IFERROR(aurora_data!BM4,0)</f>
        <v>96.64</v>
      </c>
      <c r="P13" s="39">
        <f>IFERROR(aurora_data!BN4,0)</f>
        <v>44.3</v>
      </c>
      <c r="Q13" s="40">
        <f>IFERROR(aurora_data!BO4,0)</f>
        <v>30.53</v>
      </c>
      <c r="R13" s="40">
        <f>IFERROR(aurora_data!BP4,0)</f>
        <v>80</v>
      </c>
      <c r="S13" s="41">
        <f>IFERROR(aurora_data!BQ4,0)</f>
        <v>45.17</v>
      </c>
      <c r="T13" s="40">
        <f>IFERROR(aurora_data!BR4,0)</f>
        <v>100</v>
      </c>
      <c r="U13" s="40">
        <f>IFERROR(aurora_data!BS4,0)</f>
        <v>100</v>
      </c>
      <c r="V13" s="224">
        <f>IFERROR(aurora_data!BT4,0)</f>
        <v>0</v>
      </c>
      <c r="W13" s="226" t="s">
        <v>354</v>
      </c>
      <c r="X13" s="39">
        <f>IFERROR(aurora_data!BU4,0)</f>
        <v>200</v>
      </c>
      <c r="Y13" s="69">
        <f t="shared" ref="Y13:Y20" si="0">IFERROR(X13/$X$13,0)</f>
        <v>1</v>
      </c>
    </row>
    <row r="14" spans="1:26">
      <c r="A14"/>
      <c r="C14" s="452"/>
      <c r="D14" s="454"/>
      <c r="E14" s="35" t="s">
        <v>339</v>
      </c>
      <c r="F14" s="113">
        <f>IFERROR(aurora_data!BD5,0)</f>
        <v>4</v>
      </c>
      <c r="G14" s="253">
        <f>IFERROR(aurora_data!BE5,0)</f>
        <v>6</v>
      </c>
      <c r="H14" s="253">
        <f>IFERROR(aurora_data!BF5,0)</f>
        <v>36</v>
      </c>
      <c r="I14" s="253">
        <f>IFERROR(aurora_data!BG5,0)</f>
        <v>65</v>
      </c>
      <c r="J14" s="254">
        <f>IFERROR(aurora_data!BH5,0)</f>
        <v>80</v>
      </c>
      <c r="K14" s="113">
        <f>IFERROR(aurora_data!BI5,0)</f>
        <v>9</v>
      </c>
      <c r="L14" s="253">
        <f>IFERROR(aurora_data!BJ5,0)</f>
        <v>24</v>
      </c>
      <c r="M14" s="253">
        <f>IFERROR(aurora_data!BK5,0)</f>
        <v>46</v>
      </c>
      <c r="N14" s="253">
        <f>IFERROR(aurora_data!BL5,0)</f>
        <v>20</v>
      </c>
      <c r="O14" s="254">
        <f>IFERROR(aurora_data!BM5,0)</f>
        <v>92</v>
      </c>
      <c r="P14" s="113">
        <f>IFERROR(aurora_data!BN5,0)</f>
        <v>49</v>
      </c>
      <c r="Q14" s="253">
        <f>IFERROR(aurora_data!BO5,0)</f>
        <v>33</v>
      </c>
      <c r="R14" s="253">
        <f>IFERROR(aurora_data!BP5,0)</f>
        <v>75</v>
      </c>
      <c r="S14" s="254">
        <f>IFERROR(aurora_data!BQ5,0)</f>
        <v>34</v>
      </c>
      <c r="T14" s="253">
        <f>IFERROR(aurora_data!BR5,0)</f>
        <v>98</v>
      </c>
      <c r="U14" s="253">
        <f>IFERROR(aurora_data!BS5,0)</f>
        <v>93</v>
      </c>
      <c r="V14" s="254">
        <f>IFERROR(aurora_data!BT5,0)</f>
        <v>0</v>
      </c>
      <c r="W14" s="61" t="s">
        <v>354</v>
      </c>
      <c r="X14" s="113">
        <f>IFERROR(aurora_data!BU5,0)</f>
        <v>191</v>
      </c>
      <c r="Y14" s="281">
        <f t="shared" si="0"/>
        <v>0.95499999999999996</v>
      </c>
    </row>
    <row r="15" spans="1:26">
      <c r="A15"/>
      <c r="C15" s="452"/>
      <c r="D15" s="454"/>
      <c r="E15" s="35" t="s">
        <v>291</v>
      </c>
      <c r="F15" s="113">
        <f>IFERROR(aurora_data!BD6,0)</f>
        <v>2</v>
      </c>
      <c r="G15" s="253">
        <f>IFERROR(aurora_data!BE6,0)</f>
        <v>0</v>
      </c>
      <c r="H15" s="253">
        <f>IFERROR(aurora_data!BF6,0)</f>
        <v>1</v>
      </c>
      <c r="I15" s="253">
        <f>IFERROR(aurora_data!BG6,0)</f>
        <v>7</v>
      </c>
      <c r="J15" s="254">
        <f>IFERROR(aurora_data!BH6,0)</f>
        <v>15</v>
      </c>
      <c r="K15" s="113">
        <f>IFERROR(aurora_data!BI6,0)</f>
        <v>0</v>
      </c>
      <c r="L15" s="253">
        <f>IFERROR(aurora_data!BJ6,0)</f>
        <v>4</v>
      </c>
      <c r="M15" s="253">
        <f>IFERROR(aurora_data!BK6,0)</f>
        <v>3</v>
      </c>
      <c r="N15" s="253">
        <f>IFERROR(aurora_data!BL6,0)</f>
        <v>3</v>
      </c>
      <c r="O15" s="254">
        <f>IFERROR(aurora_data!BM6,0)</f>
        <v>15</v>
      </c>
      <c r="P15" s="113">
        <f>IFERROR(aurora_data!BN6,0)</f>
        <v>15</v>
      </c>
      <c r="Q15" s="253">
        <f>IFERROR(aurora_data!BO6,0)</f>
        <v>6</v>
      </c>
      <c r="R15" s="253">
        <f>IFERROR(aurora_data!BP6,0)</f>
        <v>3</v>
      </c>
      <c r="S15" s="254">
        <f>IFERROR(aurora_data!BQ6,0)</f>
        <v>1</v>
      </c>
      <c r="T15" s="253">
        <f>IFERROR(aurora_data!BR6,0)</f>
        <v>10</v>
      </c>
      <c r="U15" s="253">
        <f>IFERROR(aurora_data!BS6,0)</f>
        <v>15</v>
      </c>
      <c r="V15" s="254">
        <f>IFERROR(aurora_data!BT6,0)</f>
        <v>0</v>
      </c>
      <c r="W15" s="61" t="s">
        <v>354</v>
      </c>
      <c r="X15" s="113">
        <f>IFERROR(aurora_data!BU6,0)</f>
        <v>25</v>
      </c>
      <c r="Y15" s="281">
        <f t="shared" si="0"/>
        <v>0.125</v>
      </c>
    </row>
    <row r="16" spans="1:26">
      <c r="A16"/>
      <c r="C16" s="452"/>
      <c r="D16" s="454"/>
      <c r="E16" s="35" t="s">
        <v>340</v>
      </c>
      <c r="F16" s="113">
        <f>IFERROR(aurora_data!BD7,0)</f>
        <v>0</v>
      </c>
      <c r="G16" s="253">
        <f>IFERROR(aurora_data!BE7,0)</f>
        <v>0</v>
      </c>
      <c r="H16" s="253">
        <f>IFERROR(aurora_data!BF7,0)</f>
        <v>0</v>
      </c>
      <c r="I16" s="253">
        <f>IFERROR(aurora_data!BG7,0)</f>
        <v>0</v>
      </c>
      <c r="J16" s="254">
        <f>IFERROR(aurora_data!BH7,0)</f>
        <v>0</v>
      </c>
      <c r="K16" s="113">
        <f>IFERROR(aurora_data!BI7,0)</f>
        <v>0</v>
      </c>
      <c r="L16" s="253">
        <f>IFERROR(aurora_data!BJ7,0)</f>
        <v>0</v>
      </c>
      <c r="M16" s="253">
        <f>IFERROR(aurora_data!BK7,0)</f>
        <v>0</v>
      </c>
      <c r="N16" s="253">
        <f>IFERROR(aurora_data!BL7,0)</f>
        <v>0</v>
      </c>
      <c r="O16" s="254">
        <f>IFERROR(aurora_data!BM7,0)</f>
        <v>0</v>
      </c>
      <c r="P16" s="113">
        <f>IFERROR(aurora_data!BN7,0)</f>
        <v>0</v>
      </c>
      <c r="Q16" s="253">
        <f>IFERROR(aurora_data!BO7,0)</f>
        <v>0</v>
      </c>
      <c r="R16" s="253">
        <f>IFERROR(aurora_data!BP7,0)</f>
        <v>0</v>
      </c>
      <c r="S16" s="254">
        <f>IFERROR(aurora_data!BQ7,0)</f>
        <v>0</v>
      </c>
      <c r="T16" s="253">
        <f>IFERROR(aurora_data!BR7,0)</f>
        <v>0</v>
      </c>
      <c r="U16" s="253">
        <f>IFERROR(aurora_data!BS7,0)</f>
        <v>0</v>
      </c>
      <c r="V16" s="254">
        <f>IFERROR(aurora_data!BT7,0)</f>
        <v>0</v>
      </c>
      <c r="W16" s="61" t="s">
        <v>354</v>
      </c>
      <c r="X16" s="113">
        <f>IFERROR(aurora_data!BU7,0)</f>
        <v>0</v>
      </c>
      <c r="Y16" s="281">
        <f t="shared" si="0"/>
        <v>0</v>
      </c>
    </row>
    <row r="17" spans="1:25">
      <c r="A17"/>
      <c r="C17" s="452"/>
      <c r="D17" s="454"/>
      <c r="E17" s="35" t="s">
        <v>341</v>
      </c>
      <c r="F17" s="113">
        <f>IFERROR(aurora_data!BD8,0)</f>
        <v>4</v>
      </c>
      <c r="G17" s="253">
        <f>IFERROR(aurora_data!BE8,0)</f>
        <v>3</v>
      </c>
      <c r="H17" s="253">
        <f>IFERROR(aurora_data!BF8,0)</f>
        <v>1</v>
      </c>
      <c r="I17" s="253">
        <f>IFERROR(aurora_data!BG8,0)</f>
        <v>0</v>
      </c>
      <c r="J17" s="254">
        <f>IFERROR(aurora_data!BH8,0)</f>
        <v>2</v>
      </c>
      <c r="K17" s="113">
        <f>IFERROR(aurora_data!BI8,0)</f>
        <v>1</v>
      </c>
      <c r="L17" s="253">
        <f>IFERROR(aurora_data!BJ8,0)</f>
        <v>2</v>
      </c>
      <c r="M17" s="253">
        <f>IFERROR(aurora_data!BK8,0)</f>
        <v>2</v>
      </c>
      <c r="N17" s="253">
        <f>IFERROR(aurora_data!BL8,0)</f>
        <v>0</v>
      </c>
      <c r="O17" s="254">
        <f>IFERROR(aurora_data!BM8,0)</f>
        <v>5</v>
      </c>
      <c r="P17" s="113">
        <f>IFERROR(aurora_data!BN8,0)</f>
        <v>3</v>
      </c>
      <c r="Q17" s="253">
        <f>IFERROR(aurora_data!BO8,0)</f>
        <v>1</v>
      </c>
      <c r="R17" s="253">
        <f>IFERROR(aurora_data!BP8,0)</f>
        <v>3</v>
      </c>
      <c r="S17" s="254">
        <f>IFERROR(aurora_data!BQ8,0)</f>
        <v>3</v>
      </c>
      <c r="T17" s="253">
        <f>IFERROR(aurora_data!BR8,0)</f>
        <v>5</v>
      </c>
      <c r="U17" s="253">
        <f>IFERROR(aurora_data!BS8,0)</f>
        <v>5</v>
      </c>
      <c r="V17" s="254">
        <f>IFERROR(aurora_data!BT8,0)</f>
        <v>0</v>
      </c>
      <c r="W17" s="61" t="s">
        <v>354</v>
      </c>
      <c r="X17" s="113">
        <f>IFERROR(aurora_data!BU8,0)</f>
        <v>10</v>
      </c>
      <c r="Y17" s="281">
        <f t="shared" si="0"/>
        <v>0.05</v>
      </c>
    </row>
    <row r="18" spans="1:25" ht="16.5" thickBot="1">
      <c r="A18"/>
      <c r="C18" s="452"/>
      <c r="D18" s="454"/>
      <c r="E18" s="35" t="s">
        <v>342</v>
      </c>
      <c r="F18" s="113">
        <f>IFERROR(aurora_data!BD9,0)</f>
        <v>0</v>
      </c>
      <c r="G18" s="253">
        <f>IFERROR(aurora_data!BE9,0)</f>
        <v>0</v>
      </c>
      <c r="H18" s="253">
        <f>IFERROR(aurora_data!BF9,0)</f>
        <v>1</v>
      </c>
      <c r="I18" s="253">
        <f>IFERROR(aurora_data!BG9,0)</f>
        <v>0</v>
      </c>
      <c r="J18" s="254">
        <f>IFERROR(aurora_data!BH9,0)</f>
        <v>2</v>
      </c>
      <c r="K18" s="113">
        <f>IFERROR(aurora_data!BI9,0)</f>
        <v>0</v>
      </c>
      <c r="L18" s="253">
        <f>IFERROR(aurora_data!BJ9,0)</f>
        <v>0</v>
      </c>
      <c r="M18" s="253">
        <f>IFERROR(aurora_data!BK9,0)</f>
        <v>1</v>
      </c>
      <c r="N18" s="253">
        <f>IFERROR(aurora_data!BL9,0)</f>
        <v>2</v>
      </c>
      <c r="O18" s="254">
        <f>IFERROR(aurora_data!BM9,0)</f>
        <v>0</v>
      </c>
      <c r="P18" s="113">
        <f>IFERROR(aurora_data!BN9,0)</f>
        <v>1</v>
      </c>
      <c r="Q18" s="253">
        <f>IFERROR(aurora_data!BO9,0)</f>
        <v>0</v>
      </c>
      <c r="R18" s="253">
        <f>IFERROR(aurora_data!BP9,0)</f>
        <v>1</v>
      </c>
      <c r="S18" s="254">
        <f>IFERROR(aurora_data!BQ9,0)</f>
        <v>1</v>
      </c>
      <c r="T18" s="253">
        <f>IFERROR(aurora_data!BR9,0)</f>
        <v>0</v>
      </c>
      <c r="U18" s="253">
        <f>IFERROR(aurora_data!BS9,0)</f>
        <v>3</v>
      </c>
      <c r="V18" s="254">
        <f>IFERROR(aurora_data!BT9,0)</f>
        <v>0</v>
      </c>
      <c r="W18" s="61" t="s">
        <v>354</v>
      </c>
      <c r="X18" s="113">
        <f>IFERROR(aurora_data!BU9,0)</f>
        <v>3</v>
      </c>
      <c r="Y18" s="281">
        <f t="shared" si="0"/>
        <v>1.4999999999999999E-2</v>
      </c>
    </row>
    <row r="19" spans="1:25" ht="16.5" thickBot="1">
      <c r="A19"/>
      <c r="C19" s="452"/>
      <c r="D19" s="454"/>
      <c r="E19" s="37" t="s">
        <v>17</v>
      </c>
      <c r="F19" s="59">
        <f>IFERROR(aurora_data!BD10,0)</f>
        <v>10</v>
      </c>
      <c r="G19" s="64">
        <f>IFERROR(aurora_data!BE10,0)</f>
        <v>9</v>
      </c>
      <c r="H19" s="64">
        <f>IFERROR(aurora_data!BF10,0)</f>
        <v>39</v>
      </c>
      <c r="I19" s="64">
        <f>IFERROR(aurora_data!BG10,0)</f>
        <v>72</v>
      </c>
      <c r="J19" s="65">
        <f>IFERROR(aurora_data!BH10,0)</f>
        <v>99</v>
      </c>
      <c r="K19" s="59">
        <f>IFERROR(aurora_data!BI10,0)</f>
        <v>10</v>
      </c>
      <c r="L19" s="64">
        <f>IFERROR(aurora_data!BJ10,0)</f>
        <v>30</v>
      </c>
      <c r="M19" s="64">
        <f>IFERROR(aurora_data!BK10,0)</f>
        <v>52</v>
      </c>
      <c r="N19" s="64">
        <f>IFERROR(aurora_data!BL10,0)</f>
        <v>25</v>
      </c>
      <c r="O19" s="65">
        <f>IFERROR(aurora_data!BM10,0)</f>
        <v>112</v>
      </c>
      <c r="P19" s="59">
        <f>IFERROR(aurora_data!BN10,0)</f>
        <v>68</v>
      </c>
      <c r="Q19" s="64">
        <f>IFERROR(aurora_data!BO10,0)</f>
        <v>40</v>
      </c>
      <c r="R19" s="64">
        <f>IFERROR(aurora_data!BP10,0)</f>
        <v>82</v>
      </c>
      <c r="S19" s="65">
        <f>IFERROR(aurora_data!BQ10,0)</f>
        <v>39</v>
      </c>
      <c r="T19" s="64">
        <f>IFERROR(aurora_data!BR10,0)</f>
        <v>113</v>
      </c>
      <c r="U19" s="64">
        <f>IFERROR(aurora_data!BS10,0)</f>
        <v>116</v>
      </c>
      <c r="V19" s="65">
        <f>IFERROR(aurora_data!BT10,0)</f>
        <v>0</v>
      </c>
      <c r="W19" s="66" t="s">
        <v>354</v>
      </c>
      <c r="X19" s="59">
        <f>IFERROR(aurora_data!BU10,0)</f>
        <v>229</v>
      </c>
      <c r="Y19" s="70">
        <f t="shared" si="0"/>
        <v>1.145</v>
      </c>
    </row>
    <row r="20" spans="1:25" ht="16.5" thickBot="1">
      <c r="A20"/>
      <c r="C20" s="452"/>
      <c r="D20" s="454"/>
      <c r="E20" s="38" t="s">
        <v>343</v>
      </c>
      <c r="F20" s="256">
        <f>IFERROR(aurora_data!BD11,0)</f>
        <v>0</v>
      </c>
      <c r="G20" s="257">
        <f>IFERROR(aurora_data!BE11,0)</f>
        <v>0</v>
      </c>
      <c r="H20" s="257">
        <f>IFERROR(aurora_data!BF11,0)</f>
        <v>4</v>
      </c>
      <c r="I20" s="257">
        <f>IFERROR(aurora_data!BG11,0)</f>
        <v>3</v>
      </c>
      <c r="J20" s="258">
        <f>IFERROR(aurora_data!BH11,0)</f>
        <v>4</v>
      </c>
      <c r="K20" s="256">
        <f>IFERROR(aurora_data!BI11,0)</f>
        <v>0</v>
      </c>
      <c r="L20" s="257">
        <f>IFERROR(aurora_data!BJ11,0)</f>
        <v>0</v>
      </c>
      <c r="M20" s="257">
        <f>IFERROR(aurora_data!BK11,0)</f>
        <v>4</v>
      </c>
      <c r="N20" s="257">
        <f>IFERROR(aurora_data!BL11,0)</f>
        <v>1</v>
      </c>
      <c r="O20" s="258">
        <f>IFERROR(aurora_data!BM11,0)</f>
        <v>6</v>
      </c>
      <c r="P20" s="256">
        <f>IFERROR(aurora_data!BN11,0)</f>
        <v>4</v>
      </c>
      <c r="Q20" s="257">
        <f>IFERROR(aurora_data!BO11,0)</f>
        <v>1</v>
      </c>
      <c r="R20" s="257">
        <f>IFERROR(aurora_data!BP11,0)</f>
        <v>5</v>
      </c>
      <c r="S20" s="258">
        <f>IFERROR(aurora_data!BQ11,0)</f>
        <v>1</v>
      </c>
      <c r="T20" s="257">
        <f>IFERROR(aurora_data!BR11,0)</f>
        <v>6</v>
      </c>
      <c r="U20" s="257">
        <f>IFERROR(aurora_data!BS11,0)</f>
        <v>5</v>
      </c>
      <c r="V20" s="259">
        <f>IFERROR(aurora_data!BT11,0)</f>
        <v>0</v>
      </c>
      <c r="W20" s="61" t="s">
        <v>354</v>
      </c>
      <c r="X20" s="256">
        <f>IFERROR(aurora_data!BU11,0)</f>
        <v>11</v>
      </c>
      <c r="Y20" s="261">
        <f t="shared" si="0"/>
        <v>5.5E-2</v>
      </c>
    </row>
    <row r="21" spans="1:25" hidden="1" outlineLevel="1">
      <c r="A21"/>
      <c r="C21" s="452"/>
      <c r="D21" s="454"/>
      <c r="E21" s="199" t="s">
        <v>344</v>
      </c>
      <c r="F21" s="271">
        <f>ROUNDDOWN((F23+$F$10)*($X13),0)</f>
        <v>9</v>
      </c>
      <c r="G21" s="272">
        <f>ROUNDDOWN((G23+$F$10)*($X13),0)</f>
        <v>13</v>
      </c>
      <c r="H21" s="272">
        <f>ROUNDDOWN((H23+$F$10)*($X13),0)</f>
        <v>43</v>
      </c>
      <c r="I21" s="272">
        <f>ROUNDDOWN((I23+$F$10)*($X13),0)</f>
        <v>68</v>
      </c>
      <c r="J21" s="272">
        <f>ROUNDDOWN((J23+$F$10)*($X13),0)</f>
        <v>84</v>
      </c>
      <c r="K21" s="271">
        <f>ROUNDDOWN((K23+$K$10)*($X13),0)</f>
        <v>18</v>
      </c>
      <c r="L21" s="272">
        <f>ROUNDDOWN((L23+$K$10)*($X13),0)</f>
        <v>32</v>
      </c>
      <c r="M21" s="272">
        <f>ROUNDDOWN((M23+$K$10)*($X13),0)</f>
        <v>56</v>
      </c>
      <c r="N21" s="272">
        <f>ROUNDDOWN((N23+$K$10)*($X13),0)</f>
        <v>28</v>
      </c>
      <c r="O21" s="282">
        <f>ROUNDDOWN((O23+$K$10)*($X13),0)</f>
        <v>104</v>
      </c>
      <c r="P21" s="283"/>
      <c r="Q21" s="283"/>
      <c r="R21" s="283"/>
      <c r="S21" s="283"/>
      <c r="T21" s="284"/>
      <c r="U21" s="283"/>
      <c r="V21" s="283"/>
      <c r="W21" s="61"/>
      <c r="X21" s="285"/>
      <c r="Y21" s="286"/>
    </row>
    <row r="22" spans="1:25" hidden="1" outlineLevel="1">
      <c r="A22"/>
      <c r="C22" s="452"/>
      <c r="D22" s="454"/>
      <c r="E22" s="199" t="s">
        <v>345</v>
      </c>
      <c r="F22" s="276">
        <f>IF(ROUND(((F23-$F$10)*($X13))+0.25,0) &lt;=0,1,((F23-$F$10)*($X13))+0.25)</f>
        <v>1.4900000000000002</v>
      </c>
      <c r="G22" s="277">
        <f>IF(ROUND(((G23-$F$10)*($X13))+0.25,0) &lt;=0,1,((G23-$F$10)*($X13))+0.25)</f>
        <v>6.15</v>
      </c>
      <c r="H22" s="277">
        <f>IF(ROUND(((H23-$F$10)*($X13))+0.25,0) &lt;=0,1,((H23-$F$10)*($X13))+0.25)</f>
        <v>35.9</v>
      </c>
      <c r="I22" s="277">
        <f>IF(ROUND(((I23-$F$10)*($X13))+0.25,0) &lt;=0,1,((I23-$F$10)*($X13))+0.25)</f>
        <v>60.569999999999986</v>
      </c>
      <c r="J22" s="277">
        <f>IF(ROUND(((J23-$F$10)*($X13))+0.25,0) &lt;=0,1,((J23-$F$10)*($X13))+0.25)</f>
        <v>77.13</v>
      </c>
      <c r="K22" s="276">
        <f>IF(ROUND(((K23-$K$10)*($X13))+0.25,0) &lt;=0,1,((K23-$K$10)*($X13))+0.25)</f>
        <v>2.5600000000000009</v>
      </c>
      <c r="L22" s="277">
        <f>IF(ROUND(((L23-$K$10)*($X13))+0.25,0) &lt;=0,1,((L23-$K$10)*($X13))+0.25)</f>
        <v>16.760000000000002</v>
      </c>
      <c r="M22" s="277">
        <f>IF(ROUND(((M23-$K$10)*($X13))+0.25,0) &lt;=0,1,((M23-$K$10)*($X13))+0.25)</f>
        <v>40.619999999999997</v>
      </c>
      <c r="N22" s="277">
        <f>IF(ROUND(((N23-$K$10)*($X13))+0.25,0) &lt;=0,1,((N23-$K$10)*($X13))+0.25)</f>
        <v>12.43</v>
      </c>
      <c r="O22" s="287">
        <f>IF(ROUND(((O23-$K$10)*($X13))+0.25,0) &lt;=0,1,((O23-$K$10)*($X13))+0.25)</f>
        <v>88.890000000000015</v>
      </c>
      <c r="P22" s="288"/>
      <c r="Q22" s="288"/>
      <c r="R22" s="288"/>
      <c r="S22" s="288"/>
      <c r="T22" s="289"/>
      <c r="U22" s="288"/>
      <c r="V22" s="288"/>
      <c r="W22" s="61"/>
      <c r="X22" s="285"/>
      <c r="Y22" s="286"/>
    </row>
    <row r="23" spans="1:25" hidden="1" outlineLevel="1">
      <c r="A23"/>
      <c r="C23" s="110"/>
      <c r="D23" s="454"/>
      <c r="E23" s="95" t="s">
        <v>346</v>
      </c>
      <c r="F23" s="414">
        <f t="shared" ref="F23:O23" si="1">IFERROR(F13/$X13,0)</f>
        <v>2.6200000000000001E-2</v>
      </c>
      <c r="G23" s="415">
        <f t="shared" si="1"/>
        <v>4.9500000000000002E-2</v>
      </c>
      <c r="H23" s="415">
        <f t="shared" si="1"/>
        <v>0.19824999999999998</v>
      </c>
      <c r="I23" s="415">
        <f t="shared" si="1"/>
        <v>0.32159999999999994</v>
      </c>
      <c r="J23" s="415">
        <f t="shared" si="1"/>
        <v>0.40439999999999998</v>
      </c>
      <c r="K23" s="424">
        <f t="shared" si="1"/>
        <v>5.1550000000000006E-2</v>
      </c>
      <c r="L23" s="425">
        <f t="shared" si="1"/>
        <v>0.12255000000000001</v>
      </c>
      <c r="M23" s="425">
        <f t="shared" si="1"/>
        <v>0.24184999999999998</v>
      </c>
      <c r="N23" s="425">
        <f t="shared" si="1"/>
        <v>0.1009</v>
      </c>
      <c r="O23" s="426">
        <f t="shared" si="1"/>
        <v>0.48320000000000002</v>
      </c>
      <c r="P23" s="427"/>
      <c r="Q23" s="427"/>
      <c r="R23" s="427"/>
      <c r="S23" s="427"/>
      <c r="T23" s="428"/>
      <c r="U23" s="427"/>
      <c r="V23" s="427"/>
      <c r="W23" s="61"/>
      <c r="X23" s="429"/>
      <c r="Y23" s="426"/>
    </row>
    <row r="24" spans="1:25" hidden="1" outlineLevel="1">
      <c r="A24"/>
      <c r="C24" s="110"/>
      <c r="D24" s="454"/>
      <c r="E24" s="180" t="s">
        <v>347</v>
      </c>
      <c r="F24" s="414">
        <f t="shared" ref="F24:O24" si="2">IFERROR(F14/$X13,0)</f>
        <v>0.02</v>
      </c>
      <c r="G24" s="415">
        <f t="shared" si="2"/>
        <v>0.03</v>
      </c>
      <c r="H24" s="415">
        <f t="shared" si="2"/>
        <v>0.18</v>
      </c>
      <c r="I24" s="415">
        <f t="shared" si="2"/>
        <v>0.32500000000000001</v>
      </c>
      <c r="J24" s="415">
        <f t="shared" si="2"/>
        <v>0.4</v>
      </c>
      <c r="K24" s="424">
        <f t="shared" si="2"/>
        <v>4.4999999999999998E-2</v>
      </c>
      <c r="L24" s="425">
        <f t="shared" si="2"/>
        <v>0.12</v>
      </c>
      <c r="M24" s="425">
        <f t="shared" si="2"/>
        <v>0.23</v>
      </c>
      <c r="N24" s="425">
        <f t="shared" si="2"/>
        <v>0.1</v>
      </c>
      <c r="O24" s="426">
        <f t="shared" si="2"/>
        <v>0.46</v>
      </c>
      <c r="P24" s="427"/>
      <c r="Q24" s="427"/>
      <c r="R24" s="427"/>
      <c r="S24" s="427"/>
      <c r="T24" s="428"/>
      <c r="U24" s="427"/>
      <c r="V24" s="427"/>
      <c r="W24" s="61"/>
      <c r="X24" s="429"/>
      <c r="Y24" s="426"/>
    </row>
    <row r="25" spans="1:25" ht="16.5" hidden="1" outlineLevel="1" thickBot="1">
      <c r="A25"/>
      <c r="C25" s="111"/>
      <c r="D25" s="455"/>
      <c r="E25" s="180" t="s">
        <v>348</v>
      </c>
      <c r="F25" s="414">
        <f t="shared" ref="F25:O25" si="3">F24-F23</f>
        <v>-6.2000000000000006E-3</v>
      </c>
      <c r="G25" s="415">
        <f t="shared" si="3"/>
        <v>-1.9500000000000003E-2</v>
      </c>
      <c r="H25" s="415">
        <f t="shared" si="3"/>
        <v>-1.8249999999999988E-2</v>
      </c>
      <c r="I25" s="415">
        <f t="shared" si="3"/>
        <v>3.4000000000000696E-3</v>
      </c>
      <c r="J25" s="415">
        <f t="shared" si="3"/>
        <v>-4.3999999999999595E-3</v>
      </c>
      <c r="K25" s="424">
        <f t="shared" si="3"/>
        <v>-6.5500000000000072E-3</v>
      </c>
      <c r="L25" s="425">
        <f t="shared" si="3"/>
        <v>-2.5500000000000106E-3</v>
      </c>
      <c r="M25" s="425">
        <f t="shared" si="3"/>
        <v>-1.1849999999999972E-2</v>
      </c>
      <c r="N25" s="425">
        <f t="shared" si="3"/>
        <v>-8.9999999999999802E-4</v>
      </c>
      <c r="O25" s="430">
        <f t="shared" si="3"/>
        <v>-2.3199999999999998E-2</v>
      </c>
      <c r="P25" s="427"/>
      <c r="Q25" s="427"/>
      <c r="R25" s="427"/>
      <c r="S25" s="427"/>
      <c r="T25" s="428"/>
      <c r="U25" s="427"/>
      <c r="V25" s="427"/>
      <c r="W25" s="61"/>
      <c r="X25" s="429"/>
      <c r="Y25" s="426"/>
    </row>
    <row r="26" spans="1:25" collapsed="1">
      <c r="A26"/>
      <c r="C26" s="451" t="s">
        <v>338</v>
      </c>
      <c r="D26" s="453" t="str">
        <f>aurora_data!BA12</f>
        <v>07.00.00-07.11.30</v>
      </c>
      <c r="E26" s="34" t="s">
        <v>306</v>
      </c>
      <c r="F26" s="39">
        <f>IFERROR(aurora_data!BD12,0)</f>
        <v>5.42</v>
      </c>
      <c r="G26" s="40">
        <f>IFERROR(aurora_data!BE12,0)</f>
        <v>10.57</v>
      </c>
      <c r="H26" s="40">
        <f>IFERROR(aurora_data!BF12,0)</f>
        <v>39.18</v>
      </c>
      <c r="I26" s="40">
        <f>IFERROR(aurora_data!BG12,0)</f>
        <v>65.06</v>
      </c>
      <c r="J26" s="41">
        <f>IFERROR(aurora_data!BH12,0)</f>
        <v>79.760000000000005</v>
      </c>
      <c r="K26" s="39">
        <f>IFERROR(aurora_data!BI12,0)</f>
        <v>9.56</v>
      </c>
      <c r="L26" s="40">
        <f>IFERROR(aurora_data!BJ12,0)</f>
        <v>24.86</v>
      </c>
      <c r="M26" s="40">
        <f>IFERROR(aurora_data!BK12,0)</f>
        <v>49.13</v>
      </c>
      <c r="N26" s="40">
        <f>IFERROR(aurora_data!BL12,0)</f>
        <v>19.329999999999998</v>
      </c>
      <c r="O26" s="41">
        <f>IFERROR(aurora_data!BM12,0)</f>
        <v>97.11</v>
      </c>
      <c r="P26" s="39">
        <f>IFERROR(aurora_data!BN12,0)</f>
        <v>41.68</v>
      </c>
      <c r="Q26" s="40">
        <f>IFERROR(aurora_data!BO12,0)</f>
        <v>30.61</v>
      </c>
      <c r="R26" s="40">
        <f>IFERROR(aurora_data!BP12,0)</f>
        <v>81</v>
      </c>
      <c r="S26" s="41">
        <f>IFERROR(aurora_data!BQ12,0)</f>
        <v>46.71</v>
      </c>
      <c r="T26" s="40">
        <f>IFERROR(aurora_data!BR12,0)</f>
        <v>100</v>
      </c>
      <c r="U26" s="40">
        <f>IFERROR(aurora_data!BS12,0)</f>
        <v>100</v>
      </c>
      <c r="V26" s="41">
        <f>IFERROR(aurora_data!BT12,0)</f>
        <v>0</v>
      </c>
      <c r="W26" s="61" t="s">
        <v>354</v>
      </c>
      <c r="X26" s="39">
        <f>IFERROR(aurora_data!BU12,0)</f>
        <v>200</v>
      </c>
      <c r="Y26" s="69">
        <f t="shared" ref="Y26:Y33" si="4">IFERROR(X26/$X$26,0)</f>
        <v>1</v>
      </c>
    </row>
    <row r="27" spans="1:25">
      <c r="A27"/>
      <c r="C27" s="452"/>
      <c r="D27" s="454"/>
      <c r="E27" s="35" t="s">
        <v>339</v>
      </c>
      <c r="F27" s="113">
        <f>IFERROR(aurora_data!BD13,0)</f>
        <v>5</v>
      </c>
      <c r="G27" s="253">
        <f>IFERROR(aurora_data!BE13,0)</f>
        <v>9</v>
      </c>
      <c r="H27" s="253">
        <f>IFERROR(aurora_data!BF13,0)</f>
        <v>38</v>
      </c>
      <c r="I27" s="253">
        <f>IFERROR(aurora_data!BG13,0)</f>
        <v>66</v>
      </c>
      <c r="J27" s="254">
        <f>IFERROR(aurora_data!BH13,0)</f>
        <v>79</v>
      </c>
      <c r="K27" s="113">
        <f>IFERROR(aurora_data!BI13,0)</f>
        <v>10</v>
      </c>
      <c r="L27" s="253">
        <f>IFERROR(aurora_data!BJ13,0)</f>
        <v>25</v>
      </c>
      <c r="M27" s="253">
        <f>IFERROR(aurora_data!BK13,0)</f>
        <v>47</v>
      </c>
      <c r="N27" s="253">
        <f>IFERROR(aurora_data!BL13,0)</f>
        <v>20</v>
      </c>
      <c r="O27" s="254">
        <f>IFERROR(aurora_data!BM13,0)</f>
        <v>95</v>
      </c>
      <c r="P27" s="113">
        <f>IFERROR(aurora_data!BN13,0)</f>
        <v>45</v>
      </c>
      <c r="Q27" s="253">
        <f>IFERROR(aurora_data!BO13,0)</f>
        <v>27</v>
      </c>
      <c r="R27" s="253">
        <f>IFERROR(aurora_data!BP13,0)</f>
        <v>88</v>
      </c>
      <c r="S27" s="254">
        <f>IFERROR(aurora_data!BQ13,0)</f>
        <v>37</v>
      </c>
      <c r="T27" s="253">
        <f>IFERROR(aurora_data!BR13,0)</f>
        <v>100</v>
      </c>
      <c r="U27" s="253">
        <f>IFERROR(aurora_data!BS13,0)</f>
        <v>97</v>
      </c>
      <c r="V27" s="254">
        <f>IFERROR(aurora_data!BT13,0)</f>
        <v>0</v>
      </c>
      <c r="W27" s="61" t="s">
        <v>354</v>
      </c>
      <c r="X27" s="113">
        <f>IFERROR(aurora_data!BU13,0)</f>
        <v>197</v>
      </c>
      <c r="Y27" s="255">
        <f t="shared" si="4"/>
        <v>0.98499999999999999</v>
      </c>
    </row>
    <row r="28" spans="1:25">
      <c r="A28"/>
      <c r="C28" s="452"/>
      <c r="D28" s="454"/>
      <c r="E28" s="35" t="s">
        <v>291</v>
      </c>
      <c r="F28" s="113">
        <f>IFERROR(aurora_data!BD14,0)</f>
        <v>2</v>
      </c>
      <c r="G28" s="253">
        <f>IFERROR(aurora_data!BE14,0)</f>
        <v>0</v>
      </c>
      <c r="H28" s="253">
        <f>IFERROR(aurora_data!BF14,0)</f>
        <v>6</v>
      </c>
      <c r="I28" s="253">
        <f>IFERROR(aurora_data!BG14,0)</f>
        <v>8</v>
      </c>
      <c r="J28" s="254">
        <f>IFERROR(aurora_data!BH14,0)</f>
        <v>14</v>
      </c>
      <c r="K28" s="113">
        <f>IFERROR(aurora_data!BI14,0)</f>
        <v>0</v>
      </c>
      <c r="L28" s="253">
        <f>IFERROR(aurora_data!BJ14,0)</f>
        <v>5</v>
      </c>
      <c r="M28" s="253">
        <f>IFERROR(aurora_data!BK14,0)</f>
        <v>7</v>
      </c>
      <c r="N28" s="253">
        <f>IFERROR(aurora_data!BL14,0)</f>
        <v>9</v>
      </c>
      <c r="O28" s="254">
        <f>IFERROR(aurora_data!BM14,0)</f>
        <v>9</v>
      </c>
      <c r="P28" s="113">
        <f>IFERROR(aurora_data!BN14,0)</f>
        <v>26</v>
      </c>
      <c r="Q28" s="253">
        <f>IFERROR(aurora_data!BO14,0)</f>
        <v>1</v>
      </c>
      <c r="R28" s="253">
        <f>IFERROR(aurora_data!BP14,0)</f>
        <v>3</v>
      </c>
      <c r="S28" s="254">
        <f>IFERROR(aurora_data!BQ14,0)</f>
        <v>0</v>
      </c>
      <c r="T28" s="253">
        <f>IFERROR(aurora_data!BR14,0)</f>
        <v>25</v>
      </c>
      <c r="U28" s="253">
        <f>IFERROR(aurora_data!BS14,0)</f>
        <v>5</v>
      </c>
      <c r="V28" s="254">
        <f>IFERROR(aurora_data!BT14,0)</f>
        <v>0</v>
      </c>
      <c r="W28" s="61" t="s">
        <v>354</v>
      </c>
      <c r="X28" s="113">
        <f>IFERROR(aurora_data!BU14,0)</f>
        <v>30</v>
      </c>
      <c r="Y28" s="255">
        <f t="shared" si="4"/>
        <v>0.15</v>
      </c>
    </row>
    <row r="29" spans="1:25">
      <c r="A29"/>
      <c r="C29" s="452"/>
      <c r="D29" s="454"/>
      <c r="E29" s="35" t="s">
        <v>340</v>
      </c>
      <c r="F29" s="113">
        <f>IFERROR(aurora_data!BD15,0)</f>
        <v>0</v>
      </c>
      <c r="G29" s="253">
        <f>IFERROR(aurora_data!BE15,0)</f>
        <v>0</v>
      </c>
      <c r="H29" s="253">
        <f>IFERROR(aurora_data!BF15,0)</f>
        <v>0</v>
      </c>
      <c r="I29" s="253">
        <f>IFERROR(aurora_data!BG15,0)</f>
        <v>0</v>
      </c>
      <c r="J29" s="254">
        <f>IFERROR(aurora_data!BH15,0)</f>
        <v>0</v>
      </c>
      <c r="K29" s="113">
        <f>IFERROR(aurora_data!BI15,0)</f>
        <v>0</v>
      </c>
      <c r="L29" s="253">
        <f>IFERROR(aurora_data!BJ15,0)</f>
        <v>0</v>
      </c>
      <c r="M29" s="253">
        <f>IFERROR(aurora_data!BK15,0)</f>
        <v>0</v>
      </c>
      <c r="N29" s="253">
        <f>IFERROR(aurora_data!BL15,0)</f>
        <v>0</v>
      </c>
      <c r="O29" s="254">
        <f>IFERROR(aurora_data!BM15,0)</f>
        <v>0</v>
      </c>
      <c r="P29" s="113">
        <f>IFERROR(aurora_data!BN15,0)</f>
        <v>0</v>
      </c>
      <c r="Q29" s="253">
        <f>IFERROR(aurora_data!BO15,0)</f>
        <v>0</v>
      </c>
      <c r="R29" s="253">
        <f>IFERROR(aurora_data!BP15,0)</f>
        <v>0</v>
      </c>
      <c r="S29" s="254">
        <f>IFERROR(aurora_data!BQ15,0)</f>
        <v>0</v>
      </c>
      <c r="T29" s="253">
        <f>IFERROR(aurora_data!BR15,0)</f>
        <v>0</v>
      </c>
      <c r="U29" s="253">
        <f>IFERROR(aurora_data!BS15,0)</f>
        <v>0</v>
      </c>
      <c r="V29" s="254">
        <f>IFERROR(aurora_data!BT15,0)</f>
        <v>0</v>
      </c>
      <c r="W29" s="61" t="s">
        <v>354</v>
      </c>
      <c r="X29" s="113">
        <f>IFERROR(aurora_data!BU15,0)</f>
        <v>0</v>
      </c>
      <c r="Y29" s="255">
        <f t="shared" si="4"/>
        <v>0</v>
      </c>
    </row>
    <row r="30" spans="1:25">
      <c r="A30"/>
      <c r="C30" s="452"/>
      <c r="D30" s="454"/>
      <c r="E30" s="35" t="s">
        <v>341</v>
      </c>
      <c r="F30" s="113">
        <f>IFERROR(aurora_data!BD16,0)</f>
        <v>1</v>
      </c>
      <c r="G30" s="253">
        <f>IFERROR(aurora_data!BE16,0)</f>
        <v>0</v>
      </c>
      <c r="H30" s="253">
        <f>IFERROR(aurora_data!BF16,0)</f>
        <v>5</v>
      </c>
      <c r="I30" s="253">
        <f>IFERROR(aurora_data!BG16,0)</f>
        <v>1</v>
      </c>
      <c r="J30" s="254">
        <f>IFERROR(aurora_data!BH16,0)</f>
        <v>0</v>
      </c>
      <c r="K30" s="113">
        <f>IFERROR(aurora_data!BI16,0)</f>
        <v>0</v>
      </c>
      <c r="L30" s="253">
        <f>IFERROR(aurora_data!BJ16,0)</f>
        <v>0</v>
      </c>
      <c r="M30" s="253">
        <f>IFERROR(aurora_data!BK16,0)</f>
        <v>4</v>
      </c>
      <c r="N30" s="253">
        <f>IFERROR(aurora_data!BL16,0)</f>
        <v>1</v>
      </c>
      <c r="O30" s="254">
        <f>IFERROR(aurora_data!BM16,0)</f>
        <v>2</v>
      </c>
      <c r="P30" s="113">
        <f>IFERROR(aurora_data!BN16,0)</f>
        <v>2</v>
      </c>
      <c r="Q30" s="253">
        <f>IFERROR(aurora_data!BO16,0)</f>
        <v>1</v>
      </c>
      <c r="R30" s="253">
        <f>IFERROR(aurora_data!BP16,0)</f>
        <v>2</v>
      </c>
      <c r="S30" s="254">
        <f>IFERROR(aurora_data!BQ16,0)</f>
        <v>2</v>
      </c>
      <c r="T30" s="253">
        <f>IFERROR(aurora_data!BR16,0)</f>
        <v>4</v>
      </c>
      <c r="U30" s="253">
        <f>IFERROR(aurora_data!BS16,0)</f>
        <v>3</v>
      </c>
      <c r="V30" s="254">
        <f>IFERROR(aurora_data!BT16,0)</f>
        <v>0</v>
      </c>
      <c r="W30" s="61" t="s">
        <v>354</v>
      </c>
      <c r="X30" s="113">
        <f>IFERROR(aurora_data!BU16,0)</f>
        <v>7</v>
      </c>
      <c r="Y30" s="255">
        <f t="shared" si="4"/>
        <v>3.5000000000000003E-2</v>
      </c>
    </row>
    <row r="31" spans="1:25" ht="16.5" thickBot="1">
      <c r="A31"/>
      <c r="C31" s="452"/>
      <c r="D31" s="454"/>
      <c r="E31" s="35" t="s">
        <v>342</v>
      </c>
      <c r="F31" s="113">
        <f>IFERROR(aurora_data!BD17,0)</f>
        <v>0</v>
      </c>
      <c r="G31" s="253">
        <f>IFERROR(aurora_data!BE17,0)</f>
        <v>0</v>
      </c>
      <c r="H31" s="253">
        <f>IFERROR(aurora_data!BF17,0)</f>
        <v>0</v>
      </c>
      <c r="I31" s="253">
        <f>IFERROR(aurora_data!BG17,0)</f>
        <v>0</v>
      </c>
      <c r="J31" s="254">
        <f>IFERROR(aurora_data!BH17,0)</f>
        <v>0</v>
      </c>
      <c r="K31" s="113">
        <f>IFERROR(aurora_data!BI17,0)</f>
        <v>0</v>
      </c>
      <c r="L31" s="253">
        <f>IFERROR(aurora_data!BJ17,0)</f>
        <v>0</v>
      </c>
      <c r="M31" s="253">
        <f>IFERROR(aurora_data!BK17,0)</f>
        <v>0</v>
      </c>
      <c r="N31" s="253">
        <f>IFERROR(aurora_data!BL17,0)</f>
        <v>0</v>
      </c>
      <c r="O31" s="254">
        <f>IFERROR(aurora_data!BM17,0)</f>
        <v>0</v>
      </c>
      <c r="P31" s="113">
        <f>IFERROR(aurora_data!BN17,0)</f>
        <v>0</v>
      </c>
      <c r="Q31" s="253">
        <f>IFERROR(aurora_data!BO17,0)</f>
        <v>0</v>
      </c>
      <c r="R31" s="253">
        <f>IFERROR(aurora_data!BP17,0)</f>
        <v>0</v>
      </c>
      <c r="S31" s="254">
        <f>IFERROR(aurora_data!BQ17,0)</f>
        <v>0</v>
      </c>
      <c r="T31" s="253">
        <f>IFERROR(aurora_data!BR17,0)</f>
        <v>0</v>
      </c>
      <c r="U31" s="253">
        <f>IFERROR(aurora_data!BS17,0)</f>
        <v>0</v>
      </c>
      <c r="V31" s="254">
        <f>IFERROR(aurora_data!BT17,0)</f>
        <v>0</v>
      </c>
      <c r="W31" s="61" t="s">
        <v>354</v>
      </c>
      <c r="X31" s="256">
        <f>IFERROR(aurora_data!BU17,0)</f>
        <v>0</v>
      </c>
      <c r="Y31" s="290">
        <f t="shared" si="4"/>
        <v>0</v>
      </c>
    </row>
    <row r="32" spans="1:25" ht="16.5" thickBot="1">
      <c r="A32"/>
      <c r="C32" s="452"/>
      <c r="D32" s="454"/>
      <c r="E32" s="37" t="s">
        <v>17</v>
      </c>
      <c r="F32" s="59">
        <f>IFERROR(aurora_data!BD18,0)</f>
        <v>8</v>
      </c>
      <c r="G32" s="64">
        <f>IFERROR(aurora_data!BE18,0)</f>
        <v>9</v>
      </c>
      <c r="H32" s="64">
        <f>IFERROR(aurora_data!BF18,0)</f>
        <v>49</v>
      </c>
      <c r="I32" s="64">
        <f>IFERROR(aurora_data!BG18,0)</f>
        <v>75</v>
      </c>
      <c r="J32" s="65">
        <f>IFERROR(aurora_data!BH18,0)</f>
        <v>93</v>
      </c>
      <c r="K32" s="59">
        <f>IFERROR(aurora_data!BI18,0)</f>
        <v>10</v>
      </c>
      <c r="L32" s="64">
        <f>IFERROR(aurora_data!BJ18,0)</f>
        <v>30</v>
      </c>
      <c r="M32" s="64">
        <f>IFERROR(aurora_data!BK18,0)</f>
        <v>58</v>
      </c>
      <c r="N32" s="64">
        <f>IFERROR(aurora_data!BL18,0)</f>
        <v>30</v>
      </c>
      <c r="O32" s="65">
        <f>IFERROR(aurora_data!BM18,0)</f>
        <v>106</v>
      </c>
      <c r="P32" s="59">
        <f>IFERROR(aurora_data!BN18,0)</f>
        <v>73</v>
      </c>
      <c r="Q32" s="64">
        <f>IFERROR(aurora_data!BO18,0)</f>
        <v>29</v>
      </c>
      <c r="R32" s="64">
        <f>IFERROR(aurora_data!BP18,0)</f>
        <v>93</v>
      </c>
      <c r="S32" s="65">
        <f>IFERROR(aurora_data!BQ18,0)</f>
        <v>39</v>
      </c>
      <c r="T32" s="64">
        <f>IFERROR(aurora_data!BR18,0)</f>
        <v>129</v>
      </c>
      <c r="U32" s="64">
        <f>IFERROR(aurora_data!BS18,0)</f>
        <v>105</v>
      </c>
      <c r="V32" s="65">
        <f>IFERROR(aurora_data!BT18,0)</f>
        <v>0</v>
      </c>
      <c r="W32" s="66" t="s">
        <v>354</v>
      </c>
      <c r="X32" s="59">
        <f>IFERROR(aurora_data!BU18,0)</f>
        <v>234</v>
      </c>
      <c r="Y32" s="70">
        <f t="shared" si="4"/>
        <v>1.17</v>
      </c>
    </row>
    <row r="33" spans="1:25" ht="16.5" thickBot="1">
      <c r="A33"/>
      <c r="C33" s="452"/>
      <c r="D33" s="454"/>
      <c r="E33" s="38" t="s">
        <v>343</v>
      </c>
      <c r="F33" s="256">
        <f>IFERROR(aurora_data!BD19,0)</f>
        <v>0</v>
      </c>
      <c r="G33" s="257">
        <f>IFERROR(aurora_data!BE19,0)</f>
        <v>1</v>
      </c>
      <c r="H33" s="257">
        <f>IFERROR(aurora_data!BF19,0)</f>
        <v>2</v>
      </c>
      <c r="I33" s="257">
        <f>IFERROR(aurora_data!BG19,0)</f>
        <v>3</v>
      </c>
      <c r="J33" s="258">
        <f>IFERROR(aurora_data!BH19,0)</f>
        <v>6</v>
      </c>
      <c r="K33" s="256">
        <f>IFERROR(aurora_data!BI19,0)</f>
        <v>2</v>
      </c>
      <c r="L33" s="257">
        <f>IFERROR(aurora_data!BJ19,0)</f>
        <v>1</v>
      </c>
      <c r="M33" s="257">
        <f>IFERROR(aurora_data!BK19,0)</f>
        <v>2</v>
      </c>
      <c r="N33" s="257">
        <f>IFERROR(aurora_data!BL19,0)</f>
        <v>3</v>
      </c>
      <c r="O33" s="258">
        <f>IFERROR(aurora_data!BM19,0)</f>
        <v>4</v>
      </c>
      <c r="P33" s="256">
        <f>IFERROR(aurora_data!BN19,0)</f>
        <v>0</v>
      </c>
      <c r="Q33" s="257">
        <f>IFERROR(aurora_data!BO19,0)</f>
        <v>6</v>
      </c>
      <c r="R33" s="257">
        <f>IFERROR(aurora_data!BP19,0)</f>
        <v>4</v>
      </c>
      <c r="S33" s="258">
        <f>IFERROR(aurora_data!BQ19,0)</f>
        <v>2</v>
      </c>
      <c r="T33" s="257">
        <f>IFERROR(aurora_data!BR19,0)</f>
        <v>6</v>
      </c>
      <c r="U33" s="257">
        <f>IFERROR(aurora_data!BS19,0)</f>
        <v>6</v>
      </c>
      <c r="V33" s="259">
        <f>IFERROR(aurora_data!BT19,0)</f>
        <v>0</v>
      </c>
      <c r="W33" s="260" t="s">
        <v>354</v>
      </c>
      <c r="X33" s="256">
        <f>IFERROR(aurora_data!BU19,0)</f>
        <v>12</v>
      </c>
      <c r="Y33" s="261">
        <f t="shared" si="4"/>
        <v>0.06</v>
      </c>
    </row>
    <row r="34" spans="1:25" hidden="1" outlineLevel="1">
      <c r="A34"/>
      <c r="C34" s="452"/>
      <c r="D34" s="454"/>
      <c r="E34" s="199" t="s">
        <v>344</v>
      </c>
      <c r="F34" s="271">
        <f>ROUNDDOWN((F36+$F$10)*($X26),0)</f>
        <v>9</v>
      </c>
      <c r="G34" s="272">
        <f>ROUNDDOWN((G36+$F$10)*($X26),0)</f>
        <v>14</v>
      </c>
      <c r="H34" s="272">
        <f>ROUNDDOWN((H36+$F$10)*($X26),0)</f>
        <v>43</v>
      </c>
      <c r="I34" s="272">
        <f>ROUNDDOWN((I36+$F$10)*($X26),0)</f>
        <v>69</v>
      </c>
      <c r="J34" s="272">
        <f>ROUNDDOWN((J36+$F$10)*($X26),0)</f>
        <v>83</v>
      </c>
      <c r="K34" s="271">
        <f>ROUNDDOWN((K36+$K$10)*($X26),0)</f>
        <v>17</v>
      </c>
      <c r="L34" s="272">
        <f>ROUNDDOWN((L36+$K$10)*($X26),0)</f>
        <v>32</v>
      </c>
      <c r="M34" s="272">
        <f>ROUNDDOWN((M36+$K$10)*($X26),0)</f>
        <v>57</v>
      </c>
      <c r="N34" s="272">
        <f>ROUNDDOWN((N36+$K$10)*($X26),0)</f>
        <v>27</v>
      </c>
      <c r="O34" s="268">
        <f>ROUNDDOWN((O36+$K$10)*($X26),0)</f>
        <v>105</v>
      </c>
      <c r="P34" s="271"/>
      <c r="Q34" s="272"/>
      <c r="R34" s="272"/>
      <c r="S34" s="268"/>
      <c r="T34" s="265"/>
      <c r="U34" s="272"/>
      <c r="V34" s="282"/>
      <c r="W34" s="61"/>
      <c r="X34" s="291"/>
      <c r="Y34" s="286"/>
    </row>
    <row r="35" spans="1:25" hidden="1" outlineLevel="1">
      <c r="A35"/>
      <c r="C35" s="452"/>
      <c r="D35" s="454"/>
      <c r="E35" s="199" t="s">
        <v>345</v>
      </c>
      <c r="F35" s="276">
        <f>IF(ROUND(((F36-$F$10)*($X26))+0.25,0) &lt;=0,1,((F36-$F$10)*($X26))+0.25)</f>
        <v>1.6699999999999997</v>
      </c>
      <c r="G35" s="277">
        <f>IF(ROUND(((G36-$F$10)*($X26))+0.25,0) &lt;=0,1,((G36-$F$10)*($X26))+0.25)</f>
        <v>6.8200000000000012</v>
      </c>
      <c r="H35" s="277">
        <f>IF(ROUND(((H36-$F$10)*($X26))+0.25,0) &lt;=0,1,((H36-$F$10)*($X26))+0.25)</f>
        <v>35.43</v>
      </c>
      <c r="I35" s="277">
        <f>IF(ROUND(((I36-$F$10)*($X26))+0.25,0) &lt;=0,1,((I36-$F$10)*($X26))+0.25)</f>
        <v>61.31</v>
      </c>
      <c r="J35" s="277">
        <f>IF(ROUND(((J36-$F$10)*($X26))+0.25,0) &lt;=0,1,((J36-$F$10)*($X26))+0.25)</f>
        <v>76.010000000000005</v>
      </c>
      <c r="K35" s="276">
        <f>IF(ROUND(((K36-$K$10)*($X26))+0.25,0) &lt;=0,1,((K36-$K$10)*($X26))+0.25)</f>
        <v>1.8100000000000003</v>
      </c>
      <c r="L35" s="277">
        <f>IF(ROUND(((L36-$K$10)*($X26))+0.25,0) &lt;=0,1,((L36-$K$10)*($X26))+0.25)</f>
        <v>17.109999999999996</v>
      </c>
      <c r="M35" s="277">
        <f>IF(ROUND(((M36-$K$10)*($X26))+0.25,0) &lt;=0,1,((M36-$K$10)*($X26))+0.25)</f>
        <v>41.38</v>
      </c>
      <c r="N35" s="277">
        <f>IF(ROUND(((N36-$K$10)*($X26))+0.25,0) &lt;=0,1,((N36-$K$10)*($X26))+0.25)</f>
        <v>11.579999999999997</v>
      </c>
      <c r="O35" s="278">
        <f>IF(ROUND(((O36-$K$10)*($X26))+0.25,0) &lt;=0,1,((O36-$K$10)*($X26))+0.25)</f>
        <v>89.36</v>
      </c>
      <c r="P35" s="276"/>
      <c r="Q35" s="277"/>
      <c r="R35" s="277"/>
      <c r="S35" s="278"/>
      <c r="T35" s="276"/>
      <c r="U35" s="277"/>
      <c r="V35" s="287"/>
      <c r="W35" s="61"/>
      <c r="X35" s="285"/>
      <c r="Y35" s="287"/>
    </row>
    <row r="36" spans="1:25" hidden="1" outlineLevel="1">
      <c r="A36"/>
      <c r="C36" s="452"/>
      <c r="D36" s="454"/>
      <c r="E36" s="95" t="s">
        <v>346</v>
      </c>
      <c r="F36" s="414">
        <f t="shared" ref="F36:O36" si="5">IFERROR(F26/$X26,0)</f>
        <v>2.7099999999999999E-2</v>
      </c>
      <c r="G36" s="415">
        <f t="shared" si="5"/>
        <v>5.2850000000000001E-2</v>
      </c>
      <c r="H36" s="415">
        <f t="shared" si="5"/>
        <v>0.19589999999999999</v>
      </c>
      <c r="I36" s="415">
        <f t="shared" si="5"/>
        <v>0.32530000000000003</v>
      </c>
      <c r="J36" s="415">
        <f t="shared" si="5"/>
        <v>0.39880000000000004</v>
      </c>
      <c r="K36" s="414">
        <f t="shared" si="5"/>
        <v>4.7800000000000002E-2</v>
      </c>
      <c r="L36" s="415">
        <f t="shared" si="5"/>
        <v>0.12429999999999999</v>
      </c>
      <c r="M36" s="415">
        <f t="shared" si="5"/>
        <v>0.24565000000000001</v>
      </c>
      <c r="N36" s="415">
        <f t="shared" si="5"/>
        <v>9.6649999999999986E-2</v>
      </c>
      <c r="O36" s="416">
        <f t="shared" si="5"/>
        <v>0.48554999999999998</v>
      </c>
      <c r="P36" s="414"/>
      <c r="Q36" s="415"/>
      <c r="R36" s="415"/>
      <c r="S36" s="416"/>
      <c r="T36" s="414"/>
      <c r="U36" s="415"/>
      <c r="V36" s="254"/>
      <c r="W36" s="61"/>
      <c r="X36" s="113"/>
      <c r="Y36" s="431"/>
    </row>
    <row r="37" spans="1:25" hidden="1" outlineLevel="1">
      <c r="A37"/>
      <c r="C37" s="452"/>
      <c r="D37" s="454"/>
      <c r="E37" s="180" t="s">
        <v>347</v>
      </c>
      <c r="F37" s="414">
        <f t="shared" ref="F37:O37" si="6">IFERROR(F27/$X26,0)</f>
        <v>2.5000000000000001E-2</v>
      </c>
      <c r="G37" s="415">
        <f t="shared" si="6"/>
        <v>4.4999999999999998E-2</v>
      </c>
      <c r="H37" s="415">
        <f t="shared" si="6"/>
        <v>0.19</v>
      </c>
      <c r="I37" s="415">
        <f t="shared" si="6"/>
        <v>0.33</v>
      </c>
      <c r="J37" s="415">
        <f t="shared" si="6"/>
        <v>0.39500000000000002</v>
      </c>
      <c r="K37" s="414">
        <f t="shared" si="6"/>
        <v>0.05</v>
      </c>
      <c r="L37" s="415">
        <f t="shared" si="6"/>
        <v>0.125</v>
      </c>
      <c r="M37" s="415">
        <f t="shared" si="6"/>
        <v>0.23499999999999999</v>
      </c>
      <c r="N37" s="415">
        <f t="shared" si="6"/>
        <v>0.1</v>
      </c>
      <c r="O37" s="416">
        <f t="shared" si="6"/>
        <v>0.47499999999999998</v>
      </c>
      <c r="P37" s="414"/>
      <c r="Q37" s="415"/>
      <c r="R37" s="415"/>
      <c r="S37" s="416"/>
      <c r="T37" s="414"/>
      <c r="U37" s="415"/>
      <c r="V37" s="254"/>
      <c r="W37" s="61"/>
      <c r="X37" s="113"/>
      <c r="Y37" s="431"/>
    </row>
    <row r="38" spans="1:25" ht="16.5" hidden="1" outlineLevel="1" thickBot="1">
      <c r="A38"/>
      <c r="C38" s="456"/>
      <c r="D38" s="455"/>
      <c r="E38" s="180" t="s">
        <v>348</v>
      </c>
      <c r="F38" s="414">
        <f t="shared" ref="F38:O38" si="7">F37-F36</f>
        <v>-2.0999999999999977E-3</v>
      </c>
      <c r="G38" s="415">
        <f t="shared" si="7"/>
        <v>-7.8500000000000028E-3</v>
      </c>
      <c r="H38" s="415">
        <f t="shared" si="7"/>
        <v>-5.8999999999999886E-3</v>
      </c>
      <c r="I38" s="415">
        <f t="shared" si="7"/>
        <v>4.699999999999982E-3</v>
      </c>
      <c r="J38" s="415">
        <f t="shared" si="7"/>
        <v>-3.8000000000000256E-3</v>
      </c>
      <c r="K38" s="414">
        <f t="shared" si="7"/>
        <v>2.2000000000000006E-3</v>
      </c>
      <c r="L38" s="415">
        <f t="shared" si="7"/>
        <v>7.0000000000000617E-4</v>
      </c>
      <c r="M38" s="415">
        <f t="shared" si="7"/>
        <v>-1.0650000000000021E-2</v>
      </c>
      <c r="N38" s="415">
        <f t="shared" si="7"/>
        <v>3.3500000000000196E-3</v>
      </c>
      <c r="O38" s="416">
        <f t="shared" si="7"/>
        <v>-1.0550000000000004E-2</v>
      </c>
      <c r="P38" s="414"/>
      <c r="Q38" s="415"/>
      <c r="R38" s="415"/>
      <c r="S38" s="416"/>
      <c r="T38" s="432"/>
      <c r="U38" s="415"/>
      <c r="V38" s="254"/>
      <c r="W38" s="61"/>
      <c r="X38" s="113"/>
      <c r="Y38" s="431"/>
    </row>
    <row r="39" spans="1:25" collapsed="1">
      <c r="A39"/>
      <c r="C39" s="451" t="s">
        <v>338</v>
      </c>
      <c r="D39" s="453" t="str">
        <f>aurora_data!BA20</f>
        <v>08.00.00-08.11.30</v>
      </c>
      <c r="E39" s="34" t="s">
        <v>306</v>
      </c>
      <c r="F39" s="39">
        <f>IFERROR(aurora_data!BD20,0)</f>
        <v>5.52</v>
      </c>
      <c r="G39" s="40">
        <f>IFERROR(aurora_data!BE20,0)</f>
        <v>10.84</v>
      </c>
      <c r="H39" s="40">
        <f>IFERROR(aurora_data!BF20,0)</f>
        <v>39.590000000000003</v>
      </c>
      <c r="I39" s="40">
        <f>IFERROR(aurora_data!BG20,0)</f>
        <v>64.569999999999993</v>
      </c>
      <c r="J39" s="41">
        <f>IFERROR(aurora_data!BH20,0)</f>
        <v>79.489999999999995</v>
      </c>
      <c r="K39" s="39">
        <f>IFERROR(aurora_data!BI20,0)</f>
        <v>9.6300000000000008</v>
      </c>
      <c r="L39" s="40">
        <f>IFERROR(aurora_data!BJ20,0)</f>
        <v>25.43</v>
      </c>
      <c r="M39" s="40">
        <f>IFERROR(aurora_data!BK20,0)</f>
        <v>48.99</v>
      </c>
      <c r="N39" s="40">
        <f>IFERROR(aurora_data!BL20,0)</f>
        <v>19.98</v>
      </c>
      <c r="O39" s="41">
        <f>IFERROR(aurora_data!BM20,0)</f>
        <v>95.96</v>
      </c>
      <c r="P39" s="39">
        <f>IFERROR(aurora_data!BN20,0)</f>
        <v>41.81</v>
      </c>
      <c r="Q39" s="40">
        <f>IFERROR(aurora_data!BO20,0)</f>
        <v>30.62</v>
      </c>
      <c r="R39" s="40">
        <f>IFERROR(aurora_data!BP20,0)</f>
        <v>80.180000000000007</v>
      </c>
      <c r="S39" s="41">
        <f>IFERROR(aurora_data!BQ20,0)</f>
        <v>47.38</v>
      </c>
      <c r="T39" s="40">
        <f>IFERROR(aurora_data!BR20,0)</f>
        <v>100</v>
      </c>
      <c r="U39" s="40">
        <f>IFERROR(aurora_data!BS20,0)</f>
        <v>100</v>
      </c>
      <c r="V39" s="41">
        <f>IFERROR(aurora_data!BT20,0)</f>
        <v>0</v>
      </c>
      <c r="W39" s="61"/>
      <c r="X39" s="39">
        <f>IFERROR(aurora_data!BU20,0)</f>
        <v>200</v>
      </c>
      <c r="Y39" s="69">
        <f t="shared" ref="Y39:Y46" si="8">IFERROR(X39/$X$39,0)</f>
        <v>1</v>
      </c>
    </row>
    <row r="40" spans="1:25">
      <c r="A40"/>
      <c r="C40" s="452"/>
      <c r="D40" s="454"/>
      <c r="E40" s="35" t="s">
        <v>339</v>
      </c>
      <c r="F40" s="113">
        <f>IFERROR(aurora_data!BD21,0)</f>
        <v>5</v>
      </c>
      <c r="G40" s="253">
        <f>IFERROR(aurora_data!BE21,0)</f>
        <v>10</v>
      </c>
      <c r="H40" s="253">
        <f>IFERROR(aurora_data!BF21,0)</f>
        <v>37</v>
      </c>
      <c r="I40" s="253">
        <f>IFERROR(aurora_data!BG21,0)</f>
        <v>63</v>
      </c>
      <c r="J40" s="254">
        <f>IFERROR(aurora_data!BH21,0)</f>
        <v>80</v>
      </c>
      <c r="K40" s="113">
        <f>IFERROR(aurora_data!BI21,0)</f>
        <v>9</v>
      </c>
      <c r="L40" s="253">
        <f>IFERROR(aurora_data!BJ21,0)</f>
        <v>25</v>
      </c>
      <c r="M40" s="253">
        <f>IFERROR(aurora_data!BK21,0)</f>
        <v>48</v>
      </c>
      <c r="N40" s="253">
        <f>IFERROR(aurora_data!BL21,0)</f>
        <v>18</v>
      </c>
      <c r="O40" s="254">
        <f>IFERROR(aurora_data!BM21,0)</f>
        <v>95</v>
      </c>
      <c r="P40" s="113">
        <f>IFERROR(aurora_data!BN21,0)</f>
        <v>49</v>
      </c>
      <c r="Q40" s="253">
        <f>IFERROR(aurora_data!BO21,0)</f>
        <v>36</v>
      </c>
      <c r="R40" s="253">
        <f>IFERROR(aurora_data!BP21,0)</f>
        <v>65</v>
      </c>
      <c r="S40" s="254">
        <f>IFERROR(aurora_data!BQ21,0)</f>
        <v>45</v>
      </c>
      <c r="T40" s="253">
        <f>IFERROR(aurora_data!BR21,0)</f>
        <v>96</v>
      </c>
      <c r="U40" s="253">
        <f>IFERROR(aurora_data!BS21,0)</f>
        <v>99</v>
      </c>
      <c r="V40" s="254">
        <f>IFERROR(aurora_data!BT21,0)</f>
        <v>0</v>
      </c>
      <c r="W40" s="61"/>
      <c r="X40" s="113">
        <f>IFERROR(aurora_data!BU21,0)</f>
        <v>195</v>
      </c>
      <c r="Y40" s="255">
        <f t="shared" si="8"/>
        <v>0.97499999999999998</v>
      </c>
    </row>
    <row r="41" spans="1:25">
      <c r="A41"/>
      <c r="C41" s="452"/>
      <c r="D41" s="454"/>
      <c r="E41" s="35" t="s">
        <v>291</v>
      </c>
      <c r="F41" s="113">
        <f>IFERROR(aurora_data!BD22,0)</f>
        <v>0</v>
      </c>
      <c r="G41" s="253">
        <f>IFERROR(aurora_data!BE22,0)</f>
        <v>1</v>
      </c>
      <c r="H41" s="253">
        <f>IFERROR(aurora_data!BF22,0)</f>
        <v>5</v>
      </c>
      <c r="I41" s="253">
        <f>IFERROR(aurora_data!BG22,0)</f>
        <v>7</v>
      </c>
      <c r="J41" s="254">
        <f>IFERROR(aurora_data!BH22,0)</f>
        <v>7</v>
      </c>
      <c r="K41" s="113">
        <f>IFERROR(aurora_data!BI22,0)</f>
        <v>3</v>
      </c>
      <c r="L41" s="253">
        <f>IFERROR(aurora_data!BJ22,0)</f>
        <v>4</v>
      </c>
      <c r="M41" s="253">
        <f>IFERROR(aurora_data!BK22,0)</f>
        <v>5</v>
      </c>
      <c r="N41" s="253">
        <f>IFERROR(aurora_data!BL22,0)</f>
        <v>2</v>
      </c>
      <c r="O41" s="254">
        <f>IFERROR(aurora_data!BM22,0)</f>
        <v>6</v>
      </c>
      <c r="P41" s="113">
        <f>IFERROR(aurora_data!BN22,0)</f>
        <v>8</v>
      </c>
      <c r="Q41" s="253">
        <f>IFERROR(aurora_data!BO22,0)</f>
        <v>9</v>
      </c>
      <c r="R41" s="253">
        <f>IFERROR(aurora_data!BP22,0)</f>
        <v>2</v>
      </c>
      <c r="S41" s="254">
        <f>IFERROR(aurora_data!BQ22,0)</f>
        <v>1</v>
      </c>
      <c r="T41" s="253">
        <f>IFERROR(aurora_data!BR22,0)</f>
        <v>12</v>
      </c>
      <c r="U41" s="253">
        <f>IFERROR(aurora_data!BS22,0)</f>
        <v>8</v>
      </c>
      <c r="V41" s="254">
        <f>IFERROR(aurora_data!BT22,0)</f>
        <v>0</v>
      </c>
      <c r="W41" s="61"/>
      <c r="X41" s="113">
        <f>IFERROR(aurora_data!BU22,0)</f>
        <v>20</v>
      </c>
      <c r="Y41" s="255">
        <f t="shared" si="8"/>
        <v>0.1</v>
      </c>
    </row>
    <row r="42" spans="1:25">
      <c r="A42"/>
      <c r="C42" s="452"/>
      <c r="D42" s="454"/>
      <c r="E42" s="35" t="s">
        <v>340</v>
      </c>
      <c r="F42" s="113">
        <f>IFERROR(aurora_data!BD23,0)</f>
        <v>0</v>
      </c>
      <c r="G42" s="253">
        <f>IFERROR(aurora_data!BE23,0)</f>
        <v>0</v>
      </c>
      <c r="H42" s="253">
        <f>IFERROR(aurora_data!BF23,0)</f>
        <v>0</v>
      </c>
      <c r="I42" s="253">
        <f>IFERROR(aurora_data!BG23,0)</f>
        <v>0</v>
      </c>
      <c r="J42" s="254">
        <f>IFERROR(aurora_data!BH23,0)</f>
        <v>0</v>
      </c>
      <c r="K42" s="113">
        <f>IFERROR(aurora_data!BI23,0)</f>
        <v>0</v>
      </c>
      <c r="L42" s="253">
        <f>IFERROR(aurora_data!BJ23,0)</f>
        <v>0</v>
      </c>
      <c r="M42" s="253">
        <f>IFERROR(aurora_data!BK23,0)</f>
        <v>0</v>
      </c>
      <c r="N42" s="253">
        <f>IFERROR(aurora_data!BL23,0)</f>
        <v>0</v>
      </c>
      <c r="O42" s="254">
        <f>IFERROR(aurora_data!BM23,0)</f>
        <v>0</v>
      </c>
      <c r="P42" s="113">
        <f>IFERROR(aurora_data!BN23,0)</f>
        <v>0</v>
      </c>
      <c r="Q42" s="253">
        <f>IFERROR(aurora_data!BO23,0)</f>
        <v>0</v>
      </c>
      <c r="R42" s="253">
        <f>IFERROR(aurora_data!BP23,0)</f>
        <v>0</v>
      </c>
      <c r="S42" s="254">
        <f>IFERROR(aurora_data!BQ23,0)</f>
        <v>0</v>
      </c>
      <c r="T42" s="253">
        <f>IFERROR(aurora_data!BR23,0)</f>
        <v>0</v>
      </c>
      <c r="U42" s="253">
        <f>IFERROR(aurora_data!BS23,0)</f>
        <v>0</v>
      </c>
      <c r="V42" s="254">
        <f>IFERROR(aurora_data!BT23,0)</f>
        <v>0</v>
      </c>
      <c r="W42" s="61"/>
      <c r="X42" s="113">
        <f>IFERROR(aurora_data!BU23,0)</f>
        <v>0</v>
      </c>
      <c r="Y42" s="255">
        <f t="shared" si="8"/>
        <v>0</v>
      </c>
    </row>
    <row r="43" spans="1:25">
      <c r="A43"/>
      <c r="C43" s="452"/>
      <c r="D43" s="454"/>
      <c r="E43" s="35" t="s">
        <v>341</v>
      </c>
      <c r="F43" s="113">
        <f>IFERROR(aurora_data!BD24,0)</f>
        <v>1</v>
      </c>
      <c r="G43" s="253">
        <f>IFERROR(aurora_data!BE24,0)</f>
        <v>2</v>
      </c>
      <c r="H43" s="253">
        <f>IFERROR(aurora_data!BF24,0)</f>
        <v>5</v>
      </c>
      <c r="I43" s="253">
        <f>IFERROR(aurora_data!BG24,0)</f>
        <v>3</v>
      </c>
      <c r="J43" s="254">
        <f>IFERROR(aurora_data!BH24,0)</f>
        <v>0</v>
      </c>
      <c r="K43" s="113">
        <f>IFERROR(aurora_data!BI24,0)</f>
        <v>1</v>
      </c>
      <c r="L43" s="253">
        <f>IFERROR(aurora_data!BJ24,0)</f>
        <v>2</v>
      </c>
      <c r="M43" s="253">
        <f>IFERROR(aurora_data!BK24,0)</f>
        <v>2</v>
      </c>
      <c r="N43" s="253">
        <f>IFERROR(aurora_data!BL24,0)</f>
        <v>2</v>
      </c>
      <c r="O43" s="254">
        <f>IFERROR(aurora_data!BM24,0)</f>
        <v>4</v>
      </c>
      <c r="P43" s="113">
        <f>IFERROR(aurora_data!BN24,0)</f>
        <v>2</v>
      </c>
      <c r="Q43" s="253">
        <f>IFERROR(aurora_data!BO24,0)</f>
        <v>3</v>
      </c>
      <c r="R43" s="253">
        <f>IFERROR(aurora_data!BP24,0)</f>
        <v>6</v>
      </c>
      <c r="S43" s="254">
        <f>IFERROR(aurora_data!BQ24,0)</f>
        <v>0</v>
      </c>
      <c r="T43" s="253">
        <f>IFERROR(aurora_data!BR24,0)</f>
        <v>6</v>
      </c>
      <c r="U43" s="253">
        <f>IFERROR(aurora_data!BS24,0)</f>
        <v>5</v>
      </c>
      <c r="V43" s="254">
        <f>IFERROR(aurora_data!BT24,0)</f>
        <v>0</v>
      </c>
      <c r="W43" s="61"/>
      <c r="X43" s="113">
        <f>IFERROR(aurora_data!BU24,0)</f>
        <v>11</v>
      </c>
      <c r="Y43" s="255">
        <f t="shared" si="8"/>
        <v>5.5E-2</v>
      </c>
    </row>
    <row r="44" spans="1:25" ht="16.5" thickBot="1">
      <c r="A44"/>
      <c r="C44" s="452"/>
      <c r="D44" s="454"/>
      <c r="E44" s="35" t="s">
        <v>342</v>
      </c>
      <c r="F44" s="113">
        <f>IFERROR(aurora_data!BD25,0)</f>
        <v>0</v>
      </c>
      <c r="G44" s="253">
        <f>IFERROR(aurora_data!BE25,0)</f>
        <v>0</v>
      </c>
      <c r="H44" s="253">
        <f>IFERROR(aurora_data!BF25,0)</f>
        <v>0</v>
      </c>
      <c r="I44" s="253">
        <f>IFERROR(aurora_data!BG25,0)</f>
        <v>0</v>
      </c>
      <c r="J44" s="254">
        <f>IFERROR(aurora_data!BH25,0)</f>
        <v>0</v>
      </c>
      <c r="K44" s="113">
        <f>IFERROR(aurora_data!BI25,0)</f>
        <v>0</v>
      </c>
      <c r="L44" s="253">
        <f>IFERROR(aurora_data!BJ25,0)</f>
        <v>0</v>
      </c>
      <c r="M44" s="253">
        <f>IFERROR(aurora_data!BK25,0)</f>
        <v>0</v>
      </c>
      <c r="N44" s="253">
        <f>IFERROR(aurora_data!BL25,0)</f>
        <v>0</v>
      </c>
      <c r="O44" s="254">
        <f>IFERROR(aurora_data!BM25,0)</f>
        <v>0</v>
      </c>
      <c r="P44" s="113">
        <f>IFERROR(aurora_data!BN25,0)</f>
        <v>0</v>
      </c>
      <c r="Q44" s="253">
        <f>IFERROR(aurora_data!BO25,0)</f>
        <v>0</v>
      </c>
      <c r="R44" s="253">
        <f>IFERROR(aurora_data!BP25,0)</f>
        <v>0</v>
      </c>
      <c r="S44" s="254">
        <f>IFERROR(aurora_data!BQ25,0)</f>
        <v>0</v>
      </c>
      <c r="T44" s="253">
        <f>IFERROR(aurora_data!BR25,0)</f>
        <v>0</v>
      </c>
      <c r="U44" s="253">
        <f>IFERROR(aurora_data!BS25,0)</f>
        <v>0</v>
      </c>
      <c r="V44" s="254">
        <f>IFERROR(aurora_data!BT25,0)</f>
        <v>0</v>
      </c>
      <c r="W44" s="61"/>
      <c r="X44" s="113">
        <f>IFERROR(aurora_data!BU25,0)</f>
        <v>0</v>
      </c>
      <c r="Y44" s="255">
        <f t="shared" si="8"/>
        <v>0</v>
      </c>
    </row>
    <row r="45" spans="1:25" ht="16.5" thickBot="1">
      <c r="A45"/>
      <c r="C45" s="452"/>
      <c r="D45" s="454"/>
      <c r="E45" s="37" t="s">
        <v>17</v>
      </c>
      <c r="F45" s="59">
        <f>IFERROR(aurora_data!BD26,0)</f>
        <v>6</v>
      </c>
      <c r="G45" s="64">
        <f>IFERROR(aurora_data!BE26,0)</f>
        <v>13</v>
      </c>
      <c r="H45" s="64">
        <f>IFERROR(aurora_data!BF26,0)</f>
        <v>47</v>
      </c>
      <c r="I45" s="64">
        <f>IFERROR(aurora_data!BG26,0)</f>
        <v>73</v>
      </c>
      <c r="J45" s="65">
        <f>IFERROR(aurora_data!BH26,0)</f>
        <v>87</v>
      </c>
      <c r="K45" s="59">
        <f>IFERROR(aurora_data!BI26,0)</f>
        <v>13</v>
      </c>
      <c r="L45" s="64">
        <f>IFERROR(aurora_data!BJ26,0)</f>
        <v>31</v>
      </c>
      <c r="M45" s="64">
        <f>IFERROR(aurora_data!BK26,0)</f>
        <v>55</v>
      </c>
      <c r="N45" s="64">
        <f>IFERROR(aurora_data!BL26,0)</f>
        <v>22</v>
      </c>
      <c r="O45" s="65">
        <f>IFERROR(aurora_data!BM26,0)</f>
        <v>105</v>
      </c>
      <c r="P45" s="59">
        <f>IFERROR(aurora_data!BN26,0)</f>
        <v>59</v>
      </c>
      <c r="Q45" s="64">
        <f>IFERROR(aurora_data!BO26,0)</f>
        <v>48</v>
      </c>
      <c r="R45" s="64">
        <f>IFERROR(aurora_data!BP26,0)</f>
        <v>73</v>
      </c>
      <c r="S45" s="65">
        <f>IFERROR(aurora_data!BQ26,0)</f>
        <v>46</v>
      </c>
      <c r="T45" s="64">
        <f>IFERROR(aurora_data!BR26,0)</f>
        <v>114</v>
      </c>
      <c r="U45" s="64">
        <f>IFERROR(aurora_data!BS26,0)</f>
        <v>112</v>
      </c>
      <c r="V45" s="65">
        <f>IFERROR(aurora_data!BT26,0)</f>
        <v>0</v>
      </c>
      <c r="W45" s="66"/>
      <c r="X45" s="59">
        <f>IFERROR(aurora_data!BU26,0)</f>
        <v>226</v>
      </c>
      <c r="Y45" s="70">
        <f t="shared" si="8"/>
        <v>1.1299999999999999</v>
      </c>
    </row>
    <row r="46" spans="1:25" ht="16.5" thickBot="1">
      <c r="A46"/>
      <c r="C46" s="452"/>
      <c r="D46" s="454"/>
      <c r="E46" s="38" t="s">
        <v>343</v>
      </c>
      <c r="F46" s="256">
        <f>IFERROR(aurora_data!BD27,0)</f>
        <v>0</v>
      </c>
      <c r="G46" s="257">
        <f>IFERROR(aurora_data!BE27,0)</f>
        <v>0</v>
      </c>
      <c r="H46" s="257">
        <f>IFERROR(aurora_data!BF27,0)</f>
        <v>1</v>
      </c>
      <c r="I46" s="257">
        <f>IFERROR(aurora_data!BG27,0)</f>
        <v>1</v>
      </c>
      <c r="J46" s="258">
        <f>IFERROR(aurora_data!BH27,0)</f>
        <v>1</v>
      </c>
      <c r="K46" s="256">
        <f>IFERROR(aurora_data!BI27,0)</f>
        <v>0</v>
      </c>
      <c r="L46" s="257">
        <f>IFERROR(aurora_data!BJ27,0)</f>
        <v>0</v>
      </c>
      <c r="M46" s="257">
        <f>IFERROR(aurora_data!BK27,0)</f>
        <v>1</v>
      </c>
      <c r="N46" s="257">
        <f>IFERROR(aurora_data!BL27,0)</f>
        <v>0</v>
      </c>
      <c r="O46" s="258">
        <f>IFERROR(aurora_data!BM27,0)</f>
        <v>2</v>
      </c>
      <c r="P46" s="256">
        <f>IFERROR(aurora_data!BN27,0)</f>
        <v>1</v>
      </c>
      <c r="Q46" s="257">
        <f>IFERROR(aurora_data!BO27,0)</f>
        <v>1</v>
      </c>
      <c r="R46" s="257">
        <f>IFERROR(aurora_data!BP27,0)</f>
        <v>1</v>
      </c>
      <c r="S46" s="258">
        <f>IFERROR(aurora_data!BQ27,0)</f>
        <v>0</v>
      </c>
      <c r="T46" s="257">
        <f>IFERROR(aurora_data!BR27,0)</f>
        <v>2</v>
      </c>
      <c r="U46" s="257">
        <f>IFERROR(aurora_data!BS27,0)</f>
        <v>1</v>
      </c>
      <c r="V46" s="259">
        <f>IFERROR(aurora_data!BT27,0)</f>
        <v>0</v>
      </c>
      <c r="W46" s="260"/>
      <c r="X46" s="256">
        <f>IFERROR(aurora_data!BU27,0)</f>
        <v>3</v>
      </c>
      <c r="Y46" s="261">
        <f t="shared" si="8"/>
        <v>1.4999999999999999E-2</v>
      </c>
    </row>
    <row r="47" spans="1:25" hidden="1" outlineLevel="1">
      <c r="A47"/>
      <c r="C47" s="452"/>
      <c r="D47" s="454"/>
      <c r="E47" s="199" t="s">
        <v>344</v>
      </c>
      <c r="F47" s="271">
        <f>ROUNDDOWN((F49+$F$10)*($X39),0)</f>
        <v>9</v>
      </c>
      <c r="G47" s="272">
        <f>ROUNDDOWN((G49+$F$10)*($X39),0)</f>
        <v>14</v>
      </c>
      <c r="H47" s="272">
        <f>ROUNDDOWN((H49+$F$10)*($X39),0)</f>
        <v>43</v>
      </c>
      <c r="I47" s="272">
        <f>ROUNDDOWN((I49+$F$10)*($X39),0)</f>
        <v>68</v>
      </c>
      <c r="J47" s="272">
        <f>ROUNDDOWN((J49+$F$10)*($X39),0)</f>
        <v>83</v>
      </c>
      <c r="K47" s="271">
        <f>ROUNDDOWN((K49+$K$10)*($X39),0)</f>
        <v>17</v>
      </c>
      <c r="L47" s="272">
        <f>ROUNDDOWN((L49+$K$10)*($X39),0)</f>
        <v>33</v>
      </c>
      <c r="M47" s="272">
        <f>ROUNDDOWN((M49+$K$10)*($X39),0)</f>
        <v>56</v>
      </c>
      <c r="N47" s="272">
        <f>ROUNDDOWN((N49+$K$10)*($X39),0)</f>
        <v>27</v>
      </c>
      <c r="O47" s="268">
        <f>ROUNDDOWN((O49+$K$10)*($X39),0)</f>
        <v>103</v>
      </c>
      <c r="P47" s="271"/>
      <c r="Q47" s="272"/>
      <c r="R47" s="272"/>
      <c r="S47" s="268"/>
      <c r="T47" s="265"/>
      <c r="U47" s="272"/>
      <c r="V47" s="282"/>
      <c r="W47" s="61"/>
      <c r="X47" s="291"/>
      <c r="Y47" s="286"/>
    </row>
    <row r="48" spans="1:25" hidden="1" outlineLevel="1">
      <c r="A48"/>
      <c r="C48" s="452"/>
      <c r="D48" s="454"/>
      <c r="E48" s="199" t="s">
        <v>345</v>
      </c>
      <c r="F48" s="276">
        <f>IF(ROUND(((F49-$F$10)*($X39))+0.25,0) &lt;=0,1,((F49-$F$10)*($X39))+0.25)</f>
        <v>1.7699999999999998</v>
      </c>
      <c r="G48" s="277">
        <f>IF(ROUND(((G49-$F$10)*($X39))+0.25,0) &lt;=0,1,((G49-$F$10)*($X39))+0.25)</f>
        <v>7.089999999999999</v>
      </c>
      <c r="H48" s="277">
        <f>IF(ROUND(((H49-$F$10)*($X39))+0.25,0) &lt;=0,1,((H49-$F$10)*($X39))+0.25)</f>
        <v>35.840000000000003</v>
      </c>
      <c r="I48" s="277">
        <f>IF(ROUND(((I49-$F$10)*($X39))+0.25,0) &lt;=0,1,((I49-$F$10)*($X39))+0.25)</f>
        <v>60.819999999999993</v>
      </c>
      <c r="J48" s="277">
        <f>IF(ROUND(((J49-$F$10)*($X39))+0.25,0) &lt;=0,1,((J49-$F$10)*($X39))+0.25)</f>
        <v>75.739999999999995</v>
      </c>
      <c r="K48" s="276">
        <f>IF(ROUND(((K49-$K$10)*($X39))+0.25,0) &lt;=0,1,((K49-$K$10)*($X39))+0.25)</f>
        <v>1.8800000000000008</v>
      </c>
      <c r="L48" s="277">
        <f>IF(ROUND(((L49-$K$10)*($X39))+0.25,0) &lt;=0,1,((L49-$K$10)*($X39))+0.25)</f>
        <v>17.679999999999996</v>
      </c>
      <c r="M48" s="277">
        <f>IF(ROUND(((M49-$K$10)*($X39))+0.25,0) &lt;=0,1,((M49-$K$10)*($X39))+0.25)</f>
        <v>41.24</v>
      </c>
      <c r="N48" s="277">
        <f>IF(ROUND(((N49-$K$10)*($X39))+0.25,0) &lt;=0,1,((N49-$K$10)*($X39))+0.25)</f>
        <v>12.23</v>
      </c>
      <c r="O48" s="278">
        <f>IF(ROUND(((O49-$K$10)*($X39))+0.25,0) &lt;=0,1,((O49-$K$10)*($X39))+0.25)</f>
        <v>88.21</v>
      </c>
      <c r="P48" s="276"/>
      <c r="Q48" s="277"/>
      <c r="R48" s="277"/>
      <c r="S48" s="278"/>
      <c r="T48" s="276"/>
      <c r="U48" s="277"/>
      <c r="V48" s="287"/>
      <c r="W48" s="61"/>
      <c r="X48" s="285"/>
      <c r="Y48" s="287"/>
    </row>
    <row r="49" spans="1:25" hidden="1" outlineLevel="1">
      <c r="A49"/>
      <c r="C49" s="452"/>
      <c r="D49" s="454"/>
      <c r="E49" s="95" t="s">
        <v>346</v>
      </c>
      <c r="F49" s="414">
        <f t="shared" ref="F49:O49" si="9">IFERROR(F39/$X39,0)</f>
        <v>2.76E-2</v>
      </c>
      <c r="G49" s="415">
        <f t="shared" si="9"/>
        <v>5.4199999999999998E-2</v>
      </c>
      <c r="H49" s="415">
        <f t="shared" si="9"/>
        <v>0.19795000000000001</v>
      </c>
      <c r="I49" s="415">
        <f t="shared" si="9"/>
        <v>0.32284999999999997</v>
      </c>
      <c r="J49" s="415">
        <f t="shared" si="9"/>
        <v>0.39744999999999997</v>
      </c>
      <c r="K49" s="414">
        <f t="shared" si="9"/>
        <v>4.8150000000000005E-2</v>
      </c>
      <c r="L49" s="415">
        <f t="shared" si="9"/>
        <v>0.12714999999999999</v>
      </c>
      <c r="M49" s="415">
        <f t="shared" si="9"/>
        <v>0.24495</v>
      </c>
      <c r="N49" s="415">
        <f t="shared" si="9"/>
        <v>9.9900000000000003E-2</v>
      </c>
      <c r="O49" s="416">
        <f t="shared" si="9"/>
        <v>0.47979999999999995</v>
      </c>
      <c r="P49" s="414"/>
      <c r="Q49" s="415"/>
      <c r="R49" s="415"/>
      <c r="S49" s="416"/>
      <c r="T49" s="414"/>
      <c r="U49" s="415"/>
      <c r="V49" s="254"/>
      <c r="W49" s="61"/>
      <c r="X49" s="113"/>
      <c r="Y49" s="431"/>
    </row>
    <row r="50" spans="1:25" hidden="1" outlineLevel="1">
      <c r="A50"/>
      <c r="C50" s="452"/>
      <c r="D50" s="454"/>
      <c r="E50" s="180" t="s">
        <v>347</v>
      </c>
      <c r="F50" s="414">
        <f t="shared" ref="F50:O50" si="10">IFERROR(F40/$X39,0)</f>
        <v>2.5000000000000001E-2</v>
      </c>
      <c r="G50" s="415">
        <f t="shared" si="10"/>
        <v>0.05</v>
      </c>
      <c r="H50" s="415">
        <f t="shared" si="10"/>
        <v>0.185</v>
      </c>
      <c r="I50" s="415">
        <f t="shared" si="10"/>
        <v>0.315</v>
      </c>
      <c r="J50" s="415">
        <f t="shared" si="10"/>
        <v>0.4</v>
      </c>
      <c r="K50" s="414">
        <f t="shared" si="10"/>
        <v>4.4999999999999998E-2</v>
      </c>
      <c r="L50" s="415">
        <f t="shared" si="10"/>
        <v>0.125</v>
      </c>
      <c r="M50" s="415">
        <f t="shared" si="10"/>
        <v>0.24</v>
      </c>
      <c r="N50" s="415">
        <f t="shared" si="10"/>
        <v>0.09</v>
      </c>
      <c r="O50" s="416">
        <f t="shared" si="10"/>
        <v>0.47499999999999998</v>
      </c>
      <c r="P50" s="414"/>
      <c r="Q50" s="415"/>
      <c r="R50" s="415"/>
      <c r="S50" s="416"/>
      <c r="T50" s="414"/>
      <c r="U50" s="415"/>
      <c r="V50" s="254"/>
      <c r="W50" s="61"/>
      <c r="X50" s="113"/>
      <c r="Y50" s="431"/>
    </row>
    <row r="51" spans="1:25" ht="16.5" hidden="1" outlineLevel="1" thickBot="1">
      <c r="A51"/>
      <c r="C51" s="456"/>
      <c r="D51" s="455"/>
      <c r="E51" s="180" t="s">
        <v>348</v>
      </c>
      <c r="F51" s="414">
        <f t="shared" ref="F51:O51" si="11">F50-F49</f>
        <v>-2.5999999999999981E-3</v>
      </c>
      <c r="G51" s="415">
        <f t="shared" si="11"/>
        <v>-4.1999999999999954E-3</v>
      </c>
      <c r="H51" s="415">
        <f t="shared" si="11"/>
        <v>-1.2950000000000017E-2</v>
      </c>
      <c r="I51" s="415">
        <f t="shared" si="11"/>
        <v>-7.8499999999999681E-3</v>
      </c>
      <c r="J51" s="415">
        <f t="shared" si="11"/>
        <v>2.5500000000000522E-3</v>
      </c>
      <c r="K51" s="414">
        <f t="shared" si="11"/>
        <v>-3.150000000000007E-3</v>
      </c>
      <c r="L51" s="415">
        <f t="shared" si="11"/>
        <v>-2.1499999999999853E-3</v>
      </c>
      <c r="M51" s="415">
        <f t="shared" si="11"/>
        <v>-4.9500000000000099E-3</v>
      </c>
      <c r="N51" s="415">
        <f t="shared" si="11"/>
        <v>-9.900000000000006E-3</v>
      </c>
      <c r="O51" s="416">
        <f t="shared" si="11"/>
        <v>-4.799999999999971E-3</v>
      </c>
      <c r="P51" s="414"/>
      <c r="Q51" s="415"/>
      <c r="R51" s="415"/>
      <c r="S51" s="416"/>
      <c r="T51" s="432"/>
      <c r="U51" s="415"/>
      <c r="V51" s="254"/>
      <c r="W51" s="61"/>
      <c r="X51" s="113"/>
      <c r="Y51" s="431"/>
    </row>
    <row r="52" spans="1:25" collapsed="1">
      <c r="A52"/>
      <c r="C52" s="451" t="s">
        <v>338</v>
      </c>
      <c r="D52" s="453" t="str">
        <f>aurora_data!BA28</f>
        <v>09.00.00-09.11.30</v>
      </c>
      <c r="E52" s="34" t="s">
        <v>306</v>
      </c>
      <c r="F52" s="39">
        <f>IFERROR(aurora_data!BD28,0)</f>
        <v>5.47</v>
      </c>
      <c r="G52" s="40">
        <f>IFERROR(aurora_data!BE28,0)</f>
        <v>11.12</v>
      </c>
      <c r="H52" s="40">
        <f>IFERROR(aurora_data!BF28,0)</f>
        <v>40.28</v>
      </c>
      <c r="I52" s="40">
        <f>IFERROR(aurora_data!BG28,0)</f>
        <v>63.87</v>
      </c>
      <c r="J52" s="41">
        <f>IFERROR(aurora_data!BH28,0)</f>
        <v>79.260000000000005</v>
      </c>
      <c r="K52" s="39">
        <f>IFERROR(aurora_data!BI28,0)</f>
        <v>10.16</v>
      </c>
      <c r="L52" s="40">
        <f>IFERROR(aurora_data!BJ28,0)</f>
        <v>25.32</v>
      </c>
      <c r="M52" s="40">
        <f>IFERROR(aurora_data!BK28,0)</f>
        <v>47.99</v>
      </c>
      <c r="N52" s="40">
        <f>IFERROR(aurora_data!BL28,0)</f>
        <v>19.84</v>
      </c>
      <c r="O52" s="41">
        <f>IFERROR(aurora_data!BM28,0)</f>
        <v>96.68</v>
      </c>
      <c r="P52" s="39">
        <f>IFERROR(aurora_data!BN28,0)</f>
        <v>43.22</v>
      </c>
      <c r="Q52" s="40">
        <f>IFERROR(aurora_data!BO28,0)</f>
        <v>31.08</v>
      </c>
      <c r="R52" s="40">
        <f>IFERROR(aurora_data!BP28,0)</f>
        <v>79.400000000000006</v>
      </c>
      <c r="S52" s="41">
        <f>IFERROR(aurora_data!BQ28,0)</f>
        <v>46.31</v>
      </c>
      <c r="T52" s="40">
        <f>IFERROR(aurora_data!BR28,0)</f>
        <v>100</v>
      </c>
      <c r="U52" s="40">
        <f>IFERROR(aurora_data!BS28,0)</f>
        <v>100</v>
      </c>
      <c r="V52" s="41">
        <f>IFERROR(aurora_data!BT28,0)</f>
        <v>0</v>
      </c>
      <c r="W52" s="61" t="s">
        <v>354</v>
      </c>
      <c r="X52" s="39">
        <f>IFERROR(aurora_data!BU28,0)</f>
        <v>200</v>
      </c>
      <c r="Y52" s="69">
        <f t="shared" ref="Y52:Y59" si="12">IFERROR(X52/$X$52,0)</f>
        <v>1</v>
      </c>
    </row>
    <row r="53" spans="1:25">
      <c r="A53"/>
      <c r="C53" s="452"/>
      <c r="D53" s="454"/>
      <c r="E53" s="35" t="s">
        <v>339</v>
      </c>
      <c r="F53" s="113">
        <f>IFERROR(aurora_data!BD29,0)</f>
        <v>5</v>
      </c>
      <c r="G53" s="253">
        <f>IFERROR(aurora_data!BE29,0)</f>
        <v>11</v>
      </c>
      <c r="H53" s="253">
        <f>IFERROR(aurora_data!BF29,0)</f>
        <v>37</v>
      </c>
      <c r="I53" s="253">
        <f>IFERROR(aurora_data!BG29,0)</f>
        <v>65</v>
      </c>
      <c r="J53" s="254">
        <f>IFERROR(aurora_data!BH29,0)</f>
        <v>79</v>
      </c>
      <c r="K53" s="113">
        <f>IFERROR(aurora_data!BI29,0)</f>
        <v>10</v>
      </c>
      <c r="L53" s="253">
        <f>IFERROR(aurora_data!BJ29,0)</f>
        <v>26</v>
      </c>
      <c r="M53" s="253">
        <f>IFERROR(aurora_data!BK29,0)</f>
        <v>45</v>
      </c>
      <c r="N53" s="253">
        <f>IFERROR(aurora_data!BL29,0)</f>
        <v>20</v>
      </c>
      <c r="O53" s="254">
        <f>IFERROR(aurora_data!BM29,0)</f>
        <v>96</v>
      </c>
      <c r="P53" s="113">
        <f>IFERROR(aurora_data!BN29,0)</f>
        <v>44</v>
      </c>
      <c r="Q53" s="253">
        <f>IFERROR(aurora_data!BO29,0)</f>
        <v>31</v>
      </c>
      <c r="R53" s="253">
        <f>IFERROR(aurora_data!BP29,0)</f>
        <v>76</v>
      </c>
      <c r="S53" s="254">
        <f>IFERROR(aurora_data!BQ29,0)</f>
        <v>46</v>
      </c>
      <c r="T53" s="253">
        <f>IFERROR(aurora_data!BR29,0)</f>
        <v>97</v>
      </c>
      <c r="U53" s="253">
        <f>IFERROR(aurora_data!BS29,0)</f>
        <v>100</v>
      </c>
      <c r="V53" s="254">
        <f>IFERROR(aurora_data!BT29,0)</f>
        <v>0</v>
      </c>
      <c r="W53" s="61" t="s">
        <v>354</v>
      </c>
      <c r="X53" s="113">
        <f>IFERROR(aurora_data!BU29,0)</f>
        <v>197</v>
      </c>
      <c r="Y53" s="281">
        <f t="shared" si="12"/>
        <v>0.98499999999999999</v>
      </c>
    </row>
    <row r="54" spans="1:25">
      <c r="A54"/>
      <c r="C54" s="452"/>
      <c r="D54" s="454"/>
      <c r="E54" s="35" t="s">
        <v>291</v>
      </c>
      <c r="F54" s="113">
        <f>IFERROR(aurora_data!BD30,0)</f>
        <v>5</v>
      </c>
      <c r="G54" s="253">
        <f>IFERROR(aurora_data!BE30,0)</f>
        <v>5</v>
      </c>
      <c r="H54" s="253">
        <f>IFERROR(aurora_data!BF30,0)</f>
        <v>1</v>
      </c>
      <c r="I54" s="253">
        <f>IFERROR(aurora_data!BG30,0)</f>
        <v>14</v>
      </c>
      <c r="J54" s="254">
        <f>IFERROR(aurora_data!BH30,0)</f>
        <v>7</v>
      </c>
      <c r="K54" s="113">
        <f>IFERROR(aurora_data!BI30,0)</f>
        <v>2</v>
      </c>
      <c r="L54" s="253">
        <f>IFERROR(aurora_data!BJ30,0)</f>
        <v>6</v>
      </c>
      <c r="M54" s="253">
        <f>IFERROR(aurora_data!BK30,0)</f>
        <v>10</v>
      </c>
      <c r="N54" s="253">
        <f>IFERROR(aurora_data!BL30,0)</f>
        <v>3</v>
      </c>
      <c r="O54" s="254">
        <f>IFERROR(aurora_data!BM30,0)</f>
        <v>11</v>
      </c>
      <c r="P54" s="113">
        <f>IFERROR(aurora_data!BN30,0)</f>
        <v>13</v>
      </c>
      <c r="Q54" s="253">
        <f>IFERROR(aurora_data!BO30,0)</f>
        <v>5</v>
      </c>
      <c r="R54" s="253">
        <f>IFERROR(aurora_data!BP30,0)</f>
        <v>3</v>
      </c>
      <c r="S54" s="254">
        <f>IFERROR(aurora_data!BQ30,0)</f>
        <v>11</v>
      </c>
      <c r="T54" s="253">
        <f>IFERROR(aurora_data!BR30,0)</f>
        <v>18</v>
      </c>
      <c r="U54" s="253">
        <f>IFERROR(aurora_data!BS30,0)</f>
        <v>14</v>
      </c>
      <c r="V54" s="254">
        <f>IFERROR(aurora_data!BT30,0)</f>
        <v>0</v>
      </c>
      <c r="W54" s="61" t="s">
        <v>354</v>
      </c>
      <c r="X54" s="113">
        <f>IFERROR(aurora_data!BU30,0)</f>
        <v>32</v>
      </c>
      <c r="Y54" s="281">
        <f t="shared" si="12"/>
        <v>0.16</v>
      </c>
    </row>
    <row r="55" spans="1:25">
      <c r="A55"/>
      <c r="C55" s="452"/>
      <c r="D55" s="454"/>
      <c r="E55" s="35" t="s">
        <v>340</v>
      </c>
      <c r="F55" s="113">
        <f>IFERROR(aurora_data!BD31,0)</f>
        <v>1</v>
      </c>
      <c r="G55" s="253">
        <f>IFERROR(aurora_data!BE31,0)</f>
        <v>0</v>
      </c>
      <c r="H55" s="253">
        <f>IFERROR(aurora_data!BF31,0)</f>
        <v>0</v>
      </c>
      <c r="I55" s="253">
        <f>IFERROR(aurora_data!BG31,0)</f>
        <v>0</v>
      </c>
      <c r="J55" s="254">
        <f>IFERROR(aurora_data!BH31,0)</f>
        <v>0</v>
      </c>
      <c r="K55" s="113">
        <f>IFERROR(aurora_data!BI31,0)</f>
        <v>0</v>
      </c>
      <c r="L55" s="253">
        <f>IFERROR(aurora_data!BJ31,0)</f>
        <v>0</v>
      </c>
      <c r="M55" s="253">
        <f>IFERROR(aurora_data!BK31,0)</f>
        <v>1</v>
      </c>
      <c r="N55" s="253">
        <f>IFERROR(aurora_data!BL31,0)</f>
        <v>0</v>
      </c>
      <c r="O55" s="254">
        <f>IFERROR(aurora_data!BM31,0)</f>
        <v>0</v>
      </c>
      <c r="P55" s="113">
        <f>IFERROR(aurora_data!BN31,0)</f>
        <v>0</v>
      </c>
      <c r="Q55" s="253">
        <f>IFERROR(aurora_data!BO31,0)</f>
        <v>1</v>
      </c>
      <c r="R55" s="253">
        <f>IFERROR(aurora_data!BP31,0)</f>
        <v>0</v>
      </c>
      <c r="S55" s="254">
        <f>IFERROR(aurora_data!BQ31,0)</f>
        <v>0</v>
      </c>
      <c r="T55" s="253">
        <f>IFERROR(aurora_data!BR31,0)</f>
        <v>0</v>
      </c>
      <c r="U55" s="253">
        <f>IFERROR(aurora_data!BS31,0)</f>
        <v>1</v>
      </c>
      <c r="V55" s="254">
        <f>IFERROR(aurora_data!BT31,0)</f>
        <v>0</v>
      </c>
      <c r="W55" s="61" t="s">
        <v>354</v>
      </c>
      <c r="X55" s="113">
        <f>IFERROR(aurora_data!BU31,0)</f>
        <v>1</v>
      </c>
      <c r="Y55" s="281">
        <f t="shared" si="12"/>
        <v>5.0000000000000001E-3</v>
      </c>
    </row>
    <row r="56" spans="1:25">
      <c r="A56"/>
      <c r="C56" s="452"/>
      <c r="D56" s="454"/>
      <c r="E56" s="35" t="s">
        <v>341</v>
      </c>
      <c r="F56" s="113">
        <f>IFERROR(aurora_data!BD32,0)</f>
        <v>0</v>
      </c>
      <c r="G56" s="253">
        <f>IFERROR(aurora_data!BE32,0)</f>
        <v>0</v>
      </c>
      <c r="H56" s="253">
        <f>IFERROR(aurora_data!BF32,0)</f>
        <v>3</v>
      </c>
      <c r="I56" s="253">
        <f>IFERROR(aurora_data!BG32,0)</f>
        <v>0</v>
      </c>
      <c r="J56" s="254">
        <f>IFERROR(aurora_data!BH32,0)</f>
        <v>0</v>
      </c>
      <c r="K56" s="113">
        <f>IFERROR(aurora_data!BI32,0)</f>
        <v>1</v>
      </c>
      <c r="L56" s="253">
        <f>IFERROR(aurora_data!BJ32,0)</f>
        <v>0</v>
      </c>
      <c r="M56" s="253">
        <f>IFERROR(aurora_data!BK32,0)</f>
        <v>2</v>
      </c>
      <c r="N56" s="253">
        <f>IFERROR(aurora_data!BL32,0)</f>
        <v>0</v>
      </c>
      <c r="O56" s="254">
        <f>IFERROR(aurora_data!BM32,0)</f>
        <v>0</v>
      </c>
      <c r="P56" s="113">
        <f>IFERROR(aurora_data!BN32,0)</f>
        <v>0</v>
      </c>
      <c r="Q56" s="253">
        <f>IFERROR(aurora_data!BO32,0)</f>
        <v>2</v>
      </c>
      <c r="R56" s="253">
        <f>IFERROR(aurora_data!BP32,0)</f>
        <v>0</v>
      </c>
      <c r="S56" s="254">
        <f>IFERROR(aurora_data!BQ32,0)</f>
        <v>1</v>
      </c>
      <c r="T56" s="253">
        <f>IFERROR(aurora_data!BR32,0)</f>
        <v>2</v>
      </c>
      <c r="U56" s="253">
        <f>IFERROR(aurora_data!BS32,0)</f>
        <v>1</v>
      </c>
      <c r="V56" s="254">
        <f>IFERROR(aurora_data!BT32,0)</f>
        <v>0</v>
      </c>
      <c r="W56" s="61" t="s">
        <v>354</v>
      </c>
      <c r="X56" s="113">
        <f>IFERROR(aurora_data!BU32,0)</f>
        <v>3</v>
      </c>
      <c r="Y56" s="281">
        <f t="shared" si="12"/>
        <v>1.4999999999999999E-2</v>
      </c>
    </row>
    <row r="57" spans="1:25" ht="16.5" thickBot="1">
      <c r="A57"/>
      <c r="C57" s="452"/>
      <c r="D57" s="454"/>
      <c r="E57" s="35" t="s">
        <v>342</v>
      </c>
      <c r="F57" s="113">
        <f>IFERROR(aurora_data!BD33,0)</f>
        <v>0</v>
      </c>
      <c r="G57" s="253">
        <f>IFERROR(aurora_data!BE33,0)</f>
        <v>0</v>
      </c>
      <c r="H57" s="253">
        <f>IFERROR(aurora_data!BF33,0)</f>
        <v>1</v>
      </c>
      <c r="I57" s="253">
        <f>IFERROR(aurora_data!BG33,0)</f>
        <v>1</v>
      </c>
      <c r="J57" s="254">
        <f>IFERROR(aurora_data!BH33,0)</f>
        <v>2</v>
      </c>
      <c r="K57" s="113">
        <f>IFERROR(aurora_data!BI33,0)</f>
        <v>0</v>
      </c>
      <c r="L57" s="253">
        <f>IFERROR(aurora_data!BJ33,0)</f>
        <v>0</v>
      </c>
      <c r="M57" s="253">
        <f>IFERROR(aurora_data!BK33,0)</f>
        <v>0</v>
      </c>
      <c r="N57" s="253">
        <f>IFERROR(aurora_data!BL33,0)</f>
        <v>2</v>
      </c>
      <c r="O57" s="254">
        <f>IFERROR(aurora_data!BM33,0)</f>
        <v>2</v>
      </c>
      <c r="P57" s="113">
        <f>IFERROR(aurora_data!BN33,0)</f>
        <v>3</v>
      </c>
      <c r="Q57" s="253">
        <f>IFERROR(aurora_data!BO33,0)</f>
        <v>0</v>
      </c>
      <c r="R57" s="253">
        <f>IFERROR(aurora_data!BP33,0)</f>
        <v>0</v>
      </c>
      <c r="S57" s="254">
        <f>IFERROR(aurora_data!BQ33,0)</f>
        <v>1</v>
      </c>
      <c r="T57" s="253">
        <f>IFERROR(aurora_data!BR33,0)</f>
        <v>2</v>
      </c>
      <c r="U57" s="253">
        <f>IFERROR(aurora_data!BS33,0)</f>
        <v>2</v>
      </c>
      <c r="V57" s="254">
        <f>IFERROR(aurora_data!BT33,0)</f>
        <v>0</v>
      </c>
      <c r="W57" s="61" t="s">
        <v>354</v>
      </c>
      <c r="X57" s="113">
        <f>IFERROR(aurora_data!BU33,0)</f>
        <v>4</v>
      </c>
      <c r="Y57" s="281">
        <f t="shared" si="12"/>
        <v>0.02</v>
      </c>
    </row>
    <row r="58" spans="1:25" ht="16.5" thickBot="1">
      <c r="A58"/>
      <c r="C58" s="452"/>
      <c r="D58" s="454"/>
      <c r="E58" s="37" t="s">
        <v>17</v>
      </c>
      <c r="F58" s="59">
        <f>IFERROR(aurora_data!BD34,0)</f>
        <v>11</v>
      </c>
      <c r="G58" s="64">
        <f>IFERROR(aurora_data!BE34,0)</f>
        <v>16</v>
      </c>
      <c r="H58" s="64">
        <f>IFERROR(aurora_data!BF34,0)</f>
        <v>42</v>
      </c>
      <c r="I58" s="64">
        <f>IFERROR(aurora_data!BG34,0)</f>
        <v>80</v>
      </c>
      <c r="J58" s="65">
        <f>IFERROR(aurora_data!BH34,0)</f>
        <v>88</v>
      </c>
      <c r="K58" s="59">
        <f>IFERROR(aurora_data!BI34,0)</f>
        <v>13</v>
      </c>
      <c r="L58" s="64">
        <f>IFERROR(aurora_data!BJ34,0)</f>
        <v>32</v>
      </c>
      <c r="M58" s="64">
        <f>IFERROR(aurora_data!BK34,0)</f>
        <v>58</v>
      </c>
      <c r="N58" s="64">
        <f>IFERROR(aurora_data!BL34,0)</f>
        <v>25</v>
      </c>
      <c r="O58" s="65">
        <f>IFERROR(aurora_data!BM34,0)</f>
        <v>109</v>
      </c>
      <c r="P58" s="59">
        <f>IFERROR(aurora_data!BN34,0)</f>
        <v>60</v>
      </c>
      <c r="Q58" s="64">
        <f>IFERROR(aurora_data!BO34,0)</f>
        <v>39</v>
      </c>
      <c r="R58" s="64">
        <f>IFERROR(aurora_data!BP34,0)</f>
        <v>79</v>
      </c>
      <c r="S58" s="65">
        <f>IFERROR(aurora_data!BQ34,0)</f>
        <v>59</v>
      </c>
      <c r="T58" s="64">
        <f>IFERROR(aurora_data!BR34,0)</f>
        <v>119</v>
      </c>
      <c r="U58" s="64">
        <f>IFERROR(aurora_data!BS34,0)</f>
        <v>118</v>
      </c>
      <c r="V58" s="65">
        <f>IFERROR(aurora_data!BT34,0)</f>
        <v>0</v>
      </c>
      <c r="W58" s="66" t="s">
        <v>354</v>
      </c>
      <c r="X58" s="59">
        <f>IFERROR(aurora_data!BU34,0)</f>
        <v>237</v>
      </c>
      <c r="Y58" s="70">
        <f t="shared" si="12"/>
        <v>1.1850000000000001</v>
      </c>
    </row>
    <row r="59" spans="1:25" ht="16.5" thickBot="1">
      <c r="A59"/>
      <c r="C59" s="452"/>
      <c r="D59" s="454"/>
      <c r="E59" s="38" t="s">
        <v>343</v>
      </c>
      <c r="F59" s="256">
        <f>IFERROR(aurora_data!BD35,0)</f>
        <v>0</v>
      </c>
      <c r="G59" s="257">
        <f>IFERROR(aurora_data!BE35,0)</f>
        <v>2</v>
      </c>
      <c r="H59" s="257">
        <f>IFERROR(aurora_data!BF35,0)</f>
        <v>1</v>
      </c>
      <c r="I59" s="257">
        <f>IFERROR(aurora_data!BG35,0)</f>
        <v>1</v>
      </c>
      <c r="J59" s="258">
        <f>IFERROR(aurora_data!BH35,0)</f>
        <v>2</v>
      </c>
      <c r="K59" s="256">
        <f>IFERROR(aurora_data!BI35,0)</f>
        <v>0</v>
      </c>
      <c r="L59" s="257">
        <f>IFERROR(aurora_data!BJ35,0)</f>
        <v>0</v>
      </c>
      <c r="M59" s="257">
        <f>IFERROR(aurora_data!BK35,0)</f>
        <v>4</v>
      </c>
      <c r="N59" s="257">
        <f>IFERROR(aurora_data!BL35,0)</f>
        <v>0</v>
      </c>
      <c r="O59" s="258">
        <f>IFERROR(aurora_data!BM35,0)</f>
        <v>2</v>
      </c>
      <c r="P59" s="256">
        <f>IFERROR(aurora_data!BN35,0)</f>
        <v>1</v>
      </c>
      <c r="Q59" s="257">
        <f>IFERROR(aurora_data!BO35,0)</f>
        <v>1</v>
      </c>
      <c r="R59" s="257">
        <f>IFERROR(aurora_data!BP35,0)</f>
        <v>3</v>
      </c>
      <c r="S59" s="258">
        <f>IFERROR(aurora_data!BQ35,0)</f>
        <v>1</v>
      </c>
      <c r="T59" s="257">
        <f>IFERROR(aurora_data!BR35,0)</f>
        <v>2</v>
      </c>
      <c r="U59" s="257">
        <f>IFERROR(aurora_data!BS35,0)</f>
        <v>4</v>
      </c>
      <c r="V59" s="259">
        <f>IFERROR(aurora_data!BT35,0)</f>
        <v>0</v>
      </c>
      <c r="W59" s="260" t="s">
        <v>354</v>
      </c>
      <c r="X59" s="256">
        <f>IFERROR(aurora_data!BU35,0)</f>
        <v>6</v>
      </c>
      <c r="Y59" s="261">
        <f t="shared" si="12"/>
        <v>0.03</v>
      </c>
    </row>
    <row r="60" spans="1:25" hidden="1" outlineLevel="1">
      <c r="A60"/>
      <c r="C60" s="452"/>
      <c r="D60" s="454"/>
      <c r="E60" s="199" t="s">
        <v>344</v>
      </c>
      <c r="F60" s="271">
        <f>ROUNDDOWN((F62+$F$10)*($X52),0)</f>
        <v>9</v>
      </c>
      <c r="G60" s="272">
        <f>ROUNDDOWN((G62+$F$10)*($X52),0)</f>
        <v>15</v>
      </c>
      <c r="H60" s="272">
        <f>ROUNDDOWN((H62+$F$10)*($X52),0)</f>
        <v>44</v>
      </c>
      <c r="I60" s="272">
        <f>ROUNDDOWN((I62+$F$10)*($X52),0)</f>
        <v>67</v>
      </c>
      <c r="J60" s="272">
        <f>ROUNDDOWN((J62+$F$10)*($X52),0)</f>
        <v>83</v>
      </c>
      <c r="K60" s="271">
        <f>ROUNDDOWN((K62+$K$10)*($X52),0)</f>
        <v>18</v>
      </c>
      <c r="L60" s="272">
        <f>ROUNDDOWN((L62+$K$10)*($X52),0)</f>
        <v>33</v>
      </c>
      <c r="M60" s="272">
        <f>ROUNDDOWN((M62+$K$10)*($X52),0)</f>
        <v>55</v>
      </c>
      <c r="N60" s="272">
        <f>ROUNDDOWN((N62+$K$10)*($X52),0)</f>
        <v>27</v>
      </c>
      <c r="O60" s="268">
        <f>ROUNDDOWN((O62+$K$10)*($X52),0)</f>
        <v>104</v>
      </c>
      <c r="P60" s="271"/>
      <c r="Q60" s="272"/>
      <c r="R60" s="272"/>
      <c r="S60" s="268"/>
      <c r="T60" s="265"/>
      <c r="U60" s="272"/>
      <c r="V60" s="282"/>
      <c r="W60" s="61"/>
      <c r="X60" s="291"/>
      <c r="Y60" s="286"/>
    </row>
    <row r="61" spans="1:25" hidden="1" outlineLevel="1">
      <c r="A61"/>
      <c r="C61" s="452"/>
      <c r="D61" s="454"/>
      <c r="E61" s="199" t="s">
        <v>345</v>
      </c>
      <c r="F61" s="276">
        <f>IF(ROUND(((F62-$F$10)*($X52))+0.25,0) &lt;=0,1,((F62-$F$10)*($X52))+0.25)</f>
        <v>1.7199999999999998</v>
      </c>
      <c r="G61" s="277">
        <f>IF(ROUND(((G62-$F$10)*($X52))+0.25,0) &lt;=0,1,((G62-$F$10)*($X52))+0.25)</f>
        <v>7.3699999999999983</v>
      </c>
      <c r="H61" s="277">
        <f>IF(ROUND(((H62-$F$10)*($X52))+0.25,0) &lt;=0,1,((H62-$F$10)*($X52))+0.25)</f>
        <v>36.53</v>
      </c>
      <c r="I61" s="277">
        <f>IF(ROUND(((I62-$F$10)*($X52))+0.25,0) &lt;=0,1,((I62-$F$10)*($X52))+0.25)</f>
        <v>60.11999999999999</v>
      </c>
      <c r="J61" s="277">
        <f>IF(ROUND(((J62-$F$10)*($X52))+0.25,0) &lt;=0,1,((J62-$F$10)*($X52))+0.25)</f>
        <v>75.510000000000005</v>
      </c>
      <c r="K61" s="276">
        <f>IF(ROUND(((K62-$K$10)*($X52))+0.25,0) &lt;=0,1,((K62-$K$10)*($X52))+0.25)</f>
        <v>2.4099999999999993</v>
      </c>
      <c r="L61" s="277">
        <f>IF(ROUND(((L62-$K$10)*($X52))+0.25,0) &lt;=0,1,((L62-$K$10)*($X52))+0.25)</f>
        <v>17.569999999999997</v>
      </c>
      <c r="M61" s="277">
        <f>IF(ROUND(((M62-$K$10)*($X52))+0.25,0) &lt;=0,1,((M62-$K$10)*($X52))+0.25)</f>
        <v>40.239999999999995</v>
      </c>
      <c r="N61" s="277">
        <f>IF(ROUND(((N62-$K$10)*($X52))+0.25,0) &lt;=0,1,((N62-$K$10)*($X52))+0.25)</f>
        <v>12.09</v>
      </c>
      <c r="O61" s="278">
        <f>IF(ROUND(((O62-$K$10)*($X52))+0.25,0) &lt;=0,1,((O62-$K$10)*($X52))+0.25)</f>
        <v>88.930000000000021</v>
      </c>
      <c r="P61" s="276"/>
      <c r="Q61" s="277"/>
      <c r="R61" s="277"/>
      <c r="S61" s="278"/>
      <c r="T61" s="276"/>
      <c r="U61" s="277"/>
      <c r="V61" s="287"/>
      <c r="W61" s="61"/>
      <c r="X61" s="285"/>
      <c r="Y61" s="287"/>
    </row>
    <row r="62" spans="1:25" hidden="1" outlineLevel="1">
      <c r="A62"/>
      <c r="C62" s="452"/>
      <c r="D62" s="454"/>
      <c r="E62" s="95" t="s">
        <v>346</v>
      </c>
      <c r="F62" s="414">
        <f t="shared" ref="F62:O62" si="13">IFERROR(F52/$X52,0)</f>
        <v>2.7349999999999999E-2</v>
      </c>
      <c r="G62" s="415">
        <f t="shared" si="13"/>
        <v>5.5599999999999997E-2</v>
      </c>
      <c r="H62" s="415">
        <f t="shared" si="13"/>
        <v>0.2014</v>
      </c>
      <c r="I62" s="415">
        <f t="shared" si="13"/>
        <v>0.31934999999999997</v>
      </c>
      <c r="J62" s="415">
        <f t="shared" si="13"/>
        <v>0.39630000000000004</v>
      </c>
      <c r="K62" s="414">
        <f t="shared" si="13"/>
        <v>5.0799999999999998E-2</v>
      </c>
      <c r="L62" s="415">
        <f t="shared" si="13"/>
        <v>0.12659999999999999</v>
      </c>
      <c r="M62" s="415">
        <f t="shared" si="13"/>
        <v>0.23995</v>
      </c>
      <c r="N62" s="415">
        <f t="shared" si="13"/>
        <v>9.9199999999999997E-2</v>
      </c>
      <c r="O62" s="416">
        <f t="shared" si="13"/>
        <v>0.48340000000000005</v>
      </c>
      <c r="P62" s="414"/>
      <c r="Q62" s="415"/>
      <c r="R62" s="415"/>
      <c r="S62" s="416"/>
      <c r="T62" s="414"/>
      <c r="U62" s="415"/>
      <c r="V62" s="254"/>
      <c r="W62" s="61"/>
      <c r="X62" s="113"/>
      <c r="Y62" s="431"/>
    </row>
    <row r="63" spans="1:25" hidden="1" outlineLevel="1">
      <c r="A63"/>
      <c r="C63" s="452"/>
      <c r="D63" s="454"/>
      <c r="E63" s="180" t="s">
        <v>347</v>
      </c>
      <c r="F63" s="414">
        <f t="shared" ref="F63:O63" si="14">IFERROR(F53/$X52,0)</f>
        <v>2.5000000000000001E-2</v>
      </c>
      <c r="G63" s="415">
        <f t="shared" si="14"/>
        <v>5.5E-2</v>
      </c>
      <c r="H63" s="415">
        <f t="shared" si="14"/>
        <v>0.185</v>
      </c>
      <c r="I63" s="415">
        <f t="shared" si="14"/>
        <v>0.32500000000000001</v>
      </c>
      <c r="J63" s="415">
        <f t="shared" si="14"/>
        <v>0.39500000000000002</v>
      </c>
      <c r="K63" s="414">
        <f t="shared" si="14"/>
        <v>0.05</v>
      </c>
      <c r="L63" s="415">
        <f t="shared" si="14"/>
        <v>0.13</v>
      </c>
      <c r="M63" s="415">
        <f t="shared" si="14"/>
        <v>0.22500000000000001</v>
      </c>
      <c r="N63" s="415">
        <f t="shared" si="14"/>
        <v>0.1</v>
      </c>
      <c r="O63" s="416">
        <f t="shared" si="14"/>
        <v>0.48</v>
      </c>
      <c r="P63" s="414"/>
      <c r="Q63" s="415"/>
      <c r="R63" s="415"/>
      <c r="S63" s="416"/>
      <c r="T63" s="414"/>
      <c r="U63" s="415"/>
      <c r="V63" s="254"/>
      <c r="W63" s="61"/>
      <c r="X63" s="113"/>
      <c r="Y63" s="431"/>
    </row>
    <row r="64" spans="1:25" ht="16.5" hidden="1" outlineLevel="1" thickBot="1">
      <c r="A64"/>
      <c r="C64" s="456"/>
      <c r="D64" s="455"/>
      <c r="E64" s="180" t="s">
        <v>348</v>
      </c>
      <c r="F64" s="414">
        <f t="shared" ref="F64:O64" si="15">F63-F62</f>
        <v>-2.3499999999999979E-3</v>
      </c>
      <c r="G64" s="415">
        <f t="shared" si="15"/>
        <v>-5.9999999999999637E-4</v>
      </c>
      <c r="H64" s="415">
        <f t="shared" si="15"/>
        <v>-1.6399999999999998E-2</v>
      </c>
      <c r="I64" s="415">
        <f t="shared" si="15"/>
        <v>5.6500000000000439E-3</v>
      </c>
      <c r="J64" s="415">
        <f t="shared" si="15"/>
        <v>-1.3000000000000234E-3</v>
      </c>
      <c r="K64" s="414">
        <f t="shared" si="15"/>
        <v>-7.9999999999999516E-4</v>
      </c>
      <c r="L64" s="415">
        <f t="shared" si="15"/>
        <v>3.4000000000000141E-3</v>
      </c>
      <c r="M64" s="415">
        <f t="shared" si="15"/>
        <v>-1.4949999999999991E-2</v>
      </c>
      <c r="N64" s="415">
        <f t="shared" si="15"/>
        <v>8.0000000000000904E-4</v>
      </c>
      <c r="O64" s="416">
        <f t="shared" si="15"/>
        <v>-3.4000000000000696E-3</v>
      </c>
      <c r="P64" s="414"/>
      <c r="Q64" s="415"/>
      <c r="R64" s="415"/>
      <c r="S64" s="416"/>
      <c r="T64" s="432"/>
      <c r="U64" s="415"/>
      <c r="V64" s="254"/>
      <c r="W64" s="61"/>
      <c r="X64" s="113"/>
      <c r="Y64" s="431"/>
    </row>
    <row r="65" spans="1:25" collapsed="1">
      <c r="A65"/>
      <c r="C65" s="451" t="s">
        <v>338</v>
      </c>
      <c r="D65" s="453" t="str">
        <f>aurora_data!BA36</f>
        <v>10.00.00-10.11.30</v>
      </c>
      <c r="E65" s="34" t="s">
        <v>306</v>
      </c>
      <c r="F65" s="39">
        <f>IFERROR(aurora_data!BD36,0)</f>
        <v>6.13</v>
      </c>
      <c r="G65" s="40">
        <f>IFERROR(aurora_data!BE36,0)</f>
        <v>11.57</v>
      </c>
      <c r="H65" s="40">
        <f>IFERROR(aurora_data!BF36,0)</f>
        <v>40.25</v>
      </c>
      <c r="I65" s="40">
        <f>IFERROR(aurora_data!BG36,0)</f>
        <v>63.95</v>
      </c>
      <c r="J65" s="41">
        <f>IFERROR(aurora_data!BH36,0)</f>
        <v>78.11</v>
      </c>
      <c r="K65" s="39">
        <f>IFERROR(aurora_data!BI36,0)</f>
        <v>10.34</v>
      </c>
      <c r="L65" s="40">
        <f>IFERROR(aurora_data!BJ36,0)</f>
        <v>25.99</v>
      </c>
      <c r="M65" s="40">
        <f>IFERROR(aurora_data!BK36,0)</f>
        <v>48.63</v>
      </c>
      <c r="N65" s="40">
        <f>IFERROR(aurora_data!BL36,0)</f>
        <v>18.86</v>
      </c>
      <c r="O65" s="41">
        <f>IFERROR(aurora_data!BM36,0)</f>
        <v>96.18</v>
      </c>
      <c r="P65" s="39">
        <f>IFERROR(aurora_data!BN36,0)</f>
        <v>42.49</v>
      </c>
      <c r="Q65" s="40">
        <f>IFERROR(aurora_data!BO36,0)</f>
        <v>30.5</v>
      </c>
      <c r="R65" s="40">
        <f>IFERROR(aurora_data!BP36,0)</f>
        <v>79.209999999999994</v>
      </c>
      <c r="S65" s="41">
        <f>IFERROR(aurora_data!BQ36,0)</f>
        <v>47.8</v>
      </c>
      <c r="T65" s="40">
        <f>IFERROR(aurora_data!BR36,0)</f>
        <v>100</v>
      </c>
      <c r="U65" s="40">
        <f>IFERROR(aurora_data!BS36,0)</f>
        <v>100</v>
      </c>
      <c r="V65" s="41">
        <f>IFERROR(aurora_data!BT36,0)</f>
        <v>0</v>
      </c>
      <c r="W65" s="61" t="s">
        <v>354</v>
      </c>
      <c r="X65" s="39">
        <f>IFERROR(aurora_data!BU36,0)</f>
        <v>200</v>
      </c>
      <c r="Y65" s="69">
        <f t="shared" ref="Y65:Y72" si="16">IFERROR(X65/$X$65,0)</f>
        <v>1</v>
      </c>
    </row>
    <row r="66" spans="1:25">
      <c r="A66"/>
      <c r="C66" s="452"/>
      <c r="D66" s="454"/>
      <c r="E66" s="35" t="s">
        <v>339</v>
      </c>
      <c r="F66" s="113">
        <f>IFERROR(aurora_data!BD37,0)</f>
        <v>6</v>
      </c>
      <c r="G66" s="253">
        <f>IFERROR(aurora_data!BE37,0)</f>
        <v>11</v>
      </c>
      <c r="H66" s="253">
        <f>IFERROR(aurora_data!BF37,0)</f>
        <v>40</v>
      </c>
      <c r="I66" s="253">
        <f>IFERROR(aurora_data!BG37,0)</f>
        <v>64</v>
      </c>
      <c r="J66" s="254">
        <f>IFERROR(aurora_data!BH37,0)</f>
        <v>75</v>
      </c>
      <c r="K66" s="113">
        <f>IFERROR(aurora_data!BI37,0)</f>
        <v>10</v>
      </c>
      <c r="L66" s="253">
        <f>IFERROR(aurora_data!BJ37,0)</f>
        <v>26</v>
      </c>
      <c r="M66" s="253">
        <f>IFERROR(aurora_data!BK37,0)</f>
        <v>48</v>
      </c>
      <c r="N66" s="253">
        <f>IFERROR(aurora_data!BL37,0)</f>
        <v>20</v>
      </c>
      <c r="O66" s="254">
        <f>IFERROR(aurora_data!BM37,0)</f>
        <v>92</v>
      </c>
      <c r="P66" s="113">
        <f>IFERROR(aurora_data!BN37,0)</f>
        <v>53</v>
      </c>
      <c r="Q66" s="253">
        <f>IFERROR(aurora_data!BO37,0)</f>
        <v>40</v>
      </c>
      <c r="R66" s="253">
        <f>IFERROR(aurora_data!BP37,0)</f>
        <v>67</v>
      </c>
      <c r="S66" s="254">
        <f>IFERROR(aurora_data!BQ37,0)</f>
        <v>36</v>
      </c>
      <c r="T66" s="253">
        <f>IFERROR(aurora_data!BR37,0)</f>
        <v>100</v>
      </c>
      <c r="U66" s="253">
        <f>IFERROR(aurora_data!BS37,0)</f>
        <v>96</v>
      </c>
      <c r="V66" s="254">
        <f>IFERROR(aurora_data!BT37,0)</f>
        <v>0</v>
      </c>
      <c r="W66" s="61" t="s">
        <v>354</v>
      </c>
      <c r="X66" s="113">
        <f>IFERROR(aurora_data!BU37,0)</f>
        <v>196</v>
      </c>
      <c r="Y66" s="255">
        <f t="shared" si="16"/>
        <v>0.98</v>
      </c>
    </row>
    <row r="67" spans="1:25">
      <c r="A67"/>
      <c r="C67" s="452"/>
      <c r="D67" s="454"/>
      <c r="E67" s="35" t="s">
        <v>291</v>
      </c>
      <c r="F67" s="113">
        <f>IFERROR(aurora_data!BD38,0)</f>
        <v>2</v>
      </c>
      <c r="G67" s="253">
        <f>IFERROR(aurora_data!BE38,0)</f>
        <v>0</v>
      </c>
      <c r="H67" s="253">
        <f>IFERROR(aurora_data!BF38,0)</f>
        <v>8</v>
      </c>
      <c r="I67" s="253">
        <f>IFERROR(aurora_data!BG38,0)</f>
        <v>6</v>
      </c>
      <c r="J67" s="254">
        <f>IFERROR(aurora_data!BH38,0)</f>
        <v>19</v>
      </c>
      <c r="K67" s="113">
        <f>IFERROR(aurora_data!BI38,0)</f>
        <v>2</v>
      </c>
      <c r="L67" s="253">
        <f>IFERROR(aurora_data!BJ38,0)</f>
        <v>2</v>
      </c>
      <c r="M67" s="253">
        <f>IFERROR(aurora_data!BK38,0)</f>
        <v>9</v>
      </c>
      <c r="N67" s="253">
        <f>IFERROR(aurora_data!BL38,0)</f>
        <v>7</v>
      </c>
      <c r="O67" s="254">
        <f>IFERROR(aurora_data!BM38,0)</f>
        <v>15</v>
      </c>
      <c r="P67" s="113">
        <f>IFERROR(aurora_data!BN38,0)</f>
        <v>19</v>
      </c>
      <c r="Q67" s="253">
        <f>IFERROR(aurora_data!BO38,0)</f>
        <v>6</v>
      </c>
      <c r="R67" s="253">
        <f>IFERROR(aurora_data!BP38,0)</f>
        <v>1</v>
      </c>
      <c r="S67" s="254">
        <f>IFERROR(aurora_data!BQ38,0)</f>
        <v>9</v>
      </c>
      <c r="T67" s="253">
        <f>IFERROR(aurora_data!BR38,0)</f>
        <v>33</v>
      </c>
      <c r="U67" s="253">
        <f>IFERROR(aurora_data!BS38,0)</f>
        <v>2</v>
      </c>
      <c r="V67" s="254">
        <f>IFERROR(aurora_data!BT38,0)</f>
        <v>0</v>
      </c>
      <c r="W67" s="61" t="s">
        <v>354</v>
      </c>
      <c r="X67" s="113">
        <f>IFERROR(aurora_data!BU38,0)</f>
        <v>35</v>
      </c>
      <c r="Y67" s="255">
        <f t="shared" si="16"/>
        <v>0.17499999999999999</v>
      </c>
    </row>
    <row r="68" spans="1:25">
      <c r="A68"/>
      <c r="C68" s="452"/>
      <c r="D68" s="454"/>
      <c r="E68" s="35" t="s">
        <v>340</v>
      </c>
      <c r="F68" s="113">
        <f>IFERROR(aurora_data!BD39,0)</f>
        <v>0</v>
      </c>
      <c r="G68" s="253">
        <f>IFERROR(aurora_data!BE39,0)</f>
        <v>0</v>
      </c>
      <c r="H68" s="253">
        <f>IFERROR(aurora_data!BF39,0)</f>
        <v>0</v>
      </c>
      <c r="I68" s="253">
        <f>IFERROR(aurora_data!BG39,0)</f>
        <v>0</v>
      </c>
      <c r="J68" s="254">
        <f>IFERROR(aurora_data!BH39,0)</f>
        <v>0</v>
      </c>
      <c r="K68" s="113">
        <f>IFERROR(aurora_data!BI39,0)</f>
        <v>0</v>
      </c>
      <c r="L68" s="253">
        <f>IFERROR(aurora_data!BJ39,0)</f>
        <v>0</v>
      </c>
      <c r="M68" s="253">
        <f>IFERROR(aurora_data!BK39,0)</f>
        <v>0</v>
      </c>
      <c r="N68" s="253">
        <f>IFERROR(aurora_data!BL39,0)</f>
        <v>0</v>
      </c>
      <c r="O68" s="254">
        <f>IFERROR(aurora_data!BM39,0)</f>
        <v>0</v>
      </c>
      <c r="P68" s="113">
        <f>IFERROR(aurora_data!BN39,0)</f>
        <v>0</v>
      </c>
      <c r="Q68" s="253">
        <f>IFERROR(aurora_data!BO39,0)</f>
        <v>0</v>
      </c>
      <c r="R68" s="253">
        <f>IFERROR(aurora_data!BP39,0)</f>
        <v>0</v>
      </c>
      <c r="S68" s="254">
        <f>IFERROR(aurora_data!BQ39,0)</f>
        <v>0</v>
      </c>
      <c r="T68" s="253">
        <f>IFERROR(aurora_data!BR39,0)</f>
        <v>0</v>
      </c>
      <c r="U68" s="253">
        <f>IFERROR(aurora_data!BS39,0)</f>
        <v>0</v>
      </c>
      <c r="V68" s="254">
        <f>IFERROR(aurora_data!BT39,0)</f>
        <v>0</v>
      </c>
      <c r="W68" s="61" t="s">
        <v>354</v>
      </c>
      <c r="X68" s="113">
        <f>IFERROR(aurora_data!BU39,0)</f>
        <v>0</v>
      </c>
      <c r="Y68" s="255">
        <f t="shared" si="16"/>
        <v>0</v>
      </c>
    </row>
    <row r="69" spans="1:25">
      <c r="A69"/>
      <c r="C69" s="452"/>
      <c r="D69" s="454"/>
      <c r="E69" s="35" t="s">
        <v>341</v>
      </c>
      <c r="F69" s="113">
        <f>IFERROR(aurora_data!BD40,0)</f>
        <v>1</v>
      </c>
      <c r="G69" s="253">
        <f>IFERROR(aurora_data!BE40,0)</f>
        <v>1</v>
      </c>
      <c r="H69" s="253">
        <f>IFERROR(aurora_data!BF40,0)</f>
        <v>1</v>
      </c>
      <c r="I69" s="253">
        <f>IFERROR(aurora_data!BG40,0)</f>
        <v>1</v>
      </c>
      <c r="J69" s="254">
        <f>IFERROR(aurora_data!BH40,0)</f>
        <v>0</v>
      </c>
      <c r="K69" s="113">
        <f>IFERROR(aurora_data!BI40,0)</f>
        <v>0</v>
      </c>
      <c r="L69" s="253">
        <f>IFERROR(aurora_data!BJ40,0)</f>
        <v>0</v>
      </c>
      <c r="M69" s="253">
        <f>IFERROR(aurora_data!BK40,0)</f>
        <v>3</v>
      </c>
      <c r="N69" s="253">
        <f>IFERROR(aurora_data!BL40,0)</f>
        <v>1</v>
      </c>
      <c r="O69" s="254">
        <f>IFERROR(aurora_data!BM40,0)</f>
        <v>0</v>
      </c>
      <c r="P69" s="113">
        <f>IFERROR(aurora_data!BN40,0)</f>
        <v>0</v>
      </c>
      <c r="Q69" s="253">
        <f>IFERROR(aurora_data!BO40,0)</f>
        <v>1</v>
      </c>
      <c r="R69" s="253">
        <f>IFERROR(aurora_data!BP40,0)</f>
        <v>3</v>
      </c>
      <c r="S69" s="254">
        <f>IFERROR(aurora_data!BQ40,0)</f>
        <v>0</v>
      </c>
      <c r="T69" s="253">
        <f>IFERROR(aurora_data!BR40,0)</f>
        <v>1</v>
      </c>
      <c r="U69" s="253">
        <f>IFERROR(aurora_data!BS40,0)</f>
        <v>3</v>
      </c>
      <c r="V69" s="254">
        <f>IFERROR(aurora_data!BT40,0)</f>
        <v>0</v>
      </c>
      <c r="W69" s="61" t="s">
        <v>354</v>
      </c>
      <c r="X69" s="113">
        <f>IFERROR(aurora_data!BU40,0)</f>
        <v>4</v>
      </c>
      <c r="Y69" s="255">
        <f t="shared" si="16"/>
        <v>0.02</v>
      </c>
    </row>
    <row r="70" spans="1:25" ht="16.5" thickBot="1">
      <c r="A70"/>
      <c r="C70" s="452"/>
      <c r="D70" s="454"/>
      <c r="E70" s="35" t="s">
        <v>342</v>
      </c>
      <c r="F70" s="113">
        <f>IFERROR(aurora_data!BD41,0)</f>
        <v>0</v>
      </c>
      <c r="G70" s="253">
        <f>IFERROR(aurora_data!BE41,0)</f>
        <v>0</v>
      </c>
      <c r="H70" s="253">
        <f>IFERROR(aurora_data!BF41,0)</f>
        <v>0</v>
      </c>
      <c r="I70" s="253">
        <f>IFERROR(aurora_data!BG41,0)</f>
        <v>0</v>
      </c>
      <c r="J70" s="254">
        <f>IFERROR(aurora_data!BH41,0)</f>
        <v>0</v>
      </c>
      <c r="K70" s="113">
        <f>IFERROR(aurora_data!BI41,0)</f>
        <v>0</v>
      </c>
      <c r="L70" s="253">
        <f>IFERROR(aurora_data!BJ41,0)</f>
        <v>0</v>
      </c>
      <c r="M70" s="253">
        <f>IFERROR(aurora_data!BK41,0)</f>
        <v>0</v>
      </c>
      <c r="N70" s="253">
        <f>IFERROR(aurora_data!BL41,0)</f>
        <v>0</v>
      </c>
      <c r="O70" s="254">
        <f>IFERROR(aurora_data!BM41,0)</f>
        <v>0</v>
      </c>
      <c r="P70" s="113">
        <f>IFERROR(aurora_data!BN41,0)</f>
        <v>0</v>
      </c>
      <c r="Q70" s="253">
        <f>IFERROR(aurora_data!BO41,0)</f>
        <v>0</v>
      </c>
      <c r="R70" s="253">
        <f>IFERROR(aurora_data!BP41,0)</f>
        <v>0</v>
      </c>
      <c r="S70" s="254">
        <f>IFERROR(aurora_data!BQ41,0)</f>
        <v>0</v>
      </c>
      <c r="T70" s="253">
        <f>IFERROR(aurora_data!BR41,0)</f>
        <v>0</v>
      </c>
      <c r="U70" s="253">
        <f>IFERROR(aurora_data!BS41,0)</f>
        <v>0</v>
      </c>
      <c r="V70" s="254">
        <f>IFERROR(aurora_data!BT41,0)</f>
        <v>0</v>
      </c>
      <c r="W70" s="61" t="s">
        <v>354</v>
      </c>
      <c r="X70" s="113">
        <f>IFERROR(aurora_data!BU41,0)</f>
        <v>0</v>
      </c>
      <c r="Y70" s="255">
        <f t="shared" si="16"/>
        <v>0</v>
      </c>
    </row>
    <row r="71" spans="1:25" ht="16.5" thickBot="1">
      <c r="A71"/>
      <c r="C71" s="452"/>
      <c r="D71" s="454"/>
      <c r="E71" s="37" t="s">
        <v>17</v>
      </c>
      <c r="F71" s="59">
        <f>IFERROR(aurora_data!BD42,0)</f>
        <v>9</v>
      </c>
      <c r="G71" s="64">
        <f>IFERROR(aurora_data!BE42,0)</f>
        <v>12</v>
      </c>
      <c r="H71" s="64">
        <f>IFERROR(aurora_data!BF42,0)</f>
        <v>49</v>
      </c>
      <c r="I71" s="64">
        <f>IFERROR(aurora_data!BG42,0)</f>
        <v>71</v>
      </c>
      <c r="J71" s="65">
        <f>IFERROR(aurora_data!BH42,0)</f>
        <v>94</v>
      </c>
      <c r="K71" s="59">
        <f>IFERROR(aurora_data!BI42,0)</f>
        <v>12</v>
      </c>
      <c r="L71" s="64">
        <f>IFERROR(aurora_data!BJ42,0)</f>
        <v>28</v>
      </c>
      <c r="M71" s="64">
        <f>IFERROR(aurora_data!BK42,0)</f>
        <v>60</v>
      </c>
      <c r="N71" s="64">
        <f>IFERROR(aurora_data!BL42,0)</f>
        <v>28</v>
      </c>
      <c r="O71" s="65">
        <f>IFERROR(aurora_data!BM42,0)</f>
        <v>107</v>
      </c>
      <c r="P71" s="59">
        <f>IFERROR(aurora_data!BN42,0)</f>
        <v>72</v>
      </c>
      <c r="Q71" s="64">
        <f>IFERROR(aurora_data!BO42,0)</f>
        <v>47</v>
      </c>
      <c r="R71" s="64">
        <f>IFERROR(aurora_data!BP42,0)</f>
        <v>71</v>
      </c>
      <c r="S71" s="65">
        <f>IFERROR(aurora_data!BQ42,0)</f>
        <v>45</v>
      </c>
      <c r="T71" s="64">
        <f>IFERROR(aurora_data!BR42,0)</f>
        <v>134</v>
      </c>
      <c r="U71" s="64">
        <f>IFERROR(aurora_data!BS42,0)</f>
        <v>101</v>
      </c>
      <c r="V71" s="65">
        <f>IFERROR(aurora_data!BT42,0)</f>
        <v>0</v>
      </c>
      <c r="W71" s="66" t="s">
        <v>354</v>
      </c>
      <c r="X71" s="59">
        <f>IFERROR(aurora_data!BU42,0)</f>
        <v>235</v>
      </c>
      <c r="Y71" s="70">
        <f t="shared" si="16"/>
        <v>1.175</v>
      </c>
    </row>
    <row r="72" spans="1:25" ht="16.5" thickBot="1">
      <c r="A72"/>
      <c r="C72" s="452"/>
      <c r="D72" s="454"/>
      <c r="E72" s="38" t="s">
        <v>343</v>
      </c>
      <c r="F72" s="256">
        <f>IFERROR(aurora_data!BD43,0)</f>
        <v>1</v>
      </c>
      <c r="G72" s="257">
        <f>IFERROR(aurora_data!BE43,0)</f>
        <v>1</v>
      </c>
      <c r="H72" s="257">
        <f>IFERROR(aurora_data!BF43,0)</f>
        <v>4</v>
      </c>
      <c r="I72" s="257">
        <f>IFERROR(aurora_data!BG43,0)</f>
        <v>0</v>
      </c>
      <c r="J72" s="258">
        <f>IFERROR(aurora_data!BH43,0)</f>
        <v>1</v>
      </c>
      <c r="K72" s="256">
        <f>IFERROR(aurora_data!BI43,0)</f>
        <v>0</v>
      </c>
      <c r="L72" s="257">
        <f>IFERROR(aurora_data!BJ43,0)</f>
        <v>0</v>
      </c>
      <c r="M72" s="257">
        <f>IFERROR(aurora_data!BK43,0)</f>
        <v>4</v>
      </c>
      <c r="N72" s="257">
        <f>IFERROR(aurora_data!BL43,0)</f>
        <v>0</v>
      </c>
      <c r="O72" s="258">
        <f>IFERROR(aurora_data!BM43,0)</f>
        <v>3</v>
      </c>
      <c r="P72" s="256">
        <f>IFERROR(aurora_data!BN43,0)</f>
        <v>1</v>
      </c>
      <c r="Q72" s="257">
        <f>IFERROR(aurora_data!BO43,0)</f>
        <v>2</v>
      </c>
      <c r="R72" s="257">
        <f>IFERROR(aurora_data!BP43,0)</f>
        <v>3</v>
      </c>
      <c r="S72" s="258">
        <f>IFERROR(aurora_data!BQ43,0)</f>
        <v>1</v>
      </c>
      <c r="T72" s="257">
        <f>IFERROR(aurora_data!BR43,0)</f>
        <v>4</v>
      </c>
      <c r="U72" s="257">
        <f>IFERROR(aurora_data!BS43,0)</f>
        <v>3</v>
      </c>
      <c r="V72" s="259">
        <f>IFERROR(aurora_data!BT43,0)</f>
        <v>0</v>
      </c>
      <c r="W72" s="260" t="s">
        <v>354</v>
      </c>
      <c r="X72" s="256">
        <f>IFERROR(aurora_data!BU43,0)</f>
        <v>7</v>
      </c>
      <c r="Y72" s="261">
        <f t="shared" si="16"/>
        <v>3.5000000000000003E-2</v>
      </c>
    </row>
    <row r="73" spans="1:25" hidden="1" outlineLevel="1">
      <c r="A73"/>
      <c r="C73" s="452"/>
      <c r="D73" s="454"/>
      <c r="E73" s="199" t="s">
        <v>344</v>
      </c>
      <c r="F73" s="271">
        <f>ROUNDDOWN((F75+$F$10)*($X65),0)</f>
        <v>10</v>
      </c>
      <c r="G73" s="272">
        <f>ROUNDDOWN((G75+$F$10)*($X65),0)</f>
        <v>15</v>
      </c>
      <c r="H73" s="272">
        <f>ROUNDDOWN((H75+$F$10)*($X65),0)</f>
        <v>44</v>
      </c>
      <c r="I73" s="272">
        <f>ROUNDDOWN((I75+$F$10)*($X65),0)</f>
        <v>67</v>
      </c>
      <c r="J73" s="272">
        <f>ROUNDDOWN((J75+$F$10)*($X65),0)</f>
        <v>82</v>
      </c>
      <c r="K73" s="271">
        <f>ROUNDDOWN((K75+$K$10)*($X65),0)</f>
        <v>18</v>
      </c>
      <c r="L73" s="272">
        <f>ROUNDDOWN((L75+$K$10)*($X65),0)</f>
        <v>33</v>
      </c>
      <c r="M73" s="272">
        <f>ROUNDDOWN((M75+$K$10)*($X65),0)</f>
        <v>56</v>
      </c>
      <c r="N73" s="272">
        <f>ROUNDDOWN((N75+$K$10)*($X65),0)</f>
        <v>26</v>
      </c>
      <c r="O73" s="268">
        <f>ROUNDDOWN((O75+$K$10)*($X65),0)</f>
        <v>104</v>
      </c>
      <c r="P73" s="271"/>
      <c r="Q73" s="272"/>
      <c r="R73" s="272"/>
      <c r="S73" s="268"/>
      <c r="T73" s="265"/>
      <c r="U73" s="272"/>
      <c r="V73" s="282"/>
      <c r="W73" s="61"/>
      <c r="X73" s="291"/>
      <c r="Y73" s="286"/>
    </row>
    <row r="74" spans="1:25" hidden="1" outlineLevel="1">
      <c r="A74"/>
      <c r="C74" s="452"/>
      <c r="D74" s="454"/>
      <c r="E74" s="199" t="s">
        <v>345</v>
      </c>
      <c r="F74" s="276">
        <f>IF(ROUND(((F75-$F$10)*($X65))+0.25,0) &lt;=0,1,((F75-$F$10)*($X65))+0.25)</f>
        <v>2.38</v>
      </c>
      <c r="G74" s="277">
        <f>IF(ROUND(((G75-$F$10)*($X65))+0.25,0) &lt;=0,1,((G75-$F$10)*($X65))+0.25)</f>
        <v>7.8199999999999985</v>
      </c>
      <c r="H74" s="277">
        <f>IF(ROUND(((H75-$F$10)*($X65))+0.25,0) &lt;=0,1,((H75-$F$10)*($X65))+0.25)</f>
        <v>36.500000000000007</v>
      </c>
      <c r="I74" s="277">
        <f>IF(ROUND(((I75-$F$10)*($X65))+0.25,0) &lt;=0,1,((I75-$F$10)*($X65))+0.25)</f>
        <v>60.2</v>
      </c>
      <c r="J74" s="277">
        <f>IF(ROUND(((J75-$F$10)*($X65))+0.25,0) &lt;=0,1,((J75-$F$10)*($X65))+0.25)</f>
        <v>74.36</v>
      </c>
      <c r="K74" s="276">
        <f>IF(ROUND(((K75-$K$10)*($X65))+0.25,0) &lt;=0,1,((K75-$K$10)*($X65))+0.25)</f>
        <v>2.589999999999999</v>
      </c>
      <c r="L74" s="277">
        <f>IF(ROUND(((L75-$K$10)*($X65))+0.25,0) &lt;=0,1,((L75-$K$10)*($X65))+0.25)</f>
        <v>18.239999999999995</v>
      </c>
      <c r="M74" s="277">
        <f>IF(ROUND(((M75-$K$10)*($X65))+0.25,0) &lt;=0,1,((M75-$K$10)*($X65))+0.25)</f>
        <v>40.880000000000003</v>
      </c>
      <c r="N74" s="277">
        <f>IF(ROUND(((N75-$K$10)*($X65))+0.25,0) &lt;=0,1,((N75-$K$10)*($X65))+0.25)</f>
        <v>11.11</v>
      </c>
      <c r="O74" s="278">
        <f>IF(ROUND(((O75-$K$10)*($X65))+0.25,0) &lt;=0,1,((O75-$K$10)*($X65))+0.25)</f>
        <v>88.43</v>
      </c>
      <c r="P74" s="276"/>
      <c r="Q74" s="277"/>
      <c r="R74" s="277"/>
      <c r="S74" s="278"/>
      <c r="T74" s="276"/>
      <c r="U74" s="277"/>
      <c r="V74" s="287"/>
      <c r="W74" s="61"/>
      <c r="X74" s="285"/>
      <c r="Y74" s="287"/>
    </row>
    <row r="75" spans="1:25" hidden="1" outlineLevel="1">
      <c r="A75"/>
      <c r="C75" s="452"/>
      <c r="D75" s="454"/>
      <c r="E75" s="95" t="s">
        <v>346</v>
      </c>
      <c r="F75" s="414">
        <f t="shared" ref="F75:O75" si="17">IFERROR(F65/$X65,0)</f>
        <v>3.065E-2</v>
      </c>
      <c r="G75" s="415">
        <f t="shared" si="17"/>
        <v>5.7849999999999999E-2</v>
      </c>
      <c r="H75" s="415">
        <f t="shared" si="17"/>
        <v>0.20125000000000001</v>
      </c>
      <c r="I75" s="415">
        <f t="shared" si="17"/>
        <v>0.31975000000000003</v>
      </c>
      <c r="J75" s="415">
        <f t="shared" si="17"/>
        <v>0.39055000000000001</v>
      </c>
      <c r="K75" s="414">
        <f t="shared" si="17"/>
        <v>5.1699999999999996E-2</v>
      </c>
      <c r="L75" s="415">
        <f t="shared" si="17"/>
        <v>0.12994999999999998</v>
      </c>
      <c r="M75" s="415">
        <f t="shared" si="17"/>
        <v>0.24315000000000001</v>
      </c>
      <c r="N75" s="415">
        <f t="shared" si="17"/>
        <v>9.4299999999999995E-2</v>
      </c>
      <c r="O75" s="416">
        <f t="shared" si="17"/>
        <v>0.48090000000000005</v>
      </c>
      <c r="P75" s="414"/>
      <c r="Q75" s="415"/>
      <c r="R75" s="415"/>
      <c r="S75" s="416"/>
      <c r="T75" s="414"/>
      <c r="U75" s="415"/>
      <c r="V75" s="254"/>
      <c r="W75" s="61"/>
      <c r="X75" s="113"/>
      <c r="Y75" s="431"/>
    </row>
    <row r="76" spans="1:25" hidden="1" outlineLevel="1">
      <c r="A76"/>
      <c r="C76" s="452"/>
      <c r="D76" s="454"/>
      <c r="E76" s="180" t="s">
        <v>347</v>
      </c>
      <c r="F76" s="414">
        <f t="shared" ref="F76:O76" si="18">IFERROR(F66/$X65,0)</f>
        <v>0.03</v>
      </c>
      <c r="G76" s="415">
        <f t="shared" si="18"/>
        <v>5.5E-2</v>
      </c>
      <c r="H76" s="415">
        <f t="shared" si="18"/>
        <v>0.2</v>
      </c>
      <c r="I76" s="415">
        <f t="shared" si="18"/>
        <v>0.32</v>
      </c>
      <c r="J76" s="415">
        <f t="shared" si="18"/>
        <v>0.375</v>
      </c>
      <c r="K76" s="414">
        <f t="shared" si="18"/>
        <v>0.05</v>
      </c>
      <c r="L76" s="415">
        <f t="shared" si="18"/>
        <v>0.13</v>
      </c>
      <c r="M76" s="415">
        <f t="shared" si="18"/>
        <v>0.24</v>
      </c>
      <c r="N76" s="415">
        <f t="shared" si="18"/>
        <v>0.1</v>
      </c>
      <c r="O76" s="416">
        <f t="shared" si="18"/>
        <v>0.46</v>
      </c>
      <c r="P76" s="414"/>
      <c r="Q76" s="415"/>
      <c r="R76" s="415"/>
      <c r="S76" s="416"/>
      <c r="T76" s="414"/>
      <c r="U76" s="415"/>
      <c r="V76" s="254"/>
      <c r="W76" s="61"/>
      <c r="X76" s="113"/>
      <c r="Y76" s="431"/>
    </row>
    <row r="77" spans="1:25" ht="16.5" hidden="1" outlineLevel="1" thickBot="1">
      <c r="A77"/>
      <c r="C77" s="456"/>
      <c r="D77" s="455"/>
      <c r="E77" s="180" t="s">
        <v>348</v>
      </c>
      <c r="F77" s="414">
        <f t="shared" ref="F77:O77" si="19">F76-F75</f>
        <v>-6.5000000000000127E-4</v>
      </c>
      <c r="G77" s="415">
        <f t="shared" si="19"/>
        <v>-2.8499999999999984E-3</v>
      </c>
      <c r="H77" s="415">
        <f t="shared" si="19"/>
        <v>-1.2500000000000011E-3</v>
      </c>
      <c r="I77" s="415">
        <f t="shared" si="19"/>
        <v>2.4999999999997247E-4</v>
      </c>
      <c r="J77" s="415">
        <f t="shared" si="19"/>
        <v>-1.5550000000000008E-2</v>
      </c>
      <c r="K77" s="414">
        <f t="shared" si="19"/>
        <v>-1.6999999999999932E-3</v>
      </c>
      <c r="L77" s="415">
        <f t="shared" si="19"/>
        <v>5.0000000000022249E-5</v>
      </c>
      <c r="M77" s="415">
        <f t="shared" si="19"/>
        <v>-3.1500000000000139E-3</v>
      </c>
      <c r="N77" s="415">
        <f t="shared" si="19"/>
        <v>5.7000000000000106E-3</v>
      </c>
      <c r="O77" s="416">
        <f t="shared" si="19"/>
        <v>-2.090000000000003E-2</v>
      </c>
      <c r="P77" s="414"/>
      <c r="Q77" s="415"/>
      <c r="R77" s="415"/>
      <c r="S77" s="416"/>
      <c r="T77" s="432"/>
      <c r="U77" s="415"/>
      <c r="V77" s="254"/>
      <c r="W77" s="61"/>
      <c r="X77" s="113"/>
      <c r="Y77" s="431"/>
    </row>
    <row r="78" spans="1:25" collapsed="1">
      <c r="A78"/>
      <c r="C78" s="451" t="s">
        <v>338</v>
      </c>
      <c r="D78" s="453" t="str">
        <f>aurora_data!BA44</f>
        <v>11.00.00-11.11.30</v>
      </c>
      <c r="E78" s="34" t="s">
        <v>306</v>
      </c>
      <c r="F78" s="39">
        <f>IFERROR(aurora_data!BD44,0)</f>
        <v>6.75</v>
      </c>
      <c r="G78" s="40">
        <f>IFERROR(aurora_data!BE44,0)</f>
        <v>11.57</v>
      </c>
      <c r="H78" s="40">
        <f>IFERROR(aurora_data!BF44,0)</f>
        <v>39.56</v>
      </c>
      <c r="I78" s="40">
        <f>IFERROR(aurora_data!BG44,0)</f>
        <v>63.95</v>
      </c>
      <c r="J78" s="41">
        <f>IFERROR(aurora_data!BH44,0)</f>
        <v>78.17</v>
      </c>
      <c r="K78" s="39">
        <f>IFERROR(aurora_data!BI44,0)</f>
        <v>10.85</v>
      </c>
      <c r="L78" s="40">
        <f>IFERROR(aurora_data!BJ44,0)</f>
        <v>25.24</v>
      </c>
      <c r="M78" s="40">
        <f>IFERROR(aurora_data!BK44,0)</f>
        <v>49.4</v>
      </c>
      <c r="N78" s="40">
        <f>IFERROR(aurora_data!BL44,0)</f>
        <v>19.059999999999999</v>
      </c>
      <c r="O78" s="41">
        <f>IFERROR(aurora_data!BM44,0)</f>
        <v>95.44</v>
      </c>
      <c r="P78" s="39">
        <f>IFERROR(aurora_data!BN44,0)</f>
        <v>41.65</v>
      </c>
      <c r="Q78" s="40">
        <f>IFERROR(aurora_data!BO44,0)</f>
        <v>32.08</v>
      </c>
      <c r="R78" s="40">
        <f>IFERROR(aurora_data!BP44,0)</f>
        <v>78.94</v>
      </c>
      <c r="S78" s="41">
        <f>IFERROR(aurora_data!BQ44,0)</f>
        <v>47.33</v>
      </c>
      <c r="T78" s="40">
        <f>IFERROR(aurora_data!BR44,0)</f>
        <v>100</v>
      </c>
      <c r="U78" s="40">
        <f>IFERROR(aurora_data!BS44,0)</f>
        <v>100</v>
      </c>
      <c r="V78" s="41">
        <f>IFERROR(aurora_data!BT44,0)</f>
        <v>0</v>
      </c>
      <c r="W78" s="61" t="s">
        <v>354</v>
      </c>
      <c r="X78" s="39">
        <f>IFERROR(aurora_data!BU44,0)</f>
        <v>200</v>
      </c>
      <c r="Y78" s="69">
        <f t="shared" ref="Y78:Y85" si="20">IFERROR(X78/$X$78,0)</f>
        <v>1</v>
      </c>
    </row>
    <row r="79" spans="1:25">
      <c r="A79"/>
      <c r="C79" s="452"/>
      <c r="D79" s="454"/>
      <c r="E79" s="35" t="s">
        <v>339</v>
      </c>
      <c r="F79" s="113">
        <f>IFERROR(aurora_data!BD45,0)</f>
        <v>7</v>
      </c>
      <c r="G79" s="253">
        <f>IFERROR(aurora_data!BE45,0)</f>
        <v>8</v>
      </c>
      <c r="H79" s="253">
        <f>IFERROR(aurora_data!BF45,0)</f>
        <v>39</v>
      </c>
      <c r="I79" s="253">
        <f>IFERROR(aurora_data!BG45,0)</f>
        <v>64</v>
      </c>
      <c r="J79" s="254">
        <f>IFERROR(aurora_data!BH45,0)</f>
        <v>77</v>
      </c>
      <c r="K79" s="113">
        <f>IFERROR(aurora_data!BI45,0)</f>
        <v>10</v>
      </c>
      <c r="L79" s="253">
        <f>IFERROR(aurora_data!BJ45,0)</f>
        <v>26</v>
      </c>
      <c r="M79" s="253">
        <f>IFERROR(aurora_data!BK45,0)</f>
        <v>49</v>
      </c>
      <c r="N79" s="253">
        <f>IFERROR(aurora_data!BL45,0)</f>
        <v>18</v>
      </c>
      <c r="O79" s="254">
        <f>IFERROR(aurora_data!BM45,0)</f>
        <v>92</v>
      </c>
      <c r="P79" s="113">
        <f>IFERROR(aurora_data!BN45,0)</f>
        <v>54</v>
      </c>
      <c r="Q79" s="253">
        <f>IFERROR(aurora_data!BO45,0)</f>
        <v>31</v>
      </c>
      <c r="R79" s="253">
        <f>IFERROR(aurora_data!BP45,0)</f>
        <v>63</v>
      </c>
      <c r="S79" s="254">
        <f>IFERROR(aurora_data!BQ45,0)</f>
        <v>47</v>
      </c>
      <c r="T79" s="253">
        <f>IFERROR(aurora_data!BR45,0)</f>
        <v>96</v>
      </c>
      <c r="U79" s="253">
        <f>IFERROR(aurora_data!BS45,0)</f>
        <v>99</v>
      </c>
      <c r="V79" s="254">
        <f>IFERROR(aurora_data!BT45,0)</f>
        <v>0</v>
      </c>
      <c r="W79" s="61" t="s">
        <v>354</v>
      </c>
      <c r="X79" s="113">
        <f>IFERROR(aurora_data!BU45,0)</f>
        <v>195</v>
      </c>
      <c r="Y79" s="255">
        <f t="shared" si="20"/>
        <v>0.97499999999999998</v>
      </c>
    </row>
    <row r="80" spans="1:25">
      <c r="A80"/>
      <c r="C80" s="452"/>
      <c r="D80" s="454"/>
      <c r="E80" s="35" t="s">
        <v>291</v>
      </c>
      <c r="F80" s="113">
        <f>IFERROR(aurora_data!BD46,0)</f>
        <v>1</v>
      </c>
      <c r="G80" s="253">
        <f>IFERROR(aurora_data!BE46,0)</f>
        <v>1</v>
      </c>
      <c r="H80" s="253">
        <f>IFERROR(aurora_data!BF46,0)</f>
        <v>1</v>
      </c>
      <c r="I80" s="253">
        <f>IFERROR(aurora_data!BG46,0)</f>
        <v>6</v>
      </c>
      <c r="J80" s="254">
        <f>IFERROR(aurora_data!BH46,0)</f>
        <v>19</v>
      </c>
      <c r="K80" s="113">
        <f>IFERROR(aurora_data!BI46,0)</f>
        <v>1</v>
      </c>
      <c r="L80" s="253">
        <f>IFERROR(aurora_data!BJ46,0)</f>
        <v>9</v>
      </c>
      <c r="M80" s="253">
        <f>IFERROR(aurora_data!BK46,0)</f>
        <v>5</v>
      </c>
      <c r="N80" s="253">
        <f>IFERROR(aurora_data!BL46,0)</f>
        <v>6</v>
      </c>
      <c r="O80" s="254">
        <f>IFERROR(aurora_data!BM46,0)</f>
        <v>7</v>
      </c>
      <c r="P80" s="113">
        <f>IFERROR(aurora_data!BN46,0)</f>
        <v>19</v>
      </c>
      <c r="Q80" s="253">
        <f>IFERROR(aurora_data!BO46,0)</f>
        <v>5</v>
      </c>
      <c r="R80" s="253">
        <f>IFERROR(aurora_data!BP46,0)</f>
        <v>1</v>
      </c>
      <c r="S80" s="254">
        <f>IFERROR(aurora_data!BQ46,0)</f>
        <v>3</v>
      </c>
      <c r="T80" s="253">
        <f>IFERROR(aurora_data!BR46,0)</f>
        <v>13</v>
      </c>
      <c r="U80" s="253">
        <f>IFERROR(aurora_data!BS46,0)</f>
        <v>15</v>
      </c>
      <c r="V80" s="254">
        <f>IFERROR(aurora_data!BT46,0)</f>
        <v>0</v>
      </c>
      <c r="W80" s="61" t="s">
        <v>354</v>
      </c>
      <c r="X80" s="113">
        <f>IFERROR(aurora_data!BU46,0)</f>
        <v>28</v>
      </c>
      <c r="Y80" s="255">
        <f t="shared" si="20"/>
        <v>0.14000000000000001</v>
      </c>
    </row>
    <row r="81" spans="1:25">
      <c r="A81"/>
      <c r="C81" s="452"/>
      <c r="D81" s="454"/>
      <c r="E81" s="35" t="s">
        <v>340</v>
      </c>
      <c r="F81" s="113">
        <f>IFERROR(aurora_data!BD47,0)</f>
        <v>0</v>
      </c>
      <c r="G81" s="253">
        <f>IFERROR(aurora_data!BE47,0)</f>
        <v>0</v>
      </c>
      <c r="H81" s="253">
        <f>IFERROR(aurora_data!BF47,0)</f>
        <v>2</v>
      </c>
      <c r="I81" s="253">
        <f>IFERROR(aurora_data!BG47,0)</f>
        <v>0</v>
      </c>
      <c r="J81" s="254">
        <f>IFERROR(aurora_data!BH47,0)</f>
        <v>1</v>
      </c>
      <c r="K81" s="113">
        <f>IFERROR(aurora_data!BI47,0)</f>
        <v>1</v>
      </c>
      <c r="L81" s="253">
        <f>IFERROR(aurora_data!BJ47,0)</f>
        <v>0</v>
      </c>
      <c r="M81" s="253">
        <f>IFERROR(aurora_data!BK47,0)</f>
        <v>1</v>
      </c>
      <c r="N81" s="253">
        <f>IFERROR(aurora_data!BL47,0)</f>
        <v>0</v>
      </c>
      <c r="O81" s="254">
        <f>IFERROR(aurora_data!BM47,0)</f>
        <v>1</v>
      </c>
      <c r="P81" s="113">
        <f>IFERROR(aurora_data!BN47,0)</f>
        <v>0</v>
      </c>
      <c r="Q81" s="253">
        <f>IFERROR(aurora_data!BO47,0)</f>
        <v>2</v>
      </c>
      <c r="R81" s="253">
        <f>IFERROR(aurora_data!BP47,0)</f>
        <v>0</v>
      </c>
      <c r="S81" s="254">
        <f>IFERROR(aurora_data!BQ47,0)</f>
        <v>1</v>
      </c>
      <c r="T81" s="253">
        <f>IFERROR(aurora_data!BR47,0)</f>
        <v>1</v>
      </c>
      <c r="U81" s="253">
        <f>IFERROR(aurora_data!BS47,0)</f>
        <v>2</v>
      </c>
      <c r="V81" s="254">
        <f>IFERROR(aurora_data!BT47,0)</f>
        <v>0</v>
      </c>
      <c r="W81" s="61" t="s">
        <v>354</v>
      </c>
      <c r="X81" s="113">
        <f>IFERROR(aurora_data!BU47,0)</f>
        <v>3</v>
      </c>
      <c r="Y81" s="255">
        <f t="shared" si="20"/>
        <v>1.4999999999999999E-2</v>
      </c>
    </row>
    <row r="82" spans="1:25">
      <c r="A82"/>
      <c r="C82" s="452"/>
      <c r="D82" s="454"/>
      <c r="E82" s="35" t="s">
        <v>341</v>
      </c>
      <c r="F82" s="113">
        <f>IFERROR(aurora_data!BD48,0)</f>
        <v>0</v>
      </c>
      <c r="G82" s="253">
        <f>IFERROR(aurora_data!BE48,0)</f>
        <v>2</v>
      </c>
      <c r="H82" s="253">
        <f>IFERROR(aurora_data!BF48,0)</f>
        <v>0</v>
      </c>
      <c r="I82" s="253">
        <f>IFERROR(aurora_data!BG48,0)</f>
        <v>1</v>
      </c>
      <c r="J82" s="254">
        <f>IFERROR(aurora_data!BH48,0)</f>
        <v>0</v>
      </c>
      <c r="K82" s="113">
        <f>IFERROR(aurora_data!BI48,0)</f>
        <v>0</v>
      </c>
      <c r="L82" s="253">
        <f>IFERROR(aurora_data!BJ48,0)</f>
        <v>0</v>
      </c>
      <c r="M82" s="253">
        <f>IFERROR(aurora_data!BK48,0)</f>
        <v>0</v>
      </c>
      <c r="N82" s="253">
        <f>IFERROR(aurora_data!BL48,0)</f>
        <v>0</v>
      </c>
      <c r="O82" s="254">
        <f>IFERROR(aurora_data!BM48,0)</f>
        <v>3</v>
      </c>
      <c r="P82" s="113">
        <f>IFERROR(aurora_data!BN48,0)</f>
        <v>1</v>
      </c>
      <c r="Q82" s="253">
        <f>IFERROR(aurora_data!BO48,0)</f>
        <v>0</v>
      </c>
      <c r="R82" s="253">
        <f>IFERROR(aurora_data!BP48,0)</f>
        <v>1</v>
      </c>
      <c r="S82" s="254">
        <f>IFERROR(aurora_data!BQ48,0)</f>
        <v>1</v>
      </c>
      <c r="T82" s="253">
        <f>IFERROR(aurora_data!BR48,0)</f>
        <v>1</v>
      </c>
      <c r="U82" s="253">
        <f>IFERROR(aurora_data!BS48,0)</f>
        <v>2</v>
      </c>
      <c r="V82" s="254">
        <f>IFERROR(aurora_data!BT48,0)</f>
        <v>0</v>
      </c>
      <c r="W82" s="61" t="s">
        <v>354</v>
      </c>
      <c r="X82" s="113">
        <f>IFERROR(aurora_data!BU48,0)</f>
        <v>3</v>
      </c>
      <c r="Y82" s="255">
        <f t="shared" si="20"/>
        <v>1.4999999999999999E-2</v>
      </c>
    </row>
    <row r="83" spans="1:25" ht="16.5" thickBot="1">
      <c r="A83"/>
      <c r="C83" s="452"/>
      <c r="D83" s="454"/>
      <c r="E83" s="35" t="s">
        <v>342</v>
      </c>
      <c r="F83" s="113">
        <f>IFERROR(aurora_data!BD49,0)</f>
        <v>0</v>
      </c>
      <c r="G83" s="253">
        <f>IFERROR(aurora_data!BE49,0)</f>
        <v>0</v>
      </c>
      <c r="H83" s="253">
        <f>IFERROR(aurora_data!BF49,0)</f>
        <v>0</v>
      </c>
      <c r="I83" s="253">
        <f>IFERROR(aurora_data!BG49,0)</f>
        <v>0</v>
      </c>
      <c r="J83" s="254">
        <f>IFERROR(aurora_data!BH49,0)</f>
        <v>1</v>
      </c>
      <c r="K83" s="113">
        <f>IFERROR(aurora_data!BI49,0)</f>
        <v>0</v>
      </c>
      <c r="L83" s="253">
        <f>IFERROR(aurora_data!BJ49,0)</f>
        <v>0</v>
      </c>
      <c r="M83" s="253">
        <f>IFERROR(aurora_data!BK49,0)</f>
        <v>0</v>
      </c>
      <c r="N83" s="253">
        <f>IFERROR(aurora_data!BL49,0)</f>
        <v>0</v>
      </c>
      <c r="O83" s="254">
        <f>IFERROR(aurora_data!BM49,0)</f>
        <v>1</v>
      </c>
      <c r="P83" s="113">
        <f>IFERROR(aurora_data!BN49,0)</f>
        <v>0</v>
      </c>
      <c r="Q83" s="253">
        <f>IFERROR(aurora_data!BO49,0)</f>
        <v>0</v>
      </c>
      <c r="R83" s="253">
        <f>IFERROR(aurora_data!BP49,0)</f>
        <v>1</v>
      </c>
      <c r="S83" s="254">
        <f>IFERROR(aurora_data!BQ49,0)</f>
        <v>0</v>
      </c>
      <c r="T83" s="253">
        <f>IFERROR(aurora_data!BR49,0)</f>
        <v>1</v>
      </c>
      <c r="U83" s="253">
        <f>IFERROR(aurora_data!BS49,0)</f>
        <v>0</v>
      </c>
      <c r="V83" s="254">
        <f>IFERROR(aurora_data!BT49,0)</f>
        <v>0</v>
      </c>
      <c r="W83" s="61" t="s">
        <v>354</v>
      </c>
      <c r="X83" s="113">
        <f>IFERROR(aurora_data!BU49,0)</f>
        <v>1</v>
      </c>
      <c r="Y83" s="255">
        <f t="shared" si="20"/>
        <v>5.0000000000000001E-3</v>
      </c>
    </row>
    <row r="84" spans="1:25" ht="16.5" thickBot="1">
      <c r="A84"/>
      <c r="C84" s="452"/>
      <c r="D84" s="454"/>
      <c r="E84" s="37" t="s">
        <v>17</v>
      </c>
      <c r="F84" s="59">
        <f>IFERROR(aurora_data!BD50,0)</f>
        <v>8</v>
      </c>
      <c r="G84" s="64">
        <f>IFERROR(aurora_data!BE50,0)</f>
        <v>11</v>
      </c>
      <c r="H84" s="64">
        <f>IFERROR(aurora_data!BF50,0)</f>
        <v>42</v>
      </c>
      <c r="I84" s="64">
        <f>IFERROR(aurora_data!BG50,0)</f>
        <v>71</v>
      </c>
      <c r="J84" s="65">
        <f>IFERROR(aurora_data!BH50,0)</f>
        <v>98</v>
      </c>
      <c r="K84" s="59">
        <f>IFERROR(aurora_data!BI50,0)</f>
        <v>12</v>
      </c>
      <c r="L84" s="64">
        <f>IFERROR(aurora_data!BJ50,0)</f>
        <v>35</v>
      </c>
      <c r="M84" s="64">
        <f>IFERROR(aurora_data!BK50,0)</f>
        <v>55</v>
      </c>
      <c r="N84" s="64">
        <f>IFERROR(aurora_data!BL50,0)</f>
        <v>24</v>
      </c>
      <c r="O84" s="65">
        <f>IFERROR(aurora_data!BM50,0)</f>
        <v>104</v>
      </c>
      <c r="P84" s="59">
        <f>IFERROR(aurora_data!BN50,0)</f>
        <v>74</v>
      </c>
      <c r="Q84" s="64">
        <f>IFERROR(aurora_data!BO50,0)</f>
        <v>38</v>
      </c>
      <c r="R84" s="64">
        <f>IFERROR(aurora_data!BP50,0)</f>
        <v>66</v>
      </c>
      <c r="S84" s="65">
        <f>IFERROR(aurora_data!BQ50,0)</f>
        <v>52</v>
      </c>
      <c r="T84" s="64">
        <f>IFERROR(aurora_data!BR50,0)</f>
        <v>112</v>
      </c>
      <c r="U84" s="64">
        <f>IFERROR(aurora_data!BS50,0)</f>
        <v>118</v>
      </c>
      <c r="V84" s="65">
        <f>IFERROR(aurora_data!BT50,0)</f>
        <v>0</v>
      </c>
      <c r="W84" s="66" t="s">
        <v>354</v>
      </c>
      <c r="X84" s="59">
        <f>IFERROR(aurora_data!BU50,0)</f>
        <v>230</v>
      </c>
      <c r="Y84" s="70">
        <f t="shared" si="20"/>
        <v>1.1499999999999999</v>
      </c>
    </row>
    <row r="85" spans="1:25" ht="16.5" thickBot="1">
      <c r="A85"/>
      <c r="C85" s="452"/>
      <c r="D85" s="454"/>
      <c r="E85" s="38" t="s">
        <v>343</v>
      </c>
      <c r="F85" s="256">
        <f>IFERROR(aurora_data!BD51,0)</f>
        <v>1</v>
      </c>
      <c r="G85" s="257">
        <f>IFERROR(aurora_data!BE51,0)</f>
        <v>0</v>
      </c>
      <c r="H85" s="257">
        <f>IFERROR(aurora_data!BF51,0)</f>
        <v>2</v>
      </c>
      <c r="I85" s="257">
        <f>IFERROR(aurora_data!BG51,0)</f>
        <v>3</v>
      </c>
      <c r="J85" s="258">
        <f>IFERROR(aurora_data!BH51,0)</f>
        <v>4</v>
      </c>
      <c r="K85" s="256">
        <f>IFERROR(aurora_data!BI51,0)</f>
        <v>2</v>
      </c>
      <c r="L85" s="257">
        <f>IFERROR(aurora_data!BJ51,0)</f>
        <v>0</v>
      </c>
      <c r="M85" s="257">
        <f>IFERROR(aurora_data!BK51,0)</f>
        <v>0</v>
      </c>
      <c r="N85" s="257">
        <f>IFERROR(aurora_data!BL51,0)</f>
        <v>1</v>
      </c>
      <c r="O85" s="258">
        <f>IFERROR(aurora_data!BM51,0)</f>
        <v>7</v>
      </c>
      <c r="P85" s="256">
        <f>IFERROR(aurora_data!BN51,0)</f>
        <v>0</v>
      </c>
      <c r="Q85" s="257">
        <f>IFERROR(aurora_data!BO51,0)</f>
        <v>1</v>
      </c>
      <c r="R85" s="257">
        <f>IFERROR(aurora_data!BP51,0)</f>
        <v>9</v>
      </c>
      <c r="S85" s="258">
        <f>IFERROR(aurora_data!BQ51,0)</f>
        <v>0</v>
      </c>
      <c r="T85" s="257">
        <f>IFERROR(aurora_data!BR51,0)</f>
        <v>1</v>
      </c>
      <c r="U85" s="257">
        <f>IFERROR(aurora_data!BS51,0)</f>
        <v>9</v>
      </c>
      <c r="V85" s="259">
        <f>IFERROR(aurora_data!BT51,0)</f>
        <v>0</v>
      </c>
      <c r="W85" s="260" t="s">
        <v>354</v>
      </c>
      <c r="X85" s="256">
        <f>IFERROR(aurora_data!BU51,0)</f>
        <v>10</v>
      </c>
      <c r="Y85" s="261">
        <f t="shared" si="20"/>
        <v>0.05</v>
      </c>
    </row>
    <row r="86" spans="1:25" hidden="1" outlineLevel="1">
      <c r="A86"/>
      <c r="C86" s="452"/>
      <c r="D86" s="454"/>
      <c r="E86" s="199" t="s">
        <v>344</v>
      </c>
      <c r="F86" s="271">
        <f>ROUNDDOWN((F88+$F$10)*($X78),0)</f>
        <v>10</v>
      </c>
      <c r="G86" s="272">
        <f>ROUNDDOWN((G88+$F$10)*($X78),0)</f>
        <v>15</v>
      </c>
      <c r="H86" s="272">
        <f>ROUNDDOWN((H88+$F$10)*($X78),0)</f>
        <v>43</v>
      </c>
      <c r="I86" s="272">
        <f>ROUNDDOWN((I88+$F$10)*($X78),0)</f>
        <v>67</v>
      </c>
      <c r="J86" s="272">
        <f>ROUNDDOWN((J88+$F$10)*($X78),0)</f>
        <v>82</v>
      </c>
      <c r="K86" s="271">
        <f>ROUNDDOWN((K88+$K$10)*($X78),0)</f>
        <v>18</v>
      </c>
      <c r="L86" s="272">
        <f>ROUNDDOWN((L88+$K$10)*($X78),0)</f>
        <v>33</v>
      </c>
      <c r="M86" s="272">
        <f>ROUNDDOWN((M88+$K$10)*($X78),0)</f>
        <v>57</v>
      </c>
      <c r="N86" s="272">
        <f>ROUNDDOWN((N88+$K$10)*($X78),0)</f>
        <v>27</v>
      </c>
      <c r="O86" s="268">
        <f>ROUNDDOWN((O88+$K$10)*($X78),0)</f>
        <v>103</v>
      </c>
      <c r="P86" s="271"/>
      <c r="Q86" s="272"/>
      <c r="R86" s="272"/>
      <c r="S86" s="268"/>
      <c r="T86" s="265"/>
      <c r="U86" s="272"/>
      <c r="V86" s="282"/>
      <c r="W86" s="61"/>
      <c r="X86" s="291"/>
      <c r="Y86" s="286"/>
    </row>
    <row r="87" spans="1:25" hidden="1" outlineLevel="1">
      <c r="A87"/>
      <c r="C87" s="452"/>
      <c r="D87" s="454"/>
      <c r="E87" s="199" t="s">
        <v>345</v>
      </c>
      <c r="F87" s="276">
        <f>IF(ROUND(((F88-$F$10)*($X78))+0.25,0) &lt;=0,1,((F88-$F$10)*($X78))+0.25)</f>
        <v>3.0000000000000004</v>
      </c>
      <c r="G87" s="277">
        <f>IF(ROUND(((G88-$F$10)*($X78))+0.25,0) &lt;=0,1,((G88-$F$10)*($X78))+0.25)</f>
        <v>7.8199999999999985</v>
      </c>
      <c r="H87" s="277">
        <f>IF(ROUND(((H88-$F$10)*($X78))+0.25,0) &lt;=0,1,((H88-$F$10)*($X78))+0.25)</f>
        <v>35.81</v>
      </c>
      <c r="I87" s="277">
        <f>IF(ROUND(((I88-$F$10)*($X78))+0.25,0) &lt;=0,1,((I88-$F$10)*($X78))+0.25)</f>
        <v>60.2</v>
      </c>
      <c r="J87" s="277">
        <f>IF(ROUND(((J88-$F$10)*($X78))+0.25,0) &lt;=0,1,((J88-$F$10)*($X78))+0.25)</f>
        <v>74.42</v>
      </c>
      <c r="K87" s="276">
        <f>IF(ROUND(((K88-$K$10)*($X78))+0.25,0) &lt;=0,1,((K88-$K$10)*($X78))+0.25)</f>
        <v>3.0999999999999996</v>
      </c>
      <c r="L87" s="277">
        <f>IF(ROUND(((L88-$K$10)*($X78))+0.25,0) &lt;=0,1,((L88-$K$10)*($X78))+0.25)</f>
        <v>17.489999999999995</v>
      </c>
      <c r="M87" s="277">
        <f>IF(ROUND(((M88-$K$10)*($X78))+0.25,0) &lt;=0,1,((M88-$K$10)*($X78))+0.25)</f>
        <v>41.65</v>
      </c>
      <c r="N87" s="277">
        <f>IF(ROUND(((N88-$K$10)*($X78))+0.25,0) &lt;=0,1,((N88-$K$10)*($X78))+0.25)</f>
        <v>11.309999999999999</v>
      </c>
      <c r="O87" s="278">
        <f>IF(ROUND(((O88-$K$10)*($X78))+0.25,0) &lt;=0,1,((O88-$K$10)*($X78))+0.25)</f>
        <v>87.690000000000012</v>
      </c>
      <c r="P87" s="276"/>
      <c r="Q87" s="277"/>
      <c r="R87" s="277"/>
      <c r="S87" s="278"/>
      <c r="T87" s="276"/>
      <c r="U87" s="277"/>
      <c r="V87" s="287"/>
      <c r="W87" s="61"/>
      <c r="X87" s="285"/>
      <c r="Y87" s="287"/>
    </row>
    <row r="88" spans="1:25" hidden="1" outlineLevel="1">
      <c r="A88"/>
      <c r="C88" s="452"/>
      <c r="D88" s="454"/>
      <c r="E88" s="95" t="s">
        <v>346</v>
      </c>
      <c r="F88" s="414">
        <f t="shared" ref="F88:O88" si="21">IFERROR(F78/$X78,0)</f>
        <v>3.3750000000000002E-2</v>
      </c>
      <c r="G88" s="415">
        <f t="shared" si="21"/>
        <v>5.7849999999999999E-2</v>
      </c>
      <c r="H88" s="415">
        <f t="shared" si="21"/>
        <v>0.1978</v>
      </c>
      <c r="I88" s="415">
        <f t="shared" si="21"/>
        <v>0.31975000000000003</v>
      </c>
      <c r="J88" s="415">
        <f t="shared" si="21"/>
        <v>0.39085000000000003</v>
      </c>
      <c r="K88" s="414">
        <f t="shared" si="21"/>
        <v>5.425E-2</v>
      </c>
      <c r="L88" s="415">
        <f t="shared" si="21"/>
        <v>0.12619999999999998</v>
      </c>
      <c r="M88" s="415">
        <f t="shared" si="21"/>
        <v>0.247</v>
      </c>
      <c r="N88" s="415">
        <f t="shared" si="21"/>
        <v>9.5299999999999996E-2</v>
      </c>
      <c r="O88" s="416">
        <f t="shared" si="21"/>
        <v>0.47720000000000001</v>
      </c>
      <c r="P88" s="414"/>
      <c r="Q88" s="415"/>
      <c r="R88" s="415"/>
      <c r="S88" s="416"/>
      <c r="T88" s="414"/>
      <c r="U88" s="415"/>
      <c r="V88" s="254"/>
      <c r="W88" s="61"/>
      <c r="X88" s="113"/>
      <c r="Y88" s="431"/>
    </row>
    <row r="89" spans="1:25" hidden="1" outlineLevel="1">
      <c r="A89"/>
      <c r="C89" s="452"/>
      <c r="D89" s="454"/>
      <c r="E89" s="180" t="s">
        <v>347</v>
      </c>
      <c r="F89" s="414">
        <f t="shared" ref="F89:O89" si="22">IFERROR(F79/$X78,0)</f>
        <v>3.5000000000000003E-2</v>
      </c>
      <c r="G89" s="415">
        <f t="shared" si="22"/>
        <v>0.04</v>
      </c>
      <c r="H89" s="415">
        <f t="shared" si="22"/>
        <v>0.19500000000000001</v>
      </c>
      <c r="I89" s="415">
        <f t="shared" si="22"/>
        <v>0.32</v>
      </c>
      <c r="J89" s="415">
        <f t="shared" si="22"/>
        <v>0.38500000000000001</v>
      </c>
      <c r="K89" s="414">
        <f t="shared" si="22"/>
        <v>0.05</v>
      </c>
      <c r="L89" s="415">
        <f t="shared" si="22"/>
        <v>0.13</v>
      </c>
      <c r="M89" s="415">
        <f t="shared" si="22"/>
        <v>0.245</v>
      </c>
      <c r="N89" s="415">
        <f t="shared" si="22"/>
        <v>0.09</v>
      </c>
      <c r="O89" s="416">
        <f t="shared" si="22"/>
        <v>0.46</v>
      </c>
      <c r="P89" s="414"/>
      <c r="Q89" s="415"/>
      <c r="R89" s="415"/>
      <c r="S89" s="416"/>
      <c r="T89" s="414"/>
      <c r="U89" s="415"/>
      <c r="V89" s="254"/>
      <c r="W89" s="61"/>
      <c r="X89" s="113"/>
      <c r="Y89" s="431"/>
    </row>
    <row r="90" spans="1:25" ht="16.5" hidden="1" outlineLevel="1" thickBot="1">
      <c r="A90"/>
      <c r="B90"/>
      <c r="C90" s="456"/>
      <c r="D90" s="455"/>
      <c r="E90" s="180" t="s">
        <v>348</v>
      </c>
      <c r="F90" s="414">
        <f t="shared" ref="F90:O90" si="23">F89-F88</f>
        <v>1.2500000000000011E-3</v>
      </c>
      <c r="G90" s="415">
        <f t="shared" si="23"/>
        <v>-1.7849999999999998E-2</v>
      </c>
      <c r="H90" s="415">
        <f t="shared" si="23"/>
        <v>-2.7999999999999969E-3</v>
      </c>
      <c r="I90" s="415">
        <f t="shared" si="23"/>
        <v>2.4999999999997247E-4</v>
      </c>
      <c r="J90" s="415">
        <f t="shared" si="23"/>
        <v>-5.8500000000000218E-3</v>
      </c>
      <c r="K90" s="414">
        <f t="shared" si="23"/>
        <v>-4.2499999999999968E-3</v>
      </c>
      <c r="L90" s="415">
        <f t="shared" si="23"/>
        <v>3.8000000000000256E-3</v>
      </c>
      <c r="M90" s="415">
        <f t="shared" si="23"/>
        <v>-2.0000000000000018E-3</v>
      </c>
      <c r="N90" s="415">
        <f t="shared" si="23"/>
        <v>-5.2999999999999992E-3</v>
      </c>
      <c r="O90" s="416">
        <f t="shared" si="23"/>
        <v>-1.7199999999999993E-2</v>
      </c>
      <c r="P90" s="414"/>
      <c r="Q90" s="415"/>
      <c r="R90" s="415"/>
      <c r="S90" s="416"/>
      <c r="T90" s="432"/>
      <c r="U90" s="415"/>
      <c r="V90" s="254"/>
      <c r="W90" s="61"/>
      <c r="X90" s="113"/>
      <c r="Y90" s="431"/>
    </row>
    <row r="91" spans="1:25" collapsed="1">
      <c r="A91"/>
      <c r="C91" s="451" t="s">
        <v>338</v>
      </c>
      <c r="D91" s="453" t="str">
        <f>aurora_data!BA52</f>
        <v>12.00.00-12.11.30</v>
      </c>
      <c r="E91" s="34" t="s">
        <v>306</v>
      </c>
      <c r="F91" s="39">
        <f>IFERROR(aurora_data!BD52,0)</f>
        <v>7.31</v>
      </c>
      <c r="G91" s="40">
        <f>IFERROR(aurora_data!BE52,0)</f>
        <v>11.74</v>
      </c>
      <c r="H91" s="40">
        <f>IFERROR(aurora_data!BF52,0)</f>
        <v>39.909999999999997</v>
      </c>
      <c r="I91" s="40">
        <f>IFERROR(aurora_data!BG52,0)</f>
        <v>64.64</v>
      </c>
      <c r="J91" s="41">
        <f>IFERROR(aurora_data!BH52,0)</f>
        <v>76.41</v>
      </c>
      <c r="K91" s="39">
        <f>IFERROR(aurora_data!BI52,0)</f>
        <v>9.7200000000000006</v>
      </c>
      <c r="L91" s="40">
        <f>IFERROR(aurora_data!BJ52,0)</f>
        <v>25.83</v>
      </c>
      <c r="M91" s="40">
        <f>IFERROR(aurora_data!BK52,0)</f>
        <v>49.9</v>
      </c>
      <c r="N91" s="40">
        <f>IFERROR(aurora_data!BL52,0)</f>
        <v>19.23</v>
      </c>
      <c r="O91" s="41">
        <f>IFERROR(aurora_data!BM52,0)</f>
        <v>95.32</v>
      </c>
      <c r="P91" s="39">
        <f>IFERROR(aurora_data!BN52,0)</f>
        <v>42.42</v>
      </c>
      <c r="Q91" s="40">
        <f>IFERROR(aurora_data!BO52,0)</f>
        <v>31.5</v>
      </c>
      <c r="R91" s="40">
        <f>IFERROR(aurora_data!BP52,0)</f>
        <v>78.260000000000005</v>
      </c>
      <c r="S91" s="41">
        <f>IFERROR(aurora_data!BQ52,0)</f>
        <v>47.82</v>
      </c>
      <c r="T91" s="40">
        <f>IFERROR(aurora_data!BR52,0)</f>
        <v>100</v>
      </c>
      <c r="U91" s="40">
        <f>IFERROR(aurora_data!BS52,0)</f>
        <v>100</v>
      </c>
      <c r="V91" s="41">
        <f>IFERROR(aurora_data!BT52,0)</f>
        <v>0</v>
      </c>
      <c r="W91" s="61" t="s">
        <v>354</v>
      </c>
      <c r="X91" s="39">
        <f>IFERROR(aurora_data!BU52,0)</f>
        <v>200</v>
      </c>
      <c r="Y91" s="69">
        <f t="shared" ref="Y91:Y98" si="24">IFERROR(X91/$X$91,0)</f>
        <v>1</v>
      </c>
    </row>
    <row r="92" spans="1:25">
      <c r="A92"/>
      <c r="C92" s="452"/>
      <c r="D92" s="454"/>
      <c r="E92" s="35" t="s">
        <v>339</v>
      </c>
      <c r="F92" s="113">
        <f>IFERROR(aurora_data!BD53,0)</f>
        <v>7</v>
      </c>
      <c r="G92" s="253">
        <f>IFERROR(aurora_data!BE53,0)</f>
        <v>12</v>
      </c>
      <c r="H92" s="253">
        <f>IFERROR(aurora_data!BF53,0)</f>
        <v>39</v>
      </c>
      <c r="I92" s="253">
        <f>IFERROR(aurora_data!BG53,0)</f>
        <v>65</v>
      </c>
      <c r="J92" s="254">
        <f>IFERROR(aurora_data!BH53,0)</f>
        <v>76</v>
      </c>
      <c r="K92" s="113">
        <f>IFERROR(aurora_data!BI53,0)</f>
        <v>10</v>
      </c>
      <c r="L92" s="253">
        <f>IFERROR(aurora_data!BJ53,0)</f>
        <v>26</v>
      </c>
      <c r="M92" s="253">
        <f>IFERROR(aurora_data!BK53,0)</f>
        <v>51</v>
      </c>
      <c r="N92" s="253">
        <f>IFERROR(aurora_data!BL53,0)</f>
        <v>17</v>
      </c>
      <c r="O92" s="254">
        <f>IFERROR(aurora_data!BM53,0)</f>
        <v>95</v>
      </c>
      <c r="P92" s="113">
        <f>IFERROR(aurora_data!BN53,0)</f>
        <v>55</v>
      </c>
      <c r="Q92" s="253">
        <f>IFERROR(aurora_data!BO53,0)</f>
        <v>30</v>
      </c>
      <c r="R92" s="253">
        <f>IFERROR(aurora_data!BP53,0)</f>
        <v>66</v>
      </c>
      <c r="S92" s="254">
        <f>IFERROR(aurora_data!BQ53,0)</f>
        <v>48</v>
      </c>
      <c r="T92" s="253">
        <f>IFERROR(aurora_data!BR53,0)</f>
        <v>100</v>
      </c>
      <c r="U92" s="253">
        <f>IFERROR(aurora_data!BS53,0)</f>
        <v>99</v>
      </c>
      <c r="V92" s="254">
        <f>IFERROR(aurora_data!BT53,0)</f>
        <v>0</v>
      </c>
      <c r="W92" s="61" t="s">
        <v>354</v>
      </c>
      <c r="X92" s="113">
        <f>IFERROR(aurora_data!BU53,0)</f>
        <v>199</v>
      </c>
      <c r="Y92" s="255">
        <f t="shared" si="24"/>
        <v>0.995</v>
      </c>
    </row>
    <row r="93" spans="1:25">
      <c r="A93"/>
      <c r="C93" s="452"/>
      <c r="D93" s="454"/>
      <c r="E93" s="35" t="s">
        <v>291</v>
      </c>
      <c r="F93" s="113">
        <f>IFERROR(aurora_data!BD54,0)</f>
        <v>1</v>
      </c>
      <c r="G93" s="253">
        <f>IFERROR(aurora_data!BE54,0)</f>
        <v>3</v>
      </c>
      <c r="H93" s="253">
        <f>IFERROR(aurora_data!BF54,0)</f>
        <v>3</v>
      </c>
      <c r="I93" s="253">
        <f>IFERROR(aurora_data!BG54,0)</f>
        <v>8</v>
      </c>
      <c r="J93" s="254">
        <f>IFERROR(aurora_data!BH54,0)</f>
        <v>9</v>
      </c>
      <c r="K93" s="113">
        <f>IFERROR(aurora_data!BI54,0)</f>
        <v>3</v>
      </c>
      <c r="L93" s="253">
        <f>IFERROR(aurora_data!BJ54,0)</f>
        <v>4</v>
      </c>
      <c r="M93" s="253">
        <f>IFERROR(aurora_data!BK54,0)</f>
        <v>8</v>
      </c>
      <c r="N93" s="253">
        <f>IFERROR(aurora_data!BL54,0)</f>
        <v>2</v>
      </c>
      <c r="O93" s="254">
        <f>IFERROR(aurora_data!BM54,0)</f>
        <v>7</v>
      </c>
      <c r="P93" s="113">
        <f>IFERROR(aurora_data!BN54,0)</f>
        <v>13</v>
      </c>
      <c r="Q93" s="253">
        <f>IFERROR(aurora_data!BO54,0)</f>
        <v>3</v>
      </c>
      <c r="R93" s="253">
        <f>IFERROR(aurora_data!BP54,0)</f>
        <v>1</v>
      </c>
      <c r="S93" s="254">
        <f>IFERROR(aurora_data!BQ54,0)</f>
        <v>7</v>
      </c>
      <c r="T93" s="253">
        <f>IFERROR(aurora_data!BR54,0)</f>
        <v>18</v>
      </c>
      <c r="U93" s="253">
        <f>IFERROR(aurora_data!BS54,0)</f>
        <v>6</v>
      </c>
      <c r="V93" s="254">
        <f>IFERROR(aurora_data!BT54,0)</f>
        <v>0</v>
      </c>
      <c r="W93" s="61" t="s">
        <v>354</v>
      </c>
      <c r="X93" s="113">
        <f>IFERROR(aurora_data!BU54,0)</f>
        <v>24</v>
      </c>
      <c r="Y93" s="255">
        <f t="shared" si="24"/>
        <v>0.12</v>
      </c>
    </row>
    <row r="94" spans="1:25">
      <c r="A94"/>
      <c r="C94" s="452"/>
      <c r="D94" s="454"/>
      <c r="E94" s="35" t="s">
        <v>340</v>
      </c>
      <c r="F94" s="113">
        <f>IFERROR(aurora_data!BD55,0)</f>
        <v>0</v>
      </c>
      <c r="G94" s="253">
        <f>IFERROR(aurora_data!BE55,0)</f>
        <v>0</v>
      </c>
      <c r="H94" s="253">
        <f>IFERROR(aurora_data!BF55,0)</f>
        <v>0</v>
      </c>
      <c r="I94" s="253">
        <f>IFERROR(aurora_data!BG55,0)</f>
        <v>0</v>
      </c>
      <c r="J94" s="254">
        <f>IFERROR(aurora_data!BH55,0)</f>
        <v>0</v>
      </c>
      <c r="K94" s="113">
        <f>IFERROR(aurora_data!BI55,0)</f>
        <v>0</v>
      </c>
      <c r="L94" s="253">
        <f>IFERROR(aurora_data!BJ55,0)</f>
        <v>0</v>
      </c>
      <c r="M94" s="253">
        <f>IFERROR(aurora_data!BK55,0)</f>
        <v>0</v>
      </c>
      <c r="N94" s="253">
        <f>IFERROR(aurora_data!BL55,0)</f>
        <v>0</v>
      </c>
      <c r="O94" s="254">
        <f>IFERROR(aurora_data!BM55,0)</f>
        <v>0</v>
      </c>
      <c r="P94" s="113">
        <f>IFERROR(aurora_data!BN55,0)</f>
        <v>0</v>
      </c>
      <c r="Q94" s="253">
        <f>IFERROR(aurora_data!BO55,0)</f>
        <v>0</v>
      </c>
      <c r="R94" s="253">
        <f>IFERROR(aurora_data!BP55,0)</f>
        <v>0</v>
      </c>
      <c r="S94" s="254">
        <f>IFERROR(aurora_data!BQ55,0)</f>
        <v>0</v>
      </c>
      <c r="T94" s="253">
        <f>IFERROR(aurora_data!BR55,0)</f>
        <v>0</v>
      </c>
      <c r="U94" s="253">
        <f>IFERROR(aurora_data!BS55,0)</f>
        <v>0</v>
      </c>
      <c r="V94" s="254">
        <f>IFERROR(aurora_data!BT55,0)</f>
        <v>0</v>
      </c>
      <c r="W94" s="61" t="s">
        <v>354</v>
      </c>
      <c r="X94" s="113">
        <f>IFERROR(aurora_data!BU55,0)</f>
        <v>0</v>
      </c>
      <c r="Y94" s="255">
        <f t="shared" si="24"/>
        <v>0</v>
      </c>
    </row>
    <row r="95" spans="1:25">
      <c r="A95"/>
      <c r="C95" s="452"/>
      <c r="D95" s="454"/>
      <c r="E95" s="35" t="s">
        <v>341</v>
      </c>
      <c r="F95" s="113">
        <f>IFERROR(aurora_data!BD56,0)</f>
        <v>1</v>
      </c>
      <c r="G95" s="253">
        <f>IFERROR(aurora_data!BE56,0)</f>
        <v>0</v>
      </c>
      <c r="H95" s="253">
        <f>IFERROR(aurora_data!BF56,0)</f>
        <v>2</v>
      </c>
      <c r="I95" s="253">
        <f>IFERROR(aurora_data!BG56,0)</f>
        <v>0</v>
      </c>
      <c r="J95" s="254">
        <f>IFERROR(aurora_data!BH56,0)</f>
        <v>0</v>
      </c>
      <c r="K95" s="113">
        <f>IFERROR(aurora_data!BI56,0)</f>
        <v>0</v>
      </c>
      <c r="L95" s="253">
        <f>IFERROR(aurora_data!BJ56,0)</f>
        <v>0</v>
      </c>
      <c r="M95" s="253">
        <f>IFERROR(aurora_data!BK56,0)</f>
        <v>0</v>
      </c>
      <c r="N95" s="253">
        <f>IFERROR(aurora_data!BL56,0)</f>
        <v>2</v>
      </c>
      <c r="O95" s="254">
        <f>IFERROR(aurora_data!BM56,0)</f>
        <v>1</v>
      </c>
      <c r="P95" s="113">
        <f>IFERROR(aurora_data!BN56,0)</f>
        <v>1</v>
      </c>
      <c r="Q95" s="253">
        <f>IFERROR(aurora_data!BO56,0)</f>
        <v>1</v>
      </c>
      <c r="R95" s="253">
        <f>IFERROR(aurora_data!BP56,0)</f>
        <v>1</v>
      </c>
      <c r="S95" s="254">
        <f>IFERROR(aurora_data!BQ56,0)</f>
        <v>0</v>
      </c>
      <c r="T95" s="253">
        <f>IFERROR(aurora_data!BR56,0)</f>
        <v>2</v>
      </c>
      <c r="U95" s="253">
        <f>IFERROR(aurora_data!BS56,0)</f>
        <v>1</v>
      </c>
      <c r="V95" s="254">
        <f>IFERROR(aurora_data!BT56,0)</f>
        <v>0</v>
      </c>
      <c r="W95" s="61" t="s">
        <v>354</v>
      </c>
      <c r="X95" s="113">
        <f>IFERROR(aurora_data!BU56,0)</f>
        <v>3</v>
      </c>
      <c r="Y95" s="255">
        <f t="shared" si="24"/>
        <v>1.4999999999999999E-2</v>
      </c>
    </row>
    <row r="96" spans="1:25" ht="16.5" thickBot="1">
      <c r="A96"/>
      <c r="C96" s="452"/>
      <c r="D96" s="454"/>
      <c r="E96" s="35" t="s">
        <v>342</v>
      </c>
      <c r="F96" s="113">
        <f>IFERROR(aurora_data!BD57,0)</f>
        <v>0</v>
      </c>
      <c r="G96" s="253">
        <f>IFERROR(aurora_data!BE57,0)</f>
        <v>0</v>
      </c>
      <c r="H96" s="253">
        <f>IFERROR(aurora_data!BF57,0)</f>
        <v>0</v>
      </c>
      <c r="I96" s="253">
        <f>IFERROR(aurora_data!BG57,0)</f>
        <v>0</v>
      </c>
      <c r="J96" s="254">
        <f>IFERROR(aurora_data!BH57,0)</f>
        <v>0</v>
      </c>
      <c r="K96" s="113">
        <f>IFERROR(aurora_data!BI57,0)</f>
        <v>0</v>
      </c>
      <c r="L96" s="253">
        <f>IFERROR(aurora_data!BJ57,0)</f>
        <v>0</v>
      </c>
      <c r="M96" s="253">
        <f>IFERROR(aurora_data!BK57,0)</f>
        <v>0</v>
      </c>
      <c r="N96" s="253">
        <f>IFERROR(aurora_data!BL57,0)</f>
        <v>0</v>
      </c>
      <c r="O96" s="254">
        <f>IFERROR(aurora_data!BM57,0)</f>
        <v>0</v>
      </c>
      <c r="P96" s="113">
        <f>IFERROR(aurora_data!BN57,0)</f>
        <v>0</v>
      </c>
      <c r="Q96" s="253">
        <f>IFERROR(aurora_data!BO57,0)</f>
        <v>0</v>
      </c>
      <c r="R96" s="253">
        <f>IFERROR(aurora_data!BP57,0)</f>
        <v>0</v>
      </c>
      <c r="S96" s="254">
        <f>IFERROR(aurora_data!BQ57,0)</f>
        <v>0</v>
      </c>
      <c r="T96" s="253">
        <f>IFERROR(aurora_data!BR57,0)</f>
        <v>0</v>
      </c>
      <c r="U96" s="253">
        <f>IFERROR(aurora_data!BS57,0)</f>
        <v>0</v>
      </c>
      <c r="V96" s="254">
        <f>IFERROR(aurora_data!BT57,0)</f>
        <v>0</v>
      </c>
      <c r="W96" s="61" t="s">
        <v>354</v>
      </c>
      <c r="X96" s="113">
        <f>IFERROR(aurora_data!BU57,0)</f>
        <v>0</v>
      </c>
      <c r="Y96" s="255">
        <f t="shared" si="24"/>
        <v>0</v>
      </c>
    </row>
    <row r="97" spans="1:25" ht="16.5" thickBot="1">
      <c r="A97"/>
      <c r="C97" s="452"/>
      <c r="D97" s="454"/>
      <c r="E97" s="37" t="s">
        <v>17</v>
      </c>
      <c r="F97" s="59">
        <f>IFERROR(aurora_data!BD58,0)</f>
        <v>9</v>
      </c>
      <c r="G97" s="64">
        <f>IFERROR(aurora_data!BE58,0)</f>
        <v>15</v>
      </c>
      <c r="H97" s="64">
        <f>IFERROR(aurora_data!BF58,0)</f>
        <v>44</v>
      </c>
      <c r="I97" s="64">
        <f>IFERROR(aurora_data!BG58,0)</f>
        <v>73</v>
      </c>
      <c r="J97" s="65">
        <f>IFERROR(aurora_data!BH58,0)</f>
        <v>85</v>
      </c>
      <c r="K97" s="59">
        <f>IFERROR(aurora_data!BI58,0)</f>
        <v>13</v>
      </c>
      <c r="L97" s="64">
        <f>IFERROR(aurora_data!BJ58,0)</f>
        <v>30</v>
      </c>
      <c r="M97" s="64">
        <f>IFERROR(aurora_data!BK58,0)</f>
        <v>59</v>
      </c>
      <c r="N97" s="64">
        <f>IFERROR(aurora_data!BL58,0)</f>
        <v>21</v>
      </c>
      <c r="O97" s="65">
        <f>IFERROR(aurora_data!BM58,0)</f>
        <v>103</v>
      </c>
      <c r="P97" s="59">
        <f>IFERROR(aurora_data!BN58,0)</f>
        <v>69</v>
      </c>
      <c r="Q97" s="64">
        <f>IFERROR(aurora_data!BO58,0)</f>
        <v>34</v>
      </c>
      <c r="R97" s="64">
        <f>IFERROR(aurora_data!BP58,0)</f>
        <v>68</v>
      </c>
      <c r="S97" s="65">
        <f>IFERROR(aurora_data!BQ58,0)</f>
        <v>55</v>
      </c>
      <c r="T97" s="64">
        <f>IFERROR(aurora_data!BR58,0)</f>
        <v>120</v>
      </c>
      <c r="U97" s="64">
        <f>IFERROR(aurora_data!BS58,0)</f>
        <v>106</v>
      </c>
      <c r="V97" s="65">
        <f>IFERROR(aurora_data!BT58,0)</f>
        <v>0</v>
      </c>
      <c r="W97" s="66" t="s">
        <v>354</v>
      </c>
      <c r="X97" s="59">
        <f>IFERROR(aurora_data!BU58,0)</f>
        <v>226</v>
      </c>
      <c r="Y97" s="70">
        <f t="shared" si="24"/>
        <v>1.1299999999999999</v>
      </c>
    </row>
    <row r="98" spans="1:25" ht="16.5" thickBot="1">
      <c r="A98"/>
      <c r="C98" s="452"/>
      <c r="D98" s="454"/>
      <c r="E98" s="38" t="s">
        <v>343</v>
      </c>
      <c r="F98" s="256">
        <f>IFERROR(aurora_data!BD59,0)</f>
        <v>0</v>
      </c>
      <c r="G98" s="257">
        <f>IFERROR(aurora_data!BE59,0)</f>
        <v>1</v>
      </c>
      <c r="H98" s="257">
        <f>IFERROR(aurora_data!BF59,0)</f>
        <v>0</v>
      </c>
      <c r="I98" s="257">
        <f>IFERROR(aurora_data!BG59,0)</f>
        <v>1</v>
      </c>
      <c r="J98" s="258">
        <f>IFERROR(aurora_data!BH59,0)</f>
        <v>1</v>
      </c>
      <c r="K98" s="256">
        <f>IFERROR(aurora_data!BI59,0)</f>
        <v>0</v>
      </c>
      <c r="L98" s="257">
        <f>IFERROR(aurora_data!BJ59,0)</f>
        <v>2</v>
      </c>
      <c r="M98" s="257">
        <f>IFERROR(aurora_data!BK59,0)</f>
        <v>0</v>
      </c>
      <c r="N98" s="257">
        <f>IFERROR(aurora_data!BL59,0)</f>
        <v>1</v>
      </c>
      <c r="O98" s="258">
        <f>IFERROR(aurora_data!BM59,0)</f>
        <v>0</v>
      </c>
      <c r="P98" s="256">
        <f>IFERROR(aurora_data!BN59,0)</f>
        <v>0</v>
      </c>
      <c r="Q98" s="257">
        <f>IFERROR(aurora_data!BO59,0)</f>
        <v>1</v>
      </c>
      <c r="R98" s="257">
        <f>IFERROR(aurora_data!BP59,0)</f>
        <v>1</v>
      </c>
      <c r="S98" s="258">
        <f>IFERROR(aurora_data!BQ59,0)</f>
        <v>1</v>
      </c>
      <c r="T98" s="257">
        <f>IFERROR(aurora_data!BR59,0)</f>
        <v>1</v>
      </c>
      <c r="U98" s="257">
        <f>IFERROR(aurora_data!BS59,0)</f>
        <v>2</v>
      </c>
      <c r="V98" s="259">
        <f>IFERROR(aurora_data!BT59,0)</f>
        <v>0</v>
      </c>
      <c r="W98" s="260" t="s">
        <v>354</v>
      </c>
      <c r="X98" s="256">
        <f>IFERROR(aurora_data!BU59,0)</f>
        <v>3</v>
      </c>
      <c r="Y98" s="261">
        <f t="shared" si="24"/>
        <v>1.4999999999999999E-2</v>
      </c>
    </row>
    <row r="99" spans="1:25" hidden="1" outlineLevel="1">
      <c r="A99"/>
      <c r="C99" s="452"/>
      <c r="D99" s="454"/>
      <c r="E99" s="199" t="s">
        <v>344</v>
      </c>
      <c r="F99" s="271">
        <f>ROUNDDOWN((F101+$F$10)*($X91),0)</f>
        <v>11</v>
      </c>
      <c r="G99" s="272">
        <f>ROUNDDOWN((G101+$F$10)*($X91),0)</f>
        <v>15</v>
      </c>
      <c r="H99" s="272">
        <f>ROUNDDOWN((H101+$F$10)*($X91),0)</f>
        <v>43</v>
      </c>
      <c r="I99" s="272">
        <f>ROUNDDOWN((I101+$F$10)*($X91),0)</f>
        <v>68</v>
      </c>
      <c r="J99" s="272">
        <f>ROUNDDOWN((J101+$F$10)*($X91),0)</f>
        <v>80</v>
      </c>
      <c r="K99" s="271">
        <f>ROUNDDOWN((K101+$K$10)*($X91),0)</f>
        <v>17</v>
      </c>
      <c r="L99" s="272">
        <f>ROUNDDOWN((L101+$K$10)*($X91),0)</f>
        <v>33</v>
      </c>
      <c r="M99" s="272">
        <f>ROUNDDOWN((M101+$K$10)*($X91),0)</f>
        <v>57</v>
      </c>
      <c r="N99" s="272">
        <f>ROUNDDOWN((N101+$K$10)*($X91),0)</f>
        <v>27</v>
      </c>
      <c r="O99" s="268">
        <f>ROUNDDOWN((O101+$K$10)*($X91),0)</f>
        <v>103</v>
      </c>
      <c r="P99" s="271"/>
      <c r="Q99" s="272"/>
      <c r="R99" s="272"/>
      <c r="S99" s="268"/>
      <c r="T99" s="265"/>
      <c r="U99" s="272"/>
      <c r="V99" s="282"/>
      <c r="W99" s="61"/>
      <c r="X99" s="291"/>
      <c r="Y99" s="286"/>
    </row>
    <row r="100" spans="1:25" hidden="1" outlineLevel="1">
      <c r="A100"/>
      <c r="C100" s="452"/>
      <c r="D100" s="454"/>
      <c r="E100" s="199" t="s">
        <v>345</v>
      </c>
      <c r="F100" s="276">
        <f>IF(ROUND(((F101-$F$10)*($X91))+0.25,0) &lt;=0,1,((F101-$F$10)*($X91))+0.25)</f>
        <v>3.5599999999999996</v>
      </c>
      <c r="G100" s="277">
        <f>IF(ROUND(((G101-$F$10)*($X91))+0.25,0) &lt;=0,1,((G101-$F$10)*($X91))+0.25)</f>
        <v>7.9899999999999993</v>
      </c>
      <c r="H100" s="277">
        <f>IF(ROUND(((H101-$F$10)*($X91))+0.25,0) &lt;=0,1,((H101-$F$10)*($X91))+0.25)</f>
        <v>36.159999999999997</v>
      </c>
      <c r="I100" s="277">
        <f>IF(ROUND(((I101-$F$10)*($X91))+0.25,0) &lt;=0,1,((I101-$F$10)*($X91))+0.25)</f>
        <v>60.889999999999993</v>
      </c>
      <c r="J100" s="277">
        <f>IF(ROUND(((J101-$F$10)*($X91))+0.25,0) &lt;=0,1,((J101-$F$10)*($X91))+0.25)</f>
        <v>72.66</v>
      </c>
      <c r="K100" s="276">
        <f>IF(ROUND(((K101-$K$10)*($X91))+0.25,0) &lt;=0,1,((K101-$K$10)*($X91))+0.25)</f>
        <v>1.9700000000000006</v>
      </c>
      <c r="L100" s="277">
        <f>IF(ROUND(((L101-$K$10)*($X91))+0.25,0) &lt;=0,1,((L101-$K$10)*($X91))+0.25)</f>
        <v>18.079999999999995</v>
      </c>
      <c r="M100" s="277">
        <f>IF(ROUND(((M101-$K$10)*($X91))+0.25,0) &lt;=0,1,((M101-$K$10)*($X91))+0.25)</f>
        <v>42.15</v>
      </c>
      <c r="N100" s="277">
        <f>IF(ROUND(((N101-$K$10)*($X91))+0.25,0) &lt;=0,1,((N101-$K$10)*($X91))+0.25)</f>
        <v>11.48</v>
      </c>
      <c r="O100" s="278">
        <f>IF(ROUND(((O101-$K$10)*($X91))+0.25,0) &lt;=0,1,((O101-$K$10)*($X91))+0.25)</f>
        <v>87.57</v>
      </c>
      <c r="P100" s="276"/>
      <c r="Q100" s="277"/>
      <c r="R100" s="277"/>
      <c r="S100" s="278"/>
      <c r="T100" s="276"/>
      <c r="U100" s="277"/>
      <c r="V100" s="287"/>
      <c r="W100" s="61"/>
      <c r="X100" s="285"/>
      <c r="Y100" s="287"/>
    </row>
    <row r="101" spans="1:25" hidden="1" outlineLevel="1">
      <c r="A101"/>
      <c r="C101" s="452"/>
      <c r="D101" s="454"/>
      <c r="E101" s="95" t="s">
        <v>346</v>
      </c>
      <c r="F101" s="414">
        <f t="shared" ref="F101:O101" si="25">IFERROR(F91/$X91,0)</f>
        <v>3.6549999999999999E-2</v>
      </c>
      <c r="G101" s="415">
        <f t="shared" si="25"/>
        <v>5.8700000000000002E-2</v>
      </c>
      <c r="H101" s="415">
        <f t="shared" si="25"/>
        <v>0.19954999999999998</v>
      </c>
      <c r="I101" s="415">
        <f t="shared" si="25"/>
        <v>0.32319999999999999</v>
      </c>
      <c r="J101" s="415">
        <f t="shared" si="25"/>
        <v>0.38205</v>
      </c>
      <c r="K101" s="414">
        <f t="shared" si="25"/>
        <v>4.8600000000000004E-2</v>
      </c>
      <c r="L101" s="415">
        <f t="shared" si="25"/>
        <v>0.12914999999999999</v>
      </c>
      <c r="M101" s="415">
        <f t="shared" si="25"/>
        <v>0.2495</v>
      </c>
      <c r="N101" s="415">
        <f t="shared" si="25"/>
        <v>9.6149999999999999E-2</v>
      </c>
      <c r="O101" s="416">
        <f t="shared" si="25"/>
        <v>0.47659999999999997</v>
      </c>
      <c r="P101" s="414"/>
      <c r="Q101" s="415"/>
      <c r="R101" s="415"/>
      <c r="S101" s="416"/>
      <c r="T101" s="414"/>
      <c r="U101" s="415"/>
      <c r="V101" s="254"/>
      <c r="W101" s="61"/>
      <c r="X101" s="113"/>
      <c r="Y101" s="431"/>
    </row>
    <row r="102" spans="1:25" hidden="1" outlineLevel="1">
      <c r="A102"/>
      <c r="C102" s="452"/>
      <c r="D102" s="454"/>
      <c r="E102" s="180" t="s">
        <v>347</v>
      </c>
      <c r="F102" s="414">
        <f t="shared" ref="F102:O102" si="26">IFERROR(F92/$X91,0)</f>
        <v>3.5000000000000003E-2</v>
      </c>
      <c r="G102" s="415">
        <f t="shared" si="26"/>
        <v>0.06</v>
      </c>
      <c r="H102" s="415">
        <f t="shared" si="26"/>
        <v>0.19500000000000001</v>
      </c>
      <c r="I102" s="415">
        <f t="shared" si="26"/>
        <v>0.32500000000000001</v>
      </c>
      <c r="J102" s="415">
        <f t="shared" si="26"/>
        <v>0.38</v>
      </c>
      <c r="K102" s="414">
        <f t="shared" si="26"/>
        <v>0.05</v>
      </c>
      <c r="L102" s="415">
        <f t="shared" si="26"/>
        <v>0.13</v>
      </c>
      <c r="M102" s="415">
        <f t="shared" si="26"/>
        <v>0.255</v>
      </c>
      <c r="N102" s="415">
        <f t="shared" si="26"/>
        <v>8.5000000000000006E-2</v>
      </c>
      <c r="O102" s="416">
        <f t="shared" si="26"/>
        <v>0.47499999999999998</v>
      </c>
      <c r="P102" s="414"/>
      <c r="Q102" s="415"/>
      <c r="R102" s="415"/>
      <c r="S102" s="416"/>
      <c r="T102" s="414"/>
      <c r="U102" s="415"/>
      <c r="V102" s="254"/>
      <c r="W102" s="61"/>
      <c r="X102" s="113"/>
      <c r="Y102" s="431"/>
    </row>
    <row r="103" spans="1:25" ht="16.5" hidden="1" outlineLevel="1" thickBot="1">
      <c r="A103"/>
      <c r="C103" s="456"/>
      <c r="D103" s="455"/>
      <c r="E103" s="180" t="s">
        <v>348</v>
      </c>
      <c r="F103" s="414">
        <f t="shared" ref="F103:O103" si="27">F102-F101</f>
        <v>-1.5499999999999958E-3</v>
      </c>
      <c r="G103" s="415">
        <f t="shared" si="27"/>
        <v>1.2999999999999956E-3</v>
      </c>
      <c r="H103" s="415">
        <f t="shared" si="27"/>
        <v>-4.5499999999999707E-3</v>
      </c>
      <c r="I103" s="415">
        <f t="shared" si="27"/>
        <v>1.8000000000000238E-3</v>
      </c>
      <c r="J103" s="415">
        <f t="shared" si="27"/>
        <v>-2.0499999999999963E-3</v>
      </c>
      <c r="K103" s="414">
        <f t="shared" si="27"/>
        <v>1.3999999999999985E-3</v>
      </c>
      <c r="L103" s="415">
        <f t="shared" si="27"/>
        <v>8.5000000000001741E-4</v>
      </c>
      <c r="M103" s="415">
        <f t="shared" si="27"/>
        <v>5.5000000000000049E-3</v>
      </c>
      <c r="N103" s="415">
        <f t="shared" si="27"/>
        <v>-1.1149999999999993E-2</v>
      </c>
      <c r="O103" s="416">
        <f t="shared" si="27"/>
        <v>-1.5999999999999903E-3</v>
      </c>
      <c r="P103" s="414"/>
      <c r="Q103" s="415"/>
      <c r="R103" s="415"/>
      <c r="S103" s="416"/>
      <c r="T103" s="432"/>
      <c r="U103" s="415"/>
      <c r="V103" s="254"/>
      <c r="W103" s="61"/>
      <c r="X103" s="113"/>
      <c r="Y103" s="431"/>
    </row>
    <row r="104" spans="1:25" collapsed="1">
      <c r="A104"/>
      <c r="C104" s="451" t="s">
        <v>338</v>
      </c>
      <c r="D104" s="453" t="str">
        <f>aurora_data!BA60</f>
        <v>13.00.00-13.11.30</v>
      </c>
      <c r="E104" s="34" t="s">
        <v>306</v>
      </c>
      <c r="F104" s="39">
        <f>IFERROR(aurora_data!BD60,0)</f>
        <v>7.65</v>
      </c>
      <c r="G104" s="40">
        <f>IFERROR(aurora_data!BE60,0)</f>
        <v>12.54</v>
      </c>
      <c r="H104" s="40">
        <f>IFERROR(aurora_data!BF60,0)</f>
        <v>40.07</v>
      </c>
      <c r="I104" s="40">
        <f>IFERROR(aurora_data!BG60,0)</f>
        <v>63.22</v>
      </c>
      <c r="J104" s="41">
        <f>IFERROR(aurora_data!BH60,0)</f>
        <v>76.52</v>
      </c>
      <c r="K104" s="39">
        <f>IFERROR(aurora_data!BI60,0)</f>
        <v>10.52</v>
      </c>
      <c r="L104" s="40">
        <f>IFERROR(aurora_data!BJ60,0)</f>
        <v>25.62</v>
      </c>
      <c r="M104" s="40">
        <f>IFERROR(aurora_data!BK60,0)</f>
        <v>50.9</v>
      </c>
      <c r="N104" s="40">
        <f>IFERROR(aurora_data!BL60,0)</f>
        <v>18.510000000000002</v>
      </c>
      <c r="O104" s="41">
        <f>IFERROR(aurora_data!BM60,0)</f>
        <v>94.45</v>
      </c>
      <c r="P104" s="39">
        <f>IFERROR(aurora_data!BN60,0)</f>
        <v>40.82</v>
      </c>
      <c r="Q104" s="40">
        <f>IFERROR(aurora_data!BO60,0)</f>
        <v>31.63</v>
      </c>
      <c r="R104" s="40">
        <f>IFERROR(aurora_data!BP60,0)</f>
        <v>79.58</v>
      </c>
      <c r="S104" s="41">
        <f>IFERROR(aurora_data!BQ60,0)</f>
        <v>47.97</v>
      </c>
      <c r="T104" s="40">
        <f>IFERROR(aurora_data!BR60,0)</f>
        <v>100</v>
      </c>
      <c r="U104" s="40">
        <f>IFERROR(aurora_data!BS60,0)</f>
        <v>100</v>
      </c>
      <c r="V104" s="41">
        <f>IFERROR(aurora_data!BT60,0)</f>
        <v>0</v>
      </c>
      <c r="W104" s="61" t="s">
        <v>354</v>
      </c>
      <c r="X104" s="39">
        <f>IFERROR(aurora_data!BU60,0)</f>
        <v>200</v>
      </c>
      <c r="Y104" s="69">
        <f t="shared" ref="Y104:Y111" si="28">IFERROR(X104/$X$104,0)</f>
        <v>1</v>
      </c>
    </row>
    <row r="105" spans="1:25">
      <c r="A105"/>
      <c r="C105" s="452"/>
      <c r="D105" s="454"/>
      <c r="E105" s="35" t="s">
        <v>339</v>
      </c>
      <c r="F105" s="113">
        <f>IFERROR(aurora_data!BD61,0)</f>
        <v>6</v>
      </c>
      <c r="G105" s="253">
        <f>IFERROR(aurora_data!BE61,0)</f>
        <v>12</v>
      </c>
      <c r="H105" s="253">
        <f>IFERROR(aurora_data!BF61,0)</f>
        <v>38</v>
      </c>
      <c r="I105" s="253">
        <f>IFERROR(aurora_data!BG61,0)</f>
        <v>61</v>
      </c>
      <c r="J105" s="254">
        <f>IFERROR(aurora_data!BH61,0)</f>
        <v>78</v>
      </c>
      <c r="K105" s="113">
        <f>IFERROR(aurora_data!BI61,0)</f>
        <v>11</v>
      </c>
      <c r="L105" s="253">
        <f>IFERROR(aurora_data!BJ61,0)</f>
        <v>25</v>
      </c>
      <c r="M105" s="253">
        <f>IFERROR(aurora_data!BK61,0)</f>
        <v>47</v>
      </c>
      <c r="N105" s="253">
        <f>IFERROR(aurora_data!BL61,0)</f>
        <v>17</v>
      </c>
      <c r="O105" s="254">
        <f>IFERROR(aurora_data!BM61,0)</f>
        <v>95</v>
      </c>
      <c r="P105" s="113">
        <f>IFERROR(aurora_data!BN61,0)</f>
        <v>42</v>
      </c>
      <c r="Q105" s="253">
        <f>IFERROR(aurora_data!BO61,0)</f>
        <v>34</v>
      </c>
      <c r="R105" s="253">
        <f>IFERROR(aurora_data!BP61,0)</f>
        <v>70</v>
      </c>
      <c r="S105" s="254">
        <f>IFERROR(aurora_data!BQ61,0)</f>
        <v>49</v>
      </c>
      <c r="T105" s="253">
        <f>IFERROR(aurora_data!BR61,0)</f>
        <v>98</v>
      </c>
      <c r="U105" s="253">
        <f>IFERROR(aurora_data!BS61,0)</f>
        <v>97</v>
      </c>
      <c r="V105" s="254">
        <f>IFERROR(aurora_data!BT61,0)</f>
        <v>0</v>
      </c>
      <c r="W105" s="61" t="s">
        <v>354</v>
      </c>
      <c r="X105" s="113">
        <f>IFERROR(aurora_data!BU61,0)</f>
        <v>195</v>
      </c>
      <c r="Y105" s="281">
        <f t="shared" si="28"/>
        <v>0.97499999999999998</v>
      </c>
    </row>
    <row r="106" spans="1:25">
      <c r="A106"/>
      <c r="C106" s="452"/>
      <c r="D106" s="454"/>
      <c r="E106" s="35" t="s">
        <v>291</v>
      </c>
      <c r="F106" s="113">
        <f>IFERROR(aurora_data!BD62,0)</f>
        <v>5</v>
      </c>
      <c r="G106" s="253">
        <f>IFERROR(aurora_data!BE62,0)</f>
        <v>4</v>
      </c>
      <c r="H106" s="253">
        <f>IFERROR(aurora_data!BF62,0)</f>
        <v>4</v>
      </c>
      <c r="I106" s="253">
        <f>IFERROR(aurora_data!BG62,0)</f>
        <v>7</v>
      </c>
      <c r="J106" s="254">
        <f>IFERROR(aurora_data!BH62,0)</f>
        <v>10</v>
      </c>
      <c r="K106" s="113">
        <f>IFERROR(aurora_data!BI62,0)</f>
        <v>5</v>
      </c>
      <c r="L106" s="253">
        <f>IFERROR(aurora_data!BJ62,0)</f>
        <v>8</v>
      </c>
      <c r="M106" s="253">
        <f>IFERROR(aurora_data!BK62,0)</f>
        <v>3</v>
      </c>
      <c r="N106" s="253">
        <f>IFERROR(aurora_data!BL62,0)</f>
        <v>2</v>
      </c>
      <c r="O106" s="254">
        <f>IFERROR(aurora_data!BM62,0)</f>
        <v>12</v>
      </c>
      <c r="P106" s="113">
        <f>IFERROR(aurora_data!BN62,0)</f>
        <v>5</v>
      </c>
      <c r="Q106" s="253">
        <f>IFERROR(aurora_data!BO62,0)</f>
        <v>9</v>
      </c>
      <c r="R106" s="253">
        <f>IFERROR(aurora_data!BP62,0)</f>
        <v>6</v>
      </c>
      <c r="S106" s="254">
        <f>IFERROR(aurora_data!BQ62,0)</f>
        <v>10</v>
      </c>
      <c r="T106" s="253">
        <f>IFERROR(aurora_data!BR62,0)</f>
        <v>9</v>
      </c>
      <c r="U106" s="253">
        <f>IFERROR(aurora_data!BS62,0)</f>
        <v>21</v>
      </c>
      <c r="V106" s="254">
        <f>IFERROR(aurora_data!BT62,0)</f>
        <v>0</v>
      </c>
      <c r="W106" s="61" t="s">
        <v>354</v>
      </c>
      <c r="X106" s="113">
        <f>IFERROR(aurora_data!BU62,0)</f>
        <v>30</v>
      </c>
      <c r="Y106" s="281">
        <f t="shared" si="28"/>
        <v>0.15</v>
      </c>
    </row>
    <row r="107" spans="1:25">
      <c r="A107"/>
      <c r="C107" s="452"/>
      <c r="D107" s="454"/>
      <c r="E107" s="35" t="s">
        <v>340</v>
      </c>
      <c r="F107" s="113">
        <f>IFERROR(aurora_data!BD63,0)</f>
        <v>0</v>
      </c>
      <c r="G107" s="253">
        <f>IFERROR(aurora_data!BE63,0)</f>
        <v>0</v>
      </c>
      <c r="H107" s="253">
        <f>IFERROR(aurora_data!BF63,0)</f>
        <v>0</v>
      </c>
      <c r="I107" s="253">
        <f>IFERROR(aurora_data!BG63,0)</f>
        <v>0</v>
      </c>
      <c r="J107" s="254">
        <f>IFERROR(aurora_data!BH63,0)</f>
        <v>0</v>
      </c>
      <c r="K107" s="113">
        <f>IFERROR(aurora_data!BI63,0)</f>
        <v>0</v>
      </c>
      <c r="L107" s="253">
        <f>IFERROR(aurora_data!BJ63,0)</f>
        <v>0</v>
      </c>
      <c r="M107" s="253">
        <f>IFERROR(aurora_data!BK63,0)</f>
        <v>0</v>
      </c>
      <c r="N107" s="253">
        <f>IFERROR(aurora_data!BL63,0)</f>
        <v>0</v>
      </c>
      <c r="O107" s="254">
        <f>IFERROR(aurora_data!BM63,0)</f>
        <v>0</v>
      </c>
      <c r="P107" s="113">
        <f>IFERROR(aurora_data!BN63,0)</f>
        <v>0</v>
      </c>
      <c r="Q107" s="253">
        <f>IFERROR(aurora_data!BO63,0)</f>
        <v>0</v>
      </c>
      <c r="R107" s="253">
        <f>IFERROR(aurora_data!BP63,0)</f>
        <v>0</v>
      </c>
      <c r="S107" s="254">
        <f>IFERROR(aurora_data!BQ63,0)</f>
        <v>0</v>
      </c>
      <c r="T107" s="253">
        <f>IFERROR(aurora_data!BR63,0)</f>
        <v>0</v>
      </c>
      <c r="U107" s="253">
        <f>IFERROR(aurora_data!BS63,0)</f>
        <v>0</v>
      </c>
      <c r="V107" s="254">
        <f>IFERROR(aurora_data!BT63,0)</f>
        <v>0</v>
      </c>
      <c r="W107" s="61" t="s">
        <v>354</v>
      </c>
      <c r="X107" s="113">
        <f>IFERROR(aurora_data!BU63,0)</f>
        <v>0</v>
      </c>
      <c r="Y107" s="281">
        <f t="shared" si="28"/>
        <v>0</v>
      </c>
    </row>
    <row r="108" spans="1:25">
      <c r="A108"/>
      <c r="C108" s="452"/>
      <c r="D108" s="454"/>
      <c r="E108" s="35" t="s">
        <v>341</v>
      </c>
      <c r="F108" s="113">
        <f>IFERROR(aurora_data!BD64,0)</f>
        <v>0</v>
      </c>
      <c r="G108" s="253">
        <f>IFERROR(aurora_data!BE64,0)</f>
        <v>1</v>
      </c>
      <c r="H108" s="253">
        <f>IFERROR(aurora_data!BF64,0)</f>
        <v>1</v>
      </c>
      <c r="I108" s="253">
        <f>IFERROR(aurora_data!BG64,0)</f>
        <v>1</v>
      </c>
      <c r="J108" s="254">
        <f>IFERROR(aurora_data!BH64,0)</f>
        <v>0</v>
      </c>
      <c r="K108" s="113">
        <f>IFERROR(aurora_data!BI64,0)</f>
        <v>0</v>
      </c>
      <c r="L108" s="253">
        <f>IFERROR(aurora_data!BJ64,0)</f>
        <v>0</v>
      </c>
      <c r="M108" s="253">
        <f>IFERROR(aurora_data!BK64,0)</f>
        <v>2</v>
      </c>
      <c r="N108" s="253">
        <f>IFERROR(aurora_data!BL64,0)</f>
        <v>1</v>
      </c>
      <c r="O108" s="254">
        <f>IFERROR(aurora_data!BM64,0)</f>
        <v>0</v>
      </c>
      <c r="P108" s="113">
        <f>IFERROR(aurora_data!BN64,0)</f>
        <v>1</v>
      </c>
      <c r="Q108" s="253">
        <f>IFERROR(aurora_data!BO64,0)</f>
        <v>2</v>
      </c>
      <c r="R108" s="253">
        <f>IFERROR(aurora_data!BP64,0)</f>
        <v>0</v>
      </c>
      <c r="S108" s="254">
        <f>IFERROR(aurora_data!BQ64,0)</f>
        <v>0</v>
      </c>
      <c r="T108" s="253">
        <f>IFERROR(aurora_data!BR64,0)</f>
        <v>1</v>
      </c>
      <c r="U108" s="253">
        <f>IFERROR(aurora_data!BS64,0)</f>
        <v>2</v>
      </c>
      <c r="V108" s="254">
        <f>IFERROR(aurora_data!BT64,0)</f>
        <v>0</v>
      </c>
      <c r="W108" s="61" t="s">
        <v>354</v>
      </c>
      <c r="X108" s="113">
        <f>IFERROR(aurora_data!BU64,0)</f>
        <v>3</v>
      </c>
      <c r="Y108" s="281">
        <f t="shared" si="28"/>
        <v>1.4999999999999999E-2</v>
      </c>
    </row>
    <row r="109" spans="1:25" ht="16.5" thickBot="1">
      <c r="A109"/>
      <c r="C109" s="452"/>
      <c r="D109" s="454"/>
      <c r="E109" s="35" t="s">
        <v>342</v>
      </c>
      <c r="F109" s="113">
        <f>IFERROR(aurora_data!BD65,0)</f>
        <v>0</v>
      </c>
      <c r="G109" s="253">
        <f>IFERROR(aurora_data!BE65,0)</f>
        <v>0</v>
      </c>
      <c r="H109" s="253">
        <f>IFERROR(aurora_data!BF65,0)</f>
        <v>0</v>
      </c>
      <c r="I109" s="253">
        <f>IFERROR(aurora_data!BG65,0)</f>
        <v>0</v>
      </c>
      <c r="J109" s="254">
        <f>IFERROR(aurora_data!BH65,0)</f>
        <v>0</v>
      </c>
      <c r="K109" s="113">
        <f>IFERROR(aurora_data!BI65,0)</f>
        <v>0</v>
      </c>
      <c r="L109" s="253">
        <f>IFERROR(aurora_data!BJ65,0)</f>
        <v>0</v>
      </c>
      <c r="M109" s="253">
        <f>IFERROR(aurora_data!BK65,0)</f>
        <v>0</v>
      </c>
      <c r="N109" s="253">
        <f>IFERROR(aurora_data!BL65,0)</f>
        <v>0</v>
      </c>
      <c r="O109" s="254">
        <f>IFERROR(aurora_data!BM65,0)</f>
        <v>0</v>
      </c>
      <c r="P109" s="113">
        <f>IFERROR(aurora_data!BN65,0)</f>
        <v>0</v>
      </c>
      <c r="Q109" s="253">
        <f>IFERROR(aurora_data!BO65,0)</f>
        <v>0</v>
      </c>
      <c r="R109" s="253">
        <f>IFERROR(aurora_data!BP65,0)</f>
        <v>0</v>
      </c>
      <c r="S109" s="254">
        <f>IFERROR(aurora_data!BQ65,0)</f>
        <v>0</v>
      </c>
      <c r="T109" s="253">
        <f>IFERROR(aurora_data!BR65,0)</f>
        <v>0</v>
      </c>
      <c r="U109" s="253">
        <f>IFERROR(aurora_data!BS65,0)</f>
        <v>0</v>
      </c>
      <c r="V109" s="254">
        <f>IFERROR(aurora_data!BT65,0)</f>
        <v>0</v>
      </c>
      <c r="W109" s="61" t="s">
        <v>354</v>
      </c>
      <c r="X109" s="113">
        <f>IFERROR(aurora_data!BU65,0)</f>
        <v>0</v>
      </c>
      <c r="Y109" s="281">
        <f t="shared" si="28"/>
        <v>0</v>
      </c>
    </row>
    <row r="110" spans="1:25" ht="16.5" thickBot="1">
      <c r="A110"/>
      <c r="C110" s="452"/>
      <c r="D110" s="454"/>
      <c r="E110" s="37" t="s">
        <v>17</v>
      </c>
      <c r="F110" s="59">
        <f>IFERROR(aurora_data!BD66,0)</f>
        <v>11</v>
      </c>
      <c r="G110" s="64">
        <f>IFERROR(aurora_data!BE66,0)</f>
        <v>17</v>
      </c>
      <c r="H110" s="64">
        <f>IFERROR(aurora_data!BF66,0)</f>
        <v>43</v>
      </c>
      <c r="I110" s="64">
        <f>IFERROR(aurora_data!BG66,0)</f>
        <v>69</v>
      </c>
      <c r="J110" s="65">
        <f>IFERROR(aurora_data!BH66,0)</f>
        <v>88</v>
      </c>
      <c r="K110" s="59">
        <f>IFERROR(aurora_data!BI66,0)</f>
        <v>16</v>
      </c>
      <c r="L110" s="64">
        <f>IFERROR(aurora_data!BJ66,0)</f>
        <v>33</v>
      </c>
      <c r="M110" s="64">
        <f>IFERROR(aurora_data!BK66,0)</f>
        <v>52</v>
      </c>
      <c r="N110" s="64">
        <f>IFERROR(aurora_data!BL66,0)</f>
        <v>20</v>
      </c>
      <c r="O110" s="65">
        <f>IFERROR(aurora_data!BM66,0)</f>
        <v>107</v>
      </c>
      <c r="P110" s="59">
        <f>IFERROR(aurora_data!BN66,0)</f>
        <v>48</v>
      </c>
      <c r="Q110" s="64">
        <f>IFERROR(aurora_data!BO66,0)</f>
        <v>45</v>
      </c>
      <c r="R110" s="64">
        <f>IFERROR(aurora_data!BP66,0)</f>
        <v>76</v>
      </c>
      <c r="S110" s="65">
        <f>IFERROR(aurora_data!BQ66,0)</f>
        <v>59</v>
      </c>
      <c r="T110" s="64">
        <f>IFERROR(aurora_data!BR66,0)</f>
        <v>108</v>
      </c>
      <c r="U110" s="64">
        <f>IFERROR(aurora_data!BS66,0)</f>
        <v>120</v>
      </c>
      <c r="V110" s="65">
        <f>IFERROR(aurora_data!BT66,0)</f>
        <v>0</v>
      </c>
      <c r="W110" s="66" t="s">
        <v>354</v>
      </c>
      <c r="X110" s="59">
        <f>IFERROR(aurora_data!BU66,0)</f>
        <v>228</v>
      </c>
      <c r="Y110" s="70">
        <f t="shared" si="28"/>
        <v>1.1399999999999999</v>
      </c>
    </row>
    <row r="111" spans="1:25" ht="16.5" thickBot="1">
      <c r="A111"/>
      <c r="C111" s="452"/>
      <c r="D111" s="454"/>
      <c r="E111" s="38" t="s">
        <v>343</v>
      </c>
      <c r="F111" s="256">
        <f>IFERROR(aurora_data!BD67,0)</f>
        <v>0</v>
      </c>
      <c r="G111" s="257">
        <f>IFERROR(aurora_data!BE67,0)</f>
        <v>0</v>
      </c>
      <c r="H111" s="257">
        <f>IFERROR(aurora_data!BF67,0)</f>
        <v>2</v>
      </c>
      <c r="I111" s="257">
        <f>IFERROR(aurora_data!BG67,0)</f>
        <v>3</v>
      </c>
      <c r="J111" s="258">
        <f>IFERROR(aurora_data!BH67,0)</f>
        <v>1</v>
      </c>
      <c r="K111" s="256">
        <f>IFERROR(aurora_data!BI67,0)</f>
        <v>0</v>
      </c>
      <c r="L111" s="257">
        <f>IFERROR(aurora_data!BJ67,0)</f>
        <v>1</v>
      </c>
      <c r="M111" s="257">
        <f>IFERROR(aurora_data!BK67,0)</f>
        <v>2</v>
      </c>
      <c r="N111" s="257">
        <f>IFERROR(aurora_data!BL67,0)</f>
        <v>1</v>
      </c>
      <c r="O111" s="258">
        <f>IFERROR(aurora_data!BM67,0)</f>
        <v>2</v>
      </c>
      <c r="P111" s="256">
        <f>IFERROR(aurora_data!BN67,0)</f>
        <v>2</v>
      </c>
      <c r="Q111" s="257">
        <f>IFERROR(aurora_data!BO67,0)</f>
        <v>1</v>
      </c>
      <c r="R111" s="257">
        <f>IFERROR(aurora_data!BP67,0)</f>
        <v>2</v>
      </c>
      <c r="S111" s="258">
        <f>IFERROR(aurora_data!BQ67,0)</f>
        <v>1</v>
      </c>
      <c r="T111" s="257">
        <f>IFERROR(aurora_data!BR67,0)</f>
        <v>3</v>
      </c>
      <c r="U111" s="257">
        <f>IFERROR(aurora_data!BS67,0)</f>
        <v>3</v>
      </c>
      <c r="V111" s="259">
        <f>IFERROR(aurora_data!BT67,0)</f>
        <v>0</v>
      </c>
      <c r="W111" s="260" t="s">
        <v>354</v>
      </c>
      <c r="X111" s="256">
        <f>IFERROR(aurora_data!BU67,0)</f>
        <v>6</v>
      </c>
      <c r="Y111" s="261">
        <f t="shared" si="28"/>
        <v>0.03</v>
      </c>
    </row>
    <row r="112" spans="1:25" hidden="1" outlineLevel="2">
      <c r="A112"/>
      <c r="C112" s="452"/>
      <c r="D112" s="454"/>
      <c r="E112" s="199" t="s">
        <v>344</v>
      </c>
      <c r="F112" s="271">
        <f>ROUNDDOWN((F114+$F$10)*($X104),0)</f>
        <v>11</v>
      </c>
      <c r="G112" s="272">
        <f>ROUNDDOWN((G114+$F$10)*($X104),0)</f>
        <v>16</v>
      </c>
      <c r="H112" s="272">
        <f>ROUNDDOWN((H114+$F$10)*($X104),0)</f>
        <v>44</v>
      </c>
      <c r="I112" s="272">
        <f>ROUNDDOWN((I114+$F$10)*($X104),0)</f>
        <v>67</v>
      </c>
      <c r="J112" s="272">
        <f>ROUNDDOWN((J114+$F$10)*($X104),0)</f>
        <v>80</v>
      </c>
      <c r="K112" s="271">
        <f>ROUNDDOWN((K114+$K$10)*($X104),0)</f>
        <v>18</v>
      </c>
      <c r="L112" s="272">
        <f>ROUNDDOWN((L114+$K$10)*($X104),0)</f>
        <v>33</v>
      </c>
      <c r="M112" s="272">
        <f>ROUNDDOWN((M114+$K$10)*($X104),0)</f>
        <v>58</v>
      </c>
      <c r="N112" s="272">
        <f>ROUNDDOWN((N114+$K$10)*($X104),0)</f>
        <v>26</v>
      </c>
      <c r="O112" s="268">
        <f>ROUNDDOWN((O114+$K$10)*($X104),0)</f>
        <v>102</v>
      </c>
      <c r="P112" s="271"/>
      <c r="Q112" s="272"/>
      <c r="R112" s="272"/>
      <c r="S112" s="268"/>
      <c r="T112" s="265"/>
      <c r="U112" s="272"/>
      <c r="V112" s="282"/>
      <c r="W112" s="61"/>
      <c r="X112" s="291"/>
      <c r="Y112" s="286"/>
    </row>
    <row r="113" spans="1:25" hidden="1" outlineLevel="2">
      <c r="A113"/>
      <c r="C113" s="452"/>
      <c r="D113" s="454"/>
      <c r="E113" s="199" t="s">
        <v>345</v>
      </c>
      <c r="F113" s="276">
        <f>IF(ROUND(((F114-$F$10)*($X104))+0.25,0) &lt;=0,1,((F114-$F$10)*($X104))+0.25)</f>
        <v>3.9</v>
      </c>
      <c r="G113" s="277">
        <f>IF(ROUND(((G114-$F$10)*($X104))+0.25,0) &lt;=0,1,((G114-$F$10)*($X104))+0.25)</f>
        <v>8.7899999999999974</v>
      </c>
      <c r="H113" s="277">
        <f>IF(ROUND(((H114-$F$10)*($X104))+0.25,0) &lt;=0,1,((H114-$F$10)*($X104))+0.25)</f>
        <v>36.32</v>
      </c>
      <c r="I113" s="277">
        <f>IF(ROUND(((I114-$F$10)*($X104))+0.25,0) &lt;=0,1,((I114-$F$10)*($X104))+0.25)</f>
        <v>59.469999999999992</v>
      </c>
      <c r="J113" s="277">
        <f>IF(ROUND(((J114-$F$10)*($X104))+0.25,0) &lt;=0,1,((J114-$F$10)*($X104))+0.25)</f>
        <v>72.77</v>
      </c>
      <c r="K113" s="276">
        <f>IF(ROUND(((K114-$K$10)*($X104))+0.25,0) &lt;=0,1,((K114-$K$10)*($X104))+0.25)</f>
        <v>2.77</v>
      </c>
      <c r="L113" s="277">
        <f>IF(ROUND(((L114-$K$10)*($X104))+0.25,0) &lt;=0,1,((L114-$K$10)*($X104))+0.25)</f>
        <v>17.869999999999997</v>
      </c>
      <c r="M113" s="277">
        <f>IF(ROUND(((M114-$K$10)*($X104))+0.25,0) &lt;=0,1,((M114-$K$10)*($X104))+0.25)</f>
        <v>43.15</v>
      </c>
      <c r="N113" s="277">
        <f>IF(ROUND(((N114-$K$10)*($X104))+0.25,0) &lt;=0,1,((N114-$K$10)*($X104))+0.25)</f>
        <v>10.760000000000002</v>
      </c>
      <c r="O113" s="278">
        <f>IF(ROUND(((O114-$K$10)*($X104))+0.25,0) &lt;=0,1,((O114-$K$10)*($X104))+0.25)</f>
        <v>86.7</v>
      </c>
      <c r="P113" s="276"/>
      <c r="Q113" s="277"/>
      <c r="R113" s="277"/>
      <c r="S113" s="278"/>
      <c r="T113" s="276"/>
      <c r="U113" s="277"/>
      <c r="V113" s="287"/>
      <c r="W113" s="61"/>
      <c r="X113" s="285"/>
      <c r="Y113" s="287"/>
    </row>
    <row r="114" spans="1:25" hidden="1" outlineLevel="2">
      <c r="A114"/>
      <c r="C114" s="452"/>
      <c r="D114" s="454"/>
      <c r="E114" s="95" t="s">
        <v>346</v>
      </c>
      <c r="F114" s="414">
        <f t="shared" ref="F114:O114" si="29">IFERROR(F104/$X104,0)</f>
        <v>3.8249999999999999E-2</v>
      </c>
      <c r="G114" s="415">
        <f t="shared" si="29"/>
        <v>6.2699999999999992E-2</v>
      </c>
      <c r="H114" s="415">
        <f t="shared" si="29"/>
        <v>0.20035</v>
      </c>
      <c r="I114" s="415">
        <f t="shared" si="29"/>
        <v>0.31609999999999999</v>
      </c>
      <c r="J114" s="415">
        <f t="shared" si="29"/>
        <v>0.3826</v>
      </c>
      <c r="K114" s="414">
        <f t="shared" si="29"/>
        <v>5.2600000000000001E-2</v>
      </c>
      <c r="L114" s="415">
        <f t="shared" si="29"/>
        <v>0.12809999999999999</v>
      </c>
      <c r="M114" s="415">
        <f t="shared" si="29"/>
        <v>0.2545</v>
      </c>
      <c r="N114" s="415">
        <f t="shared" si="29"/>
        <v>9.2550000000000007E-2</v>
      </c>
      <c r="O114" s="416">
        <f t="shared" si="29"/>
        <v>0.47225</v>
      </c>
      <c r="P114" s="414"/>
      <c r="Q114" s="415"/>
      <c r="R114" s="415"/>
      <c r="S114" s="416"/>
      <c r="T114" s="414"/>
      <c r="U114" s="415"/>
      <c r="V114" s="254"/>
      <c r="W114" s="61"/>
      <c r="X114" s="113"/>
      <c r="Y114" s="431"/>
    </row>
    <row r="115" spans="1:25" hidden="1" outlineLevel="2">
      <c r="A115"/>
      <c r="C115" s="452"/>
      <c r="D115" s="454"/>
      <c r="E115" s="180" t="s">
        <v>347</v>
      </c>
      <c r="F115" s="414">
        <f t="shared" ref="F115:O115" si="30">IFERROR(F105/$X104,0)</f>
        <v>0.03</v>
      </c>
      <c r="G115" s="415">
        <f t="shared" si="30"/>
        <v>0.06</v>
      </c>
      <c r="H115" s="415">
        <f t="shared" si="30"/>
        <v>0.19</v>
      </c>
      <c r="I115" s="415">
        <f t="shared" si="30"/>
        <v>0.30499999999999999</v>
      </c>
      <c r="J115" s="415">
        <f t="shared" si="30"/>
        <v>0.39</v>
      </c>
      <c r="K115" s="414">
        <f t="shared" si="30"/>
        <v>5.5E-2</v>
      </c>
      <c r="L115" s="415">
        <f t="shared" si="30"/>
        <v>0.125</v>
      </c>
      <c r="M115" s="415">
        <f t="shared" si="30"/>
        <v>0.23499999999999999</v>
      </c>
      <c r="N115" s="415">
        <f t="shared" si="30"/>
        <v>8.5000000000000006E-2</v>
      </c>
      <c r="O115" s="416">
        <f t="shared" si="30"/>
        <v>0.47499999999999998</v>
      </c>
      <c r="P115" s="414"/>
      <c r="Q115" s="415"/>
      <c r="R115" s="415"/>
      <c r="S115" s="416"/>
      <c r="T115" s="414"/>
      <c r="U115" s="415"/>
      <c r="V115" s="254"/>
      <c r="W115" s="61"/>
      <c r="X115" s="113"/>
      <c r="Y115" s="431"/>
    </row>
    <row r="116" spans="1:25" ht="16.5" hidden="1" outlineLevel="2" thickBot="1">
      <c r="A116"/>
      <c r="C116" s="456"/>
      <c r="D116" s="455"/>
      <c r="E116" s="180" t="s">
        <v>348</v>
      </c>
      <c r="F116" s="414">
        <f t="shared" ref="F116:O116" si="31">F115-F114</f>
        <v>-8.2500000000000004E-3</v>
      </c>
      <c r="G116" s="415">
        <f t="shared" si="31"/>
        <v>-2.6999999999999941E-3</v>
      </c>
      <c r="H116" s="415">
        <f t="shared" si="31"/>
        <v>-1.0349999999999998E-2</v>
      </c>
      <c r="I116" s="415">
        <f t="shared" si="31"/>
        <v>-1.1099999999999999E-2</v>
      </c>
      <c r="J116" s="415">
        <f t="shared" si="31"/>
        <v>7.4000000000000177E-3</v>
      </c>
      <c r="K116" s="414">
        <f t="shared" si="31"/>
        <v>2.3999999999999994E-3</v>
      </c>
      <c r="L116" s="415">
        <f t="shared" si="31"/>
        <v>-3.0999999999999917E-3</v>
      </c>
      <c r="M116" s="415">
        <f t="shared" si="31"/>
        <v>-1.9500000000000017E-2</v>
      </c>
      <c r="N116" s="415">
        <f t="shared" si="31"/>
        <v>-7.5500000000000012E-3</v>
      </c>
      <c r="O116" s="416">
        <f t="shared" si="31"/>
        <v>2.7499999999999747E-3</v>
      </c>
      <c r="P116" s="414"/>
      <c r="Q116" s="415"/>
      <c r="R116" s="415"/>
      <c r="S116" s="416"/>
      <c r="T116" s="432"/>
      <c r="U116" s="415"/>
      <c r="V116" s="254"/>
      <c r="W116" s="61"/>
      <c r="X116" s="113"/>
      <c r="Y116" s="431"/>
    </row>
    <row r="117" spans="1:25" collapsed="1">
      <c r="A117"/>
      <c r="C117" s="451" t="s">
        <v>338</v>
      </c>
      <c r="D117" s="453" t="str">
        <f>aurora_data!BA68</f>
        <v>14.00.00-14.11.30</v>
      </c>
      <c r="E117" s="34" t="s">
        <v>306</v>
      </c>
      <c r="F117" s="39">
        <f>IFERROR(aurora_data!BD68,0)</f>
        <v>8.06</v>
      </c>
      <c r="G117" s="40">
        <f>IFERROR(aurora_data!BE68,0)</f>
        <v>13.56</v>
      </c>
      <c r="H117" s="40">
        <f>IFERROR(aurora_data!BF68,0)</f>
        <v>40.28</v>
      </c>
      <c r="I117" s="40">
        <f>IFERROR(aurora_data!BG68,0)</f>
        <v>63.05</v>
      </c>
      <c r="J117" s="41">
        <f>IFERROR(aurora_data!BH68,0)</f>
        <v>75.05</v>
      </c>
      <c r="K117" s="39">
        <f>IFERROR(aurora_data!BI68,0)</f>
        <v>10.26</v>
      </c>
      <c r="L117" s="40">
        <f>IFERROR(aurora_data!BJ68,0)</f>
        <v>25.29</v>
      </c>
      <c r="M117" s="40">
        <f>IFERROR(aurora_data!BK68,0)</f>
        <v>52.93</v>
      </c>
      <c r="N117" s="40">
        <f>IFERROR(aurora_data!BL68,0)</f>
        <v>18.98</v>
      </c>
      <c r="O117" s="41">
        <f>IFERROR(aurora_data!BM68,0)</f>
        <v>92.54</v>
      </c>
      <c r="P117" s="39">
        <f>IFERROR(aurora_data!BN68,0)</f>
        <v>41.33</v>
      </c>
      <c r="Q117" s="40">
        <f>IFERROR(aurora_data!BO68,0)</f>
        <v>30.67</v>
      </c>
      <c r="R117" s="40">
        <f>IFERROR(aurora_data!BP68,0)</f>
        <v>79.31</v>
      </c>
      <c r="S117" s="41">
        <f>IFERROR(aurora_data!BQ68,0)</f>
        <v>48.69</v>
      </c>
      <c r="T117" s="40">
        <f>IFERROR(aurora_data!BR68,0)</f>
        <v>100</v>
      </c>
      <c r="U117" s="40">
        <f>IFERROR(aurora_data!BS68,0)</f>
        <v>100</v>
      </c>
      <c r="V117" s="41">
        <f>IFERROR(aurora_data!BT68,0)</f>
        <v>0</v>
      </c>
      <c r="W117" s="61" t="s">
        <v>354</v>
      </c>
      <c r="X117" s="39">
        <f>IFERROR(aurora_data!BU68,0)</f>
        <v>200</v>
      </c>
      <c r="Y117" s="69">
        <f t="shared" ref="Y117:Y124" si="32">IFERROR(X117/$X$117,0)</f>
        <v>1</v>
      </c>
    </row>
    <row r="118" spans="1:25">
      <c r="A118"/>
      <c r="C118" s="452"/>
      <c r="D118" s="454"/>
      <c r="E118" s="35" t="s">
        <v>339</v>
      </c>
      <c r="F118" s="113">
        <f>IFERROR(aurora_data!BD69,0)</f>
        <v>7</v>
      </c>
      <c r="G118" s="253">
        <f>IFERROR(aurora_data!BE69,0)</f>
        <v>13</v>
      </c>
      <c r="H118" s="253">
        <f>IFERROR(aurora_data!BF69,0)</f>
        <v>35</v>
      </c>
      <c r="I118" s="253">
        <f>IFERROR(aurora_data!BG69,0)</f>
        <v>63</v>
      </c>
      <c r="J118" s="254">
        <f>IFERROR(aurora_data!BH69,0)</f>
        <v>76</v>
      </c>
      <c r="K118" s="113">
        <f>IFERROR(aurora_data!BI69,0)</f>
        <v>11</v>
      </c>
      <c r="L118" s="253">
        <f>IFERROR(aurora_data!BJ69,0)</f>
        <v>25</v>
      </c>
      <c r="M118" s="253">
        <f>IFERROR(aurora_data!BK69,0)</f>
        <v>52</v>
      </c>
      <c r="N118" s="253">
        <f>IFERROR(aurora_data!BL69,0)</f>
        <v>17</v>
      </c>
      <c r="O118" s="254">
        <f>IFERROR(aurora_data!BM69,0)</f>
        <v>89</v>
      </c>
      <c r="P118" s="113">
        <f>IFERROR(aurora_data!BN69,0)</f>
        <v>45</v>
      </c>
      <c r="Q118" s="253">
        <f>IFERROR(aurora_data!BO69,0)</f>
        <v>33</v>
      </c>
      <c r="R118" s="253">
        <f>IFERROR(aurora_data!BP69,0)</f>
        <v>69</v>
      </c>
      <c r="S118" s="254">
        <f>IFERROR(aurora_data!BQ69,0)</f>
        <v>47</v>
      </c>
      <c r="T118" s="253">
        <f>IFERROR(aurora_data!BR69,0)</f>
        <v>100</v>
      </c>
      <c r="U118" s="253">
        <f>IFERROR(aurora_data!BS69,0)</f>
        <v>94</v>
      </c>
      <c r="V118" s="254">
        <f>IFERROR(aurora_data!BT69,0)</f>
        <v>0</v>
      </c>
      <c r="W118" s="61" t="s">
        <v>354</v>
      </c>
      <c r="X118" s="113">
        <f>IFERROR(aurora_data!BU69,0)</f>
        <v>194</v>
      </c>
      <c r="Y118" s="255">
        <f t="shared" si="32"/>
        <v>0.97</v>
      </c>
    </row>
    <row r="119" spans="1:25">
      <c r="A119"/>
      <c r="C119" s="452"/>
      <c r="D119" s="454"/>
      <c r="E119" s="35" t="s">
        <v>291</v>
      </c>
      <c r="F119" s="113">
        <f>IFERROR(aurora_data!BD70,0)</f>
        <v>2</v>
      </c>
      <c r="G119" s="253">
        <f>IFERROR(aurora_data!BE70,0)</f>
        <v>2</v>
      </c>
      <c r="H119" s="253">
        <f>IFERROR(aurora_data!BF70,0)</f>
        <v>5</v>
      </c>
      <c r="I119" s="253">
        <f>IFERROR(aurora_data!BG70,0)</f>
        <v>8</v>
      </c>
      <c r="J119" s="254">
        <f>IFERROR(aurora_data!BH70,0)</f>
        <v>8</v>
      </c>
      <c r="K119" s="113">
        <f>IFERROR(aurora_data!BI70,0)</f>
        <v>0</v>
      </c>
      <c r="L119" s="253">
        <f>IFERROR(aurora_data!BJ70,0)</f>
        <v>11</v>
      </c>
      <c r="M119" s="253">
        <f>IFERROR(aurora_data!BK70,0)</f>
        <v>2</v>
      </c>
      <c r="N119" s="253">
        <f>IFERROR(aurora_data!BL70,0)</f>
        <v>2</v>
      </c>
      <c r="O119" s="254">
        <f>IFERROR(aurora_data!BM70,0)</f>
        <v>10</v>
      </c>
      <c r="P119" s="113">
        <f>IFERROR(aurora_data!BN70,0)</f>
        <v>12</v>
      </c>
      <c r="Q119" s="253">
        <f>IFERROR(aurora_data!BO70,0)</f>
        <v>9</v>
      </c>
      <c r="R119" s="253">
        <f>IFERROR(aurora_data!BP70,0)</f>
        <v>4</v>
      </c>
      <c r="S119" s="254">
        <f>IFERROR(aurora_data!BQ70,0)</f>
        <v>0</v>
      </c>
      <c r="T119" s="253">
        <f>IFERROR(aurora_data!BR70,0)</f>
        <v>22</v>
      </c>
      <c r="U119" s="253">
        <f>IFERROR(aurora_data!BS70,0)</f>
        <v>3</v>
      </c>
      <c r="V119" s="254">
        <f>IFERROR(aurora_data!BT70,0)</f>
        <v>0</v>
      </c>
      <c r="W119" s="61" t="s">
        <v>354</v>
      </c>
      <c r="X119" s="113">
        <f>IFERROR(aurora_data!BU70,0)</f>
        <v>25</v>
      </c>
      <c r="Y119" s="255">
        <f t="shared" si="32"/>
        <v>0.125</v>
      </c>
    </row>
    <row r="120" spans="1:25">
      <c r="A120"/>
      <c r="B120"/>
      <c r="C120" s="452"/>
      <c r="D120" s="454"/>
      <c r="E120" s="35" t="s">
        <v>340</v>
      </c>
      <c r="F120" s="113">
        <f>IFERROR(aurora_data!BD71,0)</f>
        <v>0</v>
      </c>
      <c r="G120" s="253">
        <f>IFERROR(aurora_data!BE71,0)</f>
        <v>0</v>
      </c>
      <c r="H120" s="253">
        <f>IFERROR(aurora_data!BF71,0)</f>
        <v>1</v>
      </c>
      <c r="I120" s="253">
        <f>IFERROR(aurora_data!BG71,0)</f>
        <v>0</v>
      </c>
      <c r="J120" s="254">
        <f>IFERROR(aurora_data!BH71,0)</f>
        <v>0</v>
      </c>
      <c r="K120" s="113">
        <f>IFERROR(aurora_data!BI71,0)</f>
        <v>0</v>
      </c>
      <c r="L120" s="253">
        <f>IFERROR(aurora_data!BJ71,0)</f>
        <v>0</v>
      </c>
      <c r="M120" s="253">
        <f>IFERROR(aurora_data!BK71,0)</f>
        <v>1</v>
      </c>
      <c r="N120" s="253">
        <f>IFERROR(aurora_data!BL71,0)</f>
        <v>0</v>
      </c>
      <c r="O120" s="254">
        <f>IFERROR(aurora_data!BM71,0)</f>
        <v>0</v>
      </c>
      <c r="P120" s="113">
        <f>IFERROR(aurora_data!BN71,0)</f>
        <v>1</v>
      </c>
      <c r="Q120" s="253">
        <f>IFERROR(aurora_data!BO71,0)</f>
        <v>0</v>
      </c>
      <c r="R120" s="253">
        <f>IFERROR(aurora_data!BP71,0)</f>
        <v>0</v>
      </c>
      <c r="S120" s="254">
        <f>IFERROR(aurora_data!BQ71,0)</f>
        <v>0</v>
      </c>
      <c r="T120" s="253">
        <f>IFERROR(aurora_data!BR71,0)</f>
        <v>0</v>
      </c>
      <c r="U120" s="253">
        <f>IFERROR(aurora_data!BS71,0)</f>
        <v>1</v>
      </c>
      <c r="V120" s="254">
        <f>IFERROR(aurora_data!BT71,0)</f>
        <v>0</v>
      </c>
      <c r="W120" s="61" t="s">
        <v>354</v>
      </c>
      <c r="X120" s="113">
        <f>IFERROR(aurora_data!BU71,0)</f>
        <v>1</v>
      </c>
      <c r="Y120" s="255">
        <f t="shared" si="32"/>
        <v>5.0000000000000001E-3</v>
      </c>
    </row>
    <row r="121" spans="1:25">
      <c r="A121"/>
      <c r="B121"/>
      <c r="C121" s="452"/>
      <c r="D121" s="454"/>
      <c r="E121" s="35" t="s">
        <v>341</v>
      </c>
      <c r="F121" s="113">
        <f>IFERROR(aurora_data!BD72,0)</f>
        <v>1</v>
      </c>
      <c r="G121" s="253">
        <f>IFERROR(aurora_data!BE72,0)</f>
        <v>1</v>
      </c>
      <c r="H121" s="253">
        <f>IFERROR(aurora_data!BF72,0)</f>
        <v>3</v>
      </c>
      <c r="I121" s="253">
        <f>IFERROR(aurora_data!BG72,0)</f>
        <v>1</v>
      </c>
      <c r="J121" s="254">
        <f>IFERROR(aurora_data!BH72,0)</f>
        <v>0</v>
      </c>
      <c r="K121" s="113">
        <f>IFERROR(aurora_data!BI72,0)</f>
        <v>0</v>
      </c>
      <c r="L121" s="253">
        <f>IFERROR(aurora_data!BJ72,0)</f>
        <v>0</v>
      </c>
      <c r="M121" s="253">
        <f>IFERROR(aurora_data!BK72,0)</f>
        <v>1</v>
      </c>
      <c r="N121" s="253">
        <f>IFERROR(aurora_data!BL72,0)</f>
        <v>0</v>
      </c>
      <c r="O121" s="254">
        <f>IFERROR(aurora_data!BM72,0)</f>
        <v>5</v>
      </c>
      <c r="P121" s="113">
        <f>IFERROR(aurora_data!BN72,0)</f>
        <v>1</v>
      </c>
      <c r="Q121" s="253">
        <f>IFERROR(aurora_data!BO72,0)</f>
        <v>2</v>
      </c>
      <c r="R121" s="253">
        <f>IFERROR(aurora_data!BP72,0)</f>
        <v>1</v>
      </c>
      <c r="S121" s="254">
        <f>IFERROR(aurora_data!BQ72,0)</f>
        <v>2</v>
      </c>
      <c r="T121" s="253">
        <f>IFERROR(aurora_data!BR72,0)</f>
        <v>2</v>
      </c>
      <c r="U121" s="253">
        <f>IFERROR(aurora_data!BS72,0)</f>
        <v>4</v>
      </c>
      <c r="V121" s="254">
        <f>IFERROR(aurora_data!BT72,0)</f>
        <v>0</v>
      </c>
      <c r="W121" s="61" t="s">
        <v>354</v>
      </c>
      <c r="X121" s="113">
        <f>IFERROR(aurora_data!BU72,0)</f>
        <v>6</v>
      </c>
      <c r="Y121" s="255">
        <f t="shared" si="32"/>
        <v>0.03</v>
      </c>
    </row>
    <row r="122" spans="1:25" ht="16.5" thickBot="1">
      <c r="A122"/>
      <c r="B122"/>
      <c r="C122" s="452"/>
      <c r="D122" s="454"/>
      <c r="E122" s="35" t="s">
        <v>342</v>
      </c>
      <c r="F122" s="113">
        <f>IFERROR(aurora_data!BD73,0)</f>
        <v>0</v>
      </c>
      <c r="G122" s="253">
        <f>IFERROR(aurora_data!BE73,0)</f>
        <v>0</v>
      </c>
      <c r="H122" s="253">
        <f>IFERROR(aurora_data!BF73,0)</f>
        <v>0</v>
      </c>
      <c r="I122" s="253">
        <f>IFERROR(aurora_data!BG73,0)</f>
        <v>0</v>
      </c>
      <c r="J122" s="254">
        <f>IFERROR(aurora_data!BH73,0)</f>
        <v>0</v>
      </c>
      <c r="K122" s="113">
        <f>IFERROR(aurora_data!BI73,0)</f>
        <v>0</v>
      </c>
      <c r="L122" s="253">
        <f>IFERROR(aurora_data!BJ73,0)</f>
        <v>0</v>
      </c>
      <c r="M122" s="253">
        <f>IFERROR(aurora_data!BK73,0)</f>
        <v>0</v>
      </c>
      <c r="N122" s="253">
        <f>IFERROR(aurora_data!BL73,0)</f>
        <v>0</v>
      </c>
      <c r="O122" s="254">
        <f>IFERROR(aurora_data!BM73,0)</f>
        <v>0</v>
      </c>
      <c r="P122" s="113">
        <f>IFERROR(aurora_data!BN73,0)</f>
        <v>0</v>
      </c>
      <c r="Q122" s="253">
        <f>IFERROR(aurora_data!BO73,0)</f>
        <v>0</v>
      </c>
      <c r="R122" s="253">
        <f>IFERROR(aurora_data!BP73,0)</f>
        <v>0</v>
      </c>
      <c r="S122" s="254">
        <f>IFERROR(aurora_data!BQ73,0)</f>
        <v>0</v>
      </c>
      <c r="T122" s="253">
        <f>IFERROR(aurora_data!BR73,0)</f>
        <v>0</v>
      </c>
      <c r="U122" s="253">
        <f>IFERROR(aurora_data!BS73,0)</f>
        <v>0</v>
      </c>
      <c r="V122" s="254">
        <f>IFERROR(aurora_data!BT73,0)</f>
        <v>0</v>
      </c>
      <c r="W122" s="61" t="s">
        <v>354</v>
      </c>
      <c r="X122" s="113">
        <f>IFERROR(aurora_data!BU73,0)</f>
        <v>0</v>
      </c>
      <c r="Y122" s="255">
        <f t="shared" si="32"/>
        <v>0</v>
      </c>
    </row>
    <row r="123" spans="1:25" ht="16.5" thickBot="1">
      <c r="A123"/>
      <c r="B123"/>
      <c r="C123" s="452"/>
      <c r="D123" s="454"/>
      <c r="E123" s="37" t="s">
        <v>17</v>
      </c>
      <c r="F123" s="59">
        <f>IFERROR(aurora_data!BD74,0)</f>
        <v>10</v>
      </c>
      <c r="G123" s="64">
        <f>IFERROR(aurora_data!BE74,0)</f>
        <v>16</v>
      </c>
      <c r="H123" s="64">
        <f>IFERROR(aurora_data!BF74,0)</f>
        <v>44</v>
      </c>
      <c r="I123" s="64">
        <f>IFERROR(aurora_data!BG74,0)</f>
        <v>72</v>
      </c>
      <c r="J123" s="65">
        <f>IFERROR(aurora_data!BH74,0)</f>
        <v>84</v>
      </c>
      <c r="K123" s="59">
        <f>IFERROR(aurora_data!BI74,0)</f>
        <v>11</v>
      </c>
      <c r="L123" s="64">
        <f>IFERROR(aurora_data!BJ74,0)</f>
        <v>36</v>
      </c>
      <c r="M123" s="64">
        <f>IFERROR(aurora_data!BK74,0)</f>
        <v>56</v>
      </c>
      <c r="N123" s="64">
        <f>IFERROR(aurora_data!BL74,0)</f>
        <v>19</v>
      </c>
      <c r="O123" s="65">
        <f>IFERROR(aurora_data!BM74,0)</f>
        <v>104</v>
      </c>
      <c r="P123" s="59">
        <f>IFERROR(aurora_data!BN74,0)</f>
        <v>59</v>
      </c>
      <c r="Q123" s="64">
        <f>IFERROR(aurora_data!BO74,0)</f>
        <v>44</v>
      </c>
      <c r="R123" s="64">
        <f>IFERROR(aurora_data!BP74,0)</f>
        <v>74</v>
      </c>
      <c r="S123" s="65">
        <f>IFERROR(aurora_data!BQ74,0)</f>
        <v>49</v>
      </c>
      <c r="T123" s="64">
        <f>IFERROR(aurora_data!BR74,0)</f>
        <v>124</v>
      </c>
      <c r="U123" s="64">
        <f>IFERROR(aurora_data!BS74,0)</f>
        <v>102</v>
      </c>
      <c r="V123" s="65">
        <f>IFERROR(aurora_data!BT74,0)</f>
        <v>0</v>
      </c>
      <c r="W123" s="66" t="s">
        <v>354</v>
      </c>
      <c r="X123" s="59">
        <f>IFERROR(aurora_data!BU74,0)</f>
        <v>226</v>
      </c>
      <c r="Y123" s="70">
        <f t="shared" si="32"/>
        <v>1.1299999999999999</v>
      </c>
    </row>
    <row r="124" spans="1:25" ht="16.5" thickBot="1">
      <c r="A124"/>
      <c r="B124"/>
      <c r="C124" s="452"/>
      <c r="D124" s="454"/>
      <c r="E124" s="38" t="s">
        <v>343</v>
      </c>
      <c r="F124" s="256">
        <f>IFERROR(aurora_data!BD75,0)</f>
        <v>0</v>
      </c>
      <c r="G124" s="257">
        <f>IFERROR(aurora_data!BE75,0)</f>
        <v>0</v>
      </c>
      <c r="H124" s="257">
        <f>IFERROR(aurora_data!BF75,0)</f>
        <v>1</v>
      </c>
      <c r="I124" s="257">
        <f>IFERROR(aurora_data!BG75,0)</f>
        <v>1</v>
      </c>
      <c r="J124" s="258">
        <f>IFERROR(aurora_data!BH75,0)</f>
        <v>6</v>
      </c>
      <c r="K124" s="256">
        <f>IFERROR(aurora_data!BI75,0)</f>
        <v>0</v>
      </c>
      <c r="L124" s="257">
        <f>IFERROR(aurora_data!BJ75,0)</f>
        <v>2</v>
      </c>
      <c r="M124" s="257">
        <f>IFERROR(aurora_data!BK75,0)</f>
        <v>1</v>
      </c>
      <c r="N124" s="257">
        <f>IFERROR(aurora_data!BL75,0)</f>
        <v>1</v>
      </c>
      <c r="O124" s="258">
        <f>IFERROR(aurora_data!BM75,0)</f>
        <v>4</v>
      </c>
      <c r="P124" s="256">
        <f>IFERROR(aurora_data!BN75,0)</f>
        <v>0</v>
      </c>
      <c r="Q124" s="257">
        <f>IFERROR(aurora_data!BO75,0)</f>
        <v>2</v>
      </c>
      <c r="R124" s="257">
        <f>IFERROR(aurora_data!BP75,0)</f>
        <v>5</v>
      </c>
      <c r="S124" s="258">
        <f>IFERROR(aurora_data!BQ75,0)</f>
        <v>1</v>
      </c>
      <c r="T124" s="257">
        <f>IFERROR(aurora_data!BR75,0)</f>
        <v>6</v>
      </c>
      <c r="U124" s="257">
        <f>IFERROR(aurora_data!BS75,0)</f>
        <v>2</v>
      </c>
      <c r="V124" s="259">
        <f>IFERROR(aurora_data!BT75,0)</f>
        <v>0</v>
      </c>
      <c r="W124" s="260" t="s">
        <v>354</v>
      </c>
      <c r="X124" s="256">
        <f>IFERROR(aurora_data!BU75,0)</f>
        <v>8</v>
      </c>
      <c r="Y124" s="261">
        <f t="shared" si="32"/>
        <v>0.04</v>
      </c>
    </row>
    <row r="125" spans="1:25" hidden="1" outlineLevel="1">
      <c r="A125"/>
      <c r="B125"/>
      <c r="C125" s="452"/>
      <c r="D125" s="454"/>
      <c r="E125" s="199" t="s">
        <v>344</v>
      </c>
      <c r="F125" s="271">
        <f>ROUNDDOWN((F127+$F$10)*($X117),0)</f>
        <v>12</v>
      </c>
      <c r="G125" s="272">
        <f>ROUNDDOWN((G127+$F$10)*($X117),0)</f>
        <v>17</v>
      </c>
      <c r="H125" s="272">
        <f>ROUNDDOWN((H127+$F$10)*($X117),0)</f>
        <v>44</v>
      </c>
      <c r="I125" s="272">
        <f>ROUNDDOWN((I127+$F$10)*($X117),0)</f>
        <v>67</v>
      </c>
      <c r="J125" s="272">
        <f>ROUNDDOWN((J127+$F$10)*($X117),0)</f>
        <v>79</v>
      </c>
      <c r="K125" s="271">
        <f>ROUNDDOWN((K127+$K$10)*($X117),0)</f>
        <v>18</v>
      </c>
      <c r="L125" s="272">
        <f>ROUNDDOWN((L127+$K$10)*($X117),0)</f>
        <v>33</v>
      </c>
      <c r="M125" s="272">
        <f>ROUNDDOWN((M127+$K$10)*($X117),0)</f>
        <v>60</v>
      </c>
      <c r="N125" s="272">
        <f>ROUNDDOWN((N127+$K$10)*($X117),0)</f>
        <v>26</v>
      </c>
      <c r="O125" s="268">
        <f>ROUNDDOWN((O127+$K$10)*($X117),0)</f>
        <v>100</v>
      </c>
      <c r="P125" s="271"/>
      <c r="Q125" s="272"/>
      <c r="R125" s="272"/>
      <c r="S125" s="268"/>
      <c r="T125" s="265"/>
      <c r="U125" s="272"/>
      <c r="V125" s="282"/>
      <c r="W125" s="61"/>
      <c r="X125" s="291"/>
      <c r="Y125" s="286"/>
    </row>
    <row r="126" spans="1:25" hidden="1" outlineLevel="1">
      <c r="A126"/>
      <c r="B126"/>
      <c r="C126" s="452"/>
      <c r="D126" s="454"/>
      <c r="E126" s="199" t="s">
        <v>345</v>
      </c>
      <c r="F126" s="276">
        <f>IF(ROUND(((F127-$F$10)*($X117))+0.25,0) &lt;=0,1,((F127-WISC6_STDZ_P!$E$9)*(WISC6_STDZ_P!$W117))+0.25)</f>
        <v>0.24982745000000001</v>
      </c>
      <c r="G126" s="277">
        <f>IF(ROUND(((G127-$F$10)*($X117))+0.25,0) &lt;=0,1,((G127-WISC6_STDZ_P!$E$9)*(WISC6_STDZ_P!$W117))+0.25)</f>
        <v>0.2495937</v>
      </c>
      <c r="H126" s="277">
        <f>IF(ROUND(((H127-$F$10)*($X117))+0.25,0) &lt;=0,1,((H127-WISC6_STDZ_P!$E$9)*(WISC6_STDZ_P!$W117))+0.25)</f>
        <v>0.24845809999999999</v>
      </c>
      <c r="I126" s="277">
        <f>IF(ROUND(((I127-$F$10)*($X117))+0.25,0) &lt;=0,1,((I127-WISC6_STDZ_P!$E$9)*(WISC6_STDZ_P!$W117))+0.25)</f>
        <v>0.24749037500000001</v>
      </c>
      <c r="J126" s="277">
        <f>IF(ROUND(((J127-$F$10)*($X117))+0.25,0) &lt;=0,1,((J127-WISC6_STDZ_P!$E$9)*(WISC6_STDZ_P!$W117))+0.25)</f>
        <v>0.246980375</v>
      </c>
      <c r="K126" s="276">
        <f>IF(ROUND(((K127-$K$10)*($X117))+0.25,0) &lt;=0,1,((K127-WISC6_STDZ_P!$E$9)*(WISC6_STDZ_P!$W117))+0.25)</f>
        <v>0.24973395000000001</v>
      </c>
      <c r="L126" s="277">
        <f>IF(ROUND(((L127-$K$10)*($X117))+0.25,0) &lt;=0,1,((L127-WISC6_STDZ_P!$E$9)*(WISC6_STDZ_P!$W117))+0.25)</f>
        <v>0.249095175</v>
      </c>
      <c r="M126" s="277">
        <f>IF(ROUND(((M127-$K$10)*($X117))+0.25,0) &lt;=0,1,((M127-WISC6_STDZ_P!$E$9)*(WISC6_STDZ_P!$W117))+0.25)</f>
        <v>0.247920475</v>
      </c>
      <c r="N126" s="277">
        <f>IF(ROUND(((N127-$K$10)*($X117))+0.25,0) &lt;=0,1,((N127-WISC6_STDZ_P!$E$9)*(WISC6_STDZ_P!$W117))+0.25)</f>
        <v>0.24936335000000001</v>
      </c>
      <c r="O126" s="278">
        <f>IF(ROUND(((O127-$K$10)*($X117))+0.25,0) &lt;=0,1,((O127-WISC6_STDZ_P!$E$9)*(WISC6_STDZ_P!$W117))+0.25)</f>
        <v>0.24623705000000001</v>
      </c>
      <c r="P126" s="276"/>
      <c r="Q126" s="277"/>
      <c r="R126" s="277"/>
      <c r="S126" s="278"/>
      <c r="T126" s="276"/>
      <c r="U126" s="277"/>
      <c r="V126" s="287"/>
      <c r="W126" s="61"/>
      <c r="X126" s="285"/>
      <c r="Y126" s="287"/>
    </row>
    <row r="127" spans="1:25" hidden="1" outlineLevel="1">
      <c r="A127"/>
      <c r="B127"/>
      <c r="C127" s="452"/>
      <c r="D127" s="454"/>
      <c r="E127" s="95" t="s">
        <v>346</v>
      </c>
      <c r="F127" s="414">
        <f t="shared" ref="F127:O127" si="33">IFERROR(F117/$X117,0)</f>
        <v>4.0300000000000002E-2</v>
      </c>
      <c r="G127" s="415">
        <f t="shared" si="33"/>
        <v>6.7799999999999999E-2</v>
      </c>
      <c r="H127" s="415">
        <f t="shared" si="33"/>
        <v>0.2014</v>
      </c>
      <c r="I127" s="415">
        <f t="shared" si="33"/>
        <v>0.31524999999999997</v>
      </c>
      <c r="J127" s="415">
        <f t="shared" si="33"/>
        <v>0.37524999999999997</v>
      </c>
      <c r="K127" s="414">
        <f t="shared" si="33"/>
        <v>5.1299999999999998E-2</v>
      </c>
      <c r="L127" s="415">
        <f t="shared" si="33"/>
        <v>0.12645000000000001</v>
      </c>
      <c r="M127" s="415">
        <f t="shared" si="33"/>
        <v>0.26465</v>
      </c>
      <c r="N127" s="415">
        <f t="shared" si="33"/>
        <v>9.4899999999999998E-2</v>
      </c>
      <c r="O127" s="416">
        <f t="shared" si="33"/>
        <v>0.46270000000000006</v>
      </c>
      <c r="P127" s="414"/>
      <c r="Q127" s="415"/>
      <c r="R127" s="415"/>
      <c r="S127" s="416"/>
      <c r="T127" s="414"/>
      <c r="U127" s="415"/>
      <c r="V127" s="254"/>
      <c r="W127" s="61"/>
      <c r="X127" s="113"/>
      <c r="Y127" s="431"/>
    </row>
    <row r="128" spans="1:25" hidden="1" outlineLevel="1">
      <c r="A128"/>
      <c r="B128"/>
      <c r="C128" s="452"/>
      <c r="D128" s="454"/>
      <c r="E128" s="180" t="s">
        <v>347</v>
      </c>
      <c r="F128" s="414">
        <f t="shared" ref="F128:O128" si="34">IFERROR(F118/$X117,0)</f>
        <v>3.5000000000000003E-2</v>
      </c>
      <c r="G128" s="415">
        <f t="shared" si="34"/>
        <v>6.5000000000000002E-2</v>
      </c>
      <c r="H128" s="415">
        <f t="shared" si="34"/>
        <v>0.17499999999999999</v>
      </c>
      <c r="I128" s="415">
        <f t="shared" si="34"/>
        <v>0.315</v>
      </c>
      <c r="J128" s="415">
        <f t="shared" si="34"/>
        <v>0.38</v>
      </c>
      <c r="K128" s="414">
        <f t="shared" si="34"/>
        <v>5.5E-2</v>
      </c>
      <c r="L128" s="415">
        <f t="shared" si="34"/>
        <v>0.125</v>
      </c>
      <c r="M128" s="415">
        <f t="shared" si="34"/>
        <v>0.26</v>
      </c>
      <c r="N128" s="415">
        <f t="shared" si="34"/>
        <v>8.5000000000000006E-2</v>
      </c>
      <c r="O128" s="416">
        <f t="shared" si="34"/>
        <v>0.44500000000000001</v>
      </c>
      <c r="P128" s="414"/>
      <c r="Q128" s="415"/>
      <c r="R128" s="415"/>
      <c r="S128" s="416"/>
      <c r="T128" s="414"/>
      <c r="U128" s="415"/>
      <c r="V128" s="254"/>
      <c r="W128" s="61"/>
      <c r="X128" s="113"/>
      <c r="Y128" s="431"/>
    </row>
    <row r="129" spans="1:25" ht="16.5" hidden="1" outlineLevel="1" thickBot="1">
      <c r="A129"/>
      <c r="B129"/>
      <c r="C129" s="456"/>
      <c r="D129" s="455"/>
      <c r="E129" s="180" t="s">
        <v>348</v>
      </c>
      <c r="F129" s="414">
        <f t="shared" ref="F129:O129" si="35">F128-F127</f>
        <v>-5.2999999999999992E-3</v>
      </c>
      <c r="G129" s="415">
        <f t="shared" si="35"/>
        <v>-2.7999999999999969E-3</v>
      </c>
      <c r="H129" s="415">
        <f t="shared" si="35"/>
        <v>-2.6400000000000007E-2</v>
      </c>
      <c r="I129" s="415">
        <f t="shared" si="35"/>
        <v>-2.4999999999997247E-4</v>
      </c>
      <c r="J129" s="415">
        <f t="shared" si="35"/>
        <v>4.750000000000032E-3</v>
      </c>
      <c r="K129" s="414">
        <f t="shared" si="35"/>
        <v>3.7000000000000019E-3</v>
      </c>
      <c r="L129" s="415">
        <f t="shared" si="35"/>
        <v>-1.4500000000000068E-3</v>
      </c>
      <c r="M129" s="415">
        <f t="shared" si="35"/>
        <v>-4.6499999999999875E-3</v>
      </c>
      <c r="N129" s="415">
        <f t="shared" si="35"/>
        <v>-9.8999999999999921E-3</v>
      </c>
      <c r="O129" s="416">
        <f t="shared" si="35"/>
        <v>-1.7700000000000049E-2</v>
      </c>
      <c r="P129" s="414"/>
      <c r="Q129" s="415"/>
      <c r="R129" s="415"/>
      <c r="S129" s="416"/>
      <c r="T129" s="432"/>
      <c r="U129" s="415"/>
      <c r="V129" s="254"/>
      <c r="W129" s="61"/>
      <c r="X129" s="113"/>
      <c r="Y129" s="431"/>
    </row>
    <row r="130" spans="1:25" collapsed="1">
      <c r="A130"/>
      <c r="B130"/>
      <c r="C130" s="451" t="s">
        <v>338</v>
      </c>
      <c r="D130" s="453" t="str">
        <f>aurora_data!BA76</f>
        <v>15.00.00-15.11.30</v>
      </c>
      <c r="E130" s="34" t="s">
        <v>306</v>
      </c>
      <c r="F130" s="39">
        <f>IFERROR(aurora_data!BD76,0)</f>
        <v>7.86</v>
      </c>
      <c r="G130" s="40">
        <f>IFERROR(aurora_data!BE76,0)</f>
        <v>13.5</v>
      </c>
      <c r="H130" s="40">
        <f>IFERROR(aurora_data!BF76,0)</f>
        <v>39.79</v>
      </c>
      <c r="I130" s="40">
        <f>IFERROR(aurora_data!BG76,0)</f>
        <v>62.69</v>
      </c>
      <c r="J130" s="41">
        <f>IFERROR(aurora_data!BH76,0)</f>
        <v>76.16</v>
      </c>
      <c r="K130" s="39">
        <f>IFERROR(aurora_data!BI76,0)</f>
        <v>9.85</v>
      </c>
      <c r="L130" s="40">
        <f>IFERROR(aurora_data!BJ76,0)</f>
        <v>25.79</v>
      </c>
      <c r="M130" s="40">
        <f>IFERROR(aurora_data!BK76,0)</f>
        <v>49.75</v>
      </c>
      <c r="N130" s="40">
        <f>IFERROR(aurora_data!BL76,0)</f>
        <v>17.59</v>
      </c>
      <c r="O130" s="41">
        <f>IFERROR(aurora_data!BM76,0)</f>
        <v>97.02</v>
      </c>
      <c r="P130" s="39">
        <f>IFERROR(aurora_data!BN76,0)</f>
        <v>42.15</v>
      </c>
      <c r="Q130" s="40">
        <f>IFERROR(aurora_data!BO76,0)</f>
        <v>31.3</v>
      </c>
      <c r="R130" s="40">
        <f>IFERROR(aurora_data!BP76,0)</f>
        <v>79.900000000000006</v>
      </c>
      <c r="S130" s="41">
        <f>IFERROR(aurora_data!BQ76,0)</f>
        <v>46.65</v>
      </c>
      <c r="T130" s="40">
        <f>IFERROR(aurora_data!BR76,0)</f>
        <v>100</v>
      </c>
      <c r="U130" s="40">
        <f>IFERROR(aurora_data!BS76,0)</f>
        <v>100</v>
      </c>
      <c r="V130" s="41">
        <f>IFERROR(aurora_data!BT76,0)</f>
        <v>0</v>
      </c>
      <c r="W130" s="61" t="s">
        <v>354</v>
      </c>
      <c r="X130" s="39">
        <f>IFERROR(aurora_data!BU76,0)</f>
        <v>200</v>
      </c>
      <c r="Y130" s="69">
        <f t="shared" ref="Y130:Y137" si="36">IFERROR(X130/$X$130,0)</f>
        <v>1</v>
      </c>
    </row>
    <row r="131" spans="1:25">
      <c r="A131"/>
      <c r="B131"/>
      <c r="C131" s="452"/>
      <c r="D131" s="454"/>
      <c r="E131" s="35" t="s">
        <v>339</v>
      </c>
      <c r="F131" s="113">
        <f>IFERROR(aurora_data!BD77,0)</f>
        <v>6</v>
      </c>
      <c r="G131" s="253">
        <f>IFERROR(aurora_data!BE77,0)</f>
        <v>13</v>
      </c>
      <c r="H131" s="253">
        <f>IFERROR(aurora_data!BF77,0)</f>
        <v>38</v>
      </c>
      <c r="I131" s="253">
        <f>IFERROR(aurora_data!BG77,0)</f>
        <v>62</v>
      </c>
      <c r="J131" s="254">
        <f>IFERROR(aurora_data!BH77,0)</f>
        <v>77</v>
      </c>
      <c r="K131" s="113">
        <f>IFERROR(aurora_data!BI77,0)</f>
        <v>8</v>
      </c>
      <c r="L131" s="253">
        <f>IFERROR(aurora_data!BJ77,0)</f>
        <v>27</v>
      </c>
      <c r="M131" s="253">
        <f>IFERROR(aurora_data!BK77,0)</f>
        <v>49</v>
      </c>
      <c r="N131" s="253">
        <f>IFERROR(aurora_data!BL77,0)</f>
        <v>17</v>
      </c>
      <c r="O131" s="254">
        <f>IFERROR(aurora_data!BM77,0)</f>
        <v>95</v>
      </c>
      <c r="P131" s="113">
        <f>IFERROR(aurora_data!BN77,0)</f>
        <v>49</v>
      </c>
      <c r="Q131" s="253">
        <f>IFERROR(aurora_data!BO77,0)</f>
        <v>42</v>
      </c>
      <c r="R131" s="253">
        <f>IFERROR(aurora_data!BP77,0)</f>
        <v>59</v>
      </c>
      <c r="S131" s="254">
        <f>IFERROR(aurora_data!BQ77,0)</f>
        <v>46</v>
      </c>
      <c r="T131" s="253">
        <f>IFERROR(aurora_data!BR77,0)</f>
        <v>99</v>
      </c>
      <c r="U131" s="253">
        <f>IFERROR(aurora_data!BS77,0)</f>
        <v>97</v>
      </c>
      <c r="V131" s="254">
        <f>IFERROR(aurora_data!BT77,0)</f>
        <v>0</v>
      </c>
      <c r="W131" s="61" t="s">
        <v>354</v>
      </c>
      <c r="X131" s="113">
        <f>IFERROR(aurora_data!BU77,0)</f>
        <v>196</v>
      </c>
      <c r="Y131" s="255">
        <f t="shared" si="36"/>
        <v>0.98</v>
      </c>
    </row>
    <row r="132" spans="1:25">
      <c r="A132"/>
      <c r="B132"/>
      <c r="C132" s="452"/>
      <c r="D132" s="454"/>
      <c r="E132" s="35" t="s">
        <v>291</v>
      </c>
      <c r="F132" s="113">
        <f>IFERROR(aurora_data!BD78,0)</f>
        <v>2</v>
      </c>
      <c r="G132" s="253">
        <f>IFERROR(aurora_data!BE78,0)</f>
        <v>2</v>
      </c>
      <c r="H132" s="253">
        <f>IFERROR(aurora_data!BF78,0)</f>
        <v>1</v>
      </c>
      <c r="I132" s="253">
        <f>IFERROR(aurora_data!BG78,0)</f>
        <v>6</v>
      </c>
      <c r="J132" s="254">
        <f>IFERROR(aurora_data!BH78,0)</f>
        <v>5</v>
      </c>
      <c r="K132" s="113">
        <f>IFERROR(aurora_data!BI78,0)</f>
        <v>2</v>
      </c>
      <c r="L132" s="253">
        <f>IFERROR(aurora_data!BJ78,0)</f>
        <v>5</v>
      </c>
      <c r="M132" s="253">
        <f>IFERROR(aurora_data!BK78,0)</f>
        <v>1</v>
      </c>
      <c r="N132" s="253">
        <f>IFERROR(aurora_data!BL78,0)</f>
        <v>5</v>
      </c>
      <c r="O132" s="254">
        <f>IFERROR(aurora_data!BM78,0)</f>
        <v>3</v>
      </c>
      <c r="P132" s="113">
        <f>IFERROR(aurora_data!BN78,0)</f>
        <v>4</v>
      </c>
      <c r="Q132" s="253">
        <f>IFERROR(aurora_data!BO78,0)</f>
        <v>5</v>
      </c>
      <c r="R132" s="253">
        <f>IFERROR(aurora_data!BP78,0)</f>
        <v>2</v>
      </c>
      <c r="S132" s="254">
        <f>IFERROR(aurora_data!BQ78,0)</f>
        <v>5</v>
      </c>
      <c r="T132" s="253">
        <f>IFERROR(aurora_data!BR78,0)</f>
        <v>4</v>
      </c>
      <c r="U132" s="253">
        <f>IFERROR(aurora_data!BS78,0)</f>
        <v>12</v>
      </c>
      <c r="V132" s="254">
        <f>IFERROR(aurora_data!BT78,0)</f>
        <v>0</v>
      </c>
      <c r="W132" s="61" t="s">
        <v>354</v>
      </c>
      <c r="X132" s="113">
        <f>IFERROR(aurora_data!BU78,0)</f>
        <v>16</v>
      </c>
      <c r="Y132" s="255">
        <f t="shared" si="36"/>
        <v>0.08</v>
      </c>
    </row>
    <row r="133" spans="1:25">
      <c r="A133"/>
      <c r="B133"/>
      <c r="C133" s="452"/>
      <c r="D133" s="454"/>
      <c r="E133" s="35" t="s">
        <v>340</v>
      </c>
      <c r="F133" s="113">
        <f>IFERROR(aurora_data!BD79,0)</f>
        <v>0</v>
      </c>
      <c r="G133" s="253">
        <f>IFERROR(aurora_data!BE79,0)</f>
        <v>0</v>
      </c>
      <c r="H133" s="253">
        <f>IFERROR(aurora_data!BF79,0)</f>
        <v>0</v>
      </c>
      <c r="I133" s="253">
        <f>IFERROR(aurora_data!BG79,0)</f>
        <v>1</v>
      </c>
      <c r="J133" s="254">
        <f>IFERROR(aurora_data!BH79,0)</f>
        <v>0</v>
      </c>
      <c r="K133" s="113">
        <f>IFERROR(aurora_data!BI79,0)</f>
        <v>0</v>
      </c>
      <c r="L133" s="253">
        <f>IFERROR(aurora_data!BJ79,0)</f>
        <v>0</v>
      </c>
      <c r="M133" s="253">
        <f>IFERROR(aurora_data!BK79,0)</f>
        <v>1</v>
      </c>
      <c r="N133" s="253">
        <f>IFERROR(aurora_data!BL79,0)</f>
        <v>0</v>
      </c>
      <c r="O133" s="254">
        <f>IFERROR(aurora_data!BM79,0)</f>
        <v>0</v>
      </c>
      <c r="P133" s="113">
        <f>IFERROR(aurora_data!BN79,0)</f>
        <v>0</v>
      </c>
      <c r="Q133" s="253">
        <f>IFERROR(aurora_data!BO79,0)</f>
        <v>0</v>
      </c>
      <c r="R133" s="253">
        <f>IFERROR(aurora_data!BP79,0)</f>
        <v>0</v>
      </c>
      <c r="S133" s="254">
        <f>IFERROR(aurora_data!BQ79,0)</f>
        <v>1</v>
      </c>
      <c r="T133" s="253">
        <f>IFERROR(aurora_data!BR79,0)</f>
        <v>0</v>
      </c>
      <c r="U133" s="253">
        <f>IFERROR(aurora_data!BS79,0)</f>
        <v>1</v>
      </c>
      <c r="V133" s="254">
        <f>IFERROR(aurora_data!BT79,0)</f>
        <v>0</v>
      </c>
      <c r="W133" s="61" t="s">
        <v>354</v>
      </c>
      <c r="X133" s="113">
        <f>IFERROR(aurora_data!BU79,0)</f>
        <v>1</v>
      </c>
      <c r="Y133" s="255">
        <f t="shared" si="36"/>
        <v>5.0000000000000001E-3</v>
      </c>
    </row>
    <row r="134" spans="1:25">
      <c r="A134"/>
      <c r="B134"/>
      <c r="C134" s="452"/>
      <c r="D134" s="454"/>
      <c r="E134" s="35" t="s">
        <v>341</v>
      </c>
      <c r="F134" s="113">
        <f>IFERROR(aurora_data!BD80,0)</f>
        <v>1</v>
      </c>
      <c r="G134" s="253">
        <f>IFERROR(aurora_data!BE80,0)</f>
        <v>0</v>
      </c>
      <c r="H134" s="253">
        <f>IFERROR(aurora_data!BF80,0)</f>
        <v>2</v>
      </c>
      <c r="I134" s="253">
        <f>IFERROR(aurora_data!BG80,0)</f>
        <v>0</v>
      </c>
      <c r="J134" s="254">
        <f>IFERROR(aurora_data!BH80,0)</f>
        <v>0</v>
      </c>
      <c r="K134" s="113">
        <f>IFERROR(aurora_data!BI80,0)</f>
        <v>1</v>
      </c>
      <c r="L134" s="253">
        <f>IFERROR(aurora_data!BJ80,0)</f>
        <v>0</v>
      </c>
      <c r="M134" s="253">
        <f>IFERROR(aurora_data!BK80,0)</f>
        <v>0</v>
      </c>
      <c r="N134" s="253">
        <f>IFERROR(aurora_data!BL80,0)</f>
        <v>1</v>
      </c>
      <c r="O134" s="254">
        <f>IFERROR(aurora_data!BM80,0)</f>
        <v>1</v>
      </c>
      <c r="P134" s="113">
        <f>IFERROR(aurora_data!BN80,0)</f>
        <v>1</v>
      </c>
      <c r="Q134" s="253">
        <f>IFERROR(aurora_data!BO80,0)</f>
        <v>2</v>
      </c>
      <c r="R134" s="253">
        <f>IFERROR(aurora_data!BP80,0)</f>
        <v>0</v>
      </c>
      <c r="S134" s="254">
        <f>IFERROR(aurora_data!BQ80,0)</f>
        <v>0</v>
      </c>
      <c r="T134" s="253">
        <f>IFERROR(aurora_data!BR80,0)</f>
        <v>1</v>
      </c>
      <c r="U134" s="253">
        <f>IFERROR(aurora_data!BS80,0)</f>
        <v>2</v>
      </c>
      <c r="V134" s="254">
        <f>IFERROR(aurora_data!BT80,0)</f>
        <v>0</v>
      </c>
      <c r="W134" s="61" t="s">
        <v>354</v>
      </c>
      <c r="X134" s="113">
        <f>IFERROR(aurora_data!BU80,0)</f>
        <v>3</v>
      </c>
      <c r="Y134" s="255">
        <f t="shared" si="36"/>
        <v>1.4999999999999999E-2</v>
      </c>
    </row>
    <row r="135" spans="1:25" ht="16.5" thickBot="1">
      <c r="A135"/>
      <c r="B135"/>
      <c r="C135" s="452"/>
      <c r="D135" s="454"/>
      <c r="E135" s="35" t="s">
        <v>342</v>
      </c>
      <c r="F135" s="113">
        <f>IFERROR(aurora_data!BD81,0)</f>
        <v>0</v>
      </c>
      <c r="G135" s="253">
        <f>IFERROR(aurora_data!BE81,0)</f>
        <v>1</v>
      </c>
      <c r="H135" s="253">
        <f>IFERROR(aurora_data!BF81,0)</f>
        <v>0</v>
      </c>
      <c r="I135" s="253">
        <f>IFERROR(aurora_data!BG81,0)</f>
        <v>0</v>
      </c>
      <c r="J135" s="254">
        <f>IFERROR(aurora_data!BH81,0)</f>
        <v>1</v>
      </c>
      <c r="K135" s="113">
        <f>IFERROR(aurora_data!BI81,0)</f>
        <v>2</v>
      </c>
      <c r="L135" s="253">
        <f>IFERROR(aurora_data!BJ81,0)</f>
        <v>0</v>
      </c>
      <c r="M135" s="253">
        <f>IFERROR(aurora_data!BK81,0)</f>
        <v>0</v>
      </c>
      <c r="N135" s="253">
        <f>IFERROR(aurora_data!BL81,0)</f>
        <v>0</v>
      </c>
      <c r="O135" s="254">
        <f>IFERROR(aurora_data!BM81,0)</f>
        <v>0</v>
      </c>
      <c r="P135" s="113">
        <f>IFERROR(aurora_data!BN81,0)</f>
        <v>0</v>
      </c>
      <c r="Q135" s="253">
        <f>IFERROR(aurora_data!BO81,0)</f>
        <v>1</v>
      </c>
      <c r="R135" s="253">
        <f>IFERROR(aurora_data!BP81,0)</f>
        <v>1</v>
      </c>
      <c r="S135" s="254">
        <f>IFERROR(aurora_data!BQ81,0)</f>
        <v>0</v>
      </c>
      <c r="T135" s="253">
        <f>IFERROR(aurora_data!BR81,0)</f>
        <v>1</v>
      </c>
      <c r="U135" s="253">
        <f>IFERROR(aurora_data!BS81,0)</f>
        <v>1</v>
      </c>
      <c r="V135" s="254">
        <f>IFERROR(aurora_data!BT81,0)</f>
        <v>0</v>
      </c>
      <c r="W135" s="61" t="s">
        <v>354</v>
      </c>
      <c r="X135" s="113">
        <f>IFERROR(aurora_data!BU81,0)</f>
        <v>2</v>
      </c>
      <c r="Y135" s="255">
        <f t="shared" si="36"/>
        <v>0.01</v>
      </c>
    </row>
    <row r="136" spans="1:25" ht="16.5" thickBot="1">
      <c r="A136"/>
      <c r="B136"/>
      <c r="C136" s="452"/>
      <c r="D136" s="454"/>
      <c r="E136" s="37" t="s">
        <v>17</v>
      </c>
      <c r="F136" s="59">
        <f>IFERROR(aurora_data!BD82,0)</f>
        <v>9</v>
      </c>
      <c r="G136" s="64">
        <f>IFERROR(aurora_data!BE82,0)</f>
        <v>16</v>
      </c>
      <c r="H136" s="64">
        <f>IFERROR(aurora_data!BF82,0)</f>
        <v>41</v>
      </c>
      <c r="I136" s="64">
        <f>IFERROR(aurora_data!BG82,0)</f>
        <v>69</v>
      </c>
      <c r="J136" s="65">
        <f>IFERROR(aurora_data!BH82,0)</f>
        <v>83</v>
      </c>
      <c r="K136" s="59">
        <f>IFERROR(aurora_data!BI82,0)</f>
        <v>13</v>
      </c>
      <c r="L136" s="64">
        <f>IFERROR(aurora_data!BJ82,0)</f>
        <v>32</v>
      </c>
      <c r="M136" s="64">
        <f>IFERROR(aurora_data!BK82,0)</f>
        <v>51</v>
      </c>
      <c r="N136" s="64">
        <f>IFERROR(aurora_data!BL82,0)</f>
        <v>23</v>
      </c>
      <c r="O136" s="65">
        <f>IFERROR(aurora_data!BM82,0)</f>
        <v>99</v>
      </c>
      <c r="P136" s="59">
        <f>IFERROR(aurora_data!BN82,0)</f>
        <v>54</v>
      </c>
      <c r="Q136" s="64">
        <f>IFERROR(aurora_data!BO82,0)</f>
        <v>50</v>
      </c>
      <c r="R136" s="64">
        <f>IFERROR(aurora_data!BP82,0)</f>
        <v>62</v>
      </c>
      <c r="S136" s="65">
        <f>IFERROR(aurora_data!BQ82,0)</f>
        <v>52</v>
      </c>
      <c r="T136" s="64">
        <f>IFERROR(aurora_data!BR82,0)</f>
        <v>105</v>
      </c>
      <c r="U136" s="64">
        <f>IFERROR(aurora_data!BS82,0)</f>
        <v>113</v>
      </c>
      <c r="V136" s="65">
        <f>IFERROR(aurora_data!BT82,0)</f>
        <v>0</v>
      </c>
      <c r="W136" s="66" t="s">
        <v>354</v>
      </c>
      <c r="X136" s="59">
        <f>IFERROR(aurora_data!BU82,0)</f>
        <v>218</v>
      </c>
      <c r="Y136" s="70">
        <f t="shared" si="36"/>
        <v>1.0900000000000001</v>
      </c>
    </row>
    <row r="137" spans="1:25" ht="16.5" thickBot="1">
      <c r="A137"/>
      <c r="B137"/>
      <c r="C137" s="452"/>
      <c r="D137" s="454"/>
      <c r="E137" s="38" t="s">
        <v>343</v>
      </c>
      <c r="F137" s="256">
        <f>IFERROR(aurora_data!BD83,0)</f>
        <v>0</v>
      </c>
      <c r="G137" s="257">
        <f>IFERROR(aurora_data!BE83,0)</f>
        <v>0</v>
      </c>
      <c r="H137" s="257">
        <f>IFERROR(aurora_data!BF83,0)</f>
        <v>1</v>
      </c>
      <c r="I137" s="257">
        <f>IFERROR(aurora_data!BG83,0)</f>
        <v>3</v>
      </c>
      <c r="J137" s="258">
        <f>IFERROR(aurora_data!BH83,0)</f>
        <v>1</v>
      </c>
      <c r="K137" s="256">
        <f>IFERROR(aurora_data!BI83,0)</f>
        <v>0</v>
      </c>
      <c r="L137" s="257">
        <f>IFERROR(aurora_data!BJ83,0)</f>
        <v>0</v>
      </c>
      <c r="M137" s="257">
        <f>IFERROR(aurora_data!BK83,0)</f>
        <v>1</v>
      </c>
      <c r="N137" s="257">
        <f>IFERROR(aurora_data!BL83,0)</f>
        <v>1</v>
      </c>
      <c r="O137" s="258">
        <f>IFERROR(aurora_data!BM83,0)</f>
        <v>3</v>
      </c>
      <c r="P137" s="256">
        <f>IFERROR(aurora_data!BN83,0)</f>
        <v>2</v>
      </c>
      <c r="Q137" s="257">
        <f>IFERROR(aurora_data!BO83,0)</f>
        <v>2</v>
      </c>
      <c r="R137" s="257">
        <f>IFERROR(aurora_data!BP83,0)</f>
        <v>1</v>
      </c>
      <c r="S137" s="258">
        <f>IFERROR(aurora_data!BQ83,0)</f>
        <v>0</v>
      </c>
      <c r="T137" s="257">
        <f>IFERROR(aurora_data!BR83,0)</f>
        <v>1</v>
      </c>
      <c r="U137" s="257">
        <f>IFERROR(aurora_data!BS83,0)</f>
        <v>4</v>
      </c>
      <c r="V137" s="259">
        <f>IFERROR(aurora_data!BT83,0)</f>
        <v>0</v>
      </c>
      <c r="W137" s="260" t="s">
        <v>354</v>
      </c>
      <c r="X137" s="256">
        <f>IFERROR(aurora_data!BU83,0)</f>
        <v>5</v>
      </c>
      <c r="Y137" s="261">
        <f t="shared" si="36"/>
        <v>2.5000000000000001E-2</v>
      </c>
    </row>
    <row r="138" spans="1:25" hidden="1" outlineLevel="1">
      <c r="A138"/>
      <c r="B138"/>
      <c r="C138" s="452"/>
      <c r="D138" s="454"/>
      <c r="E138" s="199" t="s">
        <v>344</v>
      </c>
      <c r="F138" s="271">
        <f>ROUNDDOWN((F140+$F$10)*($X130),0)</f>
        <v>11</v>
      </c>
      <c r="G138" s="272">
        <f>ROUNDDOWN((G140+$F$10)*($X130),0)</f>
        <v>17</v>
      </c>
      <c r="H138" s="272">
        <f>ROUNDDOWN((H140+$F$10)*($X130),0)</f>
        <v>43</v>
      </c>
      <c r="I138" s="272">
        <f>ROUNDDOWN((I140+$F$10)*($X130),0)</f>
        <v>66</v>
      </c>
      <c r="J138" s="272">
        <f>ROUNDDOWN((J140+$F$10)*($X130),0)</f>
        <v>80</v>
      </c>
      <c r="K138" s="271">
        <f>ROUNDDOWN((K140+$K$10)*($X130),0)</f>
        <v>17</v>
      </c>
      <c r="L138" s="272">
        <f>ROUNDDOWN((L140+$K$10)*($X130),0)</f>
        <v>33</v>
      </c>
      <c r="M138" s="272">
        <f>ROUNDDOWN((M140+$K$10)*($X130),0)</f>
        <v>57</v>
      </c>
      <c r="N138" s="272">
        <f>ROUNDDOWN((N140+$K$10)*($X130),0)</f>
        <v>25</v>
      </c>
      <c r="O138" s="268">
        <f>ROUNDDOWN((O140+$K$10)*($X130),0)</f>
        <v>105</v>
      </c>
      <c r="P138" s="271"/>
      <c r="Q138" s="272"/>
      <c r="R138" s="272"/>
      <c r="S138" s="268"/>
      <c r="T138" s="265"/>
      <c r="U138" s="272"/>
      <c r="V138" s="282"/>
      <c r="W138" s="61"/>
      <c r="X138" s="291"/>
      <c r="Y138" s="286"/>
    </row>
    <row r="139" spans="1:25" hidden="1" outlineLevel="1">
      <c r="A139"/>
      <c r="B139"/>
      <c r="C139" s="452"/>
      <c r="D139" s="454"/>
      <c r="E139" s="199" t="s">
        <v>345</v>
      </c>
      <c r="F139" s="276">
        <f>IF(ROUND(((F140-$F$10)*($X130))+0.25,0) &lt;=0,1,((F140-$F$10)*($X130))+0.25)</f>
        <v>4.1100000000000003</v>
      </c>
      <c r="G139" s="277">
        <f>IF(ROUND(((G140-$F$10)*($X130))+0.25,0) &lt;=0,1,((G140-$F$10)*($X130))+0.25)</f>
        <v>9.75</v>
      </c>
      <c r="H139" s="277">
        <f>IF(ROUND(((H140-$F$10)*($X130))+0.25,0) &lt;=0,1,((H140-$F$10)*($X130))+0.25)</f>
        <v>36.04</v>
      </c>
      <c r="I139" s="277">
        <f>IF(ROUND(((I140-$F$10)*($X130))+0.25,0) &lt;=0,1,((I140-$F$10)*($X130))+0.25)</f>
        <v>58.94</v>
      </c>
      <c r="J139" s="277">
        <f>IF(ROUND(((J140-$F$10)*($X130))+0.25,0) &lt;=0,1,((J140-$F$10)*($X130))+0.25)</f>
        <v>72.41</v>
      </c>
      <c r="K139" s="276">
        <f>IF(ROUND(((K140-$K$10)*($X130))+0.25,0) &lt;=0,1,((K140-$K$10)*($X130))+0.25)</f>
        <v>2.0999999999999988</v>
      </c>
      <c r="L139" s="277">
        <f>IF(ROUND(((L140-$K$10)*($X130))+0.25,0) &lt;=0,1,((L140-$K$10)*($X130))+0.25)</f>
        <v>18.04</v>
      </c>
      <c r="M139" s="277">
        <f>IF(ROUND(((M140-$K$10)*($X130))+0.25,0) &lt;=0,1,((M140-$K$10)*($X130))+0.25)</f>
        <v>42</v>
      </c>
      <c r="N139" s="277">
        <f>IF(ROUND(((N140-$K$10)*($X130))+0.25,0) &lt;=0,1,((N140-$K$10)*($X130))+0.25)</f>
        <v>9.84</v>
      </c>
      <c r="O139" s="278">
        <f>IF(ROUND(((O140-$K$10)*($X130))+0.25,0) &lt;=0,1,((O140-$K$10)*($X130))+0.25)</f>
        <v>89.27</v>
      </c>
      <c r="P139" s="276"/>
      <c r="Q139" s="277"/>
      <c r="R139" s="277"/>
      <c r="S139" s="278"/>
      <c r="T139" s="276"/>
      <c r="U139" s="277"/>
      <c r="V139" s="287"/>
      <c r="W139" s="61"/>
      <c r="X139" s="285"/>
      <c r="Y139" s="287"/>
    </row>
    <row r="140" spans="1:25" hidden="1" outlineLevel="1">
      <c r="A140"/>
      <c r="B140"/>
      <c r="C140" s="452"/>
      <c r="D140" s="454"/>
      <c r="E140" s="95" t="s">
        <v>346</v>
      </c>
      <c r="F140" s="414">
        <f t="shared" ref="F140:O140" si="37">IFERROR(F130/$X130,0)</f>
        <v>3.9300000000000002E-2</v>
      </c>
      <c r="G140" s="415">
        <f t="shared" si="37"/>
        <v>6.7500000000000004E-2</v>
      </c>
      <c r="H140" s="415">
        <f t="shared" si="37"/>
        <v>0.19894999999999999</v>
      </c>
      <c r="I140" s="415">
        <f t="shared" si="37"/>
        <v>0.31345000000000001</v>
      </c>
      <c r="J140" s="415">
        <f t="shared" si="37"/>
        <v>0.38079999999999997</v>
      </c>
      <c r="K140" s="414">
        <f t="shared" si="37"/>
        <v>4.9249999999999995E-2</v>
      </c>
      <c r="L140" s="415">
        <f t="shared" si="37"/>
        <v>0.12895000000000001</v>
      </c>
      <c r="M140" s="415">
        <f t="shared" si="37"/>
        <v>0.24875</v>
      </c>
      <c r="N140" s="415">
        <f t="shared" si="37"/>
        <v>8.795E-2</v>
      </c>
      <c r="O140" s="416">
        <f t="shared" si="37"/>
        <v>0.48509999999999998</v>
      </c>
      <c r="P140" s="414"/>
      <c r="Q140" s="415"/>
      <c r="R140" s="415"/>
      <c r="S140" s="416"/>
      <c r="T140" s="414"/>
      <c r="U140" s="415"/>
      <c r="V140" s="254"/>
      <c r="W140" s="61"/>
      <c r="X140" s="113"/>
      <c r="Y140" s="431"/>
    </row>
    <row r="141" spans="1:25" hidden="1" outlineLevel="1">
      <c r="A141"/>
      <c r="B141"/>
      <c r="C141" s="452"/>
      <c r="D141" s="454"/>
      <c r="E141" s="180" t="s">
        <v>347</v>
      </c>
      <c r="F141" s="414">
        <f t="shared" ref="F141:O141" si="38">IFERROR(F131/$X130,0)</f>
        <v>0.03</v>
      </c>
      <c r="G141" s="415">
        <f t="shared" si="38"/>
        <v>6.5000000000000002E-2</v>
      </c>
      <c r="H141" s="415">
        <f t="shared" si="38"/>
        <v>0.19</v>
      </c>
      <c r="I141" s="415">
        <f t="shared" si="38"/>
        <v>0.31</v>
      </c>
      <c r="J141" s="415">
        <f t="shared" si="38"/>
        <v>0.38500000000000001</v>
      </c>
      <c r="K141" s="414">
        <f t="shared" si="38"/>
        <v>0.04</v>
      </c>
      <c r="L141" s="415">
        <f t="shared" si="38"/>
        <v>0.13500000000000001</v>
      </c>
      <c r="M141" s="415">
        <f t="shared" si="38"/>
        <v>0.245</v>
      </c>
      <c r="N141" s="415">
        <f t="shared" si="38"/>
        <v>8.5000000000000006E-2</v>
      </c>
      <c r="O141" s="416">
        <f t="shared" si="38"/>
        <v>0.47499999999999998</v>
      </c>
      <c r="P141" s="414"/>
      <c r="Q141" s="415"/>
      <c r="R141" s="415"/>
      <c r="S141" s="416"/>
      <c r="T141" s="414"/>
      <c r="U141" s="415"/>
      <c r="V141" s="254"/>
      <c r="W141" s="61"/>
      <c r="X141" s="113"/>
      <c r="Y141" s="431"/>
    </row>
    <row r="142" spans="1:25" ht="16.5" hidden="1" outlineLevel="1" thickBot="1">
      <c r="A142"/>
      <c r="B142"/>
      <c r="C142" s="456"/>
      <c r="D142" s="455"/>
      <c r="E142" s="180" t="s">
        <v>348</v>
      </c>
      <c r="F142" s="414">
        <f t="shared" ref="F142:O142" si="39">F141-F140</f>
        <v>-9.3000000000000027E-3</v>
      </c>
      <c r="G142" s="415">
        <f t="shared" si="39"/>
        <v>-2.5000000000000022E-3</v>
      </c>
      <c r="H142" s="415">
        <f t="shared" si="39"/>
        <v>-8.9499999999999857E-3</v>
      </c>
      <c r="I142" s="415">
        <f t="shared" si="39"/>
        <v>-3.4500000000000086E-3</v>
      </c>
      <c r="J142" s="415">
        <f t="shared" si="39"/>
        <v>4.200000000000037E-3</v>
      </c>
      <c r="K142" s="414">
        <f t="shared" si="39"/>
        <v>-9.2499999999999943E-3</v>
      </c>
      <c r="L142" s="415">
        <f t="shared" si="39"/>
        <v>6.0499999999999998E-3</v>
      </c>
      <c r="M142" s="415">
        <f t="shared" si="39"/>
        <v>-3.7500000000000033E-3</v>
      </c>
      <c r="N142" s="415">
        <f t="shared" si="39"/>
        <v>-2.9499999999999943E-3</v>
      </c>
      <c r="O142" s="416">
        <f t="shared" si="39"/>
        <v>-1.0099999999999998E-2</v>
      </c>
      <c r="P142" s="414"/>
      <c r="Q142" s="415"/>
      <c r="R142" s="415"/>
      <c r="S142" s="416"/>
      <c r="T142" s="432"/>
      <c r="U142" s="415"/>
      <c r="V142" s="254"/>
      <c r="W142" s="61"/>
      <c r="X142" s="113"/>
      <c r="Y142" s="431"/>
    </row>
    <row r="143" spans="1:25" collapsed="1">
      <c r="A143"/>
      <c r="B143"/>
      <c r="C143" s="451" t="s">
        <v>338</v>
      </c>
      <c r="D143" s="453" t="str">
        <f>aurora_data!BA84</f>
        <v>16.00.00-16.11.30</v>
      </c>
      <c r="E143" s="34" t="s">
        <v>306</v>
      </c>
      <c r="F143" s="39">
        <f>IFERROR(aurora_data!BD84,0)</f>
        <v>8.0500000000000007</v>
      </c>
      <c r="G143" s="40">
        <f>IFERROR(aurora_data!BE84,0)</f>
        <v>12.82</v>
      </c>
      <c r="H143" s="40">
        <f>IFERROR(aurora_data!BF84,0)</f>
        <v>40.450000000000003</v>
      </c>
      <c r="I143" s="40">
        <f>IFERROR(aurora_data!BG84,0)</f>
        <v>63.11</v>
      </c>
      <c r="J143" s="41">
        <f>IFERROR(aurora_data!BH84,0)</f>
        <v>75.569999999999993</v>
      </c>
      <c r="K143" s="39">
        <f>IFERROR(aurora_data!BI84,0)</f>
        <v>9.48</v>
      </c>
      <c r="L143" s="40">
        <f>IFERROR(aurora_data!BJ84,0)</f>
        <v>26.18</v>
      </c>
      <c r="M143" s="40">
        <f>IFERROR(aurora_data!BK84,0)</f>
        <v>48.91</v>
      </c>
      <c r="N143" s="40">
        <f>IFERROR(aurora_data!BL84,0)</f>
        <v>17.32</v>
      </c>
      <c r="O143" s="41">
        <f>IFERROR(aurora_data!BM84,0)</f>
        <v>98.12</v>
      </c>
      <c r="P143" s="39">
        <f>IFERROR(aurora_data!BN84,0)</f>
        <v>42.59</v>
      </c>
      <c r="Q143" s="40">
        <f>IFERROR(aurora_data!BO84,0)</f>
        <v>31.57</v>
      </c>
      <c r="R143" s="40">
        <f>IFERROR(aurora_data!BP84,0)</f>
        <v>78.150000000000006</v>
      </c>
      <c r="S143" s="41">
        <f>IFERROR(aurora_data!BQ84,0)</f>
        <v>47.7</v>
      </c>
      <c r="T143" s="40">
        <f>IFERROR(aurora_data!BR84,0)</f>
        <v>100</v>
      </c>
      <c r="U143" s="40">
        <f>IFERROR(aurora_data!BS84,0)</f>
        <v>100</v>
      </c>
      <c r="V143" s="41">
        <f>IFERROR(aurora_data!BT84,0)</f>
        <v>0</v>
      </c>
      <c r="W143" s="61" t="s">
        <v>354</v>
      </c>
      <c r="X143" s="39">
        <f>IFERROR(aurora_data!BU84,0)</f>
        <v>200</v>
      </c>
      <c r="Y143" s="69">
        <f t="shared" ref="Y143:Y150" si="40">IFERROR(X143/$X$143,0)</f>
        <v>1</v>
      </c>
    </row>
    <row r="144" spans="1:25">
      <c r="A144"/>
      <c r="B144"/>
      <c r="C144" s="452"/>
      <c r="D144" s="454"/>
      <c r="E144" s="35" t="s">
        <v>339</v>
      </c>
      <c r="F144" s="113">
        <f>IFERROR(aurora_data!BD85,0)</f>
        <v>7</v>
      </c>
      <c r="G144" s="253">
        <f>IFERROR(aurora_data!BE85,0)</f>
        <v>12</v>
      </c>
      <c r="H144" s="253">
        <f>IFERROR(aurora_data!BF85,0)</f>
        <v>37</v>
      </c>
      <c r="I144" s="253">
        <f>IFERROR(aurora_data!BG85,0)</f>
        <v>62</v>
      </c>
      <c r="J144" s="254">
        <f>IFERROR(aurora_data!BH85,0)</f>
        <v>76</v>
      </c>
      <c r="K144" s="113">
        <f>IFERROR(aurora_data!BI85,0)</f>
        <v>8</v>
      </c>
      <c r="L144" s="253">
        <f>IFERROR(aurora_data!BJ85,0)</f>
        <v>26</v>
      </c>
      <c r="M144" s="253">
        <f>IFERROR(aurora_data!BK85,0)</f>
        <v>48</v>
      </c>
      <c r="N144" s="253">
        <f>IFERROR(aurora_data!BL85,0)</f>
        <v>17</v>
      </c>
      <c r="O144" s="254">
        <f>IFERROR(aurora_data!BM85,0)</f>
        <v>95</v>
      </c>
      <c r="P144" s="113">
        <f>IFERROR(aurora_data!BN85,0)</f>
        <v>46</v>
      </c>
      <c r="Q144" s="253">
        <f>IFERROR(aurora_data!BO85,0)</f>
        <v>36</v>
      </c>
      <c r="R144" s="253">
        <f>IFERROR(aurora_data!BP85,0)</f>
        <v>61</v>
      </c>
      <c r="S144" s="254">
        <f>IFERROR(aurora_data!BQ85,0)</f>
        <v>51</v>
      </c>
      <c r="T144" s="253">
        <f>IFERROR(aurora_data!BR85,0)</f>
        <v>97</v>
      </c>
      <c r="U144" s="253">
        <f>IFERROR(aurora_data!BS85,0)</f>
        <v>97</v>
      </c>
      <c r="V144" s="254">
        <f>IFERROR(aurora_data!BT85,0)</f>
        <v>0</v>
      </c>
      <c r="W144" s="61" t="s">
        <v>354</v>
      </c>
      <c r="X144" s="113">
        <f>IFERROR(aurora_data!BU85,0)</f>
        <v>194</v>
      </c>
      <c r="Y144" s="255">
        <f t="shared" si="40"/>
        <v>0.97</v>
      </c>
    </row>
    <row r="145" spans="1:25">
      <c r="A145"/>
      <c r="B145"/>
      <c r="C145" s="452"/>
      <c r="D145" s="454"/>
      <c r="E145" s="35" t="s">
        <v>291</v>
      </c>
      <c r="F145" s="113">
        <f>IFERROR(aurora_data!BD86,0)</f>
        <v>2</v>
      </c>
      <c r="G145" s="253">
        <f>IFERROR(aurora_data!BE86,0)</f>
        <v>1</v>
      </c>
      <c r="H145" s="253">
        <f>IFERROR(aurora_data!BF86,0)</f>
        <v>3</v>
      </c>
      <c r="I145" s="253">
        <f>IFERROR(aurora_data!BG86,0)</f>
        <v>13</v>
      </c>
      <c r="J145" s="254">
        <f>IFERROR(aurora_data!BH86,0)</f>
        <v>13</v>
      </c>
      <c r="K145" s="113">
        <f>IFERROR(aurora_data!BI86,0)</f>
        <v>4</v>
      </c>
      <c r="L145" s="253">
        <f>IFERROR(aurora_data!BJ86,0)</f>
        <v>4</v>
      </c>
      <c r="M145" s="253">
        <f>IFERROR(aurora_data!BK86,0)</f>
        <v>7</v>
      </c>
      <c r="N145" s="253">
        <f>IFERROR(aurora_data!BL86,0)</f>
        <v>4</v>
      </c>
      <c r="O145" s="254">
        <f>IFERROR(aurora_data!BM86,0)</f>
        <v>13</v>
      </c>
      <c r="P145" s="113">
        <f>IFERROR(aurora_data!BN86,0)</f>
        <v>10</v>
      </c>
      <c r="Q145" s="253">
        <f>IFERROR(aurora_data!BO86,0)</f>
        <v>2</v>
      </c>
      <c r="R145" s="253">
        <f>IFERROR(aurora_data!BP86,0)</f>
        <v>5</v>
      </c>
      <c r="S145" s="254">
        <f>IFERROR(aurora_data!BQ86,0)</f>
        <v>15</v>
      </c>
      <c r="T145" s="253">
        <f>IFERROR(aurora_data!BR86,0)</f>
        <v>26</v>
      </c>
      <c r="U145" s="253">
        <f>IFERROR(aurora_data!BS86,0)</f>
        <v>6</v>
      </c>
      <c r="V145" s="254">
        <f>IFERROR(aurora_data!BT86,0)</f>
        <v>0</v>
      </c>
      <c r="W145" s="61" t="s">
        <v>354</v>
      </c>
      <c r="X145" s="113">
        <f>IFERROR(aurora_data!BU86,0)</f>
        <v>32</v>
      </c>
      <c r="Y145" s="255">
        <f t="shared" si="40"/>
        <v>0.16</v>
      </c>
    </row>
    <row r="146" spans="1:25">
      <c r="A146"/>
      <c r="B146"/>
      <c r="C146" s="452"/>
      <c r="D146" s="454"/>
      <c r="E146" s="35" t="s">
        <v>340</v>
      </c>
      <c r="F146" s="113">
        <f>IFERROR(aurora_data!BD87,0)</f>
        <v>0</v>
      </c>
      <c r="G146" s="253">
        <f>IFERROR(aurora_data!BE87,0)</f>
        <v>0</v>
      </c>
      <c r="H146" s="253">
        <f>IFERROR(aurora_data!BF87,0)</f>
        <v>0</v>
      </c>
      <c r="I146" s="253">
        <f>IFERROR(aurora_data!BG87,0)</f>
        <v>0</v>
      </c>
      <c r="J146" s="254">
        <f>IFERROR(aurora_data!BH87,0)</f>
        <v>0</v>
      </c>
      <c r="K146" s="113">
        <f>IFERROR(aurora_data!BI87,0)</f>
        <v>0</v>
      </c>
      <c r="L146" s="253">
        <f>IFERROR(aurora_data!BJ87,0)</f>
        <v>0</v>
      </c>
      <c r="M146" s="253">
        <f>IFERROR(aurora_data!BK87,0)</f>
        <v>0</v>
      </c>
      <c r="N146" s="253">
        <f>IFERROR(aurora_data!BL87,0)</f>
        <v>0</v>
      </c>
      <c r="O146" s="254">
        <f>IFERROR(aurora_data!BM87,0)</f>
        <v>0</v>
      </c>
      <c r="P146" s="113">
        <f>IFERROR(aurora_data!BN87,0)</f>
        <v>0</v>
      </c>
      <c r="Q146" s="253">
        <f>IFERROR(aurora_data!BO87,0)</f>
        <v>0</v>
      </c>
      <c r="R146" s="253">
        <f>IFERROR(aurora_data!BP87,0)</f>
        <v>0</v>
      </c>
      <c r="S146" s="254">
        <f>IFERROR(aurora_data!BQ87,0)</f>
        <v>0</v>
      </c>
      <c r="T146" s="253">
        <f>IFERROR(aurora_data!BR87,0)</f>
        <v>0</v>
      </c>
      <c r="U146" s="253">
        <f>IFERROR(aurora_data!BS87,0)</f>
        <v>0</v>
      </c>
      <c r="V146" s="254">
        <f>IFERROR(aurora_data!BT87,0)</f>
        <v>0</v>
      </c>
      <c r="W146" s="61" t="s">
        <v>354</v>
      </c>
      <c r="X146" s="113">
        <f>IFERROR(aurora_data!BU87,0)</f>
        <v>0</v>
      </c>
      <c r="Y146" s="255">
        <f t="shared" si="40"/>
        <v>0</v>
      </c>
    </row>
    <row r="147" spans="1:25">
      <c r="A147"/>
      <c r="B147"/>
      <c r="C147" s="452"/>
      <c r="D147" s="454"/>
      <c r="E147" s="35" t="s">
        <v>341</v>
      </c>
      <c r="F147" s="113">
        <f>IFERROR(aurora_data!BD88,0)</f>
        <v>1</v>
      </c>
      <c r="G147" s="253">
        <f>IFERROR(aurora_data!BE88,0)</f>
        <v>0</v>
      </c>
      <c r="H147" s="253">
        <f>IFERROR(aurora_data!BF88,0)</f>
        <v>4</v>
      </c>
      <c r="I147" s="253">
        <f>IFERROR(aurora_data!BG88,0)</f>
        <v>3</v>
      </c>
      <c r="J147" s="254">
        <f>IFERROR(aurora_data!BH88,0)</f>
        <v>0</v>
      </c>
      <c r="K147" s="113">
        <f>IFERROR(aurora_data!BI88,0)</f>
        <v>0</v>
      </c>
      <c r="L147" s="253">
        <f>IFERROR(aurora_data!BJ88,0)</f>
        <v>5</v>
      </c>
      <c r="M147" s="253">
        <f>IFERROR(aurora_data!BK88,0)</f>
        <v>1</v>
      </c>
      <c r="N147" s="253">
        <f>IFERROR(aurora_data!BL88,0)</f>
        <v>0</v>
      </c>
      <c r="O147" s="254">
        <f>IFERROR(aurora_data!BM88,0)</f>
        <v>2</v>
      </c>
      <c r="P147" s="113">
        <f>IFERROR(aurora_data!BN88,0)</f>
        <v>2</v>
      </c>
      <c r="Q147" s="253">
        <f>IFERROR(aurora_data!BO88,0)</f>
        <v>3</v>
      </c>
      <c r="R147" s="253">
        <f>IFERROR(aurora_data!BP88,0)</f>
        <v>3</v>
      </c>
      <c r="S147" s="254">
        <f>IFERROR(aurora_data!BQ88,0)</f>
        <v>0</v>
      </c>
      <c r="T147" s="253">
        <f>IFERROR(aurora_data!BR88,0)</f>
        <v>3</v>
      </c>
      <c r="U147" s="253">
        <f>IFERROR(aurora_data!BS88,0)</f>
        <v>5</v>
      </c>
      <c r="V147" s="254">
        <f>IFERROR(aurora_data!BT88,0)</f>
        <v>0</v>
      </c>
      <c r="W147" s="61" t="s">
        <v>354</v>
      </c>
      <c r="X147" s="113">
        <f>IFERROR(aurora_data!BU88,0)</f>
        <v>8</v>
      </c>
      <c r="Y147" s="255">
        <f t="shared" si="40"/>
        <v>0.04</v>
      </c>
    </row>
    <row r="148" spans="1:25" ht="16.5" thickBot="1">
      <c r="A148"/>
      <c r="B148"/>
      <c r="C148" s="452"/>
      <c r="D148" s="454"/>
      <c r="E148" s="35" t="s">
        <v>342</v>
      </c>
      <c r="F148" s="113">
        <f>IFERROR(aurora_data!BD89,0)</f>
        <v>0</v>
      </c>
      <c r="G148" s="253">
        <f>IFERROR(aurora_data!BE89,0)</f>
        <v>0</v>
      </c>
      <c r="H148" s="253">
        <f>IFERROR(aurora_data!BF89,0)</f>
        <v>0</v>
      </c>
      <c r="I148" s="253">
        <f>IFERROR(aurora_data!BG89,0)</f>
        <v>0</v>
      </c>
      <c r="J148" s="254">
        <f>IFERROR(aurora_data!BH89,0)</f>
        <v>0</v>
      </c>
      <c r="K148" s="113">
        <f>IFERROR(aurora_data!BI89,0)</f>
        <v>0</v>
      </c>
      <c r="L148" s="253">
        <f>IFERROR(aurora_data!BJ89,0)</f>
        <v>0</v>
      </c>
      <c r="M148" s="253">
        <f>IFERROR(aurora_data!BK89,0)</f>
        <v>0</v>
      </c>
      <c r="N148" s="253">
        <f>IFERROR(aurora_data!BL89,0)</f>
        <v>0</v>
      </c>
      <c r="O148" s="254">
        <f>IFERROR(aurora_data!BM89,0)</f>
        <v>0</v>
      </c>
      <c r="P148" s="113">
        <f>IFERROR(aurora_data!BN89,0)</f>
        <v>0</v>
      </c>
      <c r="Q148" s="253">
        <f>IFERROR(aurora_data!BO89,0)</f>
        <v>0</v>
      </c>
      <c r="R148" s="253">
        <f>IFERROR(aurora_data!BP89,0)</f>
        <v>0</v>
      </c>
      <c r="S148" s="254">
        <f>IFERROR(aurora_data!BQ89,0)</f>
        <v>0</v>
      </c>
      <c r="T148" s="253">
        <f>IFERROR(aurora_data!BR89,0)</f>
        <v>0</v>
      </c>
      <c r="U148" s="253">
        <f>IFERROR(aurora_data!BS89,0)</f>
        <v>0</v>
      </c>
      <c r="V148" s="254">
        <f>IFERROR(aurora_data!BT89,0)</f>
        <v>0</v>
      </c>
      <c r="W148" s="61" t="s">
        <v>354</v>
      </c>
      <c r="X148" s="113">
        <f>IFERROR(aurora_data!BU89,0)</f>
        <v>0</v>
      </c>
      <c r="Y148" s="255">
        <f t="shared" si="40"/>
        <v>0</v>
      </c>
    </row>
    <row r="149" spans="1:25" ht="16.5" thickBot="1">
      <c r="A149"/>
      <c r="B149"/>
      <c r="C149" s="452"/>
      <c r="D149" s="454"/>
      <c r="E149" s="37" t="s">
        <v>17</v>
      </c>
      <c r="F149" s="59">
        <f>IFERROR(aurora_data!BD90,0)</f>
        <v>10</v>
      </c>
      <c r="G149" s="64">
        <f>IFERROR(aurora_data!BE90,0)</f>
        <v>13</v>
      </c>
      <c r="H149" s="64">
        <f>IFERROR(aurora_data!BF90,0)</f>
        <v>44</v>
      </c>
      <c r="I149" s="64">
        <f>IFERROR(aurora_data!BG90,0)</f>
        <v>78</v>
      </c>
      <c r="J149" s="65">
        <f>IFERROR(aurora_data!BH90,0)</f>
        <v>89</v>
      </c>
      <c r="K149" s="59">
        <f>IFERROR(aurora_data!BI90,0)</f>
        <v>12</v>
      </c>
      <c r="L149" s="64">
        <f>IFERROR(aurora_data!BJ90,0)</f>
        <v>35</v>
      </c>
      <c r="M149" s="64">
        <f>IFERROR(aurora_data!BK90,0)</f>
        <v>56</v>
      </c>
      <c r="N149" s="64">
        <f>IFERROR(aurora_data!BL90,0)</f>
        <v>21</v>
      </c>
      <c r="O149" s="65">
        <f>IFERROR(aurora_data!BM90,0)</f>
        <v>110</v>
      </c>
      <c r="P149" s="59">
        <f>IFERROR(aurora_data!BN90,0)</f>
        <v>58</v>
      </c>
      <c r="Q149" s="64">
        <f>IFERROR(aurora_data!BO90,0)</f>
        <v>41</v>
      </c>
      <c r="R149" s="64">
        <f>IFERROR(aurora_data!BP90,0)</f>
        <v>69</v>
      </c>
      <c r="S149" s="65">
        <f>IFERROR(aurora_data!BQ90,0)</f>
        <v>66</v>
      </c>
      <c r="T149" s="64">
        <f>IFERROR(aurora_data!BR90,0)</f>
        <v>126</v>
      </c>
      <c r="U149" s="64">
        <f>IFERROR(aurora_data!BS90,0)</f>
        <v>108</v>
      </c>
      <c r="V149" s="65">
        <f>IFERROR(aurora_data!BT90,0)</f>
        <v>0</v>
      </c>
      <c r="W149" s="66" t="s">
        <v>354</v>
      </c>
      <c r="X149" s="59">
        <f>IFERROR(aurora_data!BU90,0)</f>
        <v>234</v>
      </c>
      <c r="Y149" s="70">
        <f t="shared" si="40"/>
        <v>1.17</v>
      </c>
    </row>
    <row r="150" spans="1:25" ht="16.5" thickBot="1">
      <c r="A150"/>
      <c r="B150"/>
      <c r="C150" s="452"/>
      <c r="D150" s="454"/>
      <c r="E150" s="38" t="s">
        <v>343</v>
      </c>
      <c r="F150" s="256">
        <f>IFERROR(aurora_data!BD91,0)</f>
        <v>0</v>
      </c>
      <c r="G150" s="257">
        <f>IFERROR(aurora_data!BE91,0)</f>
        <v>0</v>
      </c>
      <c r="H150" s="257">
        <f>IFERROR(aurora_data!BF91,0)</f>
        <v>1</v>
      </c>
      <c r="I150" s="257">
        <f>IFERROR(aurora_data!BG91,0)</f>
        <v>5</v>
      </c>
      <c r="J150" s="258">
        <f>IFERROR(aurora_data!BH91,0)</f>
        <v>2</v>
      </c>
      <c r="K150" s="256">
        <f>IFERROR(aurora_data!BI91,0)</f>
        <v>0</v>
      </c>
      <c r="L150" s="257">
        <f>IFERROR(aurora_data!BJ91,0)</f>
        <v>1</v>
      </c>
      <c r="M150" s="257">
        <f>IFERROR(aurora_data!BK91,0)</f>
        <v>0</v>
      </c>
      <c r="N150" s="257">
        <f>IFERROR(aurora_data!BL91,0)</f>
        <v>1</v>
      </c>
      <c r="O150" s="258">
        <f>IFERROR(aurora_data!BM91,0)</f>
        <v>6</v>
      </c>
      <c r="P150" s="256">
        <f>IFERROR(aurora_data!BN91,0)</f>
        <v>2</v>
      </c>
      <c r="Q150" s="257">
        <f>IFERROR(aurora_data!BO91,0)</f>
        <v>3</v>
      </c>
      <c r="R150" s="257">
        <f>IFERROR(aurora_data!BP91,0)</f>
        <v>3</v>
      </c>
      <c r="S150" s="258">
        <f>IFERROR(aurora_data!BQ91,0)</f>
        <v>0</v>
      </c>
      <c r="T150" s="257">
        <f>IFERROR(aurora_data!BR91,0)</f>
        <v>4</v>
      </c>
      <c r="U150" s="257">
        <f>IFERROR(aurora_data!BS91,0)</f>
        <v>4</v>
      </c>
      <c r="V150" s="259">
        <f>IFERROR(aurora_data!BT91,0)</f>
        <v>0</v>
      </c>
      <c r="W150" s="260" t="s">
        <v>354</v>
      </c>
      <c r="X150" s="256">
        <f>IFERROR(aurora_data!BU91,0)</f>
        <v>8</v>
      </c>
      <c r="Y150" s="261">
        <f t="shared" si="40"/>
        <v>0.04</v>
      </c>
    </row>
    <row r="151" spans="1:25" hidden="1" outlineLevel="1">
      <c r="A151"/>
      <c r="B151"/>
      <c r="C151" s="452"/>
      <c r="D151" s="454"/>
      <c r="E151" s="199" t="s">
        <v>344</v>
      </c>
      <c r="F151" s="271">
        <f>ROUNDDOWN((F153+$F$10)*($X143),0)</f>
        <v>12</v>
      </c>
      <c r="G151" s="272">
        <f>ROUNDDOWN((G153+$F$10)*($X143),0)</f>
        <v>16</v>
      </c>
      <c r="H151" s="272">
        <f>ROUNDDOWN((H153+$F$10)*($X143),0)</f>
        <v>44</v>
      </c>
      <c r="I151" s="272">
        <f>ROUNDDOWN((I153+$F$10)*($X143),0)</f>
        <v>67</v>
      </c>
      <c r="J151" s="272">
        <f>ROUNDDOWN((J153+$F$10)*($X143),0)</f>
        <v>79</v>
      </c>
      <c r="K151" s="271">
        <f>ROUNDDOWN((K153+$K$10)*($X143),0)</f>
        <v>17</v>
      </c>
      <c r="L151" s="272">
        <f>ROUNDDOWN((L153+$K$10)*($X143),0)</f>
        <v>34</v>
      </c>
      <c r="M151" s="272">
        <f>ROUNDDOWN((M153+$K$10)*($X143),0)</f>
        <v>56</v>
      </c>
      <c r="N151" s="272">
        <f>ROUNDDOWN((N153+$K$10)*($X143),0)</f>
        <v>25</v>
      </c>
      <c r="O151" s="268">
        <f>ROUNDDOWN((O153+$K$10)*($X143),0)</f>
        <v>106</v>
      </c>
      <c r="P151" s="271"/>
      <c r="Q151" s="272"/>
      <c r="R151" s="272"/>
      <c r="S151" s="268"/>
      <c r="T151" s="265"/>
      <c r="U151" s="272"/>
      <c r="V151" s="282"/>
      <c r="W151" s="61"/>
      <c r="X151" s="291"/>
      <c r="Y151" s="286"/>
    </row>
    <row r="152" spans="1:25" hidden="1" outlineLevel="1">
      <c r="A152"/>
      <c r="B152"/>
      <c r="C152" s="452"/>
      <c r="D152" s="454"/>
      <c r="E152" s="199" t="s">
        <v>345</v>
      </c>
      <c r="F152" s="276">
        <f>IF(ROUND(((F153-$F$10)*($X143))+0.25,0) &lt;=0,1,((F153-$F$10)*($X143))+0.25)</f>
        <v>4.3</v>
      </c>
      <c r="G152" s="277">
        <f>IF(ROUND(((G153-$F$10)*($X143))+0.25,0) &lt;=0,1,((G153-$F$10)*($X143))+0.25)</f>
        <v>9.07</v>
      </c>
      <c r="H152" s="277">
        <f>IF(ROUND(((H153-$F$10)*($X143))+0.25,0) &lt;=0,1,((H153-$F$10)*($X143))+0.25)</f>
        <v>36.700000000000003</v>
      </c>
      <c r="I152" s="277">
        <f>IF(ROUND(((I153-$F$10)*($X143))+0.25,0) &lt;=0,1,((I153-$F$10)*($X143))+0.25)</f>
        <v>59.36</v>
      </c>
      <c r="J152" s="277">
        <f>IF(ROUND(((J153-$F$10)*($X143))+0.25,0) &lt;=0,1,((J153-$F$10)*($X143))+0.25)</f>
        <v>71.819999999999993</v>
      </c>
      <c r="K152" s="276">
        <f>IF(ROUND(((K153-$K$10)*($X143))+0.25,0) &lt;=0,1,((K153-$K$10)*($X143))+0.25)</f>
        <v>1.7300000000000009</v>
      </c>
      <c r="L152" s="277">
        <f>IF(ROUND(((L153-$K$10)*($X143))+0.25,0) &lt;=0,1,((L153-$K$10)*($X143))+0.25)</f>
        <v>18.429999999999996</v>
      </c>
      <c r="M152" s="277">
        <f>IF(ROUND(((M153-$K$10)*($X143))+0.25,0) &lt;=0,1,((M153-$K$10)*($X143))+0.25)</f>
        <v>41.16</v>
      </c>
      <c r="N152" s="277">
        <f>IF(ROUND(((N153-$K$10)*($X143))+0.25,0) &lt;=0,1,((N153-$K$10)*($X143))+0.25)</f>
        <v>9.5699999999999985</v>
      </c>
      <c r="O152" s="278">
        <f>IF(ROUND(((O153-$K$10)*($X143))+0.25,0) &lt;=0,1,((O153-$K$10)*($X143))+0.25)</f>
        <v>90.37</v>
      </c>
      <c r="P152" s="276"/>
      <c r="Q152" s="277"/>
      <c r="R152" s="277"/>
      <c r="S152" s="278"/>
      <c r="T152" s="276"/>
      <c r="U152" s="277"/>
      <c r="V152" s="287"/>
      <c r="W152" s="61"/>
      <c r="X152" s="285"/>
      <c r="Y152" s="287"/>
    </row>
    <row r="153" spans="1:25" hidden="1" outlineLevel="1">
      <c r="A153"/>
      <c r="B153"/>
      <c r="C153" s="452"/>
      <c r="D153" s="454"/>
      <c r="E153" s="95" t="s">
        <v>346</v>
      </c>
      <c r="F153" s="414">
        <f t="shared" ref="F153:O153" si="41">IFERROR(F143/$X143,0)</f>
        <v>4.0250000000000001E-2</v>
      </c>
      <c r="G153" s="415">
        <f t="shared" si="41"/>
        <v>6.4100000000000004E-2</v>
      </c>
      <c r="H153" s="415">
        <f t="shared" si="41"/>
        <v>0.20225000000000001</v>
      </c>
      <c r="I153" s="415">
        <f t="shared" si="41"/>
        <v>0.31555</v>
      </c>
      <c r="J153" s="415">
        <f t="shared" si="41"/>
        <v>0.37784999999999996</v>
      </c>
      <c r="K153" s="414">
        <f t="shared" si="41"/>
        <v>4.7400000000000005E-2</v>
      </c>
      <c r="L153" s="415">
        <f t="shared" si="41"/>
        <v>0.13089999999999999</v>
      </c>
      <c r="M153" s="415">
        <f t="shared" si="41"/>
        <v>0.24454999999999999</v>
      </c>
      <c r="N153" s="415">
        <f t="shared" si="41"/>
        <v>8.6599999999999996E-2</v>
      </c>
      <c r="O153" s="416">
        <f t="shared" si="41"/>
        <v>0.49060000000000004</v>
      </c>
      <c r="P153" s="414"/>
      <c r="Q153" s="415"/>
      <c r="R153" s="415"/>
      <c r="S153" s="416"/>
      <c r="T153" s="414"/>
      <c r="U153" s="415"/>
      <c r="V153" s="254"/>
      <c r="W153" s="61"/>
      <c r="X153" s="113"/>
      <c r="Y153" s="431"/>
    </row>
    <row r="154" spans="1:25" hidden="1" outlineLevel="1">
      <c r="A154"/>
      <c r="B154"/>
      <c r="C154" s="452"/>
      <c r="D154" s="454"/>
      <c r="E154" s="180" t="s">
        <v>347</v>
      </c>
      <c r="F154" s="414">
        <f t="shared" ref="F154:O154" si="42">IFERROR(F144/$X143,0)</f>
        <v>3.5000000000000003E-2</v>
      </c>
      <c r="G154" s="415">
        <f t="shared" si="42"/>
        <v>0.06</v>
      </c>
      <c r="H154" s="415">
        <f t="shared" si="42"/>
        <v>0.185</v>
      </c>
      <c r="I154" s="415">
        <f t="shared" si="42"/>
        <v>0.31</v>
      </c>
      <c r="J154" s="415">
        <f t="shared" si="42"/>
        <v>0.38</v>
      </c>
      <c r="K154" s="414">
        <f t="shared" si="42"/>
        <v>0.04</v>
      </c>
      <c r="L154" s="415">
        <f t="shared" si="42"/>
        <v>0.13</v>
      </c>
      <c r="M154" s="415">
        <f t="shared" si="42"/>
        <v>0.24</v>
      </c>
      <c r="N154" s="415">
        <f t="shared" si="42"/>
        <v>8.5000000000000006E-2</v>
      </c>
      <c r="O154" s="416">
        <f t="shared" si="42"/>
        <v>0.47499999999999998</v>
      </c>
      <c r="P154" s="414"/>
      <c r="Q154" s="415"/>
      <c r="R154" s="415"/>
      <c r="S154" s="416"/>
      <c r="T154" s="414"/>
      <c r="U154" s="415"/>
      <c r="V154" s="254"/>
      <c r="W154" s="61"/>
      <c r="X154" s="113"/>
      <c r="Y154" s="431"/>
    </row>
    <row r="155" spans="1:25" ht="16.5" hidden="1" outlineLevel="1" thickBot="1">
      <c r="A155"/>
      <c r="B155"/>
      <c r="C155" s="456"/>
      <c r="D155" s="455"/>
      <c r="E155" s="180" t="s">
        <v>348</v>
      </c>
      <c r="F155" s="414">
        <f t="shared" ref="F155:O155" si="43">F154-F153</f>
        <v>-5.2499999999999977E-3</v>
      </c>
      <c r="G155" s="415">
        <f t="shared" si="43"/>
        <v>-4.1000000000000064E-3</v>
      </c>
      <c r="H155" s="415">
        <f t="shared" si="43"/>
        <v>-1.7250000000000015E-2</v>
      </c>
      <c r="I155" s="415">
        <f t="shared" si="43"/>
        <v>-5.5499999999999994E-3</v>
      </c>
      <c r="J155" s="415">
        <f t="shared" si="43"/>
        <v>2.1500000000000408E-3</v>
      </c>
      <c r="K155" s="414">
        <f t="shared" si="43"/>
        <v>-7.4000000000000038E-3</v>
      </c>
      <c r="L155" s="415">
        <f t="shared" si="43"/>
        <v>-8.9999999999998415E-4</v>
      </c>
      <c r="M155" s="415">
        <f t="shared" si="43"/>
        <v>-4.5499999999999985E-3</v>
      </c>
      <c r="N155" s="415">
        <f t="shared" si="43"/>
        <v>-1.5999999999999903E-3</v>
      </c>
      <c r="O155" s="416">
        <f t="shared" si="43"/>
        <v>-1.5600000000000058E-2</v>
      </c>
      <c r="P155" s="414"/>
      <c r="Q155" s="415"/>
      <c r="R155" s="415"/>
      <c r="S155" s="416"/>
      <c r="T155" s="432"/>
      <c r="U155" s="415"/>
      <c r="V155" s="254"/>
      <c r="W155" s="61"/>
      <c r="X155" s="113"/>
      <c r="Y155" s="431"/>
    </row>
    <row r="156" spans="1:25" collapsed="1">
      <c r="A156"/>
      <c r="B156"/>
      <c r="C156" s="447" t="s">
        <v>338</v>
      </c>
      <c r="D156" s="449" t="s">
        <v>150</v>
      </c>
      <c r="E156" s="34" t="s">
        <v>306</v>
      </c>
      <c r="F156" s="39">
        <f>IFERROR(aurora_data!BD92,0)</f>
        <v>73.459999999999994</v>
      </c>
      <c r="G156" s="40">
        <f>IFERROR(aurora_data!BE92,0)</f>
        <v>129.72999999999999</v>
      </c>
      <c r="H156" s="40">
        <f>IFERROR(aurora_data!BF92,0)</f>
        <v>439.01</v>
      </c>
      <c r="I156" s="40">
        <f>IFERROR(aurora_data!BG92,0)</f>
        <v>702.43</v>
      </c>
      <c r="J156" s="41">
        <f>IFERROR(aurora_data!BH92,0)</f>
        <v>855.38</v>
      </c>
      <c r="K156" s="39">
        <f>IFERROR(aurora_data!BI92,0)</f>
        <v>110.68</v>
      </c>
      <c r="L156" s="40">
        <f>IFERROR(aurora_data!BJ92,0)</f>
        <v>280.06</v>
      </c>
      <c r="M156" s="40">
        <f>IFERROR(aurora_data!BK92,0)</f>
        <v>544.9</v>
      </c>
      <c r="N156" s="40">
        <f>IFERROR(aurora_data!BL92,0)</f>
        <v>208.88</v>
      </c>
      <c r="O156" s="41">
        <f>IFERROR(aurora_data!BM92,0)</f>
        <v>1055.46</v>
      </c>
      <c r="P156" s="39">
        <f>IFERROR(aurora_data!BN92,0)</f>
        <v>464.46</v>
      </c>
      <c r="Q156" s="40">
        <f>IFERROR(aurora_data!BO92,0)</f>
        <v>342.09</v>
      </c>
      <c r="R156" s="40">
        <f>IFERROR(aurora_data!BP92,0)</f>
        <v>873.93</v>
      </c>
      <c r="S156" s="41">
        <f>IFERROR(aurora_data!BQ92,0)</f>
        <v>519.53</v>
      </c>
      <c r="T156" s="40">
        <f>IFERROR(aurora_data!BR92,0)</f>
        <v>1100</v>
      </c>
      <c r="U156" s="40">
        <f>IFERROR(aurora_data!BS92,0)</f>
        <v>1100</v>
      </c>
      <c r="V156" s="41">
        <f>IFERROR(aurora_data!BT92,0)</f>
        <v>0</v>
      </c>
      <c r="W156" s="61" t="s">
        <v>354</v>
      </c>
      <c r="X156" s="39">
        <f>IFERROR(aurora_data!BU92,0)</f>
        <v>2200</v>
      </c>
      <c r="Y156" s="69">
        <f t="shared" ref="Y156:Y163" si="44">IFERROR(X156/$X$156,0)</f>
        <v>1</v>
      </c>
    </row>
    <row r="157" spans="1:25">
      <c r="A157"/>
      <c r="B157"/>
      <c r="C157" s="448"/>
      <c r="D157" s="450"/>
      <c r="E157" s="35" t="s">
        <v>339</v>
      </c>
      <c r="F157" s="113">
        <f>IFERROR(aurora_data!BD93,0)</f>
        <v>65</v>
      </c>
      <c r="G157" s="253">
        <f>IFERROR(aurora_data!BE93,0)</f>
        <v>117</v>
      </c>
      <c r="H157" s="253">
        <f>IFERROR(aurora_data!BF93,0)</f>
        <v>414</v>
      </c>
      <c r="I157" s="253">
        <f>IFERROR(aurora_data!BG93,0)</f>
        <v>700</v>
      </c>
      <c r="J157" s="254">
        <f>IFERROR(aurora_data!BH93,0)</f>
        <v>853</v>
      </c>
      <c r="K157" s="113">
        <f>IFERROR(aurora_data!BI93,0)</f>
        <v>106</v>
      </c>
      <c r="L157" s="253">
        <f>IFERROR(aurora_data!BJ93,0)</f>
        <v>281</v>
      </c>
      <c r="M157" s="253">
        <f>IFERROR(aurora_data!BK93,0)</f>
        <v>530</v>
      </c>
      <c r="N157" s="253">
        <f>IFERROR(aurora_data!BL93,0)</f>
        <v>201</v>
      </c>
      <c r="O157" s="254">
        <f>IFERROR(aurora_data!BM93,0)</f>
        <v>1031</v>
      </c>
      <c r="P157" s="113">
        <f>IFERROR(aurora_data!BN93,0)</f>
        <v>531</v>
      </c>
      <c r="Q157" s="253">
        <f>IFERROR(aurora_data!BO93,0)</f>
        <v>373</v>
      </c>
      <c r="R157" s="253">
        <f>IFERROR(aurora_data!BP93,0)</f>
        <v>759</v>
      </c>
      <c r="S157" s="254">
        <f>IFERROR(aurora_data!BQ93,0)</f>
        <v>486</v>
      </c>
      <c r="T157" s="253">
        <f>IFERROR(aurora_data!BR93,0)</f>
        <v>1081</v>
      </c>
      <c r="U157" s="253">
        <f>IFERROR(aurora_data!BS93,0)</f>
        <v>1068</v>
      </c>
      <c r="V157" s="254">
        <f>IFERROR(aurora_data!BT93,0)</f>
        <v>0</v>
      </c>
      <c r="W157" s="61" t="s">
        <v>354</v>
      </c>
      <c r="X157" s="113">
        <f>IFERROR(aurora_data!BU93,0)</f>
        <v>2149</v>
      </c>
      <c r="Y157" s="255">
        <f t="shared" si="44"/>
        <v>0.97681818181818181</v>
      </c>
    </row>
    <row r="158" spans="1:25">
      <c r="A158"/>
      <c r="B158"/>
      <c r="C158" s="448"/>
      <c r="D158" s="450"/>
      <c r="E158" s="35" t="s">
        <v>291</v>
      </c>
      <c r="F158" s="113">
        <f>IFERROR(aurora_data!BD94,0)</f>
        <v>24</v>
      </c>
      <c r="G158" s="253">
        <f>IFERROR(aurora_data!BE94,0)</f>
        <v>19</v>
      </c>
      <c r="H158" s="253">
        <f>IFERROR(aurora_data!BF94,0)</f>
        <v>38</v>
      </c>
      <c r="I158" s="253">
        <f>IFERROR(aurora_data!BG94,0)</f>
        <v>90</v>
      </c>
      <c r="J158" s="254">
        <f>IFERROR(aurora_data!BH94,0)</f>
        <v>126</v>
      </c>
      <c r="K158" s="113">
        <f>IFERROR(aurora_data!BI94,0)</f>
        <v>22</v>
      </c>
      <c r="L158" s="253">
        <f>IFERROR(aurora_data!BJ94,0)</f>
        <v>62</v>
      </c>
      <c r="M158" s="253">
        <f>IFERROR(aurora_data!BK94,0)</f>
        <v>60</v>
      </c>
      <c r="N158" s="253">
        <f>IFERROR(aurora_data!BL94,0)</f>
        <v>45</v>
      </c>
      <c r="O158" s="254">
        <f>IFERROR(aurora_data!BM94,0)</f>
        <v>108</v>
      </c>
      <c r="P158" s="113">
        <f>IFERROR(aurora_data!BN94,0)</f>
        <v>144</v>
      </c>
      <c r="Q158" s="253">
        <f>IFERROR(aurora_data!BO94,0)</f>
        <v>60</v>
      </c>
      <c r="R158" s="253">
        <f>IFERROR(aurora_data!BP94,0)</f>
        <v>31</v>
      </c>
      <c r="S158" s="254">
        <f>IFERROR(aurora_data!BQ94,0)</f>
        <v>62</v>
      </c>
      <c r="T158" s="253">
        <f>IFERROR(aurora_data!BR94,0)</f>
        <v>190</v>
      </c>
      <c r="U158" s="253">
        <f>IFERROR(aurora_data!BS94,0)</f>
        <v>107</v>
      </c>
      <c r="V158" s="254">
        <f>IFERROR(aurora_data!BT94,0)</f>
        <v>0</v>
      </c>
      <c r="W158" s="61" t="s">
        <v>354</v>
      </c>
      <c r="X158" s="113">
        <f>IFERROR(aurora_data!BU94,0)</f>
        <v>297</v>
      </c>
      <c r="Y158" s="255">
        <f t="shared" si="44"/>
        <v>0.13500000000000001</v>
      </c>
    </row>
    <row r="159" spans="1:25">
      <c r="A159"/>
      <c r="B159"/>
      <c r="C159" s="448"/>
      <c r="D159" s="450"/>
      <c r="E159" s="35" t="s">
        <v>340</v>
      </c>
      <c r="F159" s="113">
        <f>IFERROR(aurora_data!BD95,0)</f>
        <v>1</v>
      </c>
      <c r="G159" s="253">
        <f>IFERROR(aurora_data!BE95,0)</f>
        <v>0</v>
      </c>
      <c r="H159" s="253">
        <f>IFERROR(aurora_data!BF95,0)</f>
        <v>3</v>
      </c>
      <c r="I159" s="253">
        <f>IFERROR(aurora_data!BG95,0)</f>
        <v>1</v>
      </c>
      <c r="J159" s="254">
        <f>IFERROR(aurora_data!BH95,0)</f>
        <v>1</v>
      </c>
      <c r="K159" s="113">
        <f>IFERROR(aurora_data!BI95,0)</f>
        <v>1</v>
      </c>
      <c r="L159" s="253">
        <f>IFERROR(aurora_data!BJ95,0)</f>
        <v>0</v>
      </c>
      <c r="M159" s="253">
        <f>IFERROR(aurora_data!BK95,0)</f>
        <v>4</v>
      </c>
      <c r="N159" s="253">
        <f>IFERROR(aurora_data!BL95,0)</f>
        <v>0</v>
      </c>
      <c r="O159" s="254">
        <f>IFERROR(aurora_data!BM95,0)</f>
        <v>1</v>
      </c>
      <c r="P159" s="113">
        <f>IFERROR(aurora_data!BN95,0)</f>
        <v>1</v>
      </c>
      <c r="Q159" s="253">
        <f>IFERROR(aurora_data!BO95,0)</f>
        <v>3</v>
      </c>
      <c r="R159" s="253">
        <f>IFERROR(aurora_data!BP95,0)</f>
        <v>0</v>
      </c>
      <c r="S159" s="254">
        <f>IFERROR(aurora_data!BQ95,0)</f>
        <v>2</v>
      </c>
      <c r="T159" s="253">
        <f>IFERROR(aurora_data!BR95,0)</f>
        <v>1</v>
      </c>
      <c r="U159" s="253">
        <f>IFERROR(aurora_data!BS95,0)</f>
        <v>5</v>
      </c>
      <c r="V159" s="254">
        <f>IFERROR(aurora_data!BT95,0)</f>
        <v>0</v>
      </c>
      <c r="W159" s="61" t="s">
        <v>354</v>
      </c>
      <c r="X159" s="113">
        <f>IFERROR(aurora_data!BU95,0)</f>
        <v>6</v>
      </c>
      <c r="Y159" s="255">
        <f t="shared" si="44"/>
        <v>2.7272727272727275E-3</v>
      </c>
    </row>
    <row r="160" spans="1:25">
      <c r="A160"/>
      <c r="B160"/>
      <c r="C160" s="448"/>
      <c r="D160" s="450"/>
      <c r="E160" s="35" t="s">
        <v>341</v>
      </c>
      <c r="F160" s="113">
        <f>IFERROR(aurora_data!BD96,0)</f>
        <v>11</v>
      </c>
      <c r="G160" s="253">
        <f>IFERROR(aurora_data!BE96,0)</f>
        <v>10</v>
      </c>
      <c r="H160" s="253">
        <f>IFERROR(aurora_data!BF96,0)</f>
        <v>27</v>
      </c>
      <c r="I160" s="253">
        <f>IFERROR(aurora_data!BG96,0)</f>
        <v>11</v>
      </c>
      <c r="J160" s="254">
        <f>IFERROR(aurora_data!BH96,0)</f>
        <v>2</v>
      </c>
      <c r="K160" s="113">
        <f>IFERROR(aurora_data!BI96,0)</f>
        <v>4</v>
      </c>
      <c r="L160" s="253">
        <f>IFERROR(aurora_data!BJ96,0)</f>
        <v>9</v>
      </c>
      <c r="M160" s="253">
        <f>IFERROR(aurora_data!BK96,0)</f>
        <v>17</v>
      </c>
      <c r="N160" s="253">
        <f>IFERROR(aurora_data!BL96,0)</f>
        <v>8</v>
      </c>
      <c r="O160" s="254">
        <f>IFERROR(aurora_data!BM96,0)</f>
        <v>23</v>
      </c>
      <c r="P160" s="113">
        <f>IFERROR(aurora_data!BN96,0)</f>
        <v>14</v>
      </c>
      <c r="Q160" s="253">
        <f>IFERROR(aurora_data!BO96,0)</f>
        <v>18</v>
      </c>
      <c r="R160" s="253">
        <f>IFERROR(aurora_data!BP96,0)</f>
        <v>20</v>
      </c>
      <c r="S160" s="254">
        <f>IFERROR(aurora_data!BQ96,0)</f>
        <v>9</v>
      </c>
      <c r="T160" s="253">
        <f>IFERROR(aurora_data!BR96,0)</f>
        <v>28</v>
      </c>
      <c r="U160" s="253">
        <f>IFERROR(aurora_data!BS96,0)</f>
        <v>33</v>
      </c>
      <c r="V160" s="254">
        <f>IFERROR(aurora_data!BT96,0)</f>
        <v>0</v>
      </c>
      <c r="W160" s="61" t="s">
        <v>354</v>
      </c>
      <c r="X160" s="113">
        <f>IFERROR(aurora_data!BU96,0)</f>
        <v>61</v>
      </c>
      <c r="Y160" s="255">
        <f t="shared" si="44"/>
        <v>2.7727272727272729E-2</v>
      </c>
    </row>
    <row r="161" spans="1:25" ht="16.5" thickBot="1">
      <c r="A161"/>
      <c r="B161"/>
      <c r="C161" s="448"/>
      <c r="D161" s="450"/>
      <c r="E161" s="35" t="s">
        <v>342</v>
      </c>
      <c r="F161" s="113">
        <f>IFERROR(aurora_data!BD97,0)</f>
        <v>0</v>
      </c>
      <c r="G161" s="253">
        <f>IFERROR(aurora_data!BE97,0)</f>
        <v>1</v>
      </c>
      <c r="H161" s="253">
        <f>IFERROR(aurora_data!BF97,0)</f>
        <v>2</v>
      </c>
      <c r="I161" s="253">
        <f>IFERROR(aurora_data!BG97,0)</f>
        <v>1</v>
      </c>
      <c r="J161" s="254">
        <f>IFERROR(aurora_data!BH97,0)</f>
        <v>6</v>
      </c>
      <c r="K161" s="113">
        <f>IFERROR(aurora_data!BI97,0)</f>
        <v>2</v>
      </c>
      <c r="L161" s="253">
        <f>IFERROR(aurora_data!BJ97,0)</f>
        <v>0</v>
      </c>
      <c r="M161" s="253">
        <f>IFERROR(aurora_data!BK97,0)</f>
        <v>1</v>
      </c>
      <c r="N161" s="253">
        <f>IFERROR(aurora_data!BL97,0)</f>
        <v>4</v>
      </c>
      <c r="O161" s="254">
        <f>IFERROR(aurora_data!BM97,0)</f>
        <v>3</v>
      </c>
      <c r="P161" s="113">
        <f>IFERROR(aurora_data!BN97,0)</f>
        <v>4</v>
      </c>
      <c r="Q161" s="253">
        <f>IFERROR(aurora_data!BO97,0)</f>
        <v>1</v>
      </c>
      <c r="R161" s="253">
        <f>IFERROR(aurora_data!BP97,0)</f>
        <v>3</v>
      </c>
      <c r="S161" s="254">
        <f>IFERROR(aurora_data!BQ97,0)</f>
        <v>2</v>
      </c>
      <c r="T161" s="253">
        <f>IFERROR(aurora_data!BR97,0)</f>
        <v>4</v>
      </c>
      <c r="U161" s="253">
        <f>IFERROR(aurora_data!BS97,0)</f>
        <v>6</v>
      </c>
      <c r="V161" s="254">
        <f>IFERROR(aurora_data!BT97,0)</f>
        <v>0</v>
      </c>
      <c r="W161" s="61" t="s">
        <v>354</v>
      </c>
      <c r="X161" s="113">
        <f>IFERROR(aurora_data!BU97,0)</f>
        <v>10</v>
      </c>
      <c r="Y161" s="255">
        <f t="shared" si="44"/>
        <v>4.5454545454545452E-3</v>
      </c>
    </row>
    <row r="162" spans="1:25" ht="16.5" thickBot="1">
      <c r="A162"/>
      <c r="B162"/>
      <c r="C162" s="448"/>
      <c r="D162" s="450"/>
      <c r="E162" s="37" t="s">
        <v>17</v>
      </c>
      <c r="F162" s="59">
        <f>IFERROR(aurora_data!BD98,0)</f>
        <v>101</v>
      </c>
      <c r="G162" s="64">
        <f>IFERROR(aurora_data!BE98,0)</f>
        <v>147</v>
      </c>
      <c r="H162" s="64">
        <f>IFERROR(aurora_data!BF98,0)</f>
        <v>484</v>
      </c>
      <c r="I162" s="64">
        <f>IFERROR(aurora_data!BG98,0)</f>
        <v>803</v>
      </c>
      <c r="J162" s="65">
        <f>IFERROR(aurora_data!BH98,0)</f>
        <v>988</v>
      </c>
      <c r="K162" s="59">
        <f>IFERROR(aurora_data!BI98,0)</f>
        <v>135</v>
      </c>
      <c r="L162" s="64">
        <f>IFERROR(aurora_data!BJ98,0)</f>
        <v>352</v>
      </c>
      <c r="M162" s="64">
        <f>IFERROR(aurora_data!BK98,0)</f>
        <v>612</v>
      </c>
      <c r="N162" s="64">
        <f>IFERROR(aurora_data!BL98,0)</f>
        <v>258</v>
      </c>
      <c r="O162" s="65">
        <f>IFERROR(aurora_data!BM98,0)</f>
        <v>1166</v>
      </c>
      <c r="P162" s="59">
        <f>IFERROR(aurora_data!BN98,0)</f>
        <v>694</v>
      </c>
      <c r="Q162" s="64">
        <f>IFERROR(aurora_data!BO98,0)</f>
        <v>455</v>
      </c>
      <c r="R162" s="64">
        <f>IFERROR(aurora_data!BP98,0)</f>
        <v>813</v>
      </c>
      <c r="S162" s="65">
        <f>IFERROR(aurora_data!BQ98,0)</f>
        <v>561</v>
      </c>
      <c r="T162" s="64">
        <f>IFERROR(aurora_data!BR98,0)</f>
        <v>1304</v>
      </c>
      <c r="U162" s="64">
        <f>IFERROR(aurora_data!BS98,0)</f>
        <v>1219</v>
      </c>
      <c r="V162" s="65">
        <f>IFERROR(aurora_data!BT98,0)</f>
        <v>0</v>
      </c>
      <c r="W162" s="66" t="s">
        <v>354</v>
      </c>
      <c r="X162" s="59">
        <f>IFERROR(aurora_data!BU98,0)</f>
        <v>2523</v>
      </c>
      <c r="Y162" s="70">
        <f t="shared" si="44"/>
        <v>1.1468181818181817</v>
      </c>
    </row>
    <row r="163" spans="1:25" ht="16.5" thickBot="1">
      <c r="A163"/>
      <c r="B163"/>
      <c r="C163" s="448"/>
      <c r="D163" s="450"/>
      <c r="E163" s="38" t="s">
        <v>343</v>
      </c>
      <c r="F163" s="256">
        <f>IFERROR(aurora_data!BD99,0)</f>
        <v>2</v>
      </c>
      <c r="G163" s="257">
        <f>IFERROR(aurora_data!BE99,0)</f>
        <v>5</v>
      </c>
      <c r="H163" s="257">
        <f>IFERROR(aurora_data!BF99,0)</f>
        <v>19</v>
      </c>
      <c r="I163" s="257">
        <f>IFERROR(aurora_data!BG99,0)</f>
        <v>24</v>
      </c>
      <c r="J163" s="258">
        <f>IFERROR(aurora_data!BH99,0)</f>
        <v>29</v>
      </c>
      <c r="K163" s="256">
        <f>IFERROR(aurora_data!BI99,0)</f>
        <v>4</v>
      </c>
      <c r="L163" s="257">
        <f>IFERROR(aurora_data!BJ99,0)</f>
        <v>7</v>
      </c>
      <c r="M163" s="257">
        <f>IFERROR(aurora_data!BK99,0)</f>
        <v>19</v>
      </c>
      <c r="N163" s="257">
        <f>IFERROR(aurora_data!BL99,0)</f>
        <v>10</v>
      </c>
      <c r="O163" s="258">
        <f>IFERROR(aurora_data!BM99,0)</f>
        <v>39</v>
      </c>
      <c r="P163" s="256">
        <f>IFERROR(aurora_data!BN99,0)</f>
        <v>13</v>
      </c>
      <c r="Q163" s="257">
        <f>IFERROR(aurora_data!BO99,0)</f>
        <v>21</v>
      </c>
      <c r="R163" s="257">
        <f>IFERROR(aurora_data!BP99,0)</f>
        <v>37</v>
      </c>
      <c r="S163" s="258">
        <f>IFERROR(aurora_data!BQ99,0)</f>
        <v>8</v>
      </c>
      <c r="T163" s="257">
        <f>IFERROR(aurora_data!BR99,0)</f>
        <v>36</v>
      </c>
      <c r="U163" s="257">
        <f>IFERROR(aurora_data!BS99,0)</f>
        <v>43</v>
      </c>
      <c r="V163" s="259">
        <f>IFERROR(aurora_data!BT99,0)</f>
        <v>0</v>
      </c>
      <c r="W163" s="260" t="s">
        <v>354</v>
      </c>
      <c r="X163" s="256">
        <f>IFERROR(aurora_data!BU99,0)</f>
        <v>79</v>
      </c>
      <c r="Y163" s="261">
        <f t="shared" si="44"/>
        <v>3.5909090909090911E-2</v>
      </c>
    </row>
    <row r="164" spans="1:25" hidden="1" outlineLevel="1">
      <c r="A164"/>
      <c r="B164"/>
      <c r="C164" s="448"/>
      <c r="D164" s="450"/>
      <c r="E164" s="199" t="s">
        <v>344</v>
      </c>
      <c r="F164" s="186">
        <f>ROUNDDOWN((F166+$F$10)*($X156),0)</f>
        <v>117</v>
      </c>
      <c r="G164" s="187">
        <f>ROUNDDOWN((G166+$F$10)*($X156),0)</f>
        <v>173</v>
      </c>
      <c r="H164" s="187">
        <f>ROUNDDOWN((H166+$F$10)*($X156),0)</f>
        <v>483</v>
      </c>
      <c r="I164" s="187">
        <f>ROUNDDOWN((I166+$F$10)*($X156),0)</f>
        <v>746</v>
      </c>
      <c r="J164" s="187">
        <f>ROUNDDOWN((J166+$F$10)*($X156),0)</f>
        <v>899</v>
      </c>
      <c r="K164" s="186">
        <f>ROUNDDOWN((K166+$K$10)*($X156),0)</f>
        <v>198</v>
      </c>
      <c r="L164" s="187">
        <f>ROUNDDOWN((L166+$K$10)*($X156),0)</f>
        <v>368</v>
      </c>
      <c r="M164" s="187">
        <f>ROUNDDOWN((M166+$K$10)*($X156),0)</f>
        <v>632</v>
      </c>
      <c r="N164" s="187">
        <f>ROUNDDOWN((N166+$K$10)*($X156),0)</f>
        <v>296</v>
      </c>
      <c r="O164" s="188">
        <f>ROUNDDOWN((O166+$K$10)*($X156),0)</f>
        <v>1143</v>
      </c>
      <c r="P164" s="186"/>
      <c r="Q164" s="187"/>
      <c r="R164" s="187"/>
      <c r="S164" s="188"/>
      <c r="T164" s="185"/>
      <c r="U164" s="187"/>
      <c r="V164" s="212"/>
      <c r="W164" s="63"/>
      <c r="X164" s="213"/>
      <c r="Y164" s="210"/>
    </row>
    <row r="165" spans="1:25" hidden="1" outlineLevel="1">
      <c r="A165"/>
      <c r="B165"/>
      <c r="C165" s="448"/>
      <c r="D165" s="450"/>
      <c r="E165" s="199" t="s">
        <v>345</v>
      </c>
      <c r="F165" s="189">
        <f>IF(ROUND(((F166-$F$10)*($X156))+0.25,0) &lt;=0,1,((F166-$F$10)*($X156))+0.25)</f>
        <v>29.709999999999994</v>
      </c>
      <c r="G165" s="190">
        <f>IF(ROUND(((G166-$F$10)*($X156))+0.25,0) &lt;=0,1,((G166-$F$10)*($X156))+0.25)</f>
        <v>85.98</v>
      </c>
      <c r="H165" s="190">
        <f>IF(ROUND(((H166-$F$10)*($X156))+0.25,0) &lt;=0,1,((H166-$F$10)*($X156))+0.25)</f>
        <v>395.26000000000005</v>
      </c>
      <c r="I165" s="190">
        <f>IF(ROUND(((I166-$F$10)*($X156))+0.25,0) &lt;=0,1,((I166-$F$10)*($X156))+0.25)</f>
        <v>658.67999999999984</v>
      </c>
      <c r="J165" s="190">
        <f>IF(ROUND(((J166-$F$10)*($X156))+0.25,0) &lt;=0,1,((J166-$F$10)*($X156))+0.25)</f>
        <v>811.62999999999988</v>
      </c>
      <c r="K165" s="189">
        <f>IF(ROUND(((K166-$K$10)*($X156))+0.25,0) &lt;=0,1,((K166-$K$10)*($X156))+0.25)</f>
        <v>22.93000000000001</v>
      </c>
      <c r="L165" s="190">
        <f>IF(ROUND(((L166-$K$10)*($X156))+0.25,0) &lt;=0,1,((L166-$K$10)*($X156))+0.25)</f>
        <v>192.30999999999997</v>
      </c>
      <c r="M165" s="190">
        <f>IF(ROUND(((M166-$K$10)*($X156))+0.25,0) &lt;=0,1,((M166-$K$10)*($X156))+0.25)</f>
        <v>457.15</v>
      </c>
      <c r="N165" s="190">
        <f>IF(ROUND(((N166-$K$10)*($X156))+0.25,0) &lt;=0,1,((N166-$K$10)*($X156))+0.25)</f>
        <v>121.13</v>
      </c>
      <c r="O165" s="191">
        <f>IF(ROUND(((O166-$K$10)*($X156))+0.25,0) &lt;=0,1,((O166-$K$10)*($X156))+0.25)</f>
        <v>967.71000000000015</v>
      </c>
      <c r="P165" s="189"/>
      <c r="Q165" s="190"/>
      <c r="R165" s="190"/>
      <c r="S165" s="191"/>
      <c r="T165" s="189"/>
      <c r="U165" s="190"/>
      <c r="V165" s="211"/>
      <c r="W165" s="63"/>
      <c r="X165" s="214"/>
      <c r="Y165" s="211"/>
    </row>
    <row r="166" spans="1:25" hidden="1" outlineLevel="1">
      <c r="A166"/>
      <c r="B166"/>
      <c r="C166" s="448"/>
      <c r="D166" s="450"/>
      <c r="E166" s="95" t="s">
        <v>346</v>
      </c>
      <c r="F166" s="159">
        <f t="shared" ref="F166:O166" si="45">IFERROR(F156/$X156,0)</f>
        <v>3.3390909090909089E-2</v>
      </c>
      <c r="G166" s="160">
        <f t="shared" si="45"/>
        <v>5.8968181818181815E-2</v>
      </c>
      <c r="H166" s="160">
        <f t="shared" si="45"/>
        <v>0.19955000000000001</v>
      </c>
      <c r="I166" s="160">
        <f t="shared" si="45"/>
        <v>0.31928636363636359</v>
      </c>
      <c r="J166" s="160">
        <f t="shared" si="45"/>
        <v>0.38880909090909088</v>
      </c>
      <c r="K166" s="159">
        <f t="shared" si="45"/>
        <v>5.0309090909090914E-2</v>
      </c>
      <c r="L166" s="160">
        <f t="shared" si="45"/>
        <v>0.1273</v>
      </c>
      <c r="M166" s="160">
        <f t="shared" si="45"/>
        <v>0.24768181818181817</v>
      </c>
      <c r="N166" s="160">
        <f t="shared" si="45"/>
        <v>9.4945454545454541E-2</v>
      </c>
      <c r="O166" s="161">
        <f t="shared" si="45"/>
        <v>0.47975454545454549</v>
      </c>
      <c r="P166" s="159"/>
      <c r="Q166" s="160"/>
      <c r="R166" s="160"/>
      <c r="S166" s="161"/>
      <c r="T166" s="159"/>
      <c r="U166" s="160"/>
      <c r="V166" s="62"/>
      <c r="W166" s="63"/>
      <c r="X166" s="36"/>
      <c r="Y166" s="172"/>
    </row>
    <row r="167" spans="1:25" hidden="1" outlineLevel="1">
      <c r="A167"/>
      <c r="B167"/>
      <c r="C167" s="448"/>
      <c r="D167" s="450"/>
      <c r="E167" s="180" t="s">
        <v>347</v>
      </c>
      <c r="F167" s="159">
        <f t="shared" ref="F167:O167" si="46">IFERROR(F157/$X156,0)</f>
        <v>2.9545454545454545E-2</v>
      </c>
      <c r="G167" s="160">
        <f t="shared" si="46"/>
        <v>5.3181818181818184E-2</v>
      </c>
      <c r="H167" s="160">
        <f t="shared" si="46"/>
        <v>0.18818181818181817</v>
      </c>
      <c r="I167" s="160">
        <f t="shared" si="46"/>
        <v>0.31818181818181818</v>
      </c>
      <c r="J167" s="160">
        <f t="shared" si="46"/>
        <v>0.38772727272727275</v>
      </c>
      <c r="K167" s="159">
        <f t="shared" si="46"/>
        <v>4.818181818181818E-2</v>
      </c>
      <c r="L167" s="160">
        <f t="shared" si="46"/>
        <v>0.12772727272727272</v>
      </c>
      <c r="M167" s="160">
        <f t="shared" si="46"/>
        <v>0.24090909090909091</v>
      </c>
      <c r="N167" s="160">
        <f t="shared" si="46"/>
        <v>9.1363636363636369E-2</v>
      </c>
      <c r="O167" s="161">
        <f t="shared" si="46"/>
        <v>0.46863636363636363</v>
      </c>
      <c r="P167" s="159"/>
      <c r="Q167" s="160"/>
      <c r="R167" s="160"/>
      <c r="S167" s="161"/>
      <c r="T167" s="159"/>
      <c r="U167" s="160"/>
      <c r="V167" s="62"/>
      <c r="W167" s="63"/>
      <c r="X167" s="36"/>
      <c r="Y167" s="172"/>
    </row>
    <row r="168" spans="1:25" ht="16.5" hidden="1" outlineLevel="1" thickBot="1">
      <c r="C168" s="448"/>
      <c r="D168" s="450"/>
      <c r="E168" s="180" t="s">
        <v>348</v>
      </c>
      <c r="F168" s="159">
        <f t="shared" ref="F168:O168" si="47">F167-F166</f>
        <v>-3.8454545454545443E-3</v>
      </c>
      <c r="G168" s="165">
        <f t="shared" si="47"/>
        <v>-5.7863636363636312E-3</v>
      </c>
      <c r="H168" s="165">
        <f t="shared" si="47"/>
        <v>-1.1368181818181833E-2</v>
      </c>
      <c r="I168" s="165">
        <f t="shared" si="47"/>
        <v>-1.1045454545454136E-3</v>
      </c>
      <c r="J168" s="165">
        <f t="shared" si="47"/>
        <v>-1.0818181818181283E-3</v>
      </c>
      <c r="K168" s="164">
        <f t="shared" si="47"/>
        <v>-2.1272727272727346E-3</v>
      </c>
      <c r="L168" s="165">
        <f t="shared" si="47"/>
        <v>4.2727272727272059E-4</v>
      </c>
      <c r="M168" s="165">
        <f t="shared" si="47"/>
        <v>-6.7727272727272636E-3</v>
      </c>
      <c r="N168" s="165">
        <f t="shared" si="47"/>
        <v>-3.5818181818181721E-3</v>
      </c>
      <c r="O168" s="166">
        <f t="shared" si="47"/>
        <v>-1.111818181818186E-2</v>
      </c>
      <c r="P168" s="164"/>
      <c r="Q168" s="165"/>
      <c r="R168" s="165"/>
      <c r="S168" s="166"/>
      <c r="T168" s="164"/>
      <c r="U168" s="165"/>
      <c r="V168" s="62"/>
      <c r="W168" s="63"/>
      <c r="X168" s="36"/>
      <c r="Y168" s="173"/>
    </row>
    <row r="169" spans="1:25" collapsed="1"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</row>
  </sheetData>
  <mergeCells count="46">
    <mergeCell ref="D65:D77"/>
    <mergeCell ref="C65:C77"/>
    <mergeCell ref="B1:D1"/>
    <mergeCell ref="B2:D2"/>
    <mergeCell ref="C9:E9"/>
    <mergeCell ref="E5:K5"/>
    <mergeCell ref="F9:V9"/>
    <mergeCell ref="E1:K1"/>
    <mergeCell ref="C11:C12"/>
    <mergeCell ref="F11:J11"/>
    <mergeCell ref="K11:O11"/>
    <mergeCell ref="P11:S11"/>
    <mergeCell ref="T11:V11"/>
    <mergeCell ref="M2:Z5"/>
    <mergeCell ref="X9:Y12"/>
    <mergeCell ref="C10:D10"/>
    <mergeCell ref="F10:J10"/>
    <mergeCell ref="K10:O10"/>
    <mergeCell ref="P10:S10"/>
    <mergeCell ref="T10:V10"/>
    <mergeCell ref="E2:K2"/>
    <mergeCell ref="E3:G3"/>
    <mergeCell ref="H3:K3"/>
    <mergeCell ref="E6:K6"/>
    <mergeCell ref="D104:D116"/>
    <mergeCell ref="C104:C116"/>
    <mergeCell ref="D117:D129"/>
    <mergeCell ref="C117:C129"/>
    <mergeCell ref="D78:D90"/>
    <mergeCell ref="C78:C90"/>
    <mergeCell ref="D156:D168"/>
    <mergeCell ref="C156:C168"/>
    <mergeCell ref="D13:D25"/>
    <mergeCell ref="C13:C22"/>
    <mergeCell ref="D26:D38"/>
    <mergeCell ref="D39:D51"/>
    <mergeCell ref="C39:C51"/>
    <mergeCell ref="C26:C38"/>
    <mergeCell ref="D52:D64"/>
    <mergeCell ref="C52:C64"/>
    <mergeCell ref="D130:D142"/>
    <mergeCell ref="C130:C142"/>
    <mergeCell ref="D143:D155"/>
    <mergeCell ref="C143:C155"/>
    <mergeCell ref="D91:D103"/>
    <mergeCell ref="C91:C103"/>
  </mergeCells>
  <conditionalFormatting sqref="F14:X14">
    <cfRule type="expression" dxfId="264" priority="11">
      <formula>ROUND(F$14,0) &gt;= ROUND(F$13,0)</formula>
    </cfRule>
  </conditionalFormatting>
  <conditionalFormatting sqref="F19:X19 F45:X45">
    <cfRule type="expression" dxfId="263" priority="13">
      <formula>ROUND(F$19,0) &lt; ROUND(F$13,0)</formula>
    </cfRule>
  </conditionalFormatting>
  <conditionalFormatting sqref="F27:X27">
    <cfRule type="expression" dxfId="262" priority="12">
      <formula>ROUND(F$27,0) &gt;= ROUND(F$26,0)</formula>
    </cfRule>
  </conditionalFormatting>
  <conditionalFormatting sqref="F32:X32 F58:X58 F71:X71 F84:X84 F97:X97 F110:X110 F123:X123 F136:X136 F149:X149">
    <cfRule type="expression" dxfId="261" priority="14">
      <formula>ROUND(F$32,0) &lt; ROUND(F$26,0)</formula>
    </cfRule>
  </conditionalFormatting>
  <conditionalFormatting sqref="F40:X40">
    <cfRule type="expression" dxfId="260" priority="8">
      <formula>ROUND(F$14,0) &gt;= ROUND(F$13,0)</formula>
    </cfRule>
  </conditionalFormatting>
  <conditionalFormatting sqref="F53:X53">
    <cfRule type="expression" dxfId="259" priority="9">
      <formula>ROUND(F$27,0) &gt;= ROUND(F$26,0)</formula>
    </cfRule>
  </conditionalFormatting>
  <conditionalFormatting sqref="F66:X66">
    <cfRule type="expression" dxfId="258" priority="7">
      <formula>ROUND(F$27,0) &gt;= ROUND(F$26,0)</formula>
    </cfRule>
  </conditionalFormatting>
  <conditionalFormatting sqref="F79:X79">
    <cfRule type="expression" dxfId="257" priority="6">
      <formula>ROUND(F$27,0) &gt;= ROUND(F$26,0)</formula>
    </cfRule>
  </conditionalFormatting>
  <conditionalFormatting sqref="F92:X92">
    <cfRule type="expression" dxfId="256" priority="5">
      <formula>ROUND(F$27,0) &gt;= ROUND(F$26,0)</formula>
    </cfRule>
  </conditionalFormatting>
  <conditionalFormatting sqref="F105:X105">
    <cfRule type="expression" dxfId="255" priority="4">
      <formula>ROUND(F$27,0) &gt;= ROUND(F$26,0)</formula>
    </cfRule>
  </conditionalFormatting>
  <conditionalFormatting sqref="F118:X118">
    <cfRule type="expression" dxfId="254" priority="3">
      <formula>ROUND(F$27,0) &gt;= ROUND(F$26,0)</formula>
    </cfRule>
  </conditionalFormatting>
  <conditionalFormatting sqref="F131:X131">
    <cfRule type="expression" dxfId="253" priority="2">
      <formula>ROUND(F$27,0) &gt;= ROUND(F$26,0)</formula>
    </cfRule>
  </conditionalFormatting>
  <conditionalFormatting sqref="F144:X144">
    <cfRule type="expression" dxfId="252" priority="1">
      <formula>ROUND(F$27,0) &gt;= ROUND(F$26,0)</formula>
    </cfRule>
  </conditionalFormatting>
  <conditionalFormatting sqref="F157:X157">
    <cfRule type="expression" dxfId="251" priority="10">
      <formula>ROUND(F$157,0) &gt;= ROUND(F$156,0)</formula>
    </cfRule>
  </conditionalFormatting>
  <conditionalFormatting sqref="F162:X162">
    <cfRule type="expression" dxfId="250" priority="15">
      <formula>ROUND(F$162,0) &lt; ROUND(F$156,0)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4563-CD85-49E8-9C6B-96CCABE16900}">
  <sheetPr>
    <tabColor rgb="FFFFFF00"/>
  </sheetPr>
  <dimension ref="A1:AY179"/>
  <sheetViews>
    <sheetView tabSelected="1" zoomScale="90" zoomScaleNormal="90" workbookViewId="0">
      <selection activeCell="N6" sqref="N6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1" width="6.375" style="4" customWidth="1"/>
    <col min="22" max="29" width="6.375" style="2" customWidth="1"/>
    <col min="30" max="35" width="4.875" style="2" customWidth="1"/>
    <col min="36" max="36" width="7.5" style="2" hidden="1" customWidth="1"/>
    <col min="37" max="37" width="0.625" style="2" customWidth="1"/>
    <col min="38" max="40" width="7.5" style="2" customWidth="1"/>
    <col min="41" max="51" width="7.5" style="2" hidden="1" customWidth="1"/>
    <col min="52" max="52" width="7.5" style="2" customWidth="1"/>
    <col min="53" max="78" width="2.5" style="2"/>
    <col min="79" max="79" width="7.5" style="2" customWidth="1"/>
    <col min="80" max="16324" width="2.5" style="2"/>
    <col min="16325" max="16325" width="1.125" style="2" customWidth="1"/>
    <col min="16326" max="16326" width="2.5" style="2" customWidth="1"/>
    <col min="16327" max="16327" width="3.5" style="2" customWidth="1"/>
    <col min="16328" max="16328" width="1" style="2" customWidth="1"/>
    <col min="16329" max="16329" width="0.625" style="2" customWidth="1"/>
    <col min="16330" max="16330" width="2.125" style="2" customWidth="1"/>
    <col min="16331" max="16384" width="20.125" style="2" customWidth="1"/>
  </cols>
  <sheetData>
    <row r="1" spans="1:51" ht="25.5" customHeight="1" thickBo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317"/>
      <c r="AO1"/>
      <c r="AP1"/>
      <c r="AQ1"/>
      <c r="AR1"/>
      <c r="AS1"/>
      <c r="AT1"/>
      <c r="AU1"/>
      <c r="AV1"/>
      <c r="AW1"/>
      <c r="AX1"/>
      <c r="AY1"/>
    </row>
    <row r="2" spans="1:51" ht="31.5" customHeight="1" thickBot="1">
      <c r="A2" s="499" t="s">
        <v>327</v>
      </c>
      <c r="B2" s="499"/>
      <c r="C2" s="500"/>
      <c r="D2" s="501" t="str">
        <f>_xlfn.CONCAT("Study Name: ","WISC-6 Standardization - Digital")</f>
        <v>Study Name: WISC-6 Standardization - Digital</v>
      </c>
      <c r="E2" s="502"/>
      <c r="F2" s="502"/>
      <c r="G2" s="502"/>
      <c r="H2" s="502"/>
      <c r="I2" s="503"/>
      <c r="K2" s="504" t="s">
        <v>328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  <c r="AO2"/>
      <c r="AP2"/>
      <c r="AQ2"/>
      <c r="AR2"/>
      <c r="AS2"/>
      <c r="AT2"/>
      <c r="AU2"/>
      <c r="AV2"/>
      <c r="AW2"/>
      <c r="AX2"/>
      <c r="AY2"/>
    </row>
    <row r="3" spans="1:51" ht="30.75" customHeight="1" thickBot="1">
      <c r="D3" s="510" t="str">
        <f>_xlfn.CONCAT("Study Acronym: ","
WISC6_STDZ_D")</f>
        <v>Study Acronym: 
WISC6_STDZ_D</v>
      </c>
      <c r="E3" s="511"/>
      <c r="F3" s="512" t="s">
        <v>355</v>
      </c>
      <c r="G3" s="512"/>
      <c r="H3" s="512"/>
      <c r="I3" s="513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  <c r="AO3"/>
      <c r="AP3"/>
      <c r="AQ3"/>
      <c r="AR3"/>
      <c r="AS3"/>
      <c r="AT3"/>
      <c r="AU3"/>
      <c r="AV3"/>
      <c r="AW3"/>
      <c r="AX3"/>
      <c r="AY3"/>
    </row>
    <row r="4" spans="1:51" ht="16.5" customHeight="1">
      <c r="B4" s="24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  <c r="AO4"/>
      <c r="AP4"/>
      <c r="AQ4"/>
      <c r="AR4"/>
      <c r="AS4"/>
      <c r="AT4"/>
      <c r="AU4"/>
      <c r="AV4"/>
      <c r="AW4"/>
      <c r="AX4"/>
      <c r="AY4"/>
    </row>
    <row r="5" spans="1:51" ht="27.75" customHeight="1" thickBot="1">
      <c r="C5" s="101"/>
      <c r="D5" s="497" t="s">
        <v>330</v>
      </c>
      <c r="E5" s="498"/>
      <c r="F5" s="498"/>
      <c r="G5" s="498"/>
      <c r="H5" s="498"/>
      <c r="I5" s="498"/>
      <c r="J5" s="97"/>
      <c r="K5" s="507"/>
      <c r="L5" s="508"/>
      <c r="M5" s="508"/>
      <c r="N5" s="508"/>
      <c r="O5" s="508"/>
      <c r="P5" s="508"/>
      <c r="Q5" s="508"/>
      <c r="R5" s="508"/>
      <c r="S5" s="508"/>
      <c r="T5" s="508"/>
      <c r="U5" s="508"/>
      <c r="V5" s="508"/>
      <c r="W5" s="508"/>
      <c r="X5" s="509"/>
      <c r="Y5" s="104"/>
      <c r="AO5"/>
      <c r="AP5"/>
      <c r="AQ5"/>
      <c r="AR5"/>
      <c r="AS5"/>
      <c r="AT5"/>
      <c r="AU5"/>
      <c r="AV5"/>
      <c r="AW5"/>
      <c r="AX5"/>
      <c r="AY5"/>
    </row>
    <row r="6" spans="1:51" ht="182.25" customHeight="1" thickBot="1">
      <c r="C6" s="98"/>
      <c r="D6" s="479" t="s">
        <v>356</v>
      </c>
      <c r="E6" s="480"/>
      <c r="F6" s="480"/>
      <c r="G6" s="480"/>
      <c r="H6" s="480"/>
      <c r="I6" s="481"/>
      <c r="J6" s="406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106"/>
      <c r="AO6"/>
      <c r="AP6"/>
      <c r="AQ6"/>
      <c r="AR6"/>
      <c r="AS6"/>
      <c r="AT6"/>
      <c r="AU6"/>
      <c r="AV6"/>
      <c r="AW6"/>
      <c r="AX6"/>
      <c r="AY6"/>
    </row>
    <row r="7" spans="1:51" ht="16.5" customHeight="1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AO7"/>
      <c r="AP7"/>
      <c r="AQ7"/>
      <c r="AR7"/>
      <c r="AS7"/>
      <c r="AT7"/>
      <c r="AU7"/>
      <c r="AV7"/>
      <c r="AW7"/>
      <c r="AX7"/>
      <c r="AY7"/>
    </row>
    <row r="8" spans="1:51">
      <c r="B8" s="482" t="str">
        <f>_xlfn.CONCAT("Last Refreshed at: ",aurora_data!AK132)</f>
        <v>Last Refreshed at: 09/17/2026 @ 7:18 AM</v>
      </c>
      <c r="C8" s="483"/>
      <c r="D8" s="483"/>
      <c r="E8" s="484" t="s">
        <v>332</v>
      </c>
      <c r="F8" s="484"/>
      <c r="G8" s="484"/>
      <c r="H8" s="484"/>
      <c r="I8" s="484"/>
      <c r="J8" s="484"/>
      <c r="K8" s="484"/>
      <c r="L8" s="484"/>
      <c r="M8" s="484"/>
      <c r="N8" s="484"/>
      <c r="O8" s="484"/>
      <c r="P8" s="484"/>
      <c r="Q8" s="484"/>
      <c r="R8" s="484"/>
      <c r="S8" s="484"/>
      <c r="T8" s="484"/>
      <c r="U8" s="484"/>
      <c r="V8" s="484"/>
      <c r="W8" s="484"/>
      <c r="X8" s="484"/>
      <c r="Y8" s="484"/>
      <c r="Z8" s="484"/>
      <c r="AA8" s="484"/>
      <c r="AB8" s="484"/>
      <c r="AC8" s="484"/>
      <c r="AD8" s="484"/>
      <c r="AE8" s="484"/>
      <c r="AF8" s="484"/>
      <c r="AG8" s="484"/>
      <c r="AH8" s="484"/>
      <c r="AI8" s="485"/>
      <c r="AJ8" s="181"/>
      <c r="AO8"/>
      <c r="AP8"/>
      <c r="AQ8"/>
      <c r="AR8"/>
      <c r="AS8"/>
      <c r="AT8"/>
      <c r="AU8"/>
      <c r="AV8"/>
      <c r="AW8"/>
      <c r="AX8"/>
      <c r="AY8"/>
    </row>
    <row r="9" spans="1:51" ht="16.5" customHeight="1" thickBot="1">
      <c r="B9" s="486"/>
      <c r="C9" s="487"/>
      <c r="D9" s="29" t="s">
        <v>333</v>
      </c>
      <c r="E9" s="488">
        <v>0.02</v>
      </c>
      <c r="F9" s="489"/>
      <c r="G9" s="489"/>
      <c r="H9" s="489"/>
      <c r="I9" s="489"/>
      <c r="J9" s="489"/>
      <c r="K9" s="489"/>
      <c r="L9" s="489"/>
      <c r="M9" s="489"/>
      <c r="N9" s="489"/>
      <c r="O9" s="489"/>
      <c r="P9" s="489"/>
      <c r="Q9" s="489"/>
      <c r="R9" s="489"/>
      <c r="S9" s="489"/>
      <c r="T9" s="489"/>
      <c r="U9" s="489"/>
      <c r="V9" s="489"/>
      <c r="W9" s="489"/>
      <c r="X9" s="489"/>
      <c r="Y9" s="489"/>
      <c r="Z9" s="489"/>
      <c r="AA9" s="489"/>
      <c r="AB9" s="489"/>
      <c r="AC9" s="490"/>
      <c r="AD9" s="491">
        <v>0.1</v>
      </c>
      <c r="AE9" s="491"/>
      <c r="AF9" s="491"/>
      <c r="AG9" s="491"/>
      <c r="AH9" s="492"/>
      <c r="AI9" s="493"/>
      <c r="AJ9" s="177"/>
      <c r="AL9" s="192"/>
      <c r="AM9" s="193"/>
      <c r="AO9"/>
      <c r="AP9"/>
      <c r="AQ9"/>
      <c r="AR9"/>
      <c r="AS9"/>
      <c r="AT9"/>
      <c r="AU9"/>
      <c r="AV9"/>
      <c r="AW9"/>
      <c r="AX9"/>
      <c r="AY9"/>
    </row>
    <row r="10" spans="1:51" ht="17.25" thickTop="1" thickBot="1">
      <c r="B10" s="463" t="s">
        <v>334</v>
      </c>
      <c r="C10" s="30"/>
      <c r="D10" s="31"/>
      <c r="E10" s="464" t="s">
        <v>335</v>
      </c>
      <c r="F10" s="464"/>
      <c r="G10" s="464"/>
      <c r="H10" s="464"/>
      <c r="I10" s="464"/>
      <c r="J10" s="464"/>
      <c r="K10" s="464"/>
      <c r="L10" s="464"/>
      <c r="M10" s="464"/>
      <c r="N10" s="464"/>
      <c r="O10" s="464"/>
      <c r="P10" s="464"/>
      <c r="Q10" s="464"/>
      <c r="R10" s="464"/>
      <c r="S10" s="464"/>
      <c r="T10" s="464"/>
      <c r="U10" s="464"/>
      <c r="V10" s="464"/>
      <c r="W10" s="464"/>
      <c r="X10" s="464"/>
      <c r="Y10" s="464"/>
      <c r="Z10" s="464"/>
      <c r="AA10" s="464"/>
      <c r="AB10" s="464"/>
      <c r="AC10" s="465"/>
      <c r="AD10" s="466" t="s">
        <v>336</v>
      </c>
      <c r="AE10" s="466"/>
      <c r="AF10" s="466"/>
      <c r="AG10" s="466"/>
      <c r="AH10" s="467" t="s">
        <v>25</v>
      </c>
      <c r="AI10" s="468"/>
      <c r="AJ10" s="469"/>
      <c r="AK10" s="148"/>
      <c r="AL10" s="470" t="s">
        <v>337</v>
      </c>
      <c r="AM10" s="471"/>
      <c r="AO10"/>
      <c r="AP10"/>
      <c r="AQ10"/>
      <c r="AR10"/>
      <c r="AS10"/>
      <c r="AT10"/>
      <c r="AU10"/>
      <c r="AV10"/>
      <c r="AW10"/>
      <c r="AX10"/>
      <c r="AY10"/>
    </row>
    <row r="11" spans="1:51" ht="17.25" thickTop="1" thickBot="1">
      <c r="B11" s="463"/>
      <c r="C11" s="30" t="s">
        <v>5</v>
      </c>
      <c r="D11" s="33" t="s">
        <v>260</v>
      </c>
      <c r="E11" s="476" t="s">
        <v>22</v>
      </c>
      <c r="F11" s="476"/>
      <c r="G11" s="476"/>
      <c r="H11" s="476"/>
      <c r="I11" s="477"/>
      <c r="J11" s="478" t="s">
        <v>36</v>
      </c>
      <c r="K11" s="476"/>
      <c r="L11" s="476"/>
      <c r="M11" s="476"/>
      <c r="N11" s="477"/>
      <c r="O11" s="478" t="s">
        <v>24</v>
      </c>
      <c r="P11" s="476"/>
      <c r="Q11" s="476"/>
      <c r="R11" s="476"/>
      <c r="S11" s="477"/>
      <c r="T11" s="478" t="s">
        <v>31</v>
      </c>
      <c r="U11" s="476"/>
      <c r="V11" s="476"/>
      <c r="W11" s="476"/>
      <c r="X11" s="477"/>
      <c r="Y11" s="478" t="s">
        <v>39</v>
      </c>
      <c r="Z11" s="476"/>
      <c r="AA11" s="476"/>
      <c r="AB11" s="476"/>
      <c r="AC11" s="477"/>
      <c r="AD11" s="457" t="s">
        <v>59</v>
      </c>
      <c r="AE11" s="457" t="s">
        <v>47</v>
      </c>
      <c r="AF11" s="457" t="s">
        <v>33</v>
      </c>
      <c r="AG11" s="457" t="s">
        <v>60</v>
      </c>
      <c r="AH11" s="457" t="s">
        <v>45</v>
      </c>
      <c r="AI11" s="459" t="s">
        <v>34</v>
      </c>
      <c r="AJ11" s="461"/>
      <c r="AK11" s="148"/>
      <c r="AL11" s="472"/>
      <c r="AM11" s="473"/>
      <c r="AO11"/>
      <c r="AP11"/>
      <c r="AQ11"/>
      <c r="AR11"/>
      <c r="AS11"/>
      <c r="AT11"/>
      <c r="AU11"/>
      <c r="AV11"/>
      <c r="AW11"/>
      <c r="AX11"/>
      <c r="AY11"/>
    </row>
    <row r="12" spans="1:51" ht="17.25" thickTop="1" thickBot="1">
      <c r="B12" s="178"/>
      <c r="C12" s="200"/>
      <c r="D12" s="33"/>
      <c r="E12" s="149">
        <v>1</v>
      </c>
      <c r="F12" s="150">
        <v>2</v>
      </c>
      <c r="G12" s="150">
        <v>3</v>
      </c>
      <c r="H12" s="150">
        <v>4</v>
      </c>
      <c r="I12" s="151">
        <v>5</v>
      </c>
      <c r="J12" s="149">
        <v>1</v>
      </c>
      <c r="K12" s="150">
        <v>2</v>
      </c>
      <c r="L12" s="150">
        <v>3</v>
      </c>
      <c r="M12" s="150">
        <v>4</v>
      </c>
      <c r="N12" s="151">
        <v>5</v>
      </c>
      <c r="O12" s="149">
        <v>1</v>
      </c>
      <c r="P12" s="150">
        <v>2</v>
      </c>
      <c r="Q12" s="150">
        <v>3</v>
      </c>
      <c r="R12" s="150">
        <v>4</v>
      </c>
      <c r="S12" s="151">
        <v>5</v>
      </c>
      <c r="T12" s="149">
        <v>1</v>
      </c>
      <c r="U12" s="150">
        <v>2</v>
      </c>
      <c r="V12" s="150">
        <v>3</v>
      </c>
      <c r="W12" s="150">
        <v>4</v>
      </c>
      <c r="X12" s="151">
        <v>5</v>
      </c>
      <c r="Y12" s="149">
        <v>1</v>
      </c>
      <c r="Z12" s="150">
        <v>2</v>
      </c>
      <c r="AA12" s="150">
        <v>3</v>
      </c>
      <c r="AB12" s="150">
        <v>4</v>
      </c>
      <c r="AC12" s="151">
        <v>5</v>
      </c>
      <c r="AD12" s="458"/>
      <c r="AE12" s="458"/>
      <c r="AF12" s="458"/>
      <c r="AG12" s="458"/>
      <c r="AH12" s="458"/>
      <c r="AI12" s="460"/>
      <c r="AJ12" s="462"/>
      <c r="AK12" s="148"/>
      <c r="AL12" s="474"/>
      <c r="AM12" s="475"/>
      <c r="AO12"/>
      <c r="AP12"/>
      <c r="AQ12"/>
      <c r="AR12"/>
      <c r="AS12"/>
      <c r="AT12"/>
      <c r="AU12"/>
      <c r="AV12"/>
      <c r="AW12"/>
      <c r="AX12"/>
      <c r="AY12"/>
    </row>
    <row r="13" spans="1:51" ht="16.5" thickTop="1">
      <c r="B13" s="451" t="s">
        <v>338</v>
      </c>
      <c r="C13" s="453" t="str">
        <f>aurora_data!A132</f>
        <v>06.00.00-06.11.30</v>
      </c>
      <c r="D13" s="34" t="s">
        <v>306</v>
      </c>
      <c r="E13" s="152">
        <f>aurora_data!D132</f>
        <v>0.1</v>
      </c>
      <c r="F13" s="153">
        <f>aurora_data!E132</f>
        <v>0.1</v>
      </c>
      <c r="G13" s="153">
        <f>aurora_data!F132</f>
        <v>0.25</v>
      </c>
      <c r="H13" s="153">
        <f>aurora_data!G132</f>
        <v>0.45</v>
      </c>
      <c r="I13" s="153">
        <f>aurora_data!H132</f>
        <v>1.68</v>
      </c>
      <c r="J13" s="152">
        <f>aurora_data!I132</f>
        <v>0.1</v>
      </c>
      <c r="K13" s="153">
        <f>aurora_data!J132</f>
        <v>0.37</v>
      </c>
      <c r="L13" s="153">
        <f>aurora_data!K132</f>
        <v>1.75</v>
      </c>
      <c r="M13" s="153">
        <f>aurora_data!L132</f>
        <v>2.2599999999999998</v>
      </c>
      <c r="N13" s="154">
        <f>aurora_data!M132</f>
        <v>1.64</v>
      </c>
      <c r="O13" s="152">
        <f>aurora_data!N132</f>
        <v>0.73</v>
      </c>
      <c r="P13" s="153">
        <f>aurora_data!O132</f>
        <v>1.36</v>
      </c>
      <c r="Q13" s="153">
        <f>aurora_data!P132</f>
        <v>3.33</v>
      </c>
      <c r="R13" s="153">
        <f>aurora_data!Q132</f>
        <v>3.93</v>
      </c>
      <c r="S13" s="154">
        <f>aurora_data!R132</f>
        <v>2.75</v>
      </c>
      <c r="T13" s="152">
        <f>aurora_data!S132</f>
        <v>0.1</v>
      </c>
      <c r="U13" s="153">
        <f>aurora_data!T132</f>
        <v>0.2</v>
      </c>
      <c r="V13" s="153">
        <f>aurora_data!U132</f>
        <v>0.92</v>
      </c>
      <c r="W13" s="153">
        <f>aurora_data!V132</f>
        <v>1.66</v>
      </c>
      <c r="X13" s="154">
        <f>aurora_data!W132</f>
        <v>2.16</v>
      </c>
      <c r="Y13" s="152">
        <f>aurora_data!X132</f>
        <v>0.28000000000000003</v>
      </c>
      <c r="Z13" s="153">
        <f>aurora_data!Y132</f>
        <v>0.44</v>
      </c>
      <c r="AA13" s="153">
        <f>aurora_data!Z132</f>
        <v>3.68</v>
      </c>
      <c r="AB13" s="153">
        <f>aurora_data!AA132</f>
        <v>7.77</v>
      </c>
      <c r="AC13" s="154">
        <f>aurora_data!AB132</f>
        <v>11.99</v>
      </c>
      <c r="AD13" s="152">
        <f>aurora_data!AC132</f>
        <v>11.08</v>
      </c>
      <c r="AE13" s="153">
        <f>aurora_data!AD132</f>
        <v>7.63</v>
      </c>
      <c r="AF13" s="153">
        <f>aurora_data!AE132</f>
        <v>20</v>
      </c>
      <c r="AG13" s="154">
        <f>aurora_data!AF132</f>
        <v>11.29</v>
      </c>
      <c r="AH13" s="155">
        <f>aurora_data!AG132</f>
        <v>25</v>
      </c>
      <c r="AI13" s="171">
        <f>aurora_data!AH132</f>
        <v>25</v>
      </c>
      <c r="AJ13" s="171">
        <f>aurora_data!AI4</f>
        <v>0</v>
      </c>
      <c r="AK13" s="407"/>
      <c r="AL13" s="156">
        <f>aurora_data!AJ132</f>
        <v>50</v>
      </c>
      <c r="AM13" s="157">
        <f t="shared" ref="AM13:AM20" si="0">SUM(AL13)/$AL$13</f>
        <v>1</v>
      </c>
      <c r="AO13"/>
      <c r="AP13"/>
      <c r="AQ13"/>
      <c r="AR13"/>
      <c r="AS13"/>
      <c r="AT13"/>
      <c r="AU13"/>
      <c r="AV13"/>
      <c r="AW13"/>
      <c r="AX13"/>
      <c r="AY13"/>
    </row>
    <row r="14" spans="1:51">
      <c r="B14" s="452"/>
      <c r="C14" s="454"/>
      <c r="D14" s="35" t="s">
        <v>339</v>
      </c>
      <c r="E14" s="262">
        <f>aurora_data!D133</f>
        <v>0</v>
      </c>
      <c r="F14" s="263">
        <f>aurora_data!E133</f>
        <v>0</v>
      </c>
      <c r="G14" s="263">
        <f>aurora_data!F133</f>
        <v>0</v>
      </c>
      <c r="H14" s="263">
        <f>aurora_data!G133</f>
        <v>0</v>
      </c>
      <c r="I14" s="263">
        <f>aurora_data!H133</f>
        <v>0</v>
      </c>
      <c r="J14" s="262">
        <f>aurora_data!I133</f>
        <v>0</v>
      </c>
      <c r="K14" s="263">
        <f>aurora_data!J133</f>
        <v>1</v>
      </c>
      <c r="L14" s="263">
        <f>aurora_data!K133</f>
        <v>1</v>
      </c>
      <c r="M14" s="263">
        <f>aurora_data!L133</f>
        <v>0</v>
      </c>
      <c r="N14" s="264">
        <f>aurora_data!M133</f>
        <v>2</v>
      </c>
      <c r="O14" s="262">
        <f>aurora_data!N133</f>
        <v>0</v>
      </c>
      <c r="P14" s="263">
        <f>aurora_data!O133</f>
        <v>0</v>
      </c>
      <c r="Q14" s="263">
        <f>aurora_data!P133</f>
        <v>3</v>
      </c>
      <c r="R14" s="263">
        <f>aurora_data!Q133</f>
        <v>3</v>
      </c>
      <c r="S14" s="264">
        <f>aurora_data!R133</f>
        <v>2</v>
      </c>
      <c r="T14" s="262">
        <f>aurora_data!S133</f>
        <v>0</v>
      </c>
      <c r="U14" s="263">
        <f>aurora_data!T133</f>
        <v>0</v>
      </c>
      <c r="V14" s="263">
        <f>aurora_data!U133</f>
        <v>1</v>
      </c>
      <c r="W14" s="263">
        <f>aurora_data!V133</f>
        <v>1</v>
      </c>
      <c r="X14" s="264">
        <f>aurora_data!W133</f>
        <v>2</v>
      </c>
      <c r="Y14" s="262">
        <f>aurora_data!X133</f>
        <v>0</v>
      </c>
      <c r="Z14" s="263">
        <f>aurora_data!Y133</f>
        <v>0</v>
      </c>
      <c r="AA14" s="263">
        <f>aurora_data!Z133</f>
        <v>4</v>
      </c>
      <c r="AB14" s="263">
        <f>aurora_data!AA133</f>
        <v>9</v>
      </c>
      <c r="AC14" s="264">
        <f>aurora_data!AB133</f>
        <v>12</v>
      </c>
      <c r="AD14" s="262">
        <f>aurora_data!AC133</f>
        <v>10</v>
      </c>
      <c r="AE14" s="263">
        <f>aurora_data!AD133</f>
        <v>7</v>
      </c>
      <c r="AF14" s="263">
        <f>aurora_data!AE133</f>
        <v>14</v>
      </c>
      <c r="AG14" s="264">
        <f>aurora_data!AF133</f>
        <v>10</v>
      </c>
      <c r="AH14" s="262">
        <f>aurora_data!AG133</f>
        <v>20</v>
      </c>
      <c r="AI14" s="263">
        <f>aurora_data!AH133</f>
        <v>21</v>
      </c>
      <c r="AJ14" s="264">
        <f>aurora_data!AI5</f>
        <v>0</v>
      </c>
      <c r="AK14" s="407"/>
      <c r="AL14" s="408">
        <f>aurora_data!AJ133</f>
        <v>41</v>
      </c>
      <c r="AM14" s="409">
        <f t="shared" si="0"/>
        <v>0.82</v>
      </c>
      <c r="AO14"/>
      <c r="AP14"/>
      <c r="AQ14"/>
      <c r="AR14"/>
      <c r="AS14"/>
      <c r="AT14"/>
      <c r="AU14"/>
      <c r="AV14"/>
      <c r="AW14"/>
      <c r="AX14"/>
      <c r="AY14"/>
    </row>
    <row r="15" spans="1:51">
      <c r="B15" s="452"/>
      <c r="C15" s="454"/>
      <c r="D15" s="35" t="s">
        <v>291</v>
      </c>
      <c r="E15" s="408">
        <f>aurora_data!D134</f>
        <v>0</v>
      </c>
      <c r="F15" s="410">
        <f>aurora_data!E134</f>
        <v>0</v>
      </c>
      <c r="G15" s="410">
        <f>aurora_data!F134</f>
        <v>0</v>
      </c>
      <c r="H15" s="410">
        <f>aurora_data!G134</f>
        <v>0</v>
      </c>
      <c r="I15" s="410">
        <f>aurora_data!H134</f>
        <v>0</v>
      </c>
      <c r="J15" s="408">
        <f>aurora_data!I134</f>
        <v>0</v>
      </c>
      <c r="K15" s="410">
        <f>aurora_data!J134</f>
        <v>0</v>
      </c>
      <c r="L15" s="410">
        <f>aurora_data!K134</f>
        <v>0</v>
      </c>
      <c r="M15" s="410">
        <f>aurora_data!L134</f>
        <v>0</v>
      </c>
      <c r="N15" s="411">
        <f>aurora_data!M134</f>
        <v>3</v>
      </c>
      <c r="O15" s="408">
        <f>aurora_data!N134</f>
        <v>0</v>
      </c>
      <c r="P15" s="410">
        <f>aurora_data!O134</f>
        <v>0</v>
      </c>
      <c r="Q15" s="410">
        <f>aurora_data!P134</f>
        <v>0</v>
      </c>
      <c r="R15" s="410">
        <f>aurora_data!Q134</f>
        <v>0</v>
      </c>
      <c r="S15" s="411">
        <f>aurora_data!R134</f>
        <v>0</v>
      </c>
      <c r="T15" s="408">
        <f>aurora_data!S134</f>
        <v>0</v>
      </c>
      <c r="U15" s="410">
        <f>aurora_data!T134</f>
        <v>0</v>
      </c>
      <c r="V15" s="410">
        <f>aurora_data!U134</f>
        <v>0</v>
      </c>
      <c r="W15" s="410">
        <f>aurora_data!V134</f>
        <v>0</v>
      </c>
      <c r="X15" s="411">
        <f>aurora_data!W134</f>
        <v>1</v>
      </c>
      <c r="Y15" s="408">
        <f>aurora_data!X134</f>
        <v>0</v>
      </c>
      <c r="Z15" s="410">
        <f>aurora_data!Y134</f>
        <v>0</v>
      </c>
      <c r="AA15" s="410">
        <f>aurora_data!Z134</f>
        <v>0</v>
      </c>
      <c r="AB15" s="410">
        <f>aurora_data!AA134</f>
        <v>0</v>
      </c>
      <c r="AC15" s="411">
        <f>aurora_data!AB134</f>
        <v>0</v>
      </c>
      <c r="AD15" s="408">
        <f>aurora_data!AC134</f>
        <v>2</v>
      </c>
      <c r="AE15" s="410">
        <f>aurora_data!AD134</f>
        <v>0</v>
      </c>
      <c r="AF15" s="410">
        <f>aurora_data!AE134</f>
        <v>2</v>
      </c>
      <c r="AG15" s="411">
        <f>aurora_data!AF134</f>
        <v>0</v>
      </c>
      <c r="AH15" s="408">
        <f>aurora_data!AG134</f>
        <v>3</v>
      </c>
      <c r="AI15" s="410">
        <f>aurora_data!AH134</f>
        <v>1</v>
      </c>
      <c r="AJ15" s="411">
        <f>aurora_data!AI6</f>
        <v>0</v>
      </c>
      <c r="AK15" s="407"/>
      <c r="AL15" s="408">
        <f>aurora_data!AJ134</f>
        <v>4</v>
      </c>
      <c r="AM15" s="409">
        <f t="shared" si="0"/>
        <v>0.08</v>
      </c>
      <c r="AO15"/>
      <c r="AP15"/>
      <c r="AQ15"/>
      <c r="AR15"/>
      <c r="AS15"/>
      <c r="AT15"/>
      <c r="AU15"/>
      <c r="AV15"/>
      <c r="AW15"/>
      <c r="AX15"/>
      <c r="AY15"/>
    </row>
    <row r="16" spans="1:51">
      <c r="B16" s="452"/>
      <c r="C16" s="454"/>
      <c r="D16" s="35" t="s">
        <v>340</v>
      </c>
      <c r="E16" s="408">
        <f>aurora_data!D135</f>
        <v>0</v>
      </c>
      <c r="F16" s="410">
        <f>aurora_data!E135</f>
        <v>0</v>
      </c>
      <c r="G16" s="410">
        <f>aurora_data!F135</f>
        <v>0</v>
      </c>
      <c r="H16" s="410">
        <f>aurora_data!G135</f>
        <v>0</v>
      </c>
      <c r="I16" s="410">
        <f>aurora_data!H135</f>
        <v>0</v>
      </c>
      <c r="J16" s="408">
        <f>aurora_data!I135</f>
        <v>0</v>
      </c>
      <c r="K16" s="410">
        <f>aurora_data!J135</f>
        <v>0</v>
      </c>
      <c r="L16" s="410">
        <f>aurora_data!K135</f>
        <v>1</v>
      </c>
      <c r="M16" s="410">
        <f>aurora_data!L135</f>
        <v>0</v>
      </c>
      <c r="N16" s="411">
        <f>aurora_data!M135</f>
        <v>0</v>
      </c>
      <c r="O16" s="408">
        <f>aurora_data!N135</f>
        <v>0</v>
      </c>
      <c r="P16" s="410">
        <f>aurora_data!O135</f>
        <v>0</v>
      </c>
      <c r="Q16" s="410">
        <f>aurora_data!P135</f>
        <v>0</v>
      </c>
      <c r="R16" s="410">
        <f>aurora_data!Q135</f>
        <v>0</v>
      </c>
      <c r="S16" s="411">
        <f>aurora_data!R135</f>
        <v>0</v>
      </c>
      <c r="T16" s="408">
        <f>aurora_data!S135</f>
        <v>0</v>
      </c>
      <c r="U16" s="410">
        <f>aurora_data!T135</f>
        <v>0</v>
      </c>
      <c r="V16" s="410">
        <f>aurora_data!U135</f>
        <v>0</v>
      </c>
      <c r="W16" s="410">
        <f>aurora_data!V135</f>
        <v>0</v>
      </c>
      <c r="X16" s="411">
        <f>aurora_data!W135</f>
        <v>0</v>
      </c>
      <c r="Y16" s="408">
        <f>aurora_data!X135</f>
        <v>0</v>
      </c>
      <c r="Z16" s="410">
        <f>aurora_data!Y135</f>
        <v>0</v>
      </c>
      <c r="AA16" s="410">
        <f>aurora_data!Z135</f>
        <v>0</v>
      </c>
      <c r="AB16" s="410">
        <f>aurora_data!AA135</f>
        <v>0</v>
      </c>
      <c r="AC16" s="411">
        <f>aurora_data!AB135</f>
        <v>0</v>
      </c>
      <c r="AD16" s="408">
        <f>aurora_data!AC135</f>
        <v>1</v>
      </c>
      <c r="AE16" s="410">
        <f>aurora_data!AD135</f>
        <v>0</v>
      </c>
      <c r="AF16" s="410">
        <f>aurora_data!AE135</f>
        <v>0</v>
      </c>
      <c r="AG16" s="411">
        <f>aurora_data!AF135</f>
        <v>0</v>
      </c>
      <c r="AH16" s="408">
        <f>aurora_data!AG135</f>
        <v>1</v>
      </c>
      <c r="AI16" s="410">
        <f>aurora_data!AH135</f>
        <v>0</v>
      </c>
      <c r="AJ16" s="411">
        <f>aurora_data!AI7</f>
        <v>0</v>
      </c>
      <c r="AK16" s="407"/>
      <c r="AL16" s="408">
        <f>aurora_data!AJ135</f>
        <v>1</v>
      </c>
      <c r="AM16" s="409">
        <f t="shared" si="0"/>
        <v>0.02</v>
      </c>
      <c r="AO16"/>
      <c r="AP16"/>
      <c r="AQ16"/>
      <c r="AR16"/>
      <c r="AS16"/>
      <c r="AT16"/>
      <c r="AU16"/>
      <c r="AV16"/>
      <c r="AW16"/>
      <c r="AX16"/>
      <c r="AY16"/>
    </row>
    <row r="17" spans="2:51">
      <c r="B17" s="452"/>
      <c r="C17" s="454"/>
      <c r="D17" s="35" t="s">
        <v>341</v>
      </c>
      <c r="E17" s="408">
        <f>aurora_data!D136</f>
        <v>0</v>
      </c>
      <c r="F17" s="410">
        <f>aurora_data!E136</f>
        <v>0</v>
      </c>
      <c r="G17" s="410">
        <f>aurora_data!F136</f>
        <v>0</v>
      </c>
      <c r="H17" s="410">
        <f>aurora_data!G136</f>
        <v>0</v>
      </c>
      <c r="I17" s="410">
        <f>aurora_data!H136</f>
        <v>1</v>
      </c>
      <c r="J17" s="408">
        <f>aurora_data!I136</f>
        <v>0</v>
      </c>
      <c r="K17" s="410">
        <f>aurora_data!J136</f>
        <v>0</v>
      </c>
      <c r="L17" s="410">
        <f>aurora_data!K136</f>
        <v>0</v>
      </c>
      <c r="M17" s="410">
        <f>aurora_data!L136</f>
        <v>2</v>
      </c>
      <c r="N17" s="411">
        <f>aurora_data!M136</f>
        <v>0</v>
      </c>
      <c r="O17" s="408">
        <f>aurora_data!N136</f>
        <v>0</v>
      </c>
      <c r="P17" s="410">
        <f>aurora_data!O136</f>
        <v>1</v>
      </c>
      <c r="Q17" s="410">
        <f>aurora_data!P136</f>
        <v>0</v>
      </c>
      <c r="R17" s="410">
        <f>aurora_data!Q136</f>
        <v>1</v>
      </c>
      <c r="S17" s="411">
        <f>aurora_data!R136</f>
        <v>1</v>
      </c>
      <c r="T17" s="408">
        <f>aurora_data!S136</f>
        <v>0</v>
      </c>
      <c r="U17" s="410">
        <f>aurora_data!T136</f>
        <v>0</v>
      </c>
      <c r="V17" s="410">
        <f>aurora_data!U136</f>
        <v>0</v>
      </c>
      <c r="W17" s="410">
        <f>aurora_data!V136</f>
        <v>1</v>
      </c>
      <c r="X17" s="411">
        <f>aurora_data!W136</f>
        <v>0</v>
      </c>
      <c r="Y17" s="408">
        <f>aurora_data!X136</f>
        <v>0</v>
      </c>
      <c r="Z17" s="410">
        <f>aurora_data!Y136</f>
        <v>0</v>
      </c>
      <c r="AA17" s="410">
        <f>aurora_data!Z136</f>
        <v>0</v>
      </c>
      <c r="AB17" s="410">
        <f>aurora_data!AA136</f>
        <v>0</v>
      </c>
      <c r="AC17" s="411">
        <f>aurora_data!AB136</f>
        <v>1</v>
      </c>
      <c r="AD17" s="408">
        <f>aurora_data!AC136</f>
        <v>0</v>
      </c>
      <c r="AE17" s="410">
        <f>aurora_data!AD136</f>
        <v>3</v>
      </c>
      <c r="AF17" s="410">
        <f>aurora_data!AE136</f>
        <v>5</v>
      </c>
      <c r="AG17" s="411">
        <f>aurora_data!AF136</f>
        <v>0</v>
      </c>
      <c r="AH17" s="408">
        <f>aurora_data!AG136</f>
        <v>1</v>
      </c>
      <c r="AI17" s="410">
        <f>aurora_data!AH136</f>
        <v>7</v>
      </c>
      <c r="AJ17" s="411">
        <f>aurora_data!AI8</f>
        <v>0</v>
      </c>
      <c r="AK17" s="407"/>
      <c r="AL17" s="408">
        <f>aurora_data!AJ136</f>
        <v>8</v>
      </c>
      <c r="AM17" s="409">
        <f t="shared" si="0"/>
        <v>0.16</v>
      </c>
      <c r="AO17"/>
      <c r="AP17"/>
      <c r="AQ17"/>
      <c r="AR17"/>
      <c r="AS17"/>
      <c r="AT17"/>
      <c r="AU17"/>
      <c r="AV17"/>
      <c r="AW17"/>
      <c r="AX17"/>
      <c r="AY17"/>
    </row>
    <row r="18" spans="2:51" ht="16.5" thickBot="1">
      <c r="B18" s="452"/>
      <c r="C18" s="454"/>
      <c r="D18" s="35" t="s">
        <v>342</v>
      </c>
      <c r="E18" s="408">
        <f>aurora_data!D137</f>
        <v>0</v>
      </c>
      <c r="F18" s="410">
        <f>aurora_data!E137</f>
        <v>0</v>
      </c>
      <c r="G18" s="410">
        <f>aurora_data!F137</f>
        <v>0</v>
      </c>
      <c r="H18" s="410">
        <f>aurora_data!G137</f>
        <v>0</v>
      </c>
      <c r="I18" s="410">
        <f>aurora_data!H137</f>
        <v>0</v>
      </c>
      <c r="J18" s="408">
        <f>aurora_data!I137</f>
        <v>0</v>
      </c>
      <c r="K18" s="410">
        <f>aurora_data!J137</f>
        <v>0</v>
      </c>
      <c r="L18" s="410">
        <f>aurora_data!K137</f>
        <v>0</v>
      </c>
      <c r="M18" s="410">
        <f>aurora_data!L137</f>
        <v>0</v>
      </c>
      <c r="N18" s="411">
        <f>aurora_data!M137</f>
        <v>0</v>
      </c>
      <c r="O18" s="408">
        <f>aurora_data!N137</f>
        <v>0</v>
      </c>
      <c r="P18" s="410">
        <f>aurora_data!O137</f>
        <v>0</v>
      </c>
      <c r="Q18" s="410">
        <f>aurora_data!P137</f>
        <v>0</v>
      </c>
      <c r="R18" s="410">
        <f>aurora_data!Q137</f>
        <v>0</v>
      </c>
      <c r="S18" s="411">
        <f>aurora_data!R137</f>
        <v>0</v>
      </c>
      <c r="T18" s="408">
        <f>aurora_data!S137</f>
        <v>0</v>
      </c>
      <c r="U18" s="410">
        <f>aurora_data!T137</f>
        <v>0</v>
      </c>
      <c r="V18" s="410">
        <f>aurora_data!U137</f>
        <v>0</v>
      </c>
      <c r="W18" s="410">
        <f>aurora_data!V137</f>
        <v>0</v>
      </c>
      <c r="X18" s="411">
        <f>aurora_data!W137</f>
        <v>0</v>
      </c>
      <c r="Y18" s="408">
        <f>aurora_data!X137</f>
        <v>0</v>
      </c>
      <c r="Z18" s="410">
        <f>aurora_data!Y137</f>
        <v>0</v>
      </c>
      <c r="AA18" s="410">
        <f>aurora_data!Z137</f>
        <v>0</v>
      </c>
      <c r="AB18" s="410">
        <f>aurora_data!AA137</f>
        <v>0</v>
      </c>
      <c r="AC18" s="411">
        <f>aurora_data!AB137</f>
        <v>0</v>
      </c>
      <c r="AD18" s="408">
        <f>aurora_data!AC137</f>
        <v>0</v>
      </c>
      <c r="AE18" s="410">
        <f>aurora_data!AD137</f>
        <v>0</v>
      </c>
      <c r="AF18" s="410">
        <f>aurora_data!AE137</f>
        <v>0</v>
      </c>
      <c r="AG18" s="411">
        <f>aurora_data!AF137</f>
        <v>0</v>
      </c>
      <c r="AH18" s="408">
        <f>aurora_data!AG137</f>
        <v>0</v>
      </c>
      <c r="AI18" s="410">
        <f>aurora_data!AH137</f>
        <v>0</v>
      </c>
      <c r="AJ18" s="411">
        <f>aurora_data!AI9</f>
        <v>0</v>
      </c>
      <c r="AK18" s="412"/>
      <c r="AL18" s="408">
        <f>aurora_data!AJ137</f>
        <v>0</v>
      </c>
      <c r="AM18" s="409">
        <f t="shared" si="0"/>
        <v>0</v>
      </c>
      <c r="AO18"/>
      <c r="AP18"/>
      <c r="AQ18"/>
      <c r="AR18"/>
      <c r="AS18"/>
      <c r="AT18"/>
      <c r="AU18"/>
      <c r="AV18"/>
      <c r="AW18"/>
      <c r="AX18"/>
      <c r="AY18"/>
    </row>
    <row r="19" spans="2:51" ht="16.5" thickBot="1">
      <c r="B19" s="452"/>
      <c r="C19" s="454"/>
      <c r="D19" s="37" t="s">
        <v>17</v>
      </c>
      <c r="E19" s="182">
        <f>aurora_data!D138</f>
        <v>0</v>
      </c>
      <c r="F19" s="183">
        <f>aurora_data!E138</f>
        <v>0</v>
      </c>
      <c r="G19" s="183">
        <f>aurora_data!F138</f>
        <v>0</v>
      </c>
      <c r="H19" s="183">
        <f>aurora_data!G138</f>
        <v>0</v>
      </c>
      <c r="I19" s="184">
        <f>aurora_data!H138</f>
        <v>1</v>
      </c>
      <c r="J19" s="182">
        <f>aurora_data!I138</f>
        <v>0</v>
      </c>
      <c r="K19" s="183">
        <f>aurora_data!J138</f>
        <v>1</v>
      </c>
      <c r="L19" s="183">
        <f>aurora_data!K138</f>
        <v>2</v>
      </c>
      <c r="M19" s="183">
        <f>aurora_data!L138</f>
        <v>2</v>
      </c>
      <c r="N19" s="184">
        <f>aurora_data!M138</f>
        <v>5</v>
      </c>
      <c r="O19" s="182">
        <f>aurora_data!N138</f>
        <v>0</v>
      </c>
      <c r="P19" s="183">
        <f>aurora_data!O138</f>
        <v>1</v>
      </c>
      <c r="Q19" s="183">
        <f>aurora_data!P138</f>
        <v>3</v>
      </c>
      <c r="R19" s="183">
        <f>aurora_data!Q138</f>
        <v>4</v>
      </c>
      <c r="S19" s="184">
        <f>aurora_data!R138</f>
        <v>3</v>
      </c>
      <c r="T19" s="182">
        <f>aurora_data!S138</f>
        <v>0</v>
      </c>
      <c r="U19" s="183">
        <f>aurora_data!T138</f>
        <v>0</v>
      </c>
      <c r="V19" s="183">
        <f>aurora_data!U138</f>
        <v>1</v>
      </c>
      <c r="W19" s="183">
        <f>aurora_data!V138</f>
        <v>2</v>
      </c>
      <c r="X19" s="184">
        <f>aurora_data!W138</f>
        <v>3</v>
      </c>
      <c r="Y19" s="182">
        <f>aurora_data!X138</f>
        <v>0</v>
      </c>
      <c r="Z19" s="183">
        <f>aurora_data!Y138</f>
        <v>0</v>
      </c>
      <c r="AA19" s="183">
        <f>aurora_data!Z138</f>
        <v>4</v>
      </c>
      <c r="AB19" s="183">
        <f>aurora_data!AA138</f>
        <v>9</v>
      </c>
      <c r="AC19" s="184">
        <f>aurora_data!AB138</f>
        <v>13</v>
      </c>
      <c r="AD19" s="182">
        <f>aurora_data!AC138</f>
        <v>13</v>
      </c>
      <c r="AE19" s="183">
        <f>aurora_data!AD138</f>
        <v>10</v>
      </c>
      <c r="AF19" s="183">
        <f>aurora_data!AE138</f>
        <v>21</v>
      </c>
      <c r="AG19" s="184">
        <f>aurora_data!AF138</f>
        <v>10</v>
      </c>
      <c r="AH19" s="182">
        <f>aurora_data!AG138</f>
        <v>25</v>
      </c>
      <c r="AI19" s="183">
        <f>aurora_data!AH138</f>
        <v>29</v>
      </c>
      <c r="AJ19" s="183">
        <f>aurora_data!AI10</f>
        <v>0</v>
      </c>
      <c r="AK19" s="412"/>
      <c r="AL19" s="182">
        <f>aurora_data!AJ138</f>
        <v>54</v>
      </c>
      <c r="AM19" s="413">
        <f t="shared" si="0"/>
        <v>1.08</v>
      </c>
      <c r="AO19"/>
      <c r="AP19"/>
      <c r="AQ19"/>
      <c r="AR19"/>
      <c r="AS19"/>
      <c r="AT19"/>
      <c r="AU19"/>
      <c r="AV19"/>
      <c r="AW19"/>
      <c r="AX19"/>
      <c r="AY19"/>
    </row>
    <row r="20" spans="2:51" ht="16.5" thickBot="1">
      <c r="B20" s="452"/>
      <c r="C20" s="454"/>
      <c r="D20" s="38" t="s">
        <v>343</v>
      </c>
      <c r="E20" s="265">
        <f>aurora_data!D139</f>
        <v>0</v>
      </c>
      <c r="F20" s="266">
        <f>aurora_data!E139</f>
        <v>0</v>
      </c>
      <c r="G20" s="266">
        <f>aurora_data!F139</f>
        <v>0</v>
      </c>
      <c r="H20" s="266">
        <f>aurora_data!G139</f>
        <v>0</v>
      </c>
      <c r="I20" s="266">
        <f>aurora_data!H139</f>
        <v>0</v>
      </c>
      <c r="J20" s="265">
        <f>aurora_data!I139</f>
        <v>0</v>
      </c>
      <c r="K20" s="266">
        <f>aurora_data!J139</f>
        <v>0</v>
      </c>
      <c r="L20" s="266">
        <f>aurora_data!K139</f>
        <v>0</v>
      </c>
      <c r="M20" s="266">
        <f>aurora_data!L139</f>
        <v>0</v>
      </c>
      <c r="N20" s="267">
        <f>aurora_data!M139</f>
        <v>0</v>
      </c>
      <c r="O20" s="265">
        <f>aurora_data!N139</f>
        <v>0</v>
      </c>
      <c r="P20" s="266">
        <f>aurora_data!O139</f>
        <v>0</v>
      </c>
      <c r="Q20" s="266">
        <f>aurora_data!P139</f>
        <v>0</v>
      </c>
      <c r="R20" s="266">
        <f>aurora_data!Q139</f>
        <v>0</v>
      </c>
      <c r="S20" s="267">
        <f>aurora_data!R139</f>
        <v>0</v>
      </c>
      <c r="T20" s="265">
        <f>aurora_data!S139</f>
        <v>0</v>
      </c>
      <c r="U20" s="266">
        <f>aurora_data!T139</f>
        <v>0</v>
      </c>
      <c r="V20" s="266">
        <f>aurora_data!U139</f>
        <v>0</v>
      </c>
      <c r="W20" s="266">
        <f>aurora_data!V139</f>
        <v>0</v>
      </c>
      <c r="X20" s="267">
        <f>aurora_data!W139</f>
        <v>0</v>
      </c>
      <c r="Y20" s="265">
        <f>aurora_data!X139</f>
        <v>0</v>
      </c>
      <c r="Z20" s="266">
        <f>aurora_data!Y139</f>
        <v>0</v>
      </c>
      <c r="AA20" s="266">
        <f>aurora_data!Z139</f>
        <v>0</v>
      </c>
      <c r="AB20" s="266">
        <f>aurora_data!AA139</f>
        <v>0</v>
      </c>
      <c r="AC20" s="267">
        <f>aurora_data!AB139</f>
        <v>0</v>
      </c>
      <c r="AD20" s="265">
        <f>aurora_data!AC139</f>
        <v>0</v>
      </c>
      <c r="AE20" s="266">
        <f>aurora_data!AD139</f>
        <v>0</v>
      </c>
      <c r="AF20" s="266">
        <f>aurora_data!AE139</f>
        <v>0</v>
      </c>
      <c r="AG20" s="267">
        <f>aurora_data!AF139</f>
        <v>0</v>
      </c>
      <c r="AH20" s="265">
        <f>aurora_data!AG139</f>
        <v>0</v>
      </c>
      <c r="AI20" s="266">
        <f>aurora_data!AH139</f>
        <v>0</v>
      </c>
      <c r="AJ20" s="268">
        <f>aurora_data!AI11</f>
        <v>0</v>
      </c>
      <c r="AK20" s="269"/>
      <c r="AL20" s="265">
        <f>aurora_data!AJ139</f>
        <v>0</v>
      </c>
      <c r="AM20" s="270">
        <f t="shared" si="0"/>
        <v>0</v>
      </c>
      <c r="AO20"/>
      <c r="AP20"/>
      <c r="AQ20"/>
      <c r="AR20"/>
      <c r="AS20"/>
      <c r="AT20"/>
      <c r="AU20"/>
      <c r="AV20"/>
      <c r="AW20"/>
      <c r="AX20"/>
      <c r="AY20"/>
    </row>
    <row r="21" spans="2:51" outlineLevel="1">
      <c r="B21" s="452"/>
      <c r="C21" s="454"/>
      <c r="D21" s="199" t="s">
        <v>344</v>
      </c>
      <c r="E21" s="271">
        <f t="shared" ref="E21:AC21" si="1">ROUNDDOWN((E23+$E$9)*($AL13),0)</f>
        <v>1</v>
      </c>
      <c r="F21" s="272">
        <f t="shared" si="1"/>
        <v>1</v>
      </c>
      <c r="G21" s="272">
        <f t="shared" si="1"/>
        <v>1</v>
      </c>
      <c r="H21" s="272">
        <f t="shared" si="1"/>
        <v>1</v>
      </c>
      <c r="I21" s="272">
        <f t="shared" si="1"/>
        <v>2</v>
      </c>
      <c r="J21" s="271">
        <f t="shared" si="1"/>
        <v>1</v>
      </c>
      <c r="K21" s="272">
        <f t="shared" si="1"/>
        <v>1</v>
      </c>
      <c r="L21" s="272">
        <f t="shared" si="1"/>
        <v>2</v>
      </c>
      <c r="M21" s="272">
        <f t="shared" si="1"/>
        <v>3</v>
      </c>
      <c r="N21" s="268">
        <f t="shared" si="1"/>
        <v>2</v>
      </c>
      <c r="O21" s="271">
        <f t="shared" si="1"/>
        <v>1</v>
      </c>
      <c r="P21" s="272">
        <f t="shared" si="1"/>
        <v>2</v>
      </c>
      <c r="Q21" s="272">
        <f t="shared" si="1"/>
        <v>4</v>
      </c>
      <c r="R21" s="272">
        <f t="shared" si="1"/>
        <v>4</v>
      </c>
      <c r="S21" s="268">
        <f t="shared" si="1"/>
        <v>3</v>
      </c>
      <c r="T21" s="271">
        <f t="shared" si="1"/>
        <v>1</v>
      </c>
      <c r="U21" s="272">
        <f t="shared" si="1"/>
        <v>1</v>
      </c>
      <c r="V21" s="272">
        <f t="shared" si="1"/>
        <v>1</v>
      </c>
      <c r="W21" s="272">
        <f t="shared" si="1"/>
        <v>2</v>
      </c>
      <c r="X21" s="268">
        <f t="shared" si="1"/>
        <v>3</v>
      </c>
      <c r="Y21" s="271">
        <f t="shared" si="1"/>
        <v>1</v>
      </c>
      <c r="Z21" s="272">
        <f t="shared" si="1"/>
        <v>1</v>
      </c>
      <c r="AA21" s="272">
        <f t="shared" si="1"/>
        <v>4</v>
      </c>
      <c r="AB21" s="272">
        <f t="shared" si="1"/>
        <v>8</v>
      </c>
      <c r="AC21" s="268">
        <f t="shared" si="1"/>
        <v>12</v>
      </c>
      <c r="AD21" s="271">
        <f>ROUNDDOWN((AD23+$AD$9)*($AL13),0)</f>
        <v>16</v>
      </c>
      <c r="AE21" s="272">
        <f>ROUNDDOWN((AE23+$AD$9)*($AL13),0)</f>
        <v>12</v>
      </c>
      <c r="AF21" s="272">
        <f t="shared" ref="AF21:AG21" si="2">ROUNDDOWN((AF23+$AD$9)*($AL13),0)</f>
        <v>25</v>
      </c>
      <c r="AG21" s="268">
        <f t="shared" si="2"/>
        <v>16</v>
      </c>
      <c r="AH21" s="271">
        <f>ROUNDDOWN((AH23+$AH$9)*($AL13),0)</f>
        <v>25</v>
      </c>
      <c r="AI21" s="272">
        <f>ROUNDDOWN((AI23+$AH$8)*($AL13),0)</f>
        <v>25</v>
      </c>
      <c r="AJ21" s="268"/>
      <c r="AK21" s="273"/>
      <c r="AL21" s="274"/>
      <c r="AM21" s="275"/>
      <c r="AO21"/>
      <c r="AP21"/>
      <c r="AQ21"/>
      <c r="AR21"/>
      <c r="AS21"/>
      <c r="AT21"/>
      <c r="AU21"/>
      <c r="AV21"/>
      <c r="AW21"/>
      <c r="AX21"/>
      <c r="AY21"/>
    </row>
    <row r="22" spans="2:51" ht="16.5" customHeight="1" outlineLevel="1">
      <c r="B22" s="452"/>
      <c r="C22" s="454"/>
      <c r="D22" s="199" t="s">
        <v>345</v>
      </c>
      <c r="E22" s="276">
        <f t="shared" ref="E22:AC22" si="3">IF(ROUND(((E23-$E$9)*($AL13))+0.25,0) &lt;=0,1,((E23-$E$9)*($AL13))+0.25)</f>
        <v>1</v>
      </c>
      <c r="F22" s="277">
        <f t="shared" si="3"/>
        <v>1</v>
      </c>
      <c r="G22" s="277">
        <f t="shared" si="3"/>
        <v>1</v>
      </c>
      <c r="H22" s="277">
        <f t="shared" si="3"/>
        <v>1</v>
      </c>
      <c r="I22" s="277">
        <f t="shared" si="3"/>
        <v>0.92999999999999983</v>
      </c>
      <c r="J22" s="276">
        <f t="shared" si="3"/>
        <v>1</v>
      </c>
      <c r="K22" s="277">
        <f t="shared" si="3"/>
        <v>1</v>
      </c>
      <c r="L22" s="277">
        <f t="shared" si="3"/>
        <v>1</v>
      </c>
      <c r="M22" s="277">
        <f t="shared" si="3"/>
        <v>1.5099999999999998</v>
      </c>
      <c r="N22" s="278">
        <f t="shared" si="3"/>
        <v>0.88999999999999979</v>
      </c>
      <c r="O22" s="276">
        <f t="shared" si="3"/>
        <v>1</v>
      </c>
      <c r="P22" s="277">
        <f t="shared" si="3"/>
        <v>0.6100000000000001</v>
      </c>
      <c r="Q22" s="277">
        <f t="shared" si="3"/>
        <v>2.58</v>
      </c>
      <c r="R22" s="277">
        <f t="shared" si="3"/>
        <v>3.18</v>
      </c>
      <c r="S22" s="278">
        <f t="shared" si="3"/>
        <v>2</v>
      </c>
      <c r="T22" s="276">
        <f t="shared" si="3"/>
        <v>1</v>
      </c>
      <c r="U22" s="277">
        <f t="shared" si="3"/>
        <v>1</v>
      </c>
      <c r="V22" s="277">
        <f t="shared" si="3"/>
        <v>1</v>
      </c>
      <c r="W22" s="277">
        <f t="shared" si="3"/>
        <v>0.91</v>
      </c>
      <c r="X22" s="278">
        <f t="shared" si="3"/>
        <v>1.4100000000000001</v>
      </c>
      <c r="Y22" s="276">
        <f t="shared" si="3"/>
        <v>1</v>
      </c>
      <c r="Z22" s="277">
        <f t="shared" si="3"/>
        <v>1</v>
      </c>
      <c r="AA22" s="277">
        <f t="shared" si="3"/>
        <v>2.9299999999999997</v>
      </c>
      <c r="AB22" s="277">
        <f t="shared" si="3"/>
        <v>7.02</v>
      </c>
      <c r="AC22" s="278">
        <f t="shared" si="3"/>
        <v>11.240000000000002</v>
      </c>
      <c r="AD22" s="276">
        <f>IF(((AD23-$AD$9)*($AL13))+0.5 &lt;0,1,((AD23-$AD$9)*($AL13))+0.5 )</f>
        <v>6.5799999999999992</v>
      </c>
      <c r="AE22" s="277">
        <f t="shared" ref="AE22:AG22" si="4">IF(((AE23-$AD$9)*($AL13))+0.5 &lt;0,1,((AE23-$AD$9)*($AL13))+0.5 )</f>
        <v>3.129999999999999</v>
      </c>
      <c r="AF22" s="277">
        <f t="shared" si="4"/>
        <v>15.500000000000002</v>
      </c>
      <c r="AG22" s="278">
        <f t="shared" si="4"/>
        <v>6.7899999999999983</v>
      </c>
      <c r="AH22" s="276">
        <f>IF(((AH23-$AH$9)*($AL13))+0.5 &lt;0,1,((AH23-$AH$9)*($AL13)) )</f>
        <v>25</v>
      </c>
      <c r="AI22" s="277">
        <f>IF(((AI23-$AH$9)*($AL13))+0.5 &lt;0,1,((AI23-$AH$9)*($AL13)) )</f>
        <v>25</v>
      </c>
      <c r="AJ22" s="278"/>
      <c r="AK22" s="273"/>
      <c r="AL22" s="274"/>
      <c r="AM22" s="275"/>
      <c r="AO22"/>
      <c r="AP22"/>
      <c r="AQ22"/>
      <c r="AR22"/>
      <c r="AS22"/>
      <c r="AT22"/>
      <c r="AU22"/>
      <c r="AV22"/>
      <c r="AW22"/>
      <c r="AX22"/>
      <c r="AY22"/>
    </row>
    <row r="23" spans="2:51" ht="16.5" customHeight="1" outlineLevel="1">
      <c r="B23" s="452"/>
      <c r="C23" s="454"/>
      <c r="D23" s="95" t="s">
        <v>346</v>
      </c>
      <c r="E23" s="414">
        <f t="shared" ref="E23:AJ23" si="5">IFERROR(E13/$AL13,0)</f>
        <v>2E-3</v>
      </c>
      <c r="F23" s="415">
        <f t="shared" si="5"/>
        <v>2E-3</v>
      </c>
      <c r="G23" s="415">
        <f t="shared" si="5"/>
        <v>5.0000000000000001E-3</v>
      </c>
      <c r="H23" s="415">
        <f t="shared" si="5"/>
        <v>9.0000000000000011E-3</v>
      </c>
      <c r="I23" s="415">
        <f t="shared" si="5"/>
        <v>3.3599999999999998E-2</v>
      </c>
      <c r="J23" s="414">
        <f t="shared" si="5"/>
        <v>2E-3</v>
      </c>
      <c r="K23" s="415">
        <f t="shared" si="5"/>
        <v>7.4000000000000003E-3</v>
      </c>
      <c r="L23" s="415">
        <f t="shared" si="5"/>
        <v>3.5000000000000003E-2</v>
      </c>
      <c r="M23" s="415">
        <f t="shared" si="5"/>
        <v>4.5199999999999997E-2</v>
      </c>
      <c r="N23" s="416">
        <f t="shared" si="5"/>
        <v>3.2799999999999996E-2</v>
      </c>
      <c r="O23" s="414">
        <f t="shared" si="5"/>
        <v>1.46E-2</v>
      </c>
      <c r="P23" s="415">
        <f t="shared" si="5"/>
        <v>2.7200000000000002E-2</v>
      </c>
      <c r="Q23" s="415">
        <f t="shared" si="5"/>
        <v>6.6600000000000006E-2</v>
      </c>
      <c r="R23" s="415">
        <f t="shared" si="5"/>
        <v>7.8600000000000003E-2</v>
      </c>
      <c r="S23" s="416">
        <f t="shared" si="5"/>
        <v>5.5E-2</v>
      </c>
      <c r="T23" s="414">
        <f t="shared" si="5"/>
        <v>2E-3</v>
      </c>
      <c r="U23" s="415">
        <f t="shared" si="5"/>
        <v>4.0000000000000001E-3</v>
      </c>
      <c r="V23" s="415">
        <f t="shared" si="5"/>
        <v>1.84E-2</v>
      </c>
      <c r="W23" s="415">
        <f t="shared" si="5"/>
        <v>3.32E-2</v>
      </c>
      <c r="X23" s="416">
        <f t="shared" si="5"/>
        <v>4.3200000000000002E-2</v>
      </c>
      <c r="Y23" s="414">
        <f t="shared" si="5"/>
        <v>5.6000000000000008E-3</v>
      </c>
      <c r="Z23" s="415">
        <f t="shared" si="5"/>
        <v>8.8000000000000005E-3</v>
      </c>
      <c r="AA23" s="415">
        <f t="shared" si="5"/>
        <v>7.3599999999999999E-2</v>
      </c>
      <c r="AB23" s="415">
        <f t="shared" si="5"/>
        <v>0.15539999999999998</v>
      </c>
      <c r="AC23" s="416">
        <f t="shared" si="5"/>
        <v>0.23980000000000001</v>
      </c>
      <c r="AD23" s="414">
        <f t="shared" si="5"/>
        <v>0.22159999999999999</v>
      </c>
      <c r="AE23" s="415">
        <f t="shared" si="5"/>
        <v>0.15259999999999999</v>
      </c>
      <c r="AF23" s="415">
        <f t="shared" si="5"/>
        <v>0.4</v>
      </c>
      <c r="AG23" s="416">
        <f t="shared" si="5"/>
        <v>0.22579999999999997</v>
      </c>
      <c r="AH23" s="415">
        <f t="shared" si="5"/>
        <v>0.5</v>
      </c>
      <c r="AI23" s="415">
        <f t="shared" si="5"/>
        <v>0.5</v>
      </c>
      <c r="AJ23" s="415">
        <f t="shared" si="5"/>
        <v>0</v>
      </c>
      <c r="AK23" s="407"/>
      <c r="AL23" s="417"/>
      <c r="AM23" s="418"/>
      <c r="AO23"/>
      <c r="AP23"/>
      <c r="AQ23"/>
      <c r="AR23"/>
      <c r="AS23"/>
      <c r="AT23"/>
      <c r="AU23"/>
      <c r="AV23"/>
      <c r="AW23"/>
      <c r="AX23"/>
      <c r="AY23"/>
    </row>
    <row r="24" spans="2:51" ht="16.5" customHeight="1" outlineLevel="1">
      <c r="B24" s="452"/>
      <c r="C24" s="454"/>
      <c r="D24" s="180" t="s">
        <v>347</v>
      </c>
      <c r="E24" s="414">
        <f t="shared" ref="E24:AJ24" si="6">IFERROR(E14/$AL13,0)</f>
        <v>0</v>
      </c>
      <c r="F24" s="415">
        <f t="shared" si="6"/>
        <v>0</v>
      </c>
      <c r="G24" s="415">
        <f t="shared" si="6"/>
        <v>0</v>
      </c>
      <c r="H24" s="415">
        <f t="shared" si="6"/>
        <v>0</v>
      </c>
      <c r="I24" s="415">
        <f t="shared" si="6"/>
        <v>0</v>
      </c>
      <c r="J24" s="414">
        <f t="shared" si="6"/>
        <v>0</v>
      </c>
      <c r="K24" s="415">
        <f t="shared" si="6"/>
        <v>0.02</v>
      </c>
      <c r="L24" s="415">
        <f t="shared" si="6"/>
        <v>0.02</v>
      </c>
      <c r="M24" s="415">
        <f t="shared" si="6"/>
        <v>0</v>
      </c>
      <c r="N24" s="416">
        <f t="shared" si="6"/>
        <v>0.04</v>
      </c>
      <c r="O24" s="414">
        <f t="shared" si="6"/>
        <v>0</v>
      </c>
      <c r="P24" s="415">
        <f t="shared" si="6"/>
        <v>0</v>
      </c>
      <c r="Q24" s="415">
        <f t="shared" si="6"/>
        <v>0.06</v>
      </c>
      <c r="R24" s="415">
        <f t="shared" si="6"/>
        <v>0.06</v>
      </c>
      <c r="S24" s="416">
        <f t="shared" si="6"/>
        <v>0.04</v>
      </c>
      <c r="T24" s="414">
        <f t="shared" si="6"/>
        <v>0</v>
      </c>
      <c r="U24" s="415">
        <f t="shared" si="6"/>
        <v>0</v>
      </c>
      <c r="V24" s="415">
        <f t="shared" si="6"/>
        <v>0.02</v>
      </c>
      <c r="W24" s="415">
        <f t="shared" si="6"/>
        <v>0.02</v>
      </c>
      <c r="X24" s="416">
        <f t="shared" si="6"/>
        <v>0.04</v>
      </c>
      <c r="Y24" s="414">
        <f t="shared" si="6"/>
        <v>0</v>
      </c>
      <c r="Z24" s="415">
        <f t="shared" si="6"/>
        <v>0</v>
      </c>
      <c r="AA24" s="415">
        <f t="shared" si="6"/>
        <v>0.08</v>
      </c>
      <c r="AB24" s="415">
        <f t="shared" si="6"/>
        <v>0.18</v>
      </c>
      <c r="AC24" s="416">
        <f t="shared" si="6"/>
        <v>0.24</v>
      </c>
      <c r="AD24" s="414">
        <f t="shared" si="6"/>
        <v>0.2</v>
      </c>
      <c r="AE24" s="415">
        <f t="shared" si="6"/>
        <v>0.14000000000000001</v>
      </c>
      <c r="AF24" s="415">
        <f t="shared" si="6"/>
        <v>0.28000000000000003</v>
      </c>
      <c r="AG24" s="416">
        <f t="shared" si="6"/>
        <v>0.2</v>
      </c>
      <c r="AH24" s="415">
        <f t="shared" si="6"/>
        <v>0.4</v>
      </c>
      <c r="AI24" s="415">
        <f t="shared" si="6"/>
        <v>0.42</v>
      </c>
      <c r="AJ24" s="415">
        <f t="shared" si="6"/>
        <v>0</v>
      </c>
      <c r="AK24" s="407"/>
      <c r="AL24" s="417"/>
      <c r="AM24" s="418"/>
      <c r="AO24"/>
      <c r="AP24"/>
      <c r="AQ24"/>
      <c r="AR24"/>
      <c r="AS24"/>
      <c r="AT24"/>
      <c r="AU24"/>
      <c r="AV24"/>
      <c r="AW24"/>
      <c r="AX24"/>
      <c r="AY24"/>
    </row>
    <row r="25" spans="2:51" ht="16.5" outlineLevel="1" thickBot="1">
      <c r="B25" s="456"/>
      <c r="C25" s="455"/>
      <c r="D25" s="180" t="s">
        <v>348</v>
      </c>
      <c r="E25" s="414">
        <f t="shared" ref="E25:AJ25" si="7">E24-E23</f>
        <v>-2E-3</v>
      </c>
      <c r="F25" s="415">
        <f t="shared" si="7"/>
        <v>-2E-3</v>
      </c>
      <c r="G25" s="415">
        <f t="shared" si="7"/>
        <v>-5.0000000000000001E-3</v>
      </c>
      <c r="H25" s="415">
        <f t="shared" si="7"/>
        <v>-9.0000000000000011E-3</v>
      </c>
      <c r="I25" s="415">
        <f t="shared" si="7"/>
        <v>-3.3599999999999998E-2</v>
      </c>
      <c r="J25" s="414">
        <f t="shared" si="7"/>
        <v>-2E-3</v>
      </c>
      <c r="K25" s="415">
        <f t="shared" si="7"/>
        <v>1.26E-2</v>
      </c>
      <c r="L25" s="415">
        <f t="shared" si="7"/>
        <v>-1.5000000000000003E-2</v>
      </c>
      <c r="M25" s="415">
        <f t="shared" si="7"/>
        <v>-4.5199999999999997E-2</v>
      </c>
      <c r="N25" s="416">
        <f t="shared" si="7"/>
        <v>7.200000000000005E-3</v>
      </c>
      <c r="O25" s="414">
        <f t="shared" si="7"/>
        <v>-1.46E-2</v>
      </c>
      <c r="P25" s="415">
        <f t="shared" si="7"/>
        <v>-2.7200000000000002E-2</v>
      </c>
      <c r="Q25" s="415">
        <f t="shared" si="7"/>
        <v>-6.6000000000000086E-3</v>
      </c>
      <c r="R25" s="415">
        <f t="shared" si="7"/>
        <v>-1.8600000000000005E-2</v>
      </c>
      <c r="S25" s="416">
        <f t="shared" si="7"/>
        <v>-1.4999999999999999E-2</v>
      </c>
      <c r="T25" s="414">
        <f t="shared" si="7"/>
        <v>-2E-3</v>
      </c>
      <c r="U25" s="415">
        <f t="shared" si="7"/>
        <v>-4.0000000000000001E-3</v>
      </c>
      <c r="V25" s="415">
        <f t="shared" si="7"/>
        <v>1.6000000000000007E-3</v>
      </c>
      <c r="W25" s="415">
        <f t="shared" si="7"/>
        <v>-1.32E-2</v>
      </c>
      <c r="X25" s="416">
        <f t="shared" si="7"/>
        <v>-3.2000000000000015E-3</v>
      </c>
      <c r="Y25" s="414">
        <f t="shared" si="7"/>
        <v>-5.6000000000000008E-3</v>
      </c>
      <c r="Z25" s="415">
        <f t="shared" si="7"/>
        <v>-8.8000000000000005E-3</v>
      </c>
      <c r="AA25" s="415">
        <f t="shared" si="7"/>
        <v>6.4000000000000029E-3</v>
      </c>
      <c r="AB25" s="415">
        <f t="shared" si="7"/>
        <v>2.4600000000000011E-2</v>
      </c>
      <c r="AC25" s="416">
        <f t="shared" si="7"/>
        <v>1.9999999999997797E-4</v>
      </c>
      <c r="AD25" s="414">
        <f t="shared" si="7"/>
        <v>-2.159999999999998E-2</v>
      </c>
      <c r="AE25" s="415">
        <f t="shared" si="7"/>
        <v>-1.2599999999999972E-2</v>
      </c>
      <c r="AF25" s="415">
        <f t="shared" si="7"/>
        <v>-0.12</v>
      </c>
      <c r="AG25" s="416">
        <f t="shared" si="7"/>
        <v>-2.5799999999999962E-2</v>
      </c>
      <c r="AH25" s="415">
        <f t="shared" si="7"/>
        <v>-9.9999999999999978E-2</v>
      </c>
      <c r="AI25" s="415">
        <f t="shared" si="7"/>
        <v>-8.0000000000000016E-2</v>
      </c>
      <c r="AJ25" s="415">
        <f t="shared" si="7"/>
        <v>0</v>
      </c>
      <c r="AK25" s="407"/>
      <c r="AL25" s="417"/>
      <c r="AM25" s="418"/>
      <c r="AO25"/>
      <c r="AP25"/>
      <c r="AQ25"/>
      <c r="AR25"/>
      <c r="AS25"/>
      <c r="AT25"/>
      <c r="AU25"/>
      <c r="AV25"/>
      <c r="AW25"/>
      <c r="AX25"/>
      <c r="AY25"/>
    </row>
    <row r="26" spans="2:51" ht="16.5" customHeight="1" thickTop="1">
      <c r="B26" s="451" t="s">
        <v>338</v>
      </c>
      <c r="C26" s="453" t="str">
        <f>aurora_data!A140</f>
        <v>07.00.00-07.11.30</v>
      </c>
      <c r="D26" s="34" t="s">
        <v>306</v>
      </c>
      <c r="E26" s="152">
        <f>aurora_data!D140</f>
        <v>7.0000000000000007E-2</v>
      </c>
      <c r="F26" s="153">
        <f>aurora_data!E140</f>
        <v>0.08</v>
      </c>
      <c r="G26" s="153">
        <f>aurora_data!F140</f>
        <v>0.24</v>
      </c>
      <c r="H26" s="153">
        <f>aurora_data!G140</f>
        <v>0.38</v>
      </c>
      <c r="I26" s="153">
        <f>aurora_data!H140</f>
        <v>1.62</v>
      </c>
      <c r="J26" s="152">
        <f>aurora_data!I140</f>
        <v>0.12</v>
      </c>
      <c r="K26" s="153">
        <f>aurora_data!J140</f>
        <v>0.4</v>
      </c>
      <c r="L26" s="153">
        <f>aurora_data!K140</f>
        <v>1.78</v>
      </c>
      <c r="M26" s="153">
        <f>aurora_data!L140</f>
        <v>2.2599999999999998</v>
      </c>
      <c r="N26" s="154">
        <f>aurora_data!M140</f>
        <v>1.66</v>
      </c>
      <c r="O26" s="152">
        <f>aurora_data!N140</f>
        <v>0.81</v>
      </c>
      <c r="P26" s="153">
        <f>aurora_data!O140</f>
        <v>1.46</v>
      </c>
      <c r="Q26" s="153">
        <f>aurora_data!P140</f>
        <v>3.48</v>
      </c>
      <c r="R26" s="153">
        <f>aurora_data!Q140</f>
        <v>3.94</v>
      </c>
      <c r="S26" s="154">
        <f>aurora_data!R140</f>
        <v>2.59</v>
      </c>
      <c r="T26" s="152">
        <f>aurora_data!S140</f>
        <v>0.1</v>
      </c>
      <c r="U26" s="153">
        <f>aurora_data!T140</f>
        <v>0.19</v>
      </c>
      <c r="V26" s="153">
        <f>aurora_data!U140</f>
        <v>0.8</v>
      </c>
      <c r="W26" s="153">
        <f>aurora_data!V140</f>
        <v>1.73</v>
      </c>
      <c r="X26" s="154">
        <f>aurora_data!W140</f>
        <v>2.02</v>
      </c>
      <c r="Y26" s="152">
        <f>aurora_data!X140</f>
        <v>0.25</v>
      </c>
      <c r="Z26" s="153">
        <f>aurora_data!Y140</f>
        <v>0.52</v>
      </c>
      <c r="AA26" s="153">
        <f>aurora_data!Z140</f>
        <v>3.49</v>
      </c>
      <c r="AB26" s="153">
        <f>aurora_data!AA140</f>
        <v>7.96</v>
      </c>
      <c r="AC26" s="154">
        <f>aurora_data!AB140</f>
        <v>12.05</v>
      </c>
      <c r="AD26" s="152">
        <f>aurora_data!AC140</f>
        <v>10.42</v>
      </c>
      <c r="AE26" s="153">
        <f>aurora_data!AD140</f>
        <v>7.65</v>
      </c>
      <c r="AF26" s="153">
        <f>aurora_data!AE140</f>
        <v>20.25</v>
      </c>
      <c r="AG26" s="154">
        <f>aurora_data!AF140</f>
        <v>11.68</v>
      </c>
      <c r="AH26" s="155">
        <f>aurora_data!AG140</f>
        <v>25</v>
      </c>
      <c r="AI26" s="171">
        <f>aurora_data!AH140</f>
        <v>25</v>
      </c>
      <c r="AJ26" s="171">
        <f>aurora_data!AI12</f>
        <v>0</v>
      </c>
      <c r="AK26" s="407"/>
      <c r="AL26" s="155">
        <f>aurora_data!AJ140</f>
        <v>50</v>
      </c>
      <c r="AM26" s="167">
        <f t="shared" ref="AM26:AM33" si="8">SUM(AL26)/$AL$26</f>
        <v>1</v>
      </c>
      <c r="AO26"/>
      <c r="AP26"/>
      <c r="AQ26"/>
      <c r="AR26"/>
      <c r="AS26"/>
      <c r="AT26"/>
      <c r="AU26"/>
      <c r="AV26"/>
      <c r="AW26"/>
      <c r="AX26"/>
      <c r="AY26"/>
    </row>
    <row r="27" spans="2:51" ht="16.5" customHeight="1">
      <c r="B27" s="452"/>
      <c r="C27" s="454"/>
      <c r="D27" s="35" t="s">
        <v>339</v>
      </c>
      <c r="E27" s="262">
        <f>aurora_data!D141</f>
        <v>0</v>
      </c>
      <c r="F27" s="263">
        <f>aurora_data!E141</f>
        <v>0</v>
      </c>
      <c r="G27" s="263">
        <f>aurora_data!F141</f>
        <v>0</v>
      </c>
      <c r="H27" s="263">
        <f>aurora_data!G141</f>
        <v>0</v>
      </c>
      <c r="I27" s="263">
        <f>aurora_data!H141</f>
        <v>0</v>
      </c>
      <c r="J27" s="262">
        <f>aurora_data!I141</f>
        <v>0</v>
      </c>
      <c r="K27" s="263">
        <f>aurora_data!J141</f>
        <v>0</v>
      </c>
      <c r="L27" s="263">
        <f>aurora_data!K141</f>
        <v>2</v>
      </c>
      <c r="M27" s="263">
        <f>aurora_data!L141</f>
        <v>1</v>
      </c>
      <c r="N27" s="264">
        <f>aurora_data!M141</f>
        <v>2</v>
      </c>
      <c r="O27" s="262">
        <f>aurora_data!N141</f>
        <v>0</v>
      </c>
      <c r="P27" s="263">
        <f>aurora_data!O141</f>
        <v>0</v>
      </c>
      <c r="Q27" s="263">
        <f>aurora_data!P141</f>
        <v>1</v>
      </c>
      <c r="R27" s="263">
        <f>aurora_data!Q141</f>
        <v>4</v>
      </c>
      <c r="S27" s="264">
        <f>aurora_data!R141</f>
        <v>2</v>
      </c>
      <c r="T27" s="262">
        <f>aurora_data!S141</f>
        <v>0</v>
      </c>
      <c r="U27" s="263">
        <f>aurora_data!T141</f>
        <v>0</v>
      </c>
      <c r="V27" s="263">
        <f>aurora_data!U141</f>
        <v>0</v>
      </c>
      <c r="W27" s="263">
        <f>aurora_data!V141</f>
        <v>1</v>
      </c>
      <c r="X27" s="264">
        <f>aurora_data!W141</f>
        <v>2</v>
      </c>
      <c r="Y27" s="262">
        <f>aurora_data!X141</f>
        <v>1</v>
      </c>
      <c r="Z27" s="263">
        <f>aurora_data!Y141</f>
        <v>0</v>
      </c>
      <c r="AA27" s="263">
        <f>aurora_data!Z141</f>
        <v>0</v>
      </c>
      <c r="AB27" s="263">
        <f>aurora_data!AA141</f>
        <v>6</v>
      </c>
      <c r="AC27" s="264">
        <f>aurora_data!AB141</f>
        <v>12</v>
      </c>
      <c r="AD27" s="262">
        <f>aurora_data!AC141</f>
        <v>11</v>
      </c>
      <c r="AE27" s="263">
        <f>aurora_data!AD141</f>
        <v>8</v>
      </c>
      <c r="AF27" s="263">
        <f>aurora_data!AE141</f>
        <v>9</v>
      </c>
      <c r="AG27" s="264">
        <f>aurora_data!AF141</f>
        <v>6</v>
      </c>
      <c r="AH27" s="262">
        <f>aurora_data!AG141</f>
        <v>18</v>
      </c>
      <c r="AI27" s="263">
        <f>aurora_data!AH141</f>
        <v>16</v>
      </c>
      <c r="AJ27" s="264">
        <f>aurora_data!AI13</f>
        <v>0</v>
      </c>
      <c r="AK27" s="407"/>
      <c r="AL27" s="408">
        <f>aurora_data!AJ141</f>
        <v>34</v>
      </c>
      <c r="AM27" s="409">
        <f t="shared" si="8"/>
        <v>0.68</v>
      </c>
      <c r="AO27"/>
      <c r="AP27"/>
      <c r="AQ27"/>
      <c r="AR27"/>
      <c r="AS27"/>
      <c r="AT27"/>
      <c r="AU27"/>
      <c r="AV27"/>
      <c r="AW27"/>
      <c r="AX27"/>
      <c r="AY27"/>
    </row>
    <row r="28" spans="2:51">
      <c r="B28" s="452"/>
      <c r="C28" s="454"/>
      <c r="D28" s="35" t="s">
        <v>291</v>
      </c>
      <c r="E28" s="408">
        <f>aurora_data!D142</f>
        <v>0</v>
      </c>
      <c r="F28" s="410">
        <f>aurora_data!E142</f>
        <v>0</v>
      </c>
      <c r="G28" s="410">
        <f>aurora_data!F142</f>
        <v>0</v>
      </c>
      <c r="H28" s="410">
        <f>aurora_data!G142</f>
        <v>0</v>
      </c>
      <c r="I28" s="410">
        <f>aurora_data!H142</f>
        <v>0</v>
      </c>
      <c r="J28" s="408">
        <f>aurora_data!I142</f>
        <v>0</v>
      </c>
      <c r="K28" s="410">
        <f>aurora_data!J142</f>
        <v>0</v>
      </c>
      <c r="L28" s="410">
        <f>aurora_data!K142</f>
        <v>0</v>
      </c>
      <c r="M28" s="410">
        <f>aurora_data!L142</f>
        <v>0</v>
      </c>
      <c r="N28" s="411">
        <f>aurora_data!M142</f>
        <v>1</v>
      </c>
      <c r="O28" s="408">
        <f>aurora_data!N142</f>
        <v>0</v>
      </c>
      <c r="P28" s="410">
        <f>aurora_data!O142</f>
        <v>0</v>
      </c>
      <c r="Q28" s="410">
        <f>aurora_data!P142</f>
        <v>0</v>
      </c>
      <c r="R28" s="410">
        <f>aurora_data!Q142</f>
        <v>0</v>
      </c>
      <c r="S28" s="411">
        <f>aurora_data!R142</f>
        <v>0</v>
      </c>
      <c r="T28" s="408">
        <f>aurora_data!S142</f>
        <v>0</v>
      </c>
      <c r="U28" s="410">
        <f>aurora_data!T142</f>
        <v>0</v>
      </c>
      <c r="V28" s="410">
        <f>aurora_data!U142</f>
        <v>0</v>
      </c>
      <c r="W28" s="410">
        <f>aurora_data!V142</f>
        <v>0</v>
      </c>
      <c r="X28" s="411">
        <f>aurora_data!W142</f>
        <v>0</v>
      </c>
      <c r="Y28" s="408">
        <f>aurora_data!X142</f>
        <v>0</v>
      </c>
      <c r="Z28" s="410">
        <f>aurora_data!Y142</f>
        <v>0</v>
      </c>
      <c r="AA28" s="410">
        <f>aurora_data!Z142</f>
        <v>0</v>
      </c>
      <c r="AB28" s="410">
        <f>aurora_data!AA142</f>
        <v>0</v>
      </c>
      <c r="AC28" s="411">
        <f>aurora_data!AB142</f>
        <v>2</v>
      </c>
      <c r="AD28" s="408">
        <f>aurora_data!AC142</f>
        <v>3</v>
      </c>
      <c r="AE28" s="410">
        <f>aurora_data!AD142</f>
        <v>0</v>
      </c>
      <c r="AF28" s="410">
        <f>aurora_data!AE142</f>
        <v>0</v>
      </c>
      <c r="AG28" s="411">
        <f>aurora_data!AF142</f>
        <v>0</v>
      </c>
      <c r="AH28" s="410">
        <f>aurora_data!AG142</f>
        <v>3</v>
      </c>
      <c r="AI28" s="410">
        <f>aurora_data!AH142</f>
        <v>0</v>
      </c>
      <c r="AJ28" s="411">
        <f>aurora_data!AI14</f>
        <v>0</v>
      </c>
      <c r="AK28" s="407"/>
      <c r="AL28" s="408">
        <f>aurora_data!AJ142</f>
        <v>3</v>
      </c>
      <c r="AM28" s="409">
        <f t="shared" si="8"/>
        <v>0.06</v>
      </c>
      <c r="AO28"/>
      <c r="AP28"/>
      <c r="AQ28"/>
      <c r="AR28"/>
      <c r="AS28"/>
      <c r="AT28"/>
      <c r="AU28"/>
      <c r="AV28"/>
      <c r="AW28"/>
      <c r="AX28"/>
      <c r="AY28"/>
    </row>
    <row r="29" spans="2:51" ht="16.5" customHeight="1">
      <c r="B29" s="452"/>
      <c r="C29" s="454"/>
      <c r="D29" s="35" t="s">
        <v>340</v>
      </c>
      <c r="E29" s="408">
        <f>aurora_data!D143</f>
        <v>0</v>
      </c>
      <c r="F29" s="410">
        <f>aurora_data!E143</f>
        <v>0</v>
      </c>
      <c r="G29" s="410">
        <f>aurora_data!F143</f>
        <v>0</v>
      </c>
      <c r="H29" s="410">
        <f>aurora_data!G143</f>
        <v>0</v>
      </c>
      <c r="I29" s="410">
        <f>aurora_data!H143</f>
        <v>0</v>
      </c>
      <c r="J29" s="408">
        <f>aurora_data!I143</f>
        <v>0</v>
      </c>
      <c r="K29" s="410">
        <f>aurora_data!J143</f>
        <v>0</v>
      </c>
      <c r="L29" s="410">
        <f>aurora_data!K143</f>
        <v>0</v>
      </c>
      <c r="M29" s="410">
        <f>aurora_data!L143</f>
        <v>0</v>
      </c>
      <c r="N29" s="411">
        <f>aurora_data!M143</f>
        <v>0</v>
      </c>
      <c r="O29" s="408">
        <f>aurora_data!N143</f>
        <v>0</v>
      </c>
      <c r="P29" s="410">
        <f>aurora_data!O143</f>
        <v>0</v>
      </c>
      <c r="Q29" s="410">
        <f>aurora_data!P143</f>
        <v>0</v>
      </c>
      <c r="R29" s="410">
        <f>aurora_data!Q143</f>
        <v>0</v>
      </c>
      <c r="S29" s="411">
        <f>aurora_data!R143</f>
        <v>0</v>
      </c>
      <c r="T29" s="408">
        <f>aurora_data!S143</f>
        <v>0</v>
      </c>
      <c r="U29" s="410">
        <f>aurora_data!T143</f>
        <v>0</v>
      </c>
      <c r="V29" s="410">
        <f>aurora_data!U143</f>
        <v>0</v>
      </c>
      <c r="W29" s="410">
        <f>aurora_data!V143</f>
        <v>0</v>
      </c>
      <c r="X29" s="411">
        <f>aurora_data!W143</f>
        <v>0</v>
      </c>
      <c r="Y29" s="408">
        <f>aurora_data!X143</f>
        <v>0</v>
      </c>
      <c r="Z29" s="410">
        <f>aurora_data!Y143</f>
        <v>0</v>
      </c>
      <c r="AA29" s="410">
        <f>aurora_data!Z143</f>
        <v>0</v>
      </c>
      <c r="AB29" s="410">
        <f>aurora_data!AA143</f>
        <v>0</v>
      </c>
      <c r="AC29" s="411">
        <f>aurora_data!AB143</f>
        <v>0</v>
      </c>
      <c r="AD29" s="408">
        <f>aurora_data!AC143</f>
        <v>0</v>
      </c>
      <c r="AE29" s="410">
        <f>aurora_data!AD143</f>
        <v>0</v>
      </c>
      <c r="AF29" s="410">
        <f>aurora_data!AE143</f>
        <v>0</v>
      </c>
      <c r="AG29" s="411">
        <f>aurora_data!AF143</f>
        <v>0</v>
      </c>
      <c r="AH29" s="410">
        <f>aurora_data!AG143</f>
        <v>0</v>
      </c>
      <c r="AI29" s="410">
        <f>aurora_data!AH143</f>
        <v>0</v>
      </c>
      <c r="AJ29" s="411">
        <f>aurora_data!AI15</f>
        <v>0</v>
      </c>
      <c r="AK29" s="407"/>
      <c r="AL29" s="408">
        <f>aurora_data!AJ143</f>
        <v>0</v>
      </c>
      <c r="AM29" s="409">
        <f t="shared" si="8"/>
        <v>0</v>
      </c>
      <c r="AO29"/>
      <c r="AP29"/>
      <c r="AQ29"/>
      <c r="AR29"/>
      <c r="AS29"/>
      <c r="AT29"/>
      <c r="AU29"/>
      <c r="AV29"/>
      <c r="AW29"/>
      <c r="AX29"/>
      <c r="AY29"/>
    </row>
    <row r="30" spans="2:51" ht="16.5" customHeight="1">
      <c r="B30" s="452"/>
      <c r="C30" s="454"/>
      <c r="D30" s="35" t="s">
        <v>341</v>
      </c>
      <c r="E30" s="408">
        <f>aurora_data!D144</f>
        <v>0</v>
      </c>
      <c r="F30" s="410">
        <f>aurora_data!E144</f>
        <v>1</v>
      </c>
      <c r="G30" s="410">
        <f>aurora_data!F144</f>
        <v>0</v>
      </c>
      <c r="H30" s="410">
        <f>aurora_data!G144</f>
        <v>0</v>
      </c>
      <c r="I30" s="410">
        <f>aurora_data!H144</f>
        <v>0</v>
      </c>
      <c r="J30" s="408">
        <f>aurora_data!I144</f>
        <v>0</v>
      </c>
      <c r="K30" s="410">
        <f>aurora_data!J144</f>
        <v>0</v>
      </c>
      <c r="L30" s="410">
        <f>aurora_data!K144</f>
        <v>0</v>
      </c>
      <c r="M30" s="410">
        <f>aurora_data!L144</f>
        <v>0</v>
      </c>
      <c r="N30" s="411">
        <f>aurora_data!M144</f>
        <v>0</v>
      </c>
      <c r="O30" s="408">
        <f>aurora_data!N144</f>
        <v>0</v>
      </c>
      <c r="P30" s="410">
        <f>aurora_data!O144</f>
        <v>0</v>
      </c>
      <c r="Q30" s="410">
        <f>aurora_data!P144</f>
        <v>0</v>
      </c>
      <c r="R30" s="410">
        <f>aurora_data!Q144</f>
        <v>0</v>
      </c>
      <c r="S30" s="411">
        <f>aurora_data!R144</f>
        <v>0</v>
      </c>
      <c r="T30" s="408">
        <f>aurora_data!S144</f>
        <v>0</v>
      </c>
      <c r="U30" s="410">
        <f>aurora_data!T144</f>
        <v>0</v>
      </c>
      <c r="V30" s="410">
        <f>aurora_data!U144</f>
        <v>0</v>
      </c>
      <c r="W30" s="410">
        <f>aurora_data!V144</f>
        <v>1</v>
      </c>
      <c r="X30" s="411">
        <f>aurora_data!W144</f>
        <v>0</v>
      </c>
      <c r="Y30" s="408">
        <f>aurora_data!X144</f>
        <v>0</v>
      </c>
      <c r="Z30" s="410">
        <f>aurora_data!Y144</f>
        <v>0</v>
      </c>
      <c r="AA30" s="410">
        <f>aurora_data!Z144</f>
        <v>0</v>
      </c>
      <c r="AB30" s="410">
        <f>aurora_data!AA144</f>
        <v>2</v>
      </c>
      <c r="AC30" s="411">
        <f>aurora_data!AB144</f>
        <v>0</v>
      </c>
      <c r="AD30" s="408">
        <f>aurora_data!AC144</f>
        <v>1</v>
      </c>
      <c r="AE30" s="410">
        <f>aurora_data!AD144</f>
        <v>0</v>
      </c>
      <c r="AF30" s="410">
        <f>aurora_data!AE144</f>
        <v>2</v>
      </c>
      <c r="AG30" s="411">
        <f>aurora_data!AF144</f>
        <v>1</v>
      </c>
      <c r="AH30" s="410">
        <f>aurora_data!AG144</f>
        <v>2</v>
      </c>
      <c r="AI30" s="410">
        <f>aurora_data!AH144</f>
        <v>2</v>
      </c>
      <c r="AJ30" s="411">
        <f>aurora_data!AI16</f>
        <v>0</v>
      </c>
      <c r="AK30" s="407"/>
      <c r="AL30" s="408">
        <f>aurora_data!AJ144</f>
        <v>4</v>
      </c>
      <c r="AM30" s="409">
        <f t="shared" si="8"/>
        <v>0.08</v>
      </c>
      <c r="AO30"/>
      <c r="AP30"/>
      <c r="AQ30"/>
      <c r="AR30"/>
      <c r="AS30"/>
      <c r="AT30"/>
      <c r="AU30"/>
      <c r="AV30"/>
      <c r="AW30"/>
      <c r="AX30"/>
      <c r="AY30"/>
    </row>
    <row r="31" spans="2:51" ht="16.5" customHeight="1" thickBot="1">
      <c r="B31" s="452"/>
      <c r="C31" s="454"/>
      <c r="D31" s="35" t="s">
        <v>342</v>
      </c>
      <c r="E31" s="408">
        <f>aurora_data!D145</f>
        <v>0</v>
      </c>
      <c r="F31" s="410">
        <f>aurora_data!E145</f>
        <v>0</v>
      </c>
      <c r="G31" s="410">
        <f>aurora_data!F145</f>
        <v>0</v>
      </c>
      <c r="H31" s="410">
        <f>aurora_data!G145</f>
        <v>0</v>
      </c>
      <c r="I31" s="410">
        <f>aurora_data!H145</f>
        <v>0</v>
      </c>
      <c r="J31" s="408">
        <f>aurora_data!I145</f>
        <v>0</v>
      </c>
      <c r="K31" s="410">
        <f>aurora_data!J145</f>
        <v>0</v>
      </c>
      <c r="L31" s="410">
        <f>aurora_data!K145</f>
        <v>0</v>
      </c>
      <c r="M31" s="410">
        <f>aurora_data!L145</f>
        <v>0</v>
      </c>
      <c r="N31" s="411">
        <f>aurora_data!M145</f>
        <v>0</v>
      </c>
      <c r="O31" s="408">
        <f>aurora_data!N145</f>
        <v>0</v>
      </c>
      <c r="P31" s="410">
        <f>aurora_data!O145</f>
        <v>0</v>
      </c>
      <c r="Q31" s="410">
        <f>aurora_data!P145</f>
        <v>0</v>
      </c>
      <c r="R31" s="410">
        <f>aurora_data!Q145</f>
        <v>0</v>
      </c>
      <c r="S31" s="411">
        <f>aurora_data!R145</f>
        <v>0</v>
      </c>
      <c r="T31" s="408">
        <f>aurora_data!S145</f>
        <v>0</v>
      </c>
      <c r="U31" s="410">
        <f>aurora_data!T145</f>
        <v>0</v>
      </c>
      <c r="V31" s="410">
        <f>aurora_data!U145</f>
        <v>0</v>
      </c>
      <c r="W31" s="410">
        <f>aurora_data!V145</f>
        <v>0</v>
      </c>
      <c r="X31" s="411">
        <f>aurora_data!W145</f>
        <v>0</v>
      </c>
      <c r="Y31" s="408">
        <f>aurora_data!X145</f>
        <v>0</v>
      </c>
      <c r="Z31" s="410">
        <f>aurora_data!Y145</f>
        <v>0</v>
      </c>
      <c r="AA31" s="410">
        <f>aurora_data!Z145</f>
        <v>0</v>
      </c>
      <c r="AB31" s="410">
        <f>aurora_data!AA145</f>
        <v>0</v>
      </c>
      <c r="AC31" s="411">
        <f>aurora_data!AB145</f>
        <v>0</v>
      </c>
      <c r="AD31" s="408">
        <f>aurora_data!AC145</f>
        <v>0</v>
      </c>
      <c r="AE31" s="410">
        <f>aurora_data!AD145</f>
        <v>0</v>
      </c>
      <c r="AF31" s="410">
        <f>aurora_data!AE145</f>
        <v>0</v>
      </c>
      <c r="AG31" s="411">
        <f>aurora_data!AF145</f>
        <v>0</v>
      </c>
      <c r="AH31" s="410">
        <f>aurora_data!AG145</f>
        <v>0</v>
      </c>
      <c r="AI31" s="410">
        <f>aurora_data!AH145</f>
        <v>0</v>
      </c>
      <c r="AJ31" s="411">
        <f>aurora_data!AI17</f>
        <v>0</v>
      </c>
      <c r="AK31" s="412"/>
      <c r="AL31" s="408">
        <f>aurora_data!AJ145</f>
        <v>0</v>
      </c>
      <c r="AM31" s="409">
        <f t="shared" si="8"/>
        <v>0</v>
      </c>
      <c r="AO31"/>
      <c r="AP31"/>
      <c r="AQ31"/>
      <c r="AR31"/>
      <c r="AS31"/>
      <c r="AT31"/>
      <c r="AU31"/>
      <c r="AV31"/>
      <c r="AW31"/>
      <c r="AX31"/>
      <c r="AY31"/>
    </row>
    <row r="32" spans="2:51" ht="16.5" thickBot="1">
      <c r="B32" s="452"/>
      <c r="C32" s="454"/>
      <c r="D32" s="37" t="s">
        <v>17</v>
      </c>
      <c r="E32" s="182">
        <f>aurora_data!D146</f>
        <v>0</v>
      </c>
      <c r="F32" s="183">
        <f>aurora_data!E146</f>
        <v>1</v>
      </c>
      <c r="G32" s="183">
        <f>aurora_data!F146</f>
        <v>0</v>
      </c>
      <c r="H32" s="183">
        <f>aurora_data!G146</f>
        <v>0</v>
      </c>
      <c r="I32" s="184">
        <f>aurora_data!H146</f>
        <v>0</v>
      </c>
      <c r="J32" s="182">
        <f>aurora_data!I146</f>
        <v>0</v>
      </c>
      <c r="K32" s="183">
        <f>aurora_data!J146</f>
        <v>0</v>
      </c>
      <c r="L32" s="183">
        <f>aurora_data!K146</f>
        <v>2</v>
      </c>
      <c r="M32" s="183">
        <f>aurora_data!L146</f>
        <v>1</v>
      </c>
      <c r="N32" s="184">
        <f>aurora_data!M146</f>
        <v>3</v>
      </c>
      <c r="O32" s="182">
        <f>aurora_data!N146</f>
        <v>0</v>
      </c>
      <c r="P32" s="183">
        <f>aurora_data!O146</f>
        <v>0</v>
      </c>
      <c r="Q32" s="183">
        <f>aurora_data!P146</f>
        <v>1</v>
      </c>
      <c r="R32" s="183">
        <f>aurora_data!Q146</f>
        <v>4</v>
      </c>
      <c r="S32" s="184">
        <f>aurora_data!R146</f>
        <v>2</v>
      </c>
      <c r="T32" s="182">
        <f>aurora_data!S146</f>
        <v>0</v>
      </c>
      <c r="U32" s="183">
        <f>aurora_data!T146</f>
        <v>0</v>
      </c>
      <c r="V32" s="183">
        <f>aurora_data!U146</f>
        <v>0</v>
      </c>
      <c r="W32" s="183">
        <f>aurora_data!V146</f>
        <v>2</v>
      </c>
      <c r="X32" s="184">
        <f>aurora_data!W146</f>
        <v>2</v>
      </c>
      <c r="Y32" s="182">
        <f>aurora_data!X146</f>
        <v>1</v>
      </c>
      <c r="Z32" s="183">
        <f>aurora_data!Y146</f>
        <v>0</v>
      </c>
      <c r="AA32" s="183">
        <f>aurora_data!Z146</f>
        <v>0</v>
      </c>
      <c r="AB32" s="183">
        <f>aurora_data!AA146</f>
        <v>8</v>
      </c>
      <c r="AC32" s="184">
        <f>aurora_data!AB146</f>
        <v>14</v>
      </c>
      <c r="AD32" s="182">
        <f>aurora_data!AC146</f>
        <v>15</v>
      </c>
      <c r="AE32" s="183">
        <f>aurora_data!AD146</f>
        <v>8</v>
      </c>
      <c r="AF32" s="183">
        <f>aurora_data!AE146</f>
        <v>11</v>
      </c>
      <c r="AG32" s="184">
        <f>aurora_data!AF146</f>
        <v>7</v>
      </c>
      <c r="AH32" s="182">
        <f>aurora_data!AG146</f>
        <v>23</v>
      </c>
      <c r="AI32" s="183">
        <f>aurora_data!AH146</f>
        <v>18</v>
      </c>
      <c r="AJ32" s="183">
        <f>aurora_data!AI18</f>
        <v>0</v>
      </c>
      <c r="AK32" s="412"/>
      <c r="AL32" s="182">
        <f>aurora_data!AJ146</f>
        <v>41</v>
      </c>
      <c r="AM32" s="413">
        <f t="shared" si="8"/>
        <v>0.82</v>
      </c>
      <c r="AO32"/>
      <c r="AP32"/>
      <c r="AQ32"/>
      <c r="AR32"/>
      <c r="AS32"/>
      <c r="AT32"/>
      <c r="AU32"/>
      <c r="AV32"/>
      <c r="AW32"/>
      <c r="AX32"/>
      <c r="AY32"/>
    </row>
    <row r="33" spans="2:51" ht="15.75" customHeight="1" thickBot="1">
      <c r="B33" s="452"/>
      <c r="C33" s="454"/>
      <c r="D33" s="38" t="s">
        <v>343</v>
      </c>
      <c r="E33" s="265">
        <f>aurora_data!D147</f>
        <v>0</v>
      </c>
      <c r="F33" s="266">
        <f>aurora_data!E147</f>
        <v>0</v>
      </c>
      <c r="G33" s="266">
        <f>aurora_data!F147</f>
        <v>0</v>
      </c>
      <c r="H33" s="266">
        <f>aurora_data!G147</f>
        <v>0</v>
      </c>
      <c r="I33" s="266">
        <f>aurora_data!H147</f>
        <v>0</v>
      </c>
      <c r="J33" s="265">
        <f>aurora_data!I147</f>
        <v>0</v>
      </c>
      <c r="K33" s="266">
        <f>aurora_data!J147</f>
        <v>0</v>
      </c>
      <c r="L33" s="266">
        <f>aurora_data!K147</f>
        <v>0</v>
      </c>
      <c r="M33" s="266">
        <f>aurora_data!L147</f>
        <v>0</v>
      </c>
      <c r="N33" s="267">
        <f>aurora_data!M147</f>
        <v>0</v>
      </c>
      <c r="O33" s="265">
        <f>aurora_data!N147</f>
        <v>0</v>
      </c>
      <c r="P33" s="266">
        <f>aurora_data!O147</f>
        <v>0</v>
      </c>
      <c r="Q33" s="266">
        <f>aurora_data!P147</f>
        <v>0</v>
      </c>
      <c r="R33" s="266">
        <f>aurora_data!Q147</f>
        <v>0</v>
      </c>
      <c r="S33" s="267">
        <f>aurora_data!R147</f>
        <v>0</v>
      </c>
      <c r="T33" s="265">
        <f>aurora_data!S147</f>
        <v>0</v>
      </c>
      <c r="U33" s="266">
        <f>aurora_data!T147</f>
        <v>0</v>
      </c>
      <c r="V33" s="266">
        <f>aurora_data!U147</f>
        <v>0</v>
      </c>
      <c r="W33" s="266">
        <f>aurora_data!V147</f>
        <v>0</v>
      </c>
      <c r="X33" s="267">
        <f>aurora_data!W147</f>
        <v>0</v>
      </c>
      <c r="Y33" s="265">
        <f>aurora_data!X147</f>
        <v>0</v>
      </c>
      <c r="Z33" s="266">
        <f>aurora_data!Y147</f>
        <v>0</v>
      </c>
      <c r="AA33" s="266">
        <f>aurora_data!Z147</f>
        <v>0</v>
      </c>
      <c r="AB33" s="266">
        <f>aurora_data!AA147</f>
        <v>0</v>
      </c>
      <c r="AC33" s="267">
        <f>aurora_data!AB147</f>
        <v>0</v>
      </c>
      <c r="AD33" s="265">
        <f>aurora_data!AC147</f>
        <v>0</v>
      </c>
      <c r="AE33" s="266">
        <f>aurora_data!AD147</f>
        <v>0</v>
      </c>
      <c r="AF33" s="266">
        <f>aurora_data!AE147</f>
        <v>0</v>
      </c>
      <c r="AG33" s="267">
        <f>aurora_data!AF147</f>
        <v>0</v>
      </c>
      <c r="AH33" s="266">
        <f>aurora_data!AG147</f>
        <v>0</v>
      </c>
      <c r="AI33" s="266">
        <f>aurora_data!AH147</f>
        <v>0</v>
      </c>
      <c r="AJ33" s="268">
        <f>aurora_data!AI19</f>
        <v>0</v>
      </c>
      <c r="AK33" s="269"/>
      <c r="AL33" s="265">
        <f>aurora_data!AJ147</f>
        <v>0</v>
      </c>
      <c r="AM33" s="270">
        <f t="shared" si="8"/>
        <v>0</v>
      </c>
      <c r="AO33"/>
      <c r="AP33"/>
      <c r="AQ33"/>
      <c r="AR33"/>
      <c r="AS33"/>
      <c r="AT33"/>
      <c r="AU33"/>
      <c r="AV33"/>
      <c r="AW33"/>
      <c r="AX33"/>
      <c r="AY33"/>
    </row>
    <row r="34" spans="2:51" outlineLevel="1">
      <c r="B34" s="452"/>
      <c r="C34" s="454"/>
      <c r="D34" s="199" t="s">
        <v>344</v>
      </c>
      <c r="E34" s="271">
        <f t="shared" ref="E34:AC34" si="9">ROUNDDOWN((E36+$E$9)*($AL26),0)</f>
        <v>1</v>
      </c>
      <c r="F34" s="272">
        <f t="shared" si="9"/>
        <v>1</v>
      </c>
      <c r="G34" s="272">
        <f t="shared" si="9"/>
        <v>1</v>
      </c>
      <c r="H34" s="272">
        <f t="shared" si="9"/>
        <v>1</v>
      </c>
      <c r="I34" s="272">
        <f t="shared" si="9"/>
        <v>2</v>
      </c>
      <c r="J34" s="271">
        <f t="shared" si="9"/>
        <v>1</v>
      </c>
      <c r="K34" s="272">
        <f t="shared" si="9"/>
        <v>1</v>
      </c>
      <c r="L34" s="272">
        <f t="shared" si="9"/>
        <v>2</v>
      </c>
      <c r="M34" s="272">
        <f t="shared" si="9"/>
        <v>3</v>
      </c>
      <c r="N34" s="268">
        <f t="shared" si="9"/>
        <v>2</v>
      </c>
      <c r="O34" s="271">
        <f t="shared" si="9"/>
        <v>1</v>
      </c>
      <c r="P34" s="272">
        <f t="shared" si="9"/>
        <v>2</v>
      </c>
      <c r="Q34" s="272">
        <f t="shared" si="9"/>
        <v>4</v>
      </c>
      <c r="R34" s="272">
        <f t="shared" si="9"/>
        <v>4</v>
      </c>
      <c r="S34" s="268">
        <f t="shared" si="9"/>
        <v>3</v>
      </c>
      <c r="T34" s="271">
        <f t="shared" si="9"/>
        <v>1</v>
      </c>
      <c r="U34" s="272">
        <f t="shared" si="9"/>
        <v>1</v>
      </c>
      <c r="V34" s="272">
        <f t="shared" si="9"/>
        <v>1</v>
      </c>
      <c r="W34" s="272">
        <f t="shared" si="9"/>
        <v>2</v>
      </c>
      <c r="X34" s="268">
        <f t="shared" si="9"/>
        <v>3</v>
      </c>
      <c r="Y34" s="271">
        <f t="shared" si="9"/>
        <v>1</v>
      </c>
      <c r="Z34" s="272">
        <f t="shared" si="9"/>
        <v>1</v>
      </c>
      <c r="AA34" s="272">
        <f t="shared" si="9"/>
        <v>4</v>
      </c>
      <c r="AB34" s="272">
        <f t="shared" si="9"/>
        <v>8</v>
      </c>
      <c r="AC34" s="268">
        <f t="shared" si="9"/>
        <v>13</v>
      </c>
      <c r="AD34" s="271">
        <f>ROUNDDOWN((AD36+$AD$9)*($AL26),0)</f>
        <v>15</v>
      </c>
      <c r="AE34" s="272">
        <f>ROUNDDOWN((AE36+$AD$9)*($AL26),0)</f>
        <v>12</v>
      </c>
      <c r="AF34" s="272">
        <f t="shared" ref="AF34:AG34" si="10">ROUNDDOWN((AF36+$AD$9)*($AL26),0)</f>
        <v>25</v>
      </c>
      <c r="AG34" s="268">
        <f t="shared" si="10"/>
        <v>16</v>
      </c>
      <c r="AH34" s="271">
        <f>ROUNDDOWN((AH36+$AH$9)*($AL26),0)</f>
        <v>25</v>
      </c>
      <c r="AI34" s="272">
        <f>ROUNDDOWN((AI36+$AH$8)*($AL26),0)</f>
        <v>25</v>
      </c>
      <c r="AJ34" s="268"/>
      <c r="AK34" s="273"/>
      <c r="AL34" s="274"/>
      <c r="AM34" s="275"/>
      <c r="AO34"/>
      <c r="AP34"/>
      <c r="AQ34"/>
      <c r="AR34"/>
      <c r="AS34"/>
      <c r="AT34"/>
      <c r="AU34"/>
      <c r="AV34"/>
      <c r="AW34"/>
      <c r="AX34"/>
      <c r="AY34"/>
    </row>
    <row r="35" spans="2:51" ht="15.75" customHeight="1" outlineLevel="1">
      <c r="B35" s="452"/>
      <c r="C35" s="454"/>
      <c r="D35" s="199" t="s">
        <v>345</v>
      </c>
      <c r="E35" s="276">
        <f t="shared" ref="E35:AC35" si="11">IF(ROUND(((E36-$E$9)*($AL26))+0.25,0) &lt;=0,1,((E36-$E$9)*($AL26))+0.25)</f>
        <v>1</v>
      </c>
      <c r="F35" s="277">
        <f t="shared" si="11"/>
        <v>1</v>
      </c>
      <c r="G35" s="277">
        <f t="shared" si="11"/>
        <v>1</v>
      </c>
      <c r="H35" s="277">
        <f t="shared" si="11"/>
        <v>1</v>
      </c>
      <c r="I35" s="277">
        <f t="shared" si="11"/>
        <v>0.87000000000000022</v>
      </c>
      <c r="J35" s="276">
        <f t="shared" si="11"/>
        <v>1</v>
      </c>
      <c r="K35" s="277">
        <f t="shared" si="11"/>
        <v>1</v>
      </c>
      <c r="L35" s="277">
        <f t="shared" si="11"/>
        <v>1.0299999999999998</v>
      </c>
      <c r="M35" s="277">
        <f t="shared" si="11"/>
        <v>1.5099999999999998</v>
      </c>
      <c r="N35" s="278">
        <f t="shared" si="11"/>
        <v>0.91</v>
      </c>
      <c r="O35" s="276">
        <f t="shared" si="11"/>
        <v>1</v>
      </c>
      <c r="P35" s="277">
        <f t="shared" si="11"/>
        <v>0.71</v>
      </c>
      <c r="Q35" s="277">
        <f t="shared" si="11"/>
        <v>2.7299999999999995</v>
      </c>
      <c r="R35" s="277">
        <f t="shared" si="11"/>
        <v>3.1899999999999995</v>
      </c>
      <c r="S35" s="278">
        <f t="shared" si="11"/>
        <v>1.8399999999999999</v>
      </c>
      <c r="T35" s="276">
        <f t="shared" si="11"/>
        <v>1</v>
      </c>
      <c r="U35" s="277">
        <f t="shared" si="11"/>
        <v>1</v>
      </c>
      <c r="V35" s="277">
        <f t="shared" si="11"/>
        <v>1</v>
      </c>
      <c r="W35" s="277">
        <f t="shared" si="11"/>
        <v>0.97999999999999987</v>
      </c>
      <c r="X35" s="278">
        <f t="shared" si="11"/>
        <v>1.2699999999999998</v>
      </c>
      <c r="Y35" s="276">
        <f t="shared" si="11"/>
        <v>1</v>
      </c>
      <c r="Z35" s="277">
        <f t="shared" si="11"/>
        <v>1</v>
      </c>
      <c r="AA35" s="277">
        <f t="shared" si="11"/>
        <v>2.7399999999999998</v>
      </c>
      <c r="AB35" s="277">
        <f t="shared" si="11"/>
        <v>7.2100000000000009</v>
      </c>
      <c r="AC35" s="278">
        <f t="shared" si="11"/>
        <v>11.3</v>
      </c>
      <c r="AD35" s="276">
        <f>IF(((AD36-$AD$9)*($AL26))+0.5 &lt;0,1,((AD36-$AD$9)*($AL26))+0.5 )</f>
        <v>5.92</v>
      </c>
      <c r="AE35" s="277">
        <f t="shared" ref="AE35" si="12">IF(((AE36-$AD$9)*($AL26))+0.5 &lt;0,1,((AE36-$AD$9)*($AL26))+0.5 )</f>
        <v>3.1499999999999995</v>
      </c>
      <c r="AF35" s="277">
        <f t="shared" ref="AF35" si="13">IF(((AF36-$AD$9)*($AL26))+0.5 &lt;0,1,((AF36-$AD$9)*($AL26))+0.5 )</f>
        <v>15.750000000000002</v>
      </c>
      <c r="AG35" s="278">
        <f t="shared" ref="AG35" si="14">IF(((AG36-$AD$9)*($AL26))+0.5 &lt;0,1,((AG36-$AD$9)*($AL26))+0.5 )</f>
        <v>7.18</v>
      </c>
      <c r="AH35" s="276">
        <f>IF(((AH36-$AH$9)*($AL26))+0.5 &lt;0,1,((AH36-$AH$9)*($AL26)) )</f>
        <v>25</v>
      </c>
      <c r="AI35" s="277">
        <f>IF(((AI36-$AH$9)*($AL26))+0.5 &lt;0,1,((AI36-$AH$9)*($AL26)) )</f>
        <v>25</v>
      </c>
      <c r="AJ35" s="278"/>
      <c r="AK35" s="273"/>
      <c r="AL35" s="274"/>
      <c r="AM35" s="275"/>
      <c r="AO35"/>
      <c r="AP35"/>
      <c r="AQ35"/>
      <c r="AR35"/>
      <c r="AS35"/>
      <c r="AT35"/>
      <c r="AU35"/>
      <c r="AV35"/>
      <c r="AW35"/>
      <c r="AX35"/>
      <c r="AY35"/>
    </row>
    <row r="36" spans="2:51" ht="15.75" customHeight="1" outlineLevel="1">
      <c r="B36" s="110"/>
      <c r="C36" s="454"/>
      <c r="D36" s="95" t="s">
        <v>346</v>
      </c>
      <c r="E36" s="414">
        <f t="shared" ref="E36:AJ36" si="15">IFERROR(E26/$AL26,0)</f>
        <v>1.4000000000000002E-3</v>
      </c>
      <c r="F36" s="415">
        <f t="shared" si="15"/>
        <v>1.6000000000000001E-3</v>
      </c>
      <c r="G36" s="415">
        <f t="shared" si="15"/>
        <v>4.7999999999999996E-3</v>
      </c>
      <c r="H36" s="415">
        <f t="shared" si="15"/>
        <v>7.6E-3</v>
      </c>
      <c r="I36" s="415">
        <f t="shared" si="15"/>
        <v>3.2400000000000005E-2</v>
      </c>
      <c r="J36" s="414">
        <f t="shared" si="15"/>
        <v>2.3999999999999998E-3</v>
      </c>
      <c r="K36" s="415">
        <f t="shared" si="15"/>
        <v>8.0000000000000002E-3</v>
      </c>
      <c r="L36" s="415">
        <f t="shared" si="15"/>
        <v>3.56E-2</v>
      </c>
      <c r="M36" s="415">
        <f t="shared" si="15"/>
        <v>4.5199999999999997E-2</v>
      </c>
      <c r="N36" s="416">
        <f t="shared" si="15"/>
        <v>3.32E-2</v>
      </c>
      <c r="O36" s="414">
        <f t="shared" si="15"/>
        <v>1.6200000000000003E-2</v>
      </c>
      <c r="P36" s="415">
        <f t="shared" si="15"/>
        <v>2.92E-2</v>
      </c>
      <c r="Q36" s="415">
        <f t="shared" si="15"/>
        <v>6.9599999999999995E-2</v>
      </c>
      <c r="R36" s="415">
        <f t="shared" si="15"/>
        <v>7.8799999999999995E-2</v>
      </c>
      <c r="S36" s="416">
        <f t="shared" si="15"/>
        <v>5.1799999999999999E-2</v>
      </c>
      <c r="T36" s="414">
        <f t="shared" si="15"/>
        <v>2E-3</v>
      </c>
      <c r="U36" s="415">
        <f t="shared" si="15"/>
        <v>3.8E-3</v>
      </c>
      <c r="V36" s="415">
        <f t="shared" si="15"/>
        <v>1.6E-2</v>
      </c>
      <c r="W36" s="415">
        <f t="shared" si="15"/>
        <v>3.4599999999999999E-2</v>
      </c>
      <c r="X36" s="416">
        <f t="shared" si="15"/>
        <v>4.0399999999999998E-2</v>
      </c>
      <c r="Y36" s="414">
        <f t="shared" si="15"/>
        <v>5.0000000000000001E-3</v>
      </c>
      <c r="Z36" s="415">
        <f t="shared" si="15"/>
        <v>1.04E-2</v>
      </c>
      <c r="AA36" s="415">
        <f t="shared" si="15"/>
        <v>6.9800000000000001E-2</v>
      </c>
      <c r="AB36" s="415">
        <f t="shared" si="15"/>
        <v>0.15920000000000001</v>
      </c>
      <c r="AC36" s="416">
        <f t="shared" si="15"/>
        <v>0.24100000000000002</v>
      </c>
      <c r="AD36" s="414">
        <f t="shared" si="15"/>
        <v>0.2084</v>
      </c>
      <c r="AE36" s="415">
        <f t="shared" si="15"/>
        <v>0.153</v>
      </c>
      <c r="AF36" s="415">
        <f t="shared" si="15"/>
        <v>0.40500000000000003</v>
      </c>
      <c r="AG36" s="416">
        <f t="shared" si="15"/>
        <v>0.2336</v>
      </c>
      <c r="AH36" s="415">
        <f t="shared" si="15"/>
        <v>0.5</v>
      </c>
      <c r="AI36" s="415">
        <f t="shared" si="15"/>
        <v>0.5</v>
      </c>
      <c r="AJ36" s="415">
        <f t="shared" si="15"/>
        <v>0</v>
      </c>
      <c r="AK36" s="407"/>
      <c r="AL36" s="417"/>
      <c r="AM36" s="418"/>
      <c r="AO36"/>
      <c r="AP36"/>
      <c r="AQ36"/>
      <c r="AR36"/>
      <c r="AS36"/>
      <c r="AT36"/>
      <c r="AU36"/>
      <c r="AV36"/>
      <c r="AW36"/>
      <c r="AX36"/>
      <c r="AY36"/>
    </row>
    <row r="37" spans="2:51" ht="16.5" customHeight="1" outlineLevel="1">
      <c r="B37" s="110"/>
      <c r="C37" s="454"/>
      <c r="D37" s="180" t="s">
        <v>347</v>
      </c>
      <c r="E37" s="414">
        <f t="shared" ref="E37:AJ37" si="16">IFERROR(E27/$AL26,0)</f>
        <v>0</v>
      </c>
      <c r="F37" s="415">
        <f t="shared" si="16"/>
        <v>0</v>
      </c>
      <c r="G37" s="415">
        <f t="shared" si="16"/>
        <v>0</v>
      </c>
      <c r="H37" s="415">
        <f t="shared" si="16"/>
        <v>0</v>
      </c>
      <c r="I37" s="415">
        <f t="shared" si="16"/>
        <v>0</v>
      </c>
      <c r="J37" s="414">
        <f t="shared" si="16"/>
        <v>0</v>
      </c>
      <c r="K37" s="415">
        <f t="shared" si="16"/>
        <v>0</v>
      </c>
      <c r="L37" s="415">
        <f t="shared" si="16"/>
        <v>0.04</v>
      </c>
      <c r="M37" s="415">
        <f t="shared" si="16"/>
        <v>0.02</v>
      </c>
      <c r="N37" s="416">
        <f t="shared" si="16"/>
        <v>0.04</v>
      </c>
      <c r="O37" s="414">
        <f t="shared" si="16"/>
        <v>0</v>
      </c>
      <c r="P37" s="415">
        <f t="shared" si="16"/>
        <v>0</v>
      </c>
      <c r="Q37" s="415">
        <f t="shared" si="16"/>
        <v>0.02</v>
      </c>
      <c r="R37" s="415">
        <f t="shared" si="16"/>
        <v>0.08</v>
      </c>
      <c r="S37" s="416">
        <f t="shared" si="16"/>
        <v>0.04</v>
      </c>
      <c r="T37" s="414">
        <f t="shared" si="16"/>
        <v>0</v>
      </c>
      <c r="U37" s="415">
        <f t="shared" si="16"/>
        <v>0</v>
      </c>
      <c r="V37" s="415">
        <f t="shared" si="16"/>
        <v>0</v>
      </c>
      <c r="W37" s="415">
        <f t="shared" si="16"/>
        <v>0.02</v>
      </c>
      <c r="X37" s="416">
        <f t="shared" si="16"/>
        <v>0.04</v>
      </c>
      <c r="Y37" s="414">
        <f t="shared" si="16"/>
        <v>0.02</v>
      </c>
      <c r="Z37" s="415">
        <f t="shared" si="16"/>
        <v>0</v>
      </c>
      <c r="AA37" s="415">
        <f t="shared" si="16"/>
        <v>0</v>
      </c>
      <c r="AB37" s="415">
        <f t="shared" si="16"/>
        <v>0.12</v>
      </c>
      <c r="AC37" s="416">
        <f t="shared" si="16"/>
        <v>0.24</v>
      </c>
      <c r="AD37" s="414">
        <f t="shared" si="16"/>
        <v>0.22</v>
      </c>
      <c r="AE37" s="415">
        <f t="shared" si="16"/>
        <v>0.16</v>
      </c>
      <c r="AF37" s="415">
        <f t="shared" si="16"/>
        <v>0.18</v>
      </c>
      <c r="AG37" s="416">
        <f t="shared" si="16"/>
        <v>0.12</v>
      </c>
      <c r="AH37" s="415">
        <f t="shared" si="16"/>
        <v>0.36</v>
      </c>
      <c r="AI37" s="415">
        <f t="shared" si="16"/>
        <v>0.32</v>
      </c>
      <c r="AJ37" s="415">
        <f t="shared" si="16"/>
        <v>0</v>
      </c>
      <c r="AK37" s="407"/>
      <c r="AL37" s="417"/>
      <c r="AM37" s="418"/>
      <c r="AO37"/>
      <c r="AP37"/>
      <c r="AQ37"/>
      <c r="AR37"/>
      <c r="AS37"/>
      <c r="AT37"/>
      <c r="AU37"/>
      <c r="AV37"/>
      <c r="AW37"/>
      <c r="AX37"/>
      <c r="AY37"/>
    </row>
    <row r="38" spans="2:51" ht="16.5" customHeight="1" outlineLevel="1" thickBot="1">
      <c r="B38" s="110"/>
      <c r="C38" s="455"/>
      <c r="D38" s="180" t="s">
        <v>348</v>
      </c>
      <c r="E38" s="419">
        <f t="shared" ref="E38:AJ38" si="17">E37-E36</f>
        <v>-1.4000000000000002E-3</v>
      </c>
      <c r="F38" s="420">
        <f t="shared" si="17"/>
        <v>-1.6000000000000001E-3</v>
      </c>
      <c r="G38" s="420">
        <f t="shared" si="17"/>
        <v>-4.7999999999999996E-3</v>
      </c>
      <c r="H38" s="420">
        <f t="shared" si="17"/>
        <v>-7.6E-3</v>
      </c>
      <c r="I38" s="420">
        <f t="shared" si="17"/>
        <v>-3.2400000000000005E-2</v>
      </c>
      <c r="J38" s="419">
        <f t="shared" si="17"/>
        <v>-2.3999999999999998E-3</v>
      </c>
      <c r="K38" s="420">
        <f t="shared" si="17"/>
        <v>-8.0000000000000002E-3</v>
      </c>
      <c r="L38" s="420">
        <f t="shared" si="17"/>
        <v>4.4000000000000011E-3</v>
      </c>
      <c r="M38" s="420">
        <f t="shared" si="17"/>
        <v>-2.5199999999999997E-2</v>
      </c>
      <c r="N38" s="421">
        <f t="shared" si="17"/>
        <v>6.8000000000000005E-3</v>
      </c>
      <c r="O38" s="419">
        <f t="shared" si="17"/>
        <v>-1.6200000000000003E-2</v>
      </c>
      <c r="P38" s="420">
        <f t="shared" si="17"/>
        <v>-2.92E-2</v>
      </c>
      <c r="Q38" s="420">
        <f t="shared" si="17"/>
        <v>-4.9599999999999991E-2</v>
      </c>
      <c r="R38" s="420">
        <f t="shared" si="17"/>
        <v>1.2000000000000066E-3</v>
      </c>
      <c r="S38" s="421">
        <f t="shared" si="17"/>
        <v>-1.1799999999999998E-2</v>
      </c>
      <c r="T38" s="419">
        <f t="shared" si="17"/>
        <v>-2E-3</v>
      </c>
      <c r="U38" s="420">
        <f t="shared" si="17"/>
        <v>-3.8E-3</v>
      </c>
      <c r="V38" s="420">
        <f t="shared" si="17"/>
        <v>-1.6E-2</v>
      </c>
      <c r="W38" s="420">
        <f t="shared" si="17"/>
        <v>-1.4599999999999998E-2</v>
      </c>
      <c r="X38" s="421">
        <f t="shared" si="17"/>
        <v>-3.9999999999999758E-4</v>
      </c>
      <c r="Y38" s="419">
        <f t="shared" si="17"/>
        <v>1.4999999999999999E-2</v>
      </c>
      <c r="Z38" s="420">
        <f t="shared" si="17"/>
        <v>-1.04E-2</v>
      </c>
      <c r="AA38" s="420">
        <f t="shared" si="17"/>
        <v>-6.9800000000000001E-2</v>
      </c>
      <c r="AB38" s="420">
        <f t="shared" si="17"/>
        <v>-3.9200000000000013E-2</v>
      </c>
      <c r="AC38" s="421">
        <f t="shared" si="17"/>
        <v>-1.0000000000000286E-3</v>
      </c>
      <c r="AD38" s="419">
        <f t="shared" si="17"/>
        <v>1.1599999999999999E-2</v>
      </c>
      <c r="AE38" s="420">
        <f t="shared" si="17"/>
        <v>7.0000000000000062E-3</v>
      </c>
      <c r="AF38" s="420">
        <f t="shared" si="17"/>
        <v>-0.22500000000000003</v>
      </c>
      <c r="AG38" s="421">
        <f t="shared" si="17"/>
        <v>-0.11360000000000001</v>
      </c>
      <c r="AH38" s="420">
        <f t="shared" si="17"/>
        <v>-0.14000000000000001</v>
      </c>
      <c r="AI38" s="420">
        <f t="shared" si="17"/>
        <v>-0.18</v>
      </c>
      <c r="AJ38" s="420">
        <f t="shared" si="17"/>
        <v>0</v>
      </c>
      <c r="AK38" s="407"/>
      <c r="AL38" s="422"/>
      <c r="AM38" s="423"/>
      <c r="AO38"/>
      <c r="AP38"/>
      <c r="AQ38"/>
      <c r="AR38"/>
      <c r="AS38"/>
      <c r="AT38"/>
      <c r="AU38"/>
      <c r="AV38"/>
      <c r="AW38"/>
      <c r="AX38"/>
      <c r="AY38"/>
    </row>
    <row r="39" spans="2:51" ht="16.5" customHeight="1" thickTop="1">
      <c r="B39" s="451" t="s">
        <v>338</v>
      </c>
      <c r="C39" s="453" t="str">
        <f>aurora_data!A148</f>
        <v>08.00.00-08.11.30</v>
      </c>
      <c r="D39" s="34" t="s">
        <v>306</v>
      </c>
      <c r="E39" s="152">
        <f>aurora_data!D148</f>
        <v>0.08</v>
      </c>
      <c r="F39" s="153">
        <f>aurora_data!E148</f>
        <v>0.08</v>
      </c>
      <c r="G39" s="153">
        <f>aurora_data!F148</f>
        <v>0.3</v>
      </c>
      <c r="H39" s="153">
        <f>aurora_data!G148</f>
        <v>0.36</v>
      </c>
      <c r="I39" s="153">
        <f>aurora_data!H148</f>
        <v>1.6</v>
      </c>
      <c r="J39" s="152">
        <f>aurora_data!I148</f>
        <v>0.09</v>
      </c>
      <c r="K39" s="153">
        <f>aurora_data!J148</f>
        <v>0.43</v>
      </c>
      <c r="L39" s="153">
        <f>aurora_data!K148</f>
        <v>1.62</v>
      </c>
      <c r="M39" s="153">
        <f>aurora_data!L148</f>
        <v>2.5299999999999998</v>
      </c>
      <c r="N39" s="154">
        <f>aurora_data!M148</f>
        <v>1.68</v>
      </c>
      <c r="O39" s="152">
        <f>aurora_data!N148</f>
        <v>0.86</v>
      </c>
      <c r="P39" s="153">
        <f>aurora_data!O148</f>
        <v>1.44</v>
      </c>
      <c r="Q39" s="153">
        <f>aurora_data!P148</f>
        <v>3.35</v>
      </c>
      <c r="R39" s="153">
        <f>aurora_data!Q148</f>
        <v>3.94</v>
      </c>
      <c r="S39" s="154">
        <f>aurora_data!R148</f>
        <v>2.67</v>
      </c>
      <c r="T39" s="152">
        <f>aurora_data!S148</f>
        <v>7.0000000000000007E-2</v>
      </c>
      <c r="U39" s="153">
        <f>aurora_data!T148</f>
        <v>0.25</v>
      </c>
      <c r="V39" s="153">
        <f>aurora_data!U148</f>
        <v>0.83</v>
      </c>
      <c r="W39" s="153">
        <f>aurora_data!V148</f>
        <v>1.74</v>
      </c>
      <c r="X39" s="154">
        <f>aurora_data!W148</f>
        <v>2.1</v>
      </c>
      <c r="Y39" s="152">
        <f>aurora_data!X148</f>
        <v>0.28000000000000003</v>
      </c>
      <c r="Z39" s="153">
        <f>aurora_data!Y148</f>
        <v>0.51</v>
      </c>
      <c r="AA39" s="153">
        <f>aurora_data!Z148</f>
        <v>3.81</v>
      </c>
      <c r="AB39" s="153">
        <f>aurora_data!AA148</f>
        <v>7.56</v>
      </c>
      <c r="AC39" s="154">
        <f>aurora_data!AB148</f>
        <v>11.83</v>
      </c>
      <c r="AD39" s="152">
        <f>aurora_data!AC148</f>
        <v>10.45</v>
      </c>
      <c r="AE39" s="153">
        <f>aurora_data!AD148</f>
        <v>7.66</v>
      </c>
      <c r="AF39" s="153">
        <f>aurora_data!AE148</f>
        <v>20.04</v>
      </c>
      <c r="AG39" s="154">
        <f>aurora_data!AF148</f>
        <v>11.85</v>
      </c>
      <c r="AH39" s="155">
        <f>aurora_data!AG148</f>
        <v>25</v>
      </c>
      <c r="AI39" s="171">
        <f>aurora_data!AH148</f>
        <v>25</v>
      </c>
      <c r="AJ39" s="201">
        <f>aurora_data!AI20</f>
        <v>0</v>
      </c>
      <c r="AK39" s="407"/>
      <c r="AL39" s="155">
        <f>aurora_data!AJ148</f>
        <v>50</v>
      </c>
      <c r="AM39" s="167">
        <f t="shared" ref="AM39:AM46" si="18">SUM(AL39)/$AL$39</f>
        <v>1</v>
      </c>
      <c r="AO39"/>
      <c r="AP39"/>
      <c r="AQ39"/>
      <c r="AR39"/>
      <c r="AS39"/>
      <c r="AT39"/>
      <c r="AU39"/>
      <c r="AV39"/>
      <c r="AW39"/>
      <c r="AX39"/>
      <c r="AY39"/>
    </row>
    <row r="40" spans="2:51" ht="16.5" customHeight="1">
      <c r="B40" s="452"/>
      <c r="C40" s="454"/>
      <c r="D40" s="35" t="s">
        <v>339</v>
      </c>
      <c r="E40" s="262">
        <f>aurora_data!D149</f>
        <v>0</v>
      </c>
      <c r="F40" s="263">
        <f>aurora_data!E149</f>
        <v>0</v>
      </c>
      <c r="G40" s="263">
        <f>aurora_data!F149</f>
        <v>0</v>
      </c>
      <c r="H40" s="263">
        <f>aurora_data!G149</f>
        <v>0</v>
      </c>
      <c r="I40" s="263">
        <f>aurora_data!H149</f>
        <v>2</v>
      </c>
      <c r="J40" s="262">
        <f>aurora_data!I149</f>
        <v>0</v>
      </c>
      <c r="K40" s="263">
        <f>aurora_data!J149</f>
        <v>0</v>
      </c>
      <c r="L40" s="263">
        <f>aurora_data!K149</f>
        <v>2</v>
      </c>
      <c r="M40" s="263">
        <f>aurora_data!L149</f>
        <v>1</v>
      </c>
      <c r="N40" s="264">
        <f>aurora_data!M149</f>
        <v>1</v>
      </c>
      <c r="O40" s="262">
        <f>aurora_data!N149</f>
        <v>0</v>
      </c>
      <c r="P40" s="263">
        <f>aurora_data!O149</f>
        <v>1</v>
      </c>
      <c r="Q40" s="263">
        <f>aurora_data!P149</f>
        <v>3</v>
      </c>
      <c r="R40" s="263">
        <f>aurora_data!Q149</f>
        <v>4</v>
      </c>
      <c r="S40" s="264">
        <f>aurora_data!R149</f>
        <v>3</v>
      </c>
      <c r="T40" s="262">
        <f>aurora_data!S149</f>
        <v>1</v>
      </c>
      <c r="U40" s="263">
        <f>aurora_data!T149</f>
        <v>0</v>
      </c>
      <c r="V40" s="263">
        <f>aurora_data!U149</f>
        <v>0</v>
      </c>
      <c r="W40" s="263">
        <f>aurora_data!V149</f>
        <v>2</v>
      </c>
      <c r="X40" s="264">
        <f>aurora_data!W149</f>
        <v>2</v>
      </c>
      <c r="Y40" s="262">
        <f>aurora_data!X149</f>
        <v>0</v>
      </c>
      <c r="Z40" s="263">
        <f>aurora_data!Y149</f>
        <v>0</v>
      </c>
      <c r="AA40" s="263">
        <f>aurora_data!Z149</f>
        <v>1</v>
      </c>
      <c r="AB40" s="263">
        <f>aurora_data!AA149</f>
        <v>7</v>
      </c>
      <c r="AC40" s="264">
        <f>aurora_data!AB149</f>
        <v>12</v>
      </c>
      <c r="AD40" s="262">
        <f>aurora_data!AC149</f>
        <v>15</v>
      </c>
      <c r="AE40" s="263">
        <f>aurora_data!AD149</f>
        <v>7</v>
      </c>
      <c r="AF40" s="263">
        <f>aurora_data!AE149</f>
        <v>11</v>
      </c>
      <c r="AG40" s="264">
        <f>aurora_data!AF149</f>
        <v>9</v>
      </c>
      <c r="AH40" s="262">
        <f>aurora_data!AG149</f>
        <v>20</v>
      </c>
      <c r="AI40" s="263">
        <f>aurora_data!AH149</f>
        <v>22</v>
      </c>
      <c r="AJ40" s="264">
        <f>aurora_data!AI21</f>
        <v>0</v>
      </c>
      <c r="AK40" s="407"/>
      <c r="AL40" s="408">
        <f>aurora_data!AJ149</f>
        <v>42</v>
      </c>
      <c r="AM40" s="409">
        <f t="shared" si="18"/>
        <v>0.84</v>
      </c>
      <c r="AO40"/>
      <c r="AP40"/>
      <c r="AQ40"/>
      <c r="AR40"/>
      <c r="AS40"/>
      <c r="AT40"/>
      <c r="AU40"/>
      <c r="AV40"/>
      <c r="AW40"/>
      <c r="AX40"/>
      <c r="AY40"/>
    </row>
    <row r="41" spans="2:51" ht="16.5" customHeight="1">
      <c r="B41" s="452"/>
      <c r="C41" s="454"/>
      <c r="D41" s="35" t="s">
        <v>291</v>
      </c>
      <c r="E41" s="408">
        <f>aurora_data!D150</f>
        <v>0</v>
      </c>
      <c r="F41" s="410">
        <f>aurora_data!E150</f>
        <v>0</v>
      </c>
      <c r="G41" s="410">
        <f>aurora_data!F150</f>
        <v>0</v>
      </c>
      <c r="H41" s="410">
        <f>aurora_data!G150</f>
        <v>0</v>
      </c>
      <c r="I41" s="410">
        <f>aurora_data!H150</f>
        <v>0</v>
      </c>
      <c r="J41" s="408">
        <f>aurora_data!I150</f>
        <v>0</v>
      </c>
      <c r="K41" s="410">
        <f>aurora_data!J150</f>
        <v>0</v>
      </c>
      <c r="L41" s="410">
        <f>aurora_data!K150</f>
        <v>0</v>
      </c>
      <c r="M41" s="410">
        <f>aurora_data!L150</f>
        <v>0</v>
      </c>
      <c r="N41" s="411">
        <f>aurora_data!M150</f>
        <v>0</v>
      </c>
      <c r="O41" s="408">
        <f>aurora_data!N150</f>
        <v>0</v>
      </c>
      <c r="P41" s="410">
        <f>aurora_data!O150</f>
        <v>0</v>
      </c>
      <c r="Q41" s="410">
        <f>aurora_data!P150</f>
        <v>1</v>
      </c>
      <c r="R41" s="410">
        <f>aurora_data!Q150</f>
        <v>0</v>
      </c>
      <c r="S41" s="411">
        <f>aurora_data!R150</f>
        <v>0</v>
      </c>
      <c r="T41" s="408">
        <f>aurora_data!S150</f>
        <v>0</v>
      </c>
      <c r="U41" s="410">
        <f>aurora_data!T150</f>
        <v>0</v>
      </c>
      <c r="V41" s="410">
        <f>aurora_data!U150</f>
        <v>0</v>
      </c>
      <c r="W41" s="410">
        <f>aurora_data!V150</f>
        <v>0</v>
      </c>
      <c r="X41" s="411">
        <f>aurora_data!W150</f>
        <v>0</v>
      </c>
      <c r="Y41" s="408">
        <f>aurora_data!X150</f>
        <v>0</v>
      </c>
      <c r="Z41" s="410">
        <f>aurora_data!Y150</f>
        <v>0</v>
      </c>
      <c r="AA41" s="410">
        <f>aurora_data!Z150</f>
        <v>0</v>
      </c>
      <c r="AB41" s="410">
        <f>aurora_data!AA150</f>
        <v>0</v>
      </c>
      <c r="AC41" s="411">
        <f>aurora_data!AB150</f>
        <v>1</v>
      </c>
      <c r="AD41" s="408">
        <f>aurora_data!AC150</f>
        <v>2</v>
      </c>
      <c r="AE41" s="410">
        <f>aurora_data!AD150</f>
        <v>0</v>
      </c>
      <c r="AF41" s="410">
        <f>aurora_data!AE150</f>
        <v>0</v>
      </c>
      <c r="AG41" s="411">
        <f>aurora_data!AF150</f>
        <v>0</v>
      </c>
      <c r="AH41" s="408">
        <f>aurora_data!AG150</f>
        <v>2</v>
      </c>
      <c r="AI41" s="410">
        <f>aurora_data!AH150</f>
        <v>0</v>
      </c>
      <c r="AJ41" s="411">
        <f>aurora_data!AI22</f>
        <v>0</v>
      </c>
      <c r="AK41" s="407"/>
      <c r="AL41" s="408">
        <f>aurora_data!AJ150</f>
        <v>2</v>
      </c>
      <c r="AM41" s="409">
        <f t="shared" si="18"/>
        <v>0.04</v>
      </c>
      <c r="AO41"/>
      <c r="AP41"/>
      <c r="AQ41"/>
      <c r="AR41"/>
      <c r="AS41"/>
      <c r="AT41"/>
      <c r="AU41"/>
      <c r="AV41"/>
      <c r="AW41"/>
      <c r="AX41"/>
      <c r="AY41"/>
    </row>
    <row r="42" spans="2:51" ht="16.5" customHeight="1">
      <c r="B42" s="452"/>
      <c r="C42" s="454"/>
      <c r="D42" s="35" t="s">
        <v>340</v>
      </c>
      <c r="E42" s="408">
        <f>aurora_data!D151</f>
        <v>0</v>
      </c>
      <c r="F42" s="410">
        <f>aurora_data!E151</f>
        <v>0</v>
      </c>
      <c r="G42" s="410">
        <f>aurora_data!F151</f>
        <v>0</v>
      </c>
      <c r="H42" s="410">
        <f>aurora_data!G151</f>
        <v>0</v>
      </c>
      <c r="I42" s="410">
        <f>aurora_data!H151</f>
        <v>0</v>
      </c>
      <c r="J42" s="408">
        <f>aurora_data!I151</f>
        <v>0</v>
      </c>
      <c r="K42" s="410">
        <f>aurora_data!J151</f>
        <v>0</v>
      </c>
      <c r="L42" s="410">
        <f>aurora_data!K151</f>
        <v>0</v>
      </c>
      <c r="M42" s="410">
        <f>aurora_data!L151</f>
        <v>0</v>
      </c>
      <c r="N42" s="411">
        <f>aurora_data!M151</f>
        <v>0</v>
      </c>
      <c r="O42" s="408">
        <f>aurora_data!N151</f>
        <v>0</v>
      </c>
      <c r="P42" s="410">
        <f>aurora_data!O151</f>
        <v>0</v>
      </c>
      <c r="Q42" s="410">
        <f>aurora_data!P151</f>
        <v>0</v>
      </c>
      <c r="R42" s="410">
        <f>aurora_data!Q151</f>
        <v>0</v>
      </c>
      <c r="S42" s="411">
        <f>aurora_data!R151</f>
        <v>0</v>
      </c>
      <c r="T42" s="408">
        <f>aurora_data!S151</f>
        <v>0</v>
      </c>
      <c r="U42" s="410">
        <f>aurora_data!T151</f>
        <v>0</v>
      </c>
      <c r="V42" s="410">
        <f>aurora_data!U151</f>
        <v>0</v>
      </c>
      <c r="W42" s="410">
        <f>aurora_data!V151</f>
        <v>0</v>
      </c>
      <c r="X42" s="411">
        <f>aurora_data!W151</f>
        <v>0</v>
      </c>
      <c r="Y42" s="408">
        <f>aurora_data!X151</f>
        <v>0</v>
      </c>
      <c r="Z42" s="410">
        <f>aurora_data!Y151</f>
        <v>0</v>
      </c>
      <c r="AA42" s="410">
        <f>aurora_data!Z151</f>
        <v>0</v>
      </c>
      <c r="AB42" s="410">
        <f>aurora_data!AA151</f>
        <v>0</v>
      </c>
      <c r="AC42" s="411">
        <f>aurora_data!AB151</f>
        <v>0</v>
      </c>
      <c r="AD42" s="408">
        <f>aurora_data!AC151</f>
        <v>0</v>
      </c>
      <c r="AE42" s="410">
        <f>aurora_data!AD151</f>
        <v>0</v>
      </c>
      <c r="AF42" s="410">
        <f>aurora_data!AE151</f>
        <v>0</v>
      </c>
      <c r="AG42" s="411">
        <f>aurora_data!AF151</f>
        <v>0</v>
      </c>
      <c r="AH42" s="408">
        <f>aurora_data!AG151</f>
        <v>0</v>
      </c>
      <c r="AI42" s="410">
        <f>aurora_data!AH151</f>
        <v>0</v>
      </c>
      <c r="AJ42" s="411">
        <f>aurora_data!AI23</f>
        <v>0</v>
      </c>
      <c r="AK42" s="407"/>
      <c r="AL42" s="408">
        <f>aurora_data!AJ151</f>
        <v>0</v>
      </c>
      <c r="AM42" s="409">
        <f t="shared" si="18"/>
        <v>0</v>
      </c>
      <c r="AO42"/>
      <c r="AP42"/>
      <c r="AQ42"/>
      <c r="AR42"/>
      <c r="AS42"/>
      <c r="AT42"/>
      <c r="AU42"/>
      <c r="AV42"/>
      <c r="AW42"/>
      <c r="AX42"/>
      <c r="AY42"/>
    </row>
    <row r="43" spans="2:51">
      <c r="B43" s="452"/>
      <c r="C43" s="454"/>
      <c r="D43" s="35" t="s">
        <v>341</v>
      </c>
      <c r="E43" s="408">
        <f>aurora_data!D152</f>
        <v>0</v>
      </c>
      <c r="F43" s="410">
        <f>aurora_data!E152</f>
        <v>0</v>
      </c>
      <c r="G43" s="410">
        <f>aurora_data!F152</f>
        <v>0</v>
      </c>
      <c r="H43" s="410">
        <f>aurora_data!G152</f>
        <v>0</v>
      </c>
      <c r="I43" s="410">
        <f>aurora_data!H152</f>
        <v>0</v>
      </c>
      <c r="J43" s="408">
        <f>aurora_data!I152</f>
        <v>0</v>
      </c>
      <c r="K43" s="410">
        <f>aurora_data!J152</f>
        <v>0</v>
      </c>
      <c r="L43" s="410">
        <f>aurora_data!K152</f>
        <v>0</v>
      </c>
      <c r="M43" s="410">
        <f>aurora_data!L152</f>
        <v>0</v>
      </c>
      <c r="N43" s="411">
        <f>aurora_data!M152</f>
        <v>0</v>
      </c>
      <c r="O43" s="408">
        <f>aurora_data!N152</f>
        <v>0</v>
      </c>
      <c r="P43" s="410">
        <f>aurora_data!O152</f>
        <v>0</v>
      </c>
      <c r="Q43" s="410">
        <f>aurora_data!P152</f>
        <v>0</v>
      </c>
      <c r="R43" s="410">
        <f>aurora_data!Q152</f>
        <v>1</v>
      </c>
      <c r="S43" s="411">
        <f>aurora_data!R152</f>
        <v>0</v>
      </c>
      <c r="T43" s="408">
        <f>aurora_data!S152</f>
        <v>0</v>
      </c>
      <c r="U43" s="410">
        <f>aurora_data!T152</f>
        <v>0</v>
      </c>
      <c r="V43" s="410">
        <f>aurora_data!U152</f>
        <v>1</v>
      </c>
      <c r="W43" s="410">
        <f>aurora_data!V152</f>
        <v>0</v>
      </c>
      <c r="X43" s="411">
        <f>aurora_data!W152</f>
        <v>0</v>
      </c>
      <c r="Y43" s="408">
        <f>aurora_data!X152</f>
        <v>0</v>
      </c>
      <c r="Z43" s="410">
        <f>aurora_data!Y152</f>
        <v>0</v>
      </c>
      <c r="AA43" s="410">
        <f>aurora_data!Z152</f>
        <v>1</v>
      </c>
      <c r="AB43" s="410">
        <f>aurora_data!AA152</f>
        <v>2</v>
      </c>
      <c r="AC43" s="411">
        <f>aurora_data!AB152</f>
        <v>0</v>
      </c>
      <c r="AD43" s="408">
        <f>aurora_data!AC152</f>
        <v>1</v>
      </c>
      <c r="AE43" s="410">
        <f>aurora_data!AD152</f>
        <v>2</v>
      </c>
      <c r="AF43" s="410">
        <f>aurora_data!AE152</f>
        <v>1</v>
      </c>
      <c r="AG43" s="411">
        <f>aurora_data!AF152</f>
        <v>1</v>
      </c>
      <c r="AH43" s="408">
        <f>aurora_data!AG152</f>
        <v>3</v>
      </c>
      <c r="AI43" s="410">
        <f>aurora_data!AH152</f>
        <v>2</v>
      </c>
      <c r="AJ43" s="411">
        <f>aurora_data!AI24</f>
        <v>0</v>
      </c>
      <c r="AK43" s="407"/>
      <c r="AL43" s="408">
        <f>aurora_data!AJ152</f>
        <v>5</v>
      </c>
      <c r="AM43" s="409">
        <f t="shared" si="18"/>
        <v>0.1</v>
      </c>
      <c r="AO43"/>
      <c r="AP43"/>
      <c r="AQ43"/>
      <c r="AR43"/>
      <c r="AS43"/>
      <c r="AT43"/>
      <c r="AU43"/>
      <c r="AV43"/>
      <c r="AW43"/>
      <c r="AX43"/>
      <c r="AY43"/>
    </row>
    <row r="44" spans="2:51" ht="16.5" thickBot="1">
      <c r="B44" s="452"/>
      <c r="C44" s="454"/>
      <c r="D44" s="35" t="s">
        <v>342</v>
      </c>
      <c r="E44" s="408">
        <f>aurora_data!D153</f>
        <v>0</v>
      </c>
      <c r="F44" s="410">
        <f>aurora_data!E153</f>
        <v>0</v>
      </c>
      <c r="G44" s="410">
        <f>aurora_data!F153</f>
        <v>0</v>
      </c>
      <c r="H44" s="410">
        <f>aurora_data!G153</f>
        <v>0</v>
      </c>
      <c r="I44" s="410">
        <f>aurora_data!H153</f>
        <v>0</v>
      </c>
      <c r="J44" s="408">
        <f>aurora_data!I153</f>
        <v>0</v>
      </c>
      <c r="K44" s="410">
        <f>aurora_data!J153</f>
        <v>0</v>
      </c>
      <c r="L44" s="410">
        <f>aurora_data!K153</f>
        <v>0</v>
      </c>
      <c r="M44" s="410">
        <f>aurora_data!L153</f>
        <v>0</v>
      </c>
      <c r="N44" s="411">
        <f>aurora_data!M153</f>
        <v>0</v>
      </c>
      <c r="O44" s="408">
        <f>aurora_data!N153</f>
        <v>0</v>
      </c>
      <c r="P44" s="410">
        <f>aurora_data!O153</f>
        <v>0</v>
      </c>
      <c r="Q44" s="410">
        <f>aurora_data!P153</f>
        <v>0</v>
      </c>
      <c r="R44" s="410">
        <f>aurora_data!Q153</f>
        <v>0</v>
      </c>
      <c r="S44" s="411">
        <f>aurora_data!R153</f>
        <v>0</v>
      </c>
      <c r="T44" s="408">
        <f>aurora_data!S153</f>
        <v>0</v>
      </c>
      <c r="U44" s="410">
        <f>aurora_data!T153</f>
        <v>0</v>
      </c>
      <c r="V44" s="410">
        <f>aurora_data!U153</f>
        <v>0</v>
      </c>
      <c r="W44" s="410">
        <f>aurora_data!V153</f>
        <v>0</v>
      </c>
      <c r="X44" s="411">
        <f>aurora_data!W153</f>
        <v>0</v>
      </c>
      <c r="Y44" s="408">
        <f>aurora_data!X153</f>
        <v>0</v>
      </c>
      <c r="Z44" s="410">
        <f>aurora_data!Y153</f>
        <v>0</v>
      </c>
      <c r="AA44" s="410">
        <f>aurora_data!Z153</f>
        <v>0</v>
      </c>
      <c r="AB44" s="410">
        <f>aurora_data!AA153</f>
        <v>0</v>
      </c>
      <c r="AC44" s="411">
        <f>aurora_data!AB153</f>
        <v>0</v>
      </c>
      <c r="AD44" s="408">
        <f>aurora_data!AC153</f>
        <v>0</v>
      </c>
      <c r="AE44" s="410">
        <f>aurora_data!AD153</f>
        <v>0</v>
      </c>
      <c r="AF44" s="410">
        <f>aurora_data!AE153</f>
        <v>0</v>
      </c>
      <c r="AG44" s="411">
        <f>aurora_data!AF153</f>
        <v>0</v>
      </c>
      <c r="AH44" s="408">
        <f>aurora_data!AG153</f>
        <v>0</v>
      </c>
      <c r="AI44" s="410">
        <f>aurora_data!AH153</f>
        <v>0</v>
      </c>
      <c r="AJ44" s="411">
        <f>aurora_data!AI25</f>
        <v>0</v>
      </c>
      <c r="AK44" s="412"/>
      <c r="AL44" s="408">
        <f>aurora_data!AJ153</f>
        <v>0</v>
      </c>
      <c r="AM44" s="409">
        <f t="shared" si="18"/>
        <v>0</v>
      </c>
      <c r="AO44"/>
      <c r="AP44"/>
      <c r="AQ44"/>
      <c r="AR44"/>
      <c r="AS44"/>
      <c r="AT44"/>
      <c r="AU44"/>
      <c r="AV44"/>
      <c r="AW44"/>
      <c r="AX44"/>
      <c r="AY44"/>
    </row>
    <row r="45" spans="2:51" ht="16.5" thickBot="1">
      <c r="B45" s="452"/>
      <c r="C45" s="454"/>
      <c r="D45" s="37" t="s">
        <v>17</v>
      </c>
      <c r="E45" s="182">
        <f>aurora_data!D154</f>
        <v>0</v>
      </c>
      <c r="F45" s="183">
        <f>aurora_data!E154</f>
        <v>0</v>
      </c>
      <c r="G45" s="183">
        <f>aurora_data!F154</f>
        <v>0</v>
      </c>
      <c r="H45" s="183">
        <f>aurora_data!G154</f>
        <v>0</v>
      </c>
      <c r="I45" s="184">
        <f>aurora_data!H154</f>
        <v>2</v>
      </c>
      <c r="J45" s="182">
        <f>aurora_data!I154</f>
        <v>0</v>
      </c>
      <c r="K45" s="183">
        <f>aurora_data!J154</f>
        <v>0</v>
      </c>
      <c r="L45" s="183">
        <f>aurora_data!K154</f>
        <v>2</v>
      </c>
      <c r="M45" s="183">
        <f>aurora_data!L154</f>
        <v>1</v>
      </c>
      <c r="N45" s="184">
        <f>aurora_data!M154</f>
        <v>1</v>
      </c>
      <c r="O45" s="182">
        <f>aurora_data!N154</f>
        <v>0</v>
      </c>
      <c r="P45" s="183">
        <f>aurora_data!O154</f>
        <v>1</v>
      </c>
      <c r="Q45" s="183">
        <f>aurora_data!P154</f>
        <v>4</v>
      </c>
      <c r="R45" s="183">
        <f>aurora_data!Q154</f>
        <v>5</v>
      </c>
      <c r="S45" s="184">
        <f>aurora_data!R154</f>
        <v>3</v>
      </c>
      <c r="T45" s="182">
        <f>aurora_data!S154</f>
        <v>1</v>
      </c>
      <c r="U45" s="183">
        <f>aurora_data!T154</f>
        <v>0</v>
      </c>
      <c r="V45" s="183">
        <f>aurora_data!U154</f>
        <v>1</v>
      </c>
      <c r="W45" s="183">
        <f>aurora_data!V154</f>
        <v>2</v>
      </c>
      <c r="X45" s="184">
        <f>aurora_data!W154</f>
        <v>2</v>
      </c>
      <c r="Y45" s="182">
        <f>aurora_data!X154</f>
        <v>0</v>
      </c>
      <c r="Z45" s="183">
        <f>aurora_data!Y154</f>
        <v>0</v>
      </c>
      <c r="AA45" s="183">
        <f>aurora_data!Z154</f>
        <v>2</v>
      </c>
      <c r="AB45" s="183">
        <f>aurora_data!AA154</f>
        <v>9</v>
      </c>
      <c r="AC45" s="184">
        <f>aurora_data!AB154</f>
        <v>13</v>
      </c>
      <c r="AD45" s="182">
        <f>aurora_data!AC154</f>
        <v>18</v>
      </c>
      <c r="AE45" s="183">
        <f>aurora_data!AD154</f>
        <v>9</v>
      </c>
      <c r="AF45" s="183">
        <f>aurora_data!AE154</f>
        <v>12</v>
      </c>
      <c r="AG45" s="184">
        <f>aurora_data!AF154</f>
        <v>10</v>
      </c>
      <c r="AH45" s="182">
        <f>aurora_data!AG154</f>
        <v>25</v>
      </c>
      <c r="AI45" s="183">
        <f>aurora_data!AH154</f>
        <v>24</v>
      </c>
      <c r="AJ45" s="183">
        <f>aurora_data!AI26</f>
        <v>0</v>
      </c>
      <c r="AK45" s="412"/>
      <c r="AL45" s="182">
        <f>aurora_data!AJ154</f>
        <v>49</v>
      </c>
      <c r="AM45" s="413">
        <f t="shared" si="18"/>
        <v>0.98</v>
      </c>
      <c r="AO45"/>
      <c r="AP45"/>
      <c r="AQ45"/>
      <c r="AR45"/>
      <c r="AS45"/>
      <c r="AT45"/>
      <c r="AU45"/>
      <c r="AV45"/>
      <c r="AW45"/>
      <c r="AX45"/>
      <c r="AY45"/>
    </row>
    <row r="46" spans="2:51" ht="16.5" customHeight="1" thickBot="1">
      <c r="B46" s="452"/>
      <c r="C46" s="454"/>
      <c r="D46" s="38" t="s">
        <v>343</v>
      </c>
      <c r="E46" s="265">
        <f>aurora_data!D155</f>
        <v>0</v>
      </c>
      <c r="F46" s="266">
        <f>aurora_data!E155</f>
        <v>0</v>
      </c>
      <c r="G46" s="266">
        <f>aurora_data!F155</f>
        <v>0</v>
      </c>
      <c r="H46" s="266">
        <f>aurora_data!G155</f>
        <v>0</v>
      </c>
      <c r="I46" s="266">
        <f>aurora_data!H155</f>
        <v>0</v>
      </c>
      <c r="J46" s="265">
        <f>aurora_data!I155</f>
        <v>0</v>
      </c>
      <c r="K46" s="266">
        <f>aurora_data!J155</f>
        <v>0</v>
      </c>
      <c r="L46" s="266">
        <f>aurora_data!K155</f>
        <v>0</v>
      </c>
      <c r="M46" s="266">
        <f>aurora_data!L155</f>
        <v>0</v>
      </c>
      <c r="N46" s="267">
        <f>aurora_data!M155</f>
        <v>0</v>
      </c>
      <c r="O46" s="265">
        <f>aurora_data!N155</f>
        <v>0</v>
      </c>
      <c r="P46" s="266">
        <f>aurora_data!O155</f>
        <v>0</v>
      </c>
      <c r="Q46" s="266">
        <f>aurora_data!P155</f>
        <v>0</v>
      </c>
      <c r="R46" s="266">
        <f>aurora_data!Q155</f>
        <v>0</v>
      </c>
      <c r="S46" s="267">
        <f>aurora_data!R155</f>
        <v>0</v>
      </c>
      <c r="T46" s="265">
        <f>aurora_data!S155</f>
        <v>0</v>
      </c>
      <c r="U46" s="266">
        <f>aurora_data!T155</f>
        <v>0</v>
      </c>
      <c r="V46" s="266">
        <f>aurora_data!U155</f>
        <v>0</v>
      </c>
      <c r="W46" s="266">
        <f>aurora_data!V155</f>
        <v>0</v>
      </c>
      <c r="X46" s="267">
        <f>aurora_data!W155</f>
        <v>0</v>
      </c>
      <c r="Y46" s="265">
        <f>aurora_data!X155</f>
        <v>0</v>
      </c>
      <c r="Z46" s="266">
        <f>aurora_data!Y155</f>
        <v>0</v>
      </c>
      <c r="AA46" s="266">
        <f>aurora_data!Z155</f>
        <v>0</v>
      </c>
      <c r="AB46" s="266">
        <f>aurora_data!AA155</f>
        <v>0</v>
      </c>
      <c r="AC46" s="267">
        <f>aurora_data!AB155</f>
        <v>0</v>
      </c>
      <c r="AD46" s="265">
        <f>aurora_data!AC155</f>
        <v>0</v>
      </c>
      <c r="AE46" s="266">
        <f>aurora_data!AD155</f>
        <v>0</v>
      </c>
      <c r="AF46" s="266">
        <f>aurora_data!AE155</f>
        <v>0</v>
      </c>
      <c r="AG46" s="267">
        <f>aurora_data!AF155</f>
        <v>0</v>
      </c>
      <c r="AH46" s="265">
        <f>aurora_data!AG155</f>
        <v>0</v>
      </c>
      <c r="AI46" s="266">
        <f>aurora_data!AH155</f>
        <v>0</v>
      </c>
      <c r="AJ46" s="268">
        <f>aurora_data!AI27</f>
        <v>0</v>
      </c>
      <c r="AK46" s="269"/>
      <c r="AL46" s="265">
        <f>aurora_data!AJ155</f>
        <v>0</v>
      </c>
      <c r="AM46" s="270">
        <f t="shared" si="18"/>
        <v>0</v>
      </c>
      <c r="AO46"/>
      <c r="AP46"/>
      <c r="AQ46"/>
      <c r="AR46"/>
      <c r="AS46"/>
      <c r="AT46"/>
      <c r="AU46"/>
      <c r="AV46"/>
      <c r="AW46"/>
      <c r="AX46"/>
      <c r="AY46"/>
    </row>
    <row r="47" spans="2:51" ht="16.5" customHeight="1" outlineLevel="1">
      <c r="B47" s="452"/>
      <c r="C47" s="454"/>
      <c r="D47" s="199" t="s">
        <v>344</v>
      </c>
      <c r="E47" s="271">
        <f t="shared" ref="E47:AC47" si="19">ROUNDDOWN((E49+$E$9)*($AL39),0)</f>
        <v>1</v>
      </c>
      <c r="F47" s="272">
        <f t="shared" si="19"/>
        <v>1</v>
      </c>
      <c r="G47" s="272">
        <f t="shared" si="19"/>
        <v>1</v>
      </c>
      <c r="H47" s="272">
        <f t="shared" si="19"/>
        <v>1</v>
      </c>
      <c r="I47" s="272">
        <f t="shared" si="19"/>
        <v>2</v>
      </c>
      <c r="J47" s="271">
        <f t="shared" si="19"/>
        <v>1</v>
      </c>
      <c r="K47" s="272">
        <f t="shared" si="19"/>
        <v>1</v>
      </c>
      <c r="L47" s="272">
        <f t="shared" si="19"/>
        <v>2</v>
      </c>
      <c r="M47" s="272">
        <f t="shared" si="19"/>
        <v>3</v>
      </c>
      <c r="N47" s="268">
        <f t="shared" si="19"/>
        <v>2</v>
      </c>
      <c r="O47" s="271">
        <f t="shared" si="19"/>
        <v>1</v>
      </c>
      <c r="P47" s="272">
        <f t="shared" si="19"/>
        <v>2</v>
      </c>
      <c r="Q47" s="272">
        <f t="shared" si="19"/>
        <v>4</v>
      </c>
      <c r="R47" s="272">
        <f t="shared" si="19"/>
        <v>4</v>
      </c>
      <c r="S47" s="268">
        <f t="shared" si="19"/>
        <v>3</v>
      </c>
      <c r="T47" s="271">
        <f t="shared" si="19"/>
        <v>1</v>
      </c>
      <c r="U47" s="272">
        <f t="shared" si="19"/>
        <v>1</v>
      </c>
      <c r="V47" s="272">
        <f t="shared" si="19"/>
        <v>1</v>
      </c>
      <c r="W47" s="272">
        <f t="shared" si="19"/>
        <v>2</v>
      </c>
      <c r="X47" s="268">
        <f t="shared" si="19"/>
        <v>3</v>
      </c>
      <c r="Y47" s="271">
        <f t="shared" si="19"/>
        <v>1</v>
      </c>
      <c r="Z47" s="272">
        <f t="shared" si="19"/>
        <v>1</v>
      </c>
      <c r="AA47" s="272">
        <f t="shared" si="19"/>
        <v>4</v>
      </c>
      <c r="AB47" s="272">
        <f t="shared" si="19"/>
        <v>8</v>
      </c>
      <c r="AC47" s="268">
        <f t="shared" si="19"/>
        <v>12</v>
      </c>
      <c r="AD47" s="271">
        <f>ROUNDDOWN((AD49+$AD$9)*($AL39),0)</f>
        <v>15</v>
      </c>
      <c r="AE47" s="272">
        <f>ROUNDDOWN((AE49+$AD$9)*($AL39),0)</f>
        <v>12</v>
      </c>
      <c r="AF47" s="272">
        <f t="shared" ref="AF47:AG47" si="20">ROUNDDOWN((AF49+$AD$9)*($AL39),0)</f>
        <v>25</v>
      </c>
      <c r="AG47" s="268">
        <f t="shared" si="20"/>
        <v>16</v>
      </c>
      <c r="AH47" s="271">
        <f>ROUNDDOWN((AH49+$AH$9)*($AL39),0)</f>
        <v>25</v>
      </c>
      <c r="AI47" s="272">
        <f>ROUNDDOWN((AI49+$AH$8)*($AL39),0)</f>
        <v>25</v>
      </c>
      <c r="AJ47" s="268"/>
      <c r="AK47" s="273"/>
      <c r="AL47" s="274"/>
      <c r="AM47" s="275"/>
      <c r="AO47"/>
      <c r="AP47"/>
      <c r="AQ47"/>
      <c r="AR47"/>
      <c r="AS47"/>
      <c r="AT47"/>
      <c r="AU47"/>
      <c r="AV47"/>
      <c r="AW47"/>
      <c r="AX47"/>
      <c r="AY47"/>
    </row>
    <row r="48" spans="2:51" ht="15.75" customHeight="1" outlineLevel="1" thickBot="1">
      <c r="B48" s="452"/>
      <c r="C48" s="454"/>
      <c r="D48" s="199" t="s">
        <v>345</v>
      </c>
      <c r="E48" s="276">
        <f t="shared" ref="E48:AC48" si="21">IF(ROUND(((E49-$E$9)*($AL39))+0.25,0) &lt;=0,1,((E49-$E$9)*($AL39))+0.25)</f>
        <v>1</v>
      </c>
      <c r="F48" s="277">
        <f t="shared" si="21"/>
        <v>1</v>
      </c>
      <c r="G48" s="277">
        <f t="shared" si="21"/>
        <v>1</v>
      </c>
      <c r="H48" s="277">
        <f t="shared" si="21"/>
        <v>1</v>
      </c>
      <c r="I48" s="277">
        <f t="shared" si="21"/>
        <v>0.85</v>
      </c>
      <c r="J48" s="276">
        <f t="shared" si="21"/>
        <v>1</v>
      </c>
      <c r="K48" s="277">
        <f t="shared" si="21"/>
        <v>1</v>
      </c>
      <c r="L48" s="277">
        <f t="shared" si="21"/>
        <v>0.87000000000000022</v>
      </c>
      <c r="M48" s="277">
        <f t="shared" si="21"/>
        <v>1.78</v>
      </c>
      <c r="N48" s="278">
        <f t="shared" si="21"/>
        <v>0.92999999999999983</v>
      </c>
      <c r="O48" s="276">
        <f t="shared" si="21"/>
        <v>1</v>
      </c>
      <c r="P48" s="277">
        <f t="shared" si="21"/>
        <v>0.69</v>
      </c>
      <c r="Q48" s="277">
        <f t="shared" si="21"/>
        <v>2.6</v>
      </c>
      <c r="R48" s="277">
        <f t="shared" si="21"/>
        <v>3.1899999999999995</v>
      </c>
      <c r="S48" s="278">
        <f t="shared" si="21"/>
        <v>1.92</v>
      </c>
      <c r="T48" s="276">
        <f t="shared" si="21"/>
        <v>1</v>
      </c>
      <c r="U48" s="277">
        <f t="shared" si="21"/>
        <v>1</v>
      </c>
      <c r="V48" s="277">
        <f t="shared" si="21"/>
        <v>1</v>
      </c>
      <c r="W48" s="277">
        <f t="shared" si="21"/>
        <v>0.98999999999999988</v>
      </c>
      <c r="X48" s="278">
        <f t="shared" si="21"/>
        <v>1.35</v>
      </c>
      <c r="Y48" s="276">
        <f t="shared" si="21"/>
        <v>1</v>
      </c>
      <c r="Z48" s="277">
        <f t="shared" si="21"/>
        <v>1</v>
      </c>
      <c r="AA48" s="277">
        <f t="shared" si="21"/>
        <v>3.06</v>
      </c>
      <c r="AB48" s="277">
        <f t="shared" si="21"/>
        <v>6.8100000000000005</v>
      </c>
      <c r="AC48" s="278">
        <f t="shared" si="21"/>
        <v>11.08</v>
      </c>
      <c r="AD48" s="276">
        <f>IF(((AD49-$AD$9)*($AL39))+0.5 &lt;0,1,((AD49-$AD$9)*($AL39))+0.5 )</f>
        <v>5.9499999999999993</v>
      </c>
      <c r="AE48" s="277">
        <f t="shared" ref="AE48" si="22">IF(((AE49-$AD$9)*($AL39))+0.5 &lt;0,1,((AE49-$AD$9)*($AL39))+0.5 )</f>
        <v>3.1599999999999997</v>
      </c>
      <c r="AF48" s="277">
        <f t="shared" ref="AF48" si="23">IF(((AF49-$AD$9)*($AL39))+0.5 &lt;0,1,((AF49-$AD$9)*($AL39))+0.5 )</f>
        <v>15.539999999999997</v>
      </c>
      <c r="AG48" s="278">
        <f t="shared" ref="AG48" si="24">IF(((AG49-$AD$9)*($AL39))+0.5 &lt;0,1,((AG49-$AD$9)*($AL39))+0.5 )</f>
        <v>7.3499999999999988</v>
      </c>
      <c r="AH48" s="276">
        <f>IF(((AH49-$AH$9)*($AL39))+0.5 &lt;0,1,((AH49-$AH$9)*($AL39)) )</f>
        <v>25</v>
      </c>
      <c r="AI48" s="277">
        <f>IF(((AI49-$AH$9)*($AL39))+0.5 &lt;0,1,((AI49-$AH$9)*($AL39)) )</f>
        <v>25</v>
      </c>
      <c r="AJ48" s="278"/>
      <c r="AK48" s="273"/>
      <c r="AL48" s="279"/>
      <c r="AM48" s="280"/>
      <c r="AO48"/>
      <c r="AP48"/>
      <c r="AQ48"/>
      <c r="AR48"/>
      <c r="AS48"/>
      <c r="AT48"/>
      <c r="AU48"/>
      <c r="AV48"/>
      <c r="AW48"/>
      <c r="AX48"/>
      <c r="AY48"/>
    </row>
    <row r="49" spans="2:51" ht="15.75" customHeight="1" outlineLevel="1" thickTop="1">
      <c r="B49" s="110"/>
      <c r="C49" s="109"/>
      <c r="D49" s="95" t="s">
        <v>346</v>
      </c>
      <c r="E49" s="414">
        <f t="shared" ref="E49:AJ49" si="25">IFERROR(E39/$AL39,0)</f>
        <v>1.6000000000000001E-3</v>
      </c>
      <c r="F49" s="415">
        <f t="shared" si="25"/>
        <v>1.6000000000000001E-3</v>
      </c>
      <c r="G49" s="415">
        <f t="shared" si="25"/>
        <v>6.0000000000000001E-3</v>
      </c>
      <c r="H49" s="415">
        <f t="shared" si="25"/>
        <v>7.1999999999999998E-3</v>
      </c>
      <c r="I49" s="415">
        <f t="shared" si="25"/>
        <v>3.2000000000000001E-2</v>
      </c>
      <c r="J49" s="414">
        <f t="shared" si="25"/>
        <v>1.8E-3</v>
      </c>
      <c r="K49" s="415">
        <f t="shared" si="25"/>
        <v>8.6E-3</v>
      </c>
      <c r="L49" s="415">
        <f t="shared" si="25"/>
        <v>3.2400000000000005E-2</v>
      </c>
      <c r="M49" s="415">
        <f t="shared" si="25"/>
        <v>5.0599999999999999E-2</v>
      </c>
      <c r="N49" s="416">
        <f t="shared" si="25"/>
        <v>3.3599999999999998E-2</v>
      </c>
      <c r="O49" s="414">
        <f t="shared" si="25"/>
        <v>1.72E-2</v>
      </c>
      <c r="P49" s="415">
        <f t="shared" si="25"/>
        <v>2.8799999999999999E-2</v>
      </c>
      <c r="Q49" s="415">
        <f t="shared" si="25"/>
        <v>6.7000000000000004E-2</v>
      </c>
      <c r="R49" s="415">
        <f t="shared" si="25"/>
        <v>7.8799999999999995E-2</v>
      </c>
      <c r="S49" s="416">
        <f t="shared" si="25"/>
        <v>5.3399999999999996E-2</v>
      </c>
      <c r="T49" s="414">
        <f t="shared" si="25"/>
        <v>1.4000000000000002E-3</v>
      </c>
      <c r="U49" s="415">
        <f t="shared" si="25"/>
        <v>5.0000000000000001E-3</v>
      </c>
      <c r="V49" s="415">
        <f t="shared" si="25"/>
        <v>1.66E-2</v>
      </c>
      <c r="W49" s="415">
        <f t="shared" si="25"/>
        <v>3.4799999999999998E-2</v>
      </c>
      <c r="X49" s="416">
        <f t="shared" si="25"/>
        <v>4.2000000000000003E-2</v>
      </c>
      <c r="Y49" s="414">
        <f t="shared" si="25"/>
        <v>5.6000000000000008E-3</v>
      </c>
      <c r="Z49" s="415">
        <f t="shared" si="25"/>
        <v>1.0200000000000001E-2</v>
      </c>
      <c r="AA49" s="415">
        <f t="shared" si="25"/>
        <v>7.6200000000000004E-2</v>
      </c>
      <c r="AB49" s="415">
        <f t="shared" si="25"/>
        <v>0.1512</v>
      </c>
      <c r="AC49" s="416">
        <f t="shared" si="25"/>
        <v>0.2366</v>
      </c>
      <c r="AD49" s="414">
        <f t="shared" si="25"/>
        <v>0.20899999999999999</v>
      </c>
      <c r="AE49" s="415">
        <f t="shared" si="25"/>
        <v>0.1532</v>
      </c>
      <c r="AF49" s="415">
        <f t="shared" si="25"/>
        <v>0.40079999999999999</v>
      </c>
      <c r="AG49" s="416">
        <f t="shared" si="25"/>
        <v>0.23699999999999999</v>
      </c>
      <c r="AH49" s="415">
        <f t="shared" si="25"/>
        <v>0.5</v>
      </c>
      <c r="AI49" s="415">
        <f t="shared" si="25"/>
        <v>0.5</v>
      </c>
      <c r="AJ49" s="415">
        <f t="shared" si="25"/>
        <v>0</v>
      </c>
      <c r="AK49" s="407"/>
      <c r="AL49" s="417"/>
      <c r="AM49" s="418"/>
      <c r="AO49"/>
      <c r="AP49"/>
      <c r="AQ49"/>
      <c r="AR49"/>
      <c r="AS49"/>
      <c r="AT49"/>
      <c r="AU49"/>
      <c r="AV49"/>
      <c r="AW49"/>
      <c r="AX49"/>
      <c r="AY49"/>
    </row>
    <row r="50" spans="2:51" ht="16.5" customHeight="1" outlineLevel="1">
      <c r="B50" s="110"/>
      <c r="C50" s="109"/>
      <c r="D50" s="180" t="s">
        <v>347</v>
      </c>
      <c r="E50" s="414">
        <f t="shared" ref="E50:AJ50" si="26">IFERROR(E40/$AL39,0)</f>
        <v>0</v>
      </c>
      <c r="F50" s="415">
        <f t="shared" si="26"/>
        <v>0</v>
      </c>
      <c r="G50" s="415">
        <f t="shared" si="26"/>
        <v>0</v>
      </c>
      <c r="H50" s="415">
        <f t="shared" si="26"/>
        <v>0</v>
      </c>
      <c r="I50" s="415">
        <f t="shared" si="26"/>
        <v>0.04</v>
      </c>
      <c r="J50" s="414">
        <f t="shared" si="26"/>
        <v>0</v>
      </c>
      <c r="K50" s="415">
        <f t="shared" si="26"/>
        <v>0</v>
      </c>
      <c r="L50" s="415">
        <f t="shared" si="26"/>
        <v>0.04</v>
      </c>
      <c r="M50" s="415">
        <f t="shared" si="26"/>
        <v>0.02</v>
      </c>
      <c r="N50" s="416">
        <f t="shared" si="26"/>
        <v>0.02</v>
      </c>
      <c r="O50" s="414">
        <f t="shared" si="26"/>
        <v>0</v>
      </c>
      <c r="P50" s="415">
        <f t="shared" si="26"/>
        <v>0.02</v>
      </c>
      <c r="Q50" s="415">
        <f t="shared" si="26"/>
        <v>0.06</v>
      </c>
      <c r="R50" s="415">
        <f t="shared" si="26"/>
        <v>0.08</v>
      </c>
      <c r="S50" s="416">
        <f t="shared" si="26"/>
        <v>0.06</v>
      </c>
      <c r="T50" s="414">
        <f t="shared" si="26"/>
        <v>0.02</v>
      </c>
      <c r="U50" s="415">
        <f t="shared" si="26"/>
        <v>0</v>
      </c>
      <c r="V50" s="415">
        <f t="shared" si="26"/>
        <v>0</v>
      </c>
      <c r="W50" s="415">
        <f t="shared" si="26"/>
        <v>0.04</v>
      </c>
      <c r="X50" s="416">
        <f t="shared" si="26"/>
        <v>0.04</v>
      </c>
      <c r="Y50" s="414">
        <f t="shared" si="26"/>
        <v>0</v>
      </c>
      <c r="Z50" s="415">
        <f t="shared" si="26"/>
        <v>0</v>
      </c>
      <c r="AA50" s="415">
        <f t="shared" si="26"/>
        <v>0.02</v>
      </c>
      <c r="AB50" s="415">
        <f t="shared" si="26"/>
        <v>0.14000000000000001</v>
      </c>
      <c r="AC50" s="416">
        <f t="shared" si="26"/>
        <v>0.24</v>
      </c>
      <c r="AD50" s="414">
        <f t="shared" si="26"/>
        <v>0.3</v>
      </c>
      <c r="AE50" s="415">
        <f t="shared" si="26"/>
        <v>0.14000000000000001</v>
      </c>
      <c r="AF50" s="415">
        <f t="shared" si="26"/>
        <v>0.22</v>
      </c>
      <c r="AG50" s="416">
        <f t="shared" si="26"/>
        <v>0.18</v>
      </c>
      <c r="AH50" s="415">
        <f t="shared" si="26"/>
        <v>0.4</v>
      </c>
      <c r="AI50" s="415">
        <f t="shared" si="26"/>
        <v>0.44</v>
      </c>
      <c r="AJ50" s="415">
        <f t="shared" si="26"/>
        <v>0</v>
      </c>
      <c r="AK50" s="407"/>
      <c r="AL50" s="417"/>
      <c r="AM50" s="418"/>
      <c r="AO50"/>
      <c r="AP50"/>
      <c r="AQ50"/>
      <c r="AR50"/>
      <c r="AS50"/>
      <c r="AT50"/>
      <c r="AU50"/>
      <c r="AV50"/>
      <c r="AW50"/>
      <c r="AX50"/>
      <c r="AY50"/>
    </row>
    <row r="51" spans="2:51" ht="16.5" outlineLevel="1" thickBot="1">
      <c r="B51" s="110"/>
      <c r="C51" s="109"/>
      <c r="D51" s="180" t="s">
        <v>348</v>
      </c>
      <c r="E51" s="419">
        <f t="shared" ref="E51:AJ51" si="27">E50-E49</f>
        <v>-1.6000000000000001E-3</v>
      </c>
      <c r="F51" s="420">
        <f t="shared" si="27"/>
        <v>-1.6000000000000001E-3</v>
      </c>
      <c r="G51" s="420">
        <f t="shared" si="27"/>
        <v>-6.0000000000000001E-3</v>
      </c>
      <c r="H51" s="420">
        <f t="shared" si="27"/>
        <v>-7.1999999999999998E-3</v>
      </c>
      <c r="I51" s="420">
        <f t="shared" si="27"/>
        <v>8.0000000000000002E-3</v>
      </c>
      <c r="J51" s="419">
        <f t="shared" si="27"/>
        <v>-1.8E-3</v>
      </c>
      <c r="K51" s="420">
        <f t="shared" si="27"/>
        <v>-8.6E-3</v>
      </c>
      <c r="L51" s="420">
        <f t="shared" si="27"/>
        <v>7.5999999999999956E-3</v>
      </c>
      <c r="M51" s="420">
        <f t="shared" si="27"/>
        <v>-3.0599999999999999E-2</v>
      </c>
      <c r="N51" s="421">
        <f t="shared" si="27"/>
        <v>-1.3599999999999998E-2</v>
      </c>
      <c r="O51" s="419">
        <f t="shared" si="27"/>
        <v>-1.72E-2</v>
      </c>
      <c r="P51" s="420">
        <f t="shared" si="27"/>
        <v>-8.7999999999999988E-3</v>
      </c>
      <c r="Q51" s="420">
        <f t="shared" si="27"/>
        <v>-7.0000000000000062E-3</v>
      </c>
      <c r="R51" s="420">
        <f t="shared" si="27"/>
        <v>1.2000000000000066E-3</v>
      </c>
      <c r="S51" s="421">
        <f t="shared" si="27"/>
        <v>6.6000000000000017E-3</v>
      </c>
      <c r="T51" s="419">
        <f t="shared" si="27"/>
        <v>1.8599999999999998E-2</v>
      </c>
      <c r="U51" s="420">
        <f t="shared" si="27"/>
        <v>-5.0000000000000001E-3</v>
      </c>
      <c r="V51" s="420">
        <f t="shared" si="27"/>
        <v>-1.66E-2</v>
      </c>
      <c r="W51" s="420">
        <f t="shared" si="27"/>
        <v>5.2000000000000032E-3</v>
      </c>
      <c r="X51" s="421">
        <f t="shared" si="27"/>
        <v>-2.0000000000000018E-3</v>
      </c>
      <c r="Y51" s="419">
        <f t="shared" si="27"/>
        <v>-5.6000000000000008E-3</v>
      </c>
      <c r="Z51" s="420">
        <f t="shared" si="27"/>
        <v>-1.0200000000000001E-2</v>
      </c>
      <c r="AA51" s="420">
        <f t="shared" si="27"/>
        <v>-5.62E-2</v>
      </c>
      <c r="AB51" s="420">
        <f t="shared" si="27"/>
        <v>-1.1199999999999988E-2</v>
      </c>
      <c r="AC51" s="421">
        <f t="shared" si="27"/>
        <v>3.3999999999999864E-3</v>
      </c>
      <c r="AD51" s="419">
        <f t="shared" si="27"/>
        <v>9.0999999999999998E-2</v>
      </c>
      <c r="AE51" s="420">
        <f t="shared" si="27"/>
        <v>-1.319999999999999E-2</v>
      </c>
      <c r="AF51" s="420">
        <f t="shared" si="27"/>
        <v>-0.18079999999999999</v>
      </c>
      <c r="AG51" s="421">
        <f t="shared" si="27"/>
        <v>-5.6999999999999995E-2</v>
      </c>
      <c r="AH51" s="420">
        <f t="shared" si="27"/>
        <v>-9.9999999999999978E-2</v>
      </c>
      <c r="AI51" s="420">
        <f t="shared" si="27"/>
        <v>-0.06</v>
      </c>
      <c r="AJ51" s="420">
        <f t="shared" si="27"/>
        <v>0</v>
      </c>
      <c r="AK51" s="407"/>
      <c r="AL51" s="422"/>
      <c r="AM51" s="423"/>
      <c r="AO51"/>
      <c r="AP51"/>
      <c r="AQ51"/>
      <c r="AR51"/>
      <c r="AS51"/>
      <c r="AT51"/>
      <c r="AU51"/>
      <c r="AV51"/>
      <c r="AW51"/>
      <c r="AX51"/>
      <c r="AY51"/>
    </row>
    <row r="52" spans="2:51" ht="16.5" thickTop="1">
      <c r="B52" s="451" t="s">
        <v>338</v>
      </c>
      <c r="C52" s="453" t="str">
        <f>aurora_data!A156</f>
        <v>09.00.00-09.11.30</v>
      </c>
      <c r="D52" s="34" t="s">
        <v>306</v>
      </c>
      <c r="E52" s="152">
        <f>aurora_data!D156</f>
        <v>0.09</v>
      </c>
      <c r="F52" s="153">
        <f>aurora_data!E156</f>
        <v>0.09</v>
      </c>
      <c r="G52" s="153">
        <f>aurora_data!F156</f>
        <v>0.3</v>
      </c>
      <c r="H52" s="153">
        <f>aurora_data!G156</f>
        <v>0.41</v>
      </c>
      <c r="I52" s="153">
        <f>aurora_data!H156</f>
        <v>1.64</v>
      </c>
      <c r="J52" s="152">
        <f>aurora_data!I156</f>
        <v>0.13</v>
      </c>
      <c r="K52" s="153">
        <f>aurora_data!J156</f>
        <v>0.39</v>
      </c>
      <c r="L52" s="153">
        <f>aurora_data!K156</f>
        <v>1.87</v>
      </c>
      <c r="M52" s="153">
        <f>aurora_data!L156</f>
        <v>2.4</v>
      </c>
      <c r="N52" s="154">
        <f>aurora_data!M156</f>
        <v>1.54</v>
      </c>
      <c r="O52" s="152">
        <f>aurora_data!N156</f>
        <v>0.82</v>
      </c>
      <c r="P52" s="153">
        <f>aurora_data!O156</f>
        <v>1.57</v>
      </c>
      <c r="Q52" s="153">
        <f>aurora_data!P156</f>
        <v>3.37</v>
      </c>
      <c r="R52" s="153">
        <f>aurora_data!Q156</f>
        <v>3.66</v>
      </c>
      <c r="S52" s="154">
        <f>aurora_data!R156</f>
        <v>2.58</v>
      </c>
      <c r="T52" s="152">
        <f>aurora_data!S156</f>
        <v>0.08</v>
      </c>
      <c r="U52" s="153">
        <f>aurora_data!T156</f>
        <v>0.19</v>
      </c>
      <c r="V52" s="153">
        <f>aurora_data!U156</f>
        <v>0.92</v>
      </c>
      <c r="W52" s="153">
        <f>aurora_data!V156</f>
        <v>1.76</v>
      </c>
      <c r="X52" s="154">
        <f>aurora_data!W156</f>
        <v>2</v>
      </c>
      <c r="Y52" s="152">
        <f>aurora_data!X156</f>
        <v>0.24</v>
      </c>
      <c r="Z52" s="153">
        <f>aurora_data!Y156</f>
        <v>0.54</v>
      </c>
      <c r="AA52" s="153">
        <f>aurora_data!Z156</f>
        <v>3.61</v>
      </c>
      <c r="AB52" s="153">
        <f>aurora_data!AA156</f>
        <v>7.73</v>
      </c>
      <c r="AC52" s="154">
        <f>aurora_data!AB156</f>
        <v>12.05</v>
      </c>
      <c r="AD52" s="152">
        <f>aurora_data!AC156</f>
        <v>10.8</v>
      </c>
      <c r="AE52" s="153">
        <f>aurora_data!AD156</f>
        <v>7.77</v>
      </c>
      <c r="AF52" s="153">
        <f>aurora_data!AE156</f>
        <v>19.850000000000001</v>
      </c>
      <c r="AG52" s="154">
        <f>aurora_data!AF156</f>
        <v>11.58</v>
      </c>
      <c r="AH52" s="155">
        <f>aurora_data!AG156</f>
        <v>25</v>
      </c>
      <c r="AI52" s="171">
        <f>aurora_data!AH156</f>
        <v>25</v>
      </c>
      <c r="AJ52" s="171">
        <f>aurora_data!AI28</f>
        <v>0</v>
      </c>
      <c r="AK52" s="407"/>
      <c r="AL52" s="155">
        <f>aurora_data!AJ156</f>
        <v>50</v>
      </c>
      <c r="AM52" s="167">
        <f t="shared" ref="AM52:AM59" si="28">SUM(AL52)/$AL$52</f>
        <v>1</v>
      </c>
      <c r="AO52"/>
      <c r="AP52"/>
      <c r="AQ52"/>
      <c r="AR52"/>
      <c r="AS52"/>
      <c r="AT52"/>
      <c r="AU52"/>
      <c r="AV52"/>
      <c r="AW52"/>
      <c r="AX52"/>
      <c r="AY52"/>
    </row>
    <row r="53" spans="2:51">
      <c r="B53" s="452"/>
      <c r="C53" s="454"/>
      <c r="D53" s="35" t="s">
        <v>339</v>
      </c>
      <c r="E53" s="262">
        <f>aurora_data!D157</f>
        <v>0</v>
      </c>
      <c r="F53" s="263">
        <f>aurora_data!E157</f>
        <v>0</v>
      </c>
      <c r="G53" s="263">
        <f>aurora_data!F157</f>
        <v>0</v>
      </c>
      <c r="H53" s="263">
        <f>aurora_data!G157</f>
        <v>0</v>
      </c>
      <c r="I53" s="263">
        <f>aurora_data!H157</f>
        <v>2</v>
      </c>
      <c r="J53" s="262">
        <f>aurora_data!I157</f>
        <v>0</v>
      </c>
      <c r="K53" s="263">
        <f>aurora_data!J157</f>
        <v>0</v>
      </c>
      <c r="L53" s="263">
        <f>aurora_data!K157</f>
        <v>1</v>
      </c>
      <c r="M53" s="263">
        <f>aurora_data!L157</f>
        <v>2</v>
      </c>
      <c r="N53" s="264">
        <f>aurora_data!M157</f>
        <v>2</v>
      </c>
      <c r="O53" s="262">
        <f>aurora_data!N157</f>
        <v>1</v>
      </c>
      <c r="P53" s="263">
        <f>aurora_data!O157</f>
        <v>0</v>
      </c>
      <c r="Q53" s="263">
        <f>aurora_data!P157</f>
        <v>1</v>
      </c>
      <c r="R53" s="263">
        <f>aurora_data!Q157</f>
        <v>3</v>
      </c>
      <c r="S53" s="264">
        <f>aurora_data!R157</f>
        <v>3</v>
      </c>
      <c r="T53" s="262">
        <f>aurora_data!S157</f>
        <v>0</v>
      </c>
      <c r="U53" s="263">
        <f>aurora_data!T157</f>
        <v>0</v>
      </c>
      <c r="V53" s="263">
        <f>aurora_data!U157</f>
        <v>0</v>
      </c>
      <c r="W53" s="263">
        <f>aurora_data!V157</f>
        <v>0</v>
      </c>
      <c r="X53" s="264">
        <f>aurora_data!W157</f>
        <v>2</v>
      </c>
      <c r="Y53" s="262">
        <f>aurora_data!X157</f>
        <v>0</v>
      </c>
      <c r="Z53" s="263">
        <f>aurora_data!Y157</f>
        <v>0</v>
      </c>
      <c r="AA53" s="263">
        <f>aurora_data!Z157</f>
        <v>1</v>
      </c>
      <c r="AB53" s="263">
        <f>aurora_data!AA157</f>
        <v>6</v>
      </c>
      <c r="AC53" s="264">
        <f>aurora_data!AB157</f>
        <v>12</v>
      </c>
      <c r="AD53" s="262">
        <f>aurora_data!AC157</f>
        <v>11</v>
      </c>
      <c r="AE53" s="263">
        <f>aurora_data!AD157</f>
        <v>9</v>
      </c>
      <c r="AF53" s="263">
        <f>aurora_data!AE157</f>
        <v>9</v>
      </c>
      <c r="AG53" s="264">
        <f>aurora_data!AF157</f>
        <v>7</v>
      </c>
      <c r="AH53" s="262">
        <f>aurora_data!AG157</f>
        <v>18</v>
      </c>
      <c r="AI53" s="263">
        <f>aurora_data!AH157</f>
        <v>18</v>
      </c>
      <c r="AJ53" s="264">
        <f>aurora_data!AI29</f>
        <v>0</v>
      </c>
      <c r="AK53" s="407"/>
      <c r="AL53" s="408">
        <f>aurora_data!AJ157</f>
        <v>36</v>
      </c>
      <c r="AM53" s="409">
        <f t="shared" si="28"/>
        <v>0.72</v>
      </c>
      <c r="AO53"/>
      <c r="AP53"/>
      <c r="AQ53"/>
      <c r="AR53"/>
      <c r="AS53"/>
      <c r="AT53"/>
      <c r="AU53"/>
      <c r="AV53"/>
      <c r="AW53"/>
      <c r="AX53"/>
      <c r="AY53"/>
    </row>
    <row r="54" spans="2:51">
      <c r="B54" s="452"/>
      <c r="C54" s="454"/>
      <c r="D54" s="35" t="s">
        <v>291</v>
      </c>
      <c r="E54" s="408">
        <f>aurora_data!D158</f>
        <v>0</v>
      </c>
      <c r="F54" s="410">
        <f>aurora_data!E158</f>
        <v>0</v>
      </c>
      <c r="G54" s="410">
        <f>aurora_data!F158</f>
        <v>0</v>
      </c>
      <c r="H54" s="410">
        <f>aurora_data!G158</f>
        <v>0</v>
      </c>
      <c r="I54" s="410">
        <f>aurora_data!H158</f>
        <v>0</v>
      </c>
      <c r="J54" s="408">
        <f>aurora_data!I158</f>
        <v>0</v>
      </c>
      <c r="K54" s="410">
        <f>aurora_data!J158</f>
        <v>0</v>
      </c>
      <c r="L54" s="410">
        <f>aurora_data!K158</f>
        <v>0</v>
      </c>
      <c r="M54" s="410">
        <f>aurora_data!L158</f>
        <v>0</v>
      </c>
      <c r="N54" s="411">
        <f>aurora_data!M158</f>
        <v>0</v>
      </c>
      <c r="O54" s="408">
        <f>aurora_data!N158</f>
        <v>0</v>
      </c>
      <c r="P54" s="410">
        <f>aurora_data!O158</f>
        <v>0</v>
      </c>
      <c r="Q54" s="410">
        <f>aurora_data!P158</f>
        <v>0</v>
      </c>
      <c r="R54" s="410">
        <f>aurora_data!Q158</f>
        <v>0</v>
      </c>
      <c r="S54" s="411">
        <f>aurora_data!R158</f>
        <v>1</v>
      </c>
      <c r="T54" s="408">
        <f>aurora_data!S158</f>
        <v>0</v>
      </c>
      <c r="U54" s="410">
        <f>aurora_data!T158</f>
        <v>0</v>
      </c>
      <c r="V54" s="410">
        <f>aurora_data!U158</f>
        <v>0</v>
      </c>
      <c r="W54" s="410">
        <f>aurora_data!V158</f>
        <v>0</v>
      </c>
      <c r="X54" s="411">
        <f>aurora_data!W158</f>
        <v>0</v>
      </c>
      <c r="Y54" s="408">
        <f>aurora_data!X158</f>
        <v>0</v>
      </c>
      <c r="Z54" s="410">
        <f>aurora_data!Y158</f>
        <v>0</v>
      </c>
      <c r="AA54" s="410">
        <f>aurora_data!Z158</f>
        <v>0</v>
      </c>
      <c r="AB54" s="410">
        <f>aurora_data!AA158</f>
        <v>0</v>
      </c>
      <c r="AC54" s="411">
        <f>aurora_data!AB158</f>
        <v>1</v>
      </c>
      <c r="AD54" s="408">
        <f>aurora_data!AC158</f>
        <v>1</v>
      </c>
      <c r="AE54" s="410">
        <f>aurora_data!AD158</f>
        <v>0</v>
      </c>
      <c r="AF54" s="410">
        <f>aurora_data!AE158</f>
        <v>1</v>
      </c>
      <c r="AG54" s="411">
        <f>aurora_data!AF158</f>
        <v>0</v>
      </c>
      <c r="AH54" s="408">
        <f>aurora_data!AG158</f>
        <v>0</v>
      </c>
      <c r="AI54" s="410">
        <f>aurora_data!AH158</f>
        <v>2</v>
      </c>
      <c r="AJ54" s="411">
        <f>aurora_data!AI30</f>
        <v>0</v>
      </c>
      <c r="AK54" s="407"/>
      <c r="AL54" s="408">
        <f>aurora_data!AJ158</f>
        <v>2</v>
      </c>
      <c r="AM54" s="409">
        <f t="shared" si="28"/>
        <v>0.04</v>
      </c>
      <c r="AO54"/>
      <c r="AP54"/>
      <c r="AQ54"/>
      <c r="AR54"/>
      <c r="AS54"/>
      <c r="AT54"/>
      <c r="AU54"/>
      <c r="AV54"/>
      <c r="AW54"/>
      <c r="AX54"/>
      <c r="AY54"/>
    </row>
    <row r="55" spans="2:51">
      <c r="B55" s="452"/>
      <c r="C55" s="454"/>
      <c r="D55" s="35" t="s">
        <v>340</v>
      </c>
      <c r="E55" s="408">
        <f>aurora_data!D159</f>
        <v>0</v>
      </c>
      <c r="F55" s="410">
        <f>aurora_data!E159</f>
        <v>0</v>
      </c>
      <c r="G55" s="410">
        <f>aurora_data!F159</f>
        <v>0</v>
      </c>
      <c r="H55" s="410">
        <f>aurora_data!G159</f>
        <v>0</v>
      </c>
      <c r="I55" s="410">
        <f>aurora_data!H159</f>
        <v>0</v>
      </c>
      <c r="J55" s="408">
        <f>aurora_data!I159</f>
        <v>0</v>
      </c>
      <c r="K55" s="410">
        <f>aurora_data!J159</f>
        <v>0</v>
      </c>
      <c r="L55" s="410">
        <f>aurora_data!K159</f>
        <v>0</v>
      </c>
      <c r="M55" s="410">
        <f>aurora_data!L159</f>
        <v>0</v>
      </c>
      <c r="N55" s="411">
        <f>aurora_data!M159</f>
        <v>0</v>
      </c>
      <c r="O55" s="408">
        <f>aurora_data!N159</f>
        <v>0</v>
      </c>
      <c r="P55" s="410">
        <f>aurora_data!O159</f>
        <v>0</v>
      </c>
      <c r="Q55" s="410">
        <f>aurora_data!P159</f>
        <v>0</v>
      </c>
      <c r="R55" s="410">
        <f>aurora_data!Q159</f>
        <v>0</v>
      </c>
      <c r="S55" s="411">
        <f>aurora_data!R159</f>
        <v>0</v>
      </c>
      <c r="T55" s="408">
        <f>aurora_data!S159</f>
        <v>0</v>
      </c>
      <c r="U55" s="410">
        <f>aurora_data!T159</f>
        <v>0</v>
      </c>
      <c r="V55" s="410">
        <f>aurora_data!U159</f>
        <v>0</v>
      </c>
      <c r="W55" s="410">
        <f>aurora_data!V159</f>
        <v>0</v>
      </c>
      <c r="X55" s="411">
        <f>aurora_data!W159</f>
        <v>0</v>
      </c>
      <c r="Y55" s="408">
        <f>aurora_data!X159</f>
        <v>0</v>
      </c>
      <c r="Z55" s="410">
        <f>aurora_data!Y159</f>
        <v>0</v>
      </c>
      <c r="AA55" s="410">
        <f>aurora_data!Z159</f>
        <v>0</v>
      </c>
      <c r="AB55" s="410">
        <f>aurora_data!AA159</f>
        <v>0</v>
      </c>
      <c r="AC55" s="411">
        <f>aurora_data!AB159</f>
        <v>0</v>
      </c>
      <c r="AD55" s="408">
        <f>aurora_data!AC159</f>
        <v>0</v>
      </c>
      <c r="AE55" s="410">
        <f>aurora_data!AD159</f>
        <v>0</v>
      </c>
      <c r="AF55" s="410">
        <f>aurora_data!AE159</f>
        <v>0</v>
      </c>
      <c r="AG55" s="411">
        <f>aurora_data!AF159</f>
        <v>0</v>
      </c>
      <c r="AH55" s="408">
        <f>aurora_data!AG159</f>
        <v>0</v>
      </c>
      <c r="AI55" s="410">
        <f>aurora_data!AH159</f>
        <v>0</v>
      </c>
      <c r="AJ55" s="411">
        <f>aurora_data!AI31</f>
        <v>0</v>
      </c>
      <c r="AK55" s="407"/>
      <c r="AL55" s="408">
        <f>aurora_data!AJ159</f>
        <v>0</v>
      </c>
      <c r="AM55" s="409">
        <f t="shared" si="28"/>
        <v>0</v>
      </c>
      <c r="AO55"/>
      <c r="AP55"/>
      <c r="AQ55"/>
      <c r="AR55"/>
      <c r="AS55"/>
      <c r="AT55"/>
      <c r="AU55"/>
      <c r="AV55"/>
      <c r="AW55"/>
      <c r="AX55"/>
      <c r="AY55"/>
    </row>
    <row r="56" spans="2:51">
      <c r="B56" s="452"/>
      <c r="C56" s="454"/>
      <c r="D56" s="35" t="s">
        <v>341</v>
      </c>
      <c r="E56" s="408">
        <f>aurora_data!D160</f>
        <v>0</v>
      </c>
      <c r="F56" s="410">
        <f>aurora_data!E160</f>
        <v>0</v>
      </c>
      <c r="G56" s="410">
        <f>aurora_data!F160</f>
        <v>0</v>
      </c>
      <c r="H56" s="410">
        <f>aurora_data!G160</f>
        <v>0</v>
      </c>
      <c r="I56" s="410">
        <f>aurora_data!H160</f>
        <v>0</v>
      </c>
      <c r="J56" s="408">
        <f>aurora_data!I160</f>
        <v>0</v>
      </c>
      <c r="K56" s="410">
        <f>aurora_data!J160</f>
        <v>0</v>
      </c>
      <c r="L56" s="410">
        <f>aurora_data!K160</f>
        <v>0</v>
      </c>
      <c r="M56" s="410">
        <f>aurora_data!L160</f>
        <v>0</v>
      </c>
      <c r="N56" s="411">
        <f>aurora_data!M160</f>
        <v>0</v>
      </c>
      <c r="O56" s="408">
        <f>aurora_data!N160</f>
        <v>0</v>
      </c>
      <c r="P56" s="410">
        <f>aurora_data!O160</f>
        <v>0</v>
      </c>
      <c r="Q56" s="410">
        <f>aurora_data!P160</f>
        <v>1</v>
      </c>
      <c r="R56" s="410">
        <f>aurora_data!Q160</f>
        <v>1</v>
      </c>
      <c r="S56" s="411">
        <f>aurora_data!R160</f>
        <v>0</v>
      </c>
      <c r="T56" s="408">
        <f>aurora_data!S160</f>
        <v>0</v>
      </c>
      <c r="U56" s="410">
        <f>aurora_data!T160</f>
        <v>0</v>
      </c>
      <c r="V56" s="410">
        <f>aurora_data!U160</f>
        <v>1</v>
      </c>
      <c r="W56" s="410">
        <f>aurora_data!V160</f>
        <v>2</v>
      </c>
      <c r="X56" s="411">
        <f>aurora_data!W160</f>
        <v>0</v>
      </c>
      <c r="Y56" s="408">
        <f>aurora_data!X160</f>
        <v>0</v>
      </c>
      <c r="Z56" s="410">
        <f>aurora_data!Y160</f>
        <v>1</v>
      </c>
      <c r="AA56" s="410">
        <f>aurora_data!Z160</f>
        <v>1</v>
      </c>
      <c r="AB56" s="410">
        <f>aurora_data!AA160</f>
        <v>2</v>
      </c>
      <c r="AC56" s="411">
        <f>aurora_data!AB160</f>
        <v>0</v>
      </c>
      <c r="AD56" s="408">
        <f>aurora_data!AC160</f>
        <v>5</v>
      </c>
      <c r="AE56" s="410">
        <f>aurora_data!AD160</f>
        <v>1</v>
      </c>
      <c r="AF56" s="410">
        <f>aurora_data!AE160</f>
        <v>2</v>
      </c>
      <c r="AG56" s="411">
        <f>aurora_data!AF160</f>
        <v>1</v>
      </c>
      <c r="AH56" s="408">
        <f>aurora_data!AG160</f>
        <v>4</v>
      </c>
      <c r="AI56" s="410">
        <f>aurora_data!AH160</f>
        <v>5</v>
      </c>
      <c r="AJ56" s="411">
        <f>aurora_data!AI32</f>
        <v>0</v>
      </c>
      <c r="AK56" s="407"/>
      <c r="AL56" s="408">
        <f>aurora_data!AJ160</f>
        <v>9</v>
      </c>
      <c r="AM56" s="409">
        <f t="shared" si="28"/>
        <v>0.18</v>
      </c>
      <c r="AO56"/>
      <c r="AP56"/>
      <c r="AQ56"/>
      <c r="AR56"/>
      <c r="AS56"/>
      <c r="AT56"/>
      <c r="AU56"/>
      <c r="AV56"/>
      <c r="AW56"/>
      <c r="AX56"/>
      <c r="AY56"/>
    </row>
    <row r="57" spans="2:51" ht="16.5" thickBot="1">
      <c r="B57" s="452"/>
      <c r="C57" s="454"/>
      <c r="D57" s="35" t="s">
        <v>342</v>
      </c>
      <c r="E57" s="408">
        <f>aurora_data!D161</f>
        <v>0</v>
      </c>
      <c r="F57" s="410">
        <f>aurora_data!E161</f>
        <v>0</v>
      </c>
      <c r="G57" s="410">
        <f>aurora_data!F161</f>
        <v>0</v>
      </c>
      <c r="H57" s="410">
        <f>aurora_data!G161</f>
        <v>0</v>
      </c>
      <c r="I57" s="410">
        <f>aurora_data!H161</f>
        <v>0</v>
      </c>
      <c r="J57" s="408">
        <f>aurora_data!I161</f>
        <v>0</v>
      </c>
      <c r="K57" s="410">
        <f>aurora_data!J161</f>
        <v>0</v>
      </c>
      <c r="L57" s="410">
        <f>aurora_data!K161</f>
        <v>0</v>
      </c>
      <c r="M57" s="410">
        <f>aurora_data!L161</f>
        <v>0</v>
      </c>
      <c r="N57" s="411">
        <f>aurora_data!M161</f>
        <v>0</v>
      </c>
      <c r="O57" s="408">
        <f>aurora_data!N161</f>
        <v>0</v>
      </c>
      <c r="P57" s="410">
        <f>aurora_data!O161</f>
        <v>0</v>
      </c>
      <c r="Q57" s="410">
        <f>aurora_data!P161</f>
        <v>0</v>
      </c>
      <c r="R57" s="410">
        <f>aurora_data!Q161</f>
        <v>0</v>
      </c>
      <c r="S57" s="411">
        <f>aurora_data!R161</f>
        <v>0</v>
      </c>
      <c r="T57" s="408">
        <f>aurora_data!S161</f>
        <v>0</v>
      </c>
      <c r="U57" s="410">
        <f>aurora_data!T161</f>
        <v>0</v>
      </c>
      <c r="V57" s="410">
        <f>aurora_data!U161</f>
        <v>0</v>
      </c>
      <c r="W57" s="410">
        <f>aurora_data!V161</f>
        <v>0</v>
      </c>
      <c r="X57" s="411">
        <f>aurora_data!W161</f>
        <v>0</v>
      </c>
      <c r="Y57" s="408">
        <f>aurora_data!X161</f>
        <v>0</v>
      </c>
      <c r="Z57" s="410">
        <f>aurora_data!Y161</f>
        <v>0</v>
      </c>
      <c r="AA57" s="410">
        <f>aurora_data!Z161</f>
        <v>0</v>
      </c>
      <c r="AB57" s="410">
        <f>aurora_data!AA161</f>
        <v>0</v>
      </c>
      <c r="AC57" s="411">
        <f>aurora_data!AB161</f>
        <v>0</v>
      </c>
      <c r="AD57" s="408">
        <f>aurora_data!AC161</f>
        <v>0</v>
      </c>
      <c r="AE57" s="410">
        <f>aurora_data!AD161</f>
        <v>0</v>
      </c>
      <c r="AF57" s="410">
        <f>aurora_data!AE161</f>
        <v>0</v>
      </c>
      <c r="AG57" s="411">
        <f>aurora_data!AF161</f>
        <v>0</v>
      </c>
      <c r="AH57" s="408">
        <f>aurora_data!AG161</f>
        <v>0</v>
      </c>
      <c r="AI57" s="410">
        <f>aurora_data!AH161</f>
        <v>0</v>
      </c>
      <c r="AJ57" s="411">
        <f>aurora_data!AI33</f>
        <v>0</v>
      </c>
      <c r="AK57" s="412"/>
      <c r="AL57" s="408">
        <f>aurora_data!AJ161</f>
        <v>0</v>
      </c>
      <c r="AM57" s="409">
        <f t="shared" si="28"/>
        <v>0</v>
      </c>
      <c r="AO57"/>
      <c r="AP57"/>
      <c r="AQ57"/>
      <c r="AR57"/>
      <c r="AS57"/>
      <c r="AT57"/>
      <c r="AU57"/>
      <c r="AV57"/>
      <c r="AW57"/>
      <c r="AX57"/>
      <c r="AY57"/>
    </row>
    <row r="58" spans="2:51" ht="16.5" thickBot="1">
      <c r="B58" s="452"/>
      <c r="C58" s="454"/>
      <c r="D58" s="37" t="s">
        <v>17</v>
      </c>
      <c r="E58" s="182">
        <f>aurora_data!D162</f>
        <v>0</v>
      </c>
      <c r="F58" s="183">
        <f>aurora_data!E162</f>
        <v>0</v>
      </c>
      <c r="G58" s="183">
        <f>aurora_data!F162</f>
        <v>0</v>
      </c>
      <c r="H58" s="183">
        <f>aurora_data!G162</f>
        <v>0</v>
      </c>
      <c r="I58" s="184">
        <f>aurora_data!H162</f>
        <v>2</v>
      </c>
      <c r="J58" s="182">
        <f>aurora_data!I162</f>
        <v>0</v>
      </c>
      <c r="K58" s="183">
        <f>aurora_data!J162</f>
        <v>0</v>
      </c>
      <c r="L58" s="183">
        <f>aurora_data!K162</f>
        <v>1</v>
      </c>
      <c r="M58" s="183">
        <f>aurora_data!L162</f>
        <v>2</v>
      </c>
      <c r="N58" s="184">
        <f>aurora_data!M162</f>
        <v>2</v>
      </c>
      <c r="O58" s="182">
        <f>aurora_data!N162</f>
        <v>1</v>
      </c>
      <c r="P58" s="183">
        <f>aurora_data!O162</f>
        <v>0</v>
      </c>
      <c r="Q58" s="183">
        <f>aurora_data!P162</f>
        <v>2</v>
      </c>
      <c r="R58" s="183">
        <f>aurora_data!Q162</f>
        <v>4</v>
      </c>
      <c r="S58" s="184">
        <f>aurora_data!R162</f>
        <v>4</v>
      </c>
      <c r="T58" s="182">
        <f>aurora_data!S162</f>
        <v>0</v>
      </c>
      <c r="U58" s="183">
        <f>aurora_data!T162</f>
        <v>0</v>
      </c>
      <c r="V58" s="183">
        <f>aurora_data!U162</f>
        <v>1</v>
      </c>
      <c r="W58" s="183">
        <f>aurora_data!V162</f>
        <v>2</v>
      </c>
      <c r="X58" s="184">
        <f>aurora_data!W162</f>
        <v>2</v>
      </c>
      <c r="Y58" s="182">
        <f>aurora_data!X162</f>
        <v>0</v>
      </c>
      <c r="Z58" s="183">
        <f>aurora_data!Y162</f>
        <v>1</v>
      </c>
      <c r="AA58" s="183">
        <f>aurora_data!Z162</f>
        <v>2</v>
      </c>
      <c r="AB58" s="183">
        <f>aurora_data!AA162</f>
        <v>8</v>
      </c>
      <c r="AC58" s="184">
        <f>aurora_data!AB162</f>
        <v>13</v>
      </c>
      <c r="AD58" s="182">
        <f>aurora_data!AC162</f>
        <v>17</v>
      </c>
      <c r="AE58" s="183">
        <f>aurora_data!AD162</f>
        <v>10</v>
      </c>
      <c r="AF58" s="183">
        <f>aurora_data!AE162</f>
        <v>12</v>
      </c>
      <c r="AG58" s="184">
        <f>aurora_data!AF162</f>
        <v>8</v>
      </c>
      <c r="AH58" s="182">
        <f>aurora_data!AG162</f>
        <v>22</v>
      </c>
      <c r="AI58" s="183">
        <f>aurora_data!AH162</f>
        <v>25</v>
      </c>
      <c r="AJ58" s="183">
        <f>aurora_data!AI34</f>
        <v>0</v>
      </c>
      <c r="AK58" s="412"/>
      <c r="AL58" s="182">
        <f>aurora_data!AJ162</f>
        <v>47</v>
      </c>
      <c r="AM58" s="413">
        <f t="shared" si="28"/>
        <v>0.94</v>
      </c>
      <c r="AO58"/>
      <c r="AP58"/>
      <c r="AQ58"/>
      <c r="AR58"/>
      <c r="AS58"/>
      <c r="AT58"/>
      <c r="AU58"/>
      <c r="AV58"/>
      <c r="AW58"/>
      <c r="AX58"/>
      <c r="AY58"/>
    </row>
    <row r="59" spans="2:51" ht="16.5" thickBot="1">
      <c r="B59" s="452"/>
      <c r="C59" s="454"/>
      <c r="D59" s="38" t="s">
        <v>343</v>
      </c>
      <c r="E59" s="265">
        <f>aurora_data!D163</f>
        <v>0</v>
      </c>
      <c r="F59" s="266">
        <f>aurora_data!E163</f>
        <v>0</v>
      </c>
      <c r="G59" s="266">
        <f>aurora_data!F163</f>
        <v>0</v>
      </c>
      <c r="H59" s="266">
        <f>aurora_data!G163</f>
        <v>0</v>
      </c>
      <c r="I59" s="266">
        <f>aurora_data!H163</f>
        <v>0</v>
      </c>
      <c r="J59" s="265">
        <f>aurora_data!I163</f>
        <v>0</v>
      </c>
      <c r="K59" s="266">
        <f>aurora_data!J163</f>
        <v>0</v>
      </c>
      <c r="L59" s="266">
        <f>aurora_data!K163</f>
        <v>0</v>
      </c>
      <c r="M59" s="266">
        <f>aurora_data!L163</f>
        <v>0</v>
      </c>
      <c r="N59" s="267">
        <f>aurora_data!M163</f>
        <v>0</v>
      </c>
      <c r="O59" s="265">
        <f>aurora_data!N163</f>
        <v>0</v>
      </c>
      <c r="P59" s="266">
        <f>aurora_data!O163</f>
        <v>0</v>
      </c>
      <c r="Q59" s="266">
        <f>aurora_data!P163</f>
        <v>0</v>
      </c>
      <c r="R59" s="266">
        <f>aurora_data!Q163</f>
        <v>0</v>
      </c>
      <c r="S59" s="267">
        <f>aurora_data!R163</f>
        <v>0</v>
      </c>
      <c r="T59" s="265">
        <f>aurora_data!S163</f>
        <v>0</v>
      </c>
      <c r="U59" s="266">
        <f>aurora_data!T163</f>
        <v>0</v>
      </c>
      <c r="V59" s="266">
        <f>aurora_data!U163</f>
        <v>0</v>
      </c>
      <c r="W59" s="266">
        <f>aurora_data!V163</f>
        <v>0</v>
      </c>
      <c r="X59" s="267">
        <f>aurora_data!W163</f>
        <v>0</v>
      </c>
      <c r="Y59" s="265">
        <f>aurora_data!X163</f>
        <v>0</v>
      </c>
      <c r="Z59" s="266">
        <f>aurora_data!Y163</f>
        <v>0</v>
      </c>
      <c r="AA59" s="266">
        <f>aurora_data!Z163</f>
        <v>0</v>
      </c>
      <c r="AB59" s="266">
        <f>aurora_data!AA163</f>
        <v>0</v>
      </c>
      <c r="AC59" s="267">
        <f>aurora_data!AB163</f>
        <v>0</v>
      </c>
      <c r="AD59" s="265">
        <f>aurora_data!AC163</f>
        <v>0</v>
      </c>
      <c r="AE59" s="266">
        <f>aurora_data!AD163</f>
        <v>0</v>
      </c>
      <c r="AF59" s="266">
        <f>aurora_data!AE163</f>
        <v>0</v>
      </c>
      <c r="AG59" s="267">
        <f>aurora_data!AF163</f>
        <v>0</v>
      </c>
      <c r="AH59" s="265">
        <f>aurora_data!AG163</f>
        <v>0</v>
      </c>
      <c r="AI59" s="266">
        <f>aurora_data!AH163</f>
        <v>0</v>
      </c>
      <c r="AJ59" s="268">
        <f>aurora_data!AI35</f>
        <v>0</v>
      </c>
      <c r="AK59" s="269"/>
      <c r="AL59" s="265">
        <f>aurora_data!AJ163</f>
        <v>0</v>
      </c>
      <c r="AM59" s="270">
        <f t="shared" si="28"/>
        <v>0</v>
      </c>
      <c r="AO59"/>
      <c r="AP59"/>
      <c r="AQ59"/>
      <c r="AR59"/>
      <c r="AS59"/>
      <c r="AT59"/>
      <c r="AU59"/>
      <c r="AV59"/>
      <c r="AW59"/>
      <c r="AX59"/>
      <c r="AY59"/>
    </row>
    <row r="60" spans="2:51" outlineLevel="1">
      <c r="B60" s="452"/>
      <c r="C60" s="454"/>
      <c r="D60" s="199" t="s">
        <v>344</v>
      </c>
      <c r="E60" s="271">
        <f t="shared" ref="E60:AC60" si="29">ROUNDDOWN((E62+$E$9)*($AL52),0)</f>
        <v>1</v>
      </c>
      <c r="F60" s="272">
        <f t="shared" si="29"/>
        <v>1</v>
      </c>
      <c r="G60" s="272">
        <f t="shared" si="29"/>
        <v>1</v>
      </c>
      <c r="H60" s="272">
        <f t="shared" si="29"/>
        <v>1</v>
      </c>
      <c r="I60" s="272">
        <f t="shared" si="29"/>
        <v>2</v>
      </c>
      <c r="J60" s="271">
        <f t="shared" si="29"/>
        <v>1</v>
      </c>
      <c r="K60" s="272">
        <f t="shared" si="29"/>
        <v>1</v>
      </c>
      <c r="L60" s="272">
        <f t="shared" si="29"/>
        <v>2</v>
      </c>
      <c r="M60" s="272">
        <f t="shared" si="29"/>
        <v>3</v>
      </c>
      <c r="N60" s="268">
        <f t="shared" si="29"/>
        <v>2</v>
      </c>
      <c r="O60" s="271">
        <f t="shared" si="29"/>
        <v>1</v>
      </c>
      <c r="P60" s="272">
        <f t="shared" si="29"/>
        <v>2</v>
      </c>
      <c r="Q60" s="272">
        <f t="shared" si="29"/>
        <v>4</v>
      </c>
      <c r="R60" s="272">
        <f t="shared" si="29"/>
        <v>4</v>
      </c>
      <c r="S60" s="268">
        <f t="shared" si="29"/>
        <v>3</v>
      </c>
      <c r="T60" s="271">
        <f t="shared" si="29"/>
        <v>1</v>
      </c>
      <c r="U60" s="272">
        <f t="shared" si="29"/>
        <v>1</v>
      </c>
      <c r="V60" s="272">
        <f t="shared" si="29"/>
        <v>1</v>
      </c>
      <c r="W60" s="272">
        <f t="shared" si="29"/>
        <v>2</v>
      </c>
      <c r="X60" s="268">
        <f t="shared" si="29"/>
        <v>3</v>
      </c>
      <c r="Y60" s="271">
        <f t="shared" si="29"/>
        <v>1</v>
      </c>
      <c r="Z60" s="272">
        <f t="shared" si="29"/>
        <v>1</v>
      </c>
      <c r="AA60" s="272">
        <f t="shared" si="29"/>
        <v>4</v>
      </c>
      <c r="AB60" s="272">
        <f t="shared" si="29"/>
        <v>8</v>
      </c>
      <c r="AC60" s="268">
        <f t="shared" si="29"/>
        <v>13</v>
      </c>
      <c r="AD60" s="271">
        <f>ROUNDDOWN((AD62+$AD$9)*($AL52),0)</f>
        <v>15</v>
      </c>
      <c r="AE60" s="272">
        <f>ROUNDDOWN((AE62+$AD$9)*($AL52),0)</f>
        <v>12</v>
      </c>
      <c r="AF60" s="272">
        <f t="shared" ref="AF60:AG60" si="30">ROUNDDOWN((AF62+$AD$9)*($AL52),0)</f>
        <v>24</v>
      </c>
      <c r="AG60" s="268">
        <f t="shared" si="30"/>
        <v>16</v>
      </c>
      <c r="AH60" s="271">
        <f>ROUNDDOWN((AH62+$AH$9)*($AL52),0)</f>
        <v>25</v>
      </c>
      <c r="AI60" s="272">
        <f>ROUNDDOWN((AI62+$AH$8)*($AL52),0)</f>
        <v>25</v>
      </c>
      <c r="AJ60" s="268">
        <f>ROUNDDOWN((AJ62+$AH$8)*($AL52),0)</f>
        <v>0</v>
      </c>
      <c r="AK60" s="273"/>
      <c r="AL60" s="274"/>
      <c r="AM60" s="275"/>
      <c r="AO60"/>
      <c r="AP60"/>
      <c r="AQ60"/>
      <c r="AR60"/>
      <c r="AS60"/>
      <c r="AT60"/>
      <c r="AU60"/>
      <c r="AV60"/>
      <c r="AW60"/>
      <c r="AX60"/>
      <c r="AY60"/>
    </row>
    <row r="61" spans="2:51" ht="15.75" customHeight="1" outlineLevel="1" thickBot="1">
      <c r="B61" s="452"/>
      <c r="C61" s="454"/>
      <c r="D61" s="199" t="s">
        <v>345</v>
      </c>
      <c r="E61" s="276">
        <f t="shared" ref="E61:AC61" si="31">IF(ROUND(((E62-$E$9)*($AL52))+0.25,0) &lt;=0,1,((E62-$E$9)*($AL52))+0.25)</f>
        <v>1</v>
      </c>
      <c r="F61" s="277">
        <f t="shared" si="31"/>
        <v>1</v>
      </c>
      <c r="G61" s="277">
        <f t="shared" si="31"/>
        <v>1</v>
      </c>
      <c r="H61" s="277">
        <f t="shared" si="31"/>
        <v>1</v>
      </c>
      <c r="I61" s="277">
        <f t="shared" si="31"/>
        <v>0.88999999999999979</v>
      </c>
      <c r="J61" s="276">
        <f t="shared" si="31"/>
        <v>1</v>
      </c>
      <c r="K61" s="277">
        <f t="shared" si="31"/>
        <v>1</v>
      </c>
      <c r="L61" s="277">
        <f t="shared" si="31"/>
        <v>1.1200000000000001</v>
      </c>
      <c r="M61" s="277">
        <f t="shared" si="31"/>
        <v>1.6500000000000001</v>
      </c>
      <c r="N61" s="278">
        <f t="shared" si="31"/>
        <v>0.79</v>
      </c>
      <c r="O61" s="276">
        <f t="shared" si="31"/>
        <v>1</v>
      </c>
      <c r="P61" s="277">
        <f t="shared" si="31"/>
        <v>0.82000000000000017</v>
      </c>
      <c r="Q61" s="277">
        <f t="shared" si="31"/>
        <v>2.62</v>
      </c>
      <c r="R61" s="277">
        <f t="shared" si="31"/>
        <v>2.9099999999999997</v>
      </c>
      <c r="S61" s="278">
        <f t="shared" si="31"/>
        <v>1.83</v>
      </c>
      <c r="T61" s="276">
        <f t="shared" si="31"/>
        <v>1</v>
      </c>
      <c r="U61" s="277">
        <f t="shared" si="31"/>
        <v>1</v>
      </c>
      <c r="V61" s="277">
        <f t="shared" si="31"/>
        <v>1</v>
      </c>
      <c r="W61" s="277">
        <f t="shared" si="31"/>
        <v>1.0100000000000002</v>
      </c>
      <c r="X61" s="278">
        <f t="shared" si="31"/>
        <v>1.25</v>
      </c>
      <c r="Y61" s="276">
        <f t="shared" si="31"/>
        <v>1</v>
      </c>
      <c r="Z61" s="277">
        <f t="shared" si="31"/>
        <v>1</v>
      </c>
      <c r="AA61" s="277">
        <f t="shared" si="31"/>
        <v>2.86</v>
      </c>
      <c r="AB61" s="277">
        <f t="shared" si="31"/>
        <v>6.9800000000000013</v>
      </c>
      <c r="AC61" s="278">
        <f t="shared" si="31"/>
        <v>11.3</v>
      </c>
      <c r="AD61" s="276">
        <f>IF(((AD62-$AD$9)*($AL52))+0.5 &lt;0,1,((AD62-$AD$9)*($AL52))+0.5 )</f>
        <v>6.3000000000000007</v>
      </c>
      <c r="AE61" s="277">
        <f t="shared" ref="AE61" si="32">IF(((AE62-$AD$9)*($AL52))+0.5 &lt;0,1,((AE62-$AD$9)*($AL52))+0.5 )</f>
        <v>3.2699999999999987</v>
      </c>
      <c r="AF61" s="277">
        <f t="shared" ref="AF61" si="33">IF(((AF62-$AD$9)*($AL52))+0.5 &lt;0,1,((AF62-$AD$9)*($AL52))+0.5 )</f>
        <v>15.350000000000001</v>
      </c>
      <c r="AG61" s="278">
        <f t="shared" ref="AG61" si="34">IF(((AG62-$AD$9)*($AL52))+0.5 &lt;0,1,((AG62-$AD$9)*($AL52))+0.5 )</f>
        <v>7.08</v>
      </c>
      <c r="AH61" s="276">
        <f>IF(((AH62-$AH$9)*($AL52))+0.5 &lt;0,1,((AH62-$AH$9)*($AL52)) )</f>
        <v>25</v>
      </c>
      <c r="AI61" s="277">
        <f>IF(((AI62-$AH$9)*($AL52))+0.5 &lt;0,1,((AI62-$AH$9)*($AL52)) )</f>
        <v>25</v>
      </c>
      <c r="AJ61" s="278">
        <f>IF(((AJ62-$AH$8)*($AL52))+0.5 &lt;0,1,((AJ62-$AH$8)*($AL52))+0.5 )</f>
        <v>0.5</v>
      </c>
      <c r="AK61" s="273"/>
      <c r="AL61" s="279"/>
      <c r="AM61" s="280"/>
      <c r="AO61"/>
      <c r="AP61"/>
      <c r="AQ61"/>
      <c r="AR61"/>
      <c r="AS61"/>
      <c r="AT61"/>
      <c r="AU61"/>
      <c r="AV61"/>
      <c r="AW61"/>
      <c r="AX61"/>
      <c r="AY61"/>
    </row>
    <row r="62" spans="2:51" ht="15.75" customHeight="1" outlineLevel="1" thickTop="1">
      <c r="B62" s="110"/>
      <c r="C62" s="109"/>
      <c r="D62" s="95" t="s">
        <v>346</v>
      </c>
      <c r="E62" s="414">
        <f t="shared" ref="E62:AJ62" si="35">IFERROR(E52/$AL52,0)</f>
        <v>1.8E-3</v>
      </c>
      <c r="F62" s="415">
        <f t="shared" si="35"/>
        <v>1.8E-3</v>
      </c>
      <c r="G62" s="415">
        <f t="shared" si="35"/>
        <v>6.0000000000000001E-3</v>
      </c>
      <c r="H62" s="415">
        <f t="shared" si="35"/>
        <v>8.199999999999999E-3</v>
      </c>
      <c r="I62" s="415">
        <f t="shared" si="35"/>
        <v>3.2799999999999996E-2</v>
      </c>
      <c r="J62" s="414">
        <f t="shared" si="35"/>
        <v>2.5999999999999999E-3</v>
      </c>
      <c r="K62" s="415">
        <f t="shared" si="35"/>
        <v>7.8000000000000005E-3</v>
      </c>
      <c r="L62" s="415">
        <f t="shared" si="35"/>
        <v>3.7400000000000003E-2</v>
      </c>
      <c r="M62" s="415">
        <f t="shared" si="35"/>
        <v>4.8000000000000001E-2</v>
      </c>
      <c r="N62" s="416">
        <f t="shared" si="35"/>
        <v>3.0800000000000001E-2</v>
      </c>
      <c r="O62" s="414">
        <f t="shared" si="35"/>
        <v>1.6399999999999998E-2</v>
      </c>
      <c r="P62" s="415">
        <f t="shared" si="35"/>
        <v>3.1400000000000004E-2</v>
      </c>
      <c r="Q62" s="415">
        <f t="shared" si="35"/>
        <v>6.7400000000000002E-2</v>
      </c>
      <c r="R62" s="415">
        <f t="shared" si="35"/>
        <v>7.3200000000000001E-2</v>
      </c>
      <c r="S62" s="416">
        <f t="shared" si="35"/>
        <v>5.16E-2</v>
      </c>
      <c r="T62" s="414">
        <f t="shared" si="35"/>
        <v>1.6000000000000001E-3</v>
      </c>
      <c r="U62" s="415">
        <f t="shared" si="35"/>
        <v>3.8E-3</v>
      </c>
      <c r="V62" s="415">
        <f t="shared" si="35"/>
        <v>1.84E-2</v>
      </c>
      <c r="W62" s="415">
        <f t="shared" si="35"/>
        <v>3.5200000000000002E-2</v>
      </c>
      <c r="X62" s="416">
        <f t="shared" si="35"/>
        <v>0.04</v>
      </c>
      <c r="Y62" s="414">
        <f t="shared" si="35"/>
        <v>4.7999999999999996E-3</v>
      </c>
      <c r="Z62" s="415">
        <f t="shared" si="35"/>
        <v>1.0800000000000001E-2</v>
      </c>
      <c r="AA62" s="415">
        <f t="shared" si="35"/>
        <v>7.22E-2</v>
      </c>
      <c r="AB62" s="415">
        <f t="shared" si="35"/>
        <v>0.15460000000000002</v>
      </c>
      <c r="AC62" s="416">
        <f t="shared" si="35"/>
        <v>0.24100000000000002</v>
      </c>
      <c r="AD62" s="414">
        <f t="shared" si="35"/>
        <v>0.21600000000000003</v>
      </c>
      <c r="AE62" s="415">
        <f t="shared" si="35"/>
        <v>0.15539999999999998</v>
      </c>
      <c r="AF62" s="415">
        <f t="shared" si="35"/>
        <v>0.39700000000000002</v>
      </c>
      <c r="AG62" s="416">
        <f t="shared" si="35"/>
        <v>0.2316</v>
      </c>
      <c r="AH62" s="415">
        <f t="shared" si="35"/>
        <v>0.5</v>
      </c>
      <c r="AI62" s="415">
        <f t="shared" si="35"/>
        <v>0.5</v>
      </c>
      <c r="AJ62" s="415">
        <f t="shared" si="35"/>
        <v>0</v>
      </c>
      <c r="AK62" s="407"/>
      <c r="AL62" s="417"/>
      <c r="AM62" s="418"/>
      <c r="AO62"/>
      <c r="AP62"/>
      <c r="AQ62"/>
      <c r="AR62"/>
      <c r="AS62"/>
      <c r="AT62"/>
      <c r="AU62"/>
      <c r="AV62"/>
      <c r="AW62"/>
      <c r="AX62"/>
      <c r="AY62"/>
    </row>
    <row r="63" spans="2:51" ht="16.5" customHeight="1" outlineLevel="1">
      <c r="B63" s="110"/>
      <c r="C63" s="109"/>
      <c r="D63" s="180" t="s">
        <v>347</v>
      </c>
      <c r="E63" s="414">
        <f t="shared" ref="E63:AJ63" si="36">IFERROR(E53/$AL52,0)</f>
        <v>0</v>
      </c>
      <c r="F63" s="415">
        <f t="shared" si="36"/>
        <v>0</v>
      </c>
      <c r="G63" s="415">
        <f t="shared" si="36"/>
        <v>0</v>
      </c>
      <c r="H63" s="415">
        <f t="shared" si="36"/>
        <v>0</v>
      </c>
      <c r="I63" s="415">
        <f t="shared" si="36"/>
        <v>0.04</v>
      </c>
      <c r="J63" s="414">
        <f t="shared" si="36"/>
        <v>0</v>
      </c>
      <c r="K63" s="415">
        <f t="shared" si="36"/>
        <v>0</v>
      </c>
      <c r="L63" s="415">
        <f t="shared" si="36"/>
        <v>0.02</v>
      </c>
      <c r="M63" s="415">
        <f t="shared" si="36"/>
        <v>0.04</v>
      </c>
      <c r="N63" s="416">
        <f t="shared" si="36"/>
        <v>0.04</v>
      </c>
      <c r="O63" s="414">
        <f t="shared" si="36"/>
        <v>0.02</v>
      </c>
      <c r="P63" s="415">
        <f t="shared" si="36"/>
        <v>0</v>
      </c>
      <c r="Q63" s="415">
        <f t="shared" si="36"/>
        <v>0.02</v>
      </c>
      <c r="R63" s="415">
        <f t="shared" si="36"/>
        <v>0.06</v>
      </c>
      <c r="S63" s="416">
        <f t="shared" si="36"/>
        <v>0.06</v>
      </c>
      <c r="T63" s="414">
        <f t="shared" si="36"/>
        <v>0</v>
      </c>
      <c r="U63" s="415">
        <f t="shared" si="36"/>
        <v>0</v>
      </c>
      <c r="V63" s="415">
        <f t="shared" si="36"/>
        <v>0</v>
      </c>
      <c r="W63" s="415">
        <f t="shared" si="36"/>
        <v>0</v>
      </c>
      <c r="X63" s="416">
        <f t="shared" si="36"/>
        <v>0.04</v>
      </c>
      <c r="Y63" s="414">
        <f t="shared" si="36"/>
        <v>0</v>
      </c>
      <c r="Z63" s="415">
        <f t="shared" si="36"/>
        <v>0</v>
      </c>
      <c r="AA63" s="415">
        <f t="shared" si="36"/>
        <v>0.02</v>
      </c>
      <c r="AB63" s="415">
        <f t="shared" si="36"/>
        <v>0.12</v>
      </c>
      <c r="AC63" s="416">
        <f t="shared" si="36"/>
        <v>0.24</v>
      </c>
      <c r="AD63" s="414">
        <f t="shared" si="36"/>
        <v>0.22</v>
      </c>
      <c r="AE63" s="415">
        <f t="shared" si="36"/>
        <v>0.18</v>
      </c>
      <c r="AF63" s="415">
        <f t="shared" si="36"/>
        <v>0.18</v>
      </c>
      <c r="AG63" s="416">
        <f t="shared" si="36"/>
        <v>0.14000000000000001</v>
      </c>
      <c r="AH63" s="415">
        <f t="shared" si="36"/>
        <v>0.36</v>
      </c>
      <c r="AI63" s="415">
        <f t="shared" si="36"/>
        <v>0.36</v>
      </c>
      <c r="AJ63" s="415">
        <f t="shared" si="36"/>
        <v>0</v>
      </c>
      <c r="AK63" s="407"/>
      <c r="AL63" s="417"/>
      <c r="AM63" s="418"/>
      <c r="AO63"/>
      <c r="AP63"/>
      <c r="AQ63"/>
      <c r="AR63"/>
      <c r="AS63"/>
      <c r="AT63"/>
      <c r="AU63"/>
      <c r="AV63"/>
      <c r="AW63"/>
      <c r="AX63"/>
      <c r="AY63"/>
    </row>
    <row r="64" spans="2:51" ht="16.5" outlineLevel="1" thickBot="1">
      <c r="B64" s="110"/>
      <c r="C64" s="109"/>
      <c r="D64" s="180" t="s">
        <v>348</v>
      </c>
      <c r="E64" s="419">
        <f t="shared" ref="E64:AJ64" si="37">E63-E62</f>
        <v>-1.8E-3</v>
      </c>
      <c r="F64" s="420">
        <f t="shared" si="37"/>
        <v>-1.8E-3</v>
      </c>
      <c r="G64" s="420">
        <f t="shared" si="37"/>
        <v>-6.0000000000000001E-3</v>
      </c>
      <c r="H64" s="420">
        <f t="shared" si="37"/>
        <v>-8.199999999999999E-3</v>
      </c>
      <c r="I64" s="420">
        <f t="shared" si="37"/>
        <v>7.200000000000005E-3</v>
      </c>
      <c r="J64" s="419">
        <f t="shared" si="37"/>
        <v>-2.5999999999999999E-3</v>
      </c>
      <c r="K64" s="420">
        <f t="shared" si="37"/>
        <v>-7.8000000000000005E-3</v>
      </c>
      <c r="L64" s="420">
        <f t="shared" si="37"/>
        <v>-1.7400000000000002E-2</v>
      </c>
      <c r="M64" s="420">
        <f t="shared" si="37"/>
        <v>-8.0000000000000002E-3</v>
      </c>
      <c r="N64" s="421">
        <f t="shared" si="37"/>
        <v>9.1999999999999998E-3</v>
      </c>
      <c r="O64" s="419">
        <f t="shared" si="37"/>
        <v>3.6000000000000025E-3</v>
      </c>
      <c r="P64" s="420">
        <f t="shared" si="37"/>
        <v>-3.1400000000000004E-2</v>
      </c>
      <c r="Q64" s="420">
        <f t="shared" si="37"/>
        <v>-4.7399999999999998E-2</v>
      </c>
      <c r="R64" s="420">
        <f t="shared" si="37"/>
        <v>-1.3200000000000003E-2</v>
      </c>
      <c r="S64" s="421">
        <f t="shared" si="37"/>
        <v>8.3999999999999977E-3</v>
      </c>
      <c r="T64" s="419">
        <f t="shared" si="37"/>
        <v>-1.6000000000000001E-3</v>
      </c>
      <c r="U64" s="420">
        <f t="shared" si="37"/>
        <v>-3.8E-3</v>
      </c>
      <c r="V64" s="420">
        <f t="shared" si="37"/>
        <v>-1.84E-2</v>
      </c>
      <c r="W64" s="420">
        <f t="shared" si="37"/>
        <v>-3.5200000000000002E-2</v>
      </c>
      <c r="X64" s="421">
        <f t="shared" si="37"/>
        <v>0</v>
      </c>
      <c r="Y64" s="419">
        <f t="shared" si="37"/>
        <v>-4.7999999999999996E-3</v>
      </c>
      <c r="Z64" s="420">
        <f t="shared" si="37"/>
        <v>-1.0800000000000001E-2</v>
      </c>
      <c r="AA64" s="420">
        <f t="shared" si="37"/>
        <v>-5.2199999999999996E-2</v>
      </c>
      <c r="AB64" s="420">
        <f t="shared" si="37"/>
        <v>-3.460000000000002E-2</v>
      </c>
      <c r="AC64" s="421">
        <f t="shared" si="37"/>
        <v>-1.0000000000000286E-3</v>
      </c>
      <c r="AD64" s="419">
        <f t="shared" si="37"/>
        <v>3.9999999999999758E-3</v>
      </c>
      <c r="AE64" s="420">
        <f t="shared" si="37"/>
        <v>2.4600000000000011E-2</v>
      </c>
      <c r="AF64" s="420">
        <f t="shared" si="37"/>
        <v>-0.21700000000000003</v>
      </c>
      <c r="AG64" s="421">
        <f t="shared" si="37"/>
        <v>-9.1599999999999987E-2</v>
      </c>
      <c r="AH64" s="420">
        <f t="shared" si="37"/>
        <v>-0.14000000000000001</v>
      </c>
      <c r="AI64" s="420">
        <f t="shared" si="37"/>
        <v>-0.14000000000000001</v>
      </c>
      <c r="AJ64" s="420">
        <f t="shared" si="37"/>
        <v>0</v>
      </c>
      <c r="AK64" s="407"/>
      <c r="AL64" s="422"/>
      <c r="AM64" s="423"/>
      <c r="AO64"/>
      <c r="AP64"/>
      <c r="AQ64"/>
      <c r="AR64"/>
      <c r="AS64"/>
      <c r="AT64"/>
      <c r="AU64"/>
      <c r="AV64"/>
      <c r="AW64"/>
      <c r="AX64"/>
      <c r="AY64"/>
    </row>
    <row r="65" spans="2:51" ht="16.5" thickTop="1">
      <c r="B65" s="451" t="s">
        <v>338</v>
      </c>
      <c r="C65" s="453" t="str">
        <f>aurora_data!A164</f>
        <v>10.00.00-10.11.30</v>
      </c>
      <c r="D65" s="34" t="s">
        <v>306</v>
      </c>
      <c r="E65" s="152">
        <f>aurora_data!D164</f>
        <v>7.0000000000000007E-2</v>
      </c>
      <c r="F65" s="153">
        <f>aurora_data!E164</f>
        <v>0.13</v>
      </c>
      <c r="G65" s="153">
        <f>aurora_data!F164</f>
        <v>0.28999999999999998</v>
      </c>
      <c r="H65" s="153">
        <f>aurora_data!G164</f>
        <v>0.41</v>
      </c>
      <c r="I65" s="153">
        <f>aurora_data!H164</f>
        <v>1.69</v>
      </c>
      <c r="J65" s="152">
        <f>aurora_data!I164</f>
        <v>0.13</v>
      </c>
      <c r="K65" s="153">
        <f>aurora_data!J164</f>
        <v>0.46</v>
      </c>
      <c r="L65" s="153">
        <f>aurora_data!K164</f>
        <v>1.84</v>
      </c>
      <c r="M65" s="153">
        <f>aurora_data!L164</f>
        <v>2.35</v>
      </c>
      <c r="N65" s="154">
        <f>aurora_data!M164</f>
        <v>1.72</v>
      </c>
      <c r="O65" s="152">
        <f>aurora_data!N164</f>
        <v>0.99</v>
      </c>
      <c r="P65" s="153">
        <f>aurora_data!O164</f>
        <v>1.55</v>
      </c>
      <c r="Q65" s="153">
        <f>aurora_data!P164</f>
        <v>3.38</v>
      </c>
      <c r="R65" s="153">
        <f>aurora_data!Q164</f>
        <v>3.68</v>
      </c>
      <c r="S65" s="154">
        <f>aurora_data!R164</f>
        <v>2.56</v>
      </c>
      <c r="T65" s="152">
        <f>aurora_data!S164</f>
        <v>7.0000000000000007E-2</v>
      </c>
      <c r="U65" s="153">
        <f>aurora_data!T164</f>
        <v>0.21</v>
      </c>
      <c r="V65" s="153">
        <f>aurora_data!U164</f>
        <v>0.84</v>
      </c>
      <c r="W65" s="153">
        <f>aurora_data!V164</f>
        <v>1.7</v>
      </c>
      <c r="X65" s="154">
        <f>aurora_data!W164</f>
        <v>1.89</v>
      </c>
      <c r="Y65" s="152">
        <f>aurora_data!X164</f>
        <v>0.27</v>
      </c>
      <c r="Z65" s="153">
        <f>aurora_data!Y164</f>
        <v>0.55000000000000004</v>
      </c>
      <c r="AA65" s="153">
        <f>aurora_data!Z164</f>
        <v>3.71</v>
      </c>
      <c r="AB65" s="153">
        <f>aurora_data!AA164</f>
        <v>7.84</v>
      </c>
      <c r="AC65" s="154">
        <f>aurora_data!AB164</f>
        <v>11.67</v>
      </c>
      <c r="AD65" s="152">
        <f>aurora_data!AC164</f>
        <v>10.62</v>
      </c>
      <c r="AE65" s="153">
        <f>aurora_data!AD164</f>
        <v>7.63</v>
      </c>
      <c r="AF65" s="153">
        <f>aurora_data!AE164</f>
        <v>19.8</v>
      </c>
      <c r="AG65" s="154">
        <f>aurora_data!AF164</f>
        <v>11.95</v>
      </c>
      <c r="AH65" s="155">
        <f>aurora_data!AG164</f>
        <v>25</v>
      </c>
      <c r="AI65" s="171">
        <f>aurora_data!AH164</f>
        <v>25</v>
      </c>
      <c r="AJ65" s="171">
        <f>aurora_data!AI36</f>
        <v>0</v>
      </c>
      <c r="AK65" s="407"/>
      <c r="AL65" s="155">
        <f>aurora_data!AJ164</f>
        <v>50</v>
      </c>
      <c r="AM65" s="167">
        <f t="shared" ref="AM65:AM72" si="38">SUM(AL65)/$AL$65</f>
        <v>1</v>
      </c>
      <c r="AO65"/>
      <c r="AP65"/>
      <c r="AQ65"/>
      <c r="AR65"/>
      <c r="AS65"/>
      <c r="AT65"/>
      <c r="AU65"/>
      <c r="AV65"/>
      <c r="AW65"/>
      <c r="AX65"/>
      <c r="AY65"/>
    </row>
    <row r="66" spans="2:51">
      <c r="B66" s="452"/>
      <c r="C66" s="454"/>
      <c r="D66" s="35" t="s">
        <v>339</v>
      </c>
      <c r="E66" s="262">
        <f>aurora_data!D165</f>
        <v>0</v>
      </c>
      <c r="F66" s="263">
        <f>aurora_data!E165</f>
        <v>0</v>
      </c>
      <c r="G66" s="263">
        <f>aurora_data!F165</f>
        <v>0</v>
      </c>
      <c r="H66" s="263">
        <f>aurora_data!G165</f>
        <v>1</v>
      </c>
      <c r="I66" s="263">
        <f>aurora_data!H165</f>
        <v>2</v>
      </c>
      <c r="J66" s="262">
        <f>aurora_data!I165</f>
        <v>0</v>
      </c>
      <c r="K66" s="263">
        <f>aurora_data!J165</f>
        <v>1</v>
      </c>
      <c r="L66" s="263">
        <f>aurora_data!K165</f>
        <v>1</v>
      </c>
      <c r="M66" s="263">
        <f>aurora_data!L165</f>
        <v>2</v>
      </c>
      <c r="N66" s="264">
        <f>aurora_data!M165</f>
        <v>2</v>
      </c>
      <c r="O66" s="262">
        <f>aurora_data!N165</f>
        <v>0</v>
      </c>
      <c r="P66" s="263">
        <f>aurora_data!O165</f>
        <v>0</v>
      </c>
      <c r="Q66" s="263">
        <f>aurora_data!P165</f>
        <v>2</v>
      </c>
      <c r="R66" s="263">
        <f>aurora_data!Q165</f>
        <v>2</v>
      </c>
      <c r="S66" s="264">
        <f>aurora_data!R165</f>
        <v>2</v>
      </c>
      <c r="T66" s="262">
        <f>aurora_data!S165</f>
        <v>0</v>
      </c>
      <c r="U66" s="263">
        <f>aurora_data!T165</f>
        <v>0</v>
      </c>
      <c r="V66" s="263">
        <f>aurora_data!U165</f>
        <v>0</v>
      </c>
      <c r="W66" s="263">
        <f>aurora_data!V165</f>
        <v>2</v>
      </c>
      <c r="X66" s="264">
        <f>aurora_data!W165</f>
        <v>2</v>
      </c>
      <c r="Y66" s="262">
        <f>aurora_data!X165</f>
        <v>0</v>
      </c>
      <c r="Z66" s="263">
        <f>aurora_data!Y165</f>
        <v>0</v>
      </c>
      <c r="AA66" s="263">
        <f>aurora_data!Z165</f>
        <v>2</v>
      </c>
      <c r="AB66" s="263">
        <f>aurora_data!AA165</f>
        <v>7</v>
      </c>
      <c r="AC66" s="264">
        <f>aurora_data!AB165</f>
        <v>12</v>
      </c>
      <c r="AD66" s="262">
        <f>aurora_data!AC165</f>
        <v>11</v>
      </c>
      <c r="AE66" s="263">
        <f>aurora_data!AD165</f>
        <v>6</v>
      </c>
      <c r="AF66" s="263">
        <f>aurora_data!AE165</f>
        <v>16</v>
      </c>
      <c r="AG66" s="264">
        <f>aurora_data!AF165</f>
        <v>7</v>
      </c>
      <c r="AH66" s="262">
        <f>aurora_data!AG165</f>
        <v>21</v>
      </c>
      <c r="AI66" s="263">
        <f>aurora_data!AH165</f>
        <v>19</v>
      </c>
      <c r="AJ66" s="264">
        <f>aurora_data!AI37</f>
        <v>0</v>
      </c>
      <c r="AK66" s="407"/>
      <c r="AL66" s="408">
        <f>aurora_data!AJ165</f>
        <v>40</v>
      </c>
      <c r="AM66" s="409">
        <f t="shared" si="38"/>
        <v>0.8</v>
      </c>
      <c r="AO66"/>
      <c r="AP66"/>
      <c r="AQ66"/>
      <c r="AR66"/>
      <c r="AS66"/>
      <c r="AT66"/>
      <c r="AU66"/>
      <c r="AV66"/>
      <c r="AW66"/>
      <c r="AX66"/>
      <c r="AY66"/>
    </row>
    <row r="67" spans="2:51">
      <c r="B67" s="452"/>
      <c r="C67" s="454"/>
      <c r="D67" s="35" t="s">
        <v>291</v>
      </c>
      <c r="E67" s="408">
        <f>aurora_data!D166</f>
        <v>0</v>
      </c>
      <c r="F67" s="410">
        <f>aurora_data!E166</f>
        <v>0</v>
      </c>
      <c r="G67" s="410">
        <f>aurora_data!F166</f>
        <v>0</v>
      </c>
      <c r="H67" s="410">
        <f>aurora_data!G166</f>
        <v>0</v>
      </c>
      <c r="I67" s="410">
        <f>aurora_data!H166</f>
        <v>0</v>
      </c>
      <c r="J67" s="408">
        <f>aurora_data!I166</f>
        <v>0</v>
      </c>
      <c r="K67" s="410">
        <f>aurora_data!J166</f>
        <v>0</v>
      </c>
      <c r="L67" s="410">
        <f>aurora_data!K166</f>
        <v>0</v>
      </c>
      <c r="M67" s="410">
        <f>aurora_data!L166</f>
        <v>0</v>
      </c>
      <c r="N67" s="411">
        <f>aurora_data!M166</f>
        <v>1</v>
      </c>
      <c r="O67" s="408">
        <f>aurora_data!N166</f>
        <v>0</v>
      </c>
      <c r="P67" s="410">
        <f>aurora_data!O166</f>
        <v>0</v>
      </c>
      <c r="Q67" s="410">
        <f>aurora_data!P166</f>
        <v>0</v>
      </c>
      <c r="R67" s="410">
        <f>aurora_data!Q166</f>
        <v>0</v>
      </c>
      <c r="S67" s="411">
        <f>aurora_data!R166</f>
        <v>0</v>
      </c>
      <c r="T67" s="408">
        <f>aurora_data!S166</f>
        <v>0</v>
      </c>
      <c r="U67" s="410">
        <f>aurora_data!T166</f>
        <v>0</v>
      </c>
      <c r="V67" s="410">
        <f>aurora_data!U166</f>
        <v>0</v>
      </c>
      <c r="W67" s="410">
        <f>aurora_data!V166</f>
        <v>0</v>
      </c>
      <c r="X67" s="411">
        <f>aurora_data!W166</f>
        <v>3</v>
      </c>
      <c r="Y67" s="408">
        <f>aurora_data!X166</f>
        <v>0</v>
      </c>
      <c r="Z67" s="410">
        <f>aurora_data!Y166</f>
        <v>0</v>
      </c>
      <c r="AA67" s="410">
        <f>aurora_data!Z166</f>
        <v>0</v>
      </c>
      <c r="AB67" s="410">
        <f>aurora_data!AA166</f>
        <v>0</v>
      </c>
      <c r="AC67" s="411">
        <f>aurora_data!AB166</f>
        <v>2</v>
      </c>
      <c r="AD67" s="408">
        <f>aurora_data!AC166</f>
        <v>5</v>
      </c>
      <c r="AE67" s="410">
        <f>aurora_data!AD166</f>
        <v>0</v>
      </c>
      <c r="AF67" s="410">
        <f>aurora_data!AE166</f>
        <v>1</v>
      </c>
      <c r="AG67" s="411">
        <f>aurora_data!AF166</f>
        <v>0</v>
      </c>
      <c r="AH67" s="408">
        <f>aurora_data!AG166</f>
        <v>4</v>
      </c>
      <c r="AI67" s="410">
        <f>aurora_data!AH166</f>
        <v>2</v>
      </c>
      <c r="AJ67" s="411">
        <f>aurora_data!AI38</f>
        <v>0</v>
      </c>
      <c r="AK67" s="407"/>
      <c r="AL67" s="408">
        <f>aurora_data!AJ166</f>
        <v>6</v>
      </c>
      <c r="AM67" s="409">
        <f t="shared" si="38"/>
        <v>0.12</v>
      </c>
      <c r="AO67"/>
      <c r="AP67"/>
      <c r="AQ67"/>
      <c r="AR67"/>
      <c r="AS67"/>
      <c r="AT67"/>
      <c r="AU67"/>
      <c r="AV67"/>
      <c r="AW67"/>
      <c r="AX67"/>
      <c r="AY67"/>
    </row>
    <row r="68" spans="2:51">
      <c r="B68" s="452"/>
      <c r="C68" s="454"/>
      <c r="D68" s="35" t="s">
        <v>340</v>
      </c>
      <c r="E68" s="408">
        <f>aurora_data!D167</f>
        <v>0</v>
      </c>
      <c r="F68" s="410">
        <f>aurora_data!E167</f>
        <v>0</v>
      </c>
      <c r="G68" s="410">
        <f>aurora_data!F167</f>
        <v>0</v>
      </c>
      <c r="H68" s="410">
        <f>aurora_data!G167</f>
        <v>0</v>
      </c>
      <c r="I68" s="410">
        <f>aurora_data!H167</f>
        <v>0</v>
      </c>
      <c r="J68" s="408">
        <f>aurora_data!I167</f>
        <v>0</v>
      </c>
      <c r="K68" s="410">
        <f>aurora_data!J167</f>
        <v>0</v>
      </c>
      <c r="L68" s="410">
        <f>aurora_data!K167</f>
        <v>0</v>
      </c>
      <c r="M68" s="410">
        <f>aurora_data!L167</f>
        <v>0</v>
      </c>
      <c r="N68" s="411">
        <f>aurora_data!M167</f>
        <v>0</v>
      </c>
      <c r="O68" s="408">
        <f>aurora_data!N167</f>
        <v>0</v>
      </c>
      <c r="P68" s="410">
        <f>aurora_data!O167</f>
        <v>0</v>
      </c>
      <c r="Q68" s="410">
        <f>aurora_data!P167</f>
        <v>0</v>
      </c>
      <c r="R68" s="410">
        <f>aurora_data!Q167</f>
        <v>0</v>
      </c>
      <c r="S68" s="411">
        <f>aurora_data!R167</f>
        <v>0</v>
      </c>
      <c r="T68" s="408">
        <f>aurora_data!S167</f>
        <v>0</v>
      </c>
      <c r="U68" s="410">
        <f>aurora_data!T167</f>
        <v>0</v>
      </c>
      <c r="V68" s="410">
        <f>aurora_data!U167</f>
        <v>0</v>
      </c>
      <c r="W68" s="410">
        <f>aurora_data!V167</f>
        <v>0</v>
      </c>
      <c r="X68" s="411">
        <f>aurora_data!W167</f>
        <v>0</v>
      </c>
      <c r="Y68" s="408">
        <f>aurora_data!X167</f>
        <v>0</v>
      </c>
      <c r="Z68" s="410">
        <f>aurora_data!Y167</f>
        <v>0</v>
      </c>
      <c r="AA68" s="410">
        <f>aurora_data!Z167</f>
        <v>0</v>
      </c>
      <c r="AB68" s="410">
        <f>aurora_data!AA167</f>
        <v>0</v>
      </c>
      <c r="AC68" s="411">
        <f>aurora_data!AB167</f>
        <v>0</v>
      </c>
      <c r="AD68" s="408">
        <f>aurora_data!AC167</f>
        <v>0</v>
      </c>
      <c r="AE68" s="410">
        <f>aurora_data!AD167</f>
        <v>0</v>
      </c>
      <c r="AF68" s="410">
        <f>aurora_data!AE167</f>
        <v>0</v>
      </c>
      <c r="AG68" s="411">
        <f>aurora_data!AF167</f>
        <v>0</v>
      </c>
      <c r="AH68" s="408">
        <f>aurora_data!AG167</f>
        <v>0</v>
      </c>
      <c r="AI68" s="410">
        <f>aurora_data!AH167</f>
        <v>0</v>
      </c>
      <c r="AJ68" s="411">
        <f>aurora_data!AI39</f>
        <v>0</v>
      </c>
      <c r="AK68" s="407"/>
      <c r="AL68" s="408">
        <f>aurora_data!AJ167</f>
        <v>0</v>
      </c>
      <c r="AM68" s="409">
        <f t="shared" si="38"/>
        <v>0</v>
      </c>
      <c r="AO68"/>
      <c r="AP68"/>
      <c r="AQ68"/>
      <c r="AR68"/>
      <c r="AS68"/>
      <c r="AT68"/>
      <c r="AU68"/>
      <c r="AV68"/>
      <c r="AW68"/>
      <c r="AX68"/>
      <c r="AY68"/>
    </row>
    <row r="69" spans="2:51">
      <c r="B69" s="452"/>
      <c r="C69" s="454"/>
      <c r="D69" s="35" t="s">
        <v>341</v>
      </c>
      <c r="E69" s="408">
        <f>aurora_data!D168</f>
        <v>0</v>
      </c>
      <c r="F69" s="410">
        <f>aurora_data!E168</f>
        <v>0</v>
      </c>
      <c r="G69" s="410">
        <f>aurora_data!F168</f>
        <v>0</v>
      </c>
      <c r="H69" s="410">
        <f>aurora_data!G168</f>
        <v>0</v>
      </c>
      <c r="I69" s="410">
        <f>aurora_data!H168</f>
        <v>0</v>
      </c>
      <c r="J69" s="408">
        <f>aurora_data!I168</f>
        <v>0</v>
      </c>
      <c r="K69" s="410">
        <f>aurora_data!J168</f>
        <v>0</v>
      </c>
      <c r="L69" s="410">
        <f>aurora_data!K168</f>
        <v>0</v>
      </c>
      <c r="M69" s="410">
        <f>aurora_data!L168</f>
        <v>0</v>
      </c>
      <c r="N69" s="411">
        <f>aurora_data!M168</f>
        <v>0</v>
      </c>
      <c r="O69" s="408">
        <f>aurora_data!N168</f>
        <v>0</v>
      </c>
      <c r="P69" s="410">
        <f>aurora_data!O168</f>
        <v>0</v>
      </c>
      <c r="Q69" s="410">
        <f>aurora_data!P168</f>
        <v>1</v>
      </c>
      <c r="R69" s="410">
        <f>aurora_data!Q168</f>
        <v>2</v>
      </c>
      <c r="S69" s="411">
        <f>aurora_data!R168</f>
        <v>1</v>
      </c>
      <c r="T69" s="408">
        <f>aurora_data!S168</f>
        <v>0</v>
      </c>
      <c r="U69" s="410">
        <f>aurora_data!T168</f>
        <v>0</v>
      </c>
      <c r="V69" s="410">
        <f>aurora_data!U168</f>
        <v>1</v>
      </c>
      <c r="W69" s="410">
        <f>aurora_data!V168</f>
        <v>1</v>
      </c>
      <c r="X69" s="411">
        <f>aurora_data!W168</f>
        <v>0</v>
      </c>
      <c r="Y69" s="408">
        <f>aurora_data!X168</f>
        <v>0</v>
      </c>
      <c r="Z69" s="410">
        <f>aurora_data!Y168</f>
        <v>0</v>
      </c>
      <c r="AA69" s="410">
        <f>aurora_data!Z168</f>
        <v>1</v>
      </c>
      <c r="AB69" s="410">
        <f>aurora_data!AA168</f>
        <v>1</v>
      </c>
      <c r="AC69" s="411">
        <f>aurora_data!AB168</f>
        <v>0</v>
      </c>
      <c r="AD69" s="408">
        <f>aurora_data!AC168</f>
        <v>2</v>
      </c>
      <c r="AE69" s="410">
        <f>aurora_data!AD168</f>
        <v>1</v>
      </c>
      <c r="AF69" s="410">
        <f>aurora_data!AE168</f>
        <v>2</v>
      </c>
      <c r="AG69" s="411">
        <f>aurora_data!AF168</f>
        <v>3</v>
      </c>
      <c r="AH69" s="408">
        <f>aurora_data!AG168</f>
        <v>4</v>
      </c>
      <c r="AI69" s="410">
        <f>aurora_data!AH168</f>
        <v>4</v>
      </c>
      <c r="AJ69" s="411">
        <f>aurora_data!AI40</f>
        <v>0</v>
      </c>
      <c r="AK69" s="407"/>
      <c r="AL69" s="408">
        <f>aurora_data!AJ168</f>
        <v>8</v>
      </c>
      <c r="AM69" s="409">
        <f t="shared" si="38"/>
        <v>0.16</v>
      </c>
      <c r="AO69"/>
      <c r="AP69"/>
      <c r="AQ69"/>
      <c r="AR69"/>
      <c r="AS69"/>
      <c r="AT69"/>
      <c r="AU69"/>
      <c r="AV69"/>
      <c r="AW69"/>
      <c r="AX69"/>
      <c r="AY69"/>
    </row>
    <row r="70" spans="2:51" ht="16.5" thickBot="1">
      <c r="B70" s="452"/>
      <c r="C70" s="454"/>
      <c r="D70" s="35" t="s">
        <v>342</v>
      </c>
      <c r="E70" s="408">
        <f>aurora_data!D169</f>
        <v>0</v>
      </c>
      <c r="F70" s="410">
        <f>aurora_data!E169</f>
        <v>0</v>
      </c>
      <c r="G70" s="410">
        <f>aurora_data!F169</f>
        <v>0</v>
      </c>
      <c r="H70" s="410">
        <f>aurora_data!G169</f>
        <v>0</v>
      </c>
      <c r="I70" s="410">
        <f>aurora_data!H169</f>
        <v>0</v>
      </c>
      <c r="J70" s="408">
        <f>aurora_data!I169</f>
        <v>0</v>
      </c>
      <c r="K70" s="410">
        <f>aurora_data!J169</f>
        <v>0</v>
      </c>
      <c r="L70" s="410">
        <f>aurora_data!K169</f>
        <v>0</v>
      </c>
      <c r="M70" s="410">
        <f>aurora_data!L169</f>
        <v>0</v>
      </c>
      <c r="N70" s="411">
        <f>aurora_data!M169</f>
        <v>0</v>
      </c>
      <c r="O70" s="408">
        <f>aurora_data!N169</f>
        <v>0</v>
      </c>
      <c r="P70" s="410">
        <f>aurora_data!O169</f>
        <v>0</v>
      </c>
      <c r="Q70" s="410">
        <f>aurora_data!P169</f>
        <v>0</v>
      </c>
      <c r="R70" s="410">
        <f>aurora_data!Q169</f>
        <v>0</v>
      </c>
      <c r="S70" s="411">
        <f>aurora_data!R169</f>
        <v>0</v>
      </c>
      <c r="T70" s="408">
        <f>aurora_data!S169</f>
        <v>0</v>
      </c>
      <c r="U70" s="410">
        <f>aurora_data!T169</f>
        <v>0</v>
      </c>
      <c r="V70" s="410">
        <f>aurora_data!U169</f>
        <v>0</v>
      </c>
      <c r="W70" s="410">
        <f>aurora_data!V169</f>
        <v>0</v>
      </c>
      <c r="X70" s="411">
        <f>aurora_data!W169</f>
        <v>0</v>
      </c>
      <c r="Y70" s="408">
        <f>aurora_data!X169</f>
        <v>0</v>
      </c>
      <c r="Z70" s="410">
        <f>aurora_data!Y169</f>
        <v>0</v>
      </c>
      <c r="AA70" s="410">
        <f>aurora_data!Z169</f>
        <v>0</v>
      </c>
      <c r="AB70" s="410">
        <f>aurora_data!AA169</f>
        <v>0</v>
      </c>
      <c r="AC70" s="411">
        <f>aurora_data!AB169</f>
        <v>0</v>
      </c>
      <c r="AD70" s="408">
        <f>aurora_data!AC169</f>
        <v>0</v>
      </c>
      <c r="AE70" s="410">
        <f>aurora_data!AD169</f>
        <v>0</v>
      </c>
      <c r="AF70" s="410">
        <f>aurora_data!AE169</f>
        <v>0</v>
      </c>
      <c r="AG70" s="411">
        <f>aurora_data!AF169</f>
        <v>0</v>
      </c>
      <c r="AH70" s="408">
        <f>aurora_data!AG169</f>
        <v>0</v>
      </c>
      <c r="AI70" s="410">
        <f>aurora_data!AH169</f>
        <v>0</v>
      </c>
      <c r="AJ70" s="411">
        <f>aurora_data!AI41</f>
        <v>0</v>
      </c>
      <c r="AK70" s="412"/>
      <c r="AL70" s="408">
        <f>aurora_data!AJ169</f>
        <v>0</v>
      </c>
      <c r="AM70" s="409">
        <f t="shared" si="38"/>
        <v>0</v>
      </c>
      <c r="AO70"/>
      <c r="AP70"/>
      <c r="AQ70"/>
      <c r="AR70"/>
      <c r="AS70"/>
      <c r="AT70"/>
      <c r="AU70"/>
      <c r="AV70"/>
      <c r="AW70"/>
      <c r="AX70"/>
      <c r="AY70"/>
    </row>
    <row r="71" spans="2:51" ht="16.5" thickBot="1">
      <c r="B71" s="452"/>
      <c r="C71" s="454"/>
      <c r="D71" s="37" t="s">
        <v>17</v>
      </c>
      <c r="E71" s="182">
        <f>aurora_data!D170</f>
        <v>0</v>
      </c>
      <c r="F71" s="183">
        <f>aurora_data!E170</f>
        <v>0</v>
      </c>
      <c r="G71" s="183">
        <f>aurora_data!F170</f>
        <v>0</v>
      </c>
      <c r="H71" s="183">
        <f>aurora_data!G170</f>
        <v>1</v>
      </c>
      <c r="I71" s="184">
        <f>aurora_data!H170</f>
        <v>2</v>
      </c>
      <c r="J71" s="182">
        <f>aurora_data!I170</f>
        <v>0</v>
      </c>
      <c r="K71" s="183">
        <f>aurora_data!J170</f>
        <v>1</v>
      </c>
      <c r="L71" s="183">
        <f>aurora_data!K170</f>
        <v>1</v>
      </c>
      <c r="M71" s="183">
        <f>aurora_data!L170</f>
        <v>2</v>
      </c>
      <c r="N71" s="184">
        <f>aurora_data!M170</f>
        <v>3</v>
      </c>
      <c r="O71" s="182">
        <f>aurora_data!N170</f>
        <v>0</v>
      </c>
      <c r="P71" s="183">
        <f>aurora_data!O170</f>
        <v>0</v>
      </c>
      <c r="Q71" s="183">
        <f>aurora_data!P170</f>
        <v>3</v>
      </c>
      <c r="R71" s="183">
        <f>aurora_data!Q170</f>
        <v>4</v>
      </c>
      <c r="S71" s="184">
        <f>aurora_data!R170</f>
        <v>3</v>
      </c>
      <c r="T71" s="182">
        <f>aurora_data!S170</f>
        <v>0</v>
      </c>
      <c r="U71" s="183">
        <f>aurora_data!T170</f>
        <v>0</v>
      </c>
      <c r="V71" s="183">
        <f>aurora_data!U170</f>
        <v>1</v>
      </c>
      <c r="W71" s="183">
        <f>aurora_data!V170</f>
        <v>3</v>
      </c>
      <c r="X71" s="184">
        <f>aurora_data!W170</f>
        <v>5</v>
      </c>
      <c r="Y71" s="182">
        <f>aurora_data!X170</f>
        <v>0</v>
      </c>
      <c r="Z71" s="183">
        <f>aurora_data!Y170</f>
        <v>0</v>
      </c>
      <c r="AA71" s="183">
        <f>aurora_data!Z170</f>
        <v>3</v>
      </c>
      <c r="AB71" s="183">
        <f>aurora_data!AA170</f>
        <v>8</v>
      </c>
      <c r="AC71" s="184">
        <f>aurora_data!AB170</f>
        <v>14</v>
      </c>
      <c r="AD71" s="182">
        <f>aurora_data!AC170</f>
        <v>18</v>
      </c>
      <c r="AE71" s="183">
        <f>aurora_data!AD170</f>
        <v>7</v>
      </c>
      <c r="AF71" s="183">
        <f>aurora_data!AE170</f>
        <v>19</v>
      </c>
      <c r="AG71" s="184">
        <f>aurora_data!AF170</f>
        <v>10</v>
      </c>
      <c r="AH71" s="182">
        <f>aurora_data!AG170</f>
        <v>29</v>
      </c>
      <c r="AI71" s="183">
        <f>aurora_data!AH170</f>
        <v>25</v>
      </c>
      <c r="AJ71" s="183">
        <f>aurora_data!AI42</f>
        <v>0</v>
      </c>
      <c r="AK71" s="412"/>
      <c r="AL71" s="182">
        <f>aurora_data!AJ170</f>
        <v>54</v>
      </c>
      <c r="AM71" s="413">
        <f t="shared" si="38"/>
        <v>1.08</v>
      </c>
      <c r="AO71"/>
      <c r="AP71"/>
      <c r="AQ71"/>
      <c r="AR71"/>
      <c r="AS71"/>
      <c r="AT71"/>
      <c r="AU71"/>
      <c r="AV71"/>
      <c r="AW71"/>
      <c r="AX71"/>
      <c r="AY71"/>
    </row>
    <row r="72" spans="2:51" ht="16.5" thickBot="1">
      <c r="B72" s="452"/>
      <c r="C72" s="454"/>
      <c r="D72" s="38" t="s">
        <v>343</v>
      </c>
      <c r="E72" s="265">
        <f>aurora_data!D171</f>
        <v>0</v>
      </c>
      <c r="F72" s="266">
        <f>aurora_data!E171</f>
        <v>0</v>
      </c>
      <c r="G72" s="266">
        <f>aurora_data!F171</f>
        <v>0</v>
      </c>
      <c r="H72" s="266">
        <f>aurora_data!G171</f>
        <v>0</v>
      </c>
      <c r="I72" s="266">
        <f>aurora_data!H171</f>
        <v>0</v>
      </c>
      <c r="J72" s="265">
        <f>aurora_data!I171</f>
        <v>0</v>
      </c>
      <c r="K72" s="266">
        <f>aurora_data!J171</f>
        <v>0</v>
      </c>
      <c r="L72" s="266">
        <f>aurora_data!K171</f>
        <v>0</v>
      </c>
      <c r="M72" s="266">
        <f>aurora_data!L171</f>
        <v>0</v>
      </c>
      <c r="N72" s="267">
        <f>aurora_data!M171</f>
        <v>0</v>
      </c>
      <c r="O72" s="265">
        <f>aurora_data!N171</f>
        <v>0</v>
      </c>
      <c r="P72" s="266">
        <f>aurora_data!O171</f>
        <v>0</v>
      </c>
      <c r="Q72" s="266">
        <f>aurora_data!P171</f>
        <v>0</v>
      </c>
      <c r="R72" s="266">
        <f>aurora_data!Q171</f>
        <v>0</v>
      </c>
      <c r="S72" s="267">
        <f>aurora_data!R171</f>
        <v>0</v>
      </c>
      <c r="T72" s="265">
        <f>aurora_data!S171</f>
        <v>0</v>
      </c>
      <c r="U72" s="266">
        <f>aurora_data!T171</f>
        <v>0</v>
      </c>
      <c r="V72" s="266">
        <f>aurora_data!U171</f>
        <v>0</v>
      </c>
      <c r="W72" s="266">
        <f>aurora_data!V171</f>
        <v>0</v>
      </c>
      <c r="X72" s="267">
        <f>aurora_data!W171</f>
        <v>0</v>
      </c>
      <c r="Y72" s="265">
        <f>aurora_data!X171</f>
        <v>0</v>
      </c>
      <c r="Z72" s="266">
        <f>aurora_data!Y171</f>
        <v>0</v>
      </c>
      <c r="AA72" s="266">
        <f>aurora_data!Z171</f>
        <v>0</v>
      </c>
      <c r="AB72" s="266">
        <f>aurora_data!AA171</f>
        <v>0</v>
      </c>
      <c r="AC72" s="267">
        <f>aurora_data!AB171</f>
        <v>0</v>
      </c>
      <c r="AD72" s="265">
        <f>aurora_data!AC171</f>
        <v>0</v>
      </c>
      <c r="AE72" s="266">
        <f>aurora_data!AD171</f>
        <v>0</v>
      </c>
      <c r="AF72" s="266">
        <f>aurora_data!AE171</f>
        <v>0</v>
      </c>
      <c r="AG72" s="267">
        <f>aurora_data!AF171</f>
        <v>0</v>
      </c>
      <c r="AH72" s="265">
        <f>aurora_data!AG171</f>
        <v>0</v>
      </c>
      <c r="AI72" s="266">
        <f>aurora_data!AH171</f>
        <v>0</v>
      </c>
      <c r="AJ72" s="268">
        <f>aurora_data!AI43</f>
        <v>0</v>
      </c>
      <c r="AK72" s="269"/>
      <c r="AL72" s="265">
        <f>aurora_data!AJ171</f>
        <v>0</v>
      </c>
      <c r="AM72" s="270">
        <f t="shared" si="38"/>
        <v>0</v>
      </c>
      <c r="AO72"/>
      <c r="AP72"/>
      <c r="AQ72"/>
      <c r="AR72"/>
      <c r="AS72"/>
      <c r="AT72"/>
      <c r="AU72"/>
      <c r="AV72"/>
      <c r="AW72"/>
      <c r="AX72"/>
      <c r="AY72"/>
    </row>
    <row r="73" spans="2:51" outlineLevel="1">
      <c r="B73" s="452"/>
      <c r="C73" s="454"/>
      <c r="D73" s="199" t="s">
        <v>344</v>
      </c>
      <c r="E73" s="271">
        <f t="shared" ref="E73:AC73" si="39">ROUNDDOWN((E75+$E$9)*($AL65),0)</f>
        <v>1</v>
      </c>
      <c r="F73" s="272">
        <f t="shared" si="39"/>
        <v>1</v>
      </c>
      <c r="G73" s="272">
        <f t="shared" si="39"/>
        <v>1</v>
      </c>
      <c r="H73" s="272">
        <f t="shared" si="39"/>
        <v>1</v>
      </c>
      <c r="I73" s="272">
        <f t="shared" si="39"/>
        <v>2</v>
      </c>
      <c r="J73" s="271">
        <f t="shared" si="39"/>
        <v>1</v>
      </c>
      <c r="K73" s="272">
        <f t="shared" si="39"/>
        <v>1</v>
      </c>
      <c r="L73" s="272">
        <f t="shared" si="39"/>
        <v>2</v>
      </c>
      <c r="M73" s="272">
        <f t="shared" si="39"/>
        <v>3</v>
      </c>
      <c r="N73" s="268">
        <f t="shared" si="39"/>
        <v>2</v>
      </c>
      <c r="O73" s="271">
        <f t="shared" si="39"/>
        <v>1</v>
      </c>
      <c r="P73" s="272">
        <f t="shared" si="39"/>
        <v>2</v>
      </c>
      <c r="Q73" s="272">
        <f t="shared" si="39"/>
        <v>4</v>
      </c>
      <c r="R73" s="272">
        <f t="shared" si="39"/>
        <v>4</v>
      </c>
      <c r="S73" s="268">
        <f t="shared" si="39"/>
        <v>3</v>
      </c>
      <c r="T73" s="271">
        <f t="shared" si="39"/>
        <v>1</v>
      </c>
      <c r="U73" s="272">
        <f t="shared" si="39"/>
        <v>1</v>
      </c>
      <c r="V73" s="272">
        <f t="shared" si="39"/>
        <v>1</v>
      </c>
      <c r="W73" s="272">
        <f t="shared" si="39"/>
        <v>2</v>
      </c>
      <c r="X73" s="268">
        <f t="shared" si="39"/>
        <v>2</v>
      </c>
      <c r="Y73" s="271">
        <f t="shared" si="39"/>
        <v>1</v>
      </c>
      <c r="Z73" s="272">
        <f t="shared" si="39"/>
        <v>1</v>
      </c>
      <c r="AA73" s="272">
        <f t="shared" si="39"/>
        <v>4</v>
      </c>
      <c r="AB73" s="272">
        <f t="shared" si="39"/>
        <v>8</v>
      </c>
      <c r="AC73" s="268">
        <f t="shared" si="39"/>
        <v>12</v>
      </c>
      <c r="AD73" s="271">
        <f>ROUNDDOWN((AD75+$AD$9)*($AL65),0)</f>
        <v>15</v>
      </c>
      <c r="AE73" s="272">
        <f>ROUNDDOWN((AE75+$AD$9)*($AL65),0)</f>
        <v>12</v>
      </c>
      <c r="AF73" s="272">
        <f t="shared" ref="AF73:AG73" si="40">ROUNDDOWN((AF75+$AD$9)*($AL65),0)</f>
        <v>24</v>
      </c>
      <c r="AG73" s="268">
        <f t="shared" si="40"/>
        <v>16</v>
      </c>
      <c r="AH73" s="271">
        <f>ROUNDDOWN((AH75+$AH$9)*($AL65),0)</f>
        <v>25</v>
      </c>
      <c r="AI73" s="272">
        <f>ROUNDDOWN((AI75+$AH$8)*($AL65),0)</f>
        <v>25</v>
      </c>
      <c r="AJ73" s="268">
        <f>ROUNDDOWN((AJ75+$AH$8)*($AL65),0)</f>
        <v>0</v>
      </c>
      <c r="AK73" s="273"/>
      <c r="AL73" s="274"/>
      <c r="AM73" s="275"/>
      <c r="AO73"/>
      <c r="AP73"/>
      <c r="AQ73"/>
      <c r="AR73"/>
      <c r="AS73"/>
      <c r="AT73"/>
      <c r="AU73"/>
      <c r="AV73"/>
      <c r="AW73"/>
      <c r="AX73"/>
      <c r="AY73"/>
    </row>
    <row r="74" spans="2:51" ht="15.75" customHeight="1" outlineLevel="1" thickBot="1">
      <c r="B74" s="452"/>
      <c r="C74" s="454"/>
      <c r="D74" s="199" t="s">
        <v>345</v>
      </c>
      <c r="E74" s="276">
        <f t="shared" ref="E74:AC74" si="41">IF(ROUND(((E75-$E$9)*($AL65))+0.25,0) &lt;=0,1,((E75-$E$9)*($AL65))+0.25)</f>
        <v>1</v>
      </c>
      <c r="F74" s="277">
        <f t="shared" si="41"/>
        <v>1</v>
      </c>
      <c r="G74" s="277">
        <f t="shared" si="41"/>
        <v>1</v>
      </c>
      <c r="H74" s="277">
        <f t="shared" si="41"/>
        <v>1</v>
      </c>
      <c r="I74" s="277">
        <f t="shared" si="41"/>
        <v>0.93999999999999984</v>
      </c>
      <c r="J74" s="276">
        <f t="shared" si="41"/>
        <v>1</v>
      </c>
      <c r="K74" s="277">
        <f t="shared" si="41"/>
        <v>1</v>
      </c>
      <c r="L74" s="277">
        <f t="shared" si="41"/>
        <v>1.0899999999999999</v>
      </c>
      <c r="M74" s="277">
        <f t="shared" si="41"/>
        <v>1.6</v>
      </c>
      <c r="N74" s="278">
        <f t="shared" si="41"/>
        <v>0.97</v>
      </c>
      <c r="O74" s="276">
        <f t="shared" si="41"/>
        <v>1</v>
      </c>
      <c r="P74" s="277">
        <f t="shared" si="41"/>
        <v>0.79999999999999993</v>
      </c>
      <c r="Q74" s="277">
        <f t="shared" si="41"/>
        <v>2.6299999999999994</v>
      </c>
      <c r="R74" s="277">
        <f t="shared" si="41"/>
        <v>2.9299999999999997</v>
      </c>
      <c r="S74" s="278">
        <f t="shared" si="41"/>
        <v>1.81</v>
      </c>
      <c r="T74" s="276">
        <f t="shared" si="41"/>
        <v>1</v>
      </c>
      <c r="U74" s="277">
        <f t="shared" si="41"/>
        <v>1</v>
      </c>
      <c r="V74" s="277">
        <f t="shared" si="41"/>
        <v>1</v>
      </c>
      <c r="W74" s="277">
        <f t="shared" si="41"/>
        <v>0.95000000000000007</v>
      </c>
      <c r="X74" s="278">
        <f t="shared" si="41"/>
        <v>1.1400000000000001</v>
      </c>
      <c r="Y74" s="276">
        <f t="shared" si="41"/>
        <v>1</v>
      </c>
      <c r="Z74" s="277">
        <f t="shared" si="41"/>
        <v>1</v>
      </c>
      <c r="AA74" s="277">
        <f t="shared" si="41"/>
        <v>2.96</v>
      </c>
      <c r="AB74" s="277">
        <f t="shared" si="41"/>
        <v>7.09</v>
      </c>
      <c r="AC74" s="278">
        <f t="shared" si="41"/>
        <v>10.92</v>
      </c>
      <c r="AD74" s="276">
        <f>IF(((AD75-$AD$9)*($AL65))+0.5 &lt;0,1,((AD75-$AD$9)*($AL65))+0.5 )</f>
        <v>6.1199999999999983</v>
      </c>
      <c r="AE74" s="277">
        <f t="shared" ref="AE74" si="42">IF(((AE75-$AD$9)*($AL65))+0.5 &lt;0,1,((AE75-$AD$9)*($AL65))+0.5 )</f>
        <v>3.129999999999999</v>
      </c>
      <c r="AF74" s="277">
        <f t="shared" ref="AF74" si="43">IF(((AF75-$AD$9)*($AL65))+0.5 &lt;0,1,((AF75-$AD$9)*($AL65))+0.5 )</f>
        <v>15.300000000000002</v>
      </c>
      <c r="AG74" s="278">
        <f t="shared" ref="AG74" si="44">IF(((AG75-$AD$9)*($AL65))+0.5 &lt;0,1,((AG75-$AD$9)*($AL65))+0.5 )</f>
        <v>7.4499999999999993</v>
      </c>
      <c r="AH74" s="276">
        <f>IF(((AH75-$AH$9)*($AL65))+0.5 &lt;0,1,((AH75-$AH$9)*($AL65)) )</f>
        <v>25</v>
      </c>
      <c r="AI74" s="277">
        <f>IF(((AI75-$AH$9)*($AL65))+0.5 &lt;0,1,((AI75-$AH$9)*($AL65)) )</f>
        <v>25</v>
      </c>
      <c r="AJ74" s="278">
        <f>IF(((AJ75-$AH$8)*($AL65))+0.5 &lt;0,1,((AJ75-$AH$8)*($AL65))+0.5 )</f>
        <v>0.5</v>
      </c>
      <c r="AK74" s="273"/>
      <c r="AL74" s="279"/>
      <c r="AM74" s="280"/>
      <c r="AO74"/>
      <c r="AP74"/>
      <c r="AQ74"/>
      <c r="AR74"/>
      <c r="AS74"/>
      <c r="AT74"/>
      <c r="AU74"/>
      <c r="AV74"/>
      <c r="AW74"/>
      <c r="AX74"/>
      <c r="AY74"/>
    </row>
    <row r="75" spans="2:51" ht="15.75" customHeight="1" outlineLevel="1" thickTop="1">
      <c r="B75" s="110"/>
      <c r="C75" s="109"/>
      <c r="D75" s="95" t="s">
        <v>346</v>
      </c>
      <c r="E75" s="414">
        <f t="shared" ref="E75:AJ75" si="45">IFERROR(E65/$AL65,0)</f>
        <v>1.4000000000000002E-3</v>
      </c>
      <c r="F75" s="415">
        <f t="shared" si="45"/>
        <v>2.5999999999999999E-3</v>
      </c>
      <c r="G75" s="415">
        <f t="shared" si="45"/>
        <v>5.7999999999999996E-3</v>
      </c>
      <c r="H75" s="415">
        <f t="shared" si="45"/>
        <v>8.199999999999999E-3</v>
      </c>
      <c r="I75" s="415">
        <f t="shared" si="45"/>
        <v>3.3799999999999997E-2</v>
      </c>
      <c r="J75" s="414">
        <f t="shared" si="45"/>
        <v>2.5999999999999999E-3</v>
      </c>
      <c r="K75" s="415">
        <f t="shared" si="45"/>
        <v>9.1999999999999998E-3</v>
      </c>
      <c r="L75" s="415">
        <f t="shared" si="45"/>
        <v>3.6799999999999999E-2</v>
      </c>
      <c r="M75" s="415">
        <f t="shared" si="45"/>
        <v>4.7E-2</v>
      </c>
      <c r="N75" s="416">
        <f t="shared" si="45"/>
        <v>3.44E-2</v>
      </c>
      <c r="O75" s="414">
        <f t="shared" si="45"/>
        <v>1.9799999999999998E-2</v>
      </c>
      <c r="P75" s="415">
        <f t="shared" si="45"/>
        <v>3.1E-2</v>
      </c>
      <c r="Q75" s="415">
        <f t="shared" si="45"/>
        <v>6.7599999999999993E-2</v>
      </c>
      <c r="R75" s="415">
        <f t="shared" si="45"/>
        <v>7.3599999999999999E-2</v>
      </c>
      <c r="S75" s="416">
        <f t="shared" si="45"/>
        <v>5.1200000000000002E-2</v>
      </c>
      <c r="T75" s="414">
        <f t="shared" si="45"/>
        <v>1.4000000000000002E-3</v>
      </c>
      <c r="U75" s="415">
        <f t="shared" si="45"/>
        <v>4.1999999999999997E-3</v>
      </c>
      <c r="V75" s="415">
        <f t="shared" si="45"/>
        <v>1.6799999999999999E-2</v>
      </c>
      <c r="W75" s="415">
        <f t="shared" si="45"/>
        <v>3.4000000000000002E-2</v>
      </c>
      <c r="X75" s="416">
        <f t="shared" si="45"/>
        <v>3.78E-2</v>
      </c>
      <c r="Y75" s="414">
        <f t="shared" si="45"/>
        <v>5.4000000000000003E-3</v>
      </c>
      <c r="Z75" s="415">
        <f t="shared" si="45"/>
        <v>1.1000000000000001E-2</v>
      </c>
      <c r="AA75" s="415">
        <f t="shared" si="45"/>
        <v>7.4200000000000002E-2</v>
      </c>
      <c r="AB75" s="415">
        <f t="shared" si="45"/>
        <v>0.15679999999999999</v>
      </c>
      <c r="AC75" s="416">
        <f t="shared" si="45"/>
        <v>0.2334</v>
      </c>
      <c r="AD75" s="414">
        <f t="shared" si="45"/>
        <v>0.21239999999999998</v>
      </c>
      <c r="AE75" s="415">
        <f t="shared" si="45"/>
        <v>0.15259999999999999</v>
      </c>
      <c r="AF75" s="415">
        <f t="shared" si="45"/>
        <v>0.39600000000000002</v>
      </c>
      <c r="AG75" s="416">
        <f t="shared" si="45"/>
        <v>0.23899999999999999</v>
      </c>
      <c r="AH75" s="415">
        <f t="shared" si="45"/>
        <v>0.5</v>
      </c>
      <c r="AI75" s="415">
        <f t="shared" si="45"/>
        <v>0.5</v>
      </c>
      <c r="AJ75" s="415">
        <f t="shared" si="45"/>
        <v>0</v>
      </c>
      <c r="AK75" s="407"/>
      <c r="AL75" s="417"/>
      <c r="AM75" s="418"/>
      <c r="AO75"/>
      <c r="AP75"/>
      <c r="AQ75"/>
      <c r="AR75"/>
      <c r="AS75"/>
      <c r="AT75"/>
      <c r="AU75"/>
      <c r="AV75"/>
      <c r="AW75"/>
      <c r="AX75"/>
      <c r="AY75"/>
    </row>
    <row r="76" spans="2:51" ht="16.5" customHeight="1" outlineLevel="1">
      <c r="B76" s="110"/>
      <c r="C76" s="109"/>
      <c r="D76" s="180" t="s">
        <v>347</v>
      </c>
      <c r="E76" s="414">
        <f t="shared" ref="E76:AJ76" si="46">IFERROR(E66/$AL65,0)</f>
        <v>0</v>
      </c>
      <c r="F76" s="415">
        <f t="shared" si="46"/>
        <v>0</v>
      </c>
      <c r="G76" s="415">
        <f t="shared" si="46"/>
        <v>0</v>
      </c>
      <c r="H76" s="415">
        <f t="shared" si="46"/>
        <v>0.02</v>
      </c>
      <c r="I76" s="415">
        <f t="shared" si="46"/>
        <v>0.04</v>
      </c>
      <c r="J76" s="414">
        <f t="shared" si="46"/>
        <v>0</v>
      </c>
      <c r="K76" s="415">
        <f t="shared" si="46"/>
        <v>0.02</v>
      </c>
      <c r="L76" s="415">
        <f t="shared" si="46"/>
        <v>0.02</v>
      </c>
      <c r="M76" s="415">
        <f t="shared" si="46"/>
        <v>0.04</v>
      </c>
      <c r="N76" s="416">
        <f t="shared" si="46"/>
        <v>0.04</v>
      </c>
      <c r="O76" s="414">
        <f t="shared" si="46"/>
        <v>0</v>
      </c>
      <c r="P76" s="415">
        <f t="shared" si="46"/>
        <v>0</v>
      </c>
      <c r="Q76" s="415">
        <f t="shared" si="46"/>
        <v>0.04</v>
      </c>
      <c r="R76" s="415">
        <f t="shared" si="46"/>
        <v>0.04</v>
      </c>
      <c r="S76" s="416">
        <f t="shared" si="46"/>
        <v>0.04</v>
      </c>
      <c r="T76" s="414">
        <f t="shared" si="46"/>
        <v>0</v>
      </c>
      <c r="U76" s="415">
        <f t="shared" si="46"/>
        <v>0</v>
      </c>
      <c r="V76" s="415">
        <f t="shared" si="46"/>
        <v>0</v>
      </c>
      <c r="W76" s="415">
        <f t="shared" si="46"/>
        <v>0.04</v>
      </c>
      <c r="X76" s="416">
        <f t="shared" si="46"/>
        <v>0.04</v>
      </c>
      <c r="Y76" s="414">
        <f t="shared" si="46"/>
        <v>0</v>
      </c>
      <c r="Z76" s="415">
        <f t="shared" si="46"/>
        <v>0</v>
      </c>
      <c r="AA76" s="415">
        <f t="shared" si="46"/>
        <v>0.04</v>
      </c>
      <c r="AB76" s="415">
        <f t="shared" si="46"/>
        <v>0.14000000000000001</v>
      </c>
      <c r="AC76" s="416">
        <f t="shared" si="46"/>
        <v>0.24</v>
      </c>
      <c r="AD76" s="414">
        <f t="shared" si="46"/>
        <v>0.22</v>
      </c>
      <c r="AE76" s="415">
        <f t="shared" si="46"/>
        <v>0.12</v>
      </c>
      <c r="AF76" s="415">
        <f t="shared" si="46"/>
        <v>0.32</v>
      </c>
      <c r="AG76" s="416">
        <f t="shared" si="46"/>
        <v>0.14000000000000001</v>
      </c>
      <c r="AH76" s="415">
        <f t="shared" si="46"/>
        <v>0.42</v>
      </c>
      <c r="AI76" s="415">
        <f t="shared" si="46"/>
        <v>0.38</v>
      </c>
      <c r="AJ76" s="415">
        <f t="shared" si="46"/>
        <v>0</v>
      </c>
      <c r="AK76" s="407"/>
      <c r="AL76" s="417"/>
      <c r="AM76" s="418"/>
      <c r="AO76"/>
      <c r="AP76"/>
      <c r="AQ76"/>
      <c r="AR76"/>
      <c r="AS76"/>
      <c r="AT76"/>
      <c r="AU76"/>
      <c r="AV76"/>
      <c r="AW76"/>
      <c r="AX76"/>
      <c r="AY76"/>
    </row>
    <row r="77" spans="2:51" ht="16.5" outlineLevel="1" thickBot="1">
      <c r="B77" s="110"/>
      <c r="C77" s="109"/>
      <c r="D77" s="180" t="s">
        <v>348</v>
      </c>
      <c r="E77" s="419">
        <f t="shared" ref="E77:AJ77" si="47">E76-E75</f>
        <v>-1.4000000000000002E-3</v>
      </c>
      <c r="F77" s="420">
        <f t="shared" si="47"/>
        <v>-2.5999999999999999E-3</v>
      </c>
      <c r="G77" s="420">
        <f t="shared" si="47"/>
        <v>-5.7999999999999996E-3</v>
      </c>
      <c r="H77" s="420">
        <f t="shared" si="47"/>
        <v>1.1800000000000001E-2</v>
      </c>
      <c r="I77" s="420">
        <f t="shared" si="47"/>
        <v>6.2000000000000041E-3</v>
      </c>
      <c r="J77" s="419">
        <f t="shared" si="47"/>
        <v>-2.5999999999999999E-3</v>
      </c>
      <c r="K77" s="420">
        <f t="shared" si="47"/>
        <v>1.0800000000000001E-2</v>
      </c>
      <c r="L77" s="420">
        <f t="shared" si="47"/>
        <v>-1.6799999999999999E-2</v>
      </c>
      <c r="M77" s="420">
        <f t="shared" si="47"/>
        <v>-6.9999999999999993E-3</v>
      </c>
      <c r="N77" s="421">
        <f t="shared" si="47"/>
        <v>5.6000000000000008E-3</v>
      </c>
      <c r="O77" s="419">
        <f t="shared" si="47"/>
        <v>-1.9799999999999998E-2</v>
      </c>
      <c r="P77" s="420">
        <f t="shared" si="47"/>
        <v>-3.1E-2</v>
      </c>
      <c r="Q77" s="420">
        <f t="shared" si="47"/>
        <v>-2.7599999999999993E-2</v>
      </c>
      <c r="R77" s="420">
        <f t="shared" si="47"/>
        <v>-3.3599999999999998E-2</v>
      </c>
      <c r="S77" s="421">
        <f t="shared" si="47"/>
        <v>-1.1200000000000002E-2</v>
      </c>
      <c r="T77" s="419">
        <f t="shared" si="47"/>
        <v>-1.4000000000000002E-3</v>
      </c>
      <c r="U77" s="420">
        <f t="shared" si="47"/>
        <v>-4.1999999999999997E-3</v>
      </c>
      <c r="V77" s="420">
        <f t="shared" si="47"/>
        <v>-1.6799999999999999E-2</v>
      </c>
      <c r="W77" s="420">
        <f t="shared" si="47"/>
        <v>5.9999999999999984E-3</v>
      </c>
      <c r="X77" s="421">
        <f t="shared" si="47"/>
        <v>2.2000000000000006E-3</v>
      </c>
      <c r="Y77" s="419">
        <f t="shared" si="47"/>
        <v>-5.4000000000000003E-3</v>
      </c>
      <c r="Z77" s="420">
        <f t="shared" si="47"/>
        <v>-1.1000000000000001E-2</v>
      </c>
      <c r="AA77" s="420">
        <f t="shared" si="47"/>
        <v>-3.4200000000000001E-2</v>
      </c>
      <c r="AB77" s="420">
        <f t="shared" si="47"/>
        <v>-1.6799999999999982E-2</v>
      </c>
      <c r="AC77" s="421">
        <f t="shared" si="47"/>
        <v>6.5999999999999948E-3</v>
      </c>
      <c r="AD77" s="419">
        <f t="shared" si="47"/>
        <v>7.6000000000000234E-3</v>
      </c>
      <c r="AE77" s="420">
        <f t="shared" si="47"/>
        <v>-3.259999999999999E-2</v>
      </c>
      <c r="AF77" s="420">
        <f t="shared" si="47"/>
        <v>-7.6000000000000012E-2</v>
      </c>
      <c r="AG77" s="421">
        <f t="shared" si="47"/>
        <v>-9.8999999999999977E-2</v>
      </c>
      <c r="AH77" s="420">
        <f t="shared" si="47"/>
        <v>-8.0000000000000016E-2</v>
      </c>
      <c r="AI77" s="420">
        <f t="shared" si="47"/>
        <v>-0.12</v>
      </c>
      <c r="AJ77" s="420">
        <f t="shared" si="47"/>
        <v>0</v>
      </c>
      <c r="AK77" s="407"/>
      <c r="AL77" s="422"/>
      <c r="AM77" s="423"/>
      <c r="AO77"/>
      <c r="AP77"/>
      <c r="AQ77"/>
      <c r="AR77"/>
      <c r="AS77"/>
      <c r="AT77"/>
      <c r="AU77"/>
      <c r="AV77"/>
      <c r="AW77"/>
      <c r="AX77"/>
      <c r="AY77"/>
    </row>
    <row r="78" spans="2:51" ht="16.5" thickTop="1">
      <c r="B78" s="451" t="s">
        <v>338</v>
      </c>
      <c r="C78" s="453" t="str">
        <f>aurora_data!A172</f>
        <v>11.00.00-11.11.30</v>
      </c>
      <c r="D78" s="34" t="s">
        <v>306</v>
      </c>
      <c r="E78" s="152">
        <f>aurora_data!D172</f>
        <v>0.12</v>
      </c>
      <c r="F78" s="153">
        <f>aurora_data!E172</f>
        <v>0.13</v>
      </c>
      <c r="G78" s="153">
        <f>aurora_data!F172</f>
        <v>0.28999999999999998</v>
      </c>
      <c r="H78" s="153">
        <f>aurora_data!G172</f>
        <v>0.46</v>
      </c>
      <c r="I78" s="153">
        <f>aurora_data!H172</f>
        <v>1.72</v>
      </c>
      <c r="J78" s="152">
        <f>aurora_data!I172</f>
        <v>0.15</v>
      </c>
      <c r="K78" s="153">
        <f>aurora_data!J172</f>
        <v>0.46</v>
      </c>
      <c r="L78" s="153">
        <f>aurora_data!K172</f>
        <v>1.63</v>
      </c>
      <c r="M78" s="153">
        <f>aurora_data!L172</f>
        <v>2.44</v>
      </c>
      <c r="N78" s="154">
        <f>aurora_data!M172</f>
        <v>1.62</v>
      </c>
      <c r="O78" s="152">
        <f>aurora_data!N172</f>
        <v>1.02</v>
      </c>
      <c r="P78" s="153">
        <f>aurora_data!O172</f>
        <v>1.65</v>
      </c>
      <c r="Q78" s="153">
        <f>aurora_data!P172</f>
        <v>3.49</v>
      </c>
      <c r="R78" s="153">
        <f>aurora_data!Q172</f>
        <v>3.67</v>
      </c>
      <c r="S78" s="154">
        <f>aurora_data!R172</f>
        <v>2.52</v>
      </c>
      <c r="T78" s="152">
        <f>aurora_data!S172</f>
        <v>0.1</v>
      </c>
      <c r="U78" s="153">
        <f>aurora_data!T172</f>
        <v>0.2</v>
      </c>
      <c r="V78" s="153">
        <f>aurora_data!U172</f>
        <v>0.83</v>
      </c>
      <c r="W78" s="153">
        <f>aurora_data!V172</f>
        <v>1.63</v>
      </c>
      <c r="X78" s="154">
        <f>aurora_data!W172</f>
        <v>2.0099999999999998</v>
      </c>
      <c r="Y78" s="152">
        <f>aurora_data!X172</f>
        <v>0.3</v>
      </c>
      <c r="Z78" s="153">
        <f>aurora_data!Y172</f>
        <v>0.45</v>
      </c>
      <c r="AA78" s="153">
        <f>aurora_data!Z172</f>
        <v>3.65</v>
      </c>
      <c r="AB78" s="153">
        <f>aurora_data!AA172</f>
        <v>7.78</v>
      </c>
      <c r="AC78" s="154">
        <f>aurora_data!AB172</f>
        <v>11.67</v>
      </c>
      <c r="AD78" s="152">
        <f>aurora_data!AC172</f>
        <v>10.41</v>
      </c>
      <c r="AE78" s="153">
        <f>aurora_data!AD172</f>
        <v>8.02</v>
      </c>
      <c r="AF78" s="153">
        <f>aurora_data!AE172</f>
        <v>19.73</v>
      </c>
      <c r="AG78" s="154">
        <f>aurora_data!AF172</f>
        <v>11.83</v>
      </c>
      <c r="AH78" s="155">
        <f>aurora_data!AG172</f>
        <v>25</v>
      </c>
      <c r="AI78" s="171">
        <f>aurora_data!AH172</f>
        <v>25</v>
      </c>
      <c r="AJ78" s="171">
        <f>aurora_data!AI44</f>
        <v>0</v>
      </c>
      <c r="AK78" s="407"/>
      <c r="AL78" s="155">
        <f>aurora_data!AJ172</f>
        <v>50</v>
      </c>
      <c r="AM78" s="167">
        <f t="shared" ref="AM78:AM85" si="48">SUM(AL78)/$AL$78</f>
        <v>1</v>
      </c>
      <c r="AO78"/>
      <c r="AP78"/>
      <c r="AQ78"/>
      <c r="AR78"/>
      <c r="AS78"/>
      <c r="AT78"/>
      <c r="AU78"/>
      <c r="AV78"/>
      <c r="AW78"/>
      <c r="AX78"/>
      <c r="AY78"/>
    </row>
    <row r="79" spans="2:51">
      <c r="B79" s="452"/>
      <c r="C79" s="454"/>
      <c r="D79" s="35" t="s">
        <v>339</v>
      </c>
      <c r="E79" s="262">
        <f>aurora_data!D173</f>
        <v>0</v>
      </c>
      <c r="F79" s="263">
        <f>aurora_data!E173</f>
        <v>0</v>
      </c>
      <c r="G79" s="263">
        <f>aurora_data!F173</f>
        <v>0</v>
      </c>
      <c r="H79" s="263">
        <f>aurora_data!G173</f>
        <v>0</v>
      </c>
      <c r="I79" s="263">
        <f>aurora_data!H173</f>
        <v>1</v>
      </c>
      <c r="J79" s="262">
        <f>aurora_data!I173</f>
        <v>0</v>
      </c>
      <c r="K79" s="263">
        <f>aurora_data!J173</f>
        <v>0</v>
      </c>
      <c r="L79" s="263">
        <f>aurora_data!K173</f>
        <v>2</v>
      </c>
      <c r="M79" s="263">
        <f>aurora_data!L173</f>
        <v>1</v>
      </c>
      <c r="N79" s="264">
        <f>aurora_data!M173</f>
        <v>2</v>
      </c>
      <c r="O79" s="262">
        <f>aurora_data!N173</f>
        <v>0</v>
      </c>
      <c r="P79" s="263">
        <f>aurora_data!O173</f>
        <v>1</v>
      </c>
      <c r="Q79" s="263">
        <f>aurora_data!P173</f>
        <v>2</v>
      </c>
      <c r="R79" s="263">
        <f>aurora_data!Q173</f>
        <v>2</v>
      </c>
      <c r="S79" s="264">
        <f>aurora_data!R173</f>
        <v>3</v>
      </c>
      <c r="T79" s="262">
        <f>aurora_data!S173</f>
        <v>0</v>
      </c>
      <c r="U79" s="263">
        <f>aurora_data!T173</f>
        <v>0</v>
      </c>
      <c r="V79" s="263">
        <f>aurora_data!U173</f>
        <v>0</v>
      </c>
      <c r="W79" s="263">
        <f>aurora_data!V173</f>
        <v>2</v>
      </c>
      <c r="X79" s="264">
        <f>aurora_data!W173</f>
        <v>2</v>
      </c>
      <c r="Y79" s="262">
        <f>aurora_data!X173</f>
        <v>1</v>
      </c>
      <c r="Z79" s="263">
        <f>aurora_data!Y173</f>
        <v>0</v>
      </c>
      <c r="AA79" s="263">
        <f>aurora_data!Z173</f>
        <v>1</v>
      </c>
      <c r="AB79" s="263">
        <f>aurora_data!AA173</f>
        <v>7</v>
      </c>
      <c r="AC79" s="264">
        <f>aurora_data!AB173</f>
        <v>12</v>
      </c>
      <c r="AD79" s="262">
        <f>aurora_data!AC173</f>
        <v>12</v>
      </c>
      <c r="AE79" s="263">
        <f>aurora_data!AD173</f>
        <v>6</v>
      </c>
      <c r="AF79" s="263">
        <f>aurora_data!AE173</f>
        <v>12</v>
      </c>
      <c r="AG79" s="264">
        <f>aurora_data!AF173</f>
        <v>9</v>
      </c>
      <c r="AH79" s="262">
        <f>aurora_data!AG173</f>
        <v>19</v>
      </c>
      <c r="AI79" s="263">
        <f>aurora_data!AH173</f>
        <v>20</v>
      </c>
      <c r="AJ79" s="264">
        <f>aurora_data!AI45</f>
        <v>0</v>
      </c>
      <c r="AK79" s="407"/>
      <c r="AL79" s="408">
        <f>aurora_data!AJ173</f>
        <v>39</v>
      </c>
      <c r="AM79" s="409">
        <f t="shared" si="48"/>
        <v>0.78</v>
      </c>
      <c r="AO79"/>
      <c r="AP79"/>
      <c r="AQ79"/>
      <c r="AR79"/>
      <c r="AS79"/>
      <c r="AT79"/>
      <c r="AU79"/>
      <c r="AV79"/>
      <c r="AW79"/>
      <c r="AX79"/>
      <c r="AY79"/>
    </row>
    <row r="80" spans="2:51">
      <c r="B80" s="452"/>
      <c r="C80" s="454"/>
      <c r="D80" s="35" t="s">
        <v>291</v>
      </c>
      <c r="E80" s="408">
        <f>aurora_data!D174</f>
        <v>0</v>
      </c>
      <c r="F80" s="410">
        <f>aurora_data!E174</f>
        <v>0</v>
      </c>
      <c r="G80" s="410">
        <f>aurora_data!F174</f>
        <v>0</v>
      </c>
      <c r="H80" s="410">
        <f>aurora_data!G174</f>
        <v>0</v>
      </c>
      <c r="I80" s="410">
        <f>aurora_data!H174</f>
        <v>0</v>
      </c>
      <c r="J80" s="408">
        <f>aurora_data!I174</f>
        <v>0</v>
      </c>
      <c r="K80" s="410">
        <f>aurora_data!J174</f>
        <v>0</v>
      </c>
      <c r="L80" s="410">
        <f>aurora_data!K174</f>
        <v>1</v>
      </c>
      <c r="M80" s="410">
        <f>aurora_data!L174</f>
        <v>0</v>
      </c>
      <c r="N80" s="411">
        <f>aurora_data!M174</f>
        <v>1</v>
      </c>
      <c r="O80" s="408">
        <f>aurora_data!N174</f>
        <v>0</v>
      </c>
      <c r="P80" s="410">
        <f>aurora_data!O174</f>
        <v>0</v>
      </c>
      <c r="Q80" s="410">
        <f>aurora_data!P174</f>
        <v>0</v>
      </c>
      <c r="R80" s="410">
        <f>aurora_data!Q174</f>
        <v>0</v>
      </c>
      <c r="S80" s="411">
        <f>aurora_data!R174</f>
        <v>0</v>
      </c>
      <c r="T80" s="408">
        <f>aurora_data!S174</f>
        <v>0</v>
      </c>
      <c r="U80" s="410">
        <f>aurora_data!T174</f>
        <v>0</v>
      </c>
      <c r="V80" s="410">
        <f>aurora_data!U174</f>
        <v>0</v>
      </c>
      <c r="W80" s="410">
        <f>aurora_data!V174</f>
        <v>1</v>
      </c>
      <c r="X80" s="411">
        <f>aurora_data!W174</f>
        <v>1</v>
      </c>
      <c r="Y80" s="408">
        <f>aurora_data!X174</f>
        <v>0</v>
      </c>
      <c r="Z80" s="410">
        <f>aurora_data!Y174</f>
        <v>0</v>
      </c>
      <c r="AA80" s="410">
        <f>aurora_data!Z174</f>
        <v>0</v>
      </c>
      <c r="AB80" s="410">
        <f>aurora_data!AA174</f>
        <v>0</v>
      </c>
      <c r="AC80" s="411">
        <f>aurora_data!AB174</f>
        <v>6</v>
      </c>
      <c r="AD80" s="408">
        <f>aurora_data!AC174</f>
        <v>5</v>
      </c>
      <c r="AE80" s="410">
        <f>aurora_data!AD174</f>
        <v>4</v>
      </c>
      <c r="AF80" s="410">
        <f>aurora_data!AE174</f>
        <v>1</v>
      </c>
      <c r="AG80" s="411">
        <f>aurora_data!AF174</f>
        <v>0</v>
      </c>
      <c r="AH80" s="408">
        <f>aurora_data!AG174</f>
        <v>7</v>
      </c>
      <c r="AI80" s="410">
        <f>aurora_data!AH174</f>
        <v>3</v>
      </c>
      <c r="AJ80" s="411">
        <f>aurora_data!AI46</f>
        <v>0</v>
      </c>
      <c r="AK80" s="407"/>
      <c r="AL80" s="408">
        <f>aurora_data!AJ174</f>
        <v>10</v>
      </c>
      <c r="AM80" s="409">
        <f t="shared" si="48"/>
        <v>0.2</v>
      </c>
      <c r="AO80"/>
      <c r="AP80"/>
      <c r="AQ80"/>
      <c r="AR80"/>
      <c r="AS80"/>
      <c r="AT80"/>
      <c r="AU80"/>
      <c r="AV80"/>
      <c r="AW80"/>
      <c r="AX80"/>
      <c r="AY80"/>
    </row>
    <row r="81" spans="2:51">
      <c r="B81" s="452"/>
      <c r="C81" s="454"/>
      <c r="D81" s="35" t="s">
        <v>340</v>
      </c>
      <c r="E81" s="408">
        <f>aurora_data!D175</f>
        <v>0</v>
      </c>
      <c r="F81" s="410">
        <f>aurora_data!E175</f>
        <v>0</v>
      </c>
      <c r="G81" s="410">
        <f>aurora_data!F175</f>
        <v>0</v>
      </c>
      <c r="H81" s="410">
        <f>aurora_data!G175</f>
        <v>0</v>
      </c>
      <c r="I81" s="410">
        <f>aurora_data!H175</f>
        <v>0</v>
      </c>
      <c r="J81" s="408">
        <f>aurora_data!I175</f>
        <v>0</v>
      </c>
      <c r="K81" s="410">
        <f>aurora_data!J175</f>
        <v>0</v>
      </c>
      <c r="L81" s="410">
        <f>aurora_data!K175</f>
        <v>0</v>
      </c>
      <c r="M81" s="410">
        <f>aurora_data!L175</f>
        <v>0</v>
      </c>
      <c r="N81" s="411">
        <f>aurora_data!M175</f>
        <v>0</v>
      </c>
      <c r="O81" s="408">
        <f>aurora_data!N175</f>
        <v>0</v>
      </c>
      <c r="P81" s="410">
        <f>aurora_data!O175</f>
        <v>0</v>
      </c>
      <c r="Q81" s="410">
        <f>aurora_data!P175</f>
        <v>0</v>
      </c>
      <c r="R81" s="410">
        <f>aurora_data!Q175</f>
        <v>1</v>
      </c>
      <c r="S81" s="411">
        <f>aurora_data!R175</f>
        <v>0</v>
      </c>
      <c r="T81" s="408">
        <f>aurora_data!S175</f>
        <v>0</v>
      </c>
      <c r="U81" s="410">
        <f>aurora_data!T175</f>
        <v>0</v>
      </c>
      <c r="V81" s="410">
        <f>aurora_data!U175</f>
        <v>0</v>
      </c>
      <c r="W81" s="410">
        <f>aurora_data!V175</f>
        <v>0</v>
      </c>
      <c r="X81" s="411">
        <f>aurora_data!W175</f>
        <v>0</v>
      </c>
      <c r="Y81" s="408">
        <f>aurora_data!X175</f>
        <v>0</v>
      </c>
      <c r="Z81" s="410">
        <f>aurora_data!Y175</f>
        <v>0</v>
      </c>
      <c r="AA81" s="410">
        <f>aurora_data!Z175</f>
        <v>0</v>
      </c>
      <c r="AB81" s="410">
        <f>aurora_data!AA175</f>
        <v>0</v>
      </c>
      <c r="AC81" s="411">
        <f>aurora_data!AB175</f>
        <v>0</v>
      </c>
      <c r="AD81" s="408">
        <f>aurora_data!AC175</f>
        <v>1</v>
      </c>
      <c r="AE81" s="410">
        <f>aurora_data!AD175</f>
        <v>0</v>
      </c>
      <c r="AF81" s="410">
        <f>aurora_data!AE175</f>
        <v>0</v>
      </c>
      <c r="AG81" s="411">
        <f>aurora_data!AF175</f>
        <v>0</v>
      </c>
      <c r="AH81" s="408">
        <f>aurora_data!AG175</f>
        <v>0</v>
      </c>
      <c r="AI81" s="410">
        <f>aurora_data!AH175</f>
        <v>1</v>
      </c>
      <c r="AJ81" s="411">
        <f>aurora_data!AI47</f>
        <v>0</v>
      </c>
      <c r="AK81" s="407"/>
      <c r="AL81" s="408">
        <f>aurora_data!AJ175</f>
        <v>1</v>
      </c>
      <c r="AM81" s="409">
        <f t="shared" si="48"/>
        <v>0.02</v>
      </c>
      <c r="AO81"/>
      <c r="AP81"/>
      <c r="AQ81"/>
      <c r="AR81"/>
      <c r="AS81"/>
      <c r="AT81"/>
      <c r="AU81"/>
      <c r="AV81"/>
      <c r="AW81"/>
      <c r="AX81"/>
      <c r="AY81"/>
    </row>
    <row r="82" spans="2:51">
      <c r="B82" s="452"/>
      <c r="C82" s="454"/>
      <c r="D82" s="35" t="s">
        <v>341</v>
      </c>
      <c r="E82" s="408">
        <f>aurora_data!D176</f>
        <v>0</v>
      </c>
      <c r="F82" s="410">
        <f>aurora_data!E176</f>
        <v>0</v>
      </c>
      <c r="G82" s="410">
        <f>aurora_data!F176</f>
        <v>0</v>
      </c>
      <c r="H82" s="410">
        <f>aurora_data!G176</f>
        <v>0</v>
      </c>
      <c r="I82" s="410">
        <f>aurora_data!H176</f>
        <v>0</v>
      </c>
      <c r="J82" s="408">
        <f>aurora_data!I176</f>
        <v>0</v>
      </c>
      <c r="K82" s="410">
        <f>aurora_data!J176</f>
        <v>0</v>
      </c>
      <c r="L82" s="410">
        <f>aurora_data!K176</f>
        <v>0</v>
      </c>
      <c r="M82" s="410">
        <f>aurora_data!L176</f>
        <v>0</v>
      </c>
      <c r="N82" s="411">
        <f>aurora_data!M176</f>
        <v>0</v>
      </c>
      <c r="O82" s="408">
        <f>aurora_data!N176</f>
        <v>0</v>
      </c>
      <c r="P82" s="410">
        <f>aurora_data!O176</f>
        <v>0</v>
      </c>
      <c r="Q82" s="410">
        <f>aurora_data!P176</f>
        <v>1</v>
      </c>
      <c r="R82" s="410">
        <f>aurora_data!Q176</f>
        <v>2</v>
      </c>
      <c r="S82" s="411">
        <f>aurora_data!R176</f>
        <v>0</v>
      </c>
      <c r="T82" s="408">
        <f>aurora_data!S176</f>
        <v>0</v>
      </c>
      <c r="U82" s="410">
        <f>aurora_data!T176</f>
        <v>0</v>
      </c>
      <c r="V82" s="410">
        <f>aurora_data!U176</f>
        <v>0</v>
      </c>
      <c r="W82" s="410">
        <f>aurora_data!V176</f>
        <v>0</v>
      </c>
      <c r="X82" s="411">
        <f>aurora_data!W176</f>
        <v>0</v>
      </c>
      <c r="Y82" s="408">
        <f>aurora_data!X176</f>
        <v>0</v>
      </c>
      <c r="Z82" s="410">
        <f>aurora_data!Y176</f>
        <v>0</v>
      </c>
      <c r="AA82" s="410">
        <f>aurora_data!Z176</f>
        <v>1</v>
      </c>
      <c r="AB82" s="410">
        <f>aurora_data!AA176</f>
        <v>1</v>
      </c>
      <c r="AC82" s="411">
        <f>aurora_data!AB176</f>
        <v>0</v>
      </c>
      <c r="AD82" s="408">
        <f>aurora_data!AC176</f>
        <v>3</v>
      </c>
      <c r="AE82" s="410">
        <f>aurora_data!AD176</f>
        <v>0</v>
      </c>
      <c r="AF82" s="410">
        <f>aurora_data!AE176</f>
        <v>2</v>
      </c>
      <c r="AG82" s="411">
        <f>aurora_data!AF176</f>
        <v>0</v>
      </c>
      <c r="AH82" s="408">
        <f>aurora_data!AG176</f>
        <v>2</v>
      </c>
      <c r="AI82" s="410">
        <f>aurora_data!AH176</f>
        <v>3</v>
      </c>
      <c r="AJ82" s="411">
        <f>aurora_data!AI48</f>
        <v>0</v>
      </c>
      <c r="AK82" s="407"/>
      <c r="AL82" s="408">
        <f>aurora_data!AJ176</f>
        <v>5</v>
      </c>
      <c r="AM82" s="409">
        <f t="shared" si="48"/>
        <v>0.1</v>
      </c>
      <c r="AO82"/>
      <c r="AP82"/>
      <c r="AQ82"/>
      <c r="AR82"/>
      <c r="AS82"/>
      <c r="AT82"/>
      <c r="AU82"/>
      <c r="AV82"/>
      <c r="AW82"/>
      <c r="AX82"/>
      <c r="AY82"/>
    </row>
    <row r="83" spans="2:51" ht="16.5" thickBot="1">
      <c r="B83" s="452"/>
      <c r="C83" s="454"/>
      <c r="D83" s="35" t="s">
        <v>342</v>
      </c>
      <c r="E83" s="408">
        <f>aurora_data!D177</f>
        <v>0</v>
      </c>
      <c r="F83" s="410">
        <f>aurora_data!E177</f>
        <v>0</v>
      </c>
      <c r="G83" s="410">
        <f>aurora_data!F177</f>
        <v>0</v>
      </c>
      <c r="H83" s="410">
        <f>aurora_data!G177</f>
        <v>0</v>
      </c>
      <c r="I83" s="410">
        <f>aurora_data!H177</f>
        <v>0</v>
      </c>
      <c r="J83" s="408">
        <f>aurora_data!I177</f>
        <v>0</v>
      </c>
      <c r="K83" s="410">
        <f>aurora_data!J177</f>
        <v>0</v>
      </c>
      <c r="L83" s="410">
        <f>aurora_data!K177</f>
        <v>0</v>
      </c>
      <c r="M83" s="410">
        <f>aurora_data!L177</f>
        <v>0</v>
      </c>
      <c r="N83" s="411">
        <f>aurora_data!M177</f>
        <v>0</v>
      </c>
      <c r="O83" s="408">
        <f>aurora_data!N177</f>
        <v>0</v>
      </c>
      <c r="P83" s="410">
        <f>aurora_data!O177</f>
        <v>0</v>
      </c>
      <c r="Q83" s="410">
        <f>aurora_data!P177</f>
        <v>0</v>
      </c>
      <c r="R83" s="410">
        <f>aurora_data!Q177</f>
        <v>0</v>
      </c>
      <c r="S83" s="411">
        <f>aurora_data!R177</f>
        <v>0</v>
      </c>
      <c r="T83" s="408">
        <f>aurora_data!S177</f>
        <v>0</v>
      </c>
      <c r="U83" s="410">
        <f>aurora_data!T177</f>
        <v>0</v>
      </c>
      <c r="V83" s="410">
        <f>aurora_data!U177</f>
        <v>0</v>
      </c>
      <c r="W83" s="410">
        <f>aurora_data!V177</f>
        <v>0</v>
      </c>
      <c r="X83" s="411">
        <f>aurora_data!W177</f>
        <v>0</v>
      </c>
      <c r="Y83" s="408">
        <f>aurora_data!X177</f>
        <v>0</v>
      </c>
      <c r="Z83" s="410">
        <f>aurora_data!Y177</f>
        <v>0</v>
      </c>
      <c r="AA83" s="410">
        <f>aurora_data!Z177</f>
        <v>0</v>
      </c>
      <c r="AB83" s="410">
        <f>aurora_data!AA177</f>
        <v>0</v>
      </c>
      <c r="AC83" s="411">
        <f>aurora_data!AB177</f>
        <v>0</v>
      </c>
      <c r="AD83" s="408">
        <f>aurora_data!AC177</f>
        <v>0</v>
      </c>
      <c r="AE83" s="410">
        <f>aurora_data!AD177</f>
        <v>0</v>
      </c>
      <c r="AF83" s="410">
        <f>aurora_data!AE177</f>
        <v>0</v>
      </c>
      <c r="AG83" s="411">
        <f>aurora_data!AF177</f>
        <v>0</v>
      </c>
      <c r="AH83" s="408">
        <f>aurora_data!AG177</f>
        <v>0</v>
      </c>
      <c r="AI83" s="410">
        <f>aurora_data!AH177</f>
        <v>0</v>
      </c>
      <c r="AJ83" s="411">
        <f>aurora_data!AI49</f>
        <v>0</v>
      </c>
      <c r="AK83" s="412"/>
      <c r="AL83" s="408">
        <f>aurora_data!AJ177</f>
        <v>0</v>
      </c>
      <c r="AM83" s="409">
        <f t="shared" si="48"/>
        <v>0</v>
      </c>
      <c r="AO83"/>
      <c r="AP83"/>
      <c r="AQ83"/>
      <c r="AR83"/>
      <c r="AS83"/>
      <c r="AT83"/>
      <c r="AU83"/>
      <c r="AV83"/>
      <c r="AW83"/>
      <c r="AX83"/>
      <c r="AY83"/>
    </row>
    <row r="84" spans="2:51" ht="16.5" thickBot="1">
      <c r="B84" s="452"/>
      <c r="C84" s="454"/>
      <c r="D84" s="37" t="s">
        <v>17</v>
      </c>
      <c r="E84" s="182">
        <f>aurora_data!D178</f>
        <v>0</v>
      </c>
      <c r="F84" s="183">
        <f>aurora_data!E178</f>
        <v>0</v>
      </c>
      <c r="G84" s="183">
        <f>aurora_data!F178</f>
        <v>0</v>
      </c>
      <c r="H84" s="183">
        <f>aurora_data!G178</f>
        <v>0</v>
      </c>
      <c r="I84" s="184">
        <f>aurora_data!H178</f>
        <v>1</v>
      </c>
      <c r="J84" s="182">
        <f>aurora_data!I178</f>
        <v>0</v>
      </c>
      <c r="K84" s="183">
        <f>aurora_data!J178</f>
        <v>0</v>
      </c>
      <c r="L84" s="183">
        <f>aurora_data!K178</f>
        <v>3</v>
      </c>
      <c r="M84" s="183">
        <f>aurora_data!L178</f>
        <v>1</v>
      </c>
      <c r="N84" s="184">
        <f>aurora_data!M178</f>
        <v>3</v>
      </c>
      <c r="O84" s="182">
        <f>aurora_data!N178</f>
        <v>0</v>
      </c>
      <c r="P84" s="183">
        <f>aurora_data!O178</f>
        <v>1</v>
      </c>
      <c r="Q84" s="183">
        <f>aurora_data!P178</f>
        <v>3</v>
      </c>
      <c r="R84" s="183">
        <f>aurora_data!Q178</f>
        <v>5</v>
      </c>
      <c r="S84" s="184">
        <f>aurora_data!R178</f>
        <v>3</v>
      </c>
      <c r="T84" s="182">
        <f>aurora_data!S178</f>
        <v>0</v>
      </c>
      <c r="U84" s="183">
        <f>aurora_data!T178</f>
        <v>0</v>
      </c>
      <c r="V84" s="183">
        <f>aurora_data!U178</f>
        <v>0</v>
      </c>
      <c r="W84" s="183">
        <f>aurora_data!V178</f>
        <v>3</v>
      </c>
      <c r="X84" s="184">
        <f>aurora_data!W178</f>
        <v>3</v>
      </c>
      <c r="Y84" s="182">
        <f>aurora_data!X178</f>
        <v>1</v>
      </c>
      <c r="Z84" s="183">
        <f>aurora_data!Y178</f>
        <v>0</v>
      </c>
      <c r="AA84" s="183">
        <f>aurora_data!Z178</f>
        <v>2</v>
      </c>
      <c r="AB84" s="183">
        <f>aurora_data!AA178</f>
        <v>8</v>
      </c>
      <c r="AC84" s="184">
        <f>aurora_data!AB178</f>
        <v>18</v>
      </c>
      <c r="AD84" s="182">
        <f>aurora_data!AC178</f>
        <v>21</v>
      </c>
      <c r="AE84" s="183">
        <f>aurora_data!AD178</f>
        <v>10</v>
      </c>
      <c r="AF84" s="183">
        <f>aurora_data!AE178</f>
        <v>15</v>
      </c>
      <c r="AG84" s="184">
        <f>aurora_data!AF178</f>
        <v>9</v>
      </c>
      <c r="AH84" s="182">
        <f>aurora_data!AG178</f>
        <v>28</v>
      </c>
      <c r="AI84" s="183">
        <f>aurora_data!AH178</f>
        <v>27</v>
      </c>
      <c r="AJ84" s="183">
        <f>aurora_data!AI50</f>
        <v>0</v>
      </c>
      <c r="AK84" s="412"/>
      <c r="AL84" s="182">
        <f>aurora_data!AJ178</f>
        <v>55</v>
      </c>
      <c r="AM84" s="413">
        <f t="shared" si="48"/>
        <v>1.1000000000000001</v>
      </c>
      <c r="AO84"/>
      <c r="AP84"/>
      <c r="AQ84"/>
      <c r="AR84"/>
      <c r="AS84"/>
      <c r="AT84"/>
      <c r="AU84"/>
      <c r="AV84"/>
      <c r="AW84"/>
      <c r="AX84"/>
      <c r="AY84"/>
    </row>
    <row r="85" spans="2:51" ht="16.5" thickBot="1">
      <c r="B85" s="452"/>
      <c r="C85" s="454"/>
      <c r="D85" s="38" t="s">
        <v>343</v>
      </c>
      <c r="E85" s="265">
        <f>aurora_data!D179</f>
        <v>0</v>
      </c>
      <c r="F85" s="266">
        <f>aurora_data!E179</f>
        <v>0</v>
      </c>
      <c r="G85" s="266">
        <f>aurora_data!F179</f>
        <v>0</v>
      </c>
      <c r="H85" s="266">
        <f>aurora_data!G179</f>
        <v>0</v>
      </c>
      <c r="I85" s="266">
        <f>aurora_data!H179</f>
        <v>0</v>
      </c>
      <c r="J85" s="265">
        <f>aurora_data!I179</f>
        <v>0</v>
      </c>
      <c r="K85" s="266">
        <f>aurora_data!J179</f>
        <v>0</v>
      </c>
      <c r="L85" s="266">
        <f>aurora_data!K179</f>
        <v>1</v>
      </c>
      <c r="M85" s="266">
        <f>aurora_data!L179</f>
        <v>0</v>
      </c>
      <c r="N85" s="267">
        <f>aurora_data!M179</f>
        <v>0</v>
      </c>
      <c r="O85" s="265">
        <f>aurora_data!N179</f>
        <v>0</v>
      </c>
      <c r="P85" s="266">
        <f>aurora_data!O179</f>
        <v>0</v>
      </c>
      <c r="Q85" s="266">
        <f>aurora_data!P179</f>
        <v>0</v>
      </c>
      <c r="R85" s="266">
        <f>aurora_data!Q179</f>
        <v>0</v>
      </c>
      <c r="S85" s="267">
        <f>aurora_data!R179</f>
        <v>0</v>
      </c>
      <c r="T85" s="265">
        <f>aurora_data!S179</f>
        <v>0</v>
      </c>
      <c r="U85" s="266">
        <f>aurora_data!T179</f>
        <v>0</v>
      </c>
      <c r="V85" s="266">
        <f>aurora_data!U179</f>
        <v>0</v>
      </c>
      <c r="W85" s="266">
        <f>aurora_data!V179</f>
        <v>0</v>
      </c>
      <c r="X85" s="267">
        <f>aurora_data!W179</f>
        <v>0</v>
      </c>
      <c r="Y85" s="265">
        <f>aurora_data!X179</f>
        <v>0</v>
      </c>
      <c r="Z85" s="266">
        <f>aurora_data!Y179</f>
        <v>0</v>
      </c>
      <c r="AA85" s="266">
        <f>aurora_data!Z179</f>
        <v>0</v>
      </c>
      <c r="AB85" s="266">
        <f>aurora_data!AA179</f>
        <v>0</v>
      </c>
      <c r="AC85" s="267">
        <f>aurora_data!AB179</f>
        <v>0</v>
      </c>
      <c r="AD85" s="265">
        <f>aurora_data!AC179</f>
        <v>0</v>
      </c>
      <c r="AE85" s="266">
        <f>aurora_data!AD179</f>
        <v>0</v>
      </c>
      <c r="AF85" s="266">
        <f>aurora_data!AE179</f>
        <v>1</v>
      </c>
      <c r="AG85" s="267">
        <f>aurora_data!AF179</f>
        <v>0</v>
      </c>
      <c r="AH85" s="265">
        <f>aurora_data!AG179</f>
        <v>0</v>
      </c>
      <c r="AI85" s="266">
        <f>aurora_data!AH179</f>
        <v>1</v>
      </c>
      <c r="AJ85" s="268">
        <f>aurora_data!AI51</f>
        <v>0</v>
      </c>
      <c r="AK85" s="269"/>
      <c r="AL85" s="265">
        <f>aurora_data!AJ179</f>
        <v>1</v>
      </c>
      <c r="AM85" s="270">
        <f t="shared" si="48"/>
        <v>0.02</v>
      </c>
      <c r="AO85"/>
      <c r="AP85"/>
      <c r="AQ85"/>
      <c r="AR85"/>
      <c r="AS85"/>
      <c r="AT85"/>
      <c r="AU85"/>
      <c r="AV85"/>
      <c r="AW85"/>
      <c r="AX85"/>
      <c r="AY85"/>
    </row>
    <row r="86" spans="2:51" outlineLevel="1">
      <c r="B86" s="452"/>
      <c r="C86" s="454"/>
      <c r="D86" s="199" t="s">
        <v>344</v>
      </c>
      <c r="E86" s="271">
        <f t="shared" ref="E86:AC86" si="49">ROUNDDOWN((E88+$E$9)*($AL78),0)</f>
        <v>1</v>
      </c>
      <c r="F86" s="272">
        <f t="shared" si="49"/>
        <v>1</v>
      </c>
      <c r="G86" s="272">
        <f t="shared" si="49"/>
        <v>1</v>
      </c>
      <c r="H86" s="272">
        <f t="shared" si="49"/>
        <v>1</v>
      </c>
      <c r="I86" s="272">
        <f t="shared" si="49"/>
        <v>2</v>
      </c>
      <c r="J86" s="271">
        <f t="shared" si="49"/>
        <v>1</v>
      </c>
      <c r="K86" s="272">
        <f t="shared" si="49"/>
        <v>1</v>
      </c>
      <c r="L86" s="272">
        <f t="shared" si="49"/>
        <v>2</v>
      </c>
      <c r="M86" s="272">
        <f t="shared" si="49"/>
        <v>3</v>
      </c>
      <c r="N86" s="268">
        <f t="shared" si="49"/>
        <v>2</v>
      </c>
      <c r="O86" s="271">
        <f t="shared" si="49"/>
        <v>2</v>
      </c>
      <c r="P86" s="272">
        <f t="shared" si="49"/>
        <v>2</v>
      </c>
      <c r="Q86" s="272">
        <f t="shared" si="49"/>
        <v>4</v>
      </c>
      <c r="R86" s="272">
        <f t="shared" si="49"/>
        <v>4</v>
      </c>
      <c r="S86" s="268">
        <f t="shared" si="49"/>
        <v>3</v>
      </c>
      <c r="T86" s="271">
        <f t="shared" si="49"/>
        <v>1</v>
      </c>
      <c r="U86" s="272">
        <f t="shared" si="49"/>
        <v>1</v>
      </c>
      <c r="V86" s="272">
        <f t="shared" si="49"/>
        <v>1</v>
      </c>
      <c r="W86" s="272">
        <f t="shared" si="49"/>
        <v>2</v>
      </c>
      <c r="X86" s="268">
        <f t="shared" si="49"/>
        <v>3</v>
      </c>
      <c r="Y86" s="271">
        <f t="shared" si="49"/>
        <v>1</v>
      </c>
      <c r="Z86" s="272">
        <f t="shared" si="49"/>
        <v>1</v>
      </c>
      <c r="AA86" s="272">
        <f t="shared" si="49"/>
        <v>4</v>
      </c>
      <c r="AB86" s="272">
        <f t="shared" si="49"/>
        <v>8</v>
      </c>
      <c r="AC86" s="268">
        <f t="shared" si="49"/>
        <v>12</v>
      </c>
      <c r="AD86" s="271">
        <f>ROUNDDOWN((AD88+$AD$9)*($AL78),0)</f>
        <v>15</v>
      </c>
      <c r="AE86" s="272">
        <f>ROUNDDOWN((AE88+$AD$9)*($AL78),0)</f>
        <v>13</v>
      </c>
      <c r="AF86" s="272">
        <f t="shared" ref="AF86:AG86" si="50">ROUNDDOWN((AF88+$AD$9)*($AL78),0)</f>
        <v>24</v>
      </c>
      <c r="AG86" s="268">
        <f t="shared" si="50"/>
        <v>16</v>
      </c>
      <c r="AH86" s="271">
        <f>ROUNDDOWN((AH88+$AH$9)*($AL78),0)</f>
        <v>25</v>
      </c>
      <c r="AI86" s="272">
        <f>ROUNDDOWN((AI88+$AH$8)*($AL78),0)</f>
        <v>25</v>
      </c>
      <c r="AJ86" s="272">
        <f>ROUNDDOWN((AJ88+$AH$8)*($AL78),0)</f>
        <v>0</v>
      </c>
      <c r="AK86" s="273"/>
      <c r="AL86" s="274"/>
      <c r="AM86" s="275"/>
      <c r="AO86"/>
      <c r="AP86"/>
      <c r="AQ86"/>
      <c r="AR86"/>
      <c r="AS86"/>
      <c r="AT86"/>
      <c r="AU86"/>
      <c r="AV86"/>
      <c r="AW86"/>
      <c r="AX86"/>
      <c r="AY86"/>
    </row>
    <row r="87" spans="2:51" ht="15.75" customHeight="1" outlineLevel="1" thickBot="1">
      <c r="B87" s="452"/>
      <c r="C87" s="454"/>
      <c r="D87" s="199" t="s">
        <v>345</v>
      </c>
      <c r="E87" s="276">
        <f t="shared" ref="E87:AC87" si="51">IF(ROUND(((E88-$E$9)*($AL78))+0.25,0) &lt;=0,1,((E88-$E$9)*($AL78))+0.25)</f>
        <v>1</v>
      </c>
      <c r="F87" s="277">
        <f t="shared" si="51"/>
        <v>1</v>
      </c>
      <c r="G87" s="277">
        <f t="shared" si="51"/>
        <v>1</v>
      </c>
      <c r="H87" s="277">
        <f t="shared" si="51"/>
        <v>1</v>
      </c>
      <c r="I87" s="277">
        <f t="shared" si="51"/>
        <v>0.97</v>
      </c>
      <c r="J87" s="276">
        <f t="shared" si="51"/>
        <v>1</v>
      </c>
      <c r="K87" s="277">
        <f t="shared" si="51"/>
        <v>1</v>
      </c>
      <c r="L87" s="277">
        <f t="shared" si="51"/>
        <v>0.87999999999999978</v>
      </c>
      <c r="M87" s="277">
        <f t="shared" si="51"/>
        <v>1.6899999999999997</v>
      </c>
      <c r="N87" s="278">
        <f t="shared" si="51"/>
        <v>0.87000000000000022</v>
      </c>
      <c r="O87" s="276">
        <f t="shared" si="51"/>
        <v>1</v>
      </c>
      <c r="P87" s="277">
        <f t="shared" si="51"/>
        <v>0.9</v>
      </c>
      <c r="Q87" s="277">
        <f t="shared" si="51"/>
        <v>2.7399999999999998</v>
      </c>
      <c r="R87" s="277">
        <f t="shared" si="51"/>
        <v>2.9199999999999995</v>
      </c>
      <c r="S87" s="278">
        <f t="shared" si="51"/>
        <v>1.77</v>
      </c>
      <c r="T87" s="276">
        <f t="shared" si="51"/>
        <v>1</v>
      </c>
      <c r="U87" s="277">
        <f t="shared" si="51"/>
        <v>1</v>
      </c>
      <c r="V87" s="277">
        <f t="shared" si="51"/>
        <v>1</v>
      </c>
      <c r="W87" s="277">
        <f t="shared" si="51"/>
        <v>0.87999999999999978</v>
      </c>
      <c r="X87" s="278">
        <f t="shared" si="51"/>
        <v>1.2599999999999996</v>
      </c>
      <c r="Y87" s="276">
        <f t="shared" si="51"/>
        <v>1</v>
      </c>
      <c r="Z87" s="277">
        <f t="shared" si="51"/>
        <v>1</v>
      </c>
      <c r="AA87" s="277">
        <f t="shared" si="51"/>
        <v>2.8999999999999995</v>
      </c>
      <c r="AB87" s="277">
        <f t="shared" si="51"/>
        <v>7.0300000000000011</v>
      </c>
      <c r="AC87" s="278">
        <f t="shared" si="51"/>
        <v>10.92</v>
      </c>
      <c r="AD87" s="276">
        <f>IF(((AD88-$AD$9)*($AL78))+0.5 &lt;0,1,((AD88-$AD$9)*($AL78))+0.5 )</f>
        <v>5.9099999999999993</v>
      </c>
      <c r="AE87" s="277">
        <f t="shared" ref="AE87" si="52">IF(((AE88-$AD$9)*($AL78))+0.5 &lt;0,1,((AE88-$AD$9)*($AL78))+0.5 )</f>
        <v>3.5199999999999991</v>
      </c>
      <c r="AF87" s="277">
        <f t="shared" ref="AF87" si="53">IF(((AF88-$AD$9)*($AL78))+0.5 &lt;0,1,((AF88-$AD$9)*($AL78))+0.5 )</f>
        <v>15.229999999999999</v>
      </c>
      <c r="AG87" s="278">
        <f t="shared" ref="AG87" si="54">IF(((AG88-$AD$9)*($AL78))+0.5 &lt;0,1,((AG88-$AD$9)*($AL78))+0.5 )</f>
        <v>7.33</v>
      </c>
      <c r="AH87" s="276">
        <f>IF(((AH88-$AH$9)*($AL78))+0.5 &lt;0,1,((AH88-$AH$9)*($AL78)) )</f>
        <v>25</v>
      </c>
      <c r="AI87" s="277">
        <f>IF(((AI88-$AH$9)*($AL78))+0.5 &lt;0,1,((AI88-$AH$9)*($AL78)) )</f>
        <v>25</v>
      </c>
      <c r="AJ87" s="277">
        <f>IF(((AJ88-$AH$8)*($AL78))+0.5 &lt;0,1,((AJ88-$AH$8)*($AL78))+0.5 )</f>
        <v>0.5</v>
      </c>
      <c r="AK87" s="273"/>
      <c r="AL87" s="279"/>
      <c r="AM87" s="280"/>
      <c r="AO87"/>
      <c r="AP87"/>
      <c r="AQ87"/>
      <c r="AR87"/>
      <c r="AS87"/>
      <c r="AT87"/>
      <c r="AU87"/>
      <c r="AV87"/>
      <c r="AW87"/>
      <c r="AX87"/>
      <c r="AY87"/>
    </row>
    <row r="88" spans="2:51" ht="15.75" customHeight="1" outlineLevel="1" thickTop="1">
      <c r="B88" s="110"/>
      <c r="C88" s="109"/>
      <c r="D88" s="95" t="s">
        <v>346</v>
      </c>
      <c r="E88" s="414">
        <f t="shared" ref="E88:AJ88" si="55">IFERROR(E78/$AL78,0)</f>
        <v>2.3999999999999998E-3</v>
      </c>
      <c r="F88" s="415">
        <f t="shared" si="55"/>
        <v>2.5999999999999999E-3</v>
      </c>
      <c r="G88" s="415">
        <f t="shared" si="55"/>
        <v>5.7999999999999996E-3</v>
      </c>
      <c r="H88" s="415">
        <f t="shared" si="55"/>
        <v>9.1999999999999998E-3</v>
      </c>
      <c r="I88" s="415">
        <f t="shared" si="55"/>
        <v>3.44E-2</v>
      </c>
      <c r="J88" s="414">
        <f t="shared" si="55"/>
        <v>3.0000000000000001E-3</v>
      </c>
      <c r="K88" s="415">
        <f t="shared" si="55"/>
        <v>9.1999999999999998E-3</v>
      </c>
      <c r="L88" s="415">
        <f t="shared" si="55"/>
        <v>3.2599999999999997E-2</v>
      </c>
      <c r="M88" s="415">
        <f t="shared" si="55"/>
        <v>4.8799999999999996E-2</v>
      </c>
      <c r="N88" s="416">
        <f t="shared" si="55"/>
        <v>3.2400000000000005E-2</v>
      </c>
      <c r="O88" s="414">
        <f t="shared" si="55"/>
        <v>2.0400000000000001E-2</v>
      </c>
      <c r="P88" s="415">
        <f t="shared" si="55"/>
        <v>3.3000000000000002E-2</v>
      </c>
      <c r="Q88" s="415">
        <f t="shared" si="55"/>
        <v>6.9800000000000001E-2</v>
      </c>
      <c r="R88" s="415">
        <f t="shared" si="55"/>
        <v>7.3399999999999993E-2</v>
      </c>
      <c r="S88" s="416">
        <f t="shared" si="55"/>
        <v>5.04E-2</v>
      </c>
      <c r="T88" s="414">
        <f t="shared" si="55"/>
        <v>2E-3</v>
      </c>
      <c r="U88" s="415">
        <f t="shared" si="55"/>
        <v>4.0000000000000001E-3</v>
      </c>
      <c r="V88" s="415">
        <f t="shared" si="55"/>
        <v>1.66E-2</v>
      </c>
      <c r="W88" s="415">
        <f t="shared" si="55"/>
        <v>3.2599999999999997E-2</v>
      </c>
      <c r="X88" s="416">
        <f t="shared" si="55"/>
        <v>4.0199999999999993E-2</v>
      </c>
      <c r="Y88" s="414">
        <f t="shared" si="55"/>
        <v>6.0000000000000001E-3</v>
      </c>
      <c r="Z88" s="415">
        <f t="shared" si="55"/>
        <v>9.0000000000000011E-3</v>
      </c>
      <c r="AA88" s="415">
        <f t="shared" si="55"/>
        <v>7.2999999999999995E-2</v>
      </c>
      <c r="AB88" s="415">
        <f t="shared" si="55"/>
        <v>0.15560000000000002</v>
      </c>
      <c r="AC88" s="416">
        <f t="shared" si="55"/>
        <v>0.2334</v>
      </c>
      <c r="AD88" s="414">
        <f t="shared" si="55"/>
        <v>0.2082</v>
      </c>
      <c r="AE88" s="415">
        <f t="shared" si="55"/>
        <v>0.16039999999999999</v>
      </c>
      <c r="AF88" s="415">
        <f t="shared" si="55"/>
        <v>0.39460000000000001</v>
      </c>
      <c r="AG88" s="416">
        <f t="shared" si="55"/>
        <v>0.2366</v>
      </c>
      <c r="AH88" s="414">
        <f t="shared" si="55"/>
        <v>0.5</v>
      </c>
      <c r="AI88" s="415">
        <f t="shared" si="55"/>
        <v>0.5</v>
      </c>
      <c r="AJ88" s="415">
        <f t="shared" si="55"/>
        <v>0</v>
      </c>
      <c r="AK88" s="407"/>
      <c r="AL88" s="417"/>
      <c r="AM88" s="418"/>
      <c r="AO88"/>
      <c r="AP88"/>
      <c r="AQ88"/>
      <c r="AR88"/>
      <c r="AS88"/>
      <c r="AT88"/>
      <c r="AU88"/>
      <c r="AV88"/>
      <c r="AW88"/>
      <c r="AX88"/>
      <c r="AY88"/>
    </row>
    <row r="89" spans="2:51" ht="16.5" customHeight="1" outlineLevel="1">
      <c r="B89" s="110"/>
      <c r="C89" s="109"/>
      <c r="D89" s="180" t="s">
        <v>347</v>
      </c>
      <c r="E89" s="414">
        <f t="shared" ref="E89:AJ89" si="56">IFERROR(E79/$AL78,0)</f>
        <v>0</v>
      </c>
      <c r="F89" s="415">
        <f t="shared" si="56"/>
        <v>0</v>
      </c>
      <c r="G89" s="415">
        <f t="shared" si="56"/>
        <v>0</v>
      </c>
      <c r="H89" s="415">
        <f t="shared" si="56"/>
        <v>0</v>
      </c>
      <c r="I89" s="415">
        <f t="shared" si="56"/>
        <v>0.02</v>
      </c>
      <c r="J89" s="414">
        <f t="shared" si="56"/>
        <v>0</v>
      </c>
      <c r="K89" s="415">
        <f t="shared" si="56"/>
        <v>0</v>
      </c>
      <c r="L89" s="415">
        <f t="shared" si="56"/>
        <v>0.04</v>
      </c>
      <c r="M89" s="415">
        <f t="shared" si="56"/>
        <v>0.02</v>
      </c>
      <c r="N89" s="416">
        <f t="shared" si="56"/>
        <v>0.04</v>
      </c>
      <c r="O89" s="414">
        <f t="shared" si="56"/>
        <v>0</v>
      </c>
      <c r="P89" s="415">
        <f t="shared" si="56"/>
        <v>0.02</v>
      </c>
      <c r="Q89" s="415">
        <f t="shared" si="56"/>
        <v>0.04</v>
      </c>
      <c r="R89" s="415">
        <f t="shared" si="56"/>
        <v>0.04</v>
      </c>
      <c r="S89" s="416">
        <f t="shared" si="56"/>
        <v>0.06</v>
      </c>
      <c r="T89" s="414">
        <f t="shared" si="56"/>
        <v>0</v>
      </c>
      <c r="U89" s="415">
        <f t="shared" si="56"/>
        <v>0</v>
      </c>
      <c r="V89" s="415">
        <f t="shared" si="56"/>
        <v>0</v>
      </c>
      <c r="W89" s="415">
        <f t="shared" si="56"/>
        <v>0.04</v>
      </c>
      <c r="X89" s="416">
        <f t="shared" si="56"/>
        <v>0.04</v>
      </c>
      <c r="Y89" s="414">
        <f t="shared" si="56"/>
        <v>0.02</v>
      </c>
      <c r="Z89" s="415">
        <f t="shared" si="56"/>
        <v>0</v>
      </c>
      <c r="AA89" s="415">
        <f t="shared" si="56"/>
        <v>0.02</v>
      </c>
      <c r="AB89" s="415">
        <f t="shared" si="56"/>
        <v>0.14000000000000001</v>
      </c>
      <c r="AC89" s="416">
        <f t="shared" si="56"/>
        <v>0.24</v>
      </c>
      <c r="AD89" s="414">
        <f t="shared" si="56"/>
        <v>0.24</v>
      </c>
      <c r="AE89" s="415">
        <f t="shared" si="56"/>
        <v>0.12</v>
      </c>
      <c r="AF89" s="415">
        <f t="shared" si="56"/>
        <v>0.24</v>
      </c>
      <c r="AG89" s="416">
        <f t="shared" si="56"/>
        <v>0.18</v>
      </c>
      <c r="AH89" s="415">
        <f t="shared" si="56"/>
        <v>0.38</v>
      </c>
      <c r="AI89" s="415">
        <f t="shared" si="56"/>
        <v>0.4</v>
      </c>
      <c r="AJ89" s="415">
        <f t="shared" si="56"/>
        <v>0</v>
      </c>
      <c r="AK89" s="407"/>
      <c r="AL89" s="417"/>
      <c r="AM89" s="418"/>
      <c r="AO89"/>
      <c r="AP89"/>
      <c r="AQ89"/>
      <c r="AR89"/>
      <c r="AS89"/>
      <c r="AT89"/>
      <c r="AU89"/>
      <c r="AV89"/>
      <c r="AW89"/>
      <c r="AX89"/>
      <c r="AY89"/>
    </row>
    <row r="90" spans="2:51" ht="16.5" outlineLevel="1" thickBot="1">
      <c r="B90" s="110"/>
      <c r="C90" s="109"/>
      <c r="D90" s="180" t="s">
        <v>348</v>
      </c>
      <c r="E90" s="419">
        <f t="shared" ref="E90:AJ90" si="57">E89-E88</f>
        <v>-2.3999999999999998E-3</v>
      </c>
      <c r="F90" s="420">
        <f t="shared" si="57"/>
        <v>-2.5999999999999999E-3</v>
      </c>
      <c r="G90" s="420">
        <f t="shared" si="57"/>
        <v>-5.7999999999999996E-3</v>
      </c>
      <c r="H90" s="420">
        <f t="shared" si="57"/>
        <v>-9.1999999999999998E-3</v>
      </c>
      <c r="I90" s="420">
        <f t="shared" si="57"/>
        <v>-1.44E-2</v>
      </c>
      <c r="J90" s="419">
        <f t="shared" si="57"/>
        <v>-3.0000000000000001E-3</v>
      </c>
      <c r="K90" s="420">
        <f t="shared" si="57"/>
        <v>-9.1999999999999998E-3</v>
      </c>
      <c r="L90" s="420">
        <f t="shared" si="57"/>
        <v>7.4000000000000038E-3</v>
      </c>
      <c r="M90" s="420">
        <f t="shared" si="57"/>
        <v>-2.8799999999999996E-2</v>
      </c>
      <c r="N90" s="421">
        <f t="shared" si="57"/>
        <v>7.5999999999999956E-3</v>
      </c>
      <c r="O90" s="419">
        <f t="shared" si="57"/>
        <v>-2.0400000000000001E-2</v>
      </c>
      <c r="P90" s="420">
        <f t="shared" si="57"/>
        <v>-1.3000000000000001E-2</v>
      </c>
      <c r="Q90" s="420">
        <f t="shared" si="57"/>
        <v>-2.98E-2</v>
      </c>
      <c r="R90" s="420">
        <f t="shared" si="57"/>
        <v>-3.3399999999999992E-2</v>
      </c>
      <c r="S90" s="421">
        <f t="shared" si="57"/>
        <v>9.5999999999999974E-3</v>
      </c>
      <c r="T90" s="419">
        <f t="shared" si="57"/>
        <v>-2E-3</v>
      </c>
      <c r="U90" s="420">
        <f t="shared" si="57"/>
        <v>-4.0000000000000001E-3</v>
      </c>
      <c r="V90" s="420">
        <f t="shared" si="57"/>
        <v>-1.66E-2</v>
      </c>
      <c r="W90" s="420">
        <f t="shared" si="57"/>
        <v>7.4000000000000038E-3</v>
      </c>
      <c r="X90" s="421">
        <f t="shared" si="57"/>
        <v>-1.9999999999999185E-4</v>
      </c>
      <c r="Y90" s="419">
        <f t="shared" si="57"/>
        <v>1.4E-2</v>
      </c>
      <c r="Z90" s="420">
        <f t="shared" si="57"/>
        <v>-9.0000000000000011E-3</v>
      </c>
      <c r="AA90" s="420">
        <f t="shared" si="57"/>
        <v>-5.2999999999999992E-2</v>
      </c>
      <c r="AB90" s="420">
        <f t="shared" si="57"/>
        <v>-1.5600000000000003E-2</v>
      </c>
      <c r="AC90" s="421">
        <f t="shared" si="57"/>
        <v>6.5999999999999948E-3</v>
      </c>
      <c r="AD90" s="419">
        <f t="shared" si="57"/>
        <v>3.1799999999999995E-2</v>
      </c>
      <c r="AE90" s="420">
        <f t="shared" si="57"/>
        <v>-4.0399999999999991E-2</v>
      </c>
      <c r="AF90" s="420">
        <f t="shared" si="57"/>
        <v>-0.15460000000000002</v>
      </c>
      <c r="AG90" s="421">
        <f t="shared" si="57"/>
        <v>-5.6600000000000011E-2</v>
      </c>
      <c r="AH90" s="420">
        <f t="shared" si="57"/>
        <v>-0.12</v>
      </c>
      <c r="AI90" s="420">
        <f t="shared" si="57"/>
        <v>-9.9999999999999978E-2</v>
      </c>
      <c r="AJ90" s="420">
        <f t="shared" si="57"/>
        <v>0</v>
      </c>
      <c r="AK90" s="407"/>
      <c r="AL90" s="422"/>
      <c r="AM90" s="423"/>
      <c r="AO90"/>
      <c r="AP90"/>
      <c r="AQ90"/>
      <c r="AR90"/>
      <c r="AS90"/>
      <c r="AT90"/>
      <c r="AU90"/>
      <c r="AV90"/>
      <c r="AW90"/>
      <c r="AX90"/>
      <c r="AY90"/>
    </row>
    <row r="91" spans="2:51" ht="16.5" thickTop="1">
      <c r="B91" s="451" t="s">
        <v>338</v>
      </c>
      <c r="C91" s="453" t="str">
        <f>aurora_data!A180</f>
        <v>12.00.00-12.11.30</v>
      </c>
      <c r="D91" s="34" t="s">
        <v>306</v>
      </c>
      <c r="E91" s="152">
        <f>aurora_data!D180</f>
        <v>0.09</v>
      </c>
      <c r="F91" s="153">
        <f>aurora_data!E180</f>
        <v>0.1</v>
      </c>
      <c r="G91" s="153">
        <f>aurora_data!F180</f>
        <v>0.31</v>
      </c>
      <c r="H91" s="153">
        <f>aurora_data!G180</f>
        <v>0.41</v>
      </c>
      <c r="I91" s="153">
        <f>aurora_data!H180</f>
        <v>1.52</v>
      </c>
      <c r="J91" s="152">
        <f>aurora_data!I180</f>
        <v>0.14000000000000001</v>
      </c>
      <c r="K91" s="153">
        <f>aurora_data!J180</f>
        <v>0.38</v>
      </c>
      <c r="L91" s="153">
        <f>aurora_data!K180</f>
        <v>1.61</v>
      </c>
      <c r="M91" s="153">
        <f>aurora_data!L180</f>
        <v>2.59</v>
      </c>
      <c r="N91" s="154">
        <f>aurora_data!M180</f>
        <v>1.74</v>
      </c>
      <c r="O91" s="152">
        <f>aurora_data!N180</f>
        <v>1.24</v>
      </c>
      <c r="P91" s="153">
        <f>aurora_data!O180</f>
        <v>1.67</v>
      </c>
      <c r="Q91" s="153">
        <f>aurora_data!P180</f>
        <v>3.47</v>
      </c>
      <c r="R91" s="153">
        <f>aurora_data!Q180</f>
        <v>3.7</v>
      </c>
      <c r="S91" s="154">
        <f>aurora_data!R180</f>
        <v>2.39</v>
      </c>
      <c r="T91" s="152">
        <f>aurora_data!S180</f>
        <v>0.1</v>
      </c>
      <c r="U91" s="153">
        <f>aurora_data!T180</f>
        <v>0.21</v>
      </c>
      <c r="V91" s="153">
        <f>aurora_data!U180</f>
        <v>0.93</v>
      </c>
      <c r="W91" s="153">
        <f>aurora_data!V180</f>
        <v>1.72</v>
      </c>
      <c r="X91" s="154">
        <f>aurora_data!W180</f>
        <v>1.85</v>
      </c>
      <c r="Y91" s="152">
        <f>aurora_data!X180</f>
        <v>0.26</v>
      </c>
      <c r="Z91" s="153">
        <f>aurora_data!Y180</f>
        <v>0.56999999999999995</v>
      </c>
      <c r="AA91" s="153">
        <f>aurora_data!Z180</f>
        <v>3.66</v>
      </c>
      <c r="AB91" s="153">
        <f>aurora_data!AA180</f>
        <v>7.73</v>
      </c>
      <c r="AC91" s="154">
        <f>aurora_data!AB180</f>
        <v>11.6</v>
      </c>
      <c r="AD91" s="152">
        <f>aurora_data!AC180</f>
        <v>10.61</v>
      </c>
      <c r="AE91" s="153">
        <f>aurora_data!AD180</f>
        <v>7.87</v>
      </c>
      <c r="AF91" s="153">
        <f>aurora_data!AE180</f>
        <v>19.559999999999999</v>
      </c>
      <c r="AG91" s="154">
        <f>aurora_data!AF180</f>
        <v>11.96</v>
      </c>
      <c r="AH91" s="155">
        <f>aurora_data!AG180</f>
        <v>25</v>
      </c>
      <c r="AI91" s="171">
        <f>aurora_data!AH180</f>
        <v>25</v>
      </c>
      <c r="AJ91" s="201">
        <f>aurora_data!AI52</f>
        <v>0</v>
      </c>
      <c r="AK91" s="407"/>
      <c r="AL91" s="155">
        <f>aurora_data!AJ180</f>
        <v>50</v>
      </c>
      <c r="AM91" s="167">
        <f t="shared" ref="AM91:AM98" si="58">SUM(AL91)/$AL$91</f>
        <v>1</v>
      </c>
      <c r="AO91"/>
      <c r="AP91"/>
      <c r="AQ91"/>
      <c r="AR91"/>
      <c r="AS91"/>
      <c r="AT91"/>
      <c r="AU91"/>
      <c r="AV91"/>
      <c r="AW91"/>
      <c r="AX91"/>
      <c r="AY91"/>
    </row>
    <row r="92" spans="2:51">
      <c r="B92" s="452"/>
      <c r="C92" s="454"/>
      <c r="D92" s="35" t="s">
        <v>339</v>
      </c>
      <c r="E92" s="262">
        <f>aurora_data!D181</f>
        <v>0</v>
      </c>
      <c r="F92" s="263">
        <f>aurora_data!E181</f>
        <v>0</v>
      </c>
      <c r="G92" s="263">
        <f>aurora_data!F181</f>
        <v>0</v>
      </c>
      <c r="H92" s="263">
        <f>aurora_data!G181</f>
        <v>0</v>
      </c>
      <c r="I92" s="263">
        <f>aurora_data!H181</f>
        <v>1</v>
      </c>
      <c r="J92" s="262">
        <f>aurora_data!I181</f>
        <v>1</v>
      </c>
      <c r="K92" s="263">
        <f>aurora_data!J181</f>
        <v>0</v>
      </c>
      <c r="L92" s="263">
        <f>aurora_data!K181</f>
        <v>2</v>
      </c>
      <c r="M92" s="263">
        <f>aurora_data!L181</f>
        <v>2</v>
      </c>
      <c r="N92" s="264">
        <f>aurora_data!M181</f>
        <v>2</v>
      </c>
      <c r="O92" s="262">
        <f>aurora_data!N181</f>
        <v>1</v>
      </c>
      <c r="P92" s="263">
        <f>aurora_data!O181</f>
        <v>1</v>
      </c>
      <c r="Q92" s="263">
        <f>aurora_data!P181</f>
        <v>1</v>
      </c>
      <c r="R92" s="263">
        <f>aurora_data!Q181</f>
        <v>4</v>
      </c>
      <c r="S92" s="264">
        <f>aurora_data!R181</f>
        <v>2</v>
      </c>
      <c r="T92" s="262">
        <f>aurora_data!S181</f>
        <v>0</v>
      </c>
      <c r="U92" s="263">
        <f>aurora_data!T181</f>
        <v>0</v>
      </c>
      <c r="V92" s="263">
        <f>aurora_data!U181</f>
        <v>0</v>
      </c>
      <c r="W92" s="263">
        <f>aurora_data!V181</f>
        <v>0</v>
      </c>
      <c r="X92" s="264">
        <f>aurora_data!W181</f>
        <v>2</v>
      </c>
      <c r="Y92" s="262">
        <f>aurora_data!X181</f>
        <v>0</v>
      </c>
      <c r="Z92" s="263">
        <f>aurora_data!Y181</f>
        <v>1</v>
      </c>
      <c r="AA92" s="263">
        <f>aurora_data!Z181</f>
        <v>4</v>
      </c>
      <c r="AB92" s="263">
        <f>aurora_data!AA181</f>
        <v>8</v>
      </c>
      <c r="AC92" s="264">
        <f>aurora_data!AB181</f>
        <v>12</v>
      </c>
      <c r="AD92" s="262">
        <f>aurora_data!AC181</f>
        <v>11</v>
      </c>
      <c r="AE92" s="263">
        <f>aurora_data!AD181</f>
        <v>4</v>
      </c>
      <c r="AF92" s="263">
        <f>aurora_data!AE181</f>
        <v>19</v>
      </c>
      <c r="AG92" s="264">
        <f>aurora_data!AF181</f>
        <v>10</v>
      </c>
      <c r="AH92" s="262">
        <f>aurora_data!AG181</f>
        <v>21</v>
      </c>
      <c r="AI92" s="263">
        <f>aurora_data!AH181</f>
        <v>23</v>
      </c>
      <c r="AJ92" s="264">
        <f>aurora_data!AI53</f>
        <v>0</v>
      </c>
      <c r="AK92" s="407"/>
      <c r="AL92" s="408">
        <f>aurora_data!AJ181</f>
        <v>44</v>
      </c>
      <c r="AM92" s="409">
        <f t="shared" si="58"/>
        <v>0.88</v>
      </c>
      <c r="AO92"/>
      <c r="AP92"/>
      <c r="AQ92"/>
      <c r="AR92"/>
      <c r="AS92"/>
      <c r="AT92"/>
      <c r="AU92"/>
      <c r="AV92"/>
      <c r="AW92"/>
      <c r="AX92"/>
      <c r="AY92"/>
    </row>
    <row r="93" spans="2:51">
      <c r="B93" s="452"/>
      <c r="C93" s="454"/>
      <c r="D93" s="35" t="s">
        <v>291</v>
      </c>
      <c r="E93" s="408">
        <f>aurora_data!D182</f>
        <v>0</v>
      </c>
      <c r="F93" s="410">
        <f>aurora_data!E182</f>
        <v>0</v>
      </c>
      <c r="G93" s="410">
        <f>aurora_data!F182</f>
        <v>0</v>
      </c>
      <c r="H93" s="410">
        <f>aurora_data!G182</f>
        <v>0</v>
      </c>
      <c r="I93" s="410">
        <f>aurora_data!H182</f>
        <v>0</v>
      </c>
      <c r="J93" s="408">
        <f>aurora_data!I182</f>
        <v>0</v>
      </c>
      <c r="K93" s="410">
        <f>aurora_data!J182</f>
        <v>0</v>
      </c>
      <c r="L93" s="410">
        <f>aurora_data!K182</f>
        <v>0</v>
      </c>
      <c r="M93" s="410">
        <f>aurora_data!L182</f>
        <v>0</v>
      </c>
      <c r="N93" s="411">
        <f>aurora_data!M182</f>
        <v>0</v>
      </c>
      <c r="O93" s="408">
        <f>aurora_data!N182</f>
        <v>1</v>
      </c>
      <c r="P93" s="410">
        <f>aurora_data!O182</f>
        <v>0</v>
      </c>
      <c r="Q93" s="410">
        <f>aurora_data!P182</f>
        <v>0</v>
      </c>
      <c r="R93" s="410">
        <f>aurora_data!Q182</f>
        <v>3</v>
      </c>
      <c r="S93" s="411">
        <f>aurora_data!R182</f>
        <v>0</v>
      </c>
      <c r="T93" s="408">
        <f>aurora_data!S182</f>
        <v>0</v>
      </c>
      <c r="U93" s="410">
        <f>aurora_data!T182</f>
        <v>0</v>
      </c>
      <c r="V93" s="410">
        <f>aurora_data!U182</f>
        <v>0</v>
      </c>
      <c r="W93" s="410">
        <f>aurora_data!V182</f>
        <v>0</v>
      </c>
      <c r="X93" s="411">
        <f>aurora_data!W182</f>
        <v>0</v>
      </c>
      <c r="Y93" s="408">
        <f>aurora_data!X182</f>
        <v>0</v>
      </c>
      <c r="Z93" s="410">
        <f>aurora_data!Y182</f>
        <v>0</v>
      </c>
      <c r="AA93" s="410">
        <f>aurora_data!Z182</f>
        <v>2</v>
      </c>
      <c r="AB93" s="410">
        <f>aurora_data!AA182</f>
        <v>0</v>
      </c>
      <c r="AC93" s="411">
        <f>aurora_data!AB182</f>
        <v>2</v>
      </c>
      <c r="AD93" s="408">
        <f>aurora_data!AC182</f>
        <v>3</v>
      </c>
      <c r="AE93" s="410">
        <f>aurora_data!AD182</f>
        <v>3</v>
      </c>
      <c r="AF93" s="410">
        <f>aurora_data!AE182</f>
        <v>2</v>
      </c>
      <c r="AG93" s="411">
        <f>aurora_data!AF182</f>
        <v>0</v>
      </c>
      <c r="AH93" s="408">
        <f>aurora_data!AG182</f>
        <v>1</v>
      </c>
      <c r="AI93" s="410">
        <f>aurora_data!AH182</f>
        <v>7</v>
      </c>
      <c r="AJ93" s="411">
        <f>aurora_data!AI54</f>
        <v>0</v>
      </c>
      <c r="AK93" s="407"/>
      <c r="AL93" s="408">
        <f>aurora_data!AJ182</f>
        <v>8</v>
      </c>
      <c r="AM93" s="409">
        <f t="shared" si="58"/>
        <v>0.16</v>
      </c>
      <c r="AO93"/>
      <c r="AP93"/>
      <c r="AQ93"/>
      <c r="AR93"/>
      <c r="AS93"/>
      <c r="AT93"/>
      <c r="AU93"/>
      <c r="AV93"/>
      <c r="AW93"/>
      <c r="AX93"/>
      <c r="AY93"/>
    </row>
    <row r="94" spans="2:51">
      <c r="B94" s="452"/>
      <c r="C94" s="454"/>
      <c r="D94" s="35" t="s">
        <v>340</v>
      </c>
      <c r="E94" s="408">
        <f>aurora_data!D183</f>
        <v>0</v>
      </c>
      <c r="F94" s="410">
        <f>aurora_data!E183</f>
        <v>0</v>
      </c>
      <c r="G94" s="410">
        <f>aurora_data!F183</f>
        <v>0</v>
      </c>
      <c r="H94" s="410">
        <f>aurora_data!G183</f>
        <v>0</v>
      </c>
      <c r="I94" s="410">
        <f>aurora_data!H183</f>
        <v>0</v>
      </c>
      <c r="J94" s="408">
        <f>aurora_data!I183</f>
        <v>0</v>
      </c>
      <c r="K94" s="410">
        <f>aurora_data!J183</f>
        <v>0</v>
      </c>
      <c r="L94" s="410">
        <f>aurora_data!K183</f>
        <v>0</v>
      </c>
      <c r="M94" s="410">
        <f>aurora_data!L183</f>
        <v>0</v>
      </c>
      <c r="N94" s="411">
        <f>aurora_data!M183</f>
        <v>0</v>
      </c>
      <c r="O94" s="408">
        <f>aurora_data!N183</f>
        <v>0</v>
      </c>
      <c r="P94" s="410">
        <f>aurora_data!O183</f>
        <v>0</v>
      </c>
      <c r="Q94" s="410">
        <f>aurora_data!P183</f>
        <v>0</v>
      </c>
      <c r="R94" s="410">
        <f>aurora_data!Q183</f>
        <v>0</v>
      </c>
      <c r="S94" s="411">
        <f>aurora_data!R183</f>
        <v>0</v>
      </c>
      <c r="T94" s="408">
        <f>aurora_data!S183</f>
        <v>0</v>
      </c>
      <c r="U94" s="410">
        <f>aurora_data!T183</f>
        <v>0</v>
      </c>
      <c r="V94" s="410">
        <f>aurora_data!U183</f>
        <v>0</v>
      </c>
      <c r="W94" s="410">
        <f>aurora_data!V183</f>
        <v>0</v>
      </c>
      <c r="X94" s="411">
        <f>aurora_data!W183</f>
        <v>0</v>
      </c>
      <c r="Y94" s="408">
        <f>aurora_data!X183</f>
        <v>0</v>
      </c>
      <c r="Z94" s="410">
        <f>aurora_data!Y183</f>
        <v>0</v>
      </c>
      <c r="AA94" s="410">
        <f>aurora_data!Z183</f>
        <v>0</v>
      </c>
      <c r="AB94" s="410">
        <f>aurora_data!AA183</f>
        <v>0</v>
      </c>
      <c r="AC94" s="411">
        <f>aurora_data!AB183</f>
        <v>0</v>
      </c>
      <c r="AD94" s="408">
        <f>aurora_data!AC183</f>
        <v>0</v>
      </c>
      <c r="AE94" s="410">
        <f>aurora_data!AD183</f>
        <v>0</v>
      </c>
      <c r="AF94" s="410">
        <f>aurora_data!AE183</f>
        <v>0</v>
      </c>
      <c r="AG94" s="411">
        <f>aurora_data!AF183</f>
        <v>0</v>
      </c>
      <c r="AH94" s="408">
        <f>aurora_data!AG183</f>
        <v>0</v>
      </c>
      <c r="AI94" s="410">
        <f>aurora_data!AH183</f>
        <v>0</v>
      </c>
      <c r="AJ94" s="411">
        <f>aurora_data!AI55</f>
        <v>0</v>
      </c>
      <c r="AK94" s="407"/>
      <c r="AL94" s="408">
        <f>aurora_data!AJ183</f>
        <v>0</v>
      </c>
      <c r="AM94" s="409">
        <f t="shared" si="58"/>
        <v>0</v>
      </c>
      <c r="AO94"/>
      <c r="AP94"/>
      <c r="AQ94"/>
      <c r="AR94"/>
      <c r="AS94"/>
      <c r="AT94"/>
      <c r="AU94"/>
      <c r="AV94"/>
      <c r="AW94"/>
      <c r="AX94"/>
      <c r="AY94"/>
    </row>
    <row r="95" spans="2:51">
      <c r="B95" s="452"/>
      <c r="C95" s="454"/>
      <c r="D95" s="35" t="s">
        <v>341</v>
      </c>
      <c r="E95" s="408">
        <f>aurora_data!D184</f>
        <v>0</v>
      </c>
      <c r="F95" s="410">
        <f>aurora_data!E184</f>
        <v>0</v>
      </c>
      <c r="G95" s="410">
        <f>aurora_data!F184</f>
        <v>0</v>
      </c>
      <c r="H95" s="410">
        <f>aurora_data!G184</f>
        <v>0</v>
      </c>
      <c r="I95" s="410">
        <f>aurora_data!H184</f>
        <v>1</v>
      </c>
      <c r="J95" s="408">
        <f>aurora_data!I184</f>
        <v>0</v>
      </c>
      <c r="K95" s="410">
        <f>aurora_data!J184</f>
        <v>0</v>
      </c>
      <c r="L95" s="410">
        <f>aurora_data!K184</f>
        <v>0</v>
      </c>
      <c r="M95" s="410">
        <f>aurora_data!L184</f>
        <v>1</v>
      </c>
      <c r="N95" s="411">
        <f>aurora_data!M184</f>
        <v>0</v>
      </c>
      <c r="O95" s="408">
        <f>aurora_data!N184</f>
        <v>0</v>
      </c>
      <c r="P95" s="410">
        <f>aurora_data!O184</f>
        <v>1</v>
      </c>
      <c r="Q95" s="410">
        <f>aurora_data!P184</f>
        <v>1</v>
      </c>
      <c r="R95" s="410">
        <f>aurora_data!Q184</f>
        <v>0</v>
      </c>
      <c r="S95" s="411">
        <f>aurora_data!R184</f>
        <v>0</v>
      </c>
      <c r="T95" s="408">
        <f>aurora_data!S184</f>
        <v>0</v>
      </c>
      <c r="U95" s="410">
        <f>aurora_data!T184</f>
        <v>0</v>
      </c>
      <c r="V95" s="410">
        <f>aurora_data!U184</f>
        <v>0</v>
      </c>
      <c r="W95" s="410">
        <f>aurora_data!V184</f>
        <v>2</v>
      </c>
      <c r="X95" s="411">
        <f>aurora_data!W184</f>
        <v>2</v>
      </c>
      <c r="Y95" s="408">
        <f>aurora_data!X184</f>
        <v>0</v>
      </c>
      <c r="Z95" s="410">
        <f>aurora_data!Y184</f>
        <v>0</v>
      </c>
      <c r="AA95" s="410">
        <f>aurora_data!Z184</f>
        <v>0</v>
      </c>
      <c r="AB95" s="410">
        <f>aurora_data!AA184</f>
        <v>0</v>
      </c>
      <c r="AC95" s="411">
        <f>aurora_data!AB184</f>
        <v>0</v>
      </c>
      <c r="AD95" s="408">
        <f>aurora_data!AC184</f>
        <v>1</v>
      </c>
      <c r="AE95" s="410">
        <f>aurora_data!AD184</f>
        <v>0</v>
      </c>
      <c r="AF95" s="410">
        <f>aurora_data!AE184</f>
        <v>3</v>
      </c>
      <c r="AG95" s="411">
        <f>aurora_data!AF184</f>
        <v>4</v>
      </c>
      <c r="AH95" s="408">
        <f>aurora_data!AG184</f>
        <v>5</v>
      </c>
      <c r="AI95" s="410">
        <f>aurora_data!AH184</f>
        <v>3</v>
      </c>
      <c r="AJ95" s="411">
        <f>aurora_data!AI56</f>
        <v>0</v>
      </c>
      <c r="AK95" s="407"/>
      <c r="AL95" s="408">
        <f>aurora_data!AJ184</f>
        <v>8</v>
      </c>
      <c r="AM95" s="409">
        <f t="shared" si="58"/>
        <v>0.16</v>
      </c>
      <c r="AO95"/>
      <c r="AP95"/>
      <c r="AQ95"/>
      <c r="AR95"/>
      <c r="AS95"/>
      <c r="AT95"/>
      <c r="AU95"/>
      <c r="AV95"/>
      <c r="AW95"/>
      <c r="AX95"/>
      <c r="AY95"/>
    </row>
    <row r="96" spans="2:51" ht="16.5" thickBot="1">
      <c r="B96" s="452"/>
      <c r="C96" s="454"/>
      <c r="D96" s="35" t="s">
        <v>342</v>
      </c>
      <c r="E96" s="408">
        <f>aurora_data!D185</f>
        <v>0</v>
      </c>
      <c r="F96" s="410">
        <f>aurora_data!E185</f>
        <v>0</v>
      </c>
      <c r="G96" s="410">
        <f>aurora_data!F185</f>
        <v>0</v>
      </c>
      <c r="H96" s="410">
        <f>aurora_data!G185</f>
        <v>0</v>
      </c>
      <c r="I96" s="410">
        <f>aurora_data!H185</f>
        <v>0</v>
      </c>
      <c r="J96" s="408">
        <f>aurora_data!I185</f>
        <v>0</v>
      </c>
      <c r="K96" s="410">
        <f>aurora_data!J185</f>
        <v>0</v>
      </c>
      <c r="L96" s="410">
        <f>aurora_data!K185</f>
        <v>0</v>
      </c>
      <c r="M96" s="410">
        <f>aurora_data!L185</f>
        <v>0</v>
      </c>
      <c r="N96" s="411">
        <f>aurora_data!M185</f>
        <v>0</v>
      </c>
      <c r="O96" s="408">
        <f>aurora_data!N185</f>
        <v>0</v>
      </c>
      <c r="P96" s="410">
        <f>aurora_data!O185</f>
        <v>0</v>
      </c>
      <c r="Q96" s="410">
        <f>aurora_data!P185</f>
        <v>0</v>
      </c>
      <c r="R96" s="410">
        <f>aurora_data!Q185</f>
        <v>0</v>
      </c>
      <c r="S96" s="411">
        <f>aurora_data!R185</f>
        <v>0</v>
      </c>
      <c r="T96" s="408">
        <f>aurora_data!S185</f>
        <v>0</v>
      </c>
      <c r="U96" s="410">
        <f>aurora_data!T185</f>
        <v>0</v>
      </c>
      <c r="V96" s="410">
        <f>aurora_data!U185</f>
        <v>0</v>
      </c>
      <c r="W96" s="410">
        <f>aurora_data!V185</f>
        <v>0</v>
      </c>
      <c r="X96" s="411">
        <f>aurora_data!W185</f>
        <v>0</v>
      </c>
      <c r="Y96" s="408">
        <f>aurora_data!X185</f>
        <v>0</v>
      </c>
      <c r="Z96" s="410">
        <f>aurora_data!Y185</f>
        <v>0</v>
      </c>
      <c r="AA96" s="410">
        <f>aurora_data!Z185</f>
        <v>0</v>
      </c>
      <c r="AB96" s="410">
        <f>aurora_data!AA185</f>
        <v>0</v>
      </c>
      <c r="AC96" s="411">
        <f>aurora_data!AB185</f>
        <v>0</v>
      </c>
      <c r="AD96" s="408">
        <f>aurora_data!AC185</f>
        <v>0</v>
      </c>
      <c r="AE96" s="410">
        <f>aurora_data!AD185</f>
        <v>0</v>
      </c>
      <c r="AF96" s="410">
        <f>aurora_data!AE185</f>
        <v>0</v>
      </c>
      <c r="AG96" s="411">
        <f>aurora_data!AF185</f>
        <v>0</v>
      </c>
      <c r="AH96" s="408">
        <f>aurora_data!AG185</f>
        <v>0</v>
      </c>
      <c r="AI96" s="410">
        <f>aurora_data!AH185</f>
        <v>0</v>
      </c>
      <c r="AJ96" s="411">
        <f>aurora_data!AI57</f>
        <v>0</v>
      </c>
      <c r="AK96" s="412"/>
      <c r="AL96" s="408">
        <f>aurora_data!AJ185</f>
        <v>0</v>
      </c>
      <c r="AM96" s="409">
        <f t="shared" si="58"/>
        <v>0</v>
      </c>
      <c r="AO96"/>
      <c r="AP96"/>
      <c r="AQ96"/>
      <c r="AR96"/>
      <c r="AS96"/>
      <c r="AT96"/>
      <c r="AU96"/>
      <c r="AV96"/>
      <c r="AW96"/>
      <c r="AX96"/>
      <c r="AY96"/>
    </row>
    <row r="97" spans="2:51" ht="16.5" thickBot="1">
      <c r="B97" s="452"/>
      <c r="C97" s="454"/>
      <c r="D97" s="37" t="s">
        <v>17</v>
      </c>
      <c r="E97" s="182">
        <f>aurora_data!D186</f>
        <v>0</v>
      </c>
      <c r="F97" s="183">
        <f>aurora_data!E186</f>
        <v>0</v>
      </c>
      <c r="G97" s="183">
        <f>aurora_data!F186</f>
        <v>0</v>
      </c>
      <c r="H97" s="183">
        <f>aurora_data!G186</f>
        <v>0</v>
      </c>
      <c r="I97" s="184">
        <f>aurora_data!H186</f>
        <v>2</v>
      </c>
      <c r="J97" s="182">
        <f>aurora_data!I186</f>
        <v>1</v>
      </c>
      <c r="K97" s="183">
        <f>aurora_data!J186</f>
        <v>0</v>
      </c>
      <c r="L97" s="183">
        <f>aurora_data!K186</f>
        <v>2</v>
      </c>
      <c r="M97" s="183">
        <f>aurora_data!L186</f>
        <v>3</v>
      </c>
      <c r="N97" s="184">
        <f>aurora_data!M186</f>
        <v>2</v>
      </c>
      <c r="O97" s="182">
        <f>aurora_data!N186</f>
        <v>2</v>
      </c>
      <c r="P97" s="183">
        <f>aurora_data!O186</f>
        <v>2</v>
      </c>
      <c r="Q97" s="183">
        <f>aurora_data!P186</f>
        <v>2</v>
      </c>
      <c r="R97" s="183">
        <f>aurora_data!Q186</f>
        <v>7</v>
      </c>
      <c r="S97" s="184">
        <f>aurora_data!R186</f>
        <v>2</v>
      </c>
      <c r="T97" s="182">
        <f>aurora_data!S186</f>
        <v>0</v>
      </c>
      <c r="U97" s="183">
        <f>aurora_data!T186</f>
        <v>0</v>
      </c>
      <c r="V97" s="183">
        <f>aurora_data!U186</f>
        <v>0</v>
      </c>
      <c r="W97" s="183">
        <f>aurora_data!V186</f>
        <v>2</v>
      </c>
      <c r="X97" s="184">
        <f>aurora_data!W186</f>
        <v>4</v>
      </c>
      <c r="Y97" s="182">
        <f>aurora_data!X186</f>
        <v>0</v>
      </c>
      <c r="Z97" s="183">
        <f>aurora_data!Y186</f>
        <v>1</v>
      </c>
      <c r="AA97" s="183">
        <f>aurora_data!Z186</f>
        <v>6</v>
      </c>
      <c r="AB97" s="183">
        <f>aurora_data!AA186</f>
        <v>8</v>
      </c>
      <c r="AC97" s="184">
        <f>aurora_data!AB186</f>
        <v>14</v>
      </c>
      <c r="AD97" s="182">
        <f>aurora_data!AC186</f>
        <v>15</v>
      </c>
      <c r="AE97" s="183">
        <f>aurora_data!AD186</f>
        <v>7</v>
      </c>
      <c r="AF97" s="183">
        <f>aurora_data!AE186</f>
        <v>24</v>
      </c>
      <c r="AG97" s="184">
        <f>aurora_data!AF186</f>
        <v>14</v>
      </c>
      <c r="AH97" s="182">
        <f>aurora_data!AG186</f>
        <v>27</v>
      </c>
      <c r="AI97" s="183">
        <f>aurora_data!AH186</f>
        <v>33</v>
      </c>
      <c r="AJ97" s="183">
        <f>aurora_data!AI58</f>
        <v>0</v>
      </c>
      <c r="AK97" s="412"/>
      <c r="AL97" s="182">
        <f>aurora_data!AJ186</f>
        <v>60</v>
      </c>
      <c r="AM97" s="413">
        <f t="shared" si="58"/>
        <v>1.2</v>
      </c>
      <c r="AO97"/>
      <c r="AP97"/>
      <c r="AQ97"/>
      <c r="AR97"/>
      <c r="AS97"/>
      <c r="AT97"/>
      <c r="AU97"/>
      <c r="AV97"/>
      <c r="AW97"/>
      <c r="AX97"/>
      <c r="AY97"/>
    </row>
    <row r="98" spans="2:51" ht="16.5" thickBot="1">
      <c r="B98" s="452"/>
      <c r="C98" s="454"/>
      <c r="D98" s="38" t="s">
        <v>343</v>
      </c>
      <c r="E98" s="265">
        <f>aurora_data!D187</f>
        <v>0</v>
      </c>
      <c r="F98" s="266">
        <f>aurora_data!E187</f>
        <v>0</v>
      </c>
      <c r="G98" s="266">
        <f>aurora_data!F187</f>
        <v>0</v>
      </c>
      <c r="H98" s="266">
        <f>aurora_data!G187</f>
        <v>0</v>
      </c>
      <c r="I98" s="266">
        <f>aurora_data!H187</f>
        <v>0</v>
      </c>
      <c r="J98" s="265">
        <f>aurora_data!I187</f>
        <v>0</v>
      </c>
      <c r="K98" s="266">
        <f>aurora_data!J187</f>
        <v>0</v>
      </c>
      <c r="L98" s="266">
        <f>aurora_data!K187</f>
        <v>0</v>
      </c>
      <c r="M98" s="266">
        <f>aurora_data!L187</f>
        <v>0</v>
      </c>
      <c r="N98" s="267">
        <f>aurora_data!M187</f>
        <v>0</v>
      </c>
      <c r="O98" s="265">
        <f>aurora_data!N187</f>
        <v>0</v>
      </c>
      <c r="P98" s="266">
        <f>aurora_data!O187</f>
        <v>0</v>
      </c>
      <c r="Q98" s="266">
        <f>aurora_data!P187</f>
        <v>0</v>
      </c>
      <c r="R98" s="266">
        <f>aurora_data!Q187</f>
        <v>0</v>
      </c>
      <c r="S98" s="267">
        <f>aurora_data!R187</f>
        <v>0</v>
      </c>
      <c r="T98" s="265">
        <f>aurora_data!S187</f>
        <v>0</v>
      </c>
      <c r="U98" s="266">
        <f>aurora_data!T187</f>
        <v>0</v>
      </c>
      <c r="V98" s="266">
        <f>aurora_data!U187</f>
        <v>0</v>
      </c>
      <c r="W98" s="266">
        <f>aurora_data!V187</f>
        <v>0</v>
      </c>
      <c r="X98" s="267">
        <f>aurora_data!W187</f>
        <v>0</v>
      </c>
      <c r="Y98" s="265">
        <f>aurora_data!X187</f>
        <v>0</v>
      </c>
      <c r="Z98" s="266">
        <f>aurora_data!Y187</f>
        <v>0</v>
      </c>
      <c r="AA98" s="266">
        <f>aurora_data!Z187</f>
        <v>0</v>
      </c>
      <c r="AB98" s="266">
        <f>aurora_data!AA187</f>
        <v>0</v>
      </c>
      <c r="AC98" s="267">
        <f>aurora_data!AB187</f>
        <v>0</v>
      </c>
      <c r="AD98" s="265">
        <f>aurora_data!AC187</f>
        <v>0</v>
      </c>
      <c r="AE98" s="266">
        <f>aurora_data!AD187</f>
        <v>0</v>
      </c>
      <c r="AF98" s="266">
        <f>aurora_data!AE187</f>
        <v>0</v>
      </c>
      <c r="AG98" s="267">
        <f>aurora_data!AF187</f>
        <v>0</v>
      </c>
      <c r="AH98" s="265">
        <f>aurora_data!AG187</f>
        <v>0</v>
      </c>
      <c r="AI98" s="266">
        <f>aurora_data!AH187</f>
        <v>0</v>
      </c>
      <c r="AJ98" s="268">
        <f>aurora_data!AI59</f>
        <v>0</v>
      </c>
      <c r="AK98" s="269"/>
      <c r="AL98" s="265">
        <f>aurora_data!AJ187</f>
        <v>0</v>
      </c>
      <c r="AM98" s="270">
        <f t="shared" si="58"/>
        <v>0</v>
      </c>
      <c r="AO98"/>
      <c r="AP98"/>
      <c r="AQ98"/>
      <c r="AR98"/>
      <c r="AS98"/>
      <c r="AT98"/>
      <c r="AU98"/>
      <c r="AV98"/>
      <c r="AW98"/>
      <c r="AX98"/>
      <c r="AY98"/>
    </row>
    <row r="99" spans="2:51" outlineLevel="1">
      <c r="B99" s="452"/>
      <c r="C99" s="454"/>
      <c r="D99" s="199" t="s">
        <v>344</v>
      </c>
      <c r="E99" s="271">
        <f t="shared" ref="E99:AC99" si="59">ROUNDDOWN((E101+$E$9)*($AL91),0)</f>
        <v>1</v>
      </c>
      <c r="F99" s="272">
        <f t="shared" si="59"/>
        <v>1</v>
      </c>
      <c r="G99" s="272">
        <f t="shared" si="59"/>
        <v>1</v>
      </c>
      <c r="H99" s="272">
        <f t="shared" si="59"/>
        <v>1</v>
      </c>
      <c r="I99" s="272">
        <f t="shared" si="59"/>
        <v>2</v>
      </c>
      <c r="J99" s="271">
        <f t="shared" si="59"/>
        <v>1</v>
      </c>
      <c r="K99" s="272">
        <f t="shared" si="59"/>
        <v>1</v>
      </c>
      <c r="L99" s="272">
        <f t="shared" si="59"/>
        <v>2</v>
      </c>
      <c r="M99" s="272">
        <f t="shared" si="59"/>
        <v>3</v>
      </c>
      <c r="N99" s="268">
        <f t="shared" si="59"/>
        <v>2</v>
      </c>
      <c r="O99" s="271">
        <f t="shared" si="59"/>
        <v>2</v>
      </c>
      <c r="P99" s="272">
        <f t="shared" si="59"/>
        <v>2</v>
      </c>
      <c r="Q99" s="272">
        <f t="shared" si="59"/>
        <v>4</v>
      </c>
      <c r="R99" s="272">
        <f t="shared" si="59"/>
        <v>4</v>
      </c>
      <c r="S99" s="268">
        <f t="shared" si="59"/>
        <v>3</v>
      </c>
      <c r="T99" s="271">
        <f t="shared" si="59"/>
        <v>1</v>
      </c>
      <c r="U99" s="272">
        <f t="shared" si="59"/>
        <v>1</v>
      </c>
      <c r="V99" s="272">
        <f t="shared" si="59"/>
        <v>1</v>
      </c>
      <c r="W99" s="272">
        <f t="shared" si="59"/>
        <v>2</v>
      </c>
      <c r="X99" s="268">
        <f t="shared" si="59"/>
        <v>2</v>
      </c>
      <c r="Y99" s="271">
        <f t="shared" si="59"/>
        <v>1</v>
      </c>
      <c r="Z99" s="272">
        <f t="shared" si="59"/>
        <v>1</v>
      </c>
      <c r="AA99" s="272">
        <f t="shared" si="59"/>
        <v>4</v>
      </c>
      <c r="AB99" s="272">
        <f t="shared" si="59"/>
        <v>8</v>
      </c>
      <c r="AC99" s="268">
        <f t="shared" si="59"/>
        <v>12</v>
      </c>
      <c r="AD99" s="271">
        <f>ROUNDDOWN((AD101+$AD$9)*($AL91),0)</f>
        <v>15</v>
      </c>
      <c r="AE99" s="272">
        <f>ROUNDDOWN((AE101+$AD$9)*($AL91),0)</f>
        <v>12</v>
      </c>
      <c r="AF99" s="272">
        <f t="shared" ref="AF99:AG99" si="60">ROUNDDOWN((AF101+$AD$9)*($AL91),0)</f>
        <v>24</v>
      </c>
      <c r="AG99" s="268">
        <f t="shared" si="60"/>
        <v>16</v>
      </c>
      <c r="AH99" s="271">
        <f>ROUNDDOWN((AH101+$AH$9)*($AL91),0)</f>
        <v>25</v>
      </c>
      <c r="AI99" s="272">
        <f>ROUNDDOWN((AI101+$AH$8)*($AL91),0)</f>
        <v>25</v>
      </c>
      <c r="AJ99" s="272">
        <f>ROUNDDOWN((AJ101+$AH$8)*($AL91),0)</f>
        <v>0</v>
      </c>
      <c r="AK99" s="273"/>
      <c r="AL99" s="274"/>
      <c r="AM99" s="275"/>
      <c r="AO99"/>
      <c r="AP99"/>
      <c r="AQ99"/>
      <c r="AR99"/>
      <c r="AS99"/>
      <c r="AT99"/>
      <c r="AU99"/>
      <c r="AV99"/>
      <c r="AW99"/>
      <c r="AX99"/>
      <c r="AY99"/>
    </row>
    <row r="100" spans="2:51" ht="15.75" customHeight="1" outlineLevel="1" thickBot="1">
      <c r="B100" s="452"/>
      <c r="C100" s="454"/>
      <c r="D100" s="199" t="s">
        <v>345</v>
      </c>
      <c r="E100" s="276">
        <f t="shared" ref="E100:AC100" si="61">IF(ROUND(((E101-$E$9)*($AL91))+0.25,0) &lt;=0,1,((E101-$E$9)*($AL91))+0.25)</f>
        <v>1</v>
      </c>
      <c r="F100" s="277">
        <f t="shared" si="61"/>
        <v>1</v>
      </c>
      <c r="G100" s="277">
        <f t="shared" si="61"/>
        <v>1</v>
      </c>
      <c r="H100" s="277">
        <f t="shared" si="61"/>
        <v>1</v>
      </c>
      <c r="I100" s="277">
        <f t="shared" si="61"/>
        <v>0.77</v>
      </c>
      <c r="J100" s="276">
        <f t="shared" si="61"/>
        <v>1</v>
      </c>
      <c r="K100" s="277">
        <f t="shared" si="61"/>
        <v>1</v>
      </c>
      <c r="L100" s="277">
        <f t="shared" si="61"/>
        <v>0.86</v>
      </c>
      <c r="M100" s="277">
        <f t="shared" si="61"/>
        <v>1.8399999999999999</v>
      </c>
      <c r="N100" s="278">
        <f t="shared" si="61"/>
        <v>0.98999999999999988</v>
      </c>
      <c r="O100" s="276">
        <f t="shared" si="61"/>
        <v>1</v>
      </c>
      <c r="P100" s="277">
        <f t="shared" si="61"/>
        <v>0.91999999999999993</v>
      </c>
      <c r="Q100" s="277">
        <f t="shared" si="61"/>
        <v>2.7199999999999998</v>
      </c>
      <c r="R100" s="277">
        <f t="shared" si="61"/>
        <v>2.95</v>
      </c>
      <c r="S100" s="278">
        <f t="shared" si="61"/>
        <v>1.6400000000000001</v>
      </c>
      <c r="T100" s="276">
        <f t="shared" si="61"/>
        <v>1</v>
      </c>
      <c r="U100" s="277">
        <f t="shared" si="61"/>
        <v>1</v>
      </c>
      <c r="V100" s="277">
        <f t="shared" si="61"/>
        <v>1</v>
      </c>
      <c r="W100" s="277">
        <f t="shared" si="61"/>
        <v>0.97</v>
      </c>
      <c r="X100" s="278">
        <f t="shared" si="61"/>
        <v>1.1000000000000001</v>
      </c>
      <c r="Y100" s="276">
        <f t="shared" si="61"/>
        <v>1</v>
      </c>
      <c r="Z100" s="277">
        <f t="shared" si="61"/>
        <v>1</v>
      </c>
      <c r="AA100" s="277">
        <f t="shared" si="61"/>
        <v>2.9099999999999997</v>
      </c>
      <c r="AB100" s="277">
        <f t="shared" si="61"/>
        <v>6.9800000000000013</v>
      </c>
      <c r="AC100" s="278">
        <f t="shared" si="61"/>
        <v>10.85</v>
      </c>
      <c r="AD100" s="276">
        <f>IF(((AD101-$AD$9)*($AL91))+0.5 &lt;0,1,((AD101-$AD$9)*($AL91))+0.5 )</f>
        <v>6.1099999999999994</v>
      </c>
      <c r="AE100" s="277">
        <f t="shared" ref="AE100" si="62">IF(((AE101-$AD$9)*($AL91))+0.5 &lt;0,1,((AE101-$AD$9)*($AL91))+0.5 )</f>
        <v>3.37</v>
      </c>
      <c r="AF100" s="277">
        <f t="shared" ref="AF100" si="63">IF(((AF101-$AD$9)*($AL91))+0.5 &lt;0,1,((AF101-$AD$9)*($AL91))+0.5 )</f>
        <v>15.06</v>
      </c>
      <c r="AG100" s="278">
        <f t="shared" ref="AG100" si="64">IF(((AG101-$AD$9)*($AL91))+0.5 &lt;0,1,((AG101-$AD$9)*($AL91))+0.5 )</f>
        <v>7.4600000000000009</v>
      </c>
      <c r="AH100" s="276">
        <f>IF(((AH101-$AH$9)*($AL91))+0.5 &lt;0,1,((AH101-$AH$9)*($AL91)) )</f>
        <v>25</v>
      </c>
      <c r="AI100" s="277">
        <f>IF(((AI101-$AH$9)*($AL91))+0.5 &lt;0,1,((AI101-$AH$9)*($AL91)) )</f>
        <v>25</v>
      </c>
      <c r="AJ100" s="277">
        <f>IF(((AJ101-$AH$8)*($AL91))+0.5 &lt;0,1,((AJ101-$AH$8)*($AL91))+0.5 )</f>
        <v>0.5</v>
      </c>
      <c r="AK100" s="273"/>
      <c r="AL100" s="279"/>
      <c r="AM100" s="280"/>
      <c r="AO100"/>
      <c r="AP100"/>
      <c r="AQ100"/>
      <c r="AR100"/>
      <c r="AS100"/>
      <c r="AT100"/>
      <c r="AU100"/>
      <c r="AV100"/>
      <c r="AW100"/>
      <c r="AX100"/>
      <c r="AY100"/>
    </row>
    <row r="101" spans="2:51" ht="15.75" customHeight="1" outlineLevel="1" thickTop="1">
      <c r="B101" s="110"/>
      <c r="C101" s="109"/>
      <c r="D101" s="95" t="s">
        <v>346</v>
      </c>
      <c r="E101" s="414">
        <f t="shared" ref="E101:AJ101" si="65">IFERROR(E91/$AL91,0)</f>
        <v>1.8E-3</v>
      </c>
      <c r="F101" s="415">
        <f t="shared" si="65"/>
        <v>2E-3</v>
      </c>
      <c r="G101" s="415">
        <f t="shared" si="65"/>
        <v>6.1999999999999998E-3</v>
      </c>
      <c r="H101" s="415">
        <f t="shared" si="65"/>
        <v>8.199999999999999E-3</v>
      </c>
      <c r="I101" s="415">
        <f t="shared" si="65"/>
        <v>3.04E-2</v>
      </c>
      <c r="J101" s="414">
        <f t="shared" si="65"/>
        <v>2.8000000000000004E-3</v>
      </c>
      <c r="K101" s="415">
        <f t="shared" si="65"/>
        <v>7.6E-3</v>
      </c>
      <c r="L101" s="415">
        <f t="shared" si="65"/>
        <v>3.2199999999999999E-2</v>
      </c>
      <c r="M101" s="415">
        <f t="shared" si="65"/>
        <v>5.1799999999999999E-2</v>
      </c>
      <c r="N101" s="416">
        <f t="shared" si="65"/>
        <v>3.4799999999999998E-2</v>
      </c>
      <c r="O101" s="414">
        <f t="shared" si="65"/>
        <v>2.4799999999999999E-2</v>
      </c>
      <c r="P101" s="415">
        <f t="shared" si="65"/>
        <v>3.3399999999999999E-2</v>
      </c>
      <c r="Q101" s="415">
        <f t="shared" si="65"/>
        <v>6.9400000000000003E-2</v>
      </c>
      <c r="R101" s="415">
        <f t="shared" si="65"/>
        <v>7.400000000000001E-2</v>
      </c>
      <c r="S101" s="416">
        <f t="shared" si="65"/>
        <v>4.7800000000000002E-2</v>
      </c>
      <c r="T101" s="414">
        <f t="shared" si="65"/>
        <v>2E-3</v>
      </c>
      <c r="U101" s="415">
        <f t="shared" si="65"/>
        <v>4.1999999999999997E-3</v>
      </c>
      <c r="V101" s="415">
        <f t="shared" si="65"/>
        <v>1.8600000000000002E-2</v>
      </c>
      <c r="W101" s="415">
        <f t="shared" si="65"/>
        <v>3.44E-2</v>
      </c>
      <c r="X101" s="416">
        <f t="shared" si="65"/>
        <v>3.7000000000000005E-2</v>
      </c>
      <c r="Y101" s="414">
        <f t="shared" si="65"/>
        <v>5.1999999999999998E-3</v>
      </c>
      <c r="Z101" s="415">
        <f t="shared" si="65"/>
        <v>1.1399999999999999E-2</v>
      </c>
      <c r="AA101" s="415">
        <f t="shared" si="65"/>
        <v>7.3200000000000001E-2</v>
      </c>
      <c r="AB101" s="415">
        <f t="shared" si="65"/>
        <v>0.15460000000000002</v>
      </c>
      <c r="AC101" s="416">
        <f t="shared" si="65"/>
        <v>0.23199999999999998</v>
      </c>
      <c r="AD101" s="414">
        <f t="shared" si="65"/>
        <v>0.2122</v>
      </c>
      <c r="AE101" s="415">
        <f t="shared" si="65"/>
        <v>0.15740000000000001</v>
      </c>
      <c r="AF101" s="415">
        <f t="shared" si="65"/>
        <v>0.39119999999999999</v>
      </c>
      <c r="AG101" s="416">
        <f t="shared" si="65"/>
        <v>0.23920000000000002</v>
      </c>
      <c r="AH101" s="414">
        <f t="shared" si="65"/>
        <v>0.5</v>
      </c>
      <c r="AI101" s="415">
        <f t="shared" si="65"/>
        <v>0.5</v>
      </c>
      <c r="AJ101" s="415">
        <f t="shared" si="65"/>
        <v>0</v>
      </c>
      <c r="AK101" s="407"/>
      <c r="AL101" s="417"/>
      <c r="AM101" s="418"/>
      <c r="AO101"/>
      <c r="AP101"/>
      <c r="AQ101"/>
      <c r="AR101"/>
      <c r="AS101"/>
      <c r="AT101"/>
      <c r="AU101"/>
      <c r="AV101"/>
      <c r="AW101"/>
      <c r="AX101"/>
      <c r="AY101"/>
    </row>
    <row r="102" spans="2:51" ht="16.5" customHeight="1" outlineLevel="1">
      <c r="B102" s="110"/>
      <c r="C102" s="109"/>
      <c r="D102" s="180" t="s">
        <v>347</v>
      </c>
      <c r="E102" s="414">
        <f t="shared" ref="E102:AJ102" si="66">IFERROR(E92/$AL91,0)</f>
        <v>0</v>
      </c>
      <c r="F102" s="415">
        <f t="shared" si="66"/>
        <v>0</v>
      </c>
      <c r="G102" s="415">
        <f t="shared" si="66"/>
        <v>0</v>
      </c>
      <c r="H102" s="415">
        <f t="shared" si="66"/>
        <v>0</v>
      </c>
      <c r="I102" s="415">
        <f t="shared" si="66"/>
        <v>0.02</v>
      </c>
      <c r="J102" s="414">
        <f t="shared" si="66"/>
        <v>0.02</v>
      </c>
      <c r="K102" s="415">
        <f t="shared" si="66"/>
        <v>0</v>
      </c>
      <c r="L102" s="415">
        <f t="shared" si="66"/>
        <v>0.04</v>
      </c>
      <c r="M102" s="415">
        <f t="shared" si="66"/>
        <v>0.04</v>
      </c>
      <c r="N102" s="416">
        <f t="shared" si="66"/>
        <v>0.04</v>
      </c>
      <c r="O102" s="414">
        <f t="shared" si="66"/>
        <v>0.02</v>
      </c>
      <c r="P102" s="415">
        <f t="shared" si="66"/>
        <v>0.02</v>
      </c>
      <c r="Q102" s="415">
        <f t="shared" si="66"/>
        <v>0.02</v>
      </c>
      <c r="R102" s="415">
        <f t="shared" si="66"/>
        <v>0.08</v>
      </c>
      <c r="S102" s="416">
        <f t="shared" si="66"/>
        <v>0.04</v>
      </c>
      <c r="T102" s="414">
        <f t="shared" si="66"/>
        <v>0</v>
      </c>
      <c r="U102" s="415">
        <f t="shared" si="66"/>
        <v>0</v>
      </c>
      <c r="V102" s="415">
        <f t="shared" si="66"/>
        <v>0</v>
      </c>
      <c r="W102" s="415">
        <f t="shared" si="66"/>
        <v>0</v>
      </c>
      <c r="X102" s="416">
        <f t="shared" si="66"/>
        <v>0.04</v>
      </c>
      <c r="Y102" s="414">
        <f t="shared" si="66"/>
        <v>0</v>
      </c>
      <c r="Z102" s="415">
        <f t="shared" si="66"/>
        <v>0.02</v>
      </c>
      <c r="AA102" s="415">
        <f t="shared" si="66"/>
        <v>0.08</v>
      </c>
      <c r="AB102" s="415">
        <f t="shared" si="66"/>
        <v>0.16</v>
      </c>
      <c r="AC102" s="416">
        <f t="shared" si="66"/>
        <v>0.24</v>
      </c>
      <c r="AD102" s="414">
        <f t="shared" si="66"/>
        <v>0.22</v>
      </c>
      <c r="AE102" s="415">
        <f t="shared" si="66"/>
        <v>0.08</v>
      </c>
      <c r="AF102" s="415">
        <f t="shared" si="66"/>
        <v>0.38</v>
      </c>
      <c r="AG102" s="416">
        <f t="shared" si="66"/>
        <v>0.2</v>
      </c>
      <c r="AH102" s="415">
        <f t="shared" si="66"/>
        <v>0.42</v>
      </c>
      <c r="AI102" s="415">
        <f t="shared" si="66"/>
        <v>0.46</v>
      </c>
      <c r="AJ102" s="415">
        <f t="shared" si="66"/>
        <v>0</v>
      </c>
      <c r="AK102" s="407"/>
      <c r="AL102" s="417"/>
      <c r="AM102" s="418"/>
      <c r="AO102"/>
      <c r="AP102"/>
      <c r="AQ102"/>
      <c r="AR102"/>
      <c r="AS102"/>
      <c r="AT102"/>
      <c r="AU102"/>
      <c r="AV102"/>
      <c r="AW102"/>
      <c r="AX102"/>
      <c r="AY102"/>
    </row>
    <row r="103" spans="2:51" ht="16.5" outlineLevel="1" thickBot="1">
      <c r="B103" s="110"/>
      <c r="C103" s="109"/>
      <c r="D103" s="180" t="s">
        <v>348</v>
      </c>
      <c r="E103" s="419">
        <f t="shared" ref="E103:AJ103" si="67">E102-E101</f>
        <v>-1.8E-3</v>
      </c>
      <c r="F103" s="420">
        <f t="shared" si="67"/>
        <v>-2E-3</v>
      </c>
      <c r="G103" s="420">
        <f t="shared" si="67"/>
        <v>-6.1999999999999998E-3</v>
      </c>
      <c r="H103" s="420">
        <f t="shared" si="67"/>
        <v>-8.199999999999999E-3</v>
      </c>
      <c r="I103" s="420">
        <f t="shared" si="67"/>
        <v>-1.04E-2</v>
      </c>
      <c r="J103" s="419">
        <f t="shared" si="67"/>
        <v>1.72E-2</v>
      </c>
      <c r="K103" s="420">
        <f t="shared" si="67"/>
        <v>-7.6E-3</v>
      </c>
      <c r="L103" s="420">
        <f t="shared" si="67"/>
        <v>7.8000000000000014E-3</v>
      </c>
      <c r="M103" s="420">
        <f t="shared" si="67"/>
        <v>-1.1799999999999998E-2</v>
      </c>
      <c r="N103" s="421">
        <f t="shared" si="67"/>
        <v>5.2000000000000032E-3</v>
      </c>
      <c r="O103" s="419">
        <f t="shared" si="67"/>
        <v>-4.7999999999999987E-3</v>
      </c>
      <c r="P103" s="420">
        <f t="shared" si="67"/>
        <v>-1.3399999999999999E-2</v>
      </c>
      <c r="Q103" s="420">
        <f t="shared" si="67"/>
        <v>-4.9399999999999999E-2</v>
      </c>
      <c r="R103" s="420">
        <f t="shared" si="67"/>
        <v>5.9999999999999915E-3</v>
      </c>
      <c r="S103" s="421">
        <f t="shared" si="67"/>
        <v>-7.8000000000000014E-3</v>
      </c>
      <c r="T103" s="419">
        <f t="shared" si="67"/>
        <v>-2E-3</v>
      </c>
      <c r="U103" s="420">
        <f t="shared" si="67"/>
        <v>-4.1999999999999997E-3</v>
      </c>
      <c r="V103" s="420">
        <f t="shared" si="67"/>
        <v>-1.8600000000000002E-2</v>
      </c>
      <c r="W103" s="420">
        <f t="shared" si="67"/>
        <v>-3.44E-2</v>
      </c>
      <c r="X103" s="421">
        <f t="shared" si="67"/>
        <v>2.9999999999999957E-3</v>
      </c>
      <c r="Y103" s="419">
        <f t="shared" si="67"/>
        <v>-5.1999999999999998E-3</v>
      </c>
      <c r="Z103" s="420">
        <f t="shared" si="67"/>
        <v>8.6000000000000017E-3</v>
      </c>
      <c r="AA103" s="420">
        <f t="shared" si="67"/>
        <v>6.8000000000000005E-3</v>
      </c>
      <c r="AB103" s="420">
        <f t="shared" si="67"/>
        <v>5.3999999999999881E-3</v>
      </c>
      <c r="AC103" s="421">
        <f t="shared" si="67"/>
        <v>8.0000000000000071E-3</v>
      </c>
      <c r="AD103" s="419">
        <f t="shared" si="67"/>
        <v>7.8000000000000014E-3</v>
      </c>
      <c r="AE103" s="420">
        <f t="shared" si="67"/>
        <v>-7.740000000000001E-2</v>
      </c>
      <c r="AF103" s="420">
        <f t="shared" si="67"/>
        <v>-1.1199999999999988E-2</v>
      </c>
      <c r="AG103" s="421">
        <f t="shared" si="67"/>
        <v>-3.9200000000000013E-2</v>
      </c>
      <c r="AH103" s="420">
        <f t="shared" si="67"/>
        <v>-8.0000000000000016E-2</v>
      </c>
      <c r="AI103" s="420">
        <f t="shared" si="67"/>
        <v>-3.999999999999998E-2</v>
      </c>
      <c r="AJ103" s="420">
        <f t="shared" si="67"/>
        <v>0</v>
      </c>
      <c r="AK103" s="407"/>
      <c r="AL103" s="422"/>
      <c r="AM103" s="423"/>
      <c r="AO103"/>
      <c r="AP103"/>
      <c r="AQ103"/>
      <c r="AR103"/>
      <c r="AS103"/>
      <c r="AT103"/>
      <c r="AU103"/>
      <c r="AV103"/>
      <c r="AW103"/>
      <c r="AX103"/>
      <c r="AY103"/>
    </row>
    <row r="104" spans="2:51" ht="16.5" thickTop="1">
      <c r="B104" s="451" t="s">
        <v>338</v>
      </c>
      <c r="C104" s="453" t="str">
        <f>aurora_data!A188</f>
        <v>13.00.00-13.11.30</v>
      </c>
      <c r="D104" s="34" t="s">
        <v>306</v>
      </c>
      <c r="E104" s="152">
        <f>aurora_data!D188</f>
        <v>0.11</v>
      </c>
      <c r="F104" s="153">
        <f>aurora_data!E188</f>
        <v>0.14000000000000001</v>
      </c>
      <c r="G104" s="153">
        <f>aurora_data!F188</f>
        <v>0.33</v>
      </c>
      <c r="H104" s="153">
        <f>aurora_data!G188</f>
        <v>0.42</v>
      </c>
      <c r="I104" s="153">
        <f>aurora_data!H188</f>
        <v>1.63</v>
      </c>
      <c r="J104" s="152">
        <f>aurora_data!I188</f>
        <v>0.11</v>
      </c>
      <c r="K104" s="153">
        <f>aurora_data!J188</f>
        <v>0.41</v>
      </c>
      <c r="L104" s="153">
        <f>aurora_data!K188</f>
        <v>1.83</v>
      </c>
      <c r="M104" s="153">
        <f>aurora_data!L188</f>
        <v>2.37</v>
      </c>
      <c r="N104" s="154">
        <f>aurora_data!M188</f>
        <v>1.69</v>
      </c>
      <c r="O104" s="152">
        <f>aurora_data!N188</f>
        <v>1.3</v>
      </c>
      <c r="P104" s="153">
        <f>aurora_data!O188</f>
        <v>1.86</v>
      </c>
      <c r="Q104" s="153">
        <f>aurora_data!P188</f>
        <v>3.48</v>
      </c>
      <c r="R104" s="153">
        <f>aurora_data!Q188</f>
        <v>3.59</v>
      </c>
      <c r="S104" s="154">
        <f>aurora_data!R188</f>
        <v>2.5099999999999998</v>
      </c>
      <c r="T104" s="152">
        <f>aurora_data!S188</f>
        <v>0.1</v>
      </c>
      <c r="U104" s="153">
        <f>aurora_data!T188</f>
        <v>0.24</v>
      </c>
      <c r="V104" s="153">
        <f>aurora_data!U188</f>
        <v>0.72</v>
      </c>
      <c r="W104" s="153">
        <f>aurora_data!V188</f>
        <v>1.68</v>
      </c>
      <c r="X104" s="154">
        <f>aurora_data!W188</f>
        <v>1.89</v>
      </c>
      <c r="Y104" s="152">
        <f>aurora_data!X188</f>
        <v>0.28999999999999998</v>
      </c>
      <c r="Z104" s="153">
        <f>aurora_data!Y188</f>
        <v>0.5</v>
      </c>
      <c r="AA104" s="153">
        <f>aurora_data!Z188</f>
        <v>3.66</v>
      </c>
      <c r="AB104" s="153">
        <f>aurora_data!AA188</f>
        <v>7.75</v>
      </c>
      <c r="AC104" s="154">
        <f>aurora_data!AB188</f>
        <v>11.41</v>
      </c>
      <c r="AD104" s="152">
        <f>aurora_data!AC188</f>
        <v>10.210000000000001</v>
      </c>
      <c r="AE104" s="153">
        <f>aurora_data!AD188</f>
        <v>7.91</v>
      </c>
      <c r="AF104" s="153">
        <f>aurora_data!AE188</f>
        <v>19.89</v>
      </c>
      <c r="AG104" s="154">
        <f>aurora_data!AF188</f>
        <v>11.99</v>
      </c>
      <c r="AH104" s="155">
        <f>aurora_data!AG188</f>
        <v>25</v>
      </c>
      <c r="AI104" s="171">
        <f>aurora_data!AH188</f>
        <v>25</v>
      </c>
      <c r="AJ104" s="201">
        <f>aurora_data!AI60</f>
        <v>0</v>
      </c>
      <c r="AK104" s="407"/>
      <c r="AL104" s="155">
        <f>aurora_data!AJ188</f>
        <v>50</v>
      </c>
      <c r="AM104" s="167">
        <f t="shared" ref="AM104:AM111" si="68">SUM(AL104)/$AL$104</f>
        <v>1</v>
      </c>
      <c r="AO104"/>
      <c r="AP104"/>
      <c r="AQ104"/>
      <c r="AR104"/>
      <c r="AS104"/>
      <c r="AT104"/>
      <c r="AU104"/>
      <c r="AV104"/>
      <c r="AW104"/>
      <c r="AX104"/>
      <c r="AY104"/>
    </row>
    <row r="105" spans="2:51">
      <c r="B105" s="452"/>
      <c r="C105" s="454"/>
      <c r="D105" s="35" t="s">
        <v>339</v>
      </c>
      <c r="E105" s="262">
        <f>aurora_data!D189</f>
        <v>0</v>
      </c>
      <c r="F105" s="263">
        <f>aurora_data!E189</f>
        <v>0</v>
      </c>
      <c r="G105" s="263">
        <f>aurora_data!F189</f>
        <v>0</v>
      </c>
      <c r="H105" s="263">
        <f>aurora_data!G189</f>
        <v>1</v>
      </c>
      <c r="I105" s="263">
        <f>aurora_data!H189</f>
        <v>1</v>
      </c>
      <c r="J105" s="262">
        <f>aurora_data!I189</f>
        <v>1</v>
      </c>
      <c r="K105" s="263">
        <f>aurora_data!J189</f>
        <v>0</v>
      </c>
      <c r="L105" s="263">
        <f>aurora_data!K189</f>
        <v>0</v>
      </c>
      <c r="M105" s="263">
        <f>aurora_data!L189</f>
        <v>2</v>
      </c>
      <c r="N105" s="264">
        <f>aurora_data!M189</f>
        <v>2</v>
      </c>
      <c r="O105" s="262">
        <f>aurora_data!N189</f>
        <v>0</v>
      </c>
      <c r="P105" s="263">
        <f>aurora_data!O189</f>
        <v>1</v>
      </c>
      <c r="Q105" s="263">
        <f>aurora_data!P189</f>
        <v>3</v>
      </c>
      <c r="R105" s="263">
        <f>aurora_data!Q189</f>
        <v>4</v>
      </c>
      <c r="S105" s="264">
        <f>aurora_data!R189</f>
        <v>3</v>
      </c>
      <c r="T105" s="262">
        <f>aurora_data!S189</f>
        <v>0</v>
      </c>
      <c r="U105" s="263">
        <f>aurora_data!T189</f>
        <v>0</v>
      </c>
      <c r="V105" s="263">
        <f>aurora_data!U189</f>
        <v>1</v>
      </c>
      <c r="W105" s="263">
        <f>aurora_data!V189</f>
        <v>1</v>
      </c>
      <c r="X105" s="264">
        <f>aurora_data!W189</f>
        <v>2</v>
      </c>
      <c r="Y105" s="262">
        <f>aurora_data!X189</f>
        <v>0</v>
      </c>
      <c r="Z105" s="263">
        <f>aurora_data!Y189</f>
        <v>1</v>
      </c>
      <c r="AA105" s="263">
        <f>aurora_data!Z189</f>
        <v>4</v>
      </c>
      <c r="AB105" s="263">
        <f>aurora_data!AA189</f>
        <v>6</v>
      </c>
      <c r="AC105" s="264">
        <f>aurora_data!AB189</f>
        <v>11</v>
      </c>
      <c r="AD105" s="262">
        <f>aurora_data!AC189</f>
        <v>9</v>
      </c>
      <c r="AE105" s="263">
        <f>aurora_data!AD189</f>
        <v>6</v>
      </c>
      <c r="AF105" s="263">
        <f>aurora_data!AE189</f>
        <v>17</v>
      </c>
      <c r="AG105" s="264">
        <f>aurora_data!AF189</f>
        <v>11</v>
      </c>
      <c r="AH105" s="262">
        <f>aurora_data!AG189</f>
        <v>22</v>
      </c>
      <c r="AI105" s="263">
        <f>aurora_data!AH189</f>
        <v>22</v>
      </c>
      <c r="AJ105" s="264">
        <f>aurora_data!AI61</f>
        <v>0</v>
      </c>
      <c r="AK105" s="407"/>
      <c r="AL105" s="408">
        <f>aurora_data!AJ189</f>
        <v>44</v>
      </c>
      <c r="AM105" s="409">
        <f t="shared" si="68"/>
        <v>0.88</v>
      </c>
      <c r="AO105"/>
      <c r="AP105"/>
      <c r="AQ105"/>
      <c r="AR105"/>
      <c r="AS105"/>
      <c r="AT105"/>
      <c r="AU105"/>
      <c r="AV105"/>
      <c r="AW105"/>
      <c r="AX105"/>
      <c r="AY105"/>
    </row>
    <row r="106" spans="2:51">
      <c r="B106" s="452"/>
      <c r="C106" s="454"/>
      <c r="D106" s="35" t="s">
        <v>291</v>
      </c>
      <c r="E106" s="408">
        <f>aurora_data!D190</f>
        <v>0</v>
      </c>
      <c r="F106" s="410">
        <f>aurora_data!E190</f>
        <v>0</v>
      </c>
      <c r="G106" s="410">
        <f>aurora_data!F190</f>
        <v>0</v>
      </c>
      <c r="H106" s="410">
        <f>aurora_data!G190</f>
        <v>0</v>
      </c>
      <c r="I106" s="410">
        <f>aurora_data!H190</f>
        <v>0</v>
      </c>
      <c r="J106" s="408">
        <f>aurora_data!I190</f>
        <v>0</v>
      </c>
      <c r="K106" s="410">
        <f>aurora_data!J190</f>
        <v>0</v>
      </c>
      <c r="L106" s="410">
        <f>aurora_data!K190</f>
        <v>0</v>
      </c>
      <c r="M106" s="410">
        <f>aurora_data!L190</f>
        <v>0</v>
      </c>
      <c r="N106" s="411">
        <f>aurora_data!M190</f>
        <v>0</v>
      </c>
      <c r="O106" s="408">
        <f>aurora_data!N190</f>
        <v>0</v>
      </c>
      <c r="P106" s="410">
        <f>aurora_data!O190</f>
        <v>0</v>
      </c>
      <c r="Q106" s="410">
        <f>aurora_data!P190</f>
        <v>1</v>
      </c>
      <c r="R106" s="410">
        <f>aurora_data!Q190</f>
        <v>3</v>
      </c>
      <c r="S106" s="411">
        <f>aurora_data!R190</f>
        <v>0</v>
      </c>
      <c r="T106" s="408">
        <f>aurora_data!S190</f>
        <v>0</v>
      </c>
      <c r="U106" s="410">
        <f>aurora_data!T190</f>
        <v>0</v>
      </c>
      <c r="V106" s="410">
        <f>aurora_data!U190</f>
        <v>0</v>
      </c>
      <c r="W106" s="410">
        <f>aurora_data!V190</f>
        <v>0</v>
      </c>
      <c r="X106" s="411">
        <f>aurora_data!W190</f>
        <v>1</v>
      </c>
      <c r="Y106" s="408">
        <f>aurora_data!X190</f>
        <v>0</v>
      </c>
      <c r="Z106" s="410">
        <f>aurora_data!Y190</f>
        <v>2</v>
      </c>
      <c r="AA106" s="410">
        <f>aurora_data!Z190</f>
        <v>0</v>
      </c>
      <c r="AB106" s="410">
        <f>aurora_data!AA190</f>
        <v>0</v>
      </c>
      <c r="AC106" s="411">
        <f>aurora_data!AB190</f>
        <v>4</v>
      </c>
      <c r="AD106" s="408">
        <f>aurora_data!AC190</f>
        <v>4</v>
      </c>
      <c r="AE106" s="410">
        <f>aurora_data!AD190</f>
        <v>3</v>
      </c>
      <c r="AF106" s="410">
        <f>aurora_data!AE190</f>
        <v>1</v>
      </c>
      <c r="AG106" s="411">
        <f>aurora_data!AF190</f>
        <v>3</v>
      </c>
      <c r="AH106" s="408">
        <f>aurora_data!AG190</f>
        <v>8</v>
      </c>
      <c r="AI106" s="410">
        <f>aurora_data!AH190</f>
        <v>3</v>
      </c>
      <c r="AJ106" s="411">
        <f>aurora_data!AI62</f>
        <v>0</v>
      </c>
      <c r="AK106" s="407"/>
      <c r="AL106" s="408">
        <f>aurora_data!AJ190</f>
        <v>11</v>
      </c>
      <c r="AM106" s="409">
        <f t="shared" si="68"/>
        <v>0.22</v>
      </c>
      <c r="AO106"/>
      <c r="AP106"/>
      <c r="AQ106"/>
      <c r="AR106"/>
      <c r="AS106"/>
      <c r="AT106"/>
      <c r="AU106"/>
      <c r="AV106"/>
      <c r="AW106"/>
      <c r="AX106"/>
      <c r="AY106"/>
    </row>
    <row r="107" spans="2:51">
      <c r="B107" s="452"/>
      <c r="C107" s="454"/>
      <c r="D107" s="35" t="s">
        <v>340</v>
      </c>
      <c r="E107" s="408">
        <f>aurora_data!D191</f>
        <v>0</v>
      </c>
      <c r="F107" s="410">
        <f>aurora_data!E191</f>
        <v>0</v>
      </c>
      <c r="G107" s="410">
        <f>aurora_data!F191</f>
        <v>0</v>
      </c>
      <c r="H107" s="410">
        <f>aurora_data!G191</f>
        <v>0</v>
      </c>
      <c r="I107" s="410">
        <f>aurora_data!H191</f>
        <v>0</v>
      </c>
      <c r="J107" s="408">
        <f>aurora_data!I191</f>
        <v>0</v>
      </c>
      <c r="K107" s="410">
        <f>aurora_data!J191</f>
        <v>0</v>
      </c>
      <c r="L107" s="410">
        <f>aurora_data!K191</f>
        <v>0</v>
      </c>
      <c r="M107" s="410">
        <f>aurora_data!L191</f>
        <v>0</v>
      </c>
      <c r="N107" s="411">
        <f>aurora_data!M191</f>
        <v>0</v>
      </c>
      <c r="O107" s="408">
        <f>aurora_data!N191</f>
        <v>0</v>
      </c>
      <c r="P107" s="410">
        <f>aurora_data!O191</f>
        <v>0</v>
      </c>
      <c r="Q107" s="410">
        <f>aurora_data!P191</f>
        <v>0</v>
      </c>
      <c r="R107" s="410">
        <f>aurora_data!Q191</f>
        <v>0</v>
      </c>
      <c r="S107" s="411">
        <f>aurora_data!R191</f>
        <v>0</v>
      </c>
      <c r="T107" s="408">
        <f>aurora_data!S191</f>
        <v>0</v>
      </c>
      <c r="U107" s="410">
        <f>aurora_data!T191</f>
        <v>0</v>
      </c>
      <c r="V107" s="410">
        <f>aurora_data!U191</f>
        <v>0</v>
      </c>
      <c r="W107" s="410">
        <f>aurora_data!V191</f>
        <v>0</v>
      </c>
      <c r="X107" s="411">
        <f>aurora_data!W191</f>
        <v>0</v>
      </c>
      <c r="Y107" s="408">
        <f>aurora_data!X191</f>
        <v>0</v>
      </c>
      <c r="Z107" s="410">
        <f>aurora_data!Y191</f>
        <v>0</v>
      </c>
      <c r="AA107" s="410">
        <f>aurora_data!Z191</f>
        <v>0</v>
      </c>
      <c r="AB107" s="410">
        <f>aurora_data!AA191</f>
        <v>0</v>
      </c>
      <c r="AC107" s="411">
        <f>aurora_data!AB191</f>
        <v>0</v>
      </c>
      <c r="AD107" s="408">
        <f>aurora_data!AC191</f>
        <v>0</v>
      </c>
      <c r="AE107" s="410">
        <f>aurora_data!AD191</f>
        <v>0</v>
      </c>
      <c r="AF107" s="410">
        <f>aurora_data!AE191</f>
        <v>0</v>
      </c>
      <c r="AG107" s="411">
        <f>aurora_data!AF191</f>
        <v>0</v>
      </c>
      <c r="AH107" s="408">
        <f>aurora_data!AG191</f>
        <v>0</v>
      </c>
      <c r="AI107" s="410">
        <f>aurora_data!AH191</f>
        <v>0</v>
      </c>
      <c r="AJ107" s="411">
        <f>aurora_data!AI63</f>
        <v>0</v>
      </c>
      <c r="AK107" s="407"/>
      <c r="AL107" s="408">
        <f>aurora_data!AJ191</f>
        <v>0</v>
      </c>
      <c r="AM107" s="409">
        <f t="shared" si="68"/>
        <v>0</v>
      </c>
      <c r="AO107"/>
      <c r="AP107"/>
      <c r="AQ107"/>
      <c r="AR107"/>
      <c r="AS107"/>
      <c r="AT107"/>
      <c r="AU107"/>
      <c r="AV107"/>
      <c r="AW107"/>
      <c r="AX107"/>
      <c r="AY107"/>
    </row>
    <row r="108" spans="2:51">
      <c r="B108" s="452"/>
      <c r="C108" s="454"/>
      <c r="D108" s="35" t="s">
        <v>341</v>
      </c>
      <c r="E108" s="408">
        <f>aurora_data!D192</f>
        <v>0</v>
      </c>
      <c r="F108" s="410">
        <f>aurora_data!E192</f>
        <v>0</v>
      </c>
      <c r="G108" s="410">
        <f>aurora_data!F192</f>
        <v>0</v>
      </c>
      <c r="H108" s="410">
        <f>aurora_data!G192</f>
        <v>0</v>
      </c>
      <c r="I108" s="410">
        <f>aurora_data!H192</f>
        <v>1</v>
      </c>
      <c r="J108" s="408">
        <f>aurora_data!I192</f>
        <v>0</v>
      </c>
      <c r="K108" s="410">
        <f>aurora_data!J192</f>
        <v>0</v>
      </c>
      <c r="L108" s="410">
        <f>aurora_data!K192</f>
        <v>2</v>
      </c>
      <c r="M108" s="410">
        <f>aurora_data!L192</f>
        <v>0</v>
      </c>
      <c r="N108" s="411">
        <f>aurora_data!M192</f>
        <v>0</v>
      </c>
      <c r="O108" s="408">
        <f>aurora_data!N192</f>
        <v>0</v>
      </c>
      <c r="P108" s="410">
        <f>aurora_data!O192</f>
        <v>0</v>
      </c>
      <c r="Q108" s="410">
        <f>aurora_data!P192</f>
        <v>0</v>
      </c>
      <c r="R108" s="410">
        <f>aurora_data!Q192</f>
        <v>0</v>
      </c>
      <c r="S108" s="411">
        <f>aurora_data!R192</f>
        <v>0</v>
      </c>
      <c r="T108" s="408">
        <f>aurora_data!S192</f>
        <v>0</v>
      </c>
      <c r="U108" s="410">
        <f>aurora_data!T192</f>
        <v>0</v>
      </c>
      <c r="V108" s="410">
        <f>aurora_data!U192</f>
        <v>0</v>
      </c>
      <c r="W108" s="410">
        <f>aurora_data!V192</f>
        <v>0</v>
      </c>
      <c r="X108" s="411">
        <f>aurora_data!W192</f>
        <v>0</v>
      </c>
      <c r="Y108" s="408">
        <f>aurora_data!X192</f>
        <v>0</v>
      </c>
      <c r="Z108" s="410">
        <f>aurora_data!Y192</f>
        <v>0</v>
      </c>
      <c r="AA108" s="410">
        <f>aurora_data!Z192</f>
        <v>1</v>
      </c>
      <c r="AB108" s="410">
        <f>aurora_data!AA192</f>
        <v>1</v>
      </c>
      <c r="AC108" s="411">
        <f>aurora_data!AB192</f>
        <v>0</v>
      </c>
      <c r="AD108" s="408">
        <f>aurora_data!AC192</f>
        <v>1</v>
      </c>
      <c r="AE108" s="410">
        <f>aurora_data!AD192</f>
        <v>1</v>
      </c>
      <c r="AF108" s="410">
        <f>aurora_data!AE192</f>
        <v>2</v>
      </c>
      <c r="AG108" s="411">
        <f>aurora_data!AF192</f>
        <v>1</v>
      </c>
      <c r="AH108" s="408">
        <f>aurora_data!AG192</f>
        <v>3</v>
      </c>
      <c r="AI108" s="410">
        <f>aurora_data!AH192</f>
        <v>2</v>
      </c>
      <c r="AJ108" s="411">
        <f>aurora_data!AI64</f>
        <v>0</v>
      </c>
      <c r="AK108" s="407"/>
      <c r="AL108" s="408">
        <f>aurora_data!AJ192</f>
        <v>5</v>
      </c>
      <c r="AM108" s="409">
        <f t="shared" si="68"/>
        <v>0.1</v>
      </c>
      <c r="AO108"/>
      <c r="AP108"/>
      <c r="AQ108"/>
      <c r="AR108"/>
      <c r="AS108"/>
      <c r="AT108"/>
      <c r="AU108"/>
      <c r="AV108"/>
      <c r="AW108"/>
      <c r="AX108"/>
      <c r="AY108"/>
    </row>
    <row r="109" spans="2:51" ht="16.5" thickBot="1">
      <c r="B109" s="452"/>
      <c r="C109" s="454"/>
      <c r="D109" s="35" t="s">
        <v>342</v>
      </c>
      <c r="E109" s="408">
        <f>aurora_data!D193</f>
        <v>0</v>
      </c>
      <c r="F109" s="410">
        <f>aurora_data!E193</f>
        <v>0</v>
      </c>
      <c r="G109" s="410">
        <f>aurora_data!F193</f>
        <v>0</v>
      </c>
      <c r="H109" s="410">
        <f>aurora_data!G193</f>
        <v>0</v>
      </c>
      <c r="I109" s="410">
        <f>aurora_data!H193</f>
        <v>0</v>
      </c>
      <c r="J109" s="408">
        <f>aurora_data!I193</f>
        <v>0</v>
      </c>
      <c r="K109" s="410">
        <f>aurora_data!J193</f>
        <v>0</v>
      </c>
      <c r="L109" s="410">
        <f>aurora_data!K193</f>
        <v>0</v>
      </c>
      <c r="M109" s="410">
        <f>aurora_data!L193</f>
        <v>0</v>
      </c>
      <c r="N109" s="411">
        <f>aurora_data!M193</f>
        <v>0</v>
      </c>
      <c r="O109" s="408">
        <f>aurora_data!N193</f>
        <v>0</v>
      </c>
      <c r="P109" s="410">
        <f>aurora_data!O193</f>
        <v>0</v>
      </c>
      <c r="Q109" s="410">
        <f>aurora_data!P193</f>
        <v>0</v>
      </c>
      <c r="R109" s="410">
        <f>aurora_data!Q193</f>
        <v>0</v>
      </c>
      <c r="S109" s="411">
        <f>aurora_data!R193</f>
        <v>0</v>
      </c>
      <c r="T109" s="408">
        <f>aurora_data!S193</f>
        <v>0</v>
      </c>
      <c r="U109" s="410">
        <f>aurora_data!T193</f>
        <v>0</v>
      </c>
      <c r="V109" s="410">
        <f>aurora_data!U193</f>
        <v>0</v>
      </c>
      <c r="W109" s="410">
        <f>aurora_data!V193</f>
        <v>0</v>
      </c>
      <c r="X109" s="411">
        <f>aurora_data!W193</f>
        <v>0</v>
      </c>
      <c r="Y109" s="408">
        <f>aurora_data!X193</f>
        <v>0</v>
      </c>
      <c r="Z109" s="410">
        <f>aurora_data!Y193</f>
        <v>0</v>
      </c>
      <c r="AA109" s="410">
        <f>aurora_data!Z193</f>
        <v>0</v>
      </c>
      <c r="AB109" s="410">
        <f>aurora_data!AA193</f>
        <v>0</v>
      </c>
      <c r="AC109" s="411">
        <f>aurora_data!AB193</f>
        <v>0</v>
      </c>
      <c r="AD109" s="408">
        <f>aurora_data!AC193</f>
        <v>0</v>
      </c>
      <c r="AE109" s="410">
        <f>aurora_data!AD193</f>
        <v>0</v>
      </c>
      <c r="AF109" s="410">
        <f>aurora_data!AE193</f>
        <v>0</v>
      </c>
      <c r="AG109" s="411">
        <f>aurora_data!AF193</f>
        <v>0</v>
      </c>
      <c r="AH109" s="408">
        <f>aurora_data!AG193</f>
        <v>0</v>
      </c>
      <c r="AI109" s="410">
        <f>aurora_data!AH193</f>
        <v>0</v>
      </c>
      <c r="AJ109" s="411">
        <f>aurora_data!AI65</f>
        <v>0</v>
      </c>
      <c r="AK109" s="412"/>
      <c r="AL109" s="408">
        <f>aurora_data!AJ193</f>
        <v>0</v>
      </c>
      <c r="AM109" s="409">
        <f t="shared" si="68"/>
        <v>0</v>
      </c>
      <c r="AO109"/>
      <c r="AP109"/>
      <c r="AQ109"/>
      <c r="AR109"/>
      <c r="AS109"/>
      <c r="AT109"/>
      <c r="AU109"/>
      <c r="AV109"/>
      <c r="AW109"/>
      <c r="AX109"/>
      <c r="AY109"/>
    </row>
    <row r="110" spans="2:51" ht="16.5" thickBot="1">
      <c r="B110" s="452"/>
      <c r="C110" s="454"/>
      <c r="D110" s="37" t="s">
        <v>17</v>
      </c>
      <c r="E110" s="182">
        <f>aurora_data!D194</f>
        <v>0</v>
      </c>
      <c r="F110" s="183">
        <f>aurora_data!E194</f>
        <v>0</v>
      </c>
      <c r="G110" s="183">
        <f>aurora_data!F194</f>
        <v>0</v>
      </c>
      <c r="H110" s="183">
        <f>aurora_data!G194</f>
        <v>1</v>
      </c>
      <c r="I110" s="184">
        <f>aurora_data!H194</f>
        <v>2</v>
      </c>
      <c r="J110" s="182">
        <f>aurora_data!I194</f>
        <v>1</v>
      </c>
      <c r="K110" s="183">
        <f>aurora_data!J194</f>
        <v>0</v>
      </c>
      <c r="L110" s="183">
        <f>aurora_data!K194</f>
        <v>2</v>
      </c>
      <c r="M110" s="183">
        <f>aurora_data!L194</f>
        <v>2</v>
      </c>
      <c r="N110" s="184">
        <f>aurora_data!M194</f>
        <v>2</v>
      </c>
      <c r="O110" s="182">
        <f>aurora_data!N194</f>
        <v>0</v>
      </c>
      <c r="P110" s="183">
        <f>aurora_data!O194</f>
        <v>1</v>
      </c>
      <c r="Q110" s="183">
        <f>aurora_data!P194</f>
        <v>4</v>
      </c>
      <c r="R110" s="183">
        <f>aurora_data!Q194</f>
        <v>7</v>
      </c>
      <c r="S110" s="184">
        <f>aurora_data!R194</f>
        <v>3</v>
      </c>
      <c r="T110" s="182">
        <f>aurora_data!S194</f>
        <v>0</v>
      </c>
      <c r="U110" s="183">
        <f>aurora_data!T194</f>
        <v>0</v>
      </c>
      <c r="V110" s="183">
        <f>aurora_data!U194</f>
        <v>1</v>
      </c>
      <c r="W110" s="183">
        <f>aurora_data!V194</f>
        <v>1</v>
      </c>
      <c r="X110" s="184">
        <f>aurora_data!W194</f>
        <v>3</v>
      </c>
      <c r="Y110" s="182">
        <f>aurora_data!X194</f>
        <v>0</v>
      </c>
      <c r="Z110" s="183">
        <f>aurora_data!Y194</f>
        <v>3</v>
      </c>
      <c r="AA110" s="183">
        <f>aurora_data!Z194</f>
        <v>5</v>
      </c>
      <c r="AB110" s="183">
        <f>aurora_data!AA194</f>
        <v>7</v>
      </c>
      <c r="AC110" s="184">
        <f>aurora_data!AB194</f>
        <v>15</v>
      </c>
      <c r="AD110" s="182">
        <f>aurora_data!AC194</f>
        <v>14</v>
      </c>
      <c r="AE110" s="183">
        <f>aurora_data!AD194</f>
        <v>10</v>
      </c>
      <c r="AF110" s="183">
        <f>aurora_data!AE194</f>
        <v>20</v>
      </c>
      <c r="AG110" s="184">
        <f>aurora_data!AF194</f>
        <v>15</v>
      </c>
      <c r="AH110" s="182">
        <f>aurora_data!AG194</f>
        <v>33</v>
      </c>
      <c r="AI110" s="183">
        <f>aurora_data!AH194</f>
        <v>27</v>
      </c>
      <c r="AJ110" s="183">
        <f>aurora_data!AI66</f>
        <v>0</v>
      </c>
      <c r="AK110" s="412"/>
      <c r="AL110" s="182">
        <f>aurora_data!AJ194</f>
        <v>60</v>
      </c>
      <c r="AM110" s="413">
        <f t="shared" si="68"/>
        <v>1.2</v>
      </c>
      <c r="AO110"/>
      <c r="AP110"/>
      <c r="AQ110"/>
      <c r="AR110"/>
      <c r="AS110"/>
      <c r="AT110"/>
      <c r="AU110"/>
      <c r="AV110"/>
      <c r="AW110"/>
      <c r="AX110"/>
      <c r="AY110"/>
    </row>
    <row r="111" spans="2:51" ht="16.5" thickBot="1">
      <c r="B111" s="452"/>
      <c r="C111" s="454"/>
      <c r="D111" s="38" t="s">
        <v>343</v>
      </c>
      <c r="E111" s="265">
        <f>aurora_data!D195</f>
        <v>0</v>
      </c>
      <c r="F111" s="266">
        <f>aurora_data!E195</f>
        <v>0</v>
      </c>
      <c r="G111" s="266">
        <f>aurora_data!F195</f>
        <v>0</v>
      </c>
      <c r="H111" s="266">
        <f>aurora_data!G195</f>
        <v>0</v>
      </c>
      <c r="I111" s="266">
        <f>aurora_data!H195</f>
        <v>0</v>
      </c>
      <c r="J111" s="265">
        <f>aurora_data!I195</f>
        <v>0</v>
      </c>
      <c r="K111" s="266">
        <f>aurora_data!J195</f>
        <v>0</v>
      </c>
      <c r="L111" s="266">
        <f>aurora_data!K195</f>
        <v>0</v>
      </c>
      <c r="M111" s="266">
        <f>aurora_data!L195</f>
        <v>0</v>
      </c>
      <c r="N111" s="267">
        <f>aurora_data!M195</f>
        <v>0</v>
      </c>
      <c r="O111" s="265">
        <f>aurora_data!N195</f>
        <v>0</v>
      </c>
      <c r="P111" s="266">
        <f>aurora_data!O195</f>
        <v>0</v>
      </c>
      <c r="Q111" s="266">
        <f>aurora_data!P195</f>
        <v>0</v>
      </c>
      <c r="R111" s="266">
        <f>aurora_data!Q195</f>
        <v>0</v>
      </c>
      <c r="S111" s="267">
        <f>aurora_data!R195</f>
        <v>0</v>
      </c>
      <c r="T111" s="265">
        <f>aurora_data!S195</f>
        <v>0</v>
      </c>
      <c r="U111" s="266">
        <f>aurora_data!T195</f>
        <v>0</v>
      </c>
      <c r="V111" s="266">
        <f>aurora_data!U195</f>
        <v>0</v>
      </c>
      <c r="W111" s="266">
        <f>aurora_data!V195</f>
        <v>0</v>
      </c>
      <c r="X111" s="267">
        <f>aurora_data!W195</f>
        <v>0</v>
      </c>
      <c r="Y111" s="265">
        <f>aurora_data!X195</f>
        <v>0</v>
      </c>
      <c r="Z111" s="266">
        <f>aurora_data!Y195</f>
        <v>0</v>
      </c>
      <c r="AA111" s="266">
        <f>aurora_data!Z195</f>
        <v>0</v>
      </c>
      <c r="AB111" s="266">
        <f>aurora_data!AA195</f>
        <v>0</v>
      </c>
      <c r="AC111" s="267">
        <f>aurora_data!AB195</f>
        <v>0</v>
      </c>
      <c r="AD111" s="265">
        <f>aurora_data!AC195</f>
        <v>0</v>
      </c>
      <c r="AE111" s="266">
        <f>aurora_data!AD195</f>
        <v>0</v>
      </c>
      <c r="AF111" s="266">
        <f>aurora_data!AE195</f>
        <v>0</v>
      </c>
      <c r="AG111" s="267">
        <f>aurora_data!AF195</f>
        <v>0</v>
      </c>
      <c r="AH111" s="265">
        <f>aurora_data!AG195</f>
        <v>0</v>
      </c>
      <c r="AI111" s="266">
        <f>aurora_data!AH195</f>
        <v>0</v>
      </c>
      <c r="AJ111" s="268">
        <f>aurora_data!AI67</f>
        <v>0</v>
      </c>
      <c r="AK111" s="269"/>
      <c r="AL111" s="265">
        <f>aurora_data!AJ195</f>
        <v>0</v>
      </c>
      <c r="AM111" s="270">
        <f t="shared" si="68"/>
        <v>0</v>
      </c>
      <c r="AO111"/>
      <c r="AP111"/>
      <c r="AQ111"/>
      <c r="AR111"/>
      <c r="AS111"/>
      <c r="AT111"/>
      <c r="AU111"/>
      <c r="AV111"/>
      <c r="AW111"/>
      <c r="AX111"/>
      <c r="AY111"/>
    </row>
    <row r="112" spans="2:51" outlineLevel="1">
      <c r="B112" s="452"/>
      <c r="C112" s="454"/>
      <c r="D112" s="199" t="s">
        <v>344</v>
      </c>
      <c r="E112" s="271">
        <f t="shared" ref="E112:AC112" si="69">ROUNDDOWN((E114+$E$9)*($AL104),0)</f>
        <v>1</v>
      </c>
      <c r="F112" s="272">
        <f t="shared" si="69"/>
        <v>1</v>
      </c>
      <c r="G112" s="272">
        <f t="shared" si="69"/>
        <v>1</v>
      </c>
      <c r="H112" s="272">
        <f t="shared" si="69"/>
        <v>1</v>
      </c>
      <c r="I112" s="272">
        <f t="shared" si="69"/>
        <v>2</v>
      </c>
      <c r="J112" s="271">
        <f t="shared" si="69"/>
        <v>1</v>
      </c>
      <c r="K112" s="272">
        <f t="shared" si="69"/>
        <v>1</v>
      </c>
      <c r="L112" s="272">
        <f t="shared" si="69"/>
        <v>2</v>
      </c>
      <c r="M112" s="272">
        <f t="shared" si="69"/>
        <v>3</v>
      </c>
      <c r="N112" s="268">
        <f t="shared" si="69"/>
        <v>2</v>
      </c>
      <c r="O112" s="271">
        <f t="shared" si="69"/>
        <v>2</v>
      </c>
      <c r="P112" s="272">
        <f t="shared" si="69"/>
        <v>2</v>
      </c>
      <c r="Q112" s="272">
        <f t="shared" si="69"/>
        <v>4</v>
      </c>
      <c r="R112" s="272">
        <f t="shared" si="69"/>
        <v>4</v>
      </c>
      <c r="S112" s="268">
        <f t="shared" si="69"/>
        <v>3</v>
      </c>
      <c r="T112" s="271">
        <f t="shared" si="69"/>
        <v>1</v>
      </c>
      <c r="U112" s="272">
        <f t="shared" si="69"/>
        <v>1</v>
      </c>
      <c r="V112" s="272">
        <f t="shared" si="69"/>
        <v>1</v>
      </c>
      <c r="W112" s="272">
        <f t="shared" si="69"/>
        <v>2</v>
      </c>
      <c r="X112" s="268">
        <f t="shared" si="69"/>
        <v>2</v>
      </c>
      <c r="Y112" s="271">
        <f t="shared" si="69"/>
        <v>1</v>
      </c>
      <c r="Z112" s="272">
        <f t="shared" si="69"/>
        <v>1</v>
      </c>
      <c r="AA112" s="272">
        <f t="shared" si="69"/>
        <v>4</v>
      </c>
      <c r="AB112" s="272">
        <f t="shared" si="69"/>
        <v>8</v>
      </c>
      <c r="AC112" s="268">
        <f t="shared" si="69"/>
        <v>12</v>
      </c>
      <c r="AD112" s="271">
        <f>ROUNDDOWN((AD114+$AD$9)*($AL104),0)</f>
        <v>15</v>
      </c>
      <c r="AE112" s="272">
        <f>ROUNDDOWN((AE114+$AD$9)*($AL104),0)</f>
        <v>12</v>
      </c>
      <c r="AF112" s="272">
        <f t="shared" ref="AF112:AG112" si="70">ROUNDDOWN((AF114+$AD$9)*($AL104),0)</f>
        <v>24</v>
      </c>
      <c r="AG112" s="268">
        <f t="shared" si="70"/>
        <v>16</v>
      </c>
      <c r="AH112" s="271">
        <f>ROUNDDOWN((AH114+$AH$9)*($AL104),0)</f>
        <v>25</v>
      </c>
      <c r="AI112" s="272">
        <f>ROUNDDOWN((AI114+$AH$8)*($AL104),0)</f>
        <v>25</v>
      </c>
      <c r="AJ112" s="272">
        <f>ROUNDDOWN((AJ114+$AH$8)*($AL104),0)</f>
        <v>0</v>
      </c>
      <c r="AK112" s="273"/>
      <c r="AL112" s="274"/>
      <c r="AM112" s="275"/>
      <c r="AO112"/>
      <c r="AP112"/>
      <c r="AQ112"/>
      <c r="AR112"/>
      <c r="AS112"/>
      <c r="AT112"/>
      <c r="AU112"/>
      <c r="AV112"/>
      <c r="AW112"/>
      <c r="AX112"/>
      <c r="AY112"/>
    </row>
    <row r="113" spans="2:51" ht="15.75" customHeight="1" outlineLevel="1" thickBot="1">
      <c r="B113" s="452"/>
      <c r="C113" s="454"/>
      <c r="D113" s="199" t="s">
        <v>345</v>
      </c>
      <c r="E113" s="276">
        <f t="shared" ref="E113:AC113" si="71">IF(ROUND(((E114-$E$9)*($AL104))+0.25,0) &lt;=0,1,((E114-$E$9)*($AL104))+0.25)</f>
        <v>1</v>
      </c>
      <c r="F113" s="277">
        <f t="shared" si="71"/>
        <v>1</v>
      </c>
      <c r="G113" s="277">
        <f t="shared" si="71"/>
        <v>1</v>
      </c>
      <c r="H113" s="277">
        <f t="shared" si="71"/>
        <v>1</v>
      </c>
      <c r="I113" s="277">
        <f t="shared" si="71"/>
        <v>0.87999999999999978</v>
      </c>
      <c r="J113" s="276">
        <f t="shared" si="71"/>
        <v>1</v>
      </c>
      <c r="K113" s="277">
        <f t="shared" si="71"/>
        <v>1</v>
      </c>
      <c r="L113" s="277">
        <f t="shared" si="71"/>
        <v>1.08</v>
      </c>
      <c r="M113" s="277">
        <f t="shared" si="71"/>
        <v>1.62</v>
      </c>
      <c r="N113" s="278">
        <f t="shared" si="71"/>
        <v>0.93999999999999984</v>
      </c>
      <c r="O113" s="276">
        <f t="shared" si="71"/>
        <v>0.55000000000000004</v>
      </c>
      <c r="P113" s="277">
        <f t="shared" si="71"/>
        <v>1.1100000000000003</v>
      </c>
      <c r="Q113" s="277">
        <f t="shared" si="71"/>
        <v>2.7299999999999995</v>
      </c>
      <c r="R113" s="277">
        <f t="shared" si="71"/>
        <v>2.84</v>
      </c>
      <c r="S113" s="278">
        <f t="shared" si="71"/>
        <v>1.7599999999999998</v>
      </c>
      <c r="T113" s="276">
        <f t="shared" si="71"/>
        <v>1</v>
      </c>
      <c r="U113" s="277">
        <f t="shared" si="71"/>
        <v>1</v>
      </c>
      <c r="V113" s="277">
        <f t="shared" si="71"/>
        <v>1</v>
      </c>
      <c r="W113" s="277">
        <f t="shared" si="71"/>
        <v>0.92999999999999983</v>
      </c>
      <c r="X113" s="278">
        <f t="shared" si="71"/>
        <v>1.1400000000000001</v>
      </c>
      <c r="Y113" s="276">
        <f t="shared" si="71"/>
        <v>1</v>
      </c>
      <c r="Z113" s="277">
        <f t="shared" si="71"/>
        <v>1</v>
      </c>
      <c r="AA113" s="277">
        <f t="shared" si="71"/>
        <v>2.9099999999999997</v>
      </c>
      <c r="AB113" s="277">
        <f t="shared" si="71"/>
        <v>7</v>
      </c>
      <c r="AC113" s="278">
        <f t="shared" si="71"/>
        <v>10.660000000000002</v>
      </c>
      <c r="AD113" s="276">
        <f>IF(((AD114-$AD$9)*($AL104))+0.5 &lt;0,1,((AD114-$AD$9)*($AL104))+0.5 )</f>
        <v>5.7100000000000009</v>
      </c>
      <c r="AE113" s="277">
        <f t="shared" ref="AE113" si="72">IF(((AE114-$AD$9)*($AL104))+0.5 &lt;0,1,((AE114-$AD$9)*($AL104))+0.5 )</f>
        <v>3.41</v>
      </c>
      <c r="AF113" s="277">
        <f t="shared" ref="AF113" si="73">IF(((AF114-$AD$9)*($AL104))+0.5 &lt;0,1,((AF114-$AD$9)*($AL104))+0.5 )</f>
        <v>15.389999999999997</v>
      </c>
      <c r="AG113" s="278">
        <f t="shared" ref="AG113" si="74">IF(((AG114-$AD$9)*($AL104))+0.5 &lt;0,1,((AG114-$AD$9)*($AL104))+0.5 )</f>
        <v>7.49</v>
      </c>
      <c r="AH113" s="276">
        <f>IF(((AH114-$AH$9)*($AL104))+0.5 &lt;0,1,((AH114-$AH$9)*($AL104)) )</f>
        <v>25</v>
      </c>
      <c r="AI113" s="277">
        <f>IF(((AI114-$AH$9)*($AL104))+0.5 &lt;0,1,((AI114-$AH$9)*($AL104)) )</f>
        <v>25</v>
      </c>
      <c r="AJ113" s="277">
        <f>IF(((AJ114-$AH$8)*($AL104))+0.5 &lt;0,1,((AJ114-$AH$8)*($AL104))+0.5 )</f>
        <v>0.5</v>
      </c>
      <c r="AK113" s="273"/>
      <c r="AL113" s="279"/>
      <c r="AM113" s="280"/>
      <c r="AO113"/>
      <c r="AP113"/>
      <c r="AQ113"/>
      <c r="AR113"/>
      <c r="AS113"/>
      <c r="AT113"/>
      <c r="AU113"/>
      <c r="AV113"/>
      <c r="AW113"/>
      <c r="AX113"/>
      <c r="AY113"/>
    </row>
    <row r="114" spans="2:51" ht="15.75" customHeight="1" outlineLevel="1" thickTop="1">
      <c r="B114" s="110"/>
      <c r="C114" s="109"/>
      <c r="D114" s="95" t="s">
        <v>346</v>
      </c>
      <c r="E114" s="414">
        <f t="shared" ref="E114:AJ114" si="75">IFERROR(E104/$AL104,0)</f>
        <v>2.2000000000000001E-3</v>
      </c>
      <c r="F114" s="415">
        <f t="shared" si="75"/>
        <v>2.8000000000000004E-3</v>
      </c>
      <c r="G114" s="415">
        <f t="shared" si="75"/>
        <v>6.6E-3</v>
      </c>
      <c r="H114" s="415">
        <f t="shared" si="75"/>
        <v>8.3999999999999995E-3</v>
      </c>
      <c r="I114" s="415">
        <f t="shared" si="75"/>
        <v>3.2599999999999997E-2</v>
      </c>
      <c r="J114" s="414">
        <f t="shared" si="75"/>
        <v>2.2000000000000001E-3</v>
      </c>
      <c r="K114" s="415">
        <f t="shared" si="75"/>
        <v>8.199999999999999E-3</v>
      </c>
      <c r="L114" s="415">
        <f t="shared" si="75"/>
        <v>3.6600000000000001E-2</v>
      </c>
      <c r="M114" s="415">
        <f t="shared" si="75"/>
        <v>4.7400000000000005E-2</v>
      </c>
      <c r="N114" s="416">
        <f t="shared" si="75"/>
        <v>3.3799999999999997E-2</v>
      </c>
      <c r="O114" s="414">
        <f t="shared" si="75"/>
        <v>2.6000000000000002E-2</v>
      </c>
      <c r="P114" s="415">
        <f t="shared" si="75"/>
        <v>3.7200000000000004E-2</v>
      </c>
      <c r="Q114" s="415">
        <f t="shared" si="75"/>
        <v>6.9599999999999995E-2</v>
      </c>
      <c r="R114" s="415">
        <f t="shared" si="75"/>
        <v>7.1800000000000003E-2</v>
      </c>
      <c r="S114" s="416">
        <f t="shared" si="75"/>
        <v>5.0199999999999995E-2</v>
      </c>
      <c r="T114" s="414">
        <f t="shared" si="75"/>
        <v>2E-3</v>
      </c>
      <c r="U114" s="415">
        <f t="shared" si="75"/>
        <v>4.7999999999999996E-3</v>
      </c>
      <c r="V114" s="415">
        <f t="shared" si="75"/>
        <v>1.44E-2</v>
      </c>
      <c r="W114" s="415">
        <f t="shared" si="75"/>
        <v>3.3599999999999998E-2</v>
      </c>
      <c r="X114" s="416">
        <f t="shared" si="75"/>
        <v>3.78E-2</v>
      </c>
      <c r="Y114" s="414">
        <f t="shared" si="75"/>
        <v>5.7999999999999996E-3</v>
      </c>
      <c r="Z114" s="415">
        <f t="shared" si="75"/>
        <v>0.01</v>
      </c>
      <c r="AA114" s="415">
        <f t="shared" si="75"/>
        <v>7.3200000000000001E-2</v>
      </c>
      <c r="AB114" s="415">
        <f t="shared" si="75"/>
        <v>0.155</v>
      </c>
      <c r="AC114" s="416">
        <f t="shared" si="75"/>
        <v>0.22820000000000001</v>
      </c>
      <c r="AD114" s="414">
        <f t="shared" si="75"/>
        <v>0.20420000000000002</v>
      </c>
      <c r="AE114" s="415">
        <f t="shared" si="75"/>
        <v>0.15820000000000001</v>
      </c>
      <c r="AF114" s="415">
        <f t="shared" si="75"/>
        <v>0.39779999999999999</v>
      </c>
      <c r="AG114" s="416">
        <f t="shared" si="75"/>
        <v>0.23980000000000001</v>
      </c>
      <c r="AH114" s="414">
        <f t="shared" si="75"/>
        <v>0.5</v>
      </c>
      <c r="AI114" s="415">
        <f t="shared" si="75"/>
        <v>0.5</v>
      </c>
      <c r="AJ114" s="415">
        <f t="shared" si="75"/>
        <v>0</v>
      </c>
      <c r="AK114" s="407"/>
      <c r="AL114" s="417"/>
      <c r="AM114" s="418"/>
      <c r="AO114"/>
      <c r="AP114"/>
      <c r="AQ114"/>
      <c r="AR114"/>
      <c r="AS114"/>
      <c r="AT114"/>
      <c r="AU114"/>
      <c r="AV114"/>
      <c r="AW114"/>
      <c r="AX114"/>
      <c r="AY114"/>
    </row>
    <row r="115" spans="2:51" ht="16.5" customHeight="1" outlineLevel="1">
      <c r="B115" s="110"/>
      <c r="C115" s="109"/>
      <c r="D115" s="180" t="s">
        <v>347</v>
      </c>
      <c r="E115" s="414">
        <f t="shared" ref="E115:AJ115" si="76">IFERROR(E105/$AL104,0)</f>
        <v>0</v>
      </c>
      <c r="F115" s="415">
        <f t="shared" si="76"/>
        <v>0</v>
      </c>
      <c r="G115" s="415">
        <f t="shared" si="76"/>
        <v>0</v>
      </c>
      <c r="H115" s="415">
        <f t="shared" si="76"/>
        <v>0.02</v>
      </c>
      <c r="I115" s="415">
        <f t="shared" si="76"/>
        <v>0.02</v>
      </c>
      <c r="J115" s="414">
        <f t="shared" si="76"/>
        <v>0.02</v>
      </c>
      <c r="K115" s="415">
        <f t="shared" si="76"/>
        <v>0</v>
      </c>
      <c r="L115" s="415">
        <f t="shared" si="76"/>
        <v>0</v>
      </c>
      <c r="M115" s="415">
        <f t="shared" si="76"/>
        <v>0.04</v>
      </c>
      <c r="N115" s="416">
        <f t="shared" si="76"/>
        <v>0.04</v>
      </c>
      <c r="O115" s="414">
        <f t="shared" si="76"/>
        <v>0</v>
      </c>
      <c r="P115" s="415">
        <f t="shared" si="76"/>
        <v>0.02</v>
      </c>
      <c r="Q115" s="415">
        <f t="shared" si="76"/>
        <v>0.06</v>
      </c>
      <c r="R115" s="415">
        <f t="shared" si="76"/>
        <v>0.08</v>
      </c>
      <c r="S115" s="416">
        <f t="shared" si="76"/>
        <v>0.06</v>
      </c>
      <c r="T115" s="414">
        <f t="shared" si="76"/>
        <v>0</v>
      </c>
      <c r="U115" s="415">
        <f t="shared" si="76"/>
        <v>0</v>
      </c>
      <c r="V115" s="415">
        <f t="shared" si="76"/>
        <v>0.02</v>
      </c>
      <c r="W115" s="415">
        <f t="shared" si="76"/>
        <v>0.02</v>
      </c>
      <c r="X115" s="416">
        <f t="shared" si="76"/>
        <v>0.04</v>
      </c>
      <c r="Y115" s="414">
        <f t="shared" si="76"/>
        <v>0</v>
      </c>
      <c r="Z115" s="415">
        <f t="shared" si="76"/>
        <v>0.02</v>
      </c>
      <c r="AA115" s="415">
        <f t="shared" si="76"/>
        <v>0.08</v>
      </c>
      <c r="AB115" s="415">
        <f t="shared" si="76"/>
        <v>0.12</v>
      </c>
      <c r="AC115" s="416">
        <f t="shared" si="76"/>
        <v>0.22</v>
      </c>
      <c r="AD115" s="414">
        <f t="shared" si="76"/>
        <v>0.18</v>
      </c>
      <c r="AE115" s="415">
        <f t="shared" si="76"/>
        <v>0.12</v>
      </c>
      <c r="AF115" s="415">
        <f t="shared" si="76"/>
        <v>0.34</v>
      </c>
      <c r="AG115" s="416">
        <f t="shared" si="76"/>
        <v>0.22</v>
      </c>
      <c r="AH115" s="415">
        <f t="shared" si="76"/>
        <v>0.44</v>
      </c>
      <c r="AI115" s="415">
        <f t="shared" si="76"/>
        <v>0.44</v>
      </c>
      <c r="AJ115" s="415">
        <f t="shared" si="76"/>
        <v>0</v>
      </c>
      <c r="AK115" s="407"/>
      <c r="AL115" s="417"/>
      <c r="AM115" s="418"/>
      <c r="AO115"/>
      <c r="AP115"/>
      <c r="AQ115"/>
      <c r="AR115"/>
      <c r="AS115"/>
      <c r="AT115"/>
      <c r="AU115"/>
      <c r="AV115"/>
      <c r="AW115"/>
      <c r="AX115"/>
      <c r="AY115"/>
    </row>
    <row r="116" spans="2:51" ht="16.5" outlineLevel="1" thickBot="1">
      <c r="B116" s="110"/>
      <c r="C116" s="109"/>
      <c r="D116" s="180" t="s">
        <v>348</v>
      </c>
      <c r="E116" s="419">
        <f t="shared" ref="E116:AJ116" si="77">E115-E114</f>
        <v>-2.2000000000000001E-3</v>
      </c>
      <c r="F116" s="420">
        <f t="shared" si="77"/>
        <v>-2.8000000000000004E-3</v>
      </c>
      <c r="G116" s="420">
        <f t="shared" si="77"/>
        <v>-6.6E-3</v>
      </c>
      <c r="H116" s="420">
        <f t="shared" si="77"/>
        <v>1.1600000000000001E-2</v>
      </c>
      <c r="I116" s="420">
        <f t="shared" si="77"/>
        <v>-1.2599999999999997E-2</v>
      </c>
      <c r="J116" s="419">
        <f t="shared" si="77"/>
        <v>1.78E-2</v>
      </c>
      <c r="K116" s="420">
        <f t="shared" si="77"/>
        <v>-8.199999999999999E-3</v>
      </c>
      <c r="L116" s="420">
        <f t="shared" si="77"/>
        <v>-3.6600000000000001E-2</v>
      </c>
      <c r="M116" s="420">
        <f t="shared" si="77"/>
        <v>-7.4000000000000038E-3</v>
      </c>
      <c r="N116" s="421">
        <f t="shared" si="77"/>
        <v>6.2000000000000041E-3</v>
      </c>
      <c r="O116" s="419">
        <f t="shared" si="77"/>
        <v>-2.6000000000000002E-2</v>
      </c>
      <c r="P116" s="420">
        <f t="shared" si="77"/>
        <v>-1.7200000000000003E-2</v>
      </c>
      <c r="Q116" s="420">
        <f t="shared" si="77"/>
        <v>-9.5999999999999974E-3</v>
      </c>
      <c r="R116" s="420">
        <f t="shared" si="77"/>
        <v>8.199999999999999E-3</v>
      </c>
      <c r="S116" s="421">
        <f t="shared" si="77"/>
        <v>9.8000000000000032E-3</v>
      </c>
      <c r="T116" s="419">
        <f t="shared" si="77"/>
        <v>-2E-3</v>
      </c>
      <c r="U116" s="420">
        <f t="shared" si="77"/>
        <v>-4.7999999999999996E-3</v>
      </c>
      <c r="V116" s="420">
        <f t="shared" si="77"/>
        <v>5.6000000000000008E-3</v>
      </c>
      <c r="W116" s="420">
        <f t="shared" si="77"/>
        <v>-1.3599999999999998E-2</v>
      </c>
      <c r="X116" s="421">
        <f t="shared" si="77"/>
        <v>2.2000000000000006E-3</v>
      </c>
      <c r="Y116" s="419">
        <f t="shared" si="77"/>
        <v>-5.7999999999999996E-3</v>
      </c>
      <c r="Z116" s="420">
        <f t="shared" si="77"/>
        <v>0.01</v>
      </c>
      <c r="AA116" s="420">
        <f t="shared" si="77"/>
        <v>6.8000000000000005E-3</v>
      </c>
      <c r="AB116" s="420">
        <f t="shared" si="77"/>
        <v>-3.5000000000000003E-2</v>
      </c>
      <c r="AC116" s="421">
        <f t="shared" si="77"/>
        <v>-8.2000000000000128E-3</v>
      </c>
      <c r="AD116" s="419">
        <f>AD115-AD114</f>
        <v>-2.4200000000000027E-2</v>
      </c>
      <c r="AE116" s="420">
        <f t="shared" si="77"/>
        <v>-3.8200000000000012E-2</v>
      </c>
      <c r="AF116" s="420">
        <f t="shared" si="77"/>
        <v>-5.7799999999999963E-2</v>
      </c>
      <c r="AG116" s="421">
        <f t="shared" si="77"/>
        <v>-1.9800000000000012E-2</v>
      </c>
      <c r="AH116" s="420">
        <f t="shared" si="77"/>
        <v>-0.06</v>
      </c>
      <c r="AI116" s="420">
        <f t="shared" si="77"/>
        <v>-0.06</v>
      </c>
      <c r="AJ116" s="420">
        <f t="shared" si="77"/>
        <v>0</v>
      </c>
      <c r="AK116" s="407"/>
      <c r="AL116" s="422"/>
      <c r="AM116" s="423"/>
      <c r="AO116"/>
      <c r="AP116"/>
      <c r="AQ116"/>
      <c r="AR116"/>
      <c r="AS116"/>
      <c r="AT116"/>
      <c r="AU116"/>
      <c r="AV116"/>
      <c r="AW116"/>
      <c r="AX116"/>
      <c r="AY116"/>
    </row>
    <row r="117" spans="2:51" ht="16.5" thickTop="1">
      <c r="B117" s="451" t="s">
        <v>338</v>
      </c>
      <c r="C117" s="453" t="str">
        <f>aurora_data!A196</f>
        <v>14.00.00-14.11.30</v>
      </c>
      <c r="D117" s="34" t="s">
        <v>306</v>
      </c>
      <c r="E117" s="152">
        <f>aurora_data!D196</f>
        <v>0.1</v>
      </c>
      <c r="F117" s="153">
        <f>aurora_data!E196</f>
        <v>0.13</v>
      </c>
      <c r="G117" s="153">
        <f>aurora_data!F196</f>
        <v>0.3</v>
      </c>
      <c r="H117" s="153">
        <f>aurora_data!G196</f>
        <v>0.45</v>
      </c>
      <c r="I117" s="153">
        <f>aurora_data!H196</f>
        <v>1.57</v>
      </c>
      <c r="J117" s="152">
        <f>aurora_data!I196</f>
        <v>0.12</v>
      </c>
      <c r="K117" s="153">
        <f>aurora_data!J196</f>
        <v>0.44</v>
      </c>
      <c r="L117" s="153">
        <f>aurora_data!K196</f>
        <v>1.75</v>
      </c>
      <c r="M117" s="153">
        <f>aurora_data!L196</f>
        <v>2.33</v>
      </c>
      <c r="N117" s="154">
        <f>aurora_data!M196</f>
        <v>1.69</v>
      </c>
      <c r="O117" s="152">
        <f>aurora_data!N196</f>
        <v>1.41</v>
      </c>
      <c r="P117" s="153">
        <f>aurora_data!O196</f>
        <v>2.0299999999999998</v>
      </c>
      <c r="Q117" s="153">
        <f>aurora_data!P196</f>
        <v>3.55</v>
      </c>
      <c r="R117" s="153">
        <f>aurora_data!Q196</f>
        <v>3.75</v>
      </c>
      <c r="S117" s="154">
        <f>aurora_data!R196</f>
        <v>2.4900000000000002</v>
      </c>
      <c r="T117" s="152">
        <f>aurora_data!S196</f>
        <v>0.1</v>
      </c>
      <c r="U117" s="153">
        <f>aurora_data!T196</f>
        <v>0.22</v>
      </c>
      <c r="V117" s="153">
        <f>aurora_data!U196</f>
        <v>0.85</v>
      </c>
      <c r="W117" s="153">
        <f>aurora_data!V196</f>
        <v>1.69</v>
      </c>
      <c r="X117" s="154">
        <f>aurora_data!W196</f>
        <v>1.88</v>
      </c>
      <c r="Y117" s="152">
        <f>aurora_data!X196</f>
        <v>0.28000000000000003</v>
      </c>
      <c r="Z117" s="153">
        <f>aurora_data!Y196</f>
        <v>0.56000000000000005</v>
      </c>
      <c r="AA117" s="153">
        <f>aurora_data!Z196</f>
        <v>3.62</v>
      </c>
      <c r="AB117" s="153">
        <f>aurora_data!AA196</f>
        <v>7.53</v>
      </c>
      <c r="AC117" s="154">
        <f>aurora_data!AB196</f>
        <v>11.14</v>
      </c>
      <c r="AD117" s="152">
        <f>aurora_data!AC196</f>
        <v>10.33</v>
      </c>
      <c r="AE117" s="153">
        <f>aurora_data!AD196</f>
        <v>7.67</v>
      </c>
      <c r="AF117" s="153">
        <f>aurora_data!AE196</f>
        <v>19.829999999999998</v>
      </c>
      <c r="AG117" s="154">
        <f>aurora_data!AF196</f>
        <v>12.17</v>
      </c>
      <c r="AH117" s="155">
        <f>aurora_data!AG196</f>
        <v>25</v>
      </c>
      <c r="AI117" s="171">
        <f>aurora_data!AH196</f>
        <v>25</v>
      </c>
      <c r="AJ117" s="201">
        <f>aurora_data!AI68</f>
        <v>0</v>
      </c>
      <c r="AK117" s="407"/>
      <c r="AL117" s="155">
        <f>aurora_data!AJ196</f>
        <v>50</v>
      </c>
      <c r="AM117" s="167">
        <f t="shared" ref="AM117:AM124" si="78">SUM(AL117)/$AL$117</f>
        <v>1</v>
      </c>
      <c r="AO117"/>
      <c r="AP117"/>
      <c r="AQ117"/>
      <c r="AR117"/>
      <c r="AS117"/>
      <c r="AT117"/>
      <c r="AU117"/>
      <c r="AV117"/>
      <c r="AW117"/>
      <c r="AX117"/>
      <c r="AY117"/>
    </row>
    <row r="118" spans="2:51">
      <c r="B118" s="452"/>
      <c r="C118" s="454"/>
      <c r="D118" s="35" t="s">
        <v>339</v>
      </c>
      <c r="E118" s="262">
        <f>aurora_data!D197</f>
        <v>0</v>
      </c>
      <c r="F118" s="263">
        <f>aurora_data!E197</f>
        <v>0</v>
      </c>
      <c r="G118" s="263">
        <f>aurora_data!F197</f>
        <v>0</v>
      </c>
      <c r="H118" s="263">
        <f>aurora_data!G197</f>
        <v>0</v>
      </c>
      <c r="I118" s="263">
        <f>aurora_data!H197</f>
        <v>2</v>
      </c>
      <c r="J118" s="262">
        <f>aurora_data!I197</f>
        <v>0</v>
      </c>
      <c r="K118" s="263">
        <f>aurora_data!J197</f>
        <v>0</v>
      </c>
      <c r="L118" s="263">
        <f>aurora_data!K197</f>
        <v>1</v>
      </c>
      <c r="M118" s="263">
        <f>aurora_data!L197</f>
        <v>2</v>
      </c>
      <c r="N118" s="264">
        <f>aurora_data!M197</f>
        <v>1</v>
      </c>
      <c r="O118" s="262">
        <f>aurora_data!N197</f>
        <v>1</v>
      </c>
      <c r="P118" s="263">
        <f>aurora_data!O197</f>
        <v>2</v>
      </c>
      <c r="Q118" s="263">
        <f>aurora_data!P197</f>
        <v>1</v>
      </c>
      <c r="R118" s="263">
        <f>aurora_data!Q197</f>
        <v>3</v>
      </c>
      <c r="S118" s="264">
        <f>aurora_data!R197</f>
        <v>2</v>
      </c>
      <c r="T118" s="262">
        <f>aurora_data!S197</f>
        <v>0</v>
      </c>
      <c r="U118" s="263">
        <f>aurora_data!T197</f>
        <v>0</v>
      </c>
      <c r="V118" s="263">
        <f>aurora_data!U197</f>
        <v>0</v>
      </c>
      <c r="W118" s="263">
        <f>aurora_data!V197</f>
        <v>1</v>
      </c>
      <c r="X118" s="264">
        <f>aurora_data!W197</f>
        <v>2</v>
      </c>
      <c r="Y118" s="262">
        <f>aurora_data!X197</f>
        <v>0</v>
      </c>
      <c r="Z118" s="263">
        <f>aurora_data!Y197</f>
        <v>0</v>
      </c>
      <c r="AA118" s="263">
        <f>aurora_data!Z197</f>
        <v>1</v>
      </c>
      <c r="AB118" s="263">
        <f>aurora_data!AA197</f>
        <v>7</v>
      </c>
      <c r="AC118" s="264">
        <f>aurora_data!AB197</f>
        <v>11</v>
      </c>
      <c r="AD118" s="262">
        <f>aurora_data!AC197</f>
        <v>6</v>
      </c>
      <c r="AE118" s="263">
        <f>aurora_data!AD197</f>
        <v>6</v>
      </c>
      <c r="AF118" s="263">
        <f>aurora_data!AE197</f>
        <v>17</v>
      </c>
      <c r="AG118" s="264">
        <f>aurora_data!AF197</f>
        <v>8</v>
      </c>
      <c r="AH118" s="262">
        <f>aurora_data!AG197</f>
        <v>19</v>
      </c>
      <c r="AI118" s="263">
        <f>aurora_data!AH197</f>
        <v>18</v>
      </c>
      <c r="AJ118" s="264">
        <f>aurora_data!AI69</f>
        <v>0</v>
      </c>
      <c r="AK118" s="407"/>
      <c r="AL118" s="408">
        <f>aurora_data!AJ197</f>
        <v>37</v>
      </c>
      <c r="AM118" s="409">
        <f t="shared" si="78"/>
        <v>0.74</v>
      </c>
      <c r="AO118"/>
      <c r="AP118"/>
      <c r="AQ118"/>
      <c r="AR118"/>
      <c r="AS118"/>
      <c r="AT118"/>
      <c r="AU118"/>
      <c r="AV118"/>
      <c r="AW118"/>
      <c r="AX118"/>
      <c r="AY118"/>
    </row>
    <row r="119" spans="2:51">
      <c r="B119" s="452"/>
      <c r="C119" s="454"/>
      <c r="D119" s="35" t="s">
        <v>291</v>
      </c>
      <c r="E119" s="408">
        <f>aurora_data!D198</f>
        <v>0</v>
      </c>
      <c r="F119" s="410">
        <f>aurora_data!E198</f>
        <v>0</v>
      </c>
      <c r="G119" s="410">
        <f>aurora_data!F198</f>
        <v>0</v>
      </c>
      <c r="H119" s="410">
        <f>aurora_data!G198</f>
        <v>0</v>
      </c>
      <c r="I119" s="410">
        <f>aurora_data!H198</f>
        <v>0</v>
      </c>
      <c r="J119" s="408">
        <f>aurora_data!I198</f>
        <v>0</v>
      </c>
      <c r="K119" s="410">
        <f>aurora_data!J198</f>
        <v>0</v>
      </c>
      <c r="L119" s="410">
        <f>aurora_data!K198</f>
        <v>0</v>
      </c>
      <c r="M119" s="410">
        <f>aurora_data!L198</f>
        <v>0</v>
      </c>
      <c r="N119" s="411">
        <f>aurora_data!M198</f>
        <v>0</v>
      </c>
      <c r="O119" s="408">
        <f>aurora_data!N198</f>
        <v>2</v>
      </c>
      <c r="P119" s="410">
        <f>aurora_data!O198</f>
        <v>0</v>
      </c>
      <c r="Q119" s="410">
        <f>aurora_data!P198</f>
        <v>0</v>
      </c>
      <c r="R119" s="410">
        <f>aurora_data!Q198</f>
        <v>0</v>
      </c>
      <c r="S119" s="411">
        <f>aurora_data!R198</f>
        <v>3</v>
      </c>
      <c r="T119" s="408">
        <f>aurora_data!S198</f>
        <v>0</v>
      </c>
      <c r="U119" s="410">
        <f>aurora_data!T198</f>
        <v>0</v>
      </c>
      <c r="V119" s="410">
        <f>aurora_data!U198</f>
        <v>0</v>
      </c>
      <c r="W119" s="410">
        <f>aurora_data!V198</f>
        <v>0</v>
      </c>
      <c r="X119" s="411">
        <f>aurora_data!W198</f>
        <v>0</v>
      </c>
      <c r="Y119" s="408">
        <f>aurora_data!X198</f>
        <v>0</v>
      </c>
      <c r="Z119" s="410">
        <f>aurora_data!Y198</f>
        <v>0</v>
      </c>
      <c r="AA119" s="410">
        <f>aurora_data!Z198</f>
        <v>0</v>
      </c>
      <c r="AB119" s="410">
        <f>aurora_data!AA198</f>
        <v>0</v>
      </c>
      <c r="AC119" s="411">
        <f>aurora_data!AB198</f>
        <v>4</v>
      </c>
      <c r="AD119" s="408">
        <f>aurora_data!AC198</f>
        <v>5</v>
      </c>
      <c r="AE119" s="410">
        <f>aurora_data!AD198</f>
        <v>1</v>
      </c>
      <c r="AF119" s="410">
        <f>aurora_data!AE198</f>
        <v>1</v>
      </c>
      <c r="AG119" s="411">
        <f>aurora_data!AF198</f>
        <v>2</v>
      </c>
      <c r="AH119" s="408">
        <f>aurora_data!AG198</f>
        <v>4</v>
      </c>
      <c r="AI119" s="410">
        <f>aurora_data!AH198</f>
        <v>5</v>
      </c>
      <c r="AJ119" s="411">
        <f>aurora_data!AI70</f>
        <v>0</v>
      </c>
      <c r="AK119" s="407"/>
      <c r="AL119" s="408">
        <f>aurora_data!AJ198</f>
        <v>9</v>
      </c>
      <c r="AM119" s="409">
        <f t="shared" si="78"/>
        <v>0.18</v>
      </c>
      <c r="AO119"/>
      <c r="AP119"/>
      <c r="AQ119"/>
      <c r="AR119"/>
      <c r="AS119"/>
      <c r="AT119"/>
      <c r="AU119"/>
      <c r="AV119"/>
      <c r="AW119"/>
      <c r="AX119"/>
      <c r="AY119"/>
    </row>
    <row r="120" spans="2:51">
      <c r="B120" s="452"/>
      <c r="C120" s="454"/>
      <c r="D120" s="35" t="s">
        <v>340</v>
      </c>
      <c r="E120" s="408">
        <f>aurora_data!D199</f>
        <v>0</v>
      </c>
      <c r="F120" s="410">
        <f>aurora_data!E199</f>
        <v>0</v>
      </c>
      <c r="G120" s="410">
        <f>aurora_data!F199</f>
        <v>0</v>
      </c>
      <c r="H120" s="410">
        <f>aurora_data!G199</f>
        <v>0</v>
      </c>
      <c r="I120" s="410">
        <f>aurora_data!H199</f>
        <v>0</v>
      </c>
      <c r="J120" s="408">
        <f>aurora_data!I199</f>
        <v>0</v>
      </c>
      <c r="K120" s="410">
        <f>aurora_data!J199</f>
        <v>0</v>
      </c>
      <c r="L120" s="410">
        <f>aurora_data!K199</f>
        <v>0</v>
      </c>
      <c r="M120" s="410">
        <f>aurora_data!L199</f>
        <v>0</v>
      </c>
      <c r="N120" s="411">
        <f>aurora_data!M199</f>
        <v>0</v>
      </c>
      <c r="O120" s="408">
        <f>aurora_data!N199</f>
        <v>0</v>
      </c>
      <c r="P120" s="410">
        <f>aurora_data!O199</f>
        <v>0</v>
      </c>
      <c r="Q120" s="410">
        <f>aurora_data!P199</f>
        <v>0</v>
      </c>
      <c r="R120" s="410">
        <f>aurora_data!Q199</f>
        <v>0</v>
      </c>
      <c r="S120" s="411">
        <f>aurora_data!R199</f>
        <v>0</v>
      </c>
      <c r="T120" s="408">
        <f>aurora_data!S199</f>
        <v>0</v>
      </c>
      <c r="U120" s="410">
        <f>aurora_data!T199</f>
        <v>0</v>
      </c>
      <c r="V120" s="410">
        <f>aurora_data!U199</f>
        <v>0</v>
      </c>
      <c r="W120" s="410">
        <f>aurora_data!V199</f>
        <v>0</v>
      </c>
      <c r="X120" s="411">
        <f>aurora_data!W199</f>
        <v>0</v>
      </c>
      <c r="Y120" s="408">
        <f>aurora_data!X199</f>
        <v>0</v>
      </c>
      <c r="Z120" s="410">
        <f>aurora_data!Y199</f>
        <v>1</v>
      </c>
      <c r="AA120" s="410">
        <f>aurora_data!Z199</f>
        <v>0</v>
      </c>
      <c r="AB120" s="410">
        <f>aurora_data!AA199</f>
        <v>0</v>
      </c>
      <c r="AC120" s="411">
        <f>aurora_data!AB199</f>
        <v>0</v>
      </c>
      <c r="AD120" s="408">
        <f>aurora_data!AC199</f>
        <v>0</v>
      </c>
      <c r="AE120" s="410">
        <f>aurora_data!AD199</f>
        <v>0</v>
      </c>
      <c r="AF120" s="410">
        <f>aurora_data!AE199</f>
        <v>1</v>
      </c>
      <c r="AG120" s="411">
        <f>aurora_data!AF199</f>
        <v>0</v>
      </c>
      <c r="AH120" s="408">
        <f>aurora_data!AG199</f>
        <v>0</v>
      </c>
      <c r="AI120" s="410">
        <f>aurora_data!AH199</f>
        <v>1</v>
      </c>
      <c r="AJ120" s="411">
        <f>aurora_data!AI71</f>
        <v>0</v>
      </c>
      <c r="AK120" s="407"/>
      <c r="AL120" s="408">
        <f>aurora_data!AJ199</f>
        <v>1</v>
      </c>
      <c r="AM120" s="409">
        <f t="shared" si="78"/>
        <v>0.02</v>
      </c>
      <c r="AO120"/>
      <c r="AP120"/>
      <c r="AQ120"/>
      <c r="AR120"/>
      <c r="AS120"/>
      <c r="AT120"/>
      <c r="AU120"/>
      <c r="AV120"/>
      <c r="AW120"/>
      <c r="AX120"/>
      <c r="AY120"/>
    </row>
    <row r="121" spans="2:51">
      <c r="B121" s="452"/>
      <c r="C121" s="454"/>
      <c r="D121" s="35" t="s">
        <v>341</v>
      </c>
      <c r="E121" s="408">
        <f>aurora_data!D200</f>
        <v>0</v>
      </c>
      <c r="F121" s="410">
        <f>aurora_data!E200</f>
        <v>0</v>
      </c>
      <c r="G121" s="410">
        <f>aurora_data!F200</f>
        <v>0</v>
      </c>
      <c r="H121" s="410">
        <f>aurora_data!G200</f>
        <v>0</v>
      </c>
      <c r="I121" s="410">
        <f>aurora_data!H200</f>
        <v>0</v>
      </c>
      <c r="J121" s="408">
        <f>aurora_data!I200</f>
        <v>0</v>
      </c>
      <c r="K121" s="410">
        <f>aurora_data!J200</f>
        <v>0</v>
      </c>
      <c r="L121" s="410">
        <f>aurora_data!K200</f>
        <v>1</v>
      </c>
      <c r="M121" s="410">
        <f>aurora_data!L200</f>
        <v>1</v>
      </c>
      <c r="N121" s="411">
        <f>aurora_data!M200</f>
        <v>1</v>
      </c>
      <c r="O121" s="408">
        <f>aurora_data!N200</f>
        <v>0</v>
      </c>
      <c r="P121" s="410">
        <f>aurora_data!O200</f>
        <v>0</v>
      </c>
      <c r="Q121" s="410">
        <f>aurora_data!P200</f>
        <v>0</v>
      </c>
      <c r="R121" s="410">
        <f>aurora_data!Q200</f>
        <v>0</v>
      </c>
      <c r="S121" s="411">
        <f>aurora_data!R200</f>
        <v>0</v>
      </c>
      <c r="T121" s="408">
        <f>aurora_data!S200</f>
        <v>0</v>
      </c>
      <c r="U121" s="410">
        <f>aurora_data!T200</f>
        <v>0</v>
      </c>
      <c r="V121" s="410">
        <f>aurora_data!U200</f>
        <v>0</v>
      </c>
      <c r="W121" s="410">
        <f>aurora_data!V200</f>
        <v>2</v>
      </c>
      <c r="X121" s="411">
        <f>aurora_data!W200</f>
        <v>0</v>
      </c>
      <c r="Y121" s="408">
        <f>aurora_data!X200</f>
        <v>0</v>
      </c>
      <c r="Z121" s="410">
        <f>aurora_data!Y200</f>
        <v>0</v>
      </c>
      <c r="AA121" s="410">
        <f>aurora_data!Z200</f>
        <v>0</v>
      </c>
      <c r="AB121" s="410">
        <f>aurora_data!AA200</f>
        <v>1</v>
      </c>
      <c r="AC121" s="411">
        <f>aurora_data!AB200</f>
        <v>0</v>
      </c>
      <c r="AD121" s="408">
        <f>aurora_data!AC200</f>
        <v>3</v>
      </c>
      <c r="AE121" s="410">
        <f>aurora_data!AD200</f>
        <v>0</v>
      </c>
      <c r="AF121" s="410">
        <f>aurora_data!AE200</f>
        <v>2</v>
      </c>
      <c r="AG121" s="411">
        <f>aurora_data!AF200</f>
        <v>1</v>
      </c>
      <c r="AH121" s="408">
        <f>aurora_data!AG200</f>
        <v>4</v>
      </c>
      <c r="AI121" s="410">
        <f>aurora_data!AH200</f>
        <v>2</v>
      </c>
      <c r="AJ121" s="411">
        <f>aurora_data!AI72</f>
        <v>0</v>
      </c>
      <c r="AK121" s="407"/>
      <c r="AL121" s="408">
        <f>aurora_data!AJ200</f>
        <v>6</v>
      </c>
      <c r="AM121" s="409">
        <f t="shared" si="78"/>
        <v>0.12</v>
      </c>
      <c r="AO121"/>
      <c r="AP121"/>
      <c r="AQ121"/>
      <c r="AR121"/>
      <c r="AS121"/>
      <c r="AT121"/>
      <c r="AU121"/>
      <c r="AV121"/>
      <c r="AW121"/>
      <c r="AX121"/>
      <c r="AY121"/>
    </row>
    <row r="122" spans="2:51" ht="16.5" thickBot="1">
      <c r="B122" s="452"/>
      <c r="C122" s="454"/>
      <c r="D122" s="35" t="s">
        <v>342</v>
      </c>
      <c r="E122" s="408">
        <f>aurora_data!D201</f>
        <v>0</v>
      </c>
      <c r="F122" s="410">
        <f>aurora_data!E201</f>
        <v>0</v>
      </c>
      <c r="G122" s="410">
        <f>aurora_data!F201</f>
        <v>0</v>
      </c>
      <c r="H122" s="410">
        <f>aurora_data!G201</f>
        <v>0</v>
      </c>
      <c r="I122" s="410">
        <f>aurora_data!H201</f>
        <v>0</v>
      </c>
      <c r="J122" s="408">
        <f>aurora_data!I201</f>
        <v>0</v>
      </c>
      <c r="K122" s="410">
        <f>aurora_data!J201</f>
        <v>0</v>
      </c>
      <c r="L122" s="410">
        <f>aurora_data!K201</f>
        <v>0</v>
      </c>
      <c r="M122" s="410">
        <f>aurora_data!L201</f>
        <v>0</v>
      </c>
      <c r="N122" s="411">
        <f>aurora_data!M201</f>
        <v>0</v>
      </c>
      <c r="O122" s="408">
        <f>aurora_data!N201</f>
        <v>0</v>
      </c>
      <c r="P122" s="410">
        <f>aurora_data!O201</f>
        <v>0</v>
      </c>
      <c r="Q122" s="410">
        <f>aurora_data!P201</f>
        <v>0</v>
      </c>
      <c r="R122" s="410">
        <f>aurora_data!Q201</f>
        <v>0</v>
      </c>
      <c r="S122" s="411">
        <f>aurora_data!R201</f>
        <v>0</v>
      </c>
      <c r="T122" s="408">
        <f>aurora_data!S201</f>
        <v>0</v>
      </c>
      <c r="U122" s="410">
        <f>aurora_data!T201</f>
        <v>0</v>
      </c>
      <c r="V122" s="410">
        <f>aurora_data!U201</f>
        <v>0</v>
      </c>
      <c r="W122" s="410">
        <f>aurora_data!V201</f>
        <v>0</v>
      </c>
      <c r="X122" s="411">
        <f>aurora_data!W201</f>
        <v>0</v>
      </c>
      <c r="Y122" s="408">
        <f>aurora_data!X201</f>
        <v>0</v>
      </c>
      <c r="Z122" s="410">
        <f>aurora_data!Y201</f>
        <v>0</v>
      </c>
      <c r="AA122" s="410">
        <f>aurora_data!Z201</f>
        <v>0</v>
      </c>
      <c r="AB122" s="410">
        <f>aurora_data!AA201</f>
        <v>0</v>
      </c>
      <c r="AC122" s="411">
        <f>aurora_data!AB201</f>
        <v>0</v>
      </c>
      <c r="AD122" s="408">
        <f>aurora_data!AC201</f>
        <v>0</v>
      </c>
      <c r="AE122" s="410">
        <f>aurora_data!AD201</f>
        <v>0</v>
      </c>
      <c r="AF122" s="410">
        <f>aurora_data!AE201</f>
        <v>0</v>
      </c>
      <c r="AG122" s="411">
        <f>aurora_data!AF201</f>
        <v>0</v>
      </c>
      <c r="AH122" s="408">
        <f>aurora_data!AG201</f>
        <v>0</v>
      </c>
      <c r="AI122" s="410">
        <f>aurora_data!AH201</f>
        <v>0</v>
      </c>
      <c r="AJ122" s="411">
        <f>aurora_data!AI73</f>
        <v>0</v>
      </c>
      <c r="AK122" s="412"/>
      <c r="AL122" s="408">
        <f>aurora_data!AJ201</f>
        <v>0</v>
      </c>
      <c r="AM122" s="409">
        <f t="shared" si="78"/>
        <v>0</v>
      </c>
      <c r="AO122"/>
      <c r="AP122"/>
      <c r="AQ122"/>
      <c r="AR122"/>
      <c r="AS122"/>
      <c r="AT122"/>
      <c r="AU122"/>
      <c r="AV122"/>
      <c r="AW122"/>
      <c r="AX122"/>
      <c r="AY122"/>
    </row>
    <row r="123" spans="2:51" ht="16.5" thickBot="1">
      <c r="B123" s="452"/>
      <c r="C123" s="454"/>
      <c r="D123" s="37" t="s">
        <v>17</v>
      </c>
      <c r="E123" s="182">
        <f>aurora_data!D202</f>
        <v>0</v>
      </c>
      <c r="F123" s="183">
        <f>aurora_data!E202</f>
        <v>0</v>
      </c>
      <c r="G123" s="183">
        <f>aurora_data!F202</f>
        <v>0</v>
      </c>
      <c r="H123" s="183">
        <f>aurora_data!G202</f>
        <v>0</v>
      </c>
      <c r="I123" s="184">
        <f>aurora_data!H202</f>
        <v>2</v>
      </c>
      <c r="J123" s="182">
        <f>aurora_data!I202</f>
        <v>0</v>
      </c>
      <c r="K123" s="183">
        <f>aurora_data!J202</f>
        <v>0</v>
      </c>
      <c r="L123" s="183">
        <f>aurora_data!K202</f>
        <v>2</v>
      </c>
      <c r="M123" s="183">
        <f>aurora_data!L202</f>
        <v>3</v>
      </c>
      <c r="N123" s="184">
        <f>aurora_data!M202</f>
        <v>2</v>
      </c>
      <c r="O123" s="182">
        <f>aurora_data!N202</f>
        <v>3</v>
      </c>
      <c r="P123" s="183">
        <f>aurora_data!O202</f>
        <v>2</v>
      </c>
      <c r="Q123" s="183">
        <f>aurora_data!P202</f>
        <v>1</v>
      </c>
      <c r="R123" s="183">
        <f>aurora_data!Q202</f>
        <v>3</v>
      </c>
      <c r="S123" s="184">
        <f>aurora_data!R202</f>
        <v>5</v>
      </c>
      <c r="T123" s="182">
        <f>aurora_data!S202</f>
        <v>0</v>
      </c>
      <c r="U123" s="183">
        <f>aurora_data!T202</f>
        <v>0</v>
      </c>
      <c r="V123" s="183">
        <f>aurora_data!U202</f>
        <v>0</v>
      </c>
      <c r="W123" s="183">
        <f>aurora_data!V202</f>
        <v>3</v>
      </c>
      <c r="X123" s="184">
        <f>aurora_data!W202</f>
        <v>2</v>
      </c>
      <c r="Y123" s="182">
        <f>aurora_data!X202</f>
        <v>0</v>
      </c>
      <c r="Z123" s="183">
        <f>aurora_data!Y202</f>
        <v>1</v>
      </c>
      <c r="AA123" s="183">
        <f>aurora_data!Z202</f>
        <v>1</v>
      </c>
      <c r="AB123" s="183">
        <f>aurora_data!AA202</f>
        <v>8</v>
      </c>
      <c r="AC123" s="184">
        <f>aurora_data!AB202</f>
        <v>15</v>
      </c>
      <c r="AD123" s="182">
        <f>aurora_data!AC202</f>
        <v>14</v>
      </c>
      <c r="AE123" s="183">
        <f>aurora_data!AD202</f>
        <v>7</v>
      </c>
      <c r="AF123" s="183">
        <f>aurora_data!AE202</f>
        <v>21</v>
      </c>
      <c r="AG123" s="184">
        <f>aurora_data!AF202</f>
        <v>11</v>
      </c>
      <c r="AH123" s="182">
        <f>aurora_data!AG202</f>
        <v>27</v>
      </c>
      <c r="AI123" s="183">
        <f>aurora_data!AH202</f>
        <v>26</v>
      </c>
      <c r="AJ123" s="183">
        <f>aurora_data!AI74</f>
        <v>0</v>
      </c>
      <c r="AK123" s="412"/>
      <c r="AL123" s="182">
        <f>aurora_data!AJ202</f>
        <v>53</v>
      </c>
      <c r="AM123" s="413">
        <f t="shared" si="78"/>
        <v>1.06</v>
      </c>
      <c r="AO123"/>
      <c r="AP123"/>
      <c r="AQ123"/>
      <c r="AR123"/>
      <c r="AS123"/>
      <c r="AT123"/>
      <c r="AU123"/>
      <c r="AV123"/>
      <c r="AW123"/>
      <c r="AX123"/>
      <c r="AY123"/>
    </row>
    <row r="124" spans="2:51" ht="16.5" thickBot="1">
      <c r="B124" s="452"/>
      <c r="C124" s="454"/>
      <c r="D124" s="38" t="s">
        <v>343</v>
      </c>
      <c r="E124" s="265">
        <f>aurora_data!D203</f>
        <v>0</v>
      </c>
      <c r="F124" s="266">
        <f>aurora_data!E203</f>
        <v>0</v>
      </c>
      <c r="G124" s="266">
        <f>aurora_data!F203</f>
        <v>0</v>
      </c>
      <c r="H124" s="266">
        <f>aurora_data!G203</f>
        <v>0</v>
      </c>
      <c r="I124" s="266">
        <f>aurora_data!H203</f>
        <v>0</v>
      </c>
      <c r="J124" s="265">
        <f>aurora_data!I203</f>
        <v>0</v>
      </c>
      <c r="K124" s="266">
        <f>aurora_data!J203</f>
        <v>0</v>
      </c>
      <c r="L124" s="266">
        <f>aurora_data!K203</f>
        <v>0</v>
      </c>
      <c r="M124" s="266">
        <f>aurora_data!L203</f>
        <v>0</v>
      </c>
      <c r="N124" s="267">
        <f>aurora_data!M203</f>
        <v>0</v>
      </c>
      <c r="O124" s="265">
        <f>aurora_data!N203</f>
        <v>0</v>
      </c>
      <c r="P124" s="266">
        <f>aurora_data!O203</f>
        <v>0</v>
      </c>
      <c r="Q124" s="266">
        <f>aurora_data!P203</f>
        <v>0</v>
      </c>
      <c r="R124" s="266">
        <f>aurora_data!Q203</f>
        <v>0</v>
      </c>
      <c r="S124" s="267">
        <f>aurora_data!R203</f>
        <v>0</v>
      </c>
      <c r="T124" s="265">
        <f>aurora_data!S203</f>
        <v>0</v>
      </c>
      <c r="U124" s="266">
        <f>aurora_data!T203</f>
        <v>0</v>
      </c>
      <c r="V124" s="266">
        <f>aurora_data!U203</f>
        <v>0</v>
      </c>
      <c r="W124" s="266">
        <f>aurora_data!V203</f>
        <v>0</v>
      </c>
      <c r="X124" s="267">
        <f>aurora_data!W203</f>
        <v>0</v>
      </c>
      <c r="Y124" s="265">
        <f>aurora_data!X203</f>
        <v>0</v>
      </c>
      <c r="Z124" s="266">
        <f>aurora_data!Y203</f>
        <v>0</v>
      </c>
      <c r="AA124" s="266">
        <f>aurora_data!Z203</f>
        <v>0</v>
      </c>
      <c r="AB124" s="266">
        <f>aurora_data!AA203</f>
        <v>0</v>
      </c>
      <c r="AC124" s="267">
        <f>aurora_data!AB203</f>
        <v>0</v>
      </c>
      <c r="AD124" s="265">
        <f>aurora_data!AC203</f>
        <v>0</v>
      </c>
      <c r="AE124" s="266">
        <f>aurora_data!AD203</f>
        <v>0</v>
      </c>
      <c r="AF124" s="266">
        <f>aurora_data!AE203</f>
        <v>0</v>
      </c>
      <c r="AG124" s="267">
        <f>aurora_data!AF203</f>
        <v>0</v>
      </c>
      <c r="AH124" s="265">
        <f>aurora_data!AG203</f>
        <v>0</v>
      </c>
      <c r="AI124" s="266">
        <f>aurora_data!AH203</f>
        <v>0</v>
      </c>
      <c r="AJ124" s="268">
        <f>aurora_data!AI75</f>
        <v>0</v>
      </c>
      <c r="AK124" s="269"/>
      <c r="AL124" s="265">
        <f>aurora_data!AJ203</f>
        <v>0</v>
      </c>
      <c r="AM124" s="270">
        <f t="shared" si="78"/>
        <v>0</v>
      </c>
      <c r="AO124"/>
      <c r="AP124"/>
      <c r="AQ124"/>
      <c r="AR124"/>
      <c r="AS124"/>
      <c r="AT124"/>
      <c r="AU124"/>
      <c r="AV124"/>
      <c r="AW124"/>
      <c r="AX124"/>
      <c r="AY124"/>
    </row>
    <row r="125" spans="2:51" outlineLevel="1">
      <c r="B125" s="452"/>
      <c r="C125" s="454"/>
      <c r="D125" s="199" t="s">
        <v>344</v>
      </c>
      <c r="E125" s="271">
        <f>aurora_data!D204</f>
        <v>0.11</v>
      </c>
      <c r="F125" s="272">
        <f>aurora_data!E204</f>
        <v>0.15</v>
      </c>
      <c r="G125" s="272">
        <f>aurora_data!F204</f>
        <v>0.27</v>
      </c>
      <c r="H125" s="272">
        <f>aurora_data!G204</f>
        <v>0.49</v>
      </c>
      <c r="I125" s="272">
        <f>aurora_data!H204</f>
        <v>1.45</v>
      </c>
      <c r="J125" s="271">
        <f>aurora_data!I204</f>
        <v>0.15</v>
      </c>
      <c r="K125" s="272">
        <f>aurora_data!J204</f>
        <v>0.41</v>
      </c>
      <c r="L125" s="272">
        <f>aurora_data!K204</f>
        <v>1.7</v>
      </c>
      <c r="M125" s="272">
        <f>aurora_data!L204</f>
        <v>2.4500000000000002</v>
      </c>
      <c r="N125" s="268">
        <f>aurora_data!M204</f>
        <v>1.73</v>
      </c>
      <c r="O125" s="271">
        <f>aurora_data!N204</f>
        <v>1.32</v>
      </c>
      <c r="P125" s="272">
        <f>aurora_data!O204</f>
        <v>2</v>
      </c>
      <c r="Q125" s="272">
        <f>aurora_data!P204</f>
        <v>3.39</v>
      </c>
      <c r="R125" s="272">
        <f>aurora_data!Q204</f>
        <v>3.35</v>
      </c>
      <c r="S125" s="268">
        <f>aurora_data!R204</f>
        <v>2.39</v>
      </c>
      <c r="T125" s="271">
        <f>aurora_data!S204</f>
        <v>0.1</v>
      </c>
      <c r="U125" s="272">
        <f>aurora_data!T204</f>
        <v>0.2</v>
      </c>
      <c r="V125" s="272">
        <f>aurora_data!U204</f>
        <v>0.82</v>
      </c>
      <c r="W125" s="272">
        <f>aurora_data!V204</f>
        <v>1.57</v>
      </c>
      <c r="X125" s="268">
        <f>aurora_data!W204</f>
        <v>1.71</v>
      </c>
      <c r="Y125" s="271">
        <f>aurora_data!X204</f>
        <v>0.28000000000000003</v>
      </c>
      <c r="Z125" s="272">
        <f>aurora_data!Y204</f>
        <v>0.62</v>
      </c>
      <c r="AA125" s="272">
        <f>aurora_data!Z204</f>
        <v>3.77</v>
      </c>
      <c r="AB125" s="272">
        <f>aurora_data!AA204</f>
        <v>7.82</v>
      </c>
      <c r="AC125" s="268">
        <f>aurora_data!AB204</f>
        <v>11.76</v>
      </c>
      <c r="AD125" s="271">
        <f>ROUNDDOWN((AD127+$AD$9)*($AL117),0)</f>
        <v>15</v>
      </c>
      <c r="AE125" s="272">
        <f>ROUNDDOWN((AE127+$AD$9)*($AL117),0)</f>
        <v>12</v>
      </c>
      <c r="AF125" s="272">
        <f t="shared" ref="AF125:AG125" si="79">ROUNDDOWN((AF127+$AD$9)*($AL117),0)</f>
        <v>24</v>
      </c>
      <c r="AG125" s="268">
        <f t="shared" si="79"/>
        <v>17</v>
      </c>
      <c r="AH125" s="271">
        <f>ROUNDDOWN((AH127+$AH$9)*($AL117),0)</f>
        <v>25</v>
      </c>
      <c r="AI125" s="272">
        <f>ROUNDDOWN((AI127+$AH$8)*($AL117),0)</f>
        <v>25</v>
      </c>
      <c r="AJ125" s="272">
        <f>aurora_data!AI76</f>
        <v>0</v>
      </c>
      <c r="AK125" s="273"/>
      <c r="AL125" s="274">
        <f>aurora_data!AJ204</f>
        <v>50</v>
      </c>
      <c r="AM125" s="275"/>
      <c r="AO125"/>
      <c r="AP125"/>
      <c r="AQ125"/>
      <c r="AR125"/>
      <c r="AS125"/>
      <c r="AT125"/>
      <c r="AU125"/>
      <c r="AV125"/>
      <c r="AW125"/>
      <c r="AX125"/>
      <c r="AY125"/>
    </row>
    <row r="126" spans="2:51" ht="15.75" customHeight="1" outlineLevel="1" thickBot="1">
      <c r="B126" s="452"/>
      <c r="C126" s="454"/>
      <c r="D126" s="199" t="s">
        <v>345</v>
      </c>
      <c r="E126" s="276">
        <f>aurora_data!D205</f>
        <v>0</v>
      </c>
      <c r="F126" s="277">
        <f>aurora_data!E205</f>
        <v>0</v>
      </c>
      <c r="G126" s="277">
        <f>aurora_data!F205</f>
        <v>0</v>
      </c>
      <c r="H126" s="277">
        <f>aurora_data!G205</f>
        <v>0</v>
      </c>
      <c r="I126" s="277">
        <f>aurora_data!H205</f>
        <v>1</v>
      </c>
      <c r="J126" s="276">
        <f>aurora_data!I205</f>
        <v>0</v>
      </c>
      <c r="K126" s="277">
        <f>aurora_data!J205</f>
        <v>1</v>
      </c>
      <c r="L126" s="277">
        <f>aurora_data!K205</f>
        <v>2</v>
      </c>
      <c r="M126" s="277">
        <f>aurora_data!L205</f>
        <v>2</v>
      </c>
      <c r="N126" s="278">
        <f>aurora_data!M205</f>
        <v>2</v>
      </c>
      <c r="O126" s="276">
        <f>aurora_data!N205</f>
        <v>2</v>
      </c>
      <c r="P126" s="277">
        <f>aurora_data!O205</f>
        <v>1</v>
      </c>
      <c r="Q126" s="277">
        <f>aurora_data!P205</f>
        <v>0</v>
      </c>
      <c r="R126" s="277">
        <f>aurora_data!Q205</f>
        <v>3</v>
      </c>
      <c r="S126" s="278">
        <f>aurora_data!R205</f>
        <v>2</v>
      </c>
      <c r="T126" s="276">
        <f>aurora_data!S205</f>
        <v>0</v>
      </c>
      <c r="U126" s="277">
        <f>aurora_data!T205</f>
        <v>0</v>
      </c>
      <c r="V126" s="277">
        <f>aurora_data!U205</f>
        <v>1</v>
      </c>
      <c r="W126" s="277">
        <f>aurora_data!V205</f>
        <v>2</v>
      </c>
      <c r="X126" s="278">
        <f>aurora_data!W205</f>
        <v>2</v>
      </c>
      <c r="Y126" s="276">
        <f>aurora_data!X205</f>
        <v>0</v>
      </c>
      <c r="Z126" s="277">
        <f>aurora_data!Y205</f>
        <v>0</v>
      </c>
      <c r="AA126" s="277">
        <f>aurora_data!Z205</f>
        <v>1</v>
      </c>
      <c r="AB126" s="277">
        <f>aurora_data!AA205</f>
        <v>6</v>
      </c>
      <c r="AC126" s="278">
        <f>aurora_data!AB205</f>
        <v>12</v>
      </c>
      <c r="AD126" s="276">
        <f>IF(((AD127-$AD$9)*($AL117))+0.5 &lt;0,1,((AD127-$AD$9)*($AL117))+0.5 )</f>
        <v>5.83</v>
      </c>
      <c r="AE126" s="277">
        <f t="shared" ref="AE126" si="80">IF(((AE127-$AD$9)*($AL117))+0.5 &lt;0,1,((AE127-$AD$9)*($AL117))+0.5 )</f>
        <v>3.17</v>
      </c>
      <c r="AF126" s="277">
        <f t="shared" ref="AF126" si="81">IF(((AF127-$AD$9)*($AL117))+0.5 &lt;0,1,((AF127-$AD$9)*($AL117))+0.5 )</f>
        <v>15.329999999999998</v>
      </c>
      <c r="AG126" s="278">
        <f t="shared" ref="AG126" si="82">IF(((AG127-$AD$9)*($AL117))+0.5 &lt;0,1,((AG127-$AD$9)*($AL117))+0.5 )</f>
        <v>7.67</v>
      </c>
      <c r="AH126" s="276">
        <f>IF(((AH127-$AH$9)*($AL117))+0.5 &lt;0,1,((AH127-$AH$9)*($AL117)) )</f>
        <v>25</v>
      </c>
      <c r="AI126" s="277">
        <f>IF(((AI127-$AH$9)*($AL117))+0.5 &lt;0,1,((AI127-$AH$9)*($AL117)) )</f>
        <v>25</v>
      </c>
      <c r="AJ126" s="277">
        <f>aurora_data!AI77</f>
        <v>0</v>
      </c>
      <c r="AK126" s="273"/>
      <c r="AL126" s="279">
        <f>aurora_data!AJ205</f>
        <v>40</v>
      </c>
      <c r="AM126" s="280"/>
      <c r="AO126"/>
      <c r="AP126"/>
      <c r="AQ126"/>
      <c r="AR126"/>
      <c r="AS126"/>
      <c r="AT126"/>
      <c r="AU126"/>
      <c r="AV126"/>
      <c r="AW126"/>
      <c r="AX126"/>
      <c r="AY126"/>
    </row>
    <row r="127" spans="2:51" ht="15.75" customHeight="1" outlineLevel="1" thickTop="1">
      <c r="B127" s="110"/>
      <c r="C127" s="109"/>
      <c r="D127" s="95" t="s">
        <v>346</v>
      </c>
      <c r="E127" s="414">
        <f>aurora_data!D206</f>
        <v>0</v>
      </c>
      <c r="F127" s="415">
        <f>aurora_data!E206</f>
        <v>0</v>
      </c>
      <c r="G127" s="415">
        <f>aurora_data!F206</f>
        <v>0</v>
      </c>
      <c r="H127" s="415">
        <f>aurora_data!G206</f>
        <v>0</v>
      </c>
      <c r="I127" s="415">
        <f>aurora_data!H206</f>
        <v>1</v>
      </c>
      <c r="J127" s="414">
        <f>aurora_data!I206</f>
        <v>0</v>
      </c>
      <c r="K127" s="415">
        <f>aurora_data!J206</f>
        <v>0</v>
      </c>
      <c r="L127" s="415">
        <f>aurora_data!K206</f>
        <v>1</v>
      </c>
      <c r="M127" s="415">
        <f>aurora_data!L206</f>
        <v>0</v>
      </c>
      <c r="N127" s="416">
        <f>aurora_data!M206</f>
        <v>0</v>
      </c>
      <c r="O127" s="414">
        <f>aurora_data!N206</f>
        <v>0</v>
      </c>
      <c r="P127" s="415">
        <f>aurora_data!O206</f>
        <v>0</v>
      </c>
      <c r="Q127" s="415">
        <f>aurora_data!P206</f>
        <v>0</v>
      </c>
      <c r="R127" s="415">
        <f>aurora_data!Q206</f>
        <v>0</v>
      </c>
      <c r="S127" s="416">
        <f>aurora_data!R206</f>
        <v>0</v>
      </c>
      <c r="T127" s="414">
        <f>aurora_data!S206</f>
        <v>0</v>
      </c>
      <c r="U127" s="415">
        <f>aurora_data!T206</f>
        <v>0</v>
      </c>
      <c r="V127" s="415">
        <f>aurora_data!U206</f>
        <v>0</v>
      </c>
      <c r="W127" s="415">
        <f>aurora_data!V206</f>
        <v>0</v>
      </c>
      <c r="X127" s="416">
        <f>aurora_data!W206</f>
        <v>2</v>
      </c>
      <c r="Y127" s="414">
        <f>aurora_data!X206</f>
        <v>0</v>
      </c>
      <c r="Z127" s="415">
        <f>aurora_data!Y206</f>
        <v>0</v>
      </c>
      <c r="AA127" s="415">
        <f>aurora_data!Z206</f>
        <v>0</v>
      </c>
      <c r="AB127" s="415">
        <f>aurora_data!AA206</f>
        <v>0</v>
      </c>
      <c r="AC127" s="416">
        <f>aurora_data!AB206</f>
        <v>2</v>
      </c>
      <c r="AD127" s="414">
        <f t="shared" ref="AD127:AI127" si="83">IFERROR(AD117/$AL117,0)</f>
        <v>0.20660000000000001</v>
      </c>
      <c r="AE127" s="415">
        <f t="shared" si="83"/>
        <v>0.15340000000000001</v>
      </c>
      <c r="AF127" s="415">
        <f t="shared" si="83"/>
        <v>0.39659999999999995</v>
      </c>
      <c r="AG127" s="416">
        <f t="shared" si="83"/>
        <v>0.24340000000000001</v>
      </c>
      <c r="AH127" s="414">
        <f t="shared" si="83"/>
        <v>0.5</v>
      </c>
      <c r="AI127" s="415">
        <f t="shared" si="83"/>
        <v>0.5</v>
      </c>
      <c r="AJ127" s="415">
        <f>aurora_data!AI78</f>
        <v>0</v>
      </c>
      <c r="AK127" s="407"/>
      <c r="AL127" s="417">
        <f>aurora_data!AJ206</f>
        <v>6</v>
      </c>
      <c r="AM127" s="418"/>
      <c r="AO127"/>
      <c r="AP127"/>
      <c r="AQ127"/>
      <c r="AR127"/>
      <c r="AS127"/>
      <c r="AT127"/>
      <c r="AU127"/>
      <c r="AV127"/>
      <c r="AW127"/>
      <c r="AX127"/>
      <c r="AY127"/>
    </row>
    <row r="128" spans="2:51" ht="16.5" customHeight="1" outlineLevel="1">
      <c r="B128" s="110"/>
      <c r="C128" s="109"/>
      <c r="D128" s="180" t="s">
        <v>347</v>
      </c>
      <c r="E128" s="414">
        <f>aurora_data!D207</f>
        <v>0</v>
      </c>
      <c r="F128" s="415">
        <f>aurora_data!E207</f>
        <v>0</v>
      </c>
      <c r="G128" s="415">
        <f>aurora_data!F207</f>
        <v>0</v>
      </c>
      <c r="H128" s="415">
        <f>aurora_data!G207</f>
        <v>0</v>
      </c>
      <c r="I128" s="415">
        <f>aurora_data!H207</f>
        <v>0</v>
      </c>
      <c r="J128" s="414">
        <f>aurora_data!I207</f>
        <v>0</v>
      </c>
      <c r="K128" s="415">
        <f>aurora_data!J207</f>
        <v>0</v>
      </c>
      <c r="L128" s="415">
        <f>aurora_data!K207</f>
        <v>0</v>
      </c>
      <c r="M128" s="415">
        <f>aurora_data!L207</f>
        <v>0</v>
      </c>
      <c r="N128" s="416">
        <f>aurora_data!M207</f>
        <v>0</v>
      </c>
      <c r="O128" s="414">
        <f>aurora_data!N207</f>
        <v>0</v>
      </c>
      <c r="P128" s="415">
        <f>aurora_data!O207</f>
        <v>0</v>
      </c>
      <c r="Q128" s="415">
        <f>aurora_data!P207</f>
        <v>0</v>
      </c>
      <c r="R128" s="415">
        <f>aurora_data!Q207</f>
        <v>0</v>
      </c>
      <c r="S128" s="416">
        <f>aurora_data!R207</f>
        <v>0</v>
      </c>
      <c r="T128" s="414">
        <f>aurora_data!S207</f>
        <v>0</v>
      </c>
      <c r="U128" s="415">
        <f>aurora_data!T207</f>
        <v>0</v>
      </c>
      <c r="V128" s="415">
        <f>aurora_data!U207</f>
        <v>0</v>
      </c>
      <c r="W128" s="415">
        <f>aurora_data!V207</f>
        <v>0</v>
      </c>
      <c r="X128" s="416">
        <f>aurora_data!W207</f>
        <v>0</v>
      </c>
      <c r="Y128" s="414">
        <f>aurora_data!X207</f>
        <v>0</v>
      </c>
      <c r="Z128" s="415">
        <f>aurora_data!Y207</f>
        <v>0</v>
      </c>
      <c r="AA128" s="415">
        <f>aurora_data!Z207</f>
        <v>0</v>
      </c>
      <c r="AB128" s="415">
        <f>aurora_data!AA207</f>
        <v>0</v>
      </c>
      <c r="AC128" s="416">
        <f>aurora_data!AB207</f>
        <v>0</v>
      </c>
      <c r="AD128" s="414">
        <f>IFERROR(AD118/$AL117,0)</f>
        <v>0.12</v>
      </c>
      <c r="AE128" s="415">
        <f t="shared" ref="AE128:AI128" si="84">IFERROR(AE118/$AL117,0)</f>
        <v>0.12</v>
      </c>
      <c r="AF128" s="415">
        <f t="shared" si="84"/>
        <v>0.34</v>
      </c>
      <c r="AG128" s="416">
        <f t="shared" si="84"/>
        <v>0.16</v>
      </c>
      <c r="AH128" s="415">
        <f t="shared" si="84"/>
        <v>0.38</v>
      </c>
      <c r="AI128" s="415">
        <f t="shared" si="84"/>
        <v>0.36</v>
      </c>
      <c r="AJ128" s="415">
        <f>aurora_data!AI79</f>
        <v>0</v>
      </c>
      <c r="AK128" s="407"/>
      <c r="AL128" s="417">
        <f>aurora_data!AJ207</f>
        <v>0</v>
      </c>
      <c r="AM128" s="418"/>
      <c r="AO128"/>
      <c r="AP128"/>
      <c r="AQ128"/>
      <c r="AR128"/>
      <c r="AS128"/>
      <c r="AT128"/>
      <c r="AU128"/>
      <c r="AV128"/>
      <c r="AW128"/>
      <c r="AX128"/>
      <c r="AY128"/>
    </row>
    <row r="129" spans="2:51" ht="16.5" outlineLevel="1" thickBot="1">
      <c r="B129" s="110"/>
      <c r="C129" s="109"/>
      <c r="D129" s="180" t="s">
        <v>348</v>
      </c>
      <c r="E129" s="419">
        <f>aurora_data!D208</f>
        <v>0</v>
      </c>
      <c r="F129" s="420">
        <f>aurora_data!E208</f>
        <v>0</v>
      </c>
      <c r="G129" s="420">
        <f>aurora_data!F208</f>
        <v>0</v>
      </c>
      <c r="H129" s="420">
        <f>aurora_data!G208</f>
        <v>0</v>
      </c>
      <c r="I129" s="420">
        <f>aurora_data!H208</f>
        <v>0</v>
      </c>
      <c r="J129" s="419">
        <f>aurora_data!I208</f>
        <v>0</v>
      </c>
      <c r="K129" s="420">
        <f>aurora_data!J208</f>
        <v>0</v>
      </c>
      <c r="L129" s="420">
        <f>aurora_data!K208</f>
        <v>0</v>
      </c>
      <c r="M129" s="420">
        <f>aurora_data!L208</f>
        <v>0</v>
      </c>
      <c r="N129" s="421">
        <f>aurora_data!M208</f>
        <v>0</v>
      </c>
      <c r="O129" s="419">
        <f>aurora_data!N208</f>
        <v>0</v>
      </c>
      <c r="P129" s="420">
        <f>aurora_data!O208</f>
        <v>0</v>
      </c>
      <c r="Q129" s="420">
        <f>aurora_data!P208</f>
        <v>0</v>
      </c>
      <c r="R129" s="420">
        <f>aurora_data!Q208</f>
        <v>2</v>
      </c>
      <c r="S129" s="421">
        <f>aurora_data!R208</f>
        <v>0</v>
      </c>
      <c r="T129" s="419">
        <f>aurora_data!S208</f>
        <v>0</v>
      </c>
      <c r="U129" s="420">
        <f>aurora_data!T208</f>
        <v>1</v>
      </c>
      <c r="V129" s="420">
        <f>aurora_data!U208</f>
        <v>0</v>
      </c>
      <c r="W129" s="420">
        <f>aurora_data!V208</f>
        <v>0</v>
      </c>
      <c r="X129" s="421">
        <f>aurora_data!W208</f>
        <v>0</v>
      </c>
      <c r="Y129" s="419">
        <f>aurora_data!X208</f>
        <v>0</v>
      </c>
      <c r="Z129" s="420">
        <f>aurora_data!Y208</f>
        <v>1</v>
      </c>
      <c r="AA129" s="420">
        <f>aurora_data!Z208</f>
        <v>0</v>
      </c>
      <c r="AB129" s="420">
        <f>aurora_data!AA208</f>
        <v>2</v>
      </c>
      <c r="AC129" s="421">
        <f>aurora_data!AB208</f>
        <v>0</v>
      </c>
      <c r="AD129" s="419">
        <f>AD128-AD127</f>
        <v>-8.660000000000001E-2</v>
      </c>
      <c r="AE129" s="420">
        <f t="shared" ref="AE129:AI129" si="85">AE128-AE127</f>
        <v>-3.3400000000000013E-2</v>
      </c>
      <c r="AF129" s="420">
        <f t="shared" si="85"/>
        <v>-5.6599999999999928E-2</v>
      </c>
      <c r="AG129" s="421">
        <f t="shared" si="85"/>
        <v>-8.3400000000000002E-2</v>
      </c>
      <c r="AH129" s="420">
        <f t="shared" si="85"/>
        <v>-0.12</v>
      </c>
      <c r="AI129" s="420">
        <f t="shared" si="85"/>
        <v>-0.14000000000000001</v>
      </c>
      <c r="AJ129" s="420">
        <f>aurora_data!AI80</f>
        <v>0</v>
      </c>
      <c r="AK129" s="407"/>
      <c r="AL129" s="422">
        <f>aurora_data!AJ208</f>
        <v>6</v>
      </c>
      <c r="AM129" s="423"/>
      <c r="AO129"/>
      <c r="AP129"/>
      <c r="AQ129"/>
      <c r="AR129"/>
      <c r="AS129"/>
      <c r="AT129"/>
      <c r="AU129"/>
      <c r="AV129"/>
      <c r="AW129"/>
      <c r="AX129"/>
      <c r="AY129"/>
    </row>
    <row r="130" spans="2:51" ht="16.5" thickTop="1">
      <c r="B130" s="451" t="s">
        <v>338</v>
      </c>
      <c r="C130" s="453" t="str">
        <f>aurora_data!A204</f>
        <v>15.00.00-15.11.30</v>
      </c>
      <c r="D130" s="34" t="s">
        <v>306</v>
      </c>
      <c r="E130" s="152">
        <f>aurora_data!D204</f>
        <v>0.11</v>
      </c>
      <c r="F130" s="153">
        <f>aurora_data!E204</f>
        <v>0.15</v>
      </c>
      <c r="G130" s="153">
        <f>aurora_data!F204</f>
        <v>0.27</v>
      </c>
      <c r="H130" s="153">
        <f>aurora_data!G204</f>
        <v>0.49</v>
      </c>
      <c r="I130" s="153">
        <f>aurora_data!H204</f>
        <v>1.45</v>
      </c>
      <c r="J130" s="152">
        <f>aurora_data!I204</f>
        <v>0.15</v>
      </c>
      <c r="K130" s="153">
        <f>aurora_data!J204</f>
        <v>0.41</v>
      </c>
      <c r="L130" s="153">
        <f>aurora_data!K204</f>
        <v>1.7</v>
      </c>
      <c r="M130" s="153">
        <f>aurora_data!L204</f>
        <v>2.4500000000000002</v>
      </c>
      <c r="N130" s="154">
        <f>aurora_data!M204</f>
        <v>1.73</v>
      </c>
      <c r="O130" s="152">
        <f>aurora_data!N204</f>
        <v>1.32</v>
      </c>
      <c r="P130" s="153">
        <f>aurora_data!O204</f>
        <v>2</v>
      </c>
      <c r="Q130" s="153">
        <f>aurora_data!P204</f>
        <v>3.39</v>
      </c>
      <c r="R130" s="153">
        <f>aurora_data!Q204</f>
        <v>3.35</v>
      </c>
      <c r="S130" s="154">
        <f>aurora_data!R204</f>
        <v>2.39</v>
      </c>
      <c r="T130" s="152">
        <f>aurora_data!S204</f>
        <v>0.1</v>
      </c>
      <c r="U130" s="153">
        <f>aurora_data!T204</f>
        <v>0.2</v>
      </c>
      <c r="V130" s="153">
        <f>aurora_data!U204</f>
        <v>0.82</v>
      </c>
      <c r="W130" s="153">
        <f>aurora_data!V204</f>
        <v>1.57</v>
      </c>
      <c r="X130" s="154">
        <f>aurora_data!W204</f>
        <v>1.71</v>
      </c>
      <c r="Y130" s="152">
        <f>aurora_data!X204</f>
        <v>0.28000000000000003</v>
      </c>
      <c r="Z130" s="153">
        <f>aurora_data!Y204</f>
        <v>0.62</v>
      </c>
      <c r="AA130" s="153">
        <f>aurora_data!Z204</f>
        <v>3.77</v>
      </c>
      <c r="AB130" s="153">
        <f>aurora_data!AA204</f>
        <v>7.82</v>
      </c>
      <c r="AC130" s="154">
        <f>aurora_data!AB204</f>
        <v>11.76</v>
      </c>
      <c r="AD130" s="152">
        <f>aurora_data!AC204</f>
        <v>10.54</v>
      </c>
      <c r="AE130" s="153">
        <f>aurora_data!AD204</f>
        <v>7.82</v>
      </c>
      <c r="AF130" s="153">
        <f>aurora_data!AE204</f>
        <v>19.98</v>
      </c>
      <c r="AG130" s="154">
        <f>aurora_data!AF204</f>
        <v>11.66</v>
      </c>
      <c r="AH130" s="155">
        <f>aurora_data!AG204</f>
        <v>25</v>
      </c>
      <c r="AI130" s="171">
        <f>aurora_data!AH204</f>
        <v>25</v>
      </c>
      <c r="AJ130" s="201">
        <f>aurora_data!AI76</f>
        <v>0</v>
      </c>
      <c r="AK130" s="407"/>
      <c r="AL130" s="155">
        <f>aurora_data!AJ204</f>
        <v>50</v>
      </c>
      <c r="AM130" s="167">
        <f t="shared" ref="AM130:AM137" si="86">SUM(AL130)/$AL$130</f>
        <v>1</v>
      </c>
      <c r="AO130"/>
      <c r="AP130"/>
      <c r="AQ130"/>
      <c r="AR130"/>
      <c r="AS130"/>
      <c r="AT130"/>
      <c r="AU130"/>
      <c r="AV130"/>
      <c r="AW130"/>
      <c r="AX130"/>
      <c r="AY130"/>
    </row>
    <row r="131" spans="2:51">
      <c r="B131" s="452"/>
      <c r="C131" s="454"/>
      <c r="D131" s="35" t="s">
        <v>339</v>
      </c>
      <c r="E131" s="262">
        <f>aurora_data!D205</f>
        <v>0</v>
      </c>
      <c r="F131" s="263">
        <f>aurora_data!E205</f>
        <v>0</v>
      </c>
      <c r="G131" s="263">
        <f>aurora_data!F205</f>
        <v>0</v>
      </c>
      <c r="H131" s="263">
        <f>aurora_data!G205</f>
        <v>0</v>
      </c>
      <c r="I131" s="263">
        <f>aurora_data!H205</f>
        <v>1</v>
      </c>
      <c r="J131" s="262">
        <f>aurora_data!I205</f>
        <v>0</v>
      </c>
      <c r="K131" s="263">
        <f>aurora_data!J205</f>
        <v>1</v>
      </c>
      <c r="L131" s="263">
        <f>aurora_data!K205</f>
        <v>2</v>
      </c>
      <c r="M131" s="263">
        <f>aurora_data!L205</f>
        <v>2</v>
      </c>
      <c r="N131" s="264">
        <f>aurora_data!M205</f>
        <v>2</v>
      </c>
      <c r="O131" s="262">
        <f>aurora_data!N205</f>
        <v>2</v>
      </c>
      <c r="P131" s="263">
        <f>aurora_data!O205</f>
        <v>1</v>
      </c>
      <c r="Q131" s="263">
        <f>aurora_data!P205</f>
        <v>0</v>
      </c>
      <c r="R131" s="263">
        <f>aurora_data!Q205</f>
        <v>3</v>
      </c>
      <c r="S131" s="264">
        <f>aurora_data!R205</f>
        <v>2</v>
      </c>
      <c r="T131" s="262">
        <f>aurora_data!S205</f>
        <v>0</v>
      </c>
      <c r="U131" s="263">
        <f>aurora_data!T205</f>
        <v>0</v>
      </c>
      <c r="V131" s="263">
        <f>aurora_data!U205</f>
        <v>1</v>
      </c>
      <c r="W131" s="263">
        <f>aurora_data!V205</f>
        <v>2</v>
      </c>
      <c r="X131" s="264">
        <f>aurora_data!W205</f>
        <v>2</v>
      </c>
      <c r="Y131" s="262">
        <f>aurora_data!X205</f>
        <v>0</v>
      </c>
      <c r="Z131" s="263">
        <f>aurora_data!Y205</f>
        <v>0</v>
      </c>
      <c r="AA131" s="263">
        <f>aurora_data!Z205</f>
        <v>1</v>
      </c>
      <c r="AB131" s="263">
        <f>aurora_data!AA205</f>
        <v>6</v>
      </c>
      <c r="AC131" s="264">
        <f>aurora_data!AB205</f>
        <v>12</v>
      </c>
      <c r="AD131" s="262">
        <f>aurora_data!AC205</f>
        <v>5</v>
      </c>
      <c r="AE131" s="263">
        <f>aurora_data!AD205</f>
        <v>10</v>
      </c>
      <c r="AF131" s="263">
        <f>aurora_data!AE205</f>
        <v>16</v>
      </c>
      <c r="AG131" s="264">
        <f>aurora_data!AF205</f>
        <v>9</v>
      </c>
      <c r="AH131" s="262">
        <f>aurora_data!AG205</f>
        <v>19</v>
      </c>
      <c r="AI131" s="263">
        <f>aurora_data!AH205</f>
        <v>21</v>
      </c>
      <c r="AJ131" s="264">
        <f>aurora_data!AI77</f>
        <v>0</v>
      </c>
      <c r="AK131" s="407"/>
      <c r="AL131" s="408">
        <f>aurora_data!AJ205</f>
        <v>40</v>
      </c>
      <c r="AM131" s="409">
        <f t="shared" si="86"/>
        <v>0.8</v>
      </c>
      <c r="AO131"/>
      <c r="AP131"/>
      <c r="AQ131"/>
      <c r="AR131"/>
      <c r="AS131"/>
      <c r="AT131"/>
      <c r="AU131"/>
      <c r="AV131"/>
      <c r="AW131"/>
      <c r="AX131"/>
      <c r="AY131"/>
    </row>
    <row r="132" spans="2:51">
      <c r="B132" s="452"/>
      <c r="C132" s="454"/>
      <c r="D132" s="35" t="s">
        <v>291</v>
      </c>
      <c r="E132" s="408">
        <f>aurora_data!D206</f>
        <v>0</v>
      </c>
      <c r="F132" s="410">
        <f>aurora_data!E206</f>
        <v>0</v>
      </c>
      <c r="G132" s="410">
        <f>aurora_data!F206</f>
        <v>0</v>
      </c>
      <c r="H132" s="410">
        <f>aurora_data!G206</f>
        <v>0</v>
      </c>
      <c r="I132" s="410">
        <f>aurora_data!H206</f>
        <v>1</v>
      </c>
      <c r="J132" s="408">
        <f>aurora_data!I206</f>
        <v>0</v>
      </c>
      <c r="K132" s="410">
        <f>aurora_data!J206</f>
        <v>0</v>
      </c>
      <c r="L132" s="410">
        <f>aurora_data!K206</f>
        <v>1</v>
      </c>
      <c r="M132" s="410">
        <f>aurora_data!L206</f>
        <v>0</v>
      </c>
      <c r="N132" s="411">
        <f>aurora_data!M206</f>
        <v>0</v>
      </c>
      <c r="O132" s="408">
        <f>aurora_data!N206</f>
        <v>0</v>
      </c>
      <c r="P132" s="410">
        <f>aurora_data!O206</f>
        <v>0</v>
      </c>
      <c r="Q132" s="410">
        <f>aurora_data!P206</f>
        <v>0</v>
      </c>
      <c r="R132" s="410">
        <f>aurora_data!Q206</f>
        <v>0</v>
      </c>
      <c r="S132" s="411">
        <f>aurora_data!R206</f>
        <v>0</v>
      </c>
      <c r="T132" s="408">
        <f>aurora_data!S206</f>
        <v>0</v>
      </c>
      <c r="U132" s="410">
        <f>aurora_data!T206</f>
        <v>0</v>
      </c>
      <c r="V132" s="410">
        <f>aurora_data!U206</f>
        <v>0</v>
      </c>
      <c r="W132" s="410">
        <f>aurora_data!V206</f>
        <v>0</v>
      </c>
      <c r="X132" s="411">
        <f>aurora_data!W206</f>
        <v>2</v>
      </c>
      <c r="Y132" s="408">
        <f>aurora_data!X206</f>
        <v>0</v>
      </c>
      <c r="Z132" s="410">
        <f>aurora_data!Y206</f>
        <v>0</v>
      </c>
      <c r="AA132" s="410">
        <f>aurora_data!Z206</f>
        <v>0</v>
      </c>
      <c r="AB132" s="410">
        <f>aurora_data!AA206</f>
        <v>0</v>
      </c>
      <c r="AC132" s="411">
        <f>aurora_data!AB206</f>
        <v>2</v>
      </c>
      <c r="AD132" s="408">
        <f>aurora_data!AC206</f>
        <v>0</v>
      </c>
      <c r="AE132" s="410">
        <f>aurora_data!AD206</f>
        <v>3</v>
      </c>
      <c r="AF132" s="410">
        <f>aurora_data!AE206</f>
        <v>3</v>
      </c>
      <c r="AG132" s="411">
        <f>aurora_data!AF206</f>
        <v>0</v>
      </c>
      <c r="AH132" s="408">
        <f>aurora_data!AG206</f>
        <v>2</v>
      </c>
      <c r="AI132" s="410">
        <f>aurora_data!AH206</f>
        <v>4</v>
      </c>
      <c r="AJ132" s="411">
        <f>aurora_data!AI78</f>
        <v>0</v>
      </c>
      <c r="AK132" s="407"/>
      <c r="AL132" s="408">
        <f>aurora_data!AJ206</f>
        <v>6</v>
      </c>
      <c r="AM132" s="409">
        <f t="shared" si="86"/>
        <v>0.12</v>
      </c>
      <c r="AO132"/>
      <c r="AP132"/>
      <c r="AQ132"/>
      <c r="AR132"/>
      <c r="AS132"/>
      <c r="AT132"/>
      <c r="AU132"/>
      <c r="AV132"/>
      <c r="AW132"/>
      <c r="AX132"/>
      <c r="AY132"/>
    </row>
    <row r="133" spans="2:51">
      <c r="B133" s="452"/>
      <c r="C133" s="454"/>
      <c r="D133" s="35" t="s">
        <v>340</v>
      </c>
      <c r="E133" s="408">
        <f>aurora_data!D207</f>
        <v>0</v>
      </c>
      <c r="F133" s="410">
        <f>aurora_data!E207</f>
        <v>0</v>
      </c>
      <c r="G133" s="410">
        <f>aurora_data!F207</f>
        <v>0</v>
      </c>
      <c r="H133" s="410">
        <f>aurora_data!G207</f>
        <v>0</v>
      </c>
      <c r="I133" s="410">
        <f>aurora_data!H207</f>
        <v>0</v>
      </c>
      <c r="J133" s="408">
        <f>aurora_data!I207</f>
        <v>0</v>
      </c>
      <c r="K133" s="410">
        <f>aurora_data!J207</f>
        <v>0</v>
      </c>
      <c r="L133" s="410">
        <f>aurora_data!K207</f>
        <v>0</v>
      </c>
      <c r="M133" s="410">
        <f>aurora_data!L207</f>
        <v>0</v>
      </c>
      <c r="N133" s="411">
        <f>aurora_data!M207</f>
        <v>0</v>
      </c>
      <c r="O133" s="408">
        <f>aurora_data!N207</f>
        <v>0</v>
      </c>
      <c r="P133" s="410">
        <f>aurora_data!O207</f>
        <v>0</v>
      </c>
      <c r="Q133" s="410">
        <f>aurora_data!P207</f>
        <v>0</v>
      </c>
      <c r="R133" s="410">
        <f>aurora_data!Q207</f>
        <v>0</v>
      </c>
      <c r="S133" s="411">
        <f>aurora_data!R207</f>
        <v>0</v>
      </c>
      <c r="T133" s="408">
        <f>aurora_data!S207</f>
        <v>0</v>
      </c>
      <c r="U133" s="410">
        <f>aurora_data!T207</f>
        <v>0</v>
      </c>
      <c r="V133" s="410">
        <f>aurora_data!U207</f>
        <v>0</v>
      </c>
      <c r="W133" s="410">
        <f>aurora_data!V207</f>
        <v>0</v>
      </c>
      <c r="X133" s="411">
        <f>aurora_data!W207</f>
        <v>0</v>
      </c>
      <c r="Y133" s="408">
        <f>aurora_data!X207</f>
        <v>0</v>
      </c>
      <c r="Z133" s="410">
        <f>aurora_data!Y207</f>
        <v>0</v>
      </c>
      <c r="AA133" s="410">
        <f>aurora_data!Z207</f>
        <v>0</v>
      </c>
      <c r="AB133" s="410">
        <f>aurora_data!AA207</f>
        <v>0</v>
      </c>
      <c r="AC133" s="411">
        <f>aurora_data!AB207</f>
        <v>0</v>
      </c>
      <c r="AD133" s="408">
        <f>aurora_data!AC207</f>
        <v>0</v>
      </c>
      <c r="AE133" s="410">
        <f>aurora_data!AD207</f>
        <v>0</v>
      </c>
      <c r="AF133" s="410">
        <f>aurora_data!AE207</f>
        <v>0</v>
      </c>
      <c r="AG133" s="411">
        <f>aurora_data!AF207</f>
        <v>0</v>
      </c>
      <c r="AH133" s="408">
        <f>aurora_data!AG207</f>
        <v>0</v>
      </c>
      <c r="AI133" s="410">
        <f>aurora_data!AH207</f>
        <v>0</v>
      </c>
      <c r="AJ133" s="411">
        <f>aurora_data!AI79</f>
        <v>0</v>
      </c>
      <c r="AK133" s="407"/>
      <c r="AL133" s="408">
        <f>aurora_data!AJ207</f>
        <v>0</v>
      </c>
      <c r="AM133" s="409">
        <f t="shared" si="86"/>
        <v>0</v>
      </c>
      <c r="AO133"/>
      <c r="AP133"/>
      <c r="AQ133"/>
      <c r="AR133"/>
      <c r="AS133"/>
      <c r="AT133"/>
      <c r="AU133"/>
      <c r="AV133"/>
      <c r="AW133"/>
      <c r="AX133"/>
      <c r="AY133"/>
    </row>
    <row r="134" spans="2:51">
      <c r="B134" s="452"/>
      <c r="C134" s="454"/>
      <c r="D134" s="35" t="s">
        <v>341</v>
      </c>
      <c r="E134" s="408">
        <f>aurora_data!D208</f>
        <v>0</v>
      </c>
      <c r="F134" s="410">
        <f>aurora_data!E208</f>
        <v>0</v>
      </c>
      <c r="G134" s="410">
        <f>aurora_data!F208</f>
        <v>0</v>
      </c>
      <c r="H134" s="410">
        <f>aurora_data!G208</f>
        <v>0</v>
      </c>
      <c r="I134" s="410">
        <f>aurora_data!H208</f>
        <v>0</v>
      </c>
      <c r="J134" s="408">
        <f>aurora_data!I208</f>
        <v>0</v>
      </c>
      <c r="K134" s="410">
        <f>aurora_data!J208</f>
        <v>0</v>
      </c>
      <c r="L134" s="410">
        <f>aurora_data!K208</f>
        <v>0</v>
      </c>
      <c r="M134" s="410">
        <f>aurora_data!L208</f>
        <v>0</v>
      </c>
      <c r="N134" s="411">
        <f>aurora_data!M208</f>
        <v>0</v>
      </c>
      <c r="O134" s="408">
        <f>aurora_data!N208</f>
        <v>0</v>
      </c>
      <c r="P134" s="410">
        <f>aurora_data!O208</f>
        <v>0</v>
      </c>
      <c r="Q134" s="410">
        <f>aurora_data!P208</f>
        <v>0</v>
      </c>
      <c r="R134" s="410">
        <f>aurora_data!Q208</f>
        <v>2</v>
      </c>
      <c r="S134" s="411">
        <f>aurora_data!R208</f>
        <v>0</v>
      </c>
      <c r="T134" s="408">
        <f>aurora_data!S208</f>
        <v>0</v>
      </c>
      <c r="U134" s="410">
        <f>aurora_data!T208</f>
        <v>1</v>
      </c>
      <c r="V134" s="410">
        <f>aurora_data!U208</f>
        <v>0</v>
      </c>
      <c r="W134" s="410">
        <f>aurora_data!V208</f>
        <v>0</v>
      </c>
      <c r="X134" s="411">
        <f>aurora_data!W208</f>
        <v>0</v>
      </c>
      <c r="Y134" s="408">
        <f>aurora_data!X208</f>
        <v>0</v>
      </c>
      <c r="Z134" s="410">
        <f>aurora_data!Y208</f>
        <v>1</v>
      </c>
      <c r="AA134" s="410">
        <f>aurora_data!Z208</f>
        <v>0</v>
      </c>
      <c r="AB134" s="410">
        <f>aurora_data!AA208</f>
        <v>2</v>
      </c>
      <c r="AC134" s="411">
        <f>aurora_data!AB208</f>
        <v>0</v>
      </c>
      <c r="AD134" s="408">
        <f>aurora_data!AC208</f>
        <v>3</v>
      </c>
      <c r="AE134" s="410">
        <f>aurora_data!AD208</f>
        <v>0</v>
      </c>
      <c r="AF134" s="410">
        <f>aurora_data!AE208</f>
        <v>0</v>
      </c>
      <c r="AG134" s="411">
        <f>aurora_data!AF208</f>
        <v>3</v>
      </c>
      <c r="AH134" s="408">
        <f>aurora_data!AG208</f>
        <v>3</v>
      </c>
      <c r="AI134" s="410">
        <f>aurora_data!AH208</f>
        <v>3</v>
      </c>
      <c r="AJ134" s="411">
        <f>aurora_data!AI80</f>
        <v>0</v>
      </c>
      <c r="AK134" s="407"/>
      <c r="AL134" s="408">
        <f>aurora_data!AJ208</f>
        <v>6</v>
      </c>
      <c r="AM134" s="409">
        <f t="shared" si="86"/>
        <v>0.12</v>
      </c>
      <c r="AO134"/>
      <c r="AP134"/>
      <c r="AQ134"/>
      <c r="AR134"/>
      <c r="AS134"/>
      <c r="AT134"/>
      <c r="AU134"/>
      <c r="AV134"/>
      <c r="AW134"/>
      <c r="AX134"/>
      <c r="AY134"/>
    </row>
    <row r="135" spans="2:51" ht="16.5" thickBot="1">
      <c r="B135" s="452"/>
      <c r="C135" s="454"/>
      <c r="D135" s="35" t="s">
        <v>342</v>
      </c>
      <c r="E135" s="408">
        <f>aurora_data!D209</f>
        <v>0</v>
      </c>
      <c r="F135" s="410">
        <f>aurora_data!E209</f>
        <v>0</v>
      </c>
      <c r="G135" s="410">
        <f>aurora_data!F209</f>
        <v>0</v>
      </c>
      <c r="H135" s="410">
        <f>aurora_data!G209</f>
        <v>0</v>
      </c>
      <c r="I135" s="410">
        <f>aurora_data!H209</f>
        <v>0</v>
      </c>
      <c r="J135" s="408">
        <f>aurora_data!I209</f>
        <v>0</v>
      </c>
      <c r="K135" s="410">
        <f>aurora_data!J209</f>
        <v>0</v>
      </c>
      <c r="L135" s="410">
        <f>aurora_data!K209</f>
        <v>0</v>
      </c>
      <c r="M135" s="410">
        <f>aurora_data!L209</f>
        <v>0</v>
      </c>
      <c r="N135" s="411">
        <f>aurora_data!M209</f>
        <v>0</v>
      </c>
      <c r="O135" s="408">
        <f>aurora_data!N209</f>
        <v>0</v>
      </c>
      <c r="P135" s="410">
        <f>aurora_data!O209</f>
        <v>0</v>
      </c>
      <c r="Q135" s="410">
        <f>aurora_data!P209</f>
        <v>0</v>
      </c>
      <c r="R135" s="410">
        <f>aurora_data!Q209</f>
        <v>0</v>
      </c>
      <c r="S135" s="411">
        <f>aurora_data!R209</f>
        <v>0</v>
      </c>
      <c r="T135" s="408">
        <f>aurora_data!S209</f>
        <v>0</v>
      </c>
      <c r="U135" s="410">
        <f>aurora_data!T209</f>
        <v>0</v>
      </c>
      <c r="V135" s="410">
        <f>aurora_data!U209</f>
        <v>0</v>
      </c>
      <c r="W135" s="410">
        <f>aurora_data!V209</f>
        <v>0</v>
      </c>
      <c r="X135" s="411">
        <f>aurora_data!W209</f>
        <v>0</v>
      </c>
      <c r="Y135" s="408">
        <f>aurora_data!X209</f>
        <v>0</v>
      </c>
      <c r="Z135" s="410">
        <f>aurora_data!Y209</f>
        <v>0</v>
      </c>
      <c r="AA135" s="410">
        <f>aurora_data!Z209</f>
        <v>0</v>
      </c>
      <c r="AB135" s="410">
        <f>aurora_data!AA209</f>
        <v>0</v>
      </c>
      <c r="AC135" s="411">
        <f>aurora_data!AB209</f>
        <v>0</v>
      </c>
      <c r="AD135" s="408">
        <f>aurora_data!AC209</f>
        <v>0</v>
      </c>
      <c r="AE135" s="410">
        <f>aurora_data!AD209</f>
        <v>0</v>
      </c>
      <c r="AF135" s="410">
        <f>aurora_data!AE209</f>
        <v>0</v>
      </c>
      <c r="AG135" s="411">
        <f>aurora_data!AF209</f>
        <v>0</v>
      </c>
      <c r="AH135" s="408">
        <f>aurora_data!AG209</f>
        <v>0</v>
      </c>
      <c r="AI135" s="410">
        <f>aurora_data!AH209</f>
        <v>0</v>
      </c>
      <c r="AJ135" s="411">
        <f>aurora_data!AI81</f>
        <v>0</v>
      </c>
      <c r="AK135" s="412"/>
      <c r="AL135" s="408">
        <f>aurora_data!AJ209</f>
        <v>0</v>
      </c>
      <c r="AM135" s="409">
        <f t="shared" si="86"/>
        <v>0</v>
      </c>
      <c r="AO135"/>
      <c r="AP135"/>
      <c r="AQ135"/>
      <c r="AR135"/>
      <c r="AS135"/>
      <c r="AT135"/>
      <c r="AU135"/>
      <c r="AV135"/>
      <c r="AW135"/>
      <c r="AX135"/>
      <c r="AY135"/>
    </row>
    <row r="136" spans="2:51" ht="16.5" thickBot="1">
      <c r="B136" s="452"/>
      <c r="C136" s="454"/>
      <c r="D136" s="37" t="s">
        <v>17</v>
      </c>
      <c r="E136" s="182">
        <f>aurora_data!D210</f>
        <v>0</v>
      </c>
      <c r="F136" s="183">
        <f>aurora_data!E210</f>
        <v>0</v>
      </c>
      <c r="G136" s="183">
        <f>aurora_data!F210</f>
        <v>0</v>
      </c>
      <c r="H136" s="183">
        <f>aurora_data!G210</f>
        <v>0</v>
      </c>
      <c r="I136" s="184">
        <f>aurora_data!H210</f>
        <v>2</v>
      </c>
      <c r="J136" s="182">
        <f>aurora_data!I210</f>
        <v>0</v>
      </c>
      <c r="K136" s="183">
        <f>aurora_data!J210</f>
        <v>1</v>
      </c>
      <c r="L136" s="183">
        <f>aurora_data!K210</f>
        <v>3</v>
      </c>
      <c r="M136" s="183">
        <f>aurora_data!L210</f>
        <v>2</v>
      </c>
      <c r="N136" s="184">
        <f>aurora_data!M210</f>
        <v>2</v>
      </c>
      <c r="O136" s="182">
        <f>aurora_data!N210</f>
        <v>2</v>
      </c>
      <c r="P136" s="183">
        <f>aurora_data!O210</f>
        <v>1</v>
      </c>
      <c r="Q136" s="183">
        <f>aurora_data!P210</f>
        <v>0</v>
      </c>
      <c r="R136" s="183">
        <f>aurora_data!Q210</f>
        <v>5</v>
      </c>
      <c r="S136" s="184">
        <f>aurora_data!R210</f>
        <v>2</v>
      </c>
      <c r="T136" s="182">
        <f>aurora_data!S210</f>
        <v>0</v>
      </c>
      <c r="U136" s="183">
        <f>aurora_data!T210</f>
        <v>1</v>
      </c>
      <c r="V136" s="183">
        <f>aurora_data!U210</f>
        <v>1</v>
      </c>
      <c r="W136" s="183">
        <f>aurora_data!V210</f>
        <v>2</v>
      </c>
      <c r="X136" s="184">
        <f>aurora_data!W210</f>
        <v>4</v>
      </c>
      <c r="Y136" s="182">
        <f>aurora_data!X210</f>
        <v>0</v>
      </c>
      <c r="Z136" s="183">
        <f>aurora_data!Y210</f>
        <v>1</v>
      </c>
      <c r="AA136" s="183">
        <f>aurora_data!Z210</f>
        <v>1</v>
      </c>
      <c r="AB136" s="183">
        <f>aurora_data!AA210</f>
        <v>8</v>
      </c>
      <c r="AC136" s="184">
        <f>aurora_data!AB210</f>
        <v>14</v>
      </c>
      <c r="AD136" s="182">
        <f>aurora_data!AC210</f>
        <v>8</v>
      </c>
      <c r="AE136" s="183">
        <f>aurora_data!AD210</f>
        <v>13</v>
      </c>
      <c r="AF136" s="183">
        <f>aurora_data!AE210</f>
        <v>19</v>
      </c>
      <c r="AG136" s="184">
        <f>aurora_data!AF210</f>
        <v>12</v>
      </c>
      <c r="AH136" s="182">
        <f>aurora_data!AG210</f>
        <v>24</v>
      </c>
      <c r="AI136" s="183">
        <f>aurora_data!AH210</f>
        <v>28</v>
      </c>
      <c r="AJ136" s="183">
        <f>aurora_data!AI82</f>
        <v>0</v>
      </c>
      <c r="AK136" s="412"/>
      <c r="AL136" s="182">
        <f>aurora_data!AJ210</f>
        <v>52</v>
      </c>
      <c r="AM136" s="413">
        <f t="shared" si="86"/>
        <v>1.04</v>
      </c>
      <c r="AO136"/>
      <c r="AP136"/>
      <c r="AQ136"/>
      <c r="AR136"/>
      <c r="AS136"/>
      <c r="AT136"/>
      <c r="AU136"/>
      <c r="AV136"/>
      <c r="AW136"/>
      <c r="AX136"/>
      <c r="AY136"/>
    </row>
    <row r="137" spans="2:51" ht="16.5" thickBot="1">
      <c r="B137" s="452"/>
      <c r="C137" s="454"/>
      <c r="D137" s="38" t="s">
        <v>343</v>
      </c>
      <c r="E137" s="265">
        <f>aurora_data!D211</f>
        <v>0</v>
      </c>
      <c r="F137" s="266">
        <f>aurora_data!E211</f>
        <v>0</v>
      </c>
      <c r="G137" s="266">
        <f>aurora_data!F211</f>
        <v>0</v>
      </c>
      <c r="H137" s="266">
        <f>aurora_data!G211</f>
        <v>0</v>
      </c>
      <c r="I137" s="266">
        <f>aurora_data!H211</f>
        <v>0</v>
      </c>
      <c r="J137" s="265">
        <f>aurora_data!I211</f>
        <v>0</v>
      </c>
      <c r="K137" s="266">
        <f>aurora_data!J211</f>
        <v>0</v>
      </c>
      <c r="L137" s="266">
        <f>aurora_data!K211</f>
        <v>0</v>
      </c>
      <c r="M137" s="266">
        <f>aurora_data!L211</f>
        <v>0</v>
      </c>
      <c r="N137" s="267">
        <f>aurora_data!M211</f>
        <v>0</v>
      </c>
      <c r="O137" s="265">
        <f>aurora_data!N211</f>
        <v>0</v>
      </c>
      <c r="P137" s="266">
        <f>aurora_data!O211</f>
        <v>0</v>
      </c>
      <c r="Q137" s="266">
        <f>aurora_data!P211</f>
        <v>0</v>
      </c>
      <c r="R137" s="266">
        <f>aurora_data!Q211</f>
        <v>0</v>
      </c>
      <c r="S137" s="267">
        <f>aurora_data!R211</f>
        <v>0</v>
      </c>
      <c r="T137" s="265">
        <f>aurora_data!S211</f>
        <v>0</v>
      </c>
      <c r="U137" s="266">
        <f>aurora_data!T211</f>
        <v>0</v>
      </c>
      <c r="V137" s="266">
        <f>aurora_data!U211</f>
        <v>0</v>
      </c>
      <c r="W137" s="266">
        <f>aurora_data!V211</f>
        <v>0</v>
      </c>
      <c r="X137" s="267">
        <f>aurora_data!W211</f>
        <v>0</v>
      </c>
      <c r="Y137" s="265">
        <f>aurora_data!X211</f>
        <v>0</v>
      </c>
      <c r="Z137" s="266">
        <f>aurora_data!Y211</f>
        <v>0</v>
      </c>
      <c r="AA137" s="266">
        <f>aurora_data!Z211</f>
        <v>0</v>
      </c>
      <c r="AB137" s="266">
        <f>aurora_data!AA211</f>
        <v>0</v>
      </c>
      <c r="AC137" s="267">
        <f>aurora_data!AB211</f>
        <v>0</v>
      </c>
      <c r="AD137" s="265">
        <f>aurora_data!AC211</f>
        <v>0</v>
      </c>
      <c r="AE137" s="266">
        <f>aurora_data!AD211</f>
        <v>0</v>
      </c>
      <c r="AF137" s="266">
        <f>aurora_data!AE211</f>
        <v>0</v>
      </c>
      <c r="AG137" s="267">
        <f>aurora_data!AF211</f>
        <v>0</v>
      </c>
      <c r="AH137" s="265">
        <f>aurora_data!AG211</f>
        <v>0</v>
      </c>
      <c r="AI137" s="266">
        <f>aurora_data!AH211</f>
        <v>0</v>
      </c>
      <c r="AJ137" s="268">
        <f>aurora_data!AI83</f>
        <v>0</v>
      </c>
      <c r="AK137" s="269"/>
      <c r="AL137" s="265">
        <f>aurora_data!AJ211</f>
        <v>0</v>
      </c>
      <c r="AM137" s="270">
        <f t="shared" si="86"/>
        <v>0</v>
      </c>
      <c r="AO137"/>
      <c r="AP137"/>
      <c r="AQ137"/>
      <c r="AR137"/>
      <c r="AS137"/>
      <c r="AT137"/>
      <c r="AU137"/>
      <c r="AV137"/>
      <c r="AW137"/>
      <c r="AX137"/>
      <c r="AY137"/>
    </row>
    <row r="138" spans="2:51" outlineLevel="1">
      <c r="B138" s="452"/>
      <c r="C138" s="454"/>
      <c r="D138" s="199" t="s">
        <v>344</v>
      </c>
      <c r="E138" s="271">
        <f t="shared" ref="E138:AC138" si="87">ROUNDDOWN((E140+$E$9)*($AL130),0)</f>
        <v>1</v>
      </c>
      <c r="F138" s="272">
        <f t="shared" si="87"/>
        <v>1</v>
      </c>
      <c r="G138" s="272">
        <f t="shared" si="87"/>
        <v>1</v>
      </c>
      <c r="H138" s="272">
        <f t="shared" si="87"/>
        <v>1</v>
      </c>
      <c r="I138" s="272">
        <f t="shared" si="87"/>
        <v>2</v>
      </c>
      <c r="J138" s="271">
        <f t="shared" si="87"/>
        <v>1</v>
      </c>
      <c r="K138" s="272">
        <f t="shared" si="87"/>
        <v>1</v>
      </c>
      <c r="L138" s="272">
        <f t="shared" si="87"/>
        <v>2</v>
      </c>
      <c r="M138" s="272">
        <f t="shared" si="87"/>
        <v>3</v>
      </c>
      <c r="N138" s="268">
        <f t="shared" si="87"/>
        <v>2</v>
      </c>
      <c r="O138" s="271">
        <f t="shared" si="87"/>
        <v>2</v>
      </c>
      <c r="P138" s="272">
        <f t="shared" si="87"/>
        <v>3</v>
      </c>
      <c r="Q138" s="272">
        <f t="shared" si="87"/>
        <v>4</v>
      </c>
      <c r="R138" s="272">
        <f t="shared" si="87"/>
        <v>4</v>
      </c>
      <c r="S138" s="268">
        <f t="shared" si="87"/>
        <v>3</v>
      </c>
      <c r="T138" s="271">
        <f t="shared" si="87"/>
        <v>1</v>
      </c>
      <c r="U138" s="272">
        <f t="shared" si="87"/>
        <v>1</v>
      </c>
      <c r="V138" s="272">
        <f t="shared" si="87"/>
        <v>1</v>
      </c>
      <c r="W138" s="272">
        <f t="shared" si="87"/>
        <v>2</v>
      </c>
      <c r="X138" s="268">
        <f t="shared" si="87"/>
        <v>2</v>
      </c>
      <c r="Y138" s="271">
        <f t="shared" si="87"/>
        <v>1</v>
      </c>
      <c r="Z138" s="272">
        <f t="shared" si="87"/>
        <v>1</v>
      </c>
      <c r="AA138" s="272">
        <f t="shared" si="87"/>
        <v>4</v>
      </c>
      <c r="AB138" s="272">
        <f t="shared" si="87"/>
        <v>8</v>
      </c>
      <c r="AC138" s="268">
        <f t="shared" si="87"/>
        <v>12</v>
      </c>
      <c r="AD138" s="271">
        <f>ROUNDDOWN((AD140+$AD$9)*($AL130),0)</f>
        <v>15</v>
      </c>
      <c r="AE138" s="272">
        <f>ROUNDDOWN((AE140+$AD$9)*($AL130),0)</f>
        <v>12</v>
      </c>
      <c r="AF138" s="272">
        <f t="shared" ref="AF138:AG138" si="88">ROUNDDOWN((AF140+$AD$9)*($AL130),0)</f>
        <v>24</v>
      </c>
      <c r="AG138" s="268">
        <f t="shared" si="88"/>
        <v>16</v>
      </c>
      <c r="AH138" s="271">
        <f>ROUNDDOWN((AH140+$AH$9)*($AL130),0)</f>
        <v>25</v>
      </c>
      <c r="AI138" s="272">
        <f>ROUNDDOWN((AI140+$AH$8)*($AL130),0)</f>
        <v>25</v>
      </c>
      <c r="AJ138" s="272">
        <f>ROUNDDOWN((AJ140+$AH$8)*($AL130),0)</f>
        <v>0</v>
      </c>
      <c r="AK138" s="273"/>
      <c r="AL138" s="274"/>
      <c r="AM138" s="275"/>
      <c r="AO138"/>
      <c r="AP138"/>
      <c r="AQ138"/>
      <c r="AR138"/>
      <c r="AS138"/>
      <c r="AT138"/>
      <c r="AU138"/>
      <c r="AV138"/>
      <c r="AW138"/>
      <c r="AX138"/>
      <c r="AY138"/>
    </row>
    <row r="139" spans="2:51" ht="15.75" customHeight="1" outlineLevel="1" thickBot="1">
      <c r="B139" s="452"/>
      <c r="C139" s="454"/>
      <c r="D139" s="199" t="s">
        <v>345</v>
      </c>
      <c r="E139" s="276">
        <f t="shared" ref="E139:AC139" si="89">IF(ROUND(((E140-$E$9)*($AL130))+0.25,0) &lt;=0,1,((E140-$E$9)*($AL130))+0.25)</f>
        <v>1</v>
      </c>
      <c r="F139" s="277">
        <f t="shared" si="89"/>
        <v>1</v>
      </c>
      <c r="G139" s="277">
        <f t="shared" si="89"/>
        <v>1</v>
      </c>
      <c r="H139" s="277">
        <f t="shared" si="89"/>
        <v>1</v>
      </c>
      <c r="I139" s="277">
        <f t="shared" si="89"/>
        <v>0.7</v>
      </c>
      <c r="J139" s="276">
        <f t="shared" si="89"/>
        <v>1</v>
      </c>
      <c r="K139" s="277">
        <f t="shared" si="89"/>
        <v>1</v>
      </c>
      <c r="L139" s="277">
        <f t="shared" si="89"/>
        <v>0.95000000000000007</v>
      </c>
      <c r="M139" s="277">
        <f t="shared" si="89"/>
        <v>1.7000000000000002</v>
      </c>
      <c r="N139" s="278">
        <f t="shared" si="89"/>
        <v>0.97999999999999987</v>
      </c>
      <c r="O139" s="276">
        <f t="shared" si="89"/>
        <v>0.56999999999999995</v>
      </c>
      <c r="P139" s="277">
        <f t="shared" si="89"/>
        <v>1.25</v>
      </c>
      <c r="Q139" s="277">
        <f t="shared" si="89"/>
        <v>2.6399999999999997</v>
      </c>
      <c r="R139" s="277">
        <f t="shared" si="89"/>
        <v>2.6</v>
      </c>
      <c r="S139" s="278">
        <f t="shared" si="89"/>
        <v>1.6400000000000001</v>
      </c>
      <c r="T139" s="276">
        <f t="shared" si="89"/>
        <v>1</v>
      </c>
      <c r="U139" s="277">
        <f t="shared" si="89"/>
        <v>1</v>
      </c>
      <c r="V139" s="277">
        <f t="shared" si="89"/>
        <v>1</v>
      </c>
      <c r="W139" s="277">
        <f t="shared" si="89"/>
        <v>0.82000000000000017</v>
      </c>
      <c r="X139" s="278">
        <f t="shared" si="89"/>
        <v>0.96000000000000008</v>
      </c>
      <c r="Y139" s="276">
        <f t="shared" si="89"/>
        <v>1</v>
      </c>
      <c r="Z139" s="277">
        <f t="shared" si="89"/>
        <v>1</v>
      </c>
      <c r="AA139" s="277">
        <f t="shared" si="89"/>
        <v>3.0199999999999996</v>
      </c>
      <c r="AB139" s="277">
        <f t="shared" si="89"/>
        <v>7.0700000000000012</v>
      </c>
      <c r="AC139" s="278">
        <f t="shared" si="89"/>
        <v>11.01</v>
      </c>
      <c r="AD139" s="276">
        <f>IF(((AD140-$AD$9)*($AL130))+0.5 &lt;0,1,((AD140-$AD$9)*($AL130))+0.5 )</f>
        <v>6.0399999999999991</v>
      </c>
      <c r="AE139" s="277">
        <f t="shared" ref="AE139" si="90">IF(((AE140-$AD$9)*($AL130))+0.5 &lt;0,1,((AE140-$AD$9)*($AL130))+0.5 )</f>
        <v>3.3200000000000003</v>
      </c>
      <c r="AF139" s="277">
        <f t="shared" ref="AF139" si="91">IF(((AF140-$AD$9)*($AL130))+0.5 &lt;0,1,((AF140-$AD$9)*($AL130))+0.5 )</f>
        <v>15.479999999999999</v>
      </c>
      <c r="AG139" s="278">
        <f t="shared" ref="AG139" si="92">IF(((AG140-$AD$9)*($AL130))+0.5 &lt;0,1,((AG140-$AD$9)*($AL130))+0.5 )</f>
        <v>7.1599999999999993</v>
      </c>
      <c r="AH139" s="276">
        <f>IF(((AH140-$AH$9)*($AL130))+0.5 &lt;0,1,((AH140-$AH$9)*($AL130)) )</f>
        <v>25</v>
      </c>
      <c r="AI139" s="277">
        <f>IF(((AI140-$AH$9)*($AL130))+0.5 &lt;0,1,((AI140-$AH$9)*($AL130)) )</f>
        <v>25</v>
      </c>
      <c r="AJ139" s="277">
        <f>IF(((AJ140-$AH$8)*($AL130))+0.5 &lt;0,1,((AJ140-$AH$8)*($AL130))+0.5 )</f>
        <v>0.5</v>
      </c>
      <c r="AK139" s="273"/>
      <c r="AL139" s="279"/>
      <c r="AM139" s="280"/>
      <c r="AO139"/>
      <c r="AP139"/>
      <c r="AQ139"/>
      <c r="AR139"/>
      <c r="AS139"/>
      <c r="AT139"/>
      <c r="AU139"/>
      <c r="AV139"/>
      <c r="AW139"/>
      <c r="AX139"/>
      <c r="AY139"/>
    </row>
    <row r="140" spans="2:51" ht="15.75" customHeight="1" outlineLevel="1" thickTop="1">
      <c r="B140" s="110"/>
      <c r="C140" s="109"/>
      <c r="D140" s="95" t="s">
        <v>346</v>
      </c>
      <c r="E140" s="414">
        <f t="shared" ref="E140:AJ140" si="93">IFERROR(E130/$AL130,0)</f>
        <v>2.2000000000000001E-3</v>
      </c>
      <c r="F140" s="415">
        <f t="shared" si="93"/>
        <v>3.0000000000000001E-3</v>
      </c>
      <c r="G140" s="415">
        <f t="shared" si="93"/>
        <v>5.4000000000000003E-3</v>
      </c>
      <c r="H140" s="415">
        <f t="shared" si="93"/>
        <v>9.7999999999999997E-3</v>
      </c>
      <c r="I140" s="415">
        <f t="shared" si="93"/>
        <v>2.8999999999999998E-2</v>
      </c>
      <c r="J140" s="414">
        <f t="shared" si="93"/>
        <v>3.0000000000000001E-3</v>
      </c>
      <c r="K140" s="415">
        <f t="shared" si="93"/>
        <v>8.199999999999999E-3</v>
      </c>
      <c r="L140" s="415">
        <f t="shared" si="93"/>
        <v>3.4000000000000002E-2</v>
      </c>
      <c r="M140" s="415">
        <f t="shared" si="93"/>
        <v>4.9000000000000002E-2</v>
      </c>
      <c r="N140" s="416">
        <f t="shared" si="93"/>
        <v>3.4599999999999999E-2</v>
      </c>
      <c r="O140" s="414">
        <f t="shared" si="93"/>
        <v>2.64E-2</v>
      </c>
      <c r="P140" s="415">
        <f t="shared" si="93"/>
        <v>0.04</v>
      </c>
      <c r="Q140" s="415">
        <f t="shared" si="93"/>
        <v>6.7799999999999999E-2</v>
      </c>
      <c r="R140" s="415">
        <f t="shared" si="93"/>
        <v>6.7000000000000004E-2</v>
      </c>
      <c r="S140" s="416">
        <f t="shared" si="93"/>
        <v>4.7800000000000002E-2</v>
      </c>
      <c r="T140" s="414">
        <f t="shared" si="93"/>
        <v>2E-3</v>
      </c>
      <c r="U140" s="415">
        <f t="shared" si="93"/>
        <v>4.0000000000000001E-3</v>
      </c>
      <c r="V140" s="415">
        <f t="shared" si="93"/>
        <v>1.6399999999999998E-2</v>
      </c>
      <c r="W140" s="415">
        <f t="shared" si="93"/>
        <v>3.1400000000000004E-2</v>
      </c>
      <c r="X140" s="416">
        <f t="shared" si="93"/>
        <v>3.4200000000000001E-2</v>
      </c>
      <c r="Y140" s="414">
        <f t="shared" si="93"/>
        <v>5.6000000000000008E-3</v>
      </c>
      <c r="Z140" s="415">
        <f t="shared" si="93"/>
        <v>1.24E-2</v>
      </c>
      <c r="AA140" s="415">
        <f t="shared" si="93"/>
        <v>7.5399999999999995E-2</v>
      </c>
      <c r="AB140" s="415">
        <f t="shared" si="93"/>
        <v>0.15640000000000001</v>
      </c>
      <c r="AC140" s="416">
        <f t="shared" si="93"/>
        <v>0.23519999999999999</v>
      </c>
      <c r="AD140" s="414">
        <f t="shared" si="93"/>
        <v>0.21079999999999999</v>
      </c>
      <c r="AE140" s="415">
        <f t="shared" si="93"/>
        <v>0.15640000000000001</v>
      </c>
      <c r="AF140" s="415">
        <f t="shared" si="93"/>
        <v>0.39960000000000001</v>
      </c>
      <c r="AG140" s="416">
        <f t="shared" si="93"/>
        <v>0.23319999999999999</v>
      </c>
      <c r="AH140" s="414">
        <f t="shared" si="93"/>
        <v>0.5</v>
      </c>
      <c r="AI140" s="415">
        <f t="shared" si="93"/>
        <v>0.5</v>
      </c>
      <c r="AJ140" s="415">
        <f t="shared" si="93"/>
        <v>0</v>
      </c>
      <c r="AK140" s="407"/>
      <c r="AL140" s="417"/>
      <c r="AM140" s="418"/>
      <c r="AO140"/>
      <c r="AP140"/>
      <c r="AQ140"/>
      <c r="AR140"/>
      <c r="AS140"/>
      <c r="AT140"/>
      <c r="AU140"/>
      <c r="AV140"/>
      <c r="AW140"/>
      <c r="AX140"/>
      <c r="AY140"/>
    </row>
    <row r="141" spans="2:51" ht="16.5" customHeight="1" outlineLevel="1">
      <c r="B141" s="110"/>
      <c r="C141" s="109"/>
      <c r="D141" s="180" t="s">
        <v>347</v>
      </c>
      <c r="E141" s="414">
        <f t="shared" ref="E141:AJ141" si="94">IFERROR(E131/$AL130,0)</f>
        <v>0</v>
      </c>
      <c r="F141" s="415">
        <f t="shared" si="94"/>
        <v>0</v>
      </c>
      <c r="G141" s="415">
        <f t="shared" si="94"/>
        <v>0</v>
      </c>
      <c r="H141" s="415">
        <f t="shared" si="94"/>
        <v>0</v>
      </c>
      <c r="I141" s="415">
        <f t="shared" si="94"/>
        <v>0.02</v>
      </c>
      <c r="J141" s="414">
        <f t="shared" si="94"/>
        <v>0</v>
      </c>
      <c r="K141" s="415">
        <f t="shared" si="94"/>
        <v>0.02</v>
      </c>
      <c r="L141" s="415">
        <f t="shared" si="94"/>
        <v>0.04</v>
      </c>
      <c r="M141" s="415">
        <f t="shared" si="94"/>
        <v>0.04</v>
      </c>
      <c r="N141" s="416">
        <f t="shared" si="94"/>
        <v>0.04</v>
      </c>
      <c r="O141" s="414">
        <f t="shared" si="94"/>
        <v>0.04</v>
      </c>
      <c r="P141" s="415">
        <f t="shared" si="94"/>
        <v>0.02</v>
      </c>
      <c r="Q141" s="415">
        <f t="shared" si="94"/>
        <v>0</v>
      </c>
      <c r="R141" s="415">
        <f t="shared" si="94"/>
        <v>0.06</v>
      </c>
      <c r="S141" s="416">
        <f t="shared" si="94"/>
        <v>0.04</v>
      </c>
      <c r="T141" s="414">
        <f t="shared" si="94"/>
        <v>0</v>
      </c>
      <c r="U141" s="415">
        <f t="shared" si="94"/>
        <v>0</v>
      </c>
      <c r="V141" s="415">
        <f t="shared" si="94"/>
        <v>0.02</v>
      </c>
      <c r="W141" s="415">
        <f t="shared" si="94"/>
        <v>0.04</v>
      </c>
      <c r="X141" s="416">
        <f t="shared" si="94"/>
        <v>0.04</v>
      </c>
      <c r="Y141" s="414">
        <f t="shared" si="94"/>
        <v>0</v>
      </c>
      <c r="Z141" s="415">
        <f t="shared" si="94"/>
        <v>0</v>
      </c>
      <c r="AA141" s="415">
        <f t="shared" si="94"/>
        <v>0.02</v>
      </c>
      <c r="AB141" s="415">
        <f t="shared" si="94"/>
        <v>0.12</v>
      </c>
      <c r="AC141" s="416">
        <f t="shared" si="94"/>
        <v>0.24</v>
      </c>
      <c r="AD141" s="414">
        <f>IFERROR(AD131/$AL130,0)</f>
        <v>0.1</v>
      </c>
      <c r="AE141" s="415">
        <f t="shared" ref="AE141:AI141" si="95">IFERROR(AE131/$AL130,0)</f>
        <v>0.2</v>
      </c>
      <c r="AF141" s="415">
        <f t="shared" si="95"/>
        <v>0.32</v>
      </c>
      <c r="AG141" s="416">
        <f t="shared" si="95"/>
        <v>0.18</v>
      </c>
      <c r="AH141" s="415">
        <f t="shared" si="95"/>
        <v>0.38</v>
      </c>
      <c r="AI141" s="415">
        <f t="shared" si="95"/>
        <v>0.42</v>
      </c>
      <c r="AJ141" s="415">
        <f t="shared" si="94"/>
        <v>0</v>
      </c>
      <c r="AK141" s="407"/>
      <c r="AL141" s="417"/>
      <c r="AM141" s="418"/>
      <c r="AO141"/>
      <c r="AP141"/>
      <c r="AQ141"/>
      <c r="AR141"/>
      <c r="AS141"/>
      <c r="AT141"/>
      <c r="AU141"/>
      <c r="AV141"/>
      <c r="AW141"/>
      <c r="AX141"/>
      <c r="AY141"/>
    </row>
    <row r="142" spans="2:51" ht="15.75" customHeight="1" outlineLevel="1" thickBot="1">
      <c r="B142" s="110"/>
      <c r="C142" s="109"/>
      <c r="D142" s="180" t="s">
        <v>348</v>
      </c>
      <c r="E142" s="419">
        <f t="shared" ref="E142:AJ142" si="96">E141-E140</f>
        <v>-2.2000000000000001E-3</v>
      </c>
      <c r="F142" s="420">
        <f t="shared" si="96"/>
        <v>-3.0000000000000001E-3</v>
      </c>
      <c r="G142" s="420">
        <f t="shared" si="96"/>
        <v>-5.4000000000000003E-3</v>
      </c>
      <c r="H142" s="420">
        <f t="shared" si="96"/>
        <v>-9.7999999999999997E-3</v>
      </c>
      <c r="I142" s="420">
        <f t="shared" si="96"/>
        <v>-8.9999999999999976E-3</v>
      </c>
      <c r="J142" s="419">
        <f t="shared" si="96"/>
        <v>-3.0000000000000001E-3</v>
      </c>
      <c r="K142" s="420">
        <f t="shared" si="96"/>
        <v>1.1800000000000001E-2</v>
      </c>
      <c r="L142" s="420">
        <f t="shared" si="96"/>
        <v>5.9999999999999984E-3</v>
      </c>
      <c r="M142" s="420">
        <f t="shared" si="96"/>
        <v>-9.0000000000000011E-3</v>
      </c>
      <c r="N142" s="421">
        <f t="shared" si="96"/>
        <v>5.400000000000002E-3</v>
      </c>
      <c r="O142" s="419">
        <f t="shared" si="96"/>
        <v>1.3600000000000001E-2</v>
      </c>
      <c r="P142" s="420">
        <f t="shared" si="96"/>
        <v>-0.02</v>
      </c>
      <c r="Q142" s="420">
        <f t="shared" si="96"/>
        <v>-6.7799999999999999E-2</v>
      </c>
      <c r="R142" s="420">
        <f t="shared" si="96"/>
        <v>-7.0000000000000062E-3</v>
      </c>
      <c r="S142" s="421">
        <f t="shared" si="96"/>
        <v>-7.8000000000000014E-3</v>
      </c>
      <c r="T142" s="419">
        <f t="shared" si="96"/>
        <v>-2E-3</v>
      </c>
      <c r="U142" s="420">
        <f t="shared" si="96"/>
        <v>-4.0000000000000001E-3</v>
      </c>
      <c r="V142" s="420">
        <f t="shared" si="96"/>
        <v>3.6000000000000025E-3</v>
      </c>
      <c r="W142" s="420">
        <f t="shared" si="96"/>
        <v>8.5999999999999965E-3</v>
      </c>
      <c r="X142" s="421">
        <f t="shared" si="96"/>
        <v>5.7999999999999996E-3</v>
      </c>
      <c r="Y142" s="419">
        <f t="shared" si="96"/>
        <v>-5.6000000000000008E-3</v>
      </c>
      <c r="Z142" s="420">
        <f t="shared" si="96"/>
        <v>-1.24E-2</v>
      </c>
      <c r="AA142" s="420">
        <f t="shared" si="96"/>
        <v>-5.5399999999999991E-2</v>
      </c>
      <c r="AB142" s="420">
        <f t="shared" si="96"/>
        <v>-3.6400000000000016E-2</v>
      </c>
      <c r="AC142" s="421">
        <f t="shared" si="96"/>
        <v>4.7999999999999987E-3</v>
      </c>
      <c r="AD142" s="419">
        <f>AD141-AD140</f>
        <v>-0.11079999999999998</v>
      </c>
      <c r="AE142" s="420">
        <f t="shared" ref="AE142:AI142" si="97">AE141-AE140</f>
        <v>4.36E-2</v>
      </c>
      <c r="AF142" s="420">
        <f t="shared" si="97"/>
        <v>-7.9600000000000004E-2</v>
      </c>
      <c r="AG142" s="421">
        <f t="shared" si="97"/>
        <v>-5.3199999999999997E-2</v>
      </c>
      <c r="AH142" s="420">
        <f t="shared" si="97"/>
        <v>-0.12</v>
      </c>
      <c r="AI142" s="420">
        <f t="shared" si="97"/>
        <v>-8.0000000000000016E-2</v>
      </c>
      <c r="AJ142" s="420">
        <f t="shared" si="96"/>
        <v>0</v>
      </c>
      <c r="AK142" s="407"/>
      <c r="AL142" s="422"/>
      <c r="AM142" s="423"/>
      <c r="AO142"/>
      <c r="AP142"/>
      <c r="AQ142"/>
      <c r="AR142"/>
      <c r="AS142"/>
      <c r="AT142"/>
      <c r="AU142"/>
      <c r="AV142"/>
      <c r="AW142"/>
      <c r="AX142"/>
      <c r="AY142"/>
    </row>
    <row r="143" spans="2:51" ht="16.5" thickTop="1">
      <c r="B143" s="451" t="s">
        <v>338</v>
      </c>
      <c r="C143" s="453" t="str">
        <f>aurora_data!A212</f>
        <v>16.00.00-16.11.30</v>
      </c>
      <c r="D143" s="34" t="s">
        <v>306</v>
      </c>
      <c r="E143" s="152">
        <f>aurora_data!D212</f>
        <v>0.12</v>
      </c>
      <c r="F143" s="153">
        <f>aurora_data!E212</f>
        <v>0.13</v>
      </c>
      <c r="G143" s="153">
        <f>aurora_data!F212</f>
        <v>0.31</v>
      </c>
      <c r="H143" s="153">
        <f>aurora_data!G212</f>
        <v>0.49</v>
      </c>
      <c r="I143" s="153">
        <f>aurora_data!H212</f>
        <v>1.33</v>
      </c>
      <c r="J143" s="152">
        <f>aurora_data!I212</f>
        <v>0.14000000000000001</v>
      </c>
      <c r="K143" s="153">
        <f>aurora_data!J212</f>
        <v>0.43</v>
      </c>
      <c r="L143" s="153">
        <f>aurora_data!K212</f>
        <v>1.71</v>
      </c>
      <c r="M143" s="153">
        <f>aurora_data!L212</f>
        <v>2.5499999999999998</v>
      </c>
      <c r="N143" s="154">
        <f>aurora_data!M212</f>
        <v>1.72</v>
      </c>
      <c r="O143" s="152">
        <f>aurora_data!N212</f>
        <v>1.37</v>
      </c>
      <c r="P143" s="153">
        <f>aurora_data!O212</f>
        <v>1.85</v>
      </c>
      <c r="Q143" s="153">
        <f>aurora_data!P212</f>
        <v>3.28</v>
      </c>
      <c r="R143" s="153">
        <f>aurora_data!Q212</f>
        <v>3.31</v>
      </c>
      <c r="S143" s="154">
        <f>aurora_data!R212</f>
        <v>2.42</v>
      </c>
      <c r="T143" s="152">
        <f>aurora_data!S212</f>
        <v>0.12</v>
      </c>
      <c r="U143" s="153">
        <f>aurora_data!T212</f>
        <v>0.22</v>
      </c>
      <c r="V143" s="153">
        <f>aurora_data!U212</f>
        <v>0.85</v>
      </c>
      <c r="W143" s="153">
        <f>aurora_data!V212</f>
        <v>1.44</v>
      </c>
      <c r="X143" s="154">
        <f>aurora_data!W212</f>
        <v>1.71</v>
      </c>
      <c r="Y143" s="152">
        <f>aurora_data!X212</f>
        <v>0.27</v>
      </c>
      <c r="Z143" s="153">
        <f>aurora_data!Y212</f>
        <v>0.57999999999999996</v>
      </c>
      <c r="AA143" s="153">
        <f>aurora_data!Z212</f>
        <v>3.97</v>
      </c>
      <c r="AB143" s="153">
        <f>aurora_data!AA212</f>
        <v>7.99</v>
      </c>
      <c r="AC143" s="154">
        <f>aurora_data!AB212</f>
        <v>11.72</v>
      </c>
      <c r="AD143" s="152">
        <f>aurora_data!AC212</f>
        <v>10.65</v>
      </c>
      <c r="AE143" s="153">
        <f>aurora_data!AD212</f>
        <v>7.89</v>
      </c>
      <c r="AF143" s="153">
        <f>aurora_data!AE212</f>
        <v>19.54</v>
      </c>
      <c r="AG143" s="154">
        <f>aurora_data!AF212</f>
        <v>11.92</v>
      </c>
      <c r="AH143" s="155">
        <f>aurora_data!AG212</f>
        <v>25</v>
      </c>
      <c r="AI143" s="171">
        <f>aurora_data!AH212</f>
        <v>25</v>
      </c>
      <c r="AJ143" s="201">
        <f>aurora_data!AI89</f>
        <v>0</v>
      </c>
      <c r="AK143" s="407"/>
      <c r="AL143" s="155">
        <f>aurora_data!AJ212</f>
        <v>50</v>
      </c>
      <c r="AM143" s="167">
        <f t="shared" ref="AM143:AM150" si="98">SUM(AL143)/$AL$143</f>
        <v>1</v>
      </c>
      <c r="AO143"/>
      <c r="AP143"/>
      <c r="AQ143"/>
      <c r="AR143"/>
      <c r="AS143"/>
      <c r="AT143"/>
      <c r="AU143"/>
      <c r="AV143"/>
      <c r="AW143"/>
      <c r="AX143"/>
      <c r="AY143"/>
    </row>
    <row r="144" spans="2:51">
      <c r="B144" s="452"/>
      <c r="C144" s="454"/>
      <c r="D144" s="35" t="s">
        <v>339</v>
      </c>
      <c r="E144" s="262">
        <f>aurora_data!D213</f>
        <v>0</v>
      </c>
      <c r="F144" s="263">
        <f>aurora_data!E213</f>
        <v>0</v>
      </c>
      <c r="G144" s="263">
        <f>aurora_data!F213</f>
        <v>0</v>
      </c>
      <c r="H144" s="263">
        <f>aurora_data!G213</f>
        <v>0</v>
      </c>
      <c r="I144" s="263">
        <f>aurora_data!H213</f>
        <v>1</v>
      </c>
      <c r="J144" s="262">
        <f>aurora_data!I213</f>
        <v>0</v>
      </c>
      <c r="K144" s="263">
        <f>aurora_data!J213</f>
        <v>0</v>
      </c>
      <c r="L144" s="263">
        <f>aurora_data!K213</f>
        <v>1</v>
      </c>
      <c r="M144" s="263">
        <f>aurora_data!L213</f>
        <v>2</v>
      </c>
      <c r="N144" s="264">
        <f>aurora_data!M213</f>
        <v>3</v>
      </c>
      <c r="O144" s="262">
        <f>aurora_data!N213</f>
        <v>2</v>
      </c>
      <c r="P144" s="263">
        <f>aurora_data!O213</f>
        <v>2</v>
      </c>
      <c r="Q144" s="263">
        <f>aurora_data!P213</f>
        <v>1</v>
      </c>
      <c r="R144" s="263">
        <f>aurora_data!Q213</f>
        <v>2</v>
      </c>
      <c r="S144" s="264">
        <f>aurora_data!R213</f>
        <v>2</v>
      </c>
      <c r="T144" s="262">
        <f>aurora_data!S213</f>
        <v>0</v>
      </c>
      <c r="U144" s="263">
        <f>aurora_data!T213</f>
        <v>0</v>
      </c>
      <c r="V144" s="263">
        <f>aurora_data!U213</f>
        <v>0</v>
      </c>
      <c r="W144" s="263">
        <f>aurora_data!V213</f>
        <v>1</v>
      </c>
      <c r="X144" s="264">
        <f>aurora_data!W213</f>
        <v>1</v>
      </c>
      <c r="Y144" s="262">
        <f>aurora_data!X213</f>
        <v>0</v>
      </c>
      <c r="Z144" s="263">
        <f>aurora_data!Y213</f>
        <v>0</v>
      </c>
      <c r="AA144" s="263">
        <f>aurora_data!Z213</f>
        <v>1</v>
      </c>
      <c r="AB144" s="263">
        <f>aurora_data!AA213</f>
        <v>9</v>
      </c>
      <c r="AC144" s="264">
        <f>aurora_data!AB213</f>
        <v>12</v>
      </c>
      <c r="AD144" s="262">
        <f>aurora_data!AC213</f>
        <v>11</v>
      </c>
      <c r="AE144" s="263">
        <f>aurora_data!AD213</f>
        <v>9</v>
      </c>
      <c r="AF144" s="263">
        <f>aurora_data!AE213</f>
        <v>15</v>
      </c>
      <c r="AG144" s="264">
        <f>aurora_data!AF213</f>
        <v>5</v>
      </c>
      <c r="AH144" s="262">
        <f>aurora_data!AG213</f>
        <v>22</v>
      </c>
      <c r="AI144" s="263">
        <f>aurora_data!AH213</f>
        <v>18</v>
      </c>
      <c r="AJ144" s="264">
        <f>aurora_data!AI90</f>
        <v>0</v>
      </c>
      <c r="AK144" s="407"/>
      <c r="AL144" s="408">
        <f>aurora_data!AJ213</f>
        <v>40</v>
      </c>
      <c r="AM144" s="409">
        <f t="shared" si="98"/>
        <v>0.8</v>
      </c>
      <c r="AO144"/>
      <c r="AP144"/>
      <c r="AQ144"/>
      <c r="AR144"/>
      <c r="AS144"/>
      <c r="AT144"/>
      <c r="AU144"/>
      <c r="AV144"/>
      <c r="AW144"/>
      <c r="AX144"/>
      <c r="AY144"/>
    </row>
    <row r="145" spans="2:51">
      <c r="B145" s="452"/>
      <c r="C145" s="454"/>
      <c r="D145" s="35" t="s">
        <v>291</v>
      </c>
      <c r="E145" s="408">
        <f>aurora_data!D214</f>
        <v>0</v>
      </c>
      <c r="F145" s="410">
        <f>aurora_data!E214</f>
        <v>0</v>
      </c>
      <c r="G145" s="410">
        <f>aurora_data!F214</f>
        <v>0</v>
      </c>
      <c r="H145" s="410">
        <f>aurora_data!G214</f>
        <v>0</v>
      </c>
      <c r="I145" s="410">
        <f>aurora_data!H214</f>
        <v>0</v>
      </c>
      <c r="J145" s="408">
        <f>aurora_data!I214</f>
        <v>0</v>
      </c>
      <c r="K145" s="410">
        <f>aurora_data!J214</f>
        <v>0</v>
      </c>
      <c r="L145" s="410">
        <f>aurora_data!K214</f>
        <v>0</v>
      </c>
      <c r="M145" s="410">
        <f>aurora_data!L214</f>
        <v>0</v>
      </c>
      <c r="N145" s="411">
        <f>aurora_data!M214</f>
        <v>0</v>
      </c>
      <c r="O145" s="408">
        <f>aurora_data!N214</f>
        <v>0</v>
      </c>
      <c r="P145" s="410">
        <f>aurora_data!O214</f>
        <v>0</v>
      </c>
      <c r="Q145" s="410">
        <f>aurora_data!P214</f>
        <v>0</v>
      </c>
      <c r="R145" s="410">
        <f>aurora_data!Q214</f>
        <v>0</v>
      </c>
      <c r="S145" s="411">
        <f>aurora_data!R214</f>
        <v>0</v>
      </c>
      <c r="T145" s="408">
        <f>aurora_data!S214</f>
        <v>0</v>
      </c>
      <c r="U145" s="410">
        <f>aurora_data!T214</f>
        <v>0</v>
      </c>
      <c r="V145" s="410">
        <f>aurora_data!U214</f>
        <v>0</v>
      </c>
      <c r="W145" s="410">
        <f>aurora_data!V214</f>
        <v>0</v>
      </c>
      <c r="X145" s="411">
        <f>aurora_data!W214</f>
        <v>0</v>
      </c>
      <c r="Y145" s="408">
        <f>aurora_data!X214</f>
        <v>0</v>
      </c>
      <c r="Z145" s="410">
        <f>aurora_data!Y214</f>
        <v>0</v>
      </c>
      <c r="AA145" s="410">
        <f>aurora_data!Z214</f>
        <v>0</v>
      </c>
      <c r="AB145" s="410">
        <f>aurora_data!AA214</f>
        <v>0</v>
      </c>
      <c r="AC145" s="411">
        <f>aurora_data!AB214</f>
        <v>0</v>
      </c>
      <c r="AD145" s="408">
        <f>aurora_data!AC214</f>
        <v>0</v>
      </c>
      <c r="AE145" s="410">
        <f>aurora_data!AD214</f>
        <v>0</v>
      </c>
      <c r="AF145" s="410">
        <f>aurora_data!AE214</f>
        <v>0</v>
      </c>
      <c r="AG145" s="411">
        <f>aurora_data!AF214</f>
        <v>0</v>
      </c>
      <c r="AH145" s="408">
        <f>aurora_data!AG214</f>
        <v>0</v>
      </c>
      <c r="AI145" s="410">
        <f>aurora_data!AH214</f>
        <v>0</v>
      </c>
      <c r="AJ145" s="411">
        <f>aurora_data!AI91</f>
        <v>0</v>
      </c>
      <c r="AK145" s="407"/>
      <c r="AL145" s="408">
        <f>aurora_data!AJ214</f>
        <v>0</v>
      </c>
      <c r="AM145" s="409">
        <f t="shared" si="98"/>
        <v>0</v>
      </c>
      <c r="AO145"/>
      <c r="AP145"/>
      <c r="AQ145"/>
      <c r="AR145"/>
      <c r="AS145"/>
      <c r="AT145"/>
      <c r="AU145"/>
      <c r="AV145"/>
      <c r="AW145"/>
      <c r="AX145"/>
      <c r="AY145"/>
    </row>
    <row r="146" spans="2:51">
      <c r="B146" s="452"/>
      <c r="C146" s="454"/>
      <c r="D146" s="35" t="s">
        <v>340</v>
      </c>
      <c r="E146" s="408">
        <f>aurora_data!D215</f>
        <v>0</v>
      </c>
      <c r="F146" s="410">
        <f>aurora_data!E215</f>
        <v>0</v>
      </c>
      <c r="G146" s="410">
        <f>aurora_data!F215</f>
        <v>0</v>
      </c>
      <c r="H146" s="410">
        <f>aurora_data!G215</f>
        <v>0</v>
      </c>
      <c r="I146" s="410">
        <f>aurora_data!H215</f>
        <v>0</v>
      </c>
      <c r="J146" s="408">
        <f>aurora_data!I215</f>
        <v>0</v>
      </c>
      <c r="K146" s="410">
        <f>aurora_data!J215</f>
        <v>0</v>
      </c>
      <c r="L146" s="410">
        <f>aurora_data!K215</f>
        <v>0</v>
      </c>
      <c r="M146" s="410">
        <f>aurora_data!L215</f>
        <v>0</v>
      </c>
      <c r="N146" s="411">
        <f>aurora_data!M215</f>
        <v>0</v>
      </c>
      <c r="O146" s="408">
        <f>aurora_data!N215</f>
        <v>0</v>
      </c>
      <c r="P146" s="410">
        <f>aurora_data!O215</f>
        <v>0</v>
      </c>
      <c r="Q146" s="410">
        <f>aurora_data!P215</f>
        <v>0</v>
      </c>
      <c r="R146" s="410">
        <f>aurora_data!Q215</f>
        <v>0</v>
      </c>
      <c r="S146" s="411">
        <f>aurora_data!R215</f>
        <v>0</v>
      </c>
      <c r="T146" s="408">
        <f>aurora_data!S215</f>
        <v>0</v>
      </c>
      <c r="U146" s="410">
        <f>aurora_data!T215</f>
        <v>0</v>
      </c>
      <c r="V146" s="410">
        <f>aurora_data!U215</f>
        <v>0</v>
      </c>
      <c r="W146" s="410">
        <f>aurora_data!V215</f>
        <v>0</v>
      </c>
      <c r="X146" s="411">
        <f>aurora_data!W215</f>
        <v>0</v>
      </c>
      <c r="Y146" s="408">
        <f>aurora_data!X215</f>
        <v>0</v>
      </c>
      <c r="Z146" s="410">
        <f>aurora_data!Y215</f>
        <v>0</v>
      </c>
      <c r="AA146" s="410">
        <f>aurora_data!Z215</f>
        <v>0</v>
      </c>
      <c r="AB146" s="410">
        <f>aurora_data!AA215</f>
        <v>1</v>
      </c>
      <c r="AC146" s="411">
        <f>aurora_data!AB215</f>
        <v>0</v>
      </c>
      <c r="AD146" s="408">
        <f>aurora_data!AC215</f>
        <v>0</v>
      </c>
      <c r="AE146" s="410">
        <f>aurora_data!AD215</f>
        <v>1</v>
      </c>
      <c r="AF146" s="410">
        <f>aurora_data!AE215</f>
        <v>0</v>
      </c>
      <c r="AG146" s="411">
        <f>aurora_data!AF215</f>
        <v>0</v>
      </c>
      <c r="AH146" s="408">
        <f>aurora_data!AG215</f>
        <v>1</v>
      </c>
      <c r="AI146" s="410">
        <f>aurora_data!AH215</f>
        <v>0</v>
      </c>
      <c r="AJ146" s="411">
        <f>aurora_data!AI92</f>
        <v>0</v>
      </c>
      <c r="AK146" s="407"/>
      <c r="AL146" s="408">
        <f>aurora_data!AJ215</f>
        <v>1</v>
      </c>
      <c r="AM146" s="409">
        <f t="shared" si="98"/>
        <v>0.02</v>
      </c>
      <c r="AO146"/>
      <c r="AP146"/>
      <c r="AQ146"/>
      <c r="AR146"/>
      <c r="AS146"/>
      <c r="AT146"/>
      <c r="AU146"/>
      <c r="AV146"/>
      <c r="AW146"/>
      <c r="AX146"/>
      <c r="AY146"/>
    </row>
    <row r="147" spans="2:51">
      <c r="B147" s="452"/>
      <c r="C147" s="454"/>
      <c r="D147" s="35" t="s">
        <v>341</v>
      </c>
      <c r="E147" s="408">
        <f>aurora_data!D216</f>
        <v>0</v>
      </c>
      <c r="F147" s="410">
        <f>aurora_data!E216</f>
        <v>0</v>
      </c>
      <c r="G147" s="410">
        <f>aurora_data!F216</f>
        <v>0</v>
      </c>
      <c r="H147" s="410">
        <f>aurora_data!G216</f>
        <v>0</v>
      </c>
      <c r="I147" s="410">
        <f>aurora_data!H216</f>
        <v>0</v>
      </c>
      <c r="J147" s="408">
        <f>aurora_data!I216</f>
        <v>0</v>
      </c>
      <c r="K147" s="410">
        <f>aurora_data!J216</f>
        <v>0</v>
      </c>
      <c r="L147" s="410">
        <f>aurora_data!K216</f>
        <v>0</v>
      </c>
      <c r="M147" s="410">
        <f>aurora_data!L216</f>
        <v>0</v>
      </c>
      <c r="N147" s="411">
        <f>aurora_data!M216</f>
        <v>0</v>
      </c>
      <c r="O147" s="408">
        <f>aurora_data!N216</f>
        <v>0</v>
      </c>
      <c r="P147" s="410">
        <f>aurora_data!O216</f>
        <v>0</v>
      </c>
      <c r="Q147" s="410">
        <f>aurora_data!P216</f>
        <v>0</v>
      </c>
      <c r="R147" s="410">
        <f>aurora_data!Q216</f>
        <v>1</v>
      </c>
      <c r="S147" s="411">
        <f>aurora_data!R216</f>
        <v>0</v>
      </c>
      <c r="T147" s="408">
        <f>aurora_data!S216</f>
        <v>0</v>
      </c>
      <c r="U147" s="410">
        <f>aurora_data!T216</f>
        <v>0</v>
      </c>
      <c r="V147" s="410">
        <f>aurora_data!U216</f>
        <v>0</v>
      </c>
      <c r="W147" s="410">
        <f>aurora_data!V216</f>
        <v>0</v>
      </c>
      <c r="X147" s="411">
        <f>aurora_data!W216</f>
        <v>1</v>
      </c>
      <c r="Y147" s="408">
        <f>aurora_data!X216</f>
        <v>0</v>
      </c>
      <c r="Z147" s="410">
        <f>aurora_data!Y216</f>
        <v>0</v>
      </c>
      <c r="AA147" s="410">
        <f>aurora_data!Z216</f>
        <v>0</v>
      </c>
      <c r="AB147" s="410">
        <f>aurora_data!AA216</f>
        <v>0</v>
      </c>
      <c r="AC147" s="411">
        <f>aurora_data!AB216</f>
        <v>0</v>
      </c>
      <c r="AD147" s="408">
        <f>aurora_data!AC216</f>
        <v>1</v>
      </c>
      <c r="AE147" s="410">
        <f>aurora_data!AD216</f>
        <v>1</v>
      </c>
      <c r="AF147" s="410">
        <f>aurora_data!AE216</f>
        <v>0</v>
      </c>
      <c r="AG147" s="411">
        <f>aurora_data!AF216</f>
        <v>0</v>
      </c>
      <c r="AH147" s="408">
        <f>aurora_data!AG216</f>
        <v>1</v>
      </c>
      <c r="AI147" s="410">
        <f>aurora_data!AH216</f>
        <v>1</v>
      </c>
      <c r="AJ147" s="411">
        <f>aurora_data!AI93</f>
        <v>0</v>
      </c>
      <c r="AK147" s="407"/>
      <c r="AL147" s="408">
        <f>aurora_data!AJ216</f>
        <v>2</v>
      </c>
      <c r="AM147" s="409">
        <f t="shared" si="98"/>
        <v>0.04</v>
      </c>
      <c r="AO147"/>
      <c r="AP147"/>
      <c r="AQ147"/>
      <c r="AR147"/>
      <c r="AS147"/>
      <c r="AT147"/>
      <c r="AU147"/>
      <c r="AV147"/>
      <c r="AW147"/>
      <c r="AX147"/>
      <c r="AY147"/>
    </row>
    <row r="148" spans="2:51" ht="16.5" thickBot="1">
      <c r="B148" s="452"/>
      <c r="C148" s="454"/>
      <c r="D148" s="35" t="s">
        <v>342</v>
      </c>
      <c r="E148" s="408">
        <f>aurora_data!D217</f>
        <v>0</v>
      </c>
      <c r="F148" s="410">
        <f>aurora_data!E217</f>
        <v>0</v>
      </c>
      <c r="G148" s="410">
        <f>aurora_data!F217</f>
        <v>0</v>
      </c>
      <c r="H148" s="410">
        <f>aurora_data!G217</f>
        <v>0</v>
      </c>
      <c r="I148" s="410">
        <f>aurora_data!H217</f>
        <v>0</v>
      </c>
      <c r="J148" s="408">
        <f>aurora_data!I217</f>
        <v>0</v>
      </c>
      <c r="K148" s="410">
        <f>aurora_data!J217</f>
        <v>0</v>
      </c>
      <c r="L148" s="410">
        <f>aurora_data!K217</f>
        <v>0</v>
      </c>
      <c r="M148" s="410">
        <f>aurora_data!L217</f>
        <v>0</v>
      </c>
      <c r="N148" s="411">
        <f>aurora_data!M217</f>
        <v>0</v>
      </c>
      <c r="O148" s="408">
        <f>aurora_data!N217</f>
        <v>0</v>
      </c>
      <c r="P148" s="410">
        <f>aurora_data!O217</f>
        <v>0</v>
      </c>
      <c r="Q148" s="410">
        <f>aurora_data!P217</f>
        <v>0</v>
      </c>
      <c r="R148" s="410">
        <f>aurora_data!Q217</f>
        <v>0</v>
      </c>
      <c r="S148" s="411">
        <f>aurora_data!R217</f>
        <v>0</v>
      </c>
      <c r="T148" s="408">
        <f>aurora_data!S217</f>
        <v>0</v>
      </c>
      <c r="U148" s="410">
        <f>aurora_data!T217</f>
        <v>0</v>
      </c>
      <c r="V148" s="410">
        <f>aurora_data!U217</f>
        <v>0</v>
      </c>
      <c r="W148" s="410">
        <f>aurora_data!V217</f>
        <v>0</v>
      </c>
      <c r="X148" s="411">
        <f>aurora_data!W217</f>
        <v>0</v>
      </c>
      <c r="Y148" s="408">
        <f>aurora_data!X217</f>
        <v>0</v>
      </c>
      <c r="Z148" s="410">
        <f>aurora_data!Y217</f>
        <v>0</v>
      </c>
      <c r="AA148" s="410">
        <f>aurora_data!Z217</f>
        <v>0</v>
      </c>
      <c r="AB148" s="410">
        <f>aurora_data!AA217</f>
        <v>0</v>
      </c>
      <c r="AC148" s="411">
        <f>aurora_data!AB217</f>
        <v>0</v>
      </c>
      <c r="AD148" s="408">
        <f>aurora_data!AC217</f>
        <v>0</v>
      </c>
      <c r="AE148" s="410">
        <f>aurora_data!AD217</f>
        <v>0</v>
      </c>
      <c r="AF148" s="410">
        <f>aurora_data!AE217</f>
        <v>0</v>
      </c>
      <c r="AG148" s="411">
        <f>aurora_data!AF217</f>
        <v>0</v>
      </c>
      <c r="AH148" s="408">
        <f>aurora_data!AG217</f>
        <v>0</v>
      </c>
      <c r="AI148" s="410">
        <f>aurora_data!AH217</f>
        <v>0</v>
      </c>
      <c r="AJ148" s="411">
        <f>aurora_data!AI94</f>
        <v>0</v>
      </c>
      <c r="AK148" s="412"/>
      <c r="AL148" s="408">
        <f>aurora_data!AJ217</f>
        <v>0</v>
      </c>
      <c r="AM148" s="409">
        <f t="shared" si="98"/>
        <v>0</v>
      </c>
      <c r="AO148"/>
      <c r="AP148"/>
      <c r="AQ148"/>
      <c r="AR148"/>
      <c r="AS148"/>
      <c r="AT148"/>
      <c r="AU148"/>
      <c r="AV148"/>
      <c r="AW148"/>
      <c r="AX148"/>
      <c r="AY148"/>
    </row>
    <row r="149" spans="2:51" ht="16.5" thickBot="1">
      <c r="B149" s="452"/>
      <c r="C149" s="454"/>
      <c r="D149" s="37" t="s">
        <v>17</v>
      </c>
      <c r="E149" s="182">
        <f>aurora_data!D218</f>
        <v>0</v>
      </c>
      <c r="F149" s="183">
        <f>aurora_data!E218</f>
        <v>0</v>
      </c>
      <c r="G149" s="183">
        <f>aurora_data!F218</f>
        <v>0</v>
      </c>
      <c r="H149" s="183">
        <f>aurora_data!G218</f>
        <v>0</v>
      </c>
      <c r="I149" s="184">
        <f>aurora_data!H218</f>
        <v>1</v>
      </c>
      <c r="J149" s="182">
        <f>aurora_data!I218</f>
        <v>0</v>
      </c>
      <c r="K149" s="183">
        <f>aurora_data!J218</f>
        <v>0</v>
      </c>
      <c r="L149" s="183">
        <f>aurora_data!K218</f>
        <v>1</v>
      </c>
      <c r="M149" s="183">
        <f>aurora_data!L218</f>
        <v>2</v>
      </c>
      <c r="N149" s="184">
        <f>aurora_data!M218</f>
        <v>3</v>
      </c>
      <c r="O149" s="182">
        <f>aurora_data!N218</f>
        <v>2</v>
      </c>
      <c r="P149" s="183">
        <f>aurora_data!O218</f>
        <v>2</v>
      </c>
      <c r="Q149" s="183">
        <f>aurora_data!P218</f>
        <v>1</v>
      </c>
      <c r="R149" s="183">
        <f>aurora_data!Q218</f>
        <v>3</v>
      </c>
      <c r="S149" s="184">
        <f>aurora_data!R218</f>
        <v>2</v>
      </c>
      <c r="T149" s="182">
        <f>aurora_data!S218</f>
        <v>0</v>
      </c>
      <c r="U149" s="183">
        <f>aurora_data!T218</f>
        <v>0</v>
      </c>
      <c r="V149" s="183">
        <f>aurora_data!U218</f>
        <v>0</v>
      </c>
      <c r="W149" s="183">
        <f>aurora_data!V218</f>
        <v>1</v>
      </c>
      <c r="X149" s="184">
        <f>aurora_data!W218</f>
        <v>2</v>
      </c>
      <c r="Y149" s="182">
        <f>aurora_data!X218</f>
        <v>0</v>
      </c>
      <c r="Z149" s="183">
        <f>aurora_data!Y218</f>
        <v>0</v>
      </c>
      <c r="AA149" s="183">
        <f>aurora_data!Z218</f>
        <v>1</v>
      </c>
      <c r="AB149" s="183">
        <f>aurora_data!AA218</f>
        <v>10</v>
      </c>
      <c r="AC149" s="184">
        <f>aurora_data!AB218</f>
        <v>12</v>
      </c>
      <c r="AD149" s="182">
        <f>aurora_data!AC218</f>
        <v>12</v>
      </c>
      <c r="AE149" s="183">
        <f>aurora_data!AD218</f>
        <v>11</v>
      </c>
      <c r="AF149" s="183">
        <f>aurora_data!AE218</f>
        <v>15</v>
      </c>
      <c r="AG149" s="184">
        <f>aurora_data!AF218</f>
        <v>5</v>
      </c>
      <c r="AH149" s="182">
        <f>aurora_data!AG218</f>
        <v>24</v>
      </c>
      <c r="AI149" s="183">
        <f>aurora_data!AH218</f>
        <v>19</v>
      </c>
      <c r="AJ149" s="183">
        <f>aurora_data!AI95</f>
        <v>0</v>
      </c>
      <c r="AK149" s="412"/>
      <c r="AL149" s="182">
        <f>aurora_data!AJ218</f>
        <v>43</v>
      </c>
      <c r="AM149" s="413">
        <f t="shared" si="98"/>
        <v>0.86</v>
      </c>
      <c r="AO149"/>
      <c r="AP149"/>
      <c r="AQ149"/>
      <c r="AR149"/>
      <c r="AS149"/>
      <c r="AT149"/>
      <c r="AU149"/>
      <c r="AV149"/>
      <c r="AW149"/>
      <c r="AX149"/>
      <c r="AY149"/>
    </row>
    <row r="150" spans="2:51" ht="16.5" thickBot="1">
      <c r="B150" s="452"/>
      <c r="C150" s="454"/>
      <c r="D150" s="38" t="s">
        <v>343</v>
      </c>
      <c r="E150" s="265">
        <f>aurora_data!D219</f>
        <v>0</v>
      </c>
      <c r="F150" s="266">
        <f>aurora_data!E219</f>
        <v>0</v>
      </c>
      <c r="G150" s="266">
        <f>aurora_data!F219</f>
        <v>0</v>
      </c>
      <c r="H150" s="266">
        <f>aurora_data!G219</f>
        <v>0</v>
      </c>
      <c r="I150" s="266">
        <f>aurora_data!H219</f>
        <v>0</v>
      </c>
      <c r="J150" s="265">
        <f>aurora_data!I219</f>
        <v>0</v>
      </c>
      <c r="K150" s="266">
        <f>aurora_data!J219</f>
        <v>0</v>
      </c>
      <c r="L150" s="266">
        <f>aurora_data!K219</f>
        <v>1</v>
      </c>
      <c r="M150" s="266">
        <f>aurora_data!L219</f>
        <v>0</v>
      </c>
      <c r="N150" s="267">
        <f>aurora_data!M219</f>
        <v>1</v>
      </c>
      <c r="O150" s="265">
        <f>aurora_data!N219</f>
        <v>0</v>
      </c>
      <c r="P150" s="266">
        <f>aurora_data!O219</f>
        <v>0</v>
      </c>
      <c r="Q150" s="266">
        <f>aurora_data!P219</f>
        <v>0</v>
      </c>
      <c r="R150" s="266">
        <f>aurora_data!Q219</f>
        <v>0</v>
      </c>
      <c r="S150" s="267">
        <f>aurora_data!R219</f>
        <v>0</v>
      </c>
      <c r="T150" s="265">
        <f>aurora_data!S219</f>
        <v>0</v>
      </c>
      <c r="U150" s="266">
        <f>aurora_data!T219</f>
        <v>0</v>
      </c>
      <c r="V150" s="266">
        <f>aurora_data!U219</f>
        <v>0</v>
      </c>
      <c r="W150" s="266">
        <f>aurora_data!V219</f>
        <v>0</v>
      </c>
      <c r="X150" s="267">
        <f>aurora_data!W219</f>
        <v>0</v>
      </c>
      <c r="Y150" s="265">
        <f>aurora_data!X219</f>
        <v>0</v>
      </c>
      <c r="Z150" s="266">
        <f>aurora_data!Y219</f>
        <v>0</v>
      </c>
      <c r="AA150" s="266">
        <f>aurora_data!Z219</f>
        <v>0</v>
      </c>
      <c r="AB150" s="266">
        <f>aurora_data!AA219</f>
        <v>0</v>
      </c>
      <c r="AC150" s="267">
        <f>aurora_data!AB219</f>
        <v>0</v>
      </c>
      <c r="AD150" s="265">
        <f>aurora_data!AC219</f>
        <v>1</v>
      </c>
      <c r="AE150" s="266">
        <f>aurora_data!AD219</f>
        <v>0</v>
      </c>
      <c r="AF150" s="266">
        <f>aurora_data!AE219</f>
        <v>1</v>
      </c>
      <c r="AG150" s="267">
        <f>aurora_data!AF219</f>
        <v>0</v>
      </c>
      <c r="AH150" s="265">
        <f>aurora_data!AG219</f>
        <v>0</v>
      </c>
      <c r="AI150" s="266">
        <f>aurora_data!AH219</f>
        <v>2</v>
      </c>
      <c r="AJ150" s="268">
        <f>aurora_data!AI96</f>
        <v>0</v>
      </c>
      <c r="AK150" s="269"/>
      <c r="AL150" s="265">
        <f>aurora_data!AJ219</f>
        <v>2</v>
      </c>
      <c r="AM150" s="270">
        <f t="shared" si="98"/>
        <v>0.04</v>
      </c>
      <c r="AO150"/>
      <c r="AP150"/>
      <c r="AQ150"/>
      <c r="AR150"/>
      <c r="AS150"/>
      <c r="AT150"/>
      <c r="AU150"/>
      <c r="AV150"/>
      <c r="AW150"/>
      <c r="AX150"/>
      <c r="AY150"/>
    </row>
    <row r="151" spans="2:51" outlineLevel="1">
      <c r="B151" s="452"/>
      <c r="C151" s="454"/>
      <c r="D151" s="199" t="s">
        <v>344</v>
      </c>
      <c r="E151" s="271">
        <f t="shared" ref="E151:AC151" si="99">ROUNDDOWN((E153+$E$9)*($AL143),0)</f>
        <v>1</v>
      </c>
      <c r="F151" s="272">
        <f t="shared" si="99"/>
        <v>1</v>
      </c>
      <c r="G151" s="272">
        <f t="shared" si="99"/>
        <v>1</v>
      </c>
      <c r="H151" s="272">
        <f t="shared" si="99"/>
        <v>1</v>
      </c>
      <c r="I151" s="272">
        <f t="shared" si="99"/>
        <v>2</v>
      </c>
      <c r="J151" s="271">
        <f t="shared" si="99"/>
        <v>1</v>
      </c>
      <c r="K151" s="272">
        <f t="shared" si="99"/>
        <v>1</v>
      </c>
      <c r="L151" s="272">
        <f t="shared" si="99"/>
        <v>2</v>
      </c>
      <c r="M151" s="272">
        <f t="shared" si="99"/>
        <v>3</v>
      </c>
      <c r="N151" s="268">
        <f t="shared" si="99"/>
        <v>2</v>
      </c>
      <c r="O151" s="271">
        <f t="shared" si="99"/>
        <v>2</v>
      </c>
      <c r="P151" s="272">
        <f t="shared" si="99"/>
        <v>2</v>
      </c>
      <c r="Q151" s="272">
        <f t="shared" si="99"/>
        <v>4</v>
      </c>
      <c r="R151" s="272">
        <f t="shared" si="99"/>
        <v>4</v>
      </c>
      <c r="S151" s="268">
        <f t="shared" si="99"/>
        <v>3</v>
      </c>
      <c r="T151" s="271">
        <f t="shared" si="99"/>
        <v>1</v>
      </c>
      <c r="U151" s="272">
        <f t="shared" si="99"/>
        <v>1</v>
      </c>
      <c r="V151" s="272">
        <f t="shared" si="99"/>
        <v>1</v>
      </c>
      <c r="W151" s="272">
        <f t="shared" si="99"/>
        <v>2</v>
      </c>
      <c r="X151" s="268">
        <f t="shared" si="99"/>
        <v>2</v>
      </c>
      <c r="Y151" s="271">
        <f t="shared" si="99"/>
        <v>1</v>
      </c>
      <c r="Z151" s="272">
        <f t="shared" si="99"/>
        <v>1</v>
      </c>
      <c r="AA151" s="272">
        <f t="shared" si="99"/>
        <v>4</v>
      </c>
      <c r="AB151" s="272">
        <f t="shared" si="99"/>
        <v>8</v>
      </c>
      <c r="AC151" s="268">
        <f t="shared" si="99"/>
        <v>12</v>
      </c>
      <c r="AD151" s="271">
        <f>ROUNDDOWN((AD153+$AD$9)*($AL143),0)</f>
        <v>15</v>
      </c>
      <c r="AE151" s="272">
        <f>ROUNDDOWN((AE153+$AD$9)*($AL143),0)</f>
        <v>12</v>
      </c>
      <c r="AF151" s="272">
        <f t="shared" ref="AF151:AG151" si="100">ROUNDDOWN((AF153+$AD$9)*($AL143),0)</f>
        <v>24</v>
      </c>
      <c r="AG151" s="268">
        <f t="shared" si="100"/>
        <v>16</v>
      </c>
      <c r="AH151" s="271">
        <f>ROUNDDOWN((AH153+$AH$9)*($AL143),0)</f>
        <v>25</v>
      </c>
      <c r="AI151" s="272">
        <f>ROUNDDOWN((AI153+$AH$8)*($AL143),0)</f>
        <v>25</v>
      </c>
      <c r="AJ151" s="272">
        <f>ROUNDDOWN((AJ153+$AH$8)*($AL143),0)</f>
        <v>0</v>
      </c>
      <c r="AK151" s="273"/>
      <c r="AL151" s="274"/>
      <c r="AM151" s="275"/>
      <c r="AO151"/>
      <c r="AP151"/>
      <c r="AQ151"/>
      <c r="AR151"/>
      <c r="AS151"/>
      <c r="AT151"/>
      <c r="AU151"/>
      <c r="AV151"/>
      <c r="AW151"/>
      <c r="AX151"/>
      <c r="AY151"/>
    </row>
    <row r="152" spans="2:51" ht="15.75" customHeight="1" outlineLevel="1" thickBot="1">
      <c r="B152" s="452"/>
      <c r="C152" s="454"/>
      <c r="D152" s="199" t="s">
        <v>345</v>
      </c>
      <c r="E152" s="276">
        <f t="shared" ref="E152:AC152" si="101">IF(ROUND(((E153-$E$9)*($AL143))+0.25,0) &lt;=0,1,((E153-$E$9)*($AL143))+0.25)</f>
        <v>1</v>
      </c>
      <c r="F152" s="277">
        <f t="shared" si="101"/>
        <v>1</v>
      </c>
      <c r="G152" s="277">
        <f t="shared" si="101"/>
        <v>1</v>
      </c>
      <c r="H152" s="277">
        <f t="shared" si="101"/>
        <v>1</v>
      </c>
      <c r="I152" s="277">
        <f t="shared" si="101"/>
        <v>0.58000000000000007</v>
      </c>
      <c r="J152" s="276">
        <f t="shared" si="101"/>
        <v>1</v>
      </c>
      <c r="K152" s="277">
        <f t="shared" si="101"/>
        <v>1</v>
      </c>
      <c r="L152" s="277">
        <f t="shared" si="101"/>
        <v>0.96000000000000008</v>
      </c>
      <c r="M152" s="277">
        <f t="shared" si="101"/>
        <v>1.7999999999999998</v>
      </c>
      <c r="N152" s="278">
        <f t="shared" si="101"/>
        <v>0.97</v>
      </c>
      <c r="O152" s="276">
        <f t="shared" si="101"/>
        <v>0.62</v>
      </c>
      <c r="P152" s="277">
        <f t="shared" si="101"/>
        <v>1.1000000000000001</v>
      </c>
      <c r="Q152" s="277">
        <f t="shared" si="101"/>
        <v>2.5299999999999994</v>
      </c>
      <c r="R152" s="277">
        <f t="shared" si="101"/>
        <v>2.5599999999999996</v>
      </c>
      <c r="S152" s="278">
        <f t="shared" si="101"/>
        <v>1.67</v>
      </c>
      <c r="T152" s="276">
        <f t="shared" si="101"/>
        <v>1</v>
      </c>
      <c r="U152" s="277">
        <f t="shared" si="101"/>
        <v>1</v>
      </c>
      <c r="V152" s="277">
        <f t="shared" si="101"/>
        <v>1</v>
      </c>
      <c r="W152" s="277">
        <f t="shared" si="101"/>
        <v>0.69</v>
      </c>
      <c r="X152" s="278">
        <f t="shared" si="101"/>
        <v>0.96000000000000008</v>
      </c>
      <c r="Y152" s="276">
        <f t="shared" si="101"/>
        <v>1</v>
      </c>
      <c r="Z152" s="277">
        <f t="shared" si="101"/>
        <v>1</v>
      </c>
      <c r="AA152" s="277">
        <f t="shared" si="101"/>
        <v>3.2199999999999998</v>
      </c>
      <c r="AB152" s="277">
        <f t="shared" si="101"/>
        <v>7.24</v>
      </c>
      <c r="AC152" s="278">
        <f t="shared" si="101"/>
        <v>10.970000000000002</v>
      </c>
      <c r="AD152" s="276">
        <f>IF(((AD153-$AD$9)*($AL143))+0.5 &lt;0,1,((AD153-$AD$9)*($AL143))+0.5 )</f>
        <v>6.1499999999999995</v>
      </c>
      <c r="AE152" s="277">
        <f t="shared" ref="AE152" si="102">IF(((AE153-$AD$9)*($AL143))+0.5 &lt;0,1,((AE153-$AD$9)*($AL143))+0.5 )</f>
        <v>3.3899999999999997</v>
      </c>
      <c r="AF152" s="277">
        <f t="shared" ref="AF152" si="103">IF(((AF153-$AD$9)*($AL143))+0.5 &lt;0,1,((AF153-$AD$9)*($AL143))+0.5 )</f>
        <v>15.039999999999997</v>
      </c>
      <c r="AG152" s="278">
        <f t="shared" ref="AG152" si="104">IF(((AG153-$AD$9)*($AL143))+0.5 &lt;0,1,((AG153-$AD$9)*($AL143))+0.5 )</f>
        <v>7.42</v>
      </c>
      <c r="AH152" s="276">
        <f>IF(((AH153-$AH$9)*($AL143))+0.5 &lt;0,1,((AH153-$AH$9)*($AL143)) )</f>
        <v>25</v>
      </c>
      <c r="AI152" s="277">
        <f>IF(((AI153-$AH$9)*($AL143))+0.5 &lt;0,1,((AI153-$AH$9)*($AL143)) )</f>
        <v>25</v>
      </c>
      <c r="AJ152" s="277">
        <f>IF(((AJ153-$AH$8)*($AL143))+0.5 &lt;0,1,((AJ153-$AH$8)*($AL143))+0.5 )</f>
        <v>0.5</v>
      </c>
      <c r="AK152" s="273"/>
      <c r="AL152" s="279"/>
      <c r="AM152" s="280"/>
      <c r="AO152"/>
      <c r="AP152"/>
      <c r="AQ152"/>
      <c r="AR152"/>
      <c r="AS152"/>
      <c r="AT152"/>
      <c r="AU152"/>
      <c r="AV152"/>
      <c r="AW152"/>
      <c r="AX152"/>
      <c r="AY152"/>
    </row>
    <row r="153" spans="2:51" ht="15.75" customHeight="1" outlineLevel="1" thickTop="1">
      <c r="B153" s="110"/>
      <c r="C153" s="109"/>
      <c r="D153" s="95" t="s">
        <v>346</v>
      </c>
      <c r="E153" s="414">
        <f t="shared" ref="E153:AJ153" si="105">IFERROR(E143/$AL143,0)</f>
        <v>2.3999999999999998E-3</v>
      </c>
      <c r="F153" s="415">
        <f t="shared" si="105"/>
        <v>2.5999999999999999E-3</v>
      </c>
      <c r="G153" s="415">
        <f t="shared" si="105"/>
        <v>6.1999999999999998E-3</v>
      </c>
      <c r="H153" s="415">
        <f t="shared" si="105"/>
        <v>9.7999999999999997E-3</v>
      </c>
      <c r="I153" s="415">
        <f t="shared" si="105"/>
        <v>2.6600000000000002E-2</v>
      </c>
      <c r="J153" s="414">
        <f t="shared" si="105"/>
        <v>2.8000000000000004E-3</v>
      </c>
      <c r="K153" s="415">
        <f t="shared" si="105"/>
        <v>8.6E-3</v>
      </c>
      <c r="L153" s="415">
        <f t="shared" si="105"/>
        <v>3.4200000000000001E-2</v>
      </c>
      <c r="M153" s="415">
        <f t="shared" si="105"/>
        <v>5.0999999999999997E-2</v>
      </c>
      <c r="N153" s="416">
        <f t="shared" si="105"/>
        <v>3.44E-2</v>
      </c>
      <c r="O153" s="414">
        <f t="shared" si="105"/>
        <v>2.7400000000000001E-2</v>
      </c>
      <c r="P153" s="415">
        <f t="shared" si="105"/>
        <v>3.7000000000000005E-2</v>
      </c>
      <c r="Q153" s="415">
        <f t="shared" si="105"/>
        <v>6.5599999999999992E-2</v>
      </c>
      <c r="R153" s="415">
        <f t="shared" si="105"/>
        <v>6.6199999999999995E-2</v>
      </c>
      <c r="S153" s="416">
        <f t="shared" si="105"/>
        <v>4.8399999999999999E-2</v>
      </c>
      <c r="T153" s="414">
        <f t="shared" si="105"/>
        <v>2.3999999999999998E-3</v>
      </c>
      <c r="U153" s="415">
        <f t="shared" si="105"/>
        <v>4.4000000000000003E-3</v>
      </c>
      <c r="V153" s="415">
        <f t="shared" si="105"/>
        <v>1.7000000000000001E-2</v>
      </c>
      <c r="W153" s="415">
        <f t="shared" si="105"/>
        <v>2.8799999999999999E-2</v>
      </c>
      <c r="X153" s="416">
        <f t="shared" si="105"/>
        <v>3.4200000000000001E-2</v>
      </c>
      <c r="Y153" s="414">
        <f t="shared" si="105"/>
        <v>5.4000000000000003E-3</v>
      </c>
      <c r="Z153" s="415">
        <f t="shared" si="105"/>
        <v>1.1599999999999999E-2</v>
      </c>
      <c r="AA153" s="415">
        <f t="shared" si="105"/>
        <v>7.9399999999999998E-2</v>
      </c>
      <c r="AB153" s="415">
        <f t="shared" si="105"/>
        <v>0.1598</v>
      </c>
      <c r="AC153" s="416">
        <f t="shared" si="105"/>
        <v>0.23440000000000003</v>
      </c>
      <c r="AD153" s="414">
        <f t="shared" si="105"/>
        <v>0.21299999999999999</v>
      </c>
      <c r="AE153" s="415">
        <f t="shared" si="105"/>
        <v>0.1578</v>
      </c>
      <c r="AF153" s="415">
        <f t="shared" si="105"/>
        <v>0.39079999999999998</v>
      </c>
      <c r="AG153" s="416">
        <f t="shared" si="105"/>
        <v>0.2384</v>
      </c>
      <c r="AH153" s="414">
        <f t="shared" si="105"/>
        <v>0.5</v>
      </c>
      <c r="AI153" s="415">
        <f t="shared" si="105"/>
        <v>0.5</v>
      </c>
      <c r="AJ153" s="415">
        <f t="shared" si="105"/>
        <v>0</v>
      </c>
      <c r="AK153" s="407"/>
      <c r="AL153" s="417"/>
      <c r="AM153" s="418"/>
      <c r="AO153"/>
      <c r="AP153"/>
      <c r="AQ153"/>
      <c r="AR153"/>
      <c r="AS153"/>
      <c r="AT153"/>
      <c r="AU153"/>
      <c r="AV153"/>
      <c r="AW153"/>
      <c r="AX153"/>
      <c r="AY153"/>
    </row>
    <row r="154" spans="2:51" ht="16.5" customHeight="1" outlineLevel="1">
      <c r="B154" s="110"/>
      <c r="C154" s="109"/>
      <c r="D154" s="180" t="s">
        <v>347</v>
      </c>
      <c r="E154" s="414">
        <f t="shared" ref="E154:AJ154" si="106">IFERROR(E144/$AL143,0)</f>
        <v>0</v>
      </c>
      <c r="F154" s="415">
        <f t="shared" si="106"/>
        <v>0</v>
      </c>
      <c r="G154" s="415">
        <f t="shared" si="106"/>
        <v>0</v>
      </c>
      <c r="H154" s="415">
        <f t="shared" si="106"/>
        <v>0</v>
      </c>
      <c r="I154" s="415">
        <f t="shared" si="106"/>
        <v>0.02</v>
      </c>
      <c r="J154" s="414">
        <f t="shared" si="106"/>
        <v>0</v>
      </c>
      <c r="K154" s="415">
        <f t="shared" si="106"/>
        <v>0</v>
      </c>
      <c r="L154" s="415">
        <f t="shared" si="106"/>
        <v>0.02</v>
      </c>
      <c r="M154" s="415">
        <f t="shared" si="106"/>
        <v>0.04</v>
      </c>
      <c r="N154" s="416">
        <f t="shared" si="106"/>
        <v>0.06</v>
      </c>
      <c r="O154" s="414">
        <f t="shared" si="106"/>
        <v>0.04</v>
      </c>
      <c r="P154" s="415">
        <f t="shared" si="106"/>
        <v>0.04</v>
      </c>
      <c r="Q154" s="415">
        <f t="shared" si="106"/>
        <v>0.02</v>
      </c>
      <c r="R154" s="415">
        <f t="shared" si="106"/>
        <v>0.04</v>
      </c>
      <c r="S154" s="416">
        <f t="shared" si="106"/>
        <v>0.04</v>
      </c>
      <c r="T154" s="414">
        <f t="shared" si="106"/>
        <v>0</v>
      </c>
      <c r="U154" s="415">
        <f t="shared" si="106"/>
        <v>0</v>
      </c>
      <c r="V154" s="415">
        <f t="shared" si="106"/>
        <v>0</v>
      </c>
      <c r="W154" s="415">
        <f t="shared" si="106"/>
        <v>0.02</v>
      </c>
      <c r="X154" s="416">
        <f t="shared" si="106"/>
        <v>0.02</v>
      </c>
      <c r="Y154" s="414">
        <f t="shared" si="106"/>
        <v>0</v>
      </c>
      <c r="Z154" s="415">
        <f t="shared" si="106"/>
        <v>0</v>
      </c>
      <c r="AA154" s="415">
        <f t="shared" si="106"/>
        <v>0.02</v>
      </c>
      <c r="AB154" s="415">
        <f t="shared" si="106"/>
        <v>0.18</v>
      </c>
      <c r="AC154" s="416">
        <f t="shared" si="106"/>
        <v>0.24</v>
      </c>
      <c r="AD154" s="414">
        <f>IFERROR(AD144/$AL143,0)</f>
        <v>0.22</v>
      </c>
      <c r="AE154" s="415">
        <f t="shared" ref="AE154:AI154" si="107">IFERROR(AE144/$AL143,0)</f>
        <v>0.18</v>
      </c>
      <c r="AF154" s="415">
        <f t="shared" si="107"/>
        <v>0.3</v>
      </c>
      <c r="AG154" s="416">
        <f t="shared" si="107"/>
        <v>0.1</v>
      </c>
      <c r="AH154" s="415">
        <f t="shared" si="107"/>
        <v>0.44</v>
      </c>
      <c r="AI154" s="415">
        <f t="shared" si="107"/>
        <v>0.36</v>
      </c>
      <c r="AJ154" s="415">
        <f t="shared" si="106"/>
        <v>0</v>
      </c>
      <c r="AK154" s="407"/>
      <c r="AL154" s="417"/>
      <c r="AM154" s="418"/>
      <c r="AO154"/>
      <c r="AP154"/>
      <c r="AQ154"/>
      <c r="AR154"/>
      <c r="AS154"/>
      <c r="AT154"/>
      <c r="AU154"/>
      <c r="AV154"/>
      <c r="AW154"/>
      <c r="AX154"/>
      <c r="AY154"/>
    </row>
    <row r="155" spans="2:51" ht="15.75" customHeight="1" outlineLevel="1" thickBot="1">
      <c r="B155" s="110"/>
      <c r="C155" s="109"/>
      <c r="D155" s="180" t="s">
        <v>348</v>
      </c>
      <c r="E155" s="419">
        <f t="shared" ref="E155:AJ155" si="108">E154-E153</f>
        <v>-2.3999999999999998E-3</v>
      </c>
      <c r="F155" s="420">
        <f t="shared" si="108"/>
        <v>-2.5999999999999999E-3</v>
      </c>
      <c r="G155" s="420">
        <f t="shared" si="108"/>
        <v>-6.1999999999999998E-3</v>
      </c>
      <c r="H155" s="420">
        <f t="shared" si="108"/>
        <v>-9.7999999999999997E-3</v>
      </c>
      <c r="I155" s="420">
        <f t="shared" si="108"/>
        <v>-6.6000000000000017E-3</v>
      </c>
      <c r="J155" s="419">
        <f t="shared" si="108"/>
        <v>-2.8000000000000004E-3</v>
      </c>
      <c r="K155" s="420">
        <f t="shared" si="108"/>
        <v>-8.6E-3</v>
      </c>
      <c r="L155" s="420">
        <f t="shared" si="108"/>
        <v>-1.4200000000000001E-2</v>
      </c>
      <c r="M155" s="420">
        <f t="shared" si="108"/>
        <v>-1.0999999999999996E-2</v>
      </c>
      <c r="N155" s="421">
        <f t="shared" si="108"/>
        <v>2.5599999999999998E-2</v>
      </c>
      <c r="O155" s="419">
        <f t="shared" si="108"/>
        <v>1.26E-2</v>
      </c>
      <c r="P155" s="420">
        <f t="shared" si="108"/>
        <v>2.9999999999999957E-3</v>
      </c>
      <c r="Q155" s="420">
        <f t="shared" si="108"/>
        <v>-4.5599999999999988E-2</v>
      </c>
      <c r="R155" s="420">
        <f t="shared" si="108"/>
        <v>-2.6199999999999994E-2</v>
      </c>
      <c r="S155" s="421">
        <f t="shared" si="108"/>
        <v>-8.3999999999999977E-3</v>
      </c>
      <c r="T155" s="419">
        <f t="shared" si="108"/>
        <v>-2.3999999999999998E-3</v>
      </c>
      <c r="U155" s="420">
        <f t="shared" si="108"/>
        <v>-4.4000000000000003E-3</v>
      </c>
      <c r="V155" s="420">
        <f t="shared" si="108"/>
        <v>-1.7000000000000001E-2</v>
      </c>
      <c r="W155" s="420">
        <f t="shared" si="108"/>
        <v>-8.7999999999999988E-3</v>
      </c>
      <c r="X155" s="421">
        <f t="shared" si="108"/>
        <v>-1.4200000000000001E-2</v>
      </c>
      <c r="Y155" s="419">
        <f t="shared" si="108"/>
        <v>-5.4000000000000003E-3</v>
      </c>
      <c r="Z155" s="420">
        <f t="shared" si="108"/>
        <v>-1.1599999999999999E-2</v>
      </c>
      <c r="AA155" s="420">
        <f t="shared" si="108"/>
        <v>-5.9399999999999994E-2</v>
      </c>
      <c r="AB155" s="420">
        <f t="shared" si="108"/>
        <v>2.0199999999999996E-2</v>
      </c>
      <c r="AC155" s="421">
        <f t="shared" si="108"/>
        <v>5.5999999999999661E-3</v>
      </c>
      <c r="AD155" s="419">
        <f>AD154-AD153</f>
        <v>7.0000000000000062E-3</v>
      </c>
      <c r="AE155" s="420">
        <f t="shared" ref="AE155:AI155" si="109">AE154-AE153</f>
        <v>2.2199999999999998E-2</v>
      </c>
      <c r="AF155" s="420">
        <f t="shared" si="109"/>
        <v>-9.0799999999999992E-2</v>
      </c>
      <c r="AG155" s="421">
        <f t="shared" si="109"/>
        <v>-0.1384</v>
      </c>
      <c r="AH155" s="420">
        <f t="shared" si="109"/>
        <v>-0.06</v>
      </c>
      <c r="AI155" s="420">
        <f t="shared" si="109"/>
        <v>-0.14000000000000001</v>
      </c>
      <c r="AJ155" s="420">
        <f t="shared" si="108"/>
        <v>0</v>
      </c>
      <c r="AK155" s="407"/>
      <c r="AL155" s="422"/>
      <c r="AM155" s="423"/>
      <c r="AO155"/>
      <c r="AP155"/>
      <c r="AQ155"/>
      <c r="AR155"/>
      <c r="AS155"/>
      <c r="AT155"/>
      <c r="AU155"/>
      <c r="AV155"/>
      <c r="AW155"/>
      <c r="AX155"/>
      <c r="AY155"/>
    </row>
    <row r="156" spans="2:51" ht="15.75" customHeight="1" thickTop="1">
      <c r="B156" s="447" t="s">
        <v>338</v>
      </c>
      <c r="C156" s="449" t="s">
        <v>150</v>
      </c>
      <c r="D156" s="34" t="s">
        <v>306</v>
      </c>
      <c r="E156" s="152">
        <f>aurora_data!D220</f>
        <v>1.06</v>
      </c>
      <c r="F156" s="153">
        <f>aurora_data!E220</f>
        <v>1.26</v>
      </c>
      <c r="G156" s="153">
        <f>aurora_data!F220</f>
        <v>3.19</v>
      </c>
      <c r="H156" s="153">
        <f>aurora_data!G220</f>
        <v>4.7300000000000004</v>
      </c>
      <c r="I156" s="153">
        <f>aurora_data!H220</f>
        <v>17.45</v>
      </c>
      <c r="J156" s="152">
        <f>aurora_data!I220</f>
        <v>1.38</v>
      </c>
      <c r="K156" s="153">
        <f>aurora_data!J220</f>
        <v>4.58</v>
      </c>
      <c r="L156" s="153">
        <f>aurora_data!K220</f>
        <v>19.09</v>
      </c>
      <c r="M156" s="153">
        <f>aurora_data!L220</f>
        <v>26.53</v>
      </c>
      <c r="N156" s="154">
        <f>aurora_data!M220</f>
        <v>18.43</v>
      </c>
      <c r="O156" s="152">
        <f>aurora_data!N220</f>
        <v>11.87</v>
      </c>
      <c r="P156" s="153">
        <f>aurora_data!O220</f>
        <v>18.440000000000001</v>
      </c>
      <c r="Q156" s="153">
        <f>aurora_data!P220</f>
        <v>37.57</v>
      </c>
      <c r="R156" s="153">
        <f>aurora_data!Q220</f>
        <v>40.520000000000003</v>
      </c>
      <c r="S156" s="154">
        <f>aurora_data!R220</f>
        <v>27.87</v>
      </c>
      <c r="T156" s="152">
        <f>aurora_data!S220</f>
        <v>1.04</v>
      </c>
      <c r="U156" s="153">
        <f>aurora_data!T220</f>
        <v>2.33</v>
      </c>
      <c r="V156" s="153">
        <f>aurora_data!U220</f>
        <v>9.31</v>
      </c>
      <c r="W156" s="153">
        <f>aurora_data!V220</f>
        <v>18.32</v>
      </c>
      <c r="X156" s="154">
        <f>aurora_data!W220</f>
        <v>21.22</v>
      </c>
      <c r="Y156" s="152">
        <f>aurora_data!X220</f>
        <v>3</v>
      </c>
      <c r="Z156" s="153">
        <f>aurora_data!Y220</f>
        <v>5.84</v>
      </c>
      <c r="AA156" s="153">
        <f>aurora_data!Z220</f>
        <v>40.630000000000003</v>
      </c>
      <c r="AB156" s="153">
        <f>aurora_data!AA220</f>
        <v>85.46</v>
      </c>
      <c r="AC156" s="154">
        <f>aurora_data!AB220</f>
        <v>128.88999999999999</v>
      </c>
      <c r="AD156" s="152">
        <f>aurora_data!AC220</f>
        <v>116.12</v>
      </c>
      <c r="AE156" s="153">
        <f>aurora_data!AD220</f>
        <v>85.52</v>
      </c>
      <c r="AF156" s="153">
        <f>aurora_data!AE220</f>
        <v>218.47</v>
      </c>
      <c r="AG156" s="154">
        <f>aurora_data!AF220</f>
        <v>129.88</v>
      </c>
      <c r="AH156" s="155">
        <f>aurora_data!AG220</f>
        <v>275</v>
      </c>
      <c r="AI156" s="171">
        <f>aurora_data!AH220</f>
        <v>275</v>
      </c>
      <c r="AJ156" s="201">
        <f>aurora_data!AI84</f>
        <v>0</v>
      </c>
      <c r="AK156" s="407"/>
      <c r="AL156" s="155">
        <f>aurora_data!AJ220</f>
        <v>550</v>
      </c>
      <c r="AM156" s="167">
        <f t="shared" ref="AM156:AM163" si="110">SUM(AL156)/$AL$156</f>
        <v>1</v>
      </c>
      <c r="AO156"/>
      <c r="AP156"/>
      <c r="AQ156"/>
      <c r="AR156"/>
      <c r="AS156"/>
      <c r="AT156"/>
      <c r="AU156"/>
      <c r="AV156"/>
      <c r="AW156"/>
      <c r="AX156"/>
      <c r="AY156"/>
    </row>
    <row r="157" spans="2:51" ht="15.75" customHeight="1">
      <c r="B157" s="448"/>
      <c r="C157" s="450"/>
      <c r="D157" s="35" t="s">
        <v>339</v>
      </c>
      <c r="E157" s="262">
        <f>aurora_data!D221</f>
        <v>0</v>
      </c>
      <c r="F157" s="263">
        <f>aurora_data!E221</f>
        <v>0</v>
      </c>
      <c r="G157" s="263">
        <f>aurora_data!F221</f>
        <v>0</v>
      </c>
      <c r="H157" s="263">
        <f>aurora_data!G221</f>
        <v>2</v>
      </c>
      <c r="I157" s="263">
        <f>aurora_data!H221</f>
        <v>13</v>
      </c>
      <c r="J157" s="262">
        <f>aurora_data!I221</f>
        <v>2</v>
      </c>
      <c r="K157" s="263">
        <f>aurora_data!J221</f>
        <v>3</v>
      </c>
      <c r="L157" s="263">
        <f>aurora_data!K221</f>
        <v>15</v>
      </c>
      <c r="M157" s="263">
        <f>aurora_data!L221</f>
        <v>17</v>
      </c>
      <c r="N157" s="264">
        <f>aurora_data!M221</f>
        <v>21</v>
      </c>
      <c r="O157" s="262">
        <f>aurora_data!N221</f>
        <v>7</v>
      </c>
      <c r="P157" s="263">
        <f>aurora_data!O221</f>
        <v>9</v>
      </c>
      <c r="Q157" s="263">
        <f>aurora_data!P221</f>
        <v>18</v>
      </c>
      <c r="R157" s="263">
        <f>aurora_data!Q221</f>
        <v>34</v>
      </c>
      <c r="S157" s="264">
        <f>aurora_data!R221</f>
        <v>26</v>
      </c>
      <c r="T157" s="262">
        <f>aurora_data!S221</f>
        <v>1</v>
      </c>
      <c r="U157" s="263">
        <f>aurora_data!T221</f>
        <v>0</v>
      </c>
      <c r="V157" s="263">
        <f>aurora_data!U221</f>
        <v>3</v>
      </c>
      <c r="W157" s="263">
        <f>aurora_data!V221</f>
        <v>13</v>
      </c>
      <c r="X157" s="264">
        <f>aurora_data!W221</f>
        <v>21</v>
      </c>
      <c r="Y157" s="262">
        <f>aurora_data!X221</f>
        <v>2</v>
      </c>
      <c r="Z157" s="263">
        <f>aurora_data!Y221</f>
        <v>2</v>
      </c>
      <c r="AA157" s="263">
        <f>aurora_data!Z221</f>
        <v>20</v>
      </c>
      <c r="AB157" s="263">
        <f>aurora_data!AA221</f>
        <v>78</v>
      </c>
      <c r="AC157" s="264">
        <f>aurora_data!AB221</f>
        <v>130</v>
      </c>
      <c r="AD157" s="262">
        <f>aurora_data!AC221</f>
        <v>112</v>
      </c>
      <c r="AE157" s="263">
        <f>aurora_data!AD221</f>
        <v>78</v>
      </c>
      <c r="AF157" s="263">
        <f>aurora_data!AE221</f>
        <v>155</v>
      </c>
      <c r="AG157" s="264">
        <f>aurora_data!AF221</f>
        <v>91</v>
      </c>
      <c r="AH157" s="262">
        <f>aurora_data!AG221</f>
        <v>219</v>
      </c>
      <c r="AI157" s="263">
        <f>aurora_data!AH221</f>
        <v>218</v>
      </c>
      <c r="AJ157" s="264">
        <f>aurora_data!AI85</f>
        <v>0</v>
      </c>
      <c r="AK157" s="407"/>
      <c r="AL157" s="408">
        <f>aurora_data!AJ221</f>
        <v>437</v>
      </c>
      <c r="AM157" s="409">
        <f t="shared" si="110"/>
        <v>0.79454545454545455</v>
      </c>
      <c r="AO157"/>
      <c r="AP157"/>
      <c r="AQ157"/>
      <c r="AR157"/>
      <c r="AS157"/>
      <c r="AT157"/>
      <c r="AU157"/>
      <c r="AV157"/>
      <c r="AW157"/>
      <c r="AX157"/>
      <c r="AY157"/>
    </row>
    <row r="158" spans="2:51" ht="15.75" customHeight="1">
      <c r="B158" s="448"/>
      <c r="C158" s="450"/>
      <c r="D158" s="35" t="s">
        <v>291</v>
      </c>
      <c r="E158" s="262">
        <f>aurora_data!D222</f>
        <v>0</v>
      </c>
      <c r="F158" s="263">
        <f>aurora_data!E222</f>
        <v>0</v>
      </c>
      <c r="G158" s="263">
        <f>aurora_data!F222</f>
        <v>0</v>
      </c>
      <c r="H158" s="263">
        <f>aurora_data!G222</f>
        <v>0</v>
      </c>
      <c r="I158" s="263">
        <f>aurora_data!H222</f>
        <v>1</v>
      </c>
      <c r="J158" s="262">
        <f>aurora_data!I222</f>
        <v>0</v>
      </c>
      <c r="K158" s="263">
        <f>aurora_data!J222</f>
        <v>0</v>
      </c>
      <c r="L158" s="263">
        <f>aurora_data!K222</f>
        <v>2</v>
      </c>
      <c r="M158" s="263">
        <f>aurora_data!L222</f>
        <v>0</v>
      </c>
      <c r="N158" s="264">
        <f>aurora_data!M222</f>
        <v>6</v>
      </c>
      <c r="O158" s="262">
        <f>aurora_data!N222</f>
        <v>3</v>
      </c>
      <c r="P158" s="263">
        <f>aurora_data!O222</f>
        <v>0</v>
      </c>
      <c r="Q158" s="263">
        <f>aurora_data!P222</f>
        <v>2</v>
      </c>
      <c r="R158" s="263">
        <f>aurora_data!Q222</f>
        <v>6</v>
      </c>
      <c r="S158" s="264">
        <f>aurora_data!R222</f>
        <v>4</v>
      </c>
      <c r="T158" s="262">
        <f>aurora_data!S222</f>
        <v>0</v>
      </c>
      <c r="U158" s="263">
        <f>aurora_data!T222</f>
        <v>0</v>
      </c>
      <c r="V158" s="263">
        <f>aurora_data!U222</f>
        <v>0</v>
      </c>
      <c r="W158" s="263">
        <f>aurora_data!V222</f>
        <v>1</v>
      </c>
      <c r="X158" s="264">
        <f>aurora_data!W222</f>
        <v>8</v>
      </c>
      <c r="Y158" s="262">
        <f>aurora_data!X222</f>
        <v>0</v>
      </c>
      <c r="Z158" s="263">
        <f>aurora_data!Y222</f>
        <v>2</v>
      </c>
      <c r="AA158" s="263">
        <f>aurora_data!Z222</f>
        <v>2</v>
      </c>
      <c r="AB158" s="263">
        <f>aurora_data!AA222</f>
        <v>0</v>
      </c>
      <c r="AC158" s="264">
        <f>aurora_data!AB222</f>
        <v>24</v>
      </c>
      <c r="AD158" s="262">
        <f>aurora_data!AC222</f>
        <v>30</v>
      </c>
      <c r="AE158" s="263">
        <f>aurora_data!AD222</f>
        <v>14</v>
      </c>
      <c r="AF158" s="263">
        <f>aurora_data!AE222</f>
        <v>12</v>
      </c>
      <c r="AG158" s="264">
        <f>aurora_data!AF222</f>
        <v>5</v>
      </c>
      <c r="AH158" s="262">
        <f>aurora_data!AG222</f>
        <v>34</v>
      </c>
      <c r="AI158" s="263">
        <f>aurora_data!AH222</f>
        <v>27</v>
      </c>
      <c r="AJ158" s="264">
        <f>aurora_data!AI86</f>
        <v>0</v>
      </c>
      <c r="AK158" s="407"/>
      <c r="AL158" s="408">
        <f>aurora_data!AJ222</f>
        <v>61</v>
      </c>
      <c r="AM158" s="409">
        <f t="shared" si="110"/>
        <v>0.11090909090909092</v>
      </c>
      <c r="AO158"/>
      <c r="AP158"/>
      <c r="AQ158"/>
      <c r="AR158"/>
      <c r="AS158"/>
      <c r="AT158"/>
      <c r="AU158"/>
      <c r="AV158"/>
      <c r="AW158"/>
      <c r="AX158"/>
      <c r="AY158"/>
    </row>
    <row r="159" spans="2:51" ht="16.5" customHeight="1">
      <c r="B159" s="448"/>
      <c r="C159" s="450"/>
      <c r="D159" s="35" t="s">
        <v>340</v>
      </c>
      <c r="E159" s="262">
        <f>aurora_data!D223</f>
        <v>0</v>
      </c>
      <c r="F159" s="263">
        <f>aurora_data!E223</f>
        <v>0</v>
      </c>
      <c r="G159" s="263">
        <f>aurora_data!F223</f>
        <v>0</v>
      </c>
      <c r="H159" s="263">
        <f>aurora_data!G223</f>
        <v>0</v>
      </c>
      <c r="I159" s="263">
        <f>aurora_data!H223</f>
        <v>0</v>
      </c>
      <c r="J159" s="262">
        <f>aurora_data!I223</f>
        <v>0</v>
      </c>
      <c r="K159" s="263">
        <f>aurora_data!J223</f>
        <v>0</v>
      </c>
      <c r="L159" s="263">
        <f>aurora_data!K223</f>
        <v>1</v>
      </c>
      <c r="M159" s="263">
        <f>aurora_data!L223</f>
        <v>0</v>
      </c>
      <c r="N159" s="264">
        <f>aurora_data!M223</f>
        <v>0</v>
      </c>
      <c r="O159" s="262">
        <f>aurora_data!N223</f>
        <v>0</v>
      </c>
      <c r="P159" s="263">
        <f>aurora_data!O223</f>
        <v>0</v>
      </c>
      <c r="Q159" s="263">
        <f>aurora_data!P223</f>
        <v>0</v>
      </c>
      <c r="R159" s="263">
        <f>aurora_data!Q223</f>
        <v>1</v>
      </c>
      <c r="S159" s="264">
        <f>aurora_data!R223</f>
        <v>0</v>
      </c>
      <c r="T159" s="262">
        <f>aurora_data!S223</f>
        <v>0</v>
      </c>
      <c r="U159" s="263">
        <f>aurora_data!T223</f>
        <v>0</v>
      </c>
      <c r="V159" s="263">
        <f>aurora_data!U223</f>
        <v>0</v>
      </c>
      <c r="W159" s="263">
        <f>aurora_data!V223</f>
        <v>0</v>
      </c>
      <c r="X159" s="264">
        <f>aurora_data!W223</f>
        <v>0</v>
      </c>
      <c r="Y159" s="262">
        <f>aurora_data!X223</f>
        <v>0</v>
      </c>
      <c r="Z159" s="263">
        <f>aurora_data!Y223</f>
        <v>1</v>
      </c>
      <c r="AA159" s="263">
        <f>aurora_data!Z223</f>
        <v>0</v>
      </c>
      <c r="AB159" s="263">
        <f>aurora_data!AA223</f>
        <v>1</v>
      </c>
      <c r="AC159" s="264">
        <f>aurora_data!AB223</f>
        <v>0</v>
      </c>
      <c r="AD159" s="262">
        <f>aurora_data!AC223</f>
        <v>2</v>
      </c>
      <c r="AE159" s="263">
        <f>aurora_data!AD223</f>
        <v>1</v>
      </c>
      <c r="AF159" s="263">
        <f>aurora_data!AE223</f>
        <v>1</v>
      </c>
      <c r="AG159" s="264">
        <f>aurora_data!AF223</f>
        <v>0</v>
      </c>
      <c r="AH159" s="262">
        <f>aurora_data!AG223</f>
        <v>2</v>
      </c>
      <c r="AI159" s="263">
        <f>aurora_data!AH223</f>
        <v>2</v>
      </c>
      <c r="AJ159" s="264">
        <f>aurora_data!AI87</f>
        <v>0</v>
      </c>
      <c r="AK159" s="407"/>
      <c r="AL159" s="408">
        <f>aurora_data!AJ223</f>
        <v>4</v>
      </c>
      <c r="AM159" s="409">
        <f t="shared" si="110"/>
        <v>7.2727272727272727E-3</v>
      </c>
      <c r="AO159"/>
      <c r="AP159"/>
      <c r="AQ159"/>
      <c r="AR159"/>
      <c r="AS159"/>
      <c r="AT159"/>
      <c r="AU159"/>
      <c r="AV159"/>
      <c r="AW159"/>
      <c r="AX159"/>
      <c r="AY159"/>
    </row>
    <row r="160" spans="2:51" ht="16.5" customHeight="1">
      <c r="B160" s="448"/>
      <c r="C160" s="450"/>
      <c r="D160" s="35" t="s">
        <v>341</v>
      </c>
      <c r="E160" s="262">
        <f>aurora_data!D224</f>
        <v>0</v>
      </c>
      <c r="F160" s="263">
        <f>aurora_data!E224</f>
        <v>1</v>
      </c>
      <c r="G160" s="263">
        <f>aurora_data!F224</f>
        <v>0</v>
      </c>
      <c r="H160" s="263">
        <f>aurora_data!G224</f>
        <v>0</v>
      </c>
      <c r="I160" s="263">
        <f>aurora_data!H224</f>
        <v>3</v>
      </c>
      <c r="J160" s="262">
        <f>aurora_data!I224</f>
        <v>0</v>
      </c>
      <c r="K160" s="263">
        <f>aurora_data!J224</f>
        <v>0</v>
      </c>
      <c r="L160" s="263">
        <f>aurora_data!K224</f>
        <v>3</v>
      </c>
      <c r="M160" s="263">
        <f>aurora_data!L224</f>
        <v>4</v>
      </c>
      <c r="N160" s="264">
        <f>aurora_data!M224</f>
        <v>1</v>
      </c>
      <c r="O160" s="262">
        <f>aurora_data!N224</f>
        <v>0</v>
      </c>
      <c r="P160" s="263">
        <f>aurora_data!O224</f>
        <v>2</v>
      </c>
      <c r="Q160" s="263">
        <f>aurora_data!P224</f>
        <v>4</v>
      </c>
      <c r="R160" s="263">
        <f>aurora_data!Q224</f>
        <v>10</v>
      </c>
      <c r="S160" s="264">
        <f>aurora_data!R224</f>
        <v>2</v>
      </c>
      <c r="T160" s="262">
        <f>aurora_data!S224</f>
        <v>0</v>
      </c>
      <c r="U160" s="263">
        <f>aurora_data!T224</f>
        <v>1</v>
      </c>
      <c r="V160" s="263">
        <f>aurora_data!U224</f>
        <v>3</v>
      </c>
      <c r="W160" s="263">
        <f>aurora_data!V224</f>
        <v>9</v>
      </c>
      <c r="X160" s="264">
        <f>aurora_data!W224</f>
        <v>3</v>
      </c>
      <c r="Y160" s="262">
        <f>aurora_data!X224</f>
        <v>0</v>
      </c>
      <c r="Z160" s="263">
        <f>aurora_data!Y224</f>
        <v>2</v>
      </c>
      <c r="AA160" s="263">
        <f>aurora_data!Z224</f>
        <v>5</v>
      </c>
      <c r="AB160" s="263">
        <f>aurora_data!AA224</f>
        <v>12</v>
      </c>
      <c r="AC160" s="264">
        <f>aurora_data!AB224</f>
        <v>1</v>
      </c>
      <c r="AD160" s="262">
        <f>aurora_data!AC224</f>
        <v>21</v>
      </c>
      <c r="AE160" s="263">
        <f>aurora_data!AD224</f>
        <v>9</v>
      </c>
      <c r="AF160" s="263">
        <f>aurora_data!AE224</f>
        <v>21</v>
      </c>
      <c r="AG160" s="264">
        <f>aurora_data!AF224</f>
        <v>15</v>
      </c>
      <c r="AH160" s="262">
        <f>aurora_data!AG224</f>
        <v>32</v>
      </c>
      <c r="AI160" s="263">
        <f>aurora_data!AH224</f>
        <v>34</v>
      </c>
      <c r="AJ160" s="264">
        <f>aurora_data!AI88</f>
        <v>0</v>
      </c>
      <c r="AK160" s="407"/>
      <c r="AL160" s="408">
        <f>aurora_data!AJ224</f>
        <v>66</v>
      </c>
      <c r="AM160" s="409">
        <f t="shared" si="110"/>
        <v>0.12</v>
      </c>
      <c r="AO160"/>
      <c r="AP160"/>
      <c r="AQ160"/>
      <c r="AR160"/>
      <c r="AS160"/>
      <c r="AT160"/>
      <c r="AU160"/>
      <c r="AV160"/>
      <c r="AW160"/>
      <c r="AX160"/>
      <c r="AY160"/>
    </row>
    <row r="161" spans="2:51" ht="16.5" customHeight="1" thickBot="1">
      <c r="B161" s="448"/>
      <c r="C161" s="450"/>
      <c r="D161" s="35" t="s">
        <v>342</v>
      </c>
      <c r="E161" s="262">
        <f>aurora_data!D225</f>
        <v>0</v>
      </c>
      <c r="F161" s="263">
        <f>aurora_data!E225</f>
        <v>0</v>
      </c>
      <c r="G161" s="263">
        <f>aurora_data!F225</f>
        <v>0</v>
      </c>
      <c r="H161" s="263">
        <f>aurora_data!G225</f>
        <v>0</v>
      </c>
      <c r="I161" s="263">
        <f>aurora_data!H225</f>
        <v>0</v>
      </c>
      <c r="J161" s="262">
        <f>aurora_data!I225</f>
        <v>0</v>
      </c>
      <c r="K161" s="263">
        <f>aurora_data!J225</f>
        <v>0</v>
      </c>
      <c r="L161" s="263">
        <f>aurora_data!K225</f>
        <v>0</v>
      </c>
      <c r="M161" s="263">
        <f>aurora_data!L225</f>
        <v>0</v>
      </c>
      <c r="N161" s="264">
        <f>aurora_data!M225</f>
        <v>0</v>
      </c>
      <c r="O161" s="262">
        <f>aurora_data!N225</f>
        <v>0</v>
      </c>
      <c r="P161" s="263">
        <f>aurora_data!O225</f>
        <v>0</v>
      </c>
      <c r="Q161" s="263">
        <f>aurora_data!P225</f>
        <v>0</v>
      </c>
      <c r="R161" s="263">
        <f>aurora_data!Q225</f>
        <v>0</v>
      </c>
      <c r="S161" s="264">
        <f>aurora_data!R225</f>
        <v>0</v>
      </c>
      <c r="T161" s="262">
        <f>aurora_data!S225</f>
        <v>0</v>
      </c>
      <c r="U161" s="263">
        <f>aurora_data!T225</f>
        <v>0</v>
      </c>
      <c r="V161" s="263">
        <f>aurora_data!U225</f>
        <v>0</v>
      </c>
      <c r="W161" s="263">
        <f>aurora_data!V225</f>
        <v>0</v>
      </c>
      <c r="X161" s="264">
        <f>aurora_data!W225</f>
        <v>0</v>
      </c>
      <c r="Y161" s="262">
        <f>aurora_data!X225</f>
        <v>0</v>
      </c>
      <c r="Z161" s="263">
        <f>aurora_data!Y225</f>
        <v>0</v>
      </c>
      <c r="AA161" s="263">
        <f>aurora_data!Z225</f>
        <v>0</v>
      </c>
      <c r="AB161" s="263">
        <f>aurora_data!AA225</f>
        <v>0</v>
      </c>
      <c r="AC161" s="264">
        <f>aurora_data!AB225</f>
        <v>0</v>
      </c>
      <c r="AD161" s="262">
        <f>aurora_data!AC225</f>
        <v>0</v>
      </c>
      <c r="AE161" s="263">
        <f>aurora_data!AD225</f>
        <v>0</v>
      </c>
      <c r="AF161" s="263">
        <f>aurora_data!AE225</f>
        <v>0</v>
      </c>
      <c r="AG161" s="264">
        <f>aurora_data!AF225</f>
        <v>0</v>
      </c>
      <c r="AH161" s="262">
        <f>aurora_data!AG225</f>
        <v>0</v>
      </c>
      <c r="AI161" s="263">
        <f>aurora_data!AH225</f>
        <v>0</v>
      </c>
      <c r="AJ161" s="264">
        <f>aurora_data!AI89</f>
        <v>0</v>
      </c>
      <c r="AK161" s="407"/>
      <c r="AL161" s="408">
        <f>aurora_data!AJ225</f>
        <v>0</v>
      </c>
      <c r="AM161" s="409">
        <f t="shared" si="110"/>
        <v>0</v>
      </c>
      <c r="AO161"/>
      <c r="AP161"/>
      <c r="AQ161"/>
      <c r="AR161"/>
      <c r="AS161"/>
      <c r="AT161"/>
      <c r="AU161"/>
      <c r="AV161"/>
      <c r="AW161"/>
      <c r="AX161"/>
      <c r="AY161"/>
    </row>
    <row r="162" spans="2:51" ht="16.5" customHeight="1" thickBot="1">
      <c r="B162" s="448"/>
      <c r="C162" s="450"/>
      <c r="D162" s="37" t="s">
        <v>17</v>
      </c>
      <c r="E162" s="182">
        <f>aurora_data!D226</f>
        <v>0</v>
      </c>
      <c r="F162" s="183">
        <f>aurora_data!E226</f>
        <v>1</v>
      </c>
      <c r="G162" s="183">
        <f>aurora_data!F226</f>
        <v>0</v>
      </c>
      <c r="H162" s="183">
        <f>aurora_data!G226</f>
        <v>2</v>
      </c>
      <c r="I162" s="184">
        <f>aurora_data!H226</f>
        <v>17</v>
      </c>
      <c r="J162" s="182">
        <f>aurora_data!I226</f>
        <v>2</v>
      </c>
      <c r="K162" s="183">
        <f>aurora_data!J226</f>
        <v>3</v>
      </c>
      <c r="L162" s="183">
        <f>aurora_data!K226</f>
        <v>21</v>
      </c>
      <c r="M162" s="183">
        <f>aurora_data!L226</f>
        <v>21</v>
      </c>
      <c r="N162" s="184">
        <f>aurora_data!M226</f>
        <v>28</v>
      </c>
      <c r="O162" s="182">
        <f>aurora_data!N226</f>
        <v>10</v>
      </c>
      <c r="P162" s="183">
        <f>aurora_data!O226</f>
        <v>11</v>
      </c>
      <c r="Q162" s="183">
        <f>aurora_data!P226</f>
        <v>24</v>
      </c>
      <c r="R162" s="183">
        <f>aurora_data!Q226</f>
        <v>51</v>
      </c>
      <c r="S162" s="184">
        <f>aurora_data!R226</f>
        <v>32</v>
      </c>
      <c r="T162" s="182">
        <f>aurora_data!S226</f>
        <v>1</v>
      </c>
      <c r="U162" s="183">
        <f>aurora_data!T226</f>
        <v>1</v>
      </c>
      <c r="V162" s="183">
        <f>aurora_data!U226</f>
        <v>6</v>
      </c>
      <c r="W162" s="183">
        <f>aurora_data!V226</f>
        <v>23</v>
      </c>
      <c r="X162" s="184">
        <f>aurora_data!W226</f>
        <v>32</v>
      </c>
      <c r="Y162" s="182">
        <f>aurora_data!X226</f>
        <v>2</v>
      </c>
      <c r="Z162" s="183">
        <f>aurora_data!Y226</f>
        <v>7</v>
      </c>
      <c r="AA162" s="183">
        <f>aurora_data!Z226</f>
        <v>27</v>
      </c>
      <c r="AB162" s="183">
        <f>aurora_data!AA226</f>
        <v>91</v>
      </c>
      <c r="AC162" s="184">
        <f>aurora_data!AB226</f>
        <v>155</v>
      </c>
      <c r="AD162" s="182">
        <f>aurora_data!AC226</f>
        <v>165</v>
      </c>
      <c r="AE162" s="183">
        <f>aurora_data!AD226</f>
        <v>102</v>
      </c>
      <c r="AF162" s="183">
        <f>aurora_data!AE226</f>
        <v>189</v>
      </c>
      <c r="AG162" s="184">
        <f>aurora_data!AF226</f>
        <v>111</v>
      </c>
      <c r="AH162" s="182">
        <f>aurora_data!AG226</f>
        <v>287</v>
      </c>
      <c r="AI162" s="183">
        <f>aurora_data!AH226</f>
        <v>281</v>
      </c>
      <c r="AJ162" s="183">
        <f>aurora_data!AI90</f>
        <v>0</v>
      </c>
      <c r="AK162" s="412"/>
      <c r="AL162" s="182">
        <f>aurora_data!AJ226</f>
        <v>568</v>
      </c>
      <c r="AM162" s="413">
        <f t="shared" si="110"/>
        <v>1.0327272727272727</v>
      </c>
      <c r="AO162"/>
      <c r="AP162"/>
      <c r="AQ162"/>
      <c r="AR162"/>
      <c r="AS162"/>
      <c r="AT162"/>
      <c r="AU162"/>
      <c r="AV162"/>
      <c r="AW162"/>
      <c r="AX162"/>
      <c r="AY162"/>
    </row>
    <row r="163" spans="2:51" ht="18.75" customHeight="1" thickBot="1">
      <c r="B163" s="448"/>
      <c r="C163" s="450"/>
      <c r="D163" s="38" t="s">
        <v>343</v>
      </c>
      <c r="E163" s="265">
        <f>aurora_data!D227</f>
        <v>0</v>
      </c>
      <c r="F163" s="266">
        <f>aurora_data!E227</f>
        <v>0</v>
      </c>
      <c r="G163" s="266">
        <f>aurora_data!F227</f>
        <v>0</v>
      </c>
      <c r="H163" s="266">
        <f>aurora_data!G227</f>
        <v>0</v>
      </c>
      <c r="I163" s="266">
        <f>aurora_data!H227</f>
        <v>0</v>
      </c>
      <c r="J163" s="265">
        <f>aurora_data!I227</f>
        <v>0</v>
      </c>
      <c r="K163" s="266">
        <f>aurora_data!J227</f>
        <v>0</v>
      </c>
      <c r="L163" s="266">
        <f>aurora_data!K227</f>
        <v>2</v>
      </c>
      <c r="M163" s="266">
        <f>aurora_data!L227</f>
        <v>0</v>
      </c>
      <c r="N163" s="267">
        <f>aurora_data!M227</f>
        <v>1</v>
      </c>
      <c r="O163" s="265">
        <f>aurora_data!N227</f>
        <v>0</v>
      </c>
      <c r="P163" s="266">
        <f>aurora_data!O227</f>
        <v>0</v>
      </c>
      <c r="Q163" s="266">
        <f>aurora_data!P227</f>
        <v>0</v>
      </c>
      <c r="R163" s="266">
        <f>aurora_data!Q227</f>
        <v>0</v>
      </c>
      <c r="S163" s="267">
        <f>aurora_data!R227</f>
        <v>0</v>
      </c>
      <c r="T163" s="265">
        <f>aurora_data!S227</f>
        <v>0</v>
      </c>
      <c r="U163" s="266">
        <f>aurora_data!T227</f>
        <v>0</v>
      </c>
      <c r="V163" s="266">
        <f>aurora_data!U227</f>
        <v>0</v>
      </c>
      <c r="W163" s="266">
        <f>aurora_data!V227</f>
        <v>0</v>
      </c>
      <c r="X163" s="267">
        <f>aurora_data!W227</f>
        <v>0</v>
      </c>
      <c r="Y163" s="265">
        <f>aurora_data!X227</f>
        <v>0</v>
      </c>
      <c r="Z163" s="266">
        <f>aurora_data!Y227</f>
        <v>0</v>
      </c>
      <c r="AA163" s="266">
        <f>aurora_data!Z227</f>
        <v>0</v>
      </c>
      <c r="AB163" s="266">
        <f>aurora_data!AA227</f>
        <v>0</v>
      </c>
      <c r="AC163" s="267">
        <f>aurora_data!AB227</f>
        <v>0</v>
      </c>
      <c r="AD163" s="265">
        <f>aurora_data!AC227</f>
        <v>1</v>
      </c>
      <c r="AE163" s="266">
        <f>aurora_data!AD227</f>
        <v>0</v>
      </c>
      <c r="AF163" s="266">
        <f>aurora_data!AE227</f>
        <v>2</v>
      </c>
      <c r="AG163" s="267">
        <f>aurora_data!AF227</f>
        <v>0</v>
      </c>
      <c r="AH163" s="265">
        <f>aurora_data!AG227</f>
        <v>0</v>
      </c>
      <c r="AI163" s="266">
        <f>aurora_data!AH227</f>
        <v>3</v>
      </c>
      <c r="AJ163" s="268">
        <f>aurora_data!AI91</f>
        <v>0</v>
      </c>
      <c r="AK163" s="269"/>
      <c r="AL163" s="265">
        <f>aurora_data!AJ227</f>
        <v>3</v>
      </c>
      <c r="AM163" s="270">
        <f t="shared" si="110"/>
        <v>5.454545454545455E-3</v>
      </c>
      <c r="AO163"/>
      <c r="AP163"/>
      <c r="AQ163"/>
      <c r="AR163"/>
      <c r="AS163"/>
      <c r="AT163"/>
      <c r="AU163"/>
      <c r="AV163"/>
      <c r="AW163"/>
      <c r="AX163"/>
      <c r="AY163"/>
    </row>
    <row r="164" spans="2:51" ht="18.75" hidden="1" customHeight="1" outlineLevel="1">
      <c r="B164" s="448"/>
      <c r="C164" s="450"/>
      <c r="D164" s="199" t="s">
        <v>344</v>
      </c>
      <c r="E164" s="186">
        <f t="shared" ref="E164:AC164" si="111">ROUNDDOWN((E166+$E$9)*($AL156),0)</f>
        <v>12</v>
      </c>
      <c r="F164" s="187">
        <f t="shared" si="111"/>
        <v>12</v>
      </c>
      <c r="G164" s="187">
        <f t="shared" si="111"/>
        <v>14</v>
      </c>
      <c r="H164" s="187">
        <f t="shared" si="111"/>
        <v>15</v>
      </c>
      <c r="I164" s="187">
        <f t="shared" si="111"/>
        <v>28</v>
      </c>
      <c r="J164" s="186">
        <f t="shared" si="111"/>
        <v>12</v>
      </c>
      <c r="K164" s="187">
        <f t="shared" si="111"/>
        <v>15</v>
      </c>
      <c r="L164" s="187">
        <f t="shared" si="111"/>
        <v>30</v>
      </c>
      <c r="M164" s="187">
        <f t="shared" si="111"/>
        <v>37</v>
      </c>
      <c r="N164" s="188">
        <f t="shared" si="111"/>
        <v>29</v>
      </c>
      <c r="O164" s="186">
        <f t="shared" si="111"/>
        <v>22</v>
      </c>
      <c r="P164" s="187">
        <f t="shared" si="111"/>
        <v>29</v>
      </c>
      <c r="Q164" s="187">
        <f t="shared" si="111"/>
        <v>48</v>
      </c>
      <c r="R164" s="187">
        <f t="shared" si="111"/>
        <v>51</v>
      </c>
      <c r="S164" s="188">
        <f t="shared" si="111"/>
        <v>38</v>
      </c>
      <c r="T164" s="186">
        <f t="shared" si="111"/>
        <v>12</v>
      </c>
      <c r="U164" s="187">
        <f t="shared" si="111"/>
        <v>13</v>
      </c>
      <c r="V164" s="187">
        <f t="shared" si="111"/>
        <v>20</v>
      </c>
      <c r="W164" s="187">
        <f t="shared" si="111"/>
        <v>29</v>
      </c>
      <c r="X164" s="188">
        <f t="shared" si="111"/>
        <v>32</v>
      </c>
      <c r="Y164" s="186">
        <f t="shared" si="111"/>
        <v>14</v>
      </c>
      <c r="Z164" s="187">
        <f t="shared" si="111"/>
        <v>16</v>
      </c>
      <c r="AA164" s="187">
        <f t="shared" si="111"/>
        <v>51</v>
      </c>
      <c r="AB164" s="187">
        <f t="shared" si="111"/>
        <v>96</v>
      </c>
      <c r="AC164" s="188">
        <f t="shared" si="111"/>
        <v>139</v>
      </c>
      <c r="AD164" s="271">
        <f>ROUNDDOWN((AD166+$AD$9)*($AL156),0)</f>
        <v>171</v>
      </c>
      <c r="AE164" s="272">
        <f>ROUNDDOWN((AE166+$AD$9)*($AL156),0)</f>
        <v>140</v>
      </c>
      <c r="AF164" s="272">
        <f t="shared" ref="AF164:AG164" si="112">ROUNDDOWN((AF166+$AD$9)*($AL156),0)</f>
        <v>273</v>
      </c>
      <c r="AG164" s="268">
        <f t="shared" si="112"/>
        <v>184</v>
      </c>
      <c r="AH164" s="271">
        <f>ROUNDDOWN((AH166+$AH$9)*($AL156),0)</f>
        <v>275</v>
      </c>
      <c r="AI164" s="272">
        <f>ROUNDDOWN((AI166+$AH$8)*($AL156),0)</f>
        <v>275</v>
      </c>
      <c r="AJ164" s="187">
        <f>ROUNDDOWN((AJ166+$AH$8)*($AL156),0)</f>
        <v>0</v>
      </c>
      <c r="AK164" s="194"/>
      <c r="AL164" s="195"/>
      <c r="AM164" s="196"/>
      <c r="AO164"/>
      <c r="AP164"/>
      <c r="AQ164"/>
      <c r="AR164"/>
      <c r="AS164"/>
      <c r="AT164"/>
      <c r="AU164"/>
      <c r="AV164"/>
      <c r="AW164"/>
      <c r="AX164"/>
      <c r="AY164"/>
    </row>
    <row r="165" spans="2:51" ht="18.75" hidden="1" customHeight="1" outlineLevel="1" thickBot="1">
      <c r="B165" s="448"/>
      <c r="C165" s="450"/>
      <c r="D165" s="202" t="s">
        <v>345</v>
      </c>
      <c r="E165" s="189">
        <f t="shared" ref="E165:AC165" si="113">IF(ROUND(((E166-$E$9)*($AL156))+0.25,0) &lt;=0,1,((E166-$E$9)*($AL156))+0.25)</f>
        <v>1</v>
      </c>
      <c r="F165" s="190">
        <f t="shared" si="113"/>
        <v>1</v>
      </c>
      <c r="G165" s="190">
        <f t="shared" si="113"/>
        <v>1</v>
      </c>
      <c r="H165" s="190">
        <f t="shared" si="113"/>
        <v>1</v>
      </c>
      <c r="I165" s="190">
        <f t="shared" si="113"/>
        <v>6.7000000000000011</v>
      </c>
      <c r="J165" s="189">
        <f t="shared" si="113"/>
        <v>1</v>
      </c>
      <c r="K165" s="190">
        <f t="shared" si="113"/>
        <v>1</v>
      </c>
      <c r="L165" s="190">
        <f t="shared" si="113"/>
        <v>8.3400000000000016</v>
      </c>
      <c r="M165" s="190">
        <f t="shared" si="113"/>
        <v>15.780000000000001</v>
      </c>
      <c r="N165" s="191">
        <f t="shared" si="113"/>
        <v>7.6800000000000015</v>
      </c>
      <c r="O165" s="189">
        <f t="shared" si="113"/>
        <v>1.1199999999999994</v>
      </c>
      <c r="P165" s="190">
        <f t="shared" si="113"/>
        <v>7.6900000000000022</v>
      </c>
      <c r="Q165" s="190">
        <f t="shared" si="113"/>
        <v>26.82</v>
      </c>
      <c r="R165" s="190">
        <f t="shared" si="113"/>
        <v>29.77</v>
      </c>
      <c r="S165" s="191">
        <f t="shared" si="113"/>
        <v>17.12</v>
      </c>
      <c r="T165" s="189">
        <f t="shared" si="113"/>
        <v>1</v>
      </c>
      <c r="U165" s="190">
        <f t="shared" si="113"/>
        <v>1</v>
      </c>
      <c r="V165" s="190">
        <f t="shared" si="113"/>
        <v>1</v>
      </c>
      <c r="W165" s="190">
        <f t="shared" si="113"/>
        <v>7.5699999999999985</v>
      </c>
      <c r="X165" s="191">
        <f t="shared" si="113"/>
        <v>10.47</v>
      </c>
      <c r="Y165" s="189">
        <f t="shared" si="113"/>
        <v>1</v>
      </c>
      <c r="Z165" s="190">
        <f t="shared" si="113"/>
        <v>1</v>
      </c>
      <c r="AA165" s="190">
        <f t="shared" si="113"/>
        <v>29.879999999999995</v>
      </c>
      <c r="AB165" s="190">
        <f t="shared" si="113"/>
        <v>74.710000000000008</v>
      </c>
      <c r="AC165" s="191">
        <f t="shared" si="113"/>
        <v>118.13999999999999</v>
      </c>
      <c r="AD165" s="276">
        <f>IF(((AD166-$AD$9)*($AL156))+0.5 &lt;0,1,((AD166-$AD$9)*($AL156))+0.5 )</f>
        <v>61.620000000000005</v>
      </c>
      <c r="AE165" s="277">
        <f t="shared" ref="AE165" si="114">IF(((AE166-$AD$9)*($AL156))+0.5 &lt;0,1,((AE166-$AD$9)*($AL156))+0.5 )</f>
        <v>31.02</v>
      </c>
      <c r="AF165" s="277">
        <f t="shared" ref="AF165" si="115">IF(((AF166-$AD$9)*($AL156))+0.5 &lt;0,1,((AF166-$AD$9)*($AL156))+0.5 )</f>
        <v>163.97</v>
      </c>
      <c r="AG165" s="278">
        <f t="shared" ref="AG165" si="116">IF(((AG166-$AD$9)*($AL156))+0.5 &lt;0,1,((AG166-$AD$9)*($AL156))+0.5 )</f>
        <v>75.38</v>
      </c>
      <c r="AH165" s="276">
        <f>IF(((AH166-$AH$9)*($AL156))+0.5 &lt;0,1,((AH166-$AH$9)*($AL156)) )</f>
        <v>275</v>
      </c>
      <c r="AI165" s="277">
        <f>IF(((AI166-$AH$9)*($AL156))+0.5 &lt;0,1,((AI166-$AH$9)*($AL156)) )</f>
        <v>275</v>
      </c>
      <c r="AJ165" s="190">
        <f>IF(((AJ166-$AH$8)*($AL156))+0.5 &lt;0,1,((AJ166-$AH$8)*($AL156))+0.5 )</f>
        <v>0.5</v>
      </c>
      <c r="AK165" s="194"/>
      <c r="AL165" s="197"/>
      <c r="AM165" s="198"/>
      <c r="AO165"/>
      <c r="AP165"/>
      <c r="AQ165"/>
      <c r="AR165"/>
      <c r="AS165"/>
      <c r="AT165"/>
      <c r="AU165"/>
      <c r="AV165"/>
      <c r="AW165"/>
      <c r="AX165"/>
      <c r="AY165"/>
    </row>
    <row r="166" spans="2:51" ht="18.75" hidden="1" customHeight="1" outlineLevel="1" thickTop="1">
      <c r="B166" s="108"/>
      <c r="C166" s="251"/>
      <c r="D166" s="95" t="s">
        <v>346</v>
      </c>
      <c r="E166" s="159">
        <f t="shared" ref="E166:AJ166" si="117">IFERROR(E156/$AL156,0)</f>
        <v>1.9272727272727273E-3</v>
      </c>
      <c r="F166" s="160">
        <f t="shared" si="117"/>
        <v>2.2909090909090908E-3</v>
      </c>
      <c r="G166" s="160">
        <f t="shared" si="117"/>
        <v>5.7999999999999996E-3</v>
      </c>
      <c r="H166" s="160">
        <f t="shared" si="117"/>
        <v>8.6E-3</v>
      </c>
      <c r="I166" s="160">
        <f t="shared" si="117"/>
        <v>3.1727272727272729E-2</v>
      </c>
      <c r="J166" s="159">
        <f t="shared" si="117"/>
        <v>2.5090909090909087E-3</v>
      </c>
      <c r="K166" s="160">
        <f t="shared" si="117"/>
        <v>8.3272727272727266E-3</v>
      </c>
      <c r="L166" s="160">
        <f t="shared" si="117"/>
        <v>3.4709090909090912E-2</v>
      </c>
      <c r="M166" s="160">
        <f t="shared" si="117"/>
        <v>4.823636363636364E-2</v>
      </c>
      <c r="N166" s="161">
        <f t="shared" si="117"/>
        <v>3.3509090909090912E-2</v>
      </c>
      <c r="O166" s="159">
        <f t="shared" si="117"/>
        <v>2.1581818181818181E-2</v>
      </c>
      <c r="P166" s="160">
        <f t="shared" si="117"/>
        <v>3.3527272727272732E-2</v>
      </c>
      <c r="Q166" s="160">
        <f t="shared" si="117"/>
        <v>6.8309090909090917E-2</v>
      </c>
      <c r="R166" s="160">
        <f t="shared" si="117"/>
        <v>7.3672727272727279E-2</v>
      </c>
      <c r="S166" s="161">
        <f t="shared" si="117"/>
        <v>5.0672727272727272E-2</v>
      </c>
      <c r="T166" s="159">
        <f t="shared" si="117"/>
        <v>1.8909090909090909E-3</v>
      </c>
      <c r="U166" s="160">
        <f t="shared" si="117"/>
        <v>4.2363636363636362E-3</v>
      </c>
      <c r="V166" s="160">
        <f t="shared" si="117"/>
        <v>1.6927272727272728E-2</v>
      </c>
      <c r="W166" s="160">
        <f t="shared" si="117"/>
        <v>3.3309090909090906E-2</v>
      </c>
      <c r="X166" s="161">
        <f t="shared" si="117"/>
        <v>3.8581818181818182E-2</v>
      </c>
      <c r="Y166" s="159">
        <f t="shared" si="117"/>
        <v>5.454545454545455E-3</v>
      </c>
      <c r="Z166" s="160">
        <f t="shared" si="117"/>
        <v>1.0618181818181818E-2</v>
      </c>
      <c r="AA166" s="160">
        <f t="shared" si="117"/>
        <v>7.387272727272727E-2</v>
      </c>
      <c r="AB166" s="160">
        <f t="shared" si="117"/>
        <v>0.15538181818181818</v>
      </c>
      <c r="AC166" s="161">
        <f t="shared" si="117"/>
        <v>0.23434545454545452</v>
      </c>
      <c r="AD166" s="159">
        <f>IFERROR(AD156/$AL156,0)</f>
        <v>0.21112727272727275</v>
      </c>
      <c r="AE166" s="160">
        <f t="shared" si="117"/>
        <v>0.1554909090909091</v>
      </c>
      <c r="AF166" s="160">
        <f t="shared" si="117"/>
        <v>0.3972181818181818</v>
      </c>
      <c r="AG166" s="161">
        <f t="shared" si="117"/>
        <v>0.23614545454545455</v>
      </c>
      <c r="AH166" s="159">
        <f t="shared" si="117"/>
        <v>0.5</v>
      </c>
      <c r="AI166" s="160">
        <f t="shared" si="117"/>
        <v>0.5</v>
      </c>
      <c r="AJ166" s="160">
        <f t="shared" si="117"/>
        <v>0</v>
      </c>
      <c r="AK166" s="158"/>
      <c r="AL166" s="162"/>
      <c r="AM166" s="163"/>
      <c r="AO166"/>
      <c r="AP166"/>
      <c r="AQ166"/>
      <c r="AR166"/>
      <c r="AS166"/>
      <c r="AT166"/>
      <c r="AU166"/>
      <c r="AV166"/>
      <c r="AW166"/>
      <c r="AX166"/>
      <c r="AY166"/>
    </row>
    <row r="167" spans="2:51" ht="18.75" hidden="1" customHeight="1" outlineLevel="1">
      <c r="B167" s="108"/>
      <c r="C167" s="251"/>
      <c r="D167" s="180" t="s">
        <v>347</v>
      </c>
      <c r="E167" s="159">
        <f t="shared" ref="E167:AJ167" si="118">IFERROR(E157/$AL156,0)</f>
        <v>0</v>
      </c>
      <c r="F167" s="160">
        <f t="shared" si="118"/>
        <v>0</v>
      </c>
      <c r="G167" s="160">
        <f t="shared" si="118"/>
        <v>0</v>
      </c>
      <c r="H167" s="160">
        <f t="shared" si="118"/>
        <v>3.6363636363636364E-3</v>
      </c>
      <c r="I167" s="160">
        <f t="shared" si="118"/>
        <v>2.3636363636363636E-2</v>
      </c>
      <c r="J167" s="159">
        <f t="shared" si="118"/>
        <v>3.6363636363636364E-3</v>
      </c>
      <c r="K167" s="160">
        <f t="shared" si="118"/>
        <v>5.454545454545455E-3</v>
      </c>
      <c r="L167" s="160">
        <f t="shared" si="118"/>
        <v>2.7272727272727271E-2</v>
      </c>
      <c r="M167" s="160">
        <f t="shared" si="118"/>
        <v>3.090909090909091E-2</v>
      </c>
      <c r="N167" s="161">
        <f t="shared" si="118"/>
        <v>3.8181818181818185E-2</v>
      </c>
      <c r="O167" s="159">
        <f t="shared" si="118"/>
        <v>1.2727272727272728E-2</v>
      </c>
      <c r="P167" s="160">
        <f t="shared" si="118"/>
        <v>1.6363636363636365E-2</v>
      </c>
      <c r="Q167" s="160">
        <f t="shared" si="118"/>
        <v>3.272727272727273E-2</v>
      </c>
      <c r="R167" s="160">
        <f t="shared" si="118"/>
        <v>6.1818181818181821E-2</v>
      </c>
      <c r="S167" s="161">
        <f t="shared" si="118"/>
        <v>4.7272727272727272E-2</v>
      </c>
      <c r="T167" s="159">
        <f t="shared" si="118"/>
        <v>1.8181818181818182E-3</v>
      </c>
      <c r="U167" s="160">
        <f t="shared" si="118"/>
        <v>0</v>
      </c>
      <c r="V167" s="160">
        <f t="shared" si="118"/>
        <v>5.454545454545455E-3</v>
      </c>
      <c r="W167" s="160">
        <f t="shared" si="118"/>
        <v>2.3636363636363636E-2</v>
      </c>
      <c r="X167" s="161">
        <f t="shared" si="118"/>
        <v>3.8181818181818185E-2</v>
      </c>
      <c r="Y167" s="159">
        <f t="shared" si="118"/>
        <v>3.6363636363636364E-3</v>
      </c>
      <c r="Z167" s="160">
        <f t="shared" si="118"/>
        <v>3.6363636363636364E-3</v>
      </c>
      <c r="AA167" s="160">
        <f t="shared" si="118"/>
        <v>3.6363636363636362E-2</v>
      </c>
      <c r="AB167" s="160">
        <f t="shared" si="118"/>
        <v>0.14181818181818182</v>
      </c>
      <c r="AC167" s="161">
        <f t="shared" si="118"/>
        <v>0.23636363636363636</v>
      </c>
      <c r="AD167" s="159">
        <f t="shared" si="118"/>
        <v>0.20363636363636364</v>
      </c>
      <c r="AE167" s="160">
        <f t="shared" si="118"/>
        <v>0.14181818181818182</v>
      </c>
      <c r="AF167" s="160">
        <f t="shared" si="118"/>
        <v>0.2818181818181818</v>
      </c>
      <c r="AG167" s="161">
        <f t="shared" si="118"/>
        <v>0.16545454545454547</v>
      </c>
      <c r="AH167" s="160">
        <f t="shared" si="118"/>
        <v>0.39818181818181819</v>
      </c>
      <c r="AI167" s="160">
        <f t="shared" si="118"/>
        <v>0.39636363636363636</v>
      </c>
      <c r="AJ167" s="160">
        <f t="shared" si="118"/>
        <v>0</v>
      </c>
      <c r="AK167" s="158"/>
      <c r="AL167" s="162"/>
      <c r="AM167" s="163"/>
      <c r="AO167"/>
      <c r="AP167"/>
      <c r="AQ167"/>
      <c r="AR167"/>
      <c r="AS167"/>
      <c r="AT167"/>
      <c r="AU167"/>
      <c r="AV167"/>
      <c r="AW167"/>
      <c r="AX167"/>
      <c r="AY167"/>
    </row>
    <row r="168" spans="2:51" ht="19.5" hidden="1" outlineLevel="1" thickBot="1">
      <c r="B168" s="108"/>
      <c r="C168" s="251"/>
      <c r="D168" s="180" t="s">
        <v>348</v>
      </c>
      <c r="E168" s="164">
        <f t="shared" ref="E168:AJ168" si="119">E167-E166</f>
        <v>-1.9272727272727273E-3</v>
      </c>
      <c r="F168" s="165">
        <f t="shared" si="119"/>
        <v>-2.2909090909090908E-3</v>
      </c>
      <c r="G168" s="165">
        <f t="shared" si="119"/>
        <v>-5.7999999999999996E-3</v>
      </c>
      <c r="H168" s="165">
        <f t="shared" si="119"/>
        <v>-4.9636363636363636E-3</v>
      </c>
      <c r="I168" s="165">
        <f t="shared" si="119"/>
        <v>-8.090909090909093E-3</v>
      </c>
      <c r="J168" s="164">
        <f t="shared" si="119"/>
        <v>1.1272727272727276E-3</v>
      </c>
      <c r="K168" s="165">
        <f t="shared" si="119"/>
        <v>-2.8727272727272716E-3</v>
      </c>
      <c r="L168" s="165">
        <f t="shared" si="119"/>
        <v>-7.4363636363636403E-3</v>
      </c>
      <c r="M168" s="165">
        <f t="shared" si="119"/>
        <v>-1.7327272727272729E-2</v>
      </c>
      <c r="N168" s="166">
        <f t="shared" si="119"/>
        <v>4.6727272727272728E-3</v>
      </c>
      <c r="O168" s="164">
        <f t="shared" si="119"/>
        <v>-8.8545454545454535E-3</v>
      </c>
      <c r="P168" s="165">
        <f t="shared" si="119"/>
        <v>-1.7163636363636367E-2</v>
      </c>
      <c r="Q168" s="165">
        <f t="shared" si="119"/>
        <v>-3.5581818181818187E-2</v>
      </c>
      <c r="R168" s="165">
        <f t="shared" si="119"/>
        <v>-1.1854545454545458E-2</v>
      </c>
      <c r="S168" s="166">
        <f t="shared" si="119"/>
        <v>-3.4000000000000002E-3</v>
      </c>
      <c r="T168" s="164">
        <f t="shared" si="119"/>
        <v>-7.2727272727272701E-5</v>
      </c>
      <c r="U168" s="165">
        <f t="shared" si="119"/>
        <v>-4.2363636363636362E-3</v>
      </c>
      <c r="V168" s="165">
        <f t="shared" si="119"/>
        <v>-1.1472727272727273E-2</v>
      </c>
      <c r="W168" s="165">
        <f t="shared" si="119"/>
        <v>-9.6727272727272703E-3</v>
      </c>
      <c r="X168" s="166">
        <f t="shared" si="119"/>
        <v>-3.9999999999999758E-4</v>
      </c>
      <c r="Y168" s="164">
        <f t="shared" si="119"/>
        <v>-1.8181818181818186E-3</v>
      </c>
      <c r="Z168" s="165">
        <f t="shared" si="119"/>
        <v>-6.9818181818181819E-3</v>
      </c>
      <c r="AA168" s="165">
        <f t="shared" si="119"/>
        <v>-3.7509090909090909E-2</v>
      </c>
      <c r="AB168" s="165">
        <f t="shared" si="119"/>
        <v>-1.3563636363636361E-2</v>
      </c>
      <c r="AC168" s="166">
        <f t="shared" si="119"/>
        <v>2.0181818181818356E-3</v>
      </c>
      <c r="AD168" s="164">
        <f>AD167-AD166</f>
        <v>-7.4909090909091036E-3</v>
      </c>
      <c r="AE168" s="165">
        <f t="shared" si="119"/>
        <v>-1.3672727272727281E-2</v>
      </c>
      <c r="AF168" s="165">
        <f t="shared" si="119"/>
        <v>-0.1154</v>
      </c>
      <c r="AG168" s="166">
        <f t="shared" si="119"/>
        <v>-7.0690909090909082E-2</v>
      </c>
      <c r="AH168" s="165">
        <f t="shared" si="119"/>
        <v>-0.10181818181818181</v>
      </c>
      <c r="AI168" s="165">
        <f t="shared" si="119"/>
        <v>-0.10363636363636364</v>
      </c>
      <c r="AJ168" s="165">
        <f t="shared" si="119"/>
        <v>0</v>
      </c>
      <c r="AK168" s="158"/>
      <c r="AL168" s="162"/>
      <c r="AM168" s="163"/>
    </row>
    <row r="169" spans="2:51" ht="15.75" customHeight="1" collapsed="1">
      <c r="B169" s="96"/>
      <c r="C169" s="96"/>
      <c r="D169" s="252"/>
      <c r="E169" s="252"/>
      <c r="F169" s="252"/>
      <c r="G169" s="252"/>
      <c r="H169" s="252"/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  <c r="S169" s="252"/>
      <c r="T169" s="252"/>
      <c r="U169" s="252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</row>
    <row r="170" spans="2:51" ht="15.75" customHeight="1"/>
    <row r="171" spans="2:51" ht="15.75" customHeight="1"/>
    <row r="172" spans="2:51" ht="16.350000000000001" customHeight="1"/>
    <row r="173" spans="2:51" ht="16.350000000000001" customHeight="1"/>
    <row r="174" spans="2:51" ht="16.350000000000001" customHeight="1"/>
    <row r="175" spans="2:51" ht="15.75" customHeight="1"/>
    <row r="176" spans="2:51" ht="15.75" customHeight="1"/>
    <row r="177" ht="15.75" customHeight="1"/>
    <row r="178" ht="15.75" customHeight="1"/>
    <row r="179" ht="16.350000000000001" customHeight="1"/>
  </sheetData>
  <mergeCells count="56">
    <mergeCell ref="A1:C1"/>
    <mergeCell ref="D1:I1"/>
    <mergeCell ref="A2:C2"/>
    <mergeCell ref="D2:I2"/>
    <mergeCell ref="K2:X5"/>
    <mergeCell ref="D3:E3"/>
    <mergeCell ref="F3:I3"/>
    <mergeCell ref="D5:I5"/>
    <mergeCell ref="D6:I6"/>
    <mergeCell ref="B8:D8"/>
    <mergeCell ref="E8:AI8"/>
    <mergeCell ref="B9:C9"/>
    <mergeCell ref="E9:AC9"/>
    <mergeCell ref="AD9:AG9"/>
    <mergeCell ref="AH9:AI9"/>
    <mergeCell ref="AL10:AM12"/>
    <mergeCell ref="E11:I11"/>
    <mergeCell ref="J11:N11"/>
    <mergeCell ref="O11:S11"/>
    <mergeCell ref="T11:X11"/>
    <mergeCell ref="Y11:AC11"/>
    <mergeCell ref="AD11:AD12"/>
    <mergeCell ref="AE11:AE12"/>
    <mergeCell ref="AF11:AF12"/>
    <mergeCell ref="AG11:AG12"/>
    <mergeCell ref="B13:B25"/>
    <mergeCell ref="C13:C25"/>
    <mergeCell ref="AH11:AH12"/>
    <mergeCell ref="AI11:AI12"/>
    <mergeCell ref="AJ11:AJ12"/>
    <mergeCell ref="B10:B11"/>
    <mergeCell ref="E10:AC10"/>
    <mergeCell ref="AD10:AG10"/>
    <mergeCell ref="AH10:AJ10"/>
    <mergeCell ref="B52:B61"/>
    <mergeCell ref="C52:C61"/>
    <mergeCell ref="B65:B74"/>
    <mergeCell ref="C65:C74"/>
    <mergeCell ref="B26:B35"/>
    <mergeCell ref="C26:C38"/>
    <mergeCell ref="B39:B48"/>
    <mergeCell ref="C39:C48"/>
    <mergeCell ref="B104:B113"/>
    <mergeCell ref="C104:C113"/>
    <mergeCell ref="B117:B126"/>
    <mergeCell ref="C117:C126"/>
    <mergeCell ref="B78:B87"/>
    <mergeCell ref="C78:C87"/>
    <mergeCell ref="B91:B100"/>
    <mergeCell ref="C91:C100"/>
    <mergeCell ref="B156:B165"/>
    <mergeCell ref="C156:C165"/>
    <mergeCell ref="B130:B139"/>
    <mergeCell ref="C130:C139"/>
    <mergeCell ref="B143:B152"/>
    <mergeCell ref="C143:C152"/>
  </mergeCells>
  <conditionalFormatting sqref="E14:I14 E27:I27 E40:I40 E53:I53 E66:I66 E79:I79 E92:I92 E105:I105 E118:I118 E131:I131 E144:I144 E157:I157">
    <cfRule type="expression" dxfId="249" priority="173">
      <formula>ROUND(E13,0)&lt;=ROUND(E14,0)</formula>
    </cfRule>
    <cfRule type="expression" dxfId="248" priority="174">
      <formula>AND(E25&lt;$E$8,E25&gt;($E$8*-1),E14&lt;&gt;0)</formula>
    </cfRule>
    <cfRule type="expression" dxfId="247" priority="175">
      <formula>E25&gt;$E$8</formula>
    </cfRule>
    <cfRule type="expression" dxfId="246" priority="176">
      <formula>AND(E25&lt;($E$8*-1),E14&lt;&gt;0)</formula>
    </cfRule>
  </conditionalFormatting>
  <conditionalFormatting sqref="E19:AJ19 AL19 E32:AJ32 AL32 E45:AJ45 AL45 E58:AJ58 AL58 E71:AJ71 AL71 E84:AJ84 AL84 E97:AJ97 AL97 E110:AJ110 AL110 E123:AJ123 AL123 E136:AJ136 AL136 E149:AJ149 AL149 E162:AJ162 AL162">
    <cfRule type="expression" dxfId="245" priority="162">
      <formula>E19&gt;ROUND(E13,0)</formula>
    </cfRule>
  </conditionalFormatting>
  <conditionalFormatting sqref="E19:AL19">
    <cfRule type="expression" dxfId="244" priority="12">
      <formula>ROUND(E$19,0) &lt; ROUND(E$13,0)</formula>
    </cfRule>
  </conditionalFormatting>
  <conditionalFormatting sqref="E32:AL32">
    <cfRule type="expression" dxfId="243" priority="11">
      <formula>ROUND(E$32,0) &lt; ROUND(E$26,0)</formula>
    </cfRule>
  </conditionalFormatting>
  <conditionalFormatting sqref="E45:AL45">
    <cfRule type="expression" dxfId="242" priority="10">
      <formula>ROUND(E$45,0) &lt; ROUND(E$39,0)</formula>
    </cfRule>
  </conditionalFormatting>
  <conditionalFormatting sqref="E58:AL58">
    <cfRule type="expression" dxfId="241" priority="9">
      <formula>ROUND(E$58,0) &lt; ROUND(E$52,0)</formula>
    </cfRule>
  </conditionalFormatting>
  <conditionalFormatting sqref="E71:AL71">
    <cfRule type="expression" dxfId="240" priority="8">
      <formula>ROUND(E$71,0) &lt; ROUND(E$65,0)</formula>
    </cfRule>
  </conditionalFormatting>
  <conditionalFormatting sqref="E84:AL84">
    <cfRule type="expression" dxfId="239" priority="7">
      <formula>ROUND(E$84,0) &lt; ROUND(E$78,0)</formula>
    </cfRule>
  </conditionalFormatting>
  <conditionalFormatting sqref="E97:AL97">
    <cfRule type="expression" dxfId="238" priority="6">
      <formula>ROUND(E$97,0) &lt; ROUND(E$91,0)</formula>
    </cfRule>
  </conditionalFormatting>
  <conditionalFormatting sqref="E110:AL110">
    <cfRule type="expression" dxfId="237" priority="5">
      <formula>ROUND(E$110,0) &lt; ROUND(E$104,0)</formula>
    </cfRule>
  </conditionalFormatting>
  <conditionalFormatting sqref="E123:AL123">
    <cfRule type="expression" dxfId="236" priority="4">
      <formula>ROUND(E$123,0) &lt; ROUND(E$117,0)</formula>
    </cfRule>
  </conditionalFormatting>
  <conditionalFormatting sqref="E136:AL136">
    <cfRule type="expression" dxfId="235" priority="3">
      <formula>ROUND(E$136,0) &lt; ROUND(E$130,0)</formula>
    </cfRule>
  </conditionalFormatting>
  <conditionalFormatting sqref="E149:AL149">
    <cfRule type="expression" dxfId="234" priority="2">
      <formula>ROUND(E$149,0) &lt; ROUND(E$143,0)</formula>
    </cfRule>
  </conditionalFormatting>
  <conditionalFormatting sqref="E162:AL162">
    <cfRule type="expression" dxfId="233" priority="1">
      <formula>ROUND(E$162,0) &lt; ROUND(E$156,0)</formula>
    </cfRule>
  </conditionalFormatting>
  <conditionalFormatting sqref="J14:AC14 J27:AC27 J40:AC40 J53:AC53 J66:AC66 J79:AC79 J92:AC92 J105:AC105 J118:AC118 J131:AC131 J144:AC144 J157:AC157">
    <cfRule type="expression" dxfId="232" priority="170">
      <formula>AND(J25&lt;$E$8,J25&gt;($E$8*-1),J14&lt;&gt;0)</formula>
    </cfRule>
    <cfRule type="expression" dxfId="231" priority="171">
      <formula>J25&gt;$E$8</formula>
    </cfRule>
    <cfRule type="expression" dxfId="230" priority="172">
      <formula>AND(J25&lt;($E$8*-1),J14&lt;&gt;0)</formula>
    </cfRule>
  </conditionalFormatting>
  <conditionalFormatting sqref="J14:AJ14 J27:AJ27 J40:AJ40 J53:AJ53 J66:AJ66 J79:AJ79 J92:AJ92 J105:AJ105 J118:AJ118 J131:AJ131 J144:AJ144 J157:AJ157">
    <cfRule type="expression" dxfId="229" priority="163">
      <formula>ROUND(J13,0)&lt;=J14</formula>
    </cfRule>
  </conditionalFormatting>
  <conditionalFormatting sqref="AD14:AG14 AD27:AG27 AD40:AG40 AD53:AG53 AD66:AG66 AD79:AG79 AD92:AG92 AD105:AG105 AD118:AG118 AD131:AG131 AD144:AG144 AD157:AG157">
    <cfRule type="expression" dxfId="228" priority="167">
      <formula>AND(AD25&lt;$AD$8,AD25&gt;($AD$8*-1),AD14&lt;&gt;0)</formula>
    </cfRule>
    <cfRule type="expression" dxfId="227" priority="168">
      <formula>AD25&gt;$AD$8</formula>
    </cfRule>
    <cfRule type="expression" dxfId="226" priority="169">
      <formula>AND(AD25&lt;($AD$8*-1),AD14&lt;&gt;0)</formula>
    </cfRule>
  </conditionalFormatting>
  <conditionalFormatting sqref="AH14:AJ14 AH27:AJ27 AH40:AJ40 AH53:AJ53 AH66:AJ66 AH79:AJ79 AH92:AJ92 AH105:AJ105 AH118:AJ118 AH131:AJ131 AH144:AJ144 AH157:AJ157">
    <cfRule type="expression" dxfId="225" priority="164">
      <formula>AND(AH25&lt;$AH$8,AH25&gt;($AH$8*-1),AH14&lt;&gt;0)</formula>
    </cfRule>
    <cfRule type="expression" dxfId="224" priority="165">
      <formula>AH25&gt;$AH$8</formula>
    </cfRule>
    <cfRule type="expression" dxfId="223" priority="166">
      <formula>AND(AH25&lt;($AH$8*-1),AH14&lt;&gt;0)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7349-9C02-43AA-865C-8BA4BC4CF3FA}">
  <sheetPr>
    <tabColor rgb="FFFFFF00"/>
  </sheetPr>
  <dimension ref="A1:Y169"/>
  <sheetViews>
    <sheetView topLeftCell="B97" workbookViewId="0">
      <selection activeCell="AD2" sqref="AD2"/>
    </sheetView>
  </sheetViews>
  <sheetFormatPr defaultColWidth="8.625" defaultRowHeight="15.75" outlineLevelRow="2"/>
  <cols>
    <col min="1" max="1" width="7.5" style="2" hidden="1" customWidth="1"/>
    <col min="2" max="2" width="7.5" style="2" customWidth="1"/>
    <col min="3" max="3" width="21" style="2" customWidth="1"/>
    <col min="4" max="4" width="21.5" style="2" customWidth="1"/>
    <col min="5" max="14" width="7.5" style="2" customWidth="1"/>
    <col min="15" max="21" width="7.5" style="2" hidden="1" customWidth="1"/>
    <col min="22" max="22" width="0.625" style="2" customWidth="1"/>
    <col min="23" max="26" width="7.5" style="2" customWidth="1"/>
    <col min="27" max="16384" width="8.625" style="2"/>
  </cols>
  <sheetData>
    <row r="1" spans="1:25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498"/>
      <c r="J1" s="542"/>
      <c r="K1" s="86"/>
      <c r="L1" s="99"/>
      <c r="M1" s="99"/>
      <c r="N1" s="99"/>
      <c r="O1" s="99" t="s">
        <v>326</v>
      </c>
      <c r="P1" s="99"/>
      <c r="Q1" s="99"/>
      <c r="R1" s="99"/>
      <c r="S1" s="99"/>
      <c r="T1" s="99"/>
      <c r="U1" s="99"/>
      <c r="V1" s="99"/>
      <c r="W1" s="99"/>
      <c r="X1" s="99"/>
      <c r="Y1" s="105"/>
    </row>
    <row r="2" spans="1:25" ht="16.5" thickBot="1">
      <c r="A2" s="499" t="s">
        <v>327</v>
      </c>
      <c r="B2" s="499"/>
      <c r="C2" s="500"/>
      <c r="D2" s="536" t="str">
        <f>_xlfn.CONCAT("Study Name: ","
WISC-6 Standardization - Paper")</f>
        <v>Study Name: 
WISC-6 Standardization - Paper</v>
      </c>
      <c r="E2" s="512"/>
      <c r="F2" s="512"/>
      <c r="G2" s="512"/>
      <c r="H2" s="512"/>
      <c r="I2" s="512"/>
      <c r="J2" s="513"/>
      <c r="K2" s="4"/>
      <c r="L2" s="504" t="s">
        <v>328</v>
      </c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6"/>
    </row>
    <row r="3" spans="1:25" ht="38.85" customHeight="1" thickBot="1">
      <c r="D3" s="536" t="str">
        <f>_xlfn.CONCAT("Study Acronym: ","
WISC6_STDZ_D")</f>
        <v>Study Acronym: 
WISC6_STDZ_D</v>
      </c>
      <c r="E3" s="512"/>
      <c r="F3" s="513"/>
      <c r="G3" s="512" t="s">
        <v>329</v>
      </c>
      <c r="H3" s="512"/>
      <c r="I3" s="512"/>
      <c r="J3" s="513"/>
      <c r="K3" s="4"/>
      <c r="L3" s="504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6"/>
    </row>
    <row r="4" spans="1:25" ht="27.6" customHeight="1">
      <c r="B4" s="24"/>
      <c r="E4" s="25"/>
      <c r="F4" s="25"/>
      <c r="G4" s="25"/>
      <c r="H4" s="25"/>
      <c r="I4" s="25"/>
      <c r="J4" s="25"/>
      <c r="K4" s="25"/>
      <c r="L4" s="504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5"/>
      <c r="Y4" s="506"/>
    </row>
    <row r="5" spans="1:25" ht="27" customHeight="1" thickBot="1">
      <c r="C5" s="101"/>
      <c r="D5" s="497" t="s">
        <v>330</v>
      </c>
      <c r="E5" s="498"/>
      <c r="F5" s="498"/>
      <c r="G5" s="498"/>
      <c r="H5" s="498"/>
      <c r="I5" s="498"/>
      <c r="J5" s="498"/>
      <c r="K5" s="97"/>
      <c r="L5" s="504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5"/>
      <c r="Y5" s="506"/>
    </row>
    <row r="6" spans="1:25" ht="148.35" customHeight="1" thickBot="1">
      <c r="C6" s="318"/>
      <c r="D6" s="537" t="s">
        <v>357</v>
      </c>
      <c r="E6" s="538"/>
      <c r="F6" s="538"/>
      <c r="G6" s="538"/>
      <c r="H6" s="538"/>
      <c r="I6" s="538"/>
      <c r="J6" s="539"/>
      <c r="K6" s="406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</row>
    <row r="7" spans="1:25">
      <c r="C7" s="98"/>
      <c r="D7" s="308"/>
      <c r="E7" s="249"/>
      <c r="F7" s="249"/>
      <c r="G7" s="249"/>
      <c r="H7" s="249"/>
      <c r="I7" s="249"/>
      <c r="J7" s="249"/>
      <c r="K7" s="406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</row>
    <row r="8" spans="1:25" ht="16.5" thickBot="1">
      <c r="B8" s="3"/>
      <c r="C8" s="26"/>
      <c r="D8" s="27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8"/>
      <c r="W8" s="3"/>
      <c r="X8" s="3"/>
    </row>
    <row r="9" spans="1:25">
      <c r="B9" s="482" t="str">
        <f>_xlfn.CONCAT("Last Refreshed at: ",aurora_data!BV4)</f>
        <v>Last Refreshed at: 09/17/2026 @ 7:18 AM</v>
      </c>
      <c r="C9" s="483"/>
      <c r="D9" s="483"/>
      <c r="E9" s="540" t="s">
        <v>332</v>
      </c>
      <c r="F9" s="541"/>
      <c r="G9" s="541"/>
      <c r="H9" s="541"/>
      <c r="I9" s="541"/>
      <c r="J9" s="541"/>
      <c r="K9" s="541"/>
      <c r="L9" s="541"/>
      <c r="M9" s="541"/>
      <c r="N9" s="541"/>
      <c r="O9" s="541"/>
      <c r="P9" s="541"/>
      <c r="Q9" s="541"/>
      <c r="R9" s="541"/>
      <c r="S9" s="541"/>
      <c r="T9" s="541"/>
      <c r="U9" s="541"/>
      <c r="V9" s="44"/>
      <c r="W9" s="546" t="s">
        <v>337</v>
      </c>
      <c r="X9" s="547"/>
    </row>
    <row r="10" spans="1:25" ht="16.5" thickBot="1">
      <c r="B10" s="486"/>
      <c r="C10" s="487"/>
      <c r="D10" s="29" t="s">
        <v>333</v>
      </c>
      <c r="E10" s="528">
        <v>0.02</v>
      </c>
      <c r="F10" s="529"/>
      <c r="G10" s="529"/>
      <c r="H10" s="529"/>
      <c r="I10" s="529"/>
      <c r="J10" s="530">
        <v>0.04</v>
      </c>
      <c r="K10" s="531"/>
      <c r="L10" s="531"/>
      <c r="M10" s="531"/>
      <c r="N10" s="531"/>
      <c r="O10" s="532">
        <v>0.1</v>
      </c>
      <c r="P10" s="533"/>
      <c r="Q10" s="533"/>
      <c r="R10" s="533"/>
      <c r="S10" s="534"/>
      <c r="T10" s="535"/>
      <c r="U10" s="535"/>
      <c r="V10" s="225"/>
      <c r="W10" s="548"/>
      <c r="X10" s="549"/>
    </row>
    <row r="11" spans="1:25" ht="17.25" thickTop="1" thickBot="1">
      <c r="B11" s="463" t="s">
        <v>334</v>
      </c>
      <c r="C11" s="30"/>
      <c r="D11" s="31"/>
      <c r="E11" s="543" t="s">
        <v>350</v>
      </c>
      <c r="F11" s="476"/>
      <c r="G11" s="476"/>
      <c r="H11" s="476"/>
      <c r="I11" s="477"/>
      <c r="J11" s="476" t="s">
        <v>351</v>
      </c>
      <c r="K11" s="476"/>
      <c r="L11" s="476"/>
      <c r="M11" s="476"/>
      <c r="N11" s="477"/>
      <c r="O11" s="466" t="s">
        <v>336</v>
      </c>
      <c r="P11" s="466"/>
      <c r="Q11" s="466"/>
      <c r="R11" s="466"/>
      <c r="S11" s="544" t="s">
        <v>25</v>
      </c>
      <c r="T11" s="545"/>
      <c r="U11" s="545"/>
      <c r="V11" s="225"/>
      <c r="W11" s="548"/>
      <c r="X11" s="549"/>
    </row>
    <row r="12" spans="1:25" ht="17.25" thickTop="1" thickBot="1">
      <c r="B12" s="463"/>
      <c r="C12" s="30" t="s">
        <v>5</v>
      </c>
      <c r="D12" s="33" t="s">
        <v>260</v>
      </c>
      <c r="E12" s="94">
        <v>1</v>
      </c>
      <c r="F12" s="92">
        <v>2</v>
      </c>
      <c r="G12" s="93" t="s">
        <v>50</v>
      </c>
      <c r="H12" s="93">
        <v>4</v>
      </c>
      <c r="I12" s="93">
        <v>5</v>
      </c>
      <c r="J12" s="87" t="s">
        <v>22</v>
      </c>
      <c r="K12" s="87" t="s">
        <v>36</v>
      </c>
      <c r="L12" s="87" t="s">
        <v>24</v>
      </c>
      <c r="M12" s="91" t="s">
        <v>352</v>
      </c>
      <c r="N12" s="91" t="s">
        <v>39</v>
      </c>
      <c r="O12" s="87" t="s">
        <v>59</v>
      </c>
      <c r="P12" s="87" t="s">
        <v>47</v>
      </c>
      <c r="Q12" s="87" t="s">
        <v>33</v>
      </c>
      <c r="R12" s="87" t="s">
        <v>60</v>
      </c>
      <c r="S12" s="88" t="s">
        <v>45</v>
      </c>
      <c r="T12" s="89" t="s">
        <v>34</v>
      </c>
      <c r="U12" s="223" t="s">
        <v>353</v>
      </c>
      <c r="V12" s="225"/>
      <c r="W12" s="550"/>
      <c r="X12" s="551"/>
    </row>
    <row r="13" spans="1:25">
      <c r="B13" s="451" t="s">
        <v>338</v>
      </c>
      <c r="C13" s="453" t="str">
        <f>aurora_data!BA132</f>
        <v>06.00.00-06.11.30</v>
      </c>
      <c r="D13" s="34" t="s">
        <v>306</v>
      </c>
      <c r="E13" s="39">
        <f>IFERROR(aurora_data!BD132,0)</f>
        <v>1.31</v>
      </c>
      <c r="F13" s="40">
        <f>IFERROR(aurora_data!BE132,0)</f>
        <v>2.48</v>
      </c>
      <c r="G13" s="40">
        <f>IFERROR(aurora_data!BF132,0)</f>
        <v>9.91</v>
      </c>
      <c r="H13" s="40">
        <f>IFERROR(aurora_data!BG132,0)</f>
        <v>16.079999999999998</v>
      </c>
      <c r="I13" s="41">
        <f>IFERROR(aurora_data!BH132,0)</f>
        <v>20.22</v>
      </c>
      <c r="J13" s="39">
        <f>IFERROR(aurora_data!BI132,0)</f>
        <v>2.58</v>
      </c>
      <c r="K13" s="40">
        <f>IFERROR(aurora_data!BJ132,0)</f>
        <v>6.13</v>
      </c>
      <c r="L13" s="40">
        <f>IFERROR(aurora_data!BK132,0)</f>
        <v>12.09</v>
      </c>
      <c r="M13" s="40">
        <f>IFERROR(aurora_data!BL132,0)</f>
        <v>5.04</v>
      </c>
      <c r="N13" s="41">
        <f>IFERROR(aurora_data!BM132,0)</f>
        <v>24.16</v>
      </c>
      <c r="O13" s="39">
        <f>IFERROR(aurora_data!BN132,0)</f>
        <v>11.08</v>
      </c>
      <c r="P13" s="40">
        <f>IFERROR(aurora_data!BO132,0)</f>
        <v>7.63</v>
      </c>
      <c r="Q13" s="40">
        <f>IFERROR(aurora_data!BP132,0)</f>
        <v>20</v>
      </c>
      <c r="R13" s="41">
        <f>IFERROR(aurora_data!BQ132,0)</f>
        <v>11.29</v>
      </c>
      <c r="S13" s="40">
        <f>IFERROR(aurora_data!BR132,0)</f>
        <v>25</v>
      </c>
      <c r="T13" s="40">
        <f>IFERROR(aurora_data!BS132,0)</f>
        <v>25</v>
      </c>
      <c r="U13" s="224">
        <f>IFERROR(aurora_data!BT132,0)</f>
        <v>0</v>
      </c>
      <c r="V13" s="226" t="s">
        <v>354</v>
      </c>
      <c r="W13" s="39">
        <f>IFERROR(aurora_data!BU132,0)</f>
        <v>50</v>
      </c>
      <c r="X13" s="69">
        <f t="shared" ref="X13:X20" si="0">IFERROR(W13/$W$13,0)</f>
        <v>1</v>
      </c>
    </row>
    <row r="14" spans="1:25">
      <c r="B14" s="452"/>
      <c r="C14" s="454"/>
      <c r="D14" s="35" t="s">
        <v>339</v>
      </c>
      <c r="E14" s="113">
        <f>IFERROR(aurora_data!BD133,0)</f>
        <v>0</v>
      </c>
      <c r="F14" s="253">
        <f>IFERROR(aurora_data!BE133,0)</f>
        <v>1</v>
      </c>
      <c r="G14" s="253">
        <f>IFERROR(aurora_data!BF133,0)</f>
        <v>9</v>
      </c>
      <c r="H14" s="253">
        <f>IFERROR(aurora_data!BG133,0)</f>
        <v>13</v>
      </c>
      <c r="I14" s="254">
        <f>IFERROR(aurora_data!BH133,0)</f>
        <v>18</v>
      </c>
      <c r="J14" s="113">
        <f>IFERROR(aurora_data!BI133,0)</f>
        <v>0</v>
      </c>
      <c r="K14" s="253">
        <f>IFERROR(aurora_data!BJ133,0)</f>
        <v>4</v>
      </c>
      <c r="L14" s="253">
        <f>IFERROR(aurora_data!BK133,0)</f>
        <v>8</v>
      </c>
      <c r="M14" s="253">
        <f>IFERROR(aurora_data!BL133,0)</f>
        <v>4</v>
      </c>
      <c r="N14" s="254">
        <f>IFERROR(aurora_data!BM133,0)</f>
        <v>25</v>
      </c>
      <c r="O14" s="113">
        <f>IFERROR(aurora_data!BN133,0)</f>
        <v>10</v>
      </c>
      <c r="P14" s="253">
        <f>IFERROR(aurora_data!BO133,0)</f>
        <v>7</v>
      </c>
      <c r="Q14" s="253">
        <f>IFERROR(aurora_data!BP133,0)</f>
        <v>14</v>
      </c>
      <c r="R14" s="254">
        <f>IFERROR(aurora_data!BQ133,0)</f>
        <v>10</v>
      </c>
      <c r="S14" s="253">
        <f>IFERROR(aurora_data!BR133,0)</f>
        <v>20</v>
      </c>
      <c r="T14" s="253">
        <f>IFERROR(aurora_data!BS133,0)</f>
        <v>21</v>
      </c>
      <c r="U14" s="254">
        <f>IFERROR(aurora_data!BT133,0)</f>
        <v>0</v>
      </c>
      <c r="V14" s="61" t="s">
        <v>354</v>
      </c>
      <c r="W14" s="113">
        <f>IFERROR(aurora_data!BU133,0)</f>
        <v>41</v>
      </c>
      <c r="X14" s="281">
        <f t="shared" si="0"/>
        <v>0.82</v>
      </c>
    </row>
    <row r="15" spans="1:25">
      <c r="B15" s="452"/>
      <c r="C15" s="454"/>
      <c r="D15" s="35" t="s">
        <v>291</v>
      </c>
      <c r="E15" s="113">
        <f>IFERROR(aurora_data!BD134,0)</f>
        <v>0</v>
      </c>
      <c r="F15" s="253">
        <f>IFERROR(aurora_data!BE134,0)</f>
        <v>0</v>
      </c>
      <c r="G15" s="253">
        <f>IFERROR(aurora_data!BF134,0)</f>
        <v>0</v>
      </c>
      <c r="H15" s="253">
        <f>IFERROR(aurora_data!BG134,0)</f>
        <v>0</v>
      </c>
      <c r="I15" s="254">
        <f>IFERROR(aurora_data!BH134,0)</f>
        <v>4</v>
      </c>
      <c r="J15" s="113">
        <f>IFERROR(aurora_data!BI134,0)</f>
        <v>0</v>
      </c>
      <c r="K15" s="253">
        <f>IFERROR(aurora_data!BJ134,0)</f>
        <v>3</v>
      </c>
      <c r="L15" s="253">
        <f>IFERROR(aurora_data!BK134,0)</f>
        <v>0</v>
      </c>
      <c r="M15" s="253">
        <f>IFERROR(aurora_data!BL134,0)</f>
        <v>1</v>
      </c>
      <c r="N15" s="254">
        <f>IFERROR(aurora_data!BM134,0)</f>
        <v>0</v>
      </c>
      <c r="O15" s="113">
        <f>IFERROR(aurora_data!BN134,0)</f>
        <v>2</v>
      </c>
      <c r="P15" s="253">
        <f>IFERROR(aurora_data!BO134,0)</f>
        <v>0</v>
      </c>
      <c r="Q15" s="253">
        <f>IFERROR(aurora_data!BP134,0)</f>
        <v>2</v>
      </c>
      <c r="R15" s="254">
        <f>IFERROR(aurora_data!BQ134,0)</f>
        <v>0</v>
      </c>
      <c r="S15" s="253">
        <f>IFERROR(aurora_data!BR134,0)</f>
        <v>3</v>
      </c>
      <c r="T15" s="253">
        <f>IFERROR(aurora_data!BS134,0)</f>
        <v>1</v>
      </c>
      <c r="U15" s="254">
        <f>IFERROR(aurora_data!BT134,0)</f>
        <v>0</v>
      </c>
      <c r="V15" s="61" t="s">
        <v>354</v>
      </c>
      <c r="W15" s="113">
        <f>IFERROR(aurora_data!BU134,0)</f>
        <v>4</v>
      </c>
      <c r="X15" s="281">
        <f t="shared" si="0"/>
        <v>0.08</v>
      </c>
    </row>
    <row r="16" spans="1:25">
      <c r="B16" s="452"/>
      <c r="C16" s="454"/>
      <c r="D16" s="35" t="s">
        <v>340</v>
      </c>
      <c r="E16" s="113">
        <f>IFERROR(aurora_data!BD135,0)</f>
        <v>0</v>
      </c>
      <c r="F16" s="253">
        <f>IFERROR(aurora_data!BE135,0)</f>
        <v>0</v>
      </c>
      <c r="G16" s="253">
        <f>IFERROR(aurora_data!BF135,0)</f>
        <v>1</v>
      </c>
      <c r="H16" s="253">
        <f>IFERROR(aurora_data!BG135,0)</f>
        <v>0</v>
      </c>
      <c r="I16" s="254">
        <f>IFERROR(aurora_data!BH135,0)</f>
        <v>0</v>
      </c>
      <c r="J16" s="113">
        <f>IFERROR(aurora_data!BI135,0)</f>
        <v>0</v>
      </c>
      <c r="K16" s="253">
        <f>IFERROR(aurora_data!BJ135,0)</f>
        <v>1</v>
      </c>
      <c r="L16" s="253">
        <f>IFERROR(aurora_data!BK135,0)</f>
        <v>0</v>
      </c>
      <c r="M16" s="253">
        <f>IFERROR(aurora_data!BL135,0)</f>
        <v>0</v>
      </c>
      <c r="N16" s="254">
        <f>IFERROR(aurora_data!BM135,0)</f>
        <v>0</v>
      </c>
      <c r="O16" s="113">
        <f>IFERROR(aurora_data!BN135,0)</f>
        <v>1</v>
      </c>
      <c r="P16" s="253">
        <f>IFERROR(aurora_data!BO135,0)</f>
        <v>0</v>
      </c>
      <c r="Q16" s="253">
        <f>IFERROR(aurora_data!BP135,0)</f>
        <v>0</v>
      </c>
      <c r="R16" s="254">
        <f>IFERROR(aurora_data!BQ135,0)</f>
        <v>0</v>
      </c>
      <c r="S16" s="253">
        <f>IFERROR(aurora_data!BR135,0)</f>
        <v>1</v>
      </c>
      <c r="T16" s="253">
        <f>IFERROR(aurora_data!BS135,0)</f>
        <v>0</v>
      </c>
      <c r="U16" s="254">
        <f>IFERROR(aurora_data!BT135,0)</f>
        <v>0</v>
      </c>
      <c r="V16" s="61" t="s">
        <v>354</v>
      </c>
      <c r="W16" s="113">
        <f>IFERROR(aurora_data!BU135,0)</f>
        <v>1</v>
      </c>
      <c r="X16" s="281">
        <f t="shared" si="0"/>
        <v>0.02</v>
      </c>
    </row>
    <row r="17" spans="2:24">
      <c r="B17" s="452"/>
      <c r="C17" s="454"/>
      <c r="D17" s="35" t="s">
        <v>341</v>
      </c>
      <c r="E17" s="113">
        <f>IFERROR(aurora_data!BD136,0)</f>
        <v>0</v>
      </c>
      <c r="F17" s="253">
        <f>IFERROR(aurora_data!BE136,0)</f>
        <v>1</v>
      </c>
      <c r="G17" s="253">
        <f>IFERROR(aurora_data!BF136,0)</f>
        <v>0</v>
      </c>
      <c r="H17" s="253">
        <f>IFERROR(aurora_data!BG136,0)</f>
        <v>4</v>
      </c>
      <c r="I17" s="254">
        <f>IFERROR(aurora_data!BH136,0)</f>
        <v>3</v>
      </c>
      <c r="J17" s="113">
        <f>IFERROR(aurora_data!BI136,0)</f>
        <v>1</v>
      </c>
      <c r="K17" s="253">
        <f>IFERROR(aurora_data!BJ136,0)</f>
        <v>2</v>
      </c>
      <c r="L17" s="253">
        <f>IFERROR(aurora_data!BK136,0)</f>
        <v>3</v>
      </c>
      <c r="M17" s="253">
        <f>IFERROR(aurora_data!BL136,0)</f>
        <v>1</v>
      </c>
      <c r="N17" s="254">
        <f>IFERROR(aurora_data!BM136,0)</f>
        <v>1</v>
      </c>
      <c r="O17" s="113">
        <f>IFERROR(aurora_data!BN136,0)</f>
        <v>0</v>
      </c>
      <c r="P17" s="253">
        <f>IFERROR(aurora_data!BO136,0)</f>
        <v>3</v>
      </c>
      <c r="Q17" s="253">
        <f>IFERROR(aurora_data!BP136,0)</f>
        <v>5</v>
      </c>
      <c r="R17" s="254">
        <f>IFERROR(aurora_data!BQ136,0)</f>
        <v>0</v>
      </c>
      <c r="S17" s="253">
        <f>IFERROR(aurora_data!BR136,0)</f>
        <v>1</v>
      </c>
      <c r="T17" s="253">
        <f>IFERROR(aurora_data!BS136,0)</f>
        <v>7</v>
      </c>
      <c r="U17" s="254">
        <f>IFERROR(aurora_data!BT136,0)</f>
        <v>0</v>
      </c>
      <c r="V17" s="61" t="s">
        <v>354</v>
      </c>
      <c r="W17" s="113">
        <f>IFERROR(aurora_data!BU136,0)</f>
        <v>8</v>
      </c>
      <c r="X17" s="281">
        <f t="shared" si="0"/>
        <v>0.16</v>
      </c>
    </row>
    <row r="18" spans="2:24" ht="16.5" thickBot="1">
      <c r="B18" s="452"/>
      <c r="C18" s="454"/>
      <c r="D18" s="35" t="s">
        <v>342</v>
      </c>
      <c r="E18" s="113">
        <f>IFERROR(aurora_data!BD137,0)</f>
        <v>0</v>
      </c>
      <c r="F18" s="253">
        <f>IFERROR(aurora_data!BE137,0)</f>
        <v>0</v>
      </c>
      <c r="G18" s="253">
        <f>IFERROR(aurora_data!BF137,0)</f>
        <v>0</v>
      </c>
      <c r="H18" s="253">
        <f>IFERROR(aurora_data!BG137,0)</f>
        <v>0</v>
      </c>
      <c r="I18" s="254">
        <f>IFERROR(aurora_data!BH137,0)</f>
        <v>0</v>
      </c>
      <c r="J18" s="113">
        <f>IFERROR(aurora_data!BI137,0)</f>
        <v>0</v>
      </c>
      <c r="K18" s="253">
        <f>IFERROR(aurora_data!BJ137,0)</f>
        <v>0</v>
      </c>
      <c r="L18" s="253">
        <f>IFERROR(aurora_data!BK137,0)</f>
        <v>0</v>
      </c>
      <c r="M18" s="253">
        <f>IFERROR(aurora_data!BL137,0)</f>
        <v>0</v>
      </c>
      <c r="N18" s="254">
        <f>IFERROR(aurora_data!BM137,0)</f>
        <v>0</v>
      </c>
      <c r="O18" s="113">
        <f>IFERROR(aurora_data!BN137,0)</f>
        <v>0</v>
      </c>
      <c r="P18" s="253">
        <f>IFERROR(aurora_data!BO137,0)</f>
        <v>0</v>
      </c>
      <c r="Q18" s="253">
        <f>IFERROR(aurora_data!BP137,0)</f>
        <v>0</v>
      </c>
      <c r="R18" s="254">
        <f>IFERROR(aurora_data!BQ137,0)</f>
        <v>0</v>
      </c>
      <c r="S18" s="253">
        <f>IFERROR(aurora_data!BR137,0)</f>
        <v>0</v>
      </c>
      <c r="T18" s="253">
        <f>IFERROR(aurora_data!BS137,0)</f>
        <v>0</v>
      </c>
      <c r="U18" s="254">
        <f>IFERROR(aurora_data!BT137,0)</f>
        <v>0</v>
      </c>
      <c r="V18" s="61" t="s">
        <v>354</v>
      </c>
      <c r="W18" s="113">
        <f>IFERROR(aurora_data!BU137,0)</f>
        <v>0</v>
      </c>
      <c r="X18" s="281">
        <f t="shared" si="0"/>
        <v>0</v>
      </c>
    </row>
    <row r="19" spans="2:24" ht="16.5" thickBot="1">
      <c r="B19" s="452"/>
      <c r="C19" s="454"/>
      <c r="D19" s="37" t="s">
        <v>17</v>
      </c>
      <c r="E19" s="59">
        <f>IFERROR(aurora_data!BD138,0)</f>
        <v>0</v>
      </c>
      <c r="F19" s="64">
        <f>IFERROR(aurora_data!BE138,0)</f>
        <v>2</v>
      </c>
      <c r="G19" s="64">
        <f>IFERROR(aurora_data!BF138,0)</f>
        <v>10</v>
      </c>
      <c r="H19" s="64">
        <f>IFERROR(aurora_data!BG138,0)</f>
        <v>17</v>
      </c>
      <c r="I19" s="65">
        <f>IFERROR(aurora_data!BH138,0)</f>
        <v>25</v>
      </c>
      <c r="J19" s="59">
        <f>IFERROR(aurora_data!BI138,0)</f>
        <v>1</v>
      </c>
      <c r="K19" s="64">
        <f>IFERROR(aurora_data!BJ138,0)</f>
        <v>10</v>
      </c>
      <c r="L19" s="64">
        <f>IFERROR(aurora_data!BK138,0)</f>
        <v>11</v>
      </c>
      <c r="M19" s="64">
        <f>IFERROR(aurora_data!BL138,0)</f>
        <v>6</v>
      </c>
      <c r="N19" s="65">
        <f>IFERROR(aurora_data!BM138,0)</f>
        <v>26</v>
      </c>
      <c r="O19" s="59">
        <f>IFERROR(aurora_data!BN138,0)</f>
        <v>13</v>
      </c>
      <c r="P19" s="64">
        <f>IFERROR(aurora_data!BO138,0)</f>
        <v>10</v>
      </c>
      <c r="Q19" s="64">
        <f>IFERROR(aurora_data!BP138,0)</f>
        <v>21</v>
      </c>
      <c r="R19" s="65">
        <f>IFERROR(aurora_data!BQ138,0)</f>
        <v>10</v>
      </c>
      <c r="S19" s="64">
        <f>IFERROR(aurora_data!BR138,0)</f>
        <v>25</v>
      </c>
      <c r="T19" s="64">
        <f>IFERROR(aurora_data!BS138,0)</f>
        <v>29</v>
      </c>
      <c r="U19" s="65">
        <f>IFERROR(aurora_data!BT138,0)</f>
        <v>0</v>
      </c>
      <c r="V19" s="66" t="s">
        <v>354</v>
      </c>
      <c r="W19" s="59">
        <f>IFERROR(aurora_data!BU138,0)</f>
        <v>54</v>
      </c>
      <c r="X19" s="70">
        <f t="shared" si="0"/>
        <v>1.08</v>
      </c>
    </row>
    <row r="20" spans="2:24" ht="16.5" thickBot="1">
      <c r="B20" s="452"/>
      <c r="C20" s="454"/>
      <c r="D20" s="38" t="s">
        <v>343</v>
      </c>
      <c r="E20" s="256">
        <f>IFERROR(aurora_data!BD139,0)</f>
        <v>0</v>
      </c>
      <c r="F20" s="257">
        <f>IFERROR(aurora_data!BE139,0)</f>
        <v>0</v>
      </c>
      <c r="G20" s="257">
        <f>IFERROR(aurora_data!BF139,0)</f>
        <v>0</v>
      </c>
      <c r="H20" s="257">
        <f>IFERROR(aurora_data!BG139,0)</f>
        <v>0</v>
      </c>
      <c r="I20" s="258">
        <f>IFERROR(aurora_data!BH139,0)</f>
        <v>0</v>
      </c>
      <c r="J20" s="256">
        <f>IFERROR(aurora_data!BI139,0)</f>
        <v>0</v>
      </c>
      <c r="K20" s="257">
        <f>IFERROR(aurora_data!BJ139,0)</f>
        <v>0</v>
      </c>
      <c r="L20" s="257">
        <f>IFERROR(aurora_data!BK139,0)</f>
        <v>0</v>
      </c>
      <c r="M20" s="257">
        <f>IFERROR(aurora_data!BL139,0)</f>
        <v>0</v>
      </c>
      <c r="N20" s="258">
        <f>IFERROR(aurora_data!BM139,0)</f>
        <v>0</v>
      </c>
      <c r="O20" s="256">
        <f>IFERROR(aurora_data!BN139,0)</f>
        <v>0</v>
      </c>
      <c r="P20" s="257">
        <f>IFERROR(aurora_data!BO139,0)</f>
        <v>0</v>
      </c>
      <c r="Q20" s="257">
        <f>IFERROR(aurora_data!BP139,0)</f>
        <v>0</v>
      </c>
      <c r="R20" s="258">
        <f>IFERROR(aurora_data!BQ139,0)</f>
        <v>0</v>
      </c>
      <c r="S20" s="257">
        <f>IFERROR(aurora_data!BR139,0)</f>
        <v>0</v>
      </c>
      <c r="T20" s="257">
        <f>IFERROR(aurora_data!BS139,0)</f>
        <v>0</v>
      </c>
      <c r="U20" s="259">
        <f>IFERROR(aurora_data!BT139,0)</f>
        <v>0</v>
      </c>
      <c r="V20" s="61" t="s">
        <v>354</v>
      </c>
      <c r="W20" s="256">
        <f>IFERROR(aurora_data!BU139,0)</f>
        <v>0</v>
      </c>
      <c r="X20" s="261">
        <f t="shared" si="0"/>
        <v>0</v>
      </c>
    </row>
    <row r="21" spans="2:24" hidden="1" outlineLevel="1">
      <c r="B21" s="452"/>
      <c r="C21" s="454"/>
      <c r="D21" s="199" t="s">
        <v>344</v>
      </c>
      <c r="E21" s="271">
        <f>ROUNDDOWN((E23+$E$10)*($W13),0)</f>
        <v>2</v>
      </c>
      <c r="F21" s="272">
        <f>ROUNDDOWN((F23+$E$10)*($W13),0)</f>
        <v>3</v>
      </c>
      <c r="G21" s="272">
        <f>ROUNDDOWN((G23+$E$10)*($W13),0)</f>
        <v>10</v>
      </c>
      <c r="H21" s="272">
        <f>ROUNDDOWN((H23+$E$10)*($W13),0)</f>
        <v>17</v>
      </c>
      <c r="I21" s="272">
        <f>ROUNDDOWN((I23+$E$10)*($W13),0)</f>
        <v>21</v>
      </c>
      <c r="J21" s="271">
        <f>ROUNDDOWN((J23+$J$10)*($W13),0)</f>
        <v>4</v>
      </c>
      <c r="K21" s="272">
        <f>ROUNDDOWN((K23+$J$10)*($W13),0)</f>
        <v>8</v>
      </c>
      <c r="L21" s="272">
        <f>ROUNDDOWN((L23+$J$10)*($W13),0)</f>
        <v>14</v>
      </c>
      <c r="M21" s="272">
        <f>ROUNDDOWN((M23+$J$10)*($W13),0)</f>
        <v>7</v>
      </c>
      <c r="N21" s="282">
        <f>ROUNDDOWN((N23+$J$10)*($W13),0)</f>
        <v>26</v>
      </c>
      <c r="O21" s="283"/>
      <c r="P21" s="283"/>
      <c r="Q21" s="283"/>
      <c r="R21" s="283"/>
      <c r="S21" s="284"/>
      <c r="T21" s="283"/>
      <c r="U21" s="283"/>
      <c r="V21" s="61"/>
      <c r="W21" s="285"/>
      <c r="X21" s="286"/>
    </row>
    <row r="22" spans="2:24" hidden="1" outlineLevel="1">
      <c r="B22" s="452"/>
      <c r="C22" s="454"/>
      <c r="D22" s="199" t="s">
        <v>345</v>
      </c>
      <c r="E22" s="276">
        <f>IF(ROUND(((E23-$E$10)*($W13))+0.25,0) &lt;=0,1,((E23-$E$10)*($W13))+0.25)</f>
        <v>0.56000000000000005</v>
      </c>
      <c r="F22" s="277">
        <f>IF(ROUND(((F23-$E$10)*($W13))+0.25,0) &lt;=0,1,((F23-$E$10)*($W13))+0.25)</f>
        <v>1.73</v>
      </c>
      <c r="G22" s="277">
        <f>IF(ROUND(((G23-$E$10)*($W13))+0.25,0) &lt;=0,1,((G23-$E$10)*($W13))+0.25)</f>
        <v>9.1600000000000019</v>
      </c>
      <c r="H22" s="277">
        <f>IF(ROUND(((H23-$E$10)*($W13))+0.25,0) &lt;=0,1,((H23-$E$10)*($W13))+0.25)</f>
        <v>15.329999999999997</v>
      </c>
      <c r="I22" s="277">
        <f>IF(ROUND(((I23-$E$10)*($W13))+0.25,0) &lt;=0,1,((I23-$E$10)*($W13))+0.25)</f>
        <v>19.47</v>
      </c>
      <c r="J22" s="276">
        <f>IF(ROUND(((J23-$J$10)*($W13))+0.25,0) &lt;=0,1,((J23-$J$10)*($W13))+0.25)</f>
        <v>0.83</v>
      </c>
      <c r="K22" s="277">
        <f>IF(ROUND(((K23-$J$10)*($W13))+0.25,0) &lt;=0,1,((K23-$J$10)*($W13))+0.25)</f>
        <v>4.3800000000000008</v>
      </c>
      <c r="L22" s="277">
        <f>IF(ROUND(((L23-$J$10)*($W13))+0.25,0) &lt;=0,1,((L23-$J$10)*($W13))+0.25)</f>
        <v>10.34</v>
      </c>
      <c r="M22" s="277">
        <f>IF(ROUND(((M23-$J$10)*($W13))+0.25,0) &lt;=0,1,((M23-$J$10)*($W13))+0.25)</f>
        <v>3.29</v>
      </c>
      <c r="N22" s="287">
        <f>IF(ROUND(((N23-$J$10)*($W13))+0.25,0) &lt;=0,1,((N23-$J$10)*($W13))+0.25)</f>
        <v>22.410000000000004</v>
      </c>
      <c r="O22" s="288"/>
      <c r="P22" s="288"/>
      <c r="Q22" s="288"/>
      <c r="R22" s="288"/>
      <c r="S22" s="289"/>
      <c r="T22" s="288"/>
      <c r="U22" s="288"/>
      <c r="V22" s="61"/>
      <c r="W22" s="285"/>
      <c r="X22" s="286"/>
    </row>
    <row r="23" spans="2:24" hidden="1" outlineLevel="1">
      <c r="B23" s="110"/>
      <c r="C23" s="454"/>
      <c r="D23" s="95" t="s">
        <v>346</v>
      </c>
      <c r="E23" s="414">
        <f t="shared" ref="E23:N23" si="1">IFERROR(E13/$W13,0)</f>
        <v>2.6200000000000001E-2</v>
      </c>
      <c r="F23" s="415">
        <f t="shared" si="1"/>
        <v>4.9599999999999998E-2</v>
      </c>
      <c r="G23" s="415">
        <f t="shared" si="1"/>
        <v>0.19820000000000002</v>
      </c>
      <c r="H23" s="415">
        <f t="shared" si="1"/>
        <v>0.32159999999999994</v>
      </c>
      <c r="I23" s="415">
        <f t="shared" si="1"/>
        <v>0.40439999999999998</v>
      </c>
      <c r="J23" s="424">
        <f t="shared" si="1"/>
        <v>5.16E-2</v>
      </c>
      <c r="K23" s="425">
        <f t="shared" si="1"/>
        <v>0.1226</v>
      </c>
      <c r="L23" s="425">
        <f t="shared" si="1"/>
        <v>0.24179999999999999</v>
      </c>
      <c r="M23" s="425">
        <f t="shared" si="1"/>
        <v>0.1008</v>
      </c>
      <c r="N23" s="426">
        <f t="shared" si="1"/>
        <v>0.48320000000000002</v>
      </c>
      <c r="O23" s="427"/>
      <c r="P23" s="427"/>
      <c r="Q23" s="427"/>
      <c r="R23" s="427"/>
      <c r="S23" s="428"/>
      <c r="T23" s="427"/>
      <c r="U23" s="427"/>
      <c r="V23" s="61"/>
      <c r="W23" s="429"/>
      <c r="X23" s="426"/>
    </row>
    <row r="24" spans="2:24" hidden="1" outlineLevel="1">
      <c r="B24" s="110"/>
      <c r="C24" s="454"/>
      <c r="D24" s="180" t="s">
        <v>347</v>
      </c>
      <c r="E24" s="414">
        <f t="shared" ref="E24:N24" si="2">IFERROR(E14/$W13,0)</f>
        <v>0</v>
      </c>
      <c r="F24" s="415">
        <f t="shared" si="2"/>
        <v>0.02</v>
      </c>
      <c r="G24" s="415">
        <f t="shared" si="2"/>
        <v>0.18</v>
      </c>
      <c r="H24" s="415">
        <f t="shared" si="2"/>
        <v>0.26</v>
      </c>
      <c r="I24" s="415">
        <f t="shared" si="2"/>
        <v>0.36</v>
      </c>
      <c r="J24" s="424">
        <f t="shared" si="2"/>
        <v>0</v>
      </c>
      <c r="K24" s="425">
        <f t="shared" si="2"/>
        <v>0.08</v>
      </c>
      <c r="L24" s="425">
        <f t="shared" si="2"/>
        <v>0.16</v>
      </c>
      <c r="M24" s="425">
        <f t="shared" si="2"/>
        <v>0.08</v>
      </c>
      <c r="N24" s="426">
        <f t="shared" si="2"/>
        <v>0.5</v>
      </c>
      <c r="O24" s="427"/>
      <c r="P24" s="427"/>
      <c r="Q24" s="427"/>
      <c r="R24" s="427"/>
      <c r="S24" s="428"/>
      <c r="T24" s="427"/>
      <c r="U24" s="427"/>
      <c r="V24" s="61"/>
      <c r="W24" s="429"/>
      <c r="X24" s="426"/>
    </row>
    <row r="25" spans="2:24" ht="16.5" hidden="1" outlineLevel="1" thickBot="1">
      <c r="B25" s="111"/>
      <c r="C25" s="455"/>
      <c r="D25" s="180" t="s">
        <v>348</v>
      </c>
      <c r="E25" s="414">
        <f t="shared" ref="E25:N25" si="3">E24-E23</f>
        <v>-2.6200000000000001E-2</v>
      </c>
      <c r="F25" s="415">
        <f t="shared" si="3"/>
        <v>-2.9599999999999998E-2</v>
      </c>
      <c r="G25" s="415">
        <f t="shared" si="3"/>
        <v>-1.8200000000000022E-2</v>
      </c>
      <c r="H25" s="415">
        <f t="shared" si="3"/>
        <v>-6.1599999999999933E-2</v>
      </c>
      <c r="I25" s="415">
        <f t="shared" si="3"/>
        <v>-4.4399999999999995E-2</v>
      </c>
      <c r="J25" s="424">
        <f t="shared" si="3"/>
        <v>-5.16E-2</v>
      </c>
      <c r="K25" s="425">
        <f t="shared" si="3"/>
        <v>-4.2599999999999999E-2</v>
      </c>
      <c r="L25" s="425">
        <f t="shared" si="3"/>
        <v>-8.1799999999999984E-2</v>
      </c>
      <c r="M25" s="425">
        <f t="shared" si="3"/>
        <v>-2.0799999999999999E-2</v>
      </c>
      <c r="N25" s="430">
        <f t="shared" si="3"/>
        <v>1.6799999999999982E-2</v>
      </c>
      <c r="O25" s="427"/>
      <c r="P25" s="427"/>
      <c r="Q25" s="427"/>
      <c r="R25" s="427"/>
      <c r="S25" s="428"/>
      <c r="T25" s="427"/>
      <c r="U25" s="427"/>
      <c r="V25" s="61"/>
      <c r="W25" s="429"/>
      <c r="X25" s="426"/>
    </row>
    <row r="26" spans="2:24" collapsed="1">
      <c r="B26" s="451" t="s">
        <v>338</v>
      </c>
      <c r="C26" s="453" t="str">
        <f>aurora_data!BA140</f>
        <v>07.00.00-07.11.30</v>
      </c>
      <c r="D26" s="34" t="s">
        <v>306</v>
      </c>
      <c r="E26" s="39">
        <f>IFERROR(aurora_data!BD140,0)</f>
        <v>1.36</v>
      </c>
      <c r="F26" s="40">
        <f>IFERROR(aurora_data!BE140,0)</f>
        <v>2.64</v>
      </c>
      <c r="G26" s="40">
        <f>IFERROR(aurora_data!BF140,0)</f>
        <v>9.8000000000000007</v>
      </c>
      <c r="H26" s="40">
        <f>IFERROR(aurora_data!BG140,0)</f>
        <v>16.27</v>
      </c>
      <c r="I26" s="41">
        <f>IFERROR(aurora_data!BH140,0)</f>
        <v>19.940000000000001</v>
      </c>
      <c r="J26" s="39">
        <f>IFERROR(aurora_data!BI140,0)</f>
        <v>2.39</v>
      </c>
      <c r="K26" s="40">
        <f>IFERROR(aurora_data!BJ140,0)</f>
        <v>6.22</v>
      </c>
      <c r="L26" s="40">
        <f>IFERROR(aurora_data!BK140,0)</f>
        <v>12.28</v>
      </c>
      <c r="M26" s="40">
        <f>IFERROR(aurora_data!BL140,0)</f>
        <v>4.83</v>
      </c>
      <c r="N26" s="41">
        <f>IFERROR(aurora_data!BM140,0)</f>
        <v>24.28</v>
      </c>
      <c r="O26" s="39">
        <f>IFERROR(aurora_data!BN140,0)</f>
        <v>10.42</v>
      </c>
      <c r="P26" s="40">
        <f>IFERROR(aurora_data!BO140,0)</f>
        <v>7.65</v>
      </c>
      <c r="Q26" s="40">
        <f>IFERROR(aurora_data!BP140,0)</f>
        <v>20.25</v>
      </c>
      <c r="R26" s="41">
        <f>IFERROR(aurora_data!BQ140,0)</f>
        <v>11.68</v>
      </c>
      <c r="S26" s="40">
        <f>IFERROR(aurora_data!BR140,0)</f>
        <v>25</v>
      </c>
      <c r="T26" s="40">
        <f>IFERROR(aurora_data!BS140,0)</f>
        <v>25</v>
      </c>
      <c r="U26" s="41">
        <f>IFERROR(aurora_data!BT140,0)</f>
        <v>0</v>
      </c>
      <c r="V26" s="61" t="s">
        <v>354</v>
      </c>
      <c r="W26" s="39">
        <f>IFERROR(aurora_data!BU140,0)</f>
        <v>50</v>
      </c>
      <c r="X26" s="69">
        <f t="shared" ref="X26:X33" si="4">IFERROR(W26/$W$26,0)</f>
        <v>1</v>
      </c>
    </row>
    <row r="27" spans="2:24">
      <c r="B27" s="452"/>
      <c r="C27" s="454"/>
      <c r="D27" s="35" t="s">
        <v>339</v>
      </c>
      <c r="E27" s="113">
        <f>IFERROR(aurora_data!BD141,0)</f>
        <v>1</v>
      </c>
      <c r="F27" s="253">
        <f>IFERROR(aurora_data!BE141,0)</f>
        <v>0</v>
      </c>
      <c r="G27" s="253">
        <f>IFERROR(aurora_data!BF141,0)</f>
        <v>3</v>
      </c>
      <c r="H27" s="253">
        <f>IFERROR(aurora_data!BG141,0)</f>
        <v>12</v>
      </c>
      <c r="I27" s="254">
        <f>IFERROR(aurora_data!BH141,0)</f>
        <v>18</v>
      </c>
      <c r="J27" s="113">
        <f>IFERROR(aurora_data!BI141,0)</f>
        <v>0</v>
      </c>
      <c r="K27" s="253">
        <f>IFERROR(aurora_data!BJ141,0)</f>
        <v>5</v>
      </c>
      <c r="L27" s="253">
        <f>IFERROR(aurora_data!BK141,0)</f>
        <v>7</v>
      </c>
      <c r="M27" s="253">
        <f>IFERROR(aurora_data!BL141,0)</f>
        <v>3</v>
      </c>
      <c r="N27" s="254">
        <f>IFERROR(aurora_data!BM141,0)</f>
        <v>19</v>
      </c>
      <c r="O27" s="113">
        <f>IFERROR(aurora_data!BN141,0)</f>
        <v>11</v>
      </c>
      <c r="P27" s="253">
        <f>IFERROR(aurora_data!BO141,0)</f>
        <v>8</v>
      </c>
      <c r="Q27" s="253">
        <f>IFERROR(aurora_data!BP141,0)</f>
        <v>9</v>
      </c>
      <c r="R27" s="254">
        <f>IFERROR(aurora_data!BQ141,0)</f>
        <v>6</v>
      </c>
      <c r="S27" s="253">
        <f>IFERROR(aurora_data!BR141,0)</f>
        <v>18</v>
      </c>
      <c r="T27" s="253">
        <f>IFERROR(aurora_data!BS141,0)</f>
        <v>16</v>
      </c>
      <c r="U27" s="254">
        <f>IFERROR(aurora_data!BT141,0)</f>
        <v>0</v>
      </c>
      <c r="V27" s="61" t="s">
        <v>354</v>
      </c>
      <c r="W27" s="113">
        <f>IFERROR(aurora_data!BU141,0)</f>
        <v>34</v>
      </c>
      <c r="X27" s="255">
        <f t="shared" si="4"/>
        <v>0.68</v>
      </c>
    </row>
    <row r="28" spans="2:24">
      <c r="B28" s="452"/>
      <c r="C28" s="454"/>
      <c r="D28" s="35" t="s">
        <v>291</v>
      </c>
      <c r="E28" s="113">
        <f>IFERROR(aurora_data!BD142,0)</f>
        <v>0</v>
      </c>
      <c r="F28" s="253">
        <f>IFERROR(aurora_data!BE142,0)</f>
        <v>0</v>
      </c>
      <c r="G28" s="253">
        <f>IFERROR(aurora_data!BF142,0)</f>
        <v>0</v>
      </c>
      <c r="H28" s="253">
        <f>IFERROR(aurora_data!BG142,0)</f>
        <v>0</v>
      </c>
      <c r="I28" s="254">
        <f>IFERROR(aurora_data!BH142,0)</f>
        <v>3</v>
      </c>
      <c r="J28" s="113">
        <f>IFERROR(aurora_data!BI142,0)</f>
        <v>0</v>
      </c>
      <c r="K28" s="253">
        <f>IFERROR(aurora_data!BJ142,0)</f>
        <v>1</v>
      </c>
      <c r="L28" s="253">
        <f>IFERROR(aurora_data!BK142,0)</f>
        <v>0</v>
      </c>
      <c r="M28" s="253">
        <f>IFERROR(aurora_data!BL142,0)</f>
        <v>0</v>
      </c>
      <c r="N28" s="254">
        <f>IFERROR(aurora_data!BM142,0)</f>
        <v>2</v>
      </c>
      <c r="O28" s="113">
        <f>IFERROR(aurora_data!BN142,0)</f>
        <v>3</v>
      </c>
      <c r="P28" s="253">
        <f>IFERROR(aurora_data!BO142,0)</f>
        <v>0</v>
      </c>
      <c r="Q28" s="253">
        <f>IFERROR(aurora_data!BP142,0)</f>
        <v>0</v>
      </c>
      <c r="R28" s="254">
        <f>IFERROR(aurora_data!BQ142,0)</f>
        <v>0</v>
      </c>
      <c r="S28" s="253">
        <f>IFERROR(aurora_data!BR142,0)</f>
        <v>3</v>
      </c>
      <c r="T28" s="253">
        <f>IFERROR(aurora_data!BS142,0)</f>
        <v>0</v>
      </c>
      <c r="U28" s="254">
        <f>IFERROR(aurora_data!BT142,0)</f>
        <v>0</v>
      </c>
      <c r="V28" s="61" t="s">
        <v>354</v>
      </c>
      <c r="W28" s="113">
        <f>IFERROR(aurora_data!BU142,0)</f>
        <v>3</v>
      </c>
      <c r="X28" s="255">
        <f t="shared" si="4"/>
        <v>0.06</v>
      </c>
    </row>
    <row r="29" spans="2:24">
      <c r="B29" s="452"/>
      <c r="C29" s="454"/>
      <c r="D29" s="35" t="s">
        <v>340</v>
      </c>
      <c r="E29" s="113">
        <f>IFERROR(aurora_data!BD143,0)</f>
        <v>0</v>
      </c>
      <c r="F29" s="253">
        <f>IFERROR(aurora_data!BE143,0)</f>
        <v>0</v>
      </c>
      <c r="G29" s="253">
        <f>IFERROR(aurora_data!BF143,0)</f>
        <v>0</v>
      </c>
      <c r="H29" s="253">
        <f>IFERROR(aurora_data!BG143,0)</f>
        <v>0</v>
      </c>
      <c r="I29" s="254">
        <f>IFERROR(aurora_data!BH143,0)</f>
        <v>0</v>
      </c>
      <c r="J29" s="113">
        <f>IFERROR(aurora_data!BI143,0)</f>
        <v>0</v>
      </c>
      <c r="K29" s="253">
        <f>IFERROR(aurora_data!BJ143,0)</f>
        <v>0</v>
      </c>
      <c r="L29" s="253">
        <f>IFERROR(aurora_data!BK143,0)</f>
        <v>0</v>
      </c>
      <c r="M29" s="253">
        <f>IFERROR(aurora_data!BL143,0)</f>
        <v>0</v>
      </c>
      <c r="N29" s="254">
        <f>IFERROR(aurora_data!BM143,0)</f>
        <v>0</v>
      </c>
      <c r="O29" s="113">
        <f>IFERROR(aurora_data!BN143,0)</f>
        <v>0</v>
      </c>
      <c r="P29" s="253">
        <f>IFERROR(aurora_data!BO143,0)</f>
        <v>0</v>
      </c>
      <c r="Q29" s="253">
        <f>IFERROR(aurora_data!BP143,0)</f>
        <v>0</v>
      </c>
      <c r="R29" s="254">
        <f>IFERROR(aurora_data!BQ143,0)</f>
        <v>0</v>
      </c>
      <c r="S29" s="253">
        <f>IFERROR(aurora_data!BR143,0)</f>
        <v>0</v>
      </c>
      <c r="T29" s="253">
        <f>IFERROR(aurora_data!BS143,0)</f>
        <v>0</v>
      </c>
      <c r="U29" s="254">
        <f>IFERROR(aurora_data!BT143,0)</f>
        <v>0</v>
      </c>
      <c r="V29" s="61" t="s">
        <v>354</v>
      </c>
      <c r="W29" s="113">
        <f>IFERROR(aurora_data!BU143,0)</f>
        <v>0</v>
      </c>
      <c r="X29" s="255">
        <f t="shared" si="4"/>
        <v>0</v>
      </c>
    </row>
    <row r="30" spans="2:24">
      <c r="B30" s="452"/>
      <c r="C30" s="454"/>
      <c r="D30" s="35" t="s">
        <v>341</v>
      </c>
      <c r="E30" s="113">
        <f>IFERROR(aurora_data!BD144,0)</f>
        <v>0</v>
      </c>
      <c r="F30" s="253">
        <f>IFERROR(aurora_data!BE144,0)</f>
        <v>1</v>
      </c>
      <c r="G30" s="253">
        <f>IFERROR(aurora_data!BF144,0)</f>
        <v>0</v>
      </c>
      <c r="H30" s="253">
        <f>IFERROR(aurora_data!BG144,0)</f>
        <v>3</v>
      </c>
      <c r="I30" s="254">
        <f>IFERROR(aurora_data!BH144,0)</f>
        <v>0</v>
      </c>
      <c r="J30" s="113">
        <f>IFERROR(aurora_data!BI144,0)</f>
        <v>1</v>
      </c>
      <c r="K30" s="253">
        <f>IFERROR(aurora_data!BJ144,0)</f>
        <v>0</v>
      </c>
      <c r="L30" s="253">
        <f>IFERROR(aurora_data!BK144,0)</f>
        <v>0</v>
      </c>
      <c r="M30" s="253">
        <f>IFERROR(aurora_data!BL144,0)</f>
        <v>1</v>
      </c>
      <c r="N30" s="254">
        <f>IFERROR(aurora_data!BM144,0)</f>
        <v>2</v>
      </c>
      <c r="O30" s="113">
        <f>IFERROR(aurora_data!BN144,0)</f>
        <v>1</v>
      </c>
      <c r="P30" s="253">
        <f>IFERROR(aurora_data!BO144,0)</f>
        <v>0</v>
      </c>
      <c r="Q30" s="253">
        <f>IFERROR(aurora_data!BP144,0)</f>
        <v>2</v>
      </c>
      <c r="R30" s="254">
        <f>IFERROR(aurora_data!BQ144,0)</f>
        <v>1</v>
      </c>
      <c r="S30" s="253">
        <f>IFERROR(aurora_data!BR144,0)</f>
        <v>2</v>
      </c>
      <c r="T30" s="253">
        <f>IFERROR(aurora_data!BS144,0)</f>
        <v>2</v>
      </c>
      <c r="U30" s="254">
        <f>IFERROR(aurora_data!BT144,0)</f>
        <v>0</v>
      </c>
      <c r="V30" s="61" t="s">
        <v>354</v>
      </c>
      <c r="W30" s="113">
        <f>IFERROR(aurora_data!BU144,0)</f>
        <v>4</v>
      </c>
      <c r="X30" s="255">
        <f t="shared" si="4"/>
        <v>0.08</v>
      </c>
    </row>
    <row r="31" spans="2:24" ht="16.5" thickBot="1">
      <c r="B31" s="452"/>
      <c r="C31" s="454"/>
      <c r="D31" s="35" t="s">
        <v>342</v>
      </c>
      <c r="E31" s="113">
        <f>IFERROR(aurora_data!BD145,0)</f>
        <v>0</v>
      </c>
      <c r="F31" s="253">
        <f>IFERROR(aurora_data!BE145,0)</f>
        <v>0</v>
      </c>
      <c r="G31" s="253">
        <f>IFERROR(aurora_data!BF145,0)</f>
        <v>0</v>
      </c>
      <c r="H31" s="253">
        <f>IFERROR(aurora_data!BG145,0)</f>
        <v>0</v>
      </c>
      <c r="I31" s="254">
        <f>IFERROR(aurora_data!BH145,0)</f>
        <v>0</v>
      </c>
      <c r="J31" s="113">
        <f>IFERROR(aurora_data!BI145,0)</f>
        <v>0</v>
      </c>
      <c r="K31" s="253">
        <f>IFERROR(aurora_data!BJ145,0)</f>
        <v>0</v>
      </c>
      <c r="L31" s="253">
        <f>IFERROR(aurora_data!BK145,0)</f>
        <v>0</v>
      </c>
      <c r="M31" s="253">
        <f>IFERROR(aurora_data!BL145,0)</f>
        <v>0</v>
      </c>
      <c r="N31" s="254">
        <f>IFERROR(aurora_data!BM145,0)</f>
        <v>0</v>
      </c>
      <c r="O31" s="113">
        <f>IFERROR(aurora_data!BN145,0)</f>
        <v>0</v>
      </c>
      <c r="P31" s="253">
        <f>IFERROR(aurora_data!BO145,0)</f>
        <v>0</v>
      </c>
      <c r="Q31" s="253">
        <f>IFERROR(aurora_data!BP145,0)</f>
        <v>0</v>
      </c>
      <c r="R31" s="254">
        <f>IFERROR(aurora_data!BQ145,0)</f>
        <v>0</v>
      </c>
      <c r="S31" s="253">
        <f>IFERROR(aurora_data!BR145,0)</f>
        <v>0</v>
      </c>
      <c r="T31" s="253">
        <f>IFERROR(aurora_data!BS145,0)</f>
        <v>0</v>
      </c>
      <c r="U31" s="254">
        <f>IFERROR(aurora_data!BT145,0)</f>
        <v>0</v>
      </c>
      <c r="V31" s="61" t="s">
        <v>354</v>
      </c>
      <c r="W31" s="256">
        <f>IFERROR(aurora_data!BU145,0)</f>
        <v>0</v>
      </c>
      <c r="X31" s="290">
        <f t="shared" si="4"/>
        <v>0</v>
      </c>
    </row>
    <row r="32" spans="2:24" ht="16.5" thickBot="1">
      <c r="B32" s="452"/>
      <c r="C32" s="454"/>
      <c r="D32" s="37" t="s">
        <v>17</v>
      </c>
      <c r="E32" s="59">
        <f>IFERROR(aurora_data!BD146,0)</f>
        <v>1</v>
      </c>
      <c r="F32" s="64">
        <f>IFERROR(aurora_data!BE146,0)</f>
        <v>1</v>
      </c>
      <c r="G32" s="64">
        <f>IFERROR(aurora_data!BF146,0)</f>
        <v>3</v>
      </c>
      <c r="H32" s="64">
        <f>IFERROR(aurora_data!BG146,0)</f>
        <v>15</v>
      </c>
      <c r="I32" s="65">
        <f>IFERROR(aurora_data!BH146,0)</f>
        <v>21</v>
      </c>
      <c r="J32" s="59">
        <f>IFERROR(aurora_data!BI146,0)</f>
        <v>1</v>
      </c>
      <c r="K32" s="64">
        <f>IFERROR(aurora_data!BJ146,0)</f>
        <v>6</v>
      </c>
      <c r="L32" s="64">
        <f>IFERROR(aurora_data!BK146,0)</f>
        <v>7</v>
      </c>
      <c r="M32" s="64">
        <f>IFERROR(aurora_data!BL146,0)</f>
        <v>4</v>
      </c>
      <c r="N32" s="65">
        <f>IFERROR(aurora_data!BM146,0)</f>
        <v>23</v>
      </c>
      <c r="O32" s="59">
        <f>IFERROR(aurora_data!BN146,0)</f>
        <v>15</v>
      </c>
      <c r="P32" s="64">
        <f>IFERROR(aurora_data!BO146,0)</f>
        <v>8</v>
      </c>
      <c r="Q32" s="64">
        <f>IFERROR(aurora_data!BP146,0)</f>
        <v>11</v>
      </c>
      <c r="R32" s="65">
        <f>IFERROR(aurora_data!BQ146,0)</f>
        <v>7</v>
      </c>
      <c r="S32" s="64">
        <f>IFERROR(aurora_data!BR146,0)</f>
        <v>23</v>
      </c>
      <c r="T32" s="64">
        <f>IFERROR(aurora_data!BS146,0)</f>
        <v>18</v>
      </c>
      <c r="U32" s="65">
        <f>IFERROR(aurora_data!BT146,0)</f>
        <v>0</v>
      </c>
      <c r="V32" s="66" t="s">
        <v>354</v>
      </c>
      <c r="W32" s="59">
        <f>IFERROR(aurora_data!BU146,0)</f>
        <v>41</v>
      </c>
      <c r="X32" s="70">
        <f t="shared" si="4"/>
        <v>0.82</v>
      </c>
    </row>
    <row r="33" spans="2:24" ht="16.5" thickBot="1">
      <c r="B33" s="452"/>
      <c r="C33" s="454"/>
      <c r="D33" s="38" t="s">
        <v>343</v>
      </c>
      <c r="E33" s="256">
        <f>IFERROR(aurora_data!BD147,0)</f>
        <v>0</v>
      </c>
      <c r="F33" s="257">
        <f>IFERROR(aurora_data!BE147,0)</f>
        <v>0</v>
      </c>
      <c r="G33" s="257">
        <f>IFERROR(aurora_data!BF147,0)</f>
        <v>0</v>
      </c>
      <c r="H33" s="257">
        <f>IFERROR(aurora_data!BG147,0)</f>
        <v>0</v>
      </c>
      <c r="I33" s="258">
        <f>IFERROR(aurora_data!BH147,0)</f>
        <v>0</v>
      </c>
      <c r="J33" s="256">
        <f>IFERROR(aurora_data!BI147,0)</f>
        <v>0</v>
      </c>
      <c r="K33" s="257">
        <f>IFERROR(aurora_data!BJ147,0)</f>
        <v>0</v>
      </c>
      <c r="L33" s="257">
        <f>IFERROR(aurora_data!BK147,0)</f>
        <v>0</v>
      </c>
      <c r="M33" s="257">
        <f>IFERROR(aurora_data!BL147,0)</f>
        <v>0</v>
      </c>
      <c r="N33" s="258">
        <f>IFERROR(aurora_data!BM147,0)</f>
        <v>0</v>
      </c>
      <c r="O33" s="256">
        <f>IFERROR(aurora_data!BN147,0)</f>
        <v>0</v>
      </c>
      <c r="P33" s="257">
        <f>IFERROR(aurora_data!BO147,0)</f>
        <v>0</v>
      </c>
      <c r="Q33" s="257">
        <f>IFERROR(aurora_data!BP147,0)</f>
        <v>0</v>
      </c>
      <c r="R33" s="258">
        <f>IFERROR(aurora_data!BQ147,0)</f>
        <v>0</v>
      </c>
      <c r="S33" s="257">
        <f>IFERROR(aurora_data!BR147,0)</f>
        <v>0</v>
      </c>
      <c r="T33" s="257">
        <f>IFERROR(aurora_data!BS147,0)</f>
        <v>0</v>
      </c>
      <c r="U33" s="259">
        <f>IFERROR(aurora_data!BT147,0)</f>
        <v>0</v>
      </c>
      <c r="V33" s="260" t="s">
        <v>354</v>
      </c>
      <c r="W33" s="256">
        <f>IFERROR(aurora_data!BU147,0)</f>
        <v>0</v>
      </c>
      <c r="X33" s="261">
        <f t="shared" si="4"/>
        <v>0</v>
      </c>
    </row>
    <row r="34" spans="2:24" hidden="1" outlineLevel="1">
      <c r="B34" s="452"/>
      <c r="C34" s="454"/>
      <c r="D34" s="199" t="s">
        <v>344</v>
      </c>
      <c r="E34" s="271">
        <f>ROUNDDOWN((E36+$E$10)*($W26),0)</f>
        <v>2</v>
      </c>
      <c r="F34" s="272">
        <f>ROUNDDOWN((F36+$E$10)*($W26),0)</f>
        <v>3</v>
      </c>
      <c r="G34" s="272">
        <f>ROUNDDOWN((G36+$E$10)*($W26),0)</f>
        <v>10</v>
      </c>
      <c r="H34" s="272">
        <f>ROUNDDOWN((H36+$E$10)*($W26),0)</f>
        <v>17</v>
      </c>
      <c r="I34" s="272">
        <f>ROUNDDOWN((I36+$E$10)*($W26),0)</f>
        <v>20</v>
      </c>
      <c r="J34" s="271">
        <f>ROUNDDOWN((J36+$J$10)*($W26),0)</f>
        <v>4</v>
      </c>
      <c r="K34" s="272">
        <f>ROUNDDOWN((K36+$J$10)*($W26),0)</f>
        <v>8</v>
      </c>
      <c r="L34" s="272">
        <f>ROUNDDOWN((L36+$J$10)*($W26),0)</f>
        <v>14</v>
      </c>
      <c r="M34" s="272">
        <f>ROUNDDOWN((M36+$J$10)*($W26),0)</f>
        <v>6</v>
      </c>
      <c r="N34" s="268">
        <f>ROUNDDOWN((N36+$J$10)*($W26),0)</f>
        <v>26</v>
      </c>
      <c r="O34" s="271"/>
      <c r="P34" s="272"/>
      <c r="Q34" s="272"/>
      <c r="R34" s="268"/>
      <c r="S34" s="265"/>
      <c r="T34" s="272"/>
      <c r="U34" s="282"/>
      <c r="V34" s="61"/>
      <c r="W34" s="291"/>
      <c r="X34" s="286"/>
    </row>
    <row r="35" spans="2:24" hidden="1" outlineLevel="1">
      <c r="B35" s="452"/>
      <c r="C35" s="454"/>
      <c r="D35" s="199" t="s">
        <v>345</v>
      </c>
      <c r="E35" s="276">
        <f>IF(ROUND(((E36-$E$10)*($W26))+0.25,0) &lt;=0,1,((E36-$E$10)*($W26))+0.25)</f>
        <v>0.6100000000000001</v>
      </c>
      <c r="F35" s="277">
        <f>IF(ROUND(((F36-$E$10)*($W26))+0.25,0) &lt;=0,1,((F36-$E$10)*($W26))+0.25)</f>
        <v>1.8899999999999997</v>
      </c>
      <c r="G35" s="277">
        <f>IF(ROUND(((G36-$E$10)*($W26))+0.25,0) &lt;=0,1,((G36-$E$10)*($W26))+0.25)</f>
        <v>9.0500000000000007</v>
      </c>
      <c r="H35" s="277">
        <f>IF(ROUND(((H36-$E$10)*($W26))+0.25,0) &lt;=0,1,((H36-$E$10)*($W26))+0.25)</f>
        <v>15.519999999999998</v>
      </c>
      <c r="I35" s="277">
        <f>IF(ROUND(((I36-$E$10)*($W26))+0.25,0) &lt;=0,1,((I36-$E$10)*($W26))+0.25)</f>
        <v>19.190000000000001</v>
      </c>
      <c r="J35" s="276">
        <f>IF(ROUND(((J36-$J$10)*($W26))+0.25,0) &lt;=0,1,((J36-$J$10)*($W26))+0.25)</f>
        <v>0.64000000000000012</v>
      </c>
      <c r="K35" s="277">
        <f>IF(ROUND(((K36-$J$10)*($W26))+0.25,0) &lt;=0,1,((K36-$J$10)*($W26))+0.25)</f>
        <v>4.47</v>
      </c>
      <c r="L35" s="277">
        <f>IF(ROUND(((L36-$J$10)*($W26))+0.25,0) &lt;=0,1,((L36-$J$10)*($W26))+0.25)</f>
        <v>10.53</v>
      </c>
      <c r="M35" s="277">
        <f>IF(ROUND(((M36-$J$10)*($W26))+0.25,0) &lt;=0,1,((M36-$J$10)*($W26))+0.25)</f>
        <v>3.08</v>
      </c>
      <c r="N35" s="278">
        <f>IF(ROUND(((N36-$J$10)*($W26))+0.25,0) &lt;=0,1,((N36-$J$10)*($W26))+0.25)</f>
        <v>22.53</v>
      </c>
      <c r="O35" s="276"/>
      <c r="P35" s="277"/>
      <c r="Q35" s="277"/>
      <c r="R35" s="278"/>
      <c r="S35" s="276"/>
      <c r="T35" s="277"/>
      <c r="U35" s="287"/>
      <c r="V35" s="61"/>
      <c r="W35" s="285"/>
      <c r="X35" s="287"/>
    </row>
    <row r="36" spans="2:24" hidden="1" outlineLevel="1">
      <c r="B36" s="452"/>
      <c r="C36" s="454"/>
      <c r="D36" s="95" t="s">
        <v>346</v>
      </c>
      <c r="E36" s="414">
        <f t="shared" ref="E36:N36" si="5">IFERROR(E26/$W26,0)</f>
        <v>2.7200000000000002E-2</v>
      </c>
      <c r="F36" s="415">
        <f t="shared" si="5"/>
        <v>5.28E-2</v>
      </c>
      <c r="G36" s="415">
        <f t="shared" si="5"/>
        <v>0.19600000000000001</v>
      </c>
      <c r="H36" s="415">
        <f t="shared" si="5"/>
        <v>0.32539999999999997</v>
      </c>
      <c r="I36" s="415">
        <f t="shared" si="5"/>
        <v>0.39880000000000004</v>
      </c>
      <c r="J36" s="414">
        <f t="shared" si="5"/>
        <v>4.7800000000000002E-2</v>
      </c>
      <c r="K36" s="415">
        <f t="shared" si="5"/>
        <v>0.1244</v>
      </c>
      <c r="L36" s="415">
        <f t="shared" si="5"/>
        <v>0.24559999999999998</v>
      </c>
      <c r="M36" s="415">
        <f t="shared" si="5"/>
        <v>9.6600000000000005E-2</v>
      </c>
      <c r="N36" s="416">
        <f t="shared" si="5"/>
        <v>0.48560000000000003</v>
      </c>
      <c r="O36" s="414"/>
      <c r="P36" s="415"/>
      <c r="Q36" s="415"/>
      <c r="R36" s="416"/>
      <c r="S36" s="414"/>
      <c r="T36" s="415"/>
      <c r="U36" s="254"/>
      <c r="V36" s="61"/>
      <c r="W36" s="113"/>
      <c r="X36" s="431"/>
    </row>
    <row r="37" spans="2:24" hidden="1" outlineLevel="1">
      <c r="B37" s="452"/>
      <c r="C37" s="454"/>
      <c r="D37" s="180" t="s">
        <v>347</v>
      </c>
      <c r="E37" s="414">
        <f t="shared" ref="E37:N37" si="6">IFERROR(E27/$W26,0)</f>
        <v>0.02</v>
      </c>
      <c r="F37" s="415">
        <f t="shared" si="6"/>
        <v>0</v>
      </c>
      <c r="G37" s="415">
        <f t="shared" si="6"/>
        <v>0.06</v>
      </c>
      <c r="H37" s="415">
        <f t="shared" si="6"/>
        <v>0.24</v>
      </c>
      <c r="I37" s="415">
        <f t="shared" si="6"/>
        <v>0.36</v>
      </c>
      <c r="J37" s="414">
        <f t="shared" si="6"/>
        <v>0</v>
      </c>
      <c r="K37" s="415">
        <f t="shared" si="6"/>
        <v>0.1</v>
      </c>
      <c r="L37" s="415">
        <f t="shared" si="6"/>
        <v>0.14000000000000001</v>
      </c>
      <c r="M37" s="415">
        <f t="shared" si="6"/>
        <v>0.06</v>
      </c>
      <c r="N37" s="416">
        <f t="shared" si="6"/>
        <v>0.38</v>
      </c>
      <c r="O37" s="414"/>
      <c r="P37" s="415"/>
      <c r="Q37" s="415"/>
      <c r="R37" s="416"/>
      <c r="S37" s="414"/>
      <c r="T37" s="415"/>
      <c r="U37" s="254"/>
      <c r="V37" s="61"/>
      <c r="W37" s="113"/>
      <c r="X37" s="431"/>
    </row>
    <row r="38" spans="2:24" ht="16.5" hidden="1" outlineLevel="1" thickBot="1">
      <c r="B38" s="456"/>
      <c r="C38" s="455"/>
      <c r="D38" s="180" t="s">
        <v>348</v>
      </c>
      <c r="E38" s="414">
        <f t="shared" ref="E38:N38" si="7">E37-E36</f>
        <v>-7.2000000000000015E-3</v>
      </c>
      <c r="F38" s="415">
        <f t="shared" si="7"/>
        <v>-5.28E-2</v>
      </c>
      <c r="G38" s="415">
        <f t="shared" si="7"/>
        <v>-0.13600000000000001</v>
      </c>
      <c r="H38" s="415">
        <f t="shared" si="7"/>
        <v>-8.5399999999999976E-2</v>
      </c>
      <c r="I38" s="415">
        <f t="shared" si="7"/>
        <v>-3.8800000000000057E-2</v>
      </c>
      <c r="J38" s="414">
        <f t="shared" si="7"/>
        <v>-4.7800000000000002E-2</v>
      </c>
      <c r="K38" s="415">
        <f t="shared" si="7"/>
        <v>-2.4399999999999991E-2</v>
      </c>
      <c r="L38" s="415">
        <f t="shared" si="7"/>
        <v>-0.10559999999999997</v>
      </c>
      <c r="M38" s="415">
        <f t="shared" si="7"/>
        <v>-3.6600000000000008E-2</v>
      </c>
      <c r="N38" s="416">
        <f t="shared" si="7"/>
        <v>-0.10560000000000003</v>
      </c>
      <c r="O38" s="414"/>
      <c r="P38" s="415"/>
      <c r="Q38" s="415"/>
      <c r="R38" s="416"/>
      <c r="S38" s="432"/>
      <c r="T38" s="415"/>
      <c r="U38" s="254"/>
      <c r="V38" s="61"/>
      <c r="W38" s="113"/>
      <c r="X38" s="431"/>
    </row>
    <row r="39" spans="2:24" collapsed="1">
      <c r="B39" s="451" t="s">
        <v>338</v>
      </c>
      <c r="C39" s="453" t="str">
        <f>aurora_data!BA148</f>
        <v>08.00.00-08.11.30</v>
      </c>
      <c r="D39" s="34" t="s">
        <v>306</v>
      </c>
      <c r="E39" s="39">
        <f>IFERROR(aurora_data!BD148,0)</f>
        <v>1.38</v>
      </c>
      <c r="F39" s="40">
        <f>IFERROR(aurora_data!BE148,0)</f>
        <v>2.71</v>
      </c>
      <c r="G39" s="40">
        <f>IFERROR(aurora_data!BF148,0)</f>
        <v>9.9</v>
      </c>
      <c r="H39" s="40">
        <f>IFERROR(aurora_data!BG148,0)</f>
        <v>16.14</v>
      </c>
      <c r="I39" s="41">
        <f>IFERROR(aurora_data!BH148,0)</f>
        <v>19.87</v>
      </c>
      <c r="J39" s="39">
        <f>IFERROR(aurora_data!BI148,0)</f>
        <v>2.41</v>
      </c>
      <c r="K39" s="40">
        <f>IFERROR(aurora_data!BJ148,0)</f>
        <v>6.36</v>
      </c>
      <c r="L39" s="40">
        <f>IFERROR(aurora_data!BK148,0)</f>
        <v>12.25</v>
      </c>
      <c r="M39" s="40">
        <f>IFERROR(aurora_data!BL148,0)</f>
        <v>5</v>
      </c>
      <c r="N39" s="41">
        <f>IFERROR(aurora_data!BM148,0)</f>
        <v>23.99</v>
      </c>
      <c r="O39" s="39">
        <f>IFERROR(aurora_data!BN148,0)</f>
        <v>10.45</v>
      </c>
      <c r="P39" s="40">
        <f>IFERROR(aurora_data!BO148,0)</f>
        <v>7.66</v>
      </c>
      <c r="Q39" s="40">
        <f>IFERROR(aurora_data!BP148,0)</f>
        <v>20.04</v>
      </c>
      <c r="R39" s="41">
        <f>IFERROR(aurora_data!BQ148,0)</f>
        <v>11.85</v>
      </c>
      <c r="S39" s="40">
        <f>IFERROR(aurora_data!BR148,0)</f>
        <v>25</v>
      </c>
      <c r="T39" s="40">
        <f>IFERROR(aurora_data!BS148,0)</f>
        <v>25</v>
      </c>
      <c r="U39" s="41">
        <f>IFERROR(aurora_data!BT148,0)</f>
        <v>0</v>
      </c>
      <c r="V39" s="61"/>
      <c r="W39" s="39">
        <f>IFERROR(aurora_data!BU148,0)</f>
        <v>50</v>
      </c>
      <c r="X39" s="69">
        <f t="shared" ref="X39:X46" si="8">IFERROR(W39/$W$39,0)</f>
        <v>1</v>
      </c>
    </row>
    <row r="40" spans="2:24">
      <c r="B40" s="452"/>
      <c r="C40" s="454"/>
      <c r="D40" s="35" t="s">
        <v>339</v>
      </c>
      <c r="E40" s="113">
        <f>IFERROR(aurora_data!BD149,0)</f>
        <v>1</v>
      </c>
      <c r="F40" s="253">
        <f>IFERROR(aurora_data!BE149,0)</f>
        <v>1</v>
      </c>
      <c r="G40" s="253">
        <f>IFERROR(aurora_data!BF149,0)</f>
        <v>6</v>
      </c>
      <c r="H40" s="253">
        <f>IFERROR(aurora_data!BG149,0)</f>
        <v>14</v>
      </c>
      <c r="I40" s="254">
        <f>IFERROR(aurora_data!BH149,0)</f>
        <v>20</v>
      </c>
      <c r="J40" s="113">
        <f>IFERROR(aurora_data!BI149,0)</f>
        <v>2</v>
      </c>
      <c r="K40" s="253">
        <f>IFERROR(aurora_data!BJ149,0)</f>
        <v>4</v>
      </c>
      <c r="L40" s="253">
        <f>IFERROR(aurora_data!BK149,0)</f>
        <v>11</v>
      </c>
      <c r="M40" s="253">
        <f>IFERROR(aurora_data!BL149,0)</f>
        <v>5</v>
      </c>
      <c r="N40" s="254">
        <f>IFERROR(aurora_data!BM149,0)</f>
        <v>20</v>
      </c>
      <c r="O40" s="113">
        <f>IFERROR(aurora_data!BN149,0)</f>
        <v>15</v>
      </c>
      <c r="P40" s="253">
        <f>IFERROR(aurora_data!BO149,0)</f>
        <v>7</v>
      </c>
      <c r="Q40" s="253">
        <f>IFERROR(aurora_data!BP149,0)</f>
        <v>11</v>
      </c>
      <c r="R40" s="254">
        <f>IFERROR(aurora_data!BQ149,0)</f>
        <v>9</v>
      </c>
      <c r="S40" s="253">
        <f>IFERROR(aurora_data!BR149,0)</f>
        <v>20</v>
      </c>
      <c r="T40" s="253">
        <f>IFERROR(aurora_data!BS149,0)</f>
        <v>22</v>
      </c>
      <c r="U40" s="254">
        <f>IFERROR(aurora_data!BT149,0)</f>
        <v>0</v>
      </c>
      <c r="V40" s="61"/>
      <c r="W40" s="113">
        <f>IFERROR(aurora_data!BU149,0)</f>
        <v>42</v>
      </c>
      <c r="X40" s="255">
        <f t="shared" si="8"/>
        <v>0.84</v>
      </c>
    </row>
    <row r="41" spans="2:24">
      <c r="B41" s="452"/>
      <c r="C41" s="454"/>
      <c r="D41" s="35" t="s">
        <v>291</v>
      </c>
      <c r="E41" s="113">
        <f>IFERROR(aurora_data!BD150,0)</f>
        <v>0</v>
      </c>
      <c r="F41" s="253">
        <f>IFERROR(aurora_data!BE150,0)</f>
        <v>0</v>
      </c>
      <c r="G41" s="253">
        <f>IFERROR(aurora_data!BF150,0)</f>
        <v>1</v>
      </c>
      <c r="H41" s="253">
        <f>IFERROR(aurora_data!BG150,0)</f>
        <v>0</v>
      </c>
      <c r="I41" s="254">
        <f>IFERROR(aurora_data!BH150,0)</f>
        <v>1</v>
      </c>
      <c r="J41" s="113">
        <f>IFERROR(aurora_data!BI150,0)</f>
        <v>0</v>
      </c>
      <c r="K41" s="253">
        <f>IFERROR(aurora_data!BJ150,0)</f>
        <v>0</v>
      </c>
      <c r="L41" s="253">
        <f>IFERROR(aurora_data!BK150,0)</f>
        <v>1</v>
      </c>
      <c r="M41" s="253">
        <f>IFERROR(aurora_data!BL150,0)</f>
        <v>0</v>
      </c>
      <c r="N41" s="254">
        <f>IFERROR(aurora_data!BM150,0)</f>
        <v>1</v>
      </c>
      <c r="O41" s="113">
        <f>IFERROR(aurora_data!BN150,0)</f>
        <v>2</v>
      </c>
      <c r="P41" s="253">
        <f>IFERROR(aurora_data!BO150,0)</f>
        <v>0</v>
      </c>
      <c r="Q41" s="253">
        <f>IFERROR(aurora_data!BP150,0)</f>
        <v>0</v>
      </c>
      <c r="R41" s="254">
        <f>IFERROR(aurora_data!BQ150,0)</f>
        <v>0</v>
      </c>
      <c r="S41" s="253">
        <f>IFERROR(aurora_data!BR150,0)</f>
        <v>2</v>
      </c>
      <c r="T41" s="253">
        <f>IFERROR(aurora_data!BS150,0)</f>
        <v>0</v>
      </c>
      <c r="U41" s="254">
        <f>IFERROR(aurora_data!BT150,0)</f>
        <v>0</v>
      </c>
      <c r="V41" s="61"/>
      <c r="W41" s="113">
        <f>IFERROR(aurora_data!BU150,0)</f>
        <v>2</v>
      </c>
      <c r="X41" s="255">
        <f t="shared" si="8"/>
        <v>0.04</v>
      </c>
    </row>
    <row r="42" spans="2:24">
      <c r="B42" s="452"/>
      <c r="C42" s="454"/>
      <c r="D42" s="35" t="s">
        <v>340</v>
      </c>
      <c r="E42" s="113">
        <f>IFERROR(aurora_data!BD151,0)</f>
        <v>0</v>
      </c>
      <c r="F42" s="253">
        <f>IFERROR(aurora_data!BE151,0)</f>
        <v>0</v>
      </c>
      <c r="G42" s="253">
        <f>IFERROR(aurora_data!BF151,0)</f>
        <v>0</v>
      </c>
      <c r="H42" s="253">
        <f>IFERROR(aurora_data!BG151,0)</f>
        <v>0</v>
      </c>
      <c r="I42" s="254">
        <f>IFERROR(aurora_data!BH151,0)</f>
        <v>0</v>
      </c>
      <c r="J42" s="113">
        <f>IFERROR(aurora_data!BI151,0)</f>
        <v>0</v>
      </c>
      <c r="K42" s="253">
        <f>IFERROR(aurora_data!BJ151,0)</f>
        <v>0</v>
      </c>
      <c r="L42" s="253">
        <f>IFERROR(aurora_data!BK151,0)</f>
        <v>0</v>
      </c>
      <c r="M42" s="253">
        <f>IFERROR(aurora_data!BL151,0)</f>
        <v>0</v>
      </c>
      <c r="N42" s="254">
        <f>IFERROR(aurora_data!BM151,0)</f>
        <v>0</v>
      </c>
      <c r="O42" s="113">
        <f>IFERROR(aurora_data!BN151,0)</f>
        <v>0</v>
      </c>
      <c r="P42" s="253">
        <f>IFERROR(aurora_data!BO151,0)</f>
        <v>0</v>
      </c>
      <c r="Q42" s="253">
        <f>IFERROR(aurora_data!BP151,0)</f>
        <v>0</v>
      </c>
      <c r="R42" s="254">
        <f>IFERROR(aurora_data!BQ151,0)</f>
        <v>0</v>
      </c>
      <c r="S42" s="253">
        <f>IFERROR(aurora_data!BR151,0)</f>
        <v>0</v>
      </c>
      <c r="T42" s="253">
        <f>IFERROR(aurora_data!BS151,0)</f>
        <v>0</v>
      </c>
      <c r="U42" s="254">
        <f>IFERROR(aurora_data!BT151,0)</f>
        <v>0</v>
      </c>
      <c r="V42" s="61"/>
      <c r="W42" s="113">
        <f>IFERROR(aurora_data!BU151,0)</f>
        <v>0</v>
      </c>
      <c r="X42" s="255">
        <f t="shared" si="8"/>
        <v>0</v>
      </c>
    </row>
    <row r="43" spans="2:24">
      <c r="B43" s="452"/>
      <c r="C43" s="454"/>
      <c r="D43" s="35" t="s">
        <v>341</v>
      </c>
      <c r="E43" s="113">
        <f>IFERROR(aurora_data!BD152,0)</f>
        <v>0</v>
      </c>
      <c r="F43" s="253">
        <f>IFERROR(aurora_data!BE152,0)</f>
        <v>0</v>
      </c>
      <c r="G43" s="253">
        <f>IFERROR(aurora_data!BF152,0)</f>
        <v>2</v>
      </c>
      <c r="H43" s="253">
        <f>IFERROR(aurora_data!BG152,0)</f>
        <v>3</v>
      </c>
      <c r="I43" s="254">
        <f>IFERROR(aurora_data!BH152,0)</f>
        <v>0</v>
      </c>
      <c r="J43" s="113">
        <f>IFERROR(aurora_data!BI152,0)</f>
        <v>0</v>
      </c>
      <c r="K43" s="253">
        <f>IFERROR(aurora_data!BJ152,0)</f>
        <v>0</v>
      </c>
      <c r="L43" s="253">
        <f>IFERROR(aurora_data!BK152,0)</f>
        <v>1</v>
      </c>
      <c r="M43" s="253">
        <f>IFERROR(aurora_data!BL152,0)</f>
        <v>1</v>
      </c>
      <c r="N43" s="254">
        <f>IFERROR(aurora_data!BM152,0)</f>
        <v>3</v>
      </c>
      <c r="O43" s="113">
        <f>IFERROR(aurora_data!BN152,0)</f>
        <v>1</v>
      </c>
      <c r="P43" s="253">
        <f>IFERROR(aurora_data!BO152,0)</f>
        <v>2</v>
      </c>
      <c r="Q43" s="253">
        <f>IFERROR(aurora_data!BP152,0)</f>
        <v>1</v>
      </c>
      <c r="R43" s="254">
        <f>IFERROR(aurora_data!BQ152,0)</f>
        <v>1</v>
      </c>
      <c r="S43" s="253">
        <f>IFERROR(aurora_data!BR152,0)</f>
        <v>3</v>
      </c>
      <c r="T43" s="253">
        <f>IFERROR(aurora_data!BS152,0)</f>
        <v>2</v>
      </c>
      <c r="U43" s="254">
        <f>IFERROR(aurora_data!BT152,0)</f>
        <v>0</v>
      </c>
      <c r="V43" s="61"/>
      <c r="W43" s="113">
        <f>IFERROR(aurora_data!BU152,0)</f>
        <v>5</v>
      </c>
      <c r="X43" s="255">
        <f t="shared" si="8"/>
        <v>0.1</v>
      </c>
    </row>
    <row r="44" spans="2:24" ht="16.5" thickBot="1">
      <c r="B44" s="452"/>
      <c r="C44" s="454"/>
      <c r="D44" s="35" t="s">
        <v>342</v>
      </c>
      <c r="E44" s="113">
        <f>IFERROR(aurora_data!BD153,0)</f>
        <v>0</v>
      </c>
      <c r="F44" s="253">
        <f>IFERROR(aurora_data!BE153,0)</f>
        <v>0</v>
      </c>
      <c r="G44" s="253">
        <f>IFERROR(aurora_data!BF153,0)</f>
        <v>0</v>
      </c>
      <c r="H44" s="253">
        <f>IFERROR(aurora_data!BG153,0)</f>
        <v>0</v>
      </c>
      <c r="I44" s="254">
        <f>IFERROR(aurora_data!BH153,0)</f>
        <v>0</v>
      </c>
      <c r="J44" s="113">
        <f>IFERROR(aurora_data!BI153,0)</f>
        <v>0</v>
      </c>
      <c r="K44" s="253">
        <f>IFERROR(aurora_data!BJ153,0)</f>
        <v>0</v>
      </c>
      <c r="L44" s="253">
        <f>IFERROR(aurora_data!BK153,0)</f>
        <v>0</v>
      </c>
      <c r="M44" s="253">
        <f>IFERROR(aurora_data!BL153,0)</f>
        <v>0</v>
      </c>
      <c r="N44" s="254">
        <f>IFERROR(aurora_data!BM153,0)</f>
        <v>0</v>
      </c>
      <c r="O44" s="113">
        <f>IFERROR(aurora_data!BN153,0)</f>
        <v>0</v>
      </c>
      <c r="P44" s="253">
        <f>IFERROR(aurora_data!BO153,0)</f>
        <v>0</v>
      </c>
      <c r="Q44" s="253">
        <f>IFERROR(aurora_data!BP153,0)</f>
        <v>0</v>
      </c>
      <c r="R44" s="254">
        <f>IFERROR(aurora_data!BQ153,0)</f>
        <v>0</v>
      </c>
      <c r="S44" s="253">
        <f>IFERROR(aurora_data!BR153,0)</f>
        <v>0</v>
      </c>
      <c r="T44" s="253">
        <f>IFERROR(aurora_data!BS153,0)</f>
        <v>0</v>
      </c>
      <c r="U44" s="254">
        <f>IFERROR(aurora_data!BT153,0)</f>
        <v>0</v>
      </c>
      <c r="V44" s="61"/>
      <c r="W44" s="113">
        <f>IFERROR(aurora_data!BU153,0)</f>
        <v>0</v>
      </c>
      <c r="X44" s="255">
        <f t="shared" si="8"/>
        <v>0</v>
      </c>
    </row>
    <row r="45" spans="2:24" ht="16.5" thickBot="1">
      <c r="B45" s="452"/>
      <c r="C45" s="454"/>
      <c r="D45" s="37" t="s">
        <v>17</v>
      </c>
      <c r="E45" s="59">
        <f>IFERROR(aurora_data!BD154,0)</f>
        <v>1</v>
      </c>
      <c r="F45" s="64">
        <f>IFERROR(aurora_data!BE154,0)</f>
        <v>1</v>
      </c>
      <c r="G45" s="64">
        <f>IFERROR(aurora_data!BF154,0)</f>
        <v>9</v>
      </c>
      <c r="H45" s="64">
        <f>IFERROR(aurora_data!BG154,0)</f>
        <v>17</v>
      </c>
      <c r="I45" s="65">
        <f>IFERROR(aurora_data!BH154,0)</f>
        <v>21</v>
      </c>
      <c r="J45" s="59">
        <f>IFERROR(aurora_data!BI154,0)</f>
        <v>2</v>
      </c>
      <c r="K45" s="64">
        <f>IFERROR(aurora_data!BJ154,0)</f>
        <v>4</v>
      </c>
      <c r="L45" s="64">
        <f>IFERROR(aurora_data!BK154,0)</f>
        <v>13</v>
      </c>
      <c r="M45" s="64">
        <f>IFERROR(aurora_data!BL154,0)</f>
        <v>6</v>
      </c>
      <c r="N45" s="65">
        <f>IFERROR(aurora_data!BM154,0)</f>
        <v>24</v>
      </c>
      <c r="O45" s="59">
        <f>IFERROR(aurora_data!BN154,0)</f>
        <v>18</v>
      </c>
      <c r="P45" s="64">
        <f>IFERROR(aurora_data!BO154,0)</f>
        <v>9</v>
      </c>
      <c r="Q45" s="64">
        <f>IFERROR(aurora_data!BP154,0)</f>
        <v>12</v>
      </c>
      <c r="R45" s="65">
        <f>IFERROR(aurora_data!BQ154,0)</f>
        <v>10</v>
      </c>
      <c r="S45" s="64">
        <f>IFERROR(aurora_data!BR154,0)</f>
        <v>25</v>
      </c>
      <c r="T45" s="64">
        <f>IFERROR(aurora_data!BS154,0)</f>
        <v>24</v>
      </c>
      <c r="U45" s="65">
        <f>IFERROR(aurora_data!BT154,0)</f>
        <v>0</v>
      </c>
      <c r="V45" s="66"/>
      <c r="W45" s="59">
        <f>IFERROR(aurora_data!BU154,0)</f>
        <v>49</v>
      </c>
      <c r="X45" s="70">
        <f t="shared" si="8"/>
        <v>0.98</v>
      </c>
    </row>
    <row r="46" spans="2:24" ht="16.5" thickBot="1">
      <c r="B46" s="452"/>
      <c r="C46" s="454"/>
      <c r="D46" s="38" t="s">
        <v>343</v>
      </c>
      <c r="E46" s="256">
        <f>IFERROR(aurora_data!BD155,0)</f>
        <v>0</v>
      </c>
      <c r="F46" s="257">
        <f>IFERROR(aurora_data!BE155,0)</f>
        <v>0</v>
      </c>
      <c r="G46" s="257">
        <f>IFERROR(aurora_data!BF155,0)</f>
        <v>0</v>
      </c>
      <c r="H46" s="257">
        <f>IFERROR(aurora_data!BG155,0)</f>
        <v>0</v>
      </c>
      <c r="I46" s="258">
        <f>IFERROR(aurora_data!BH155,0)</f>
        <v>0</v>
      </c>
      <c r="J46" s="256">
        <f>IFERROR(aurora_data!BI155,0)</f>
        <v>0</v>
      </c>
      <c r="K46" s="257">
        <f>IFERROR(aurora_data!BJ155,0)</f>
        <v>0</v>
      </c>
      <c r="L46" s="257">
        <f>IFERROR(aurora_data!BK155,0)</f>
        <v>0</v>
      </c>
      <c r="M46" s="257">
        <f>IFERROR(aurora_data!BL155,0)</f>
        <v>0</v>
      </c>
      <c r="N46" s="258">
        <f>IFERROR(aurora_data!BM155,0)</f>
        <v>0</v>
      </c>
      <c r="O46" s="256">
        <f>IFERROR(aurora_data!BN155,0)</f>
        <v>0</v>
      </c>
      <c r="P46" s="257">
        <f>IFERROR(aurora_data!BO155,0)</f>
        <v>0</v>
      </c>
      <c r="Q46" s="257">
        <f>IFERROR(aurora_data!BP155,0)</f>
        <v>0</v>
      </c>
      <c r="R46" s="258">
        <f>IFERROR(aurora_data!BQ155,0)</f>
        <v>0</v>
      </c>
      <c r="S46" s="257">
        <f>IFERROR(aurora_data!BR155,0)</f>
        <v>0</v>
      </c>
      <c r="T46" s="257">
        <f>IFERROR(aurora_data!BS155,0)</f>
        <v>0</v>
      </c>
      <c r="U46" s="259">
        <f>IFERROR(aurora_data!BT155,0)</f>
        <v>0</v>
      </c>
      <c r="V46" s="260"/>
      <c r="W46" s="256">
        <f>IFERROR(aurora_data!BU155,0)</f>
        <v>0</v>
      </c>
      <c r="X46" s="261">
        <f t="shared" si="8"/>
        <v>0</v>
      </c>
    </row>
    <row r="47" spans="2:24" hidden="1" outlineLevel="1">
      <c r="B47" s="452"/>
      <c r="C47" s="454"/>
      <c r="D47" s="199" t="s">
        <v>344</v>
      </c>
      <c r="E47" s="271">
        <f>ROUNDDOWN((E49+$E$10)*($W39),0)</f>
        <v>2</v>
      </c>
      <c r="F47" s="272">
        <f>ROUNDDOWN((F49+$E$10)*($W39),0)</f>
        <v>3</v>
      </c>
      <c r="G47" s="272">
        <f>ROUNDDOWN((G49+$E$10)*($W39),0)</f>
        <v>10</v>
      </c>
      <c r="H47" s="272">
        <f>ROUNDDOWN((H49+$E$10)*($W39),0)</f>
        <v>17</v>
      </c>
      <c r="I47" s="272">
        <f>ROUNDDOWN((I49+$E$10)*($W39),0)</f>
        <v>20</v>
      </c>
      <c r="J47" s="271">
        <f>ROUNDDOWN((J49+$J$10)*($W39),0)</f>
        <v>4</v>
      </c>
      <c r="K47" s="272">
        <f>ROUNDDOWN((K49+$J$10)*($W39),0)</f>
        <v>8</v>
      </c>
      <c r="L47" s="272">
        <f>ROUNDDOWN((L49+$J$10)*($W39),0)</f>
        <v>14</v>
      </c>
      <c r="M47" s="272">
        <f>ROUNDDOWN((M49+$J$10)*($W39),0)</f>
        <v>7</v>
      </c>
      <c r="N47" s="268">
        <f>ROUNDDOWN((N49+$J$10)*($W39),0)</f>
        <v>25</v>
      </c>
      <c r="O47" s="271"/>
      <c r="P47" s="272"/>
      <c r="Q47" s="272"/>
      <c r="R47" s="268"/>
      <c r="S47" s="265"/>
      <c r="T47" s="272"/>
      <c r="U47" s="282"/>
      <c r="V47" s="61"/>
      <c r="W47" s="291"/>
      <c r="X47" s="286"/>
    </row>
    <row r="48" spans="2:24" hidden="1" outlineLevel="1">
      <c r="B48" s="452"/>
      <c r="C48" s="454"/>
      <c r="D48" s="199" t="s">
        <v>345</v>
      </c>
      <c r="E48" s="276">
        <f>IF(ROUND(((E49-$E$10)*($W39))+0.25,0) &lt;=0,1,((E49-$E$10)*($W39))+0.25)</f>
        <v>0.62999999999999989</v>
      </c>
      <c r="F48" s="277">
        <f>IF(ROUND(((F49-$E$10)*($W39))+0.25,0) &lt;=0,1,((F49-$E$10)*($W39))+0.25)</f>
        <v>1.9599999999999997</v>
      </c>
      <c r="G48" s="277">
        <f>IF(ROUND(((G49-$E$10)*($W39))+0.25,0) &lt;=0,1,((G49-$E$10)*($W39))+0.25)</f>
        <v>9.15</v>
      </c>
      <c r="H48" s="277">
        <f>IF(ROUND(((H49-$E$10)*($W39))+0.25,0) &lt;=0,1,((H49-$E$10)*($W39))+0.25)</f>
        <v>15.39</v>
      </c>
      <c r="I48" s="277">
        <f>IF(ROUND(((I49-$E$10)*($W39))+0.25,0) &lt;=0,1,((I49-$E$10)*($W39))+0.25)</f>
        <v>19.12</v>
      </c>
      <c r="J48" s="276">
        <f>IF(ROUND(((J49-$J$10)*($W39))+0.25,0) &lt;=0,1,((J49-$J$10)*($W39))+0.25)</f>
        <v>0.65999999999999992</v>
      </c>
      <c r="K48" s="277">
        <f>IF(ROUND(((K49-$J$10)*($W39))+0.25,0) &lt;=0,1,((K49-$J$10)*($W39))+0.25)</f>
        <v>4.6100000000000003</v>
      </c>
      <c r="L48" s="277">
        <f>IF(ROUND(((L49-$J$10)*($W39))+0.25,0) &lt;=0,1,((L49-$J$10)*($W39))+0.25)</f>
        <v>10.5</v>
      </c>
      <c r="M48" s="277">
        <f>IF(ROUND(((M49-$J$10)*($W39))+0.25,0) &lt;=0,1,((M49-$J$10)*($W39))+0.25)</f>
        <v>3.2500000000000004</v>
      </c>
      <c r="N48" s="278">
        <f>IF(ROUND(((N49-$J$10)*($W39))+0.25,0) &lt;=0,1,((N49-$J$10)*($W39))+0.25)</f>
        <v>22.24</v>
      </c>
      <c r="O48" s="276"/>
      <c r="P48" s="277"/>
      <c r="Q48" s="277"/>
      <c r="R48" s="278"/>
      <c r="S48" s="276"/>
      <c r="T48" s="277"/>
      <c r="U48" s="287"/>
      <c r="V48" s="61"/>
      <c r="W48" s="285"/>
      <c r="X48" s="287"/>
    </row>
    <row r="49" spans="2:24" hidden="1" outlineLevel="1">
      <c r="B49" s="452"/>
      <c r="C49" s="454"/>
      <c r="D49" s="95" t="s">
        <v>346</v>
      </c>
      <c r="E49" s="414">
        <f t="shared" ref="E49:N49" si="9">IFERROR(E39/$W39,0)</f>
        <v>2.76E-2</v>
      </c>
      <c r="F49" s="415">
        <f t="shared" si="9"/>
        <v>5.4199999999999998E-2</v>
      </c>
      <c r="G49" s="415">
        <f t="shared" si="9"/>
        <v>0.19800000000000001</v>
      </c>
      <c r="H49" s="415">
        <f t="shared" si="9"/>
        <v>0.32280000000000003</v>
      </c>
      <c r="I49" s="415">
        <f t="shared" si="9"/>
        <v>0.39740000000000003</v>
      </c>
      <c r="J49" s="414">
        <f t="shared" si="9"/>
        <v>4.82E-2</v>
      </c>
      <c r="K49" s="415">
        <f t="shared" si="9"/>
        <v>0.12720000000000001</v>
      </c>
      <c r="L49" s="415">
        <f t="shared" si="9"/>
        <v>0.245</v>
      </c>
      <c r="M49" s="415">
        <f t="shared" si="9"/>
        <v>0.1</v>
      </c>
      <c r="N49" s="416">
        <f t="shared" si="9"/>
        <v>0.47979999999999995</v>
      </c>
      <c r="O49" s="414"/>
      <c r="P49" s="415"/>
      <c r="Q49" s="415"/>
      <c r="R49" s="416"/>
      <c r="S49" s="414"/>
      <c r="T49" s="415"/>
      <c r="U49" s="254"/>
      <c r="V49" s="61"/>
      <c r="W49" s="113"/>
      <c r="X49" s="431"/>
    </row>
    <row r="50" spans="2:24" hidden="1" outlineLevel="1">
      <c r="B50" s="452"/>
      <c r="C50" s="454"/>
      <c r="D50" s="180" t="s">
        <v>347</v>
      </c>
      <c r="E50" s="414">
        <f t="shared" ref="E50:N50" si="10">IFERROR(E40/$W39,0)</f>
        <v>0.02</v>
      </c>
      <c r="F50" s="415">
        <f t="shared" si="10"/>
        <v>0.02</v>
      </c>
      <c r="G50" s="415">
        <f t="shared" si="10"/>
        <v>0.12</v>
      </c>
      <c r="H50" s="415">
        <f t="shared" si="10"/>
        <v>0.28000000000000003</v>
      </c>
      <c r="I50" s="415">
        <f t="shared" si="10"/>
        <v>0.4</v>
      </c>
      <c r="J50" s="414">
        <f t="shared" si="10"/>
        <v>0.04</v>
      </c>
      <c r="K50" s="415">
        <f t="shared" si="10"/>
        <v>0.08</v>
      </c>
      <c r="L50" s="415">
        <f t="shared" si="10"/>
        <v>0.22</v>
      </c>
      <c r="M50" s="415">
        <f t="shared" si="10"/>
        <v>0.1</v>
      </c>
      <c r="N50" s="416">
        <f t="shared" si="10"/>
        <v>0.4</v>
      </c>
      <c r="O50" s="414"/>
      <c r="P50" s="415"/>
      <c r="Q50" s="415"/>
      <c r="R50" s="416"/>
      <c r="S50" s="414"/>
      <c r="T50" s="415"/>
      <c r="U50" s="254"/>
      <c r="V50" s="61"/>
      <c r="W50" s="113"/>
      <c r="X50" s="431"/>
    </row>
    <row r="51" spans="2:24" ht="16.5" hidden="1" outlineLevel="1" thickBot="1">
      <c r="B51" s="456"/>
      <c r="C51" s="455"/>
      <c r="D51" s="180" t="s">
        <v>348</v>
      </c>
      <c r="E51" s="414">
        <f t="shared" ref="E51:N51" si="11">E50-E49</f>
        <v>-7.5999999999999991E-3</v>
      </c>
      <c r="F51" s="415">
        <f t="shared" si="11"/>
        <v>-3.4199999999999994E-2</v>
      </c>
      <c r="G51" s="415">
        <f t="shared" si="11"/>
        <v>-7.8000000000000014E-2</v>
      </c>
      <c r="H51" s="415">
        <f t="shared" si="11"/>
        <v>-4.2800000000000005E-2</v>
      </c>
      <c r="I51" s="415">
        <f t="shared" si="11"/>
        <v>2.5999999999999912E-3</v>
      </c>
      <c r="J51" s="414">
        <f t="shared" si="11"/>
        <v>-8.199999999999999E-3</v>
      </c>
      <c r="K51" s="415">
        <f t="shared" si="11"/>
        <v>-4.7200000000000006E-2</v>
      </c>
      <c r="L51" s="415">
        <f t="shared" si="11"/>
        <v>-2.4999999999999994E-2</v>
      </c>
      <c r="M51" s="415">
        <f t="shared" si="11"/>
        <v>0</v>
      </c>
      <c r="N51" s="416">
        <f t="shared" si="11"/>
        <v>-7.9799999999999927E-2</v>
      </c>
      <c r="O51" s="414"/>
      <c r="P51" s="415"/>
      <c r="Q51" s="415"/>
      <c r="R51" s="416"/>
      <c r="S51" s="432"/>
      <c r="T51" s="415"/>
      <c r="U51" s="254"/>
      <c r="V51" s="61"/>
      <c r="W51" s="113"/>
      <c r="X51" s="431"/>
    </row>
    <row r="52" spans="2:24" collapsed="1">
      <c r="B52" s="451" t="s">
        <v>338</v>
      </c>
      <c r="C52" s="453" t="str">
        <f>aurora_data!BA156</f>
        <v>09.00.00-09.11.30</v>
      </c>
      <c r="D52" s="34" t="s">
        <v>306</v>
      </c>
      <c r="E52" s="39">
        <f>IFERROR(aurora_data!BD156,0)</f>
        <v>1.37</v>
      </c>
      <c r="F52" s="40">
        <f>IFERROR(aurora_data!BE156,0)</f>
        <v>2.78</v>
      </c>
      <c r="G52" s="40">
        <f>IFERROR(aurora_data!BF156,0)</f>
        <v>10.07</v>
      </c>
      <c r="H52" s="40">
        <f>IFERROR(aurora_data!BG156,0)</f>
        <v>15.97</v>
      </c>
      <c r="I52" s="41">
        <f>IFERROR(aurora_data!BH156,0)</f>
        <v>19.809999999999999</v>
      </c>
      <c r="J52" s="39">
        <f>IFERROR(aurora_data!BI156,0)</f>
        <v>2.54</v>
      </c>
      <c r="K52" s="40">
        <f>IFERROR(aurora_data!BJ156,0)</f>
        <v>6.33</v>
      </c>
      <c r="L52" s="40">
        <f>IFERROR(aurora_data!BK156,0)</f>
        <v>12</v>
      </c>
      <c r="M52" s="40">
        <f>IFERROR(aurora_data!BL156,0)</f>
        <v>4.96</v>
      </c>
      <c r="N52" s="41">
        <f>IFERROR(aurora_data!BM156,0)</f>
        <v>24.17</v>
      </c>
      <c r="O52" s="39">
        <f>IFERROR(aurora_data!BN156,0)</f>
        <v>10.8</v>
      </c>
      <c r="P52" s="40">
        <f>IFERROR(aurora_data!BO156,0)</f>
        <v>7.77</v>
      </c>
      <c r="Q52" s="40">
        <f>IFERROR(aurora_data!BP156,0)</f>
        <v>19.850000000000001</v>
      </c>
      <c r="R52" s="41">
        <f>IFERROR(aurora_data!BQ156,0)</f>
        <v>11.58</v>
      </c>
      <c r="S52" s="40">
        <f>IFERROR(aurora_data!BR156,0)</f>
        <v>25</v>
      </c>
      <c r="T52" s="40">
        <f>IFERROR(aurora_data!BS156,0)</f>
        <v>25</v>
      </c>
      <c r="U52" s="41">
        <f>IFERROR(aurora_data!BT156,0)</f>
        <v>0</v>
      </c>
      <c r="V52" s="61" t="s">
        <v>354</v>
      </c>
      <c r="W52" s="39">
        <f>IFERROR(aurora_data!BU156,0)</f>
        <v>50</v>
      </c>
      <c r="X52" s="69">
        <f t="shared" ref="X52:X59" si="12">IFERROR(W52/$W$52,0)</f>
        <v>1</v>
      </c>
    </row>
    <row r="53" spans="2:24">
      <c r="B53" s="452"/>
      <c r="C53" s="454"/>
      <c r="D53" s="35" t="s">
        <v>339</v>
      </c>
      <c r="E53" s="113">
        <f>IFERROR(aurora_data!BD157,0)</f>
        <v>1</v>
      </c>
      <c r="F53" s="253">
        <f>IFERROR(aurora_data!BE157,0)</f>
        <v>0</v>
      </c>
      <c r="G53" s="253">
        <f>IFERROR(aurora_data!BF157,0)</f>
        <v>3</v>
      </c>
      <c r="H53" s="253">
        <f>IFERROR(aurora_data!BG157,0)</f>
        <v>11</v>
      </c>
      <c r="I53" s="254">
        <f>IFERROR(aurora_data!BH157,0)</f>
        <v>21</v>
      </c>
      <c r="J53" s="113">
        <f>IFERROR(aurora_data!BI157,0)</f>
        <v>2</v>
      </c>
      <c r="K53" s="253">
        <f>IFERROR(aurora_data!BJ157,0)</f>
        <v>5</v>
      </c>
      <c r="L53" s="253">
        <f>IFERROR(aurora_data!BK157,0)</f>
        <v>8</v>
      </c>
      <c r="M53" s="253">
        <f>IFERROR(aurora_data!BL157,0)</f>
        <v>2</v>
      </c>
      <c r="N53" s="254">
        <f>IFERROR(aurora_data!BM157,0)</f>
        <v>19</v>
      </c>
      <c r="O53" s="113">
        <f>IFERROR(aurora_data!BN157,0)</f>
        <v>11</v>
      </c>
      <c r="P53" s="253">
        <f>IFERROR(aurora_data!BO157,0)</f>
        <v>9</v>
      </c>
      <c r="Q53" s="253">
        <f>IFERROR(aurora_data!BP157,0)</f>
        <v>9</v>
      </c>
      <c r="R53" s="254">
        <f>IFERROR(aurora_data!BQ157,0)</f>
        <v>7</v>
      </c>
      <c r="S53" s="253">
        <f>IFERROR(aurora_data!BR157,0)</f>
        <v>18</v>
      </c>
      <c r="T53" s="253">
        <f>IFERROR(aurora_data!BS157,0)</f>
        <v>18</v>
      </c>
      <c r="U53" s="254">
        <f>IFERROR(aurora_data!BT157,0)</f>
        <v>0</v>
      </c>
      <c r="V53" s="61" t="s">
        <v>354</v>
      </c>
      <c r="W53" s="113">
        <f>IFERROR(aurora_data!BU157,0)</f>
        <v>36</v>
      </c>
      <c r="X53" s="281">
        <f t="shared" si="12"/>
        <v>0.72</v>
      </c>
    </row>
    <row r="54" spans="2:24">
      <c r="B54" s="452"/>
      <c r="C54" s="454"/>
      <c r="D54" s="35" t="s">
        <v>291</v>
      </c>
      <c r="E54" s="113">
        <f>IFERROR(aurora_data!BD158,0)</f>
        <v>0</v>
      </c>
      <c r="F54" s="253">
        <f>IFERROR(aurora_data!BE158,0)</f>
        <v>0</v>
      </c>
      <c r="G54" s="253">
        <f>IFERROR(aurora_data!BF158,0)</f>
        <v>0</v>
      </c>
      <c r="H54" s="253">
        <f>IFERROR(aurora_data!BG158,0)</f>
        <v>0</v>
      </c>
      <c r="I54" s="254">
        <f>IFERROR(aurora_data!BH158,0)</f>
        <v>2</v>
      </c>
      <c r="J54" s="113">
        <f>IFERROR(aurora_data!BI158,0)</f>
        <v>0</v>
      </c>
      <c r="K54" s="253">
        <f>IFERROR(aurora_data!BJ158,0)</f>
        <v>0</v>
      </c>
      <c r="L54" s="253">
        <f>IFERROR(aurora_data!BK158,0)</f>
        <v>1</v>
      </c>
      <c r="M54" s="253">
        <f>IFERROR(aurora_data!BL158,0)</f>
        <v>0</v>
      </c>
      <c r="N54" s="254">
        <f>IFERROR(aurora_data!BM158,0)</f>
        <v>1</v>
      </c>
      <c r="O54" s="113">
        <f>IFERROR(aurora_data!BN158,0)</f>
        <v>1</v>
      </c>
      <c r="P54" s="253">
        <f>IFERROR(aurora_data!BO158,0)</f>
        <v>0</v>
      </c>
      <c r="Q54" s="253">
        <f>IFERROR(aurora_data!BP158,0)</f>
        <v>1</v>
      </c>
      <c r="R54" s="254">
        <f>IFERROR(aurora_data!BQ158,0)</f>
        <v>0</v>
      </c>
      <c r="S54" s="253">
        <f>IFERROR(aurora_data!BR158,0)</f>
        <v>0</v>
      </c>
      <c r="T54" s="253">
        <f>IFERROR(aurora_data!BS158,0)</f>
        <v>2</v>
      </c>
      <c r="U54" s="254">
        <f>IFERROR(aurora_data!BT158,0)</f>
        <v>0</v>
      </c>
      <c r="V54" s="61" t="s">
        <v>354</v>
      </c>
      <c r="W54" s="113">
        <f>IFERROR(aurora_data!BU158,0)</f>
        <v>2</v>
      </c>
      <c r="X54" s="281">
        <f t="shared" si="12"/>
        <v>0.04</v>
      </c>
    </row>
    <row r="55" spans="2:24">
      <c r="B55" s="452"/>
      <c r="C55" s="454"/>
      <c r="D55" s="35" t="s">
        <v>340</v>
      </c>
      <c r="E55" s="113">
        <f>IFERROR(aurora_data!BD159,0)</f>
        <v>0</v>
      </c>
      <c r="F55" s="253">
        <f>IFERROR(aurora_data!BE159,0)</f>
        <v>0</v>
      </c>
      <c r="G55" s="253">
        <f>IFERROR(aurora_data!BF159,0)</f>
        <v>0</v>
      </c>
      <c r="H55" s="253">
        <f>IFERROR(aurora_data!BG159,0)</f>
        <v>0</v>
      </c>
      <c r="I55" s="254">
        <f>IFERROR(aurora_data!BH159,0)</f>
        <v>0</v>
      </c>
      <c r="J55" s="113">
        <f>IFERROR(aurora_data!BI159,0)</f>
        <v>0</v>
      </c>
      <c r="K55" s="253">
        <f>IFERROR(aurora_data!BJ159,0)</f>
        <v>0</v>
      </c>
      <c r="L55" s="253">
        <f>IFERROR(aurora_data!BK159,0)</f>
        <v>0</v>
      </c>
      <c r="M55" s="253">
        <f>IFERROR(aurora_data!BL159,0)</f>
        <v>0</v>
      </c>
      <c r="N55" s="254">
        <f>IFERROR(aurora_data!BM159,0)</f>
        <v>0</v>
      </c>
      <c r="O55" s="113">
        <f>IFERROR(aurora_data!BN159,0)</f>
        <v>0</v>
      </c>
      <c r="P55" s="253">
        <f>IFERROR(aurora_data!BO159,0)</f>
        <v>0</v>
      </c>
      <c r="Q55" s="253">
        <f>IFERROR(aurora_data!BP159,0)</f>
        <v>0</v>
      </c>
      <c r="R55" s="254">
        <f>IFERROR(aurora_data!BQ159,0)</f>
        <v>0</v>
      </c>
      <c r="S55" s="253">
        <f>IFERROR(aurora_data!BR159,0)</f>
        <v>0</v>
      </c>
      <c r="T55" s="253">
        <f>IFERROR(aurora_data!BS159,0)</f>
        <v>0</v>
      </c>
      <c r="U55" s="254">
        <f>IFERROR(aurora_data!BT159,0)</f>
        <v>0</v>
      </c>
      <c r="V55" s="61" t="s">
        <v>354</v>
      </c>
      <c r="W55" s="113">
        <f>IFERROR(aurora_data!BU159,0)</f>
        <v>0</v>
      </c>
      <c r="X55" s="281">
        <f t="shared" si="12"/>
        <v>0</v>
      </c>
    </row>
    <row r="56" spans="2:24">
      <c r="B56" s="452"/>
      <c r="C56" s="454"/>
      <c r="D56" s="35" t="s">
        <v>341</v>
      </c>
      <c r="E56" s="113">
        <f>IFERROR(aurora_data!BD160,0)</f>
        <v>0</v>
      </c>
      <c r="F56" s="253">
        <f>IFERROR(aurora_data!BE160,0)</f>
        <v>1</v>
      </c>
      <c r="G56" s="253">
        <f>IFERROR(aurora_data!BF160,0)</f>
        <v>3</v>
      </c>
      <c r="H56" s="253">
        <f>IFERROR(aurora_data!BG160,0)</f>
        <v>5</v>
      </c>
      <c r="I56" s="254">
        <f>IFERROR(aurora_data!BH160,0)</f>
        <v>0</v>
      </c>
      <c r="J56" s="113">
        <f>IFERROR(aurora_data!BI160,0)</f>
        <v>0</v>
      </c>
      <c r="K56" s="253">
        <f>IFERROR(aurora_data!BJ160,0)</f>
        <v>0</v>
      </c>
      <c r="L56" s="253">
        <f>IFERROR(aurora_data!BK160,0)</f>
        <v>2</v>
      </c>
      <c r="M56" s="253">
        <f>IFERROR(aurora_data!BL160,0)</f>
        <v>3</v>
      </c>
      <c r="N56" s="254">
        <f>IFERROR(aurora_data!BM160,0)</f>
        <v>4</v>
      </c>
      <c r="O56" s="113">
        <f>IFERROR(aurora_data!BN160,0)</f>
        <v>5</v>
      </c>
      <c r="P56" s="253">
        <f>IFERROR(aurora_data!BO160,0)</f>
        <v>1</v>
      </c>
      <c r="Q56" s="253">
        <f>IFERROR(aurora_data!BP160,0)</f>
        <v>2</v>
      </c>
      <c r="R56" s="254">
        <f>IFERROR(aurora_data!BQ160,0)</f>
        <v>1</v>
      </c>
      <c r="S56" s="253">
        <f>IFERROR(aurora_data!BR160,0)</f>
        <v>4</v>
      </c>
      <c r="T56" s="253">
        <f>IFERROR(aurora_data!BS160,0)</f>
        <v>5</v>
      </c>
      <c r="U56" s="254">
        <f>IFERROR(aurora_data!BT160,0)</f>
        <v>0</v>
      </c>
      <c r="V56" s="61" t="s">
        <v>354</v>
      </c>
      <c r="W56" s="113">
        <f>IFERROR(aurora_data!BU160,0)</f>
        <v>9</v>
      </c>
      <c r="X56" s="281">
        <f t="shared" si="12"/>
        <v>0.18</v>
      </c>
    </row>
    <row r="57" spans="2:24" ht="16.5" thickBot="1">
      <c r="B57" s="452"/>
      <c r="C57" s="454"/>
      <c r="D57" s="35" t="s">
        <v>342</v>
      </c>
      <c r="E57" s="113">
        <f>IFERROR(aurora_data!BD161,0)</f>
        <v>0</v>
      </c>
      <c r="F57" s="253">
        <f>IFERROR(aurora_data!BE161,0)</f>
        <v>0</v>
      </c>
      <c r="G57" s="253">
        <f>IFERROR(aurora_data!BF161,0)</f>
        <v>0</v>
      </c>
      <c r="H57" s="253">
        <f>IFERROR(aurora_data!BG161,0)</f>
        <v>0</v>
      </c>
      <c r="I57" s="254">
        <f>IFERROR(aurora_data!BH161,0)</f>
        <v>0</v>
      </c>
      <c r="J57" s="113">
        <f>IFERROR(aurora_data!BI161,0)</f>
        <v>0</v>
      </c>
      <c r="K57" s="253">
        <f>IFERROR(aurora_data!BJ161,0)</f>
        <v>0</v>
      </c>
      <c r="L57" s="253">
        <f>IFERROR(aurora_data!BK161,0)</f>
        <v>0</v>
      </c>
      <c r="M57" s="253">
        <f>IFERROR(aurora_data!BL161,0)</f>
        <v>0</v>
      </c>
      <c r="N57" s="254">
        <f>IFERROR(aurora_data!BM161,0)</f>
        <v>0</v>
      </c>
      <c r="O57" s="113">
        <f>IFERROR(aurora_data!BN161,0)</f>
        <v>0</v>
      </c>
      <c r="P57" s="253">
        <f>IFERROR(aurora_data!BO161,0)</f>
        <v>0</v>
      </c>
      <c r="Q57" s="253">
        <f>IFERROR(aurora_data!BP161,0)</f>
        <v>0</v>
      </c>
      <c r="R57" s="254">
        <f>IFERROR(aurora_data!BQ161,0)</f>
        <v>0</v>
      </c>
      <c r="S57" s="253">
        <f>IFERROR(aurora_data!BR161,0)</f>
        <v>0</v>
      </c>
      <c r="T57" s="253">
        <f>IFERROR(aurora_data!BS161,0)</f>
        <v>0</v>
      </c>
      <c r="U57" s="254">
        <f>IFERROR(aurora_data!BT161,0)</f>
        <v>0</v>
      </c>
      <c r="V57" s="61" t="s">
        <v>354</v>
      </c>
      <c r="W57" s="113">
        <f>IFERROR(aurora_data!BU161,0)</f>
        <v>0</v>
      </c>
      <c r="X57" s="281">
        <f t="shared" si="12"/>
        <v>0</v>
      </c>
    </row>
    <row r="58" spans="2:24" ht="16.5" thickBot="1">
      <c r="B58" s="452"/>
      <c r="C58" s="454"/>
      <c r="D58" s="37" t="s">
        <v>17</v>
      </c>
      <c r="E58" s="59">
        <f>IFERROR(aurora_data!BD162,0)</f>
        <v>1</v>
      </c>
      <c r="F58" s="64">
        <f>IFERROR(aurora_data!BE162,0)</f>
        <v>1</v>
      </c>
      <c r="G58" s="64">
        <f>IFERROR(aurora_data!BF162,0)</f>
        <v>6</v>
      </c>
      <c r="H58" s="64">
        <f>IFERROR(aurora_data!BG162,0)</f>
        <v>16</v>
      </c>
      <c r="I58" s="65">
        <f>IFERROR(aurora_data!BH162,0)</f>
        <v>23</v>
      </c>
      <c r="J58" s="59">
        <f>IFERROR(aurora_data!BI162,0)</f>
        <v>2</v>
      </c>
      <c r="K58" s="64">
        <f>IFERROR(aurora_data!BJ162,0)</f>
        <v>5</v>
      </c>
      <c r="L58" s="64">
        <f>IFERROR(aurora_data!BK162,0)</f>
        <v>11</v>
      </c>
      <c r="M58" s="64">
        <f>IFERROR(aurora_data!BL162,0)</f>
        <v>5</v>
      </c>
      <c r="N58" s="65">
        <f>IFERROR(aurora_data!BM162,0)</f>
        <v>24</v>
      </c>
      <c r="O58" s="59">
        <f>IFERROR(aurora_data!BN162,0)</f>
        <v>17</v>
      </c>
      <c r="P58" s="64">
        <f>IFERROR(aurora_data!BO162,0)</f>
        <v>10</v>
      </c>
      <c r="Q58" s="64">
        <f>IFERROR(aurora_data!BP162,0)</f>
        <v>12</v>
      </c>
      <c r="R58" s="65">
        <f>IFERROR(aurora_data!BQ162,0)</f>
        <v>8</v>
      </c>
      <c r="S58" s="64">
        <f>IFERROR(aurora_data!BR162,0)</f>
        <v>22</v>
      </c>
      <c r="T58" s="64">
        <f>IFERROR(aurora_data!BS162,0)</f>
        <v>25</v>
      </c>
      <c r="U58" s="65">
        <f>IFERROR(aurora_data!BT162,0)</f>
        <v>0</v>
      </c>
      <c r="V58" s="66" t="s">
        <v>354</v>
      </c>
      <c r="W58" s="59">
        <f>IFERROR(aurora_data!BU162,0)</f>
        <v>47</v>
      </c>
      <c r="X58" s="70">
        <f t="shared" si="12"/>
        <v>0.94</v>
      </c>
    </row>
    <row r="59" spans="2:24" ht="16.5" thickBot="1">
      <c r="B59" s="452"/>
      <c r="C59" s="454"/>
      <c r="D59" s="38" t="s">
        <v>343</v>
      </c>
      <c r="E59" s="256">
        <f>IFERROR(aurora_data!BD163,0)</f>
        <v>0</v>
      </c>
      <c r="F59" s="257">
        <f>IFERROR(aurora_data!BE163,0)</f>
        <v>0</v>
      </c>
      <c r="G59" s="257">
        <f>IFERROR(aurora_data!BF163,0)</f>
        <v>0</v>
      </c>
      <c r="H59" s="257">
        <f>IFERROR(aurora_data!BG163,0)</f>
        <v>0</v>
      </c>
      <c r="I59" s="258">
        <f>IFERROR(aurora_data!BH163,0)</f>
        <v>0</v>
      </c>
      <c r="J59" s="256">
        <f>IFERROR(aurora_data!BI163,0)</f>
        <v>0</v>
      </c>
      <c r="K59" s="257">
        <f>IFERROR(aurora_data!BJ163,0)</f>
        <v>0</v>
      </c>
      <c r="L59" s="257">
        <f>IFERROR(aurora_data!BK163,0)</f>
        <v>0</v>
      </c>
      <c r="M59" s="257">
        <f>IFERROR(aurora_data!BL163,0)</f>
        <v>0</v>
      </c>
      <c r="N59" s="258">
        <f>IFERROR(aurora_data!BM163,0)</f>
        <v>0</v>
      </c>
      <c r="O59" s="256">
        <f>IFERROR(aurora_data!BN163,0)</f>
        <v>0</v>
      </c>
      <c r="P59" s="257">
        <f>IFERROR(aurora_data!BO163,0)</f>
        <v>0</v>
      </c>
      <c r="Q59" s="257">
        <f>IFERROR(aurora_data!BP163,0)</f>
        <v>0</v>
      </c>
      <c r="R59" s="258">
        <f>IFERROR(aurora_data!BQ163,0)</f>
        <v>0</v>
      </c>
      <c r="S59" s="257">
        <f>IFERROR(aurora_data!BR163,0)</f>
        <v>0</v>
      </c>
      <c r="T59" s="257">
        <f>IFERROR(aurora_data!BS163,0)</f>
        <v>0</v>
      </c>
      <c r="U59" s="259">
        <f>IFERROR(aurora_data!BT163,0)</f>
        <v>0</v>
      </c>
      <c r="V59" s="260" t="s">
        <v>354</v>
      </c>
      <c r="W59" s="256">
        <f>IFERROR(aurora_data!BU163,0)</f>
        <v>0</v>
      </c>
      <c r="X59" s="261">
        <f t="shared" si="12"/>
        <v>0</v>
      </c>
    </row>
    <row r="60" spans="2:24" hidden="1" outlineLevel="1">
      <c r="B60" s="452"/>
      <c r="C60" s="454"/>
      <c r="D60" s="199" t="s">
        <v>344</v>
      </c>
      <c r="E60" s="271">
        <f>ROUNDDOWN((E62+$E$10)*($W52),0)</f>
        <v>2</v>
      </c>
      <c r="F60" s="272">
        <f>ROUNDDOWN((F62+$E$10)*($W52),0)</f>
        <v>3</v>
      </c>
      <c r="G60" s="272">
        <f>ROUNDDOWN((G62+$E$10)*($W52),0)</f>
        <v>11</v>
      </c>
      <c r="H60" s="272">
        <f>ROUNDDOWN((H62+$E$10)*($W52),0)</f>
        <v>16</v>
      </c>
      <c r="I60" s="272">
        <f>ROUNDDOWN((I62+$E$10)*($W52),0)</f>
        <v>20</v>
      </c>
      <c r="J60" s="271">
        <f>ROUNDDOWN((J62+$J$10)*($W52),0)</f>
        <v>4</v>
      </c>
      <c r="K60" s="272">
        <f>ROUNDDOWN((K62+$J$10)*($W52),0)</f>
        <v>8</v>
      </c>
      <c r="L60" s="272">
        <f>ROUNDDOWN((L62+$J$10)*($W52),0)</f>
        <v>14</v>
      </c>
      <c r="M60" s="272">
        <f>ROUNDDOWN((M62+$J$10)*($W52),0)</f>
        <v>6</v>
      </c>
      <c r="N60" s="268">
        <f>ROUNDDOWN((N62+$J$10)*($W52),0)</f>
        <v>26</v>
      </c>
      <c r="O60" s="271"/>
      <c r="P60" s="272"/>
      <c r="Q60" s="272"/>
      <c r="R60" s="268"/>
      <c r="S60" s="265"/>
      <c r="T60" s="272"/>
      <c r="U60" s="282"/>
      <c r="V60" s="61"/>
      <c r="W60" s="291"/>
      <c r="X60" s="286"/>
    </row>
    <row r="61" spans="2:24" hidden="1" outlineLevel="1">
      <c r="B61" s="452"/>
      <c r="C61" s="454"/>
      <c r="D61" s="199" t="s">
        <v>345</v>
      </c>
      <c r="E61" s="276">
        <f>IF(ROUND(((E62-$E$10)*($W52))+0.25,0) &lt;=0,1,((E62-$E$10)*($W52))+0.25)</f>
        <v>0.62</v>
      </c>
      <c r="F61" s="277">
        <f>IF(ROUND(((F62-$E$10)*($W52))+0.25,0) &lt;=0,1,((F62-$E$10)*($W52))+0.25)</f>
        <v>2.0299999999999994</v>
      </c>
      <c r="G61" s="277">
        <f>IF(ROUND(((G62-$E$10)*($W52))+0.25,0) &lt;=0,1,((G62-$E$10)*($W52))+0.25)</f>
        <v>9.32</v>
      </c>
      <c r="H61" s="277">
        <f>IF(ROUND(((H62-$E$10)*($W52))+0.25,0) &lt;=0,1,((H62-$E$10)*($W52))+0.25)</f>
        <v>15.22</v>
      </c>
      <c r="I61" s="277">
        <f>IF(ROUND(((I62-$E$10)*($W52))+0.25,0) &lt;=0,1,((I62-$E$10)*($W52))+0.25)</f>
        <v>19.059999999999999</v>
      </c>
      <c r="J61" s="276">
        <f>IF(ROUND(((J62-$J$10)*($W52))+0.25,0) &lt;=0,1,((J62-$J$10)*($W52))+0.25)</f>
        <v>0.78999999999999981</v>
      </c>
      <c r="K61" s="277">
        <f>IF(ROUND(((K62-$J$10)*($W52))+0.25,0) &lt;=0,1,((K62-$J$10)*($W52))+0.25)</f>
        <v>4.5799999999999992</v>
      </c>
      <c r="L61" s="277">
        <f>IF(ROUND(((L62-$J$10)*($W52))+0.25,0) &lt;=0,1,((L62-$J$10)*($W52))+0.25)</f>
        <v>10.25</v>
      </c>
      <c r="M61" s="277">
        <f>IF(ROUND(((M62-$J$10)*($W52))+0.25,0) &lt;=0,1,((M62-$J$10)*($W52))+0.25)</f>
        <v>3.21</v>
      </c>
      <c r="N61" s="278">
        <f>IF(ROUND(((N62-$J$10)*($W52))+0.25,0) &lt;=0,1,((N62-$J$10)*($W52))+0.25)</f>
        <v>22.420000000000005</v>
      </c>
      <c r="O61" s="276"/>
      <c r="P61" s="277"/>
      <c r="Q61" s="277"/>
      <c r="R61" s="278"/>
      <c r="S61" s="276"/>
      <c r="T61" s="277"/>
      <c r="U61" s="287"/>
      <c r="V61" s="61"/>
      <c r="W61" s="285"/>
      <c r="X61" s="287"/>
    </row>
    <row r="62" spans="2:24" hidden="1" outlineLevel="1">
      <c r="B62" s="452"/>
      <c r="C62" s="454"/>
      <c r="D62" s="95" t="s">
        <v>346</v>
      </c>
      <c r="E62" s="414">
        <f t="shared" ref="E62:N62" si="13">IFERROR(E52/$W52,0)</f>
        <v>2.7400000000000001E-2</v>
      </c>
      <c r="F62" s="415">
        <f t="shared" si="13"/>
        <v>5.5599999999999997E-2</v>
      </c>
      <c r="G62" s="415">
        <f t="shared" si="13"/>
        <v>0.2014</v>
      </c>
      <c r="H62" s="415">
        <f t="shared" si="13"/>
        <v>0.31940000000000002</v>
      </c>
      <c r="I62" s="415">
        <f t="shared" si="13"/>
        <v>0.3962</v>
      </c>
      <c r="J62" s="414">
        <f t="shared" si="13"/>
        <v>5.0799999999999998E-2</v>
      </c>
      <c r="K62" s="415">
        <f t="shared" si="13"/>
        <v>0.12659999999999999</v>
      </c>
      <c r="L62" s="415">
        <f t="shared" si="13"/>
        <v>0.24</v>
      </c>
      <c r="M62" s="415">
        <f t="shared" si="13"/>
        <v>9.9199999999999997E-2</v>
      </c>
      <c r="N62" s="416">
        <f t="shared" si="13"/>
        <v>0.48340000000000005</v>
      </c>
      <c r="O62" s="414"/>
      <c r="P62" s="415"/>
      <c r="Q62" s="415"/>
      <c r="R62" s="416"/>
      <c r="S62" s="414"/>
      <c r="T62" s="415"/>
      <c r="U62" s="254"/>
      <c r="V62" s="61"/>
      <c r="W62" s="113"/>
      <c r="X62" s="431"/>
    </row>
    <row r="63" spans="2:24" hidden="1" outlineLevel="1">
      <c r="B63" s="452"/>
      <c r="C63" s="454"/>
      <c r="D63" s="180" t="s">
        <v>347</v>
      </c>
      <c r="E63" s="414">
        <f t="shared" ref="E63:N63" si="14">IFERROR(E53/$W52,0)</f>
        <v>0.02</v>
      </c>
      <c r="F63" s="415">
        <f t="shared" si="14"/>
        <v>0</v>
      </c>
      <c r="G63" s="415">
        <f t="shared" si="14"/>
        <v>0.06</v>
      </c>
      <c r="H63" s="415">
        <f t="shared" si="14"/>
        <v>0.22</v>
      </c>
      <c r="I63" s="415">
        <f t="shared" si="14"/>
        <v>0.42</v>
      </c>
      <c r="J63" s="414">
        <f t="shared" si="14"/>
        <v>0.04</v>
      </c>
      <c r="K63" s="415">
        <f t="shared" si="14"/>
        <v>0.1</v>
      </c>
      <c r="L63" s="415">
        <f t="shared" si="14"/>
        <v>0.16</v>
      </c>
      <c r="M63" s="415">
        <f t="shared" si="14"/>
        <v>0.04</v>
      </c>
      <c r="N63" s="416">
        <f t="shared" si="14"/>
        <v>0.38</v>
      </c>
      <c r="O63" s="414"/>
      <c r="P63" s="415"/>
      <c r="Q63" s="415"/>
      <c r="R63" s="416"/>
      <c r="S63" s="414"/>
      <c r="T63" s="415"/>
      <c r="U63" s="254"/>
      <c r="V63" s="61"/>
      <c r="W63" s="113"/>
      <c r="X63" s="431"/>
    </row>
    <row r="64" spans="2:24" ht="16.5" hidden="1" outlineLevel="1" thickBot="1">
      <c r="B64" s="456"/>
      <c r="C64" s="455"/>
      <c r="D64" s="180" t="s">
        <v>348</v>
      </c>
      <c r="E64" s="414">
        <f t="shared" ref="E64:N64" si="15">E63-E62</f>
        <v>-7.4000000000000003E-3</v>
      </c>
      <c r="F64" s="415">
        <f t="shared" si="15"/>
        <v>-5.5599999999999997E-2</v>
      </c>
      <c r="G64" s="415">
        <f t="shared" si="15"/>
        <v>-0.1414</v>
      </c>
      <c r="H64" s="415">
        <f t="shared" si="15"/>
        <v>-9.9400000000000016E-2</v>
      </c>
      <c r="I64" s="415">
        <f t="shared" si="15"/>
        <v>2.3799999999999988E-2</v>
      </c>
      <c r="J64" s="414">
        <f t="shared" si="15"/>
        <v>-1.0799999999999997E-2</v>
      </c>
      <c r="K64" s="415">
        <f t="shared" si="15"/>
        <v>-2.6599999999999985E-2</v>
      </c>
      <c r="L64" s="415">
        <f t="shared" si="15"/>
        <v>-7.9999999999999988E-2</v>
      </c>
      <c r="M64" s="415">
        <f t="shared" si="15"/>
        <v>-5.9199999999999996E-2</v>
      </c>
      <c r="N64" s="416">
        <f t="shared" si="15"/>
        <v>-0.10340000000000005</v>
      </c>
      <c r="O64" s="414"/>
      <c r="P64" s="415"/>
      <c r="Q64" s="415"/>
      <c r="R64" s="416"/>
      <c r="S64" s="432"/>
      <c r="T64" s="415"/>
      <c r="U64" s="254"/>
      <c r="V64" s="61"/>
      <c r="W64" s="113"/>
      <c r="X64" s="431"/>
    </row>
    <row r="65" spans="2:24" collapsed="1">
      <c r="B65" s="451" t="s">
        <v>338</v>
      </c>
      <c r="C65" s="453" t="str">
        <f>aurora_data!BA164</f>
        <v>10.00.00-10.11.30</v>
      </c>
      <c r="D65" s="34" t="s">
        <v>306</v>
      </c>
      <c r="E65" s="39">
        <f>IFERROR(aurora_data!BD164,0)</f>
        <v>1.53</v>
      </c>
      <c r="F65" s="40">
        <f>IFERROR(aurora_data!BE164,0)</f>
        <v>2.89</v>
      </c>
      <c r="G65" s="40">
        <f>IFERROR(aurora_data!BF164,0)</f>
        <v>10.06</v>
      </c>
      <c r="H65" s="40">
        <f>IFERROR(aurora_data!BG164,0)</f>
        <v>15.99</v>
      </c>
      <c r="I65" s="41">
        <f>IFERROR(aurora_data!BH164,0)</f>
        <v>19.53</v>
      </c>
      <c r="J65" s="39">
        <f>IFERROR(aurora_data!BI164,0)</f>
        <v>2.59</v>
      </c>
      <c r="K65" s="40">
        <f>IFERROR(aurora_data!BJ164,0)</f>
        <v>6.5</v>
      </c>
      <c r="L65" s="40">
        <f>IFERROR(aurora_data!BK164,0)</f>
        <v>12.16</v>
      </c>
      <c r="M65" s="40">
        <f>IFERROR(aurora_data!BL164,0)</f>
        <v>4.71</v>
      </c>
      <c r="N65" s="41">
        <f>IFERROR(aurora_data!BM164,0)</f>
        <v>24.04</v>
      </c>
      <c r="O65" s="39">
        <f>IFERROR(aurora_data!BN164,0)</f>
        <v>10.62</v>
      </c>
      <c r="P65" s="40">
        <f>IFERROR(aurora_data!BO164,0)</f>
        <v>7.63</v>
      </c>
      <c r="Q65" s="40">
        <f>IFERROR(aurora_data!BP164,0)</f>
        <v>19.8</v>
      </c>
      <c r="R65" s="41">
        <f>IFERROR(aurora_data!BQ164,0)</f>
        <v>11.95</v>
      </c>
      <c r="S65" s="40">
        <f>IFERROR(aurora_data!BR164,0)</f>
        <v>25</v>
      </c>
      <c r="T65" s="40">
        <f>IFERROR(aurora_data!BS164,0)</f>
        <v>25</v>
      </c>
      <c r="U65" s="41">
        <f>IFERROR(aurora_data!BT164,0)</f>
        <v>0</v>
      </c>
      <c r="V65" s="61" t="s">
        <v>354</v>
      </c>
      <c r="W65" s="39">
        <f>IFERROR(aurora_data!BU164,0)</f>
        <v>50</v>
      </c>
      <c r="X65" s="69">
        <f t="shared" ref="X65:X72" si="16">IFERROR(W65/$W$65,0)</f>
        <v>1</v>
      </c>
    </row>
    <row r="66" spans="2:24">
      <c r="B66" s="452"/>
      <c r="C66" s="454"/>
      <c r="D66" s="35" t="s">
        <v>339</v>
      </c>
      <c r="E66" s="113">
        <f>IFERROR(aurora_data!BD165,0)</f>
        <v>0</v>
      </c>
      <c r="F66" s="253">
        <f>IFERROR(aurora_data!BE165,0)</f>
        <v>1</v>
      </c>
      <c r="G66" s="253">
        <f>IFERROR(aurora_data!BF165,0)</f>
        <v>5</v>
      </c>
      <c r="H66" s="253">
        <f>IFERROR(aurora_data!BG165,0)</f>
        <v>14</v>
      </c>
      <c r="I66" s="254">
        <f>IFERROR(aurora_data!BH165,0)</f>
        <v>20</v>
      </c>
      <c r="J66" s="113">
        <f>IFERROR(aurora_data!BI165,0)</f>
        <v>3</v>
      </c>
      <c r="K66" s="253">
        <f>IFERROR(aurora_data!BJ165,0)</f>
        <v>6</v>
      </c>
      <c r="L66" s="253">
        <f>IFERROR(aurora_data!BK165,0)</f>
        <v>6</v>
      </c>
      <c r="M66" s="253">
        <f>IFERROR(aurora_data!BL165,0)</f>
        <v>4</v>
      </c>
      <c r="N66" s="254">
        <f>IFERROR(aurora_data!BM165,0)</f>
        <v>21</v>
      </c>
      <c r="O66" s="113">
        <f>IFERROR(aurora_data!BN165,0)</f>
        <v>11</v>
      </c>
      <c r="P66" s="253">
        <f>IFERROR(aurora_data!BO165,0)</f>
        <v>6</v>
      </c>
      <c r="Q66" s="253">
        <f>IFERROR(aurora_data!BP165,0)</f>
        <v>16</v>
      </c>
      <c r="R66" s="254">
        <f>IFERROR(aurora_data!BQ165,0)</f>
        <v>7</v>
      </c>
      <c r="S66" s="253">
        <f>IFERROR(aurora_data!BR165,0)</f>
        <v>21</v>
      </c>
      <c r="T66" s="253">
        <f>IFERROR(aurora_data!BS165,0)</f>
        <v>19</v>
      </c>
      <c r="U66" s="254">
        <f>IFERROR(aurora_data!BT165,0)</f>
        <v>0</v>
      </c>
      <c r="V66" s="61" t="s">
        <v>354</v>
      </c>
      <c r="W66" s="113">
        <f>IFERROR(aurora_data!BU165,0)</f>
        <v>40</v>
      </c>
      <c r="X66" s="255">
        <f t="shared" si="16"/>
        <v>0.8</v>
      </c>
    </row>
    <row r="67" spans="2:24">
      <c r="B67" s="452"/>
      <c r="C67" s="454"/>
      <c r="D67" s="35" t="s">
        <v>291</v>
      </c>
      <c r="E67" s="113">
        <f>IFERROR(aurora_data!BD166,0)</f>
        <v>0</v>
      </c>
      <c r="F67" s="253">
        <f>IFERROR(aurora_data!BE166,0)</f>
        <v>0</v>
      </c>
      <c r="G67" s="253">
        <f>IFERROR(aurora_data!BF166,0)</f>
        <v>0</v>
      </c>
      <c r="H67" s="253">
        <f>IFERROR(aurora_data!BG166,0)</f>
        <v>0</v>
      </c>
      <c r="I67" s="254">
        <f>IFERROR(aurora_data!BH166,0)</f>
        <v>6</v>
      </c>
      <c r="J67" s="113">
        <f>IFERROR(aurora_data!BI166,0)</f>
        <v>0</v>
      </c>
      <c r="K67" s="253">
        <f>IFERROR(aurora_data!BJ166,0)</f>
        <v>1</v>
      </c>
      <c r="L67" s="253">
        <f>IFERROR(aurora_data!BK166,0)</f>
        <v>0</v>
      </c>
      <c r="M67" s="253">
        <f>IFERROR(aurora_data!BL166,0)</f>
        <v>3</v>
      </c>
      <c r="N67" s="254">
        <f>IFERROR(aurora_data!BM166,0)</f>
        <v>2</v>
      </c>
      <c r="O67" s="113">
        <f>IFERROR(aurora_data!BN166,0)</f>
        <v>5</v>
      </c>
      <c r="P67" s="253">
        <f>IFERROR(aurora_data!BO166,0)</f>
        <v>0</v>
      </c>
      <c r="Q67" s="253">
        <f>IFERROR(aurora_data!BP166,0)</f>
        <v>1</v>
      </c>
      <c r="R67" s="254">
        <f>IFERROR(aurora_data!BQ166,0)</f>
        <v>0</v>
      </c>
      <c r="S67" s="253">
        <f>IFERROR(aurora_data!BR166,0)</f>
        <v>4</v>
      </c>
      <c r="T67" s="253">
        <f>IFERROR(aurora_data!BS166,0)</f>
        <v>2</v>
      </c>
      <c r="U67" s="254">
        <f>IFERROR(aurora_data!BT166,0)</f>
        <v>0</v>
      </c>
      <c r="V67" s="61" t="s">
        <v>354</v>
      </c>
      <c r="W67" s="113">
        <f>IFERROR(aurora_data!BU166,0)</f>
        <v>6</v>
      </c>
      <c r="X67" s="255">
        <f t="shared" si="16"/>
        <v>0.12</v>
      </c>
    </row>
    <row r="68" spans="2:24">
      <c r="B68" s="452"/>
      <c r="C68" s="454"/>
      <c r="D68" s="35" t="s">
        <v>340</v>
      </c>
      <c r="E68" s="113">
        <f>IFERROR(aurora_data!BD167,0)</f>
        <v>0</v>
      </c>
      <c r="F68" s="253">
        <f>IFERROR(aurora_data!BE167,0)</f>
        <v>0</v>
      </c>
      <c r="G68" s="253">
        <f>IFERROR(aurora_data!BF167,0)</f>
        <v>0</v>
      </c>
      <c r="H68" s="253">
        <f>IFERROR(aurora_data!BG167,0)</f>
        <v>0</v>
      </c>
      <c r="I68" s="254">
        <f>IFERROR(aurora_data!BH167,0)</f>
        <v>0</v>
      </c>
      <c r="J68" s="113">
        <f>IFERROR(aurora_data!BI167,0)</f>
        <v>0</v>
      </c>
      <c r="K68" s="253">
        <f>IFERROR(aurora_data!BJ167,0)</f>
        <v>0</v>
      </c>
      <c r="L68" s="253">
        <f>IFERROR(aurora_data!BK167,0)</f>
        <v>0</v>
      </c>
      <c r="M68" s="253">
        <f>IFERROR(aurora_data!BL167,0)</f>
        <v>0</v>
      </c>
      <c r="N68" s="254">
        <f>IFERROR(aurora_data!BM167,0)</f>
        <v>0</v>
      </c>
      <c r="O68" s="113">
        <f>IFERROR(aurora_data!BN167,0)</f>
        <v>0</v>
      </c>
      <c r="P68" s="253">
        <f>IFERROR(aurora_data!BO167,0)</f>
        <v>0</v>
      </c>
      <c r="Q68" s="253">
        <f>IFERROR(aurora_data!BP167,0)</f>
        <v>0</v>
      </c>
      <c r="R68" s="254">
        <f>IFERROR(aurora_data!BQ167,0)</f>
        <v>0</v>
      </c>
      <c r="S68" s="253">
        <f>IFERROR(aurora_data!BR167,0)</f>
        <v>0</v>
      </c>
      <c r="T68" s="253">
        <f>IFERROR(aurora_data!BS167,0)</f>
        <v>0</v>
      </c>
      <c r="U68" s="254">
        <f>IFERROR(aurora_data!BT167,0)</f>
        <v>0</v>
      </c>
      <c r="V68" s="61" t="s">
        <v>354</v>
      </c>
      <c r="W68" s="113">
        <f>IFERROR(aurora_data!BU167,0)</f>
        <v>0</v>
      </c>
      <c r="X68" s="255">
        <f t="shared" si="16"/>
        <v>0</v>
      </c>
    </row>
    <row r="69" spans="2:24">
      <c r="B69" s="452"/>
      <c r="C69" s="454"/>
      <c r="D69" s="35" t="s">
        <v>341</v>
      </c>
      <c r="E69" s="113">
        <f>IFERROR(aurora_data!BD168,0)</f>
        <v>0</v>
      </c>
      <c r="F69" s="253">
        <f>IFERROR(aurora_data!BE168,0)</f>
        <v>0</v>
      </c>
      <c r="G69" s="253">
        <f>IFERROR(aurora_data!BF168,0)</f>
        <v>3</v>
      </c>
      <c r="H69" s="253">
        <f>IFERROR(aurora_data!BG168,0)</f>
        <v>4</v>
      </c>
      <c r="I69" s="254">
        <f>IFERROR(aurora_data!BH168,0)</f>
        <v>1</v>
      </c>
      <c r="J69" s="113">
        <f>IFERROR(aurora_data!BI168,0)</f>
        <v>0</v>
      </c>
      <c r="K69" s="253">
        <f>IFERROR(aurora_data!BJ168,0)</f>
        <v>0</v>
      </c>
      <c r="L69" s="253">
        <f>IFERROR(aurora_data!BK168,0)</f>
        <v>4</v>
      </c>
      <c r="M69" s="253">
        <f>IFERROR(aurora_data!BL168,0)</f>
        <v>2</v>
      </c>
      <c r="N69" s="254">
        <f>IFERROR(aurora_data!BM168,0)</f>
        <v>2</v>
      </c>
      <c r="O69" s="113">
        <f>IFERROR(aurora_data!BN168,0)</f>
        <v>2</v>
      </c>
      <c r="P69" s="253">
        <f>IFERROR(aurora_data!BO168,0)</f>
        <v>1</v>
      </c>
      <c r="Q69" s="253">
        <f>IFERROR(aurora_data!BP168,0)</f>
        <v>2</v>
      </c>
      <c r="R69" s="254">
        <f>IFERROR(aurora_data!BQ168,0)</f>
        <v>3</v>
      </c>
      <c r="S69" s="253">
        <f>IFERROR(aurora_data!BR168,0)</f>
        <v>4</v>
      </c>
      <c r="T69" s="253">
        <f>IFERROR(aurora_data!BS168,0)</f>
        <v>4</v>
      </c>
      <c r="U69" s="254">
        <f>IFERROR(aurora_data!BT168,0)</f>
        <v>0</v>
      </c>
      <c r="V69" s="61" t="s">
        <v>354</v>
      </c>
      <c r="W69" s="113">
        <f>IFERROR(aurora_data!BU168,0)</f>
        <v>8</v>
      </c>
      <c r="X69" s="255">
        <f t="shared" si="16"/>
        <v>0.16</v>
      </c>
    </row>
    <row r="70" spans="2:24" ht="16.5" thickBot="1">
      <c r="B70" s="452"/>
      <c r="C70" s="454"/>
      <c r="D70" s="35" t="s">
        <v>342</v>
      </c>
      <c r="E70" s="113">
        <f>IFERROR(aurora_data!BD169,0)</f>
        <v>0</v>
      </c>
      <c r="F70" s="253">
        <f>IFERROR(aurora_data!BE169,0)</f>
        <v>0</v>
      </c>
      <c r="G70" s="253">
        <f>IFERROR(aurora_data!BF169,0)</f>
        <v>0</v>
      </c>
      <c r="H70" s="253">
        <f>IFERROR(aurora_data!BG169,0)</f>
        <v>0</v>
      </c>
      <c r="I70" s="254">
        <f>IFERROR(aurora_data!BH169,0)</f>
        <v>0</v>
      </c>
      <c r="J70" s="113">
        <f>IFERROR(aurora_data!BI169,0)</f>
        <v>0</v>
      </c>
      <c r="K70" s="253">
        <f>IFERROR(aurora_data!BJ169,0)</f>
        <v>0</v>
      </c>
      <c r="L70" s="253">
        <f>IFERROR(aurora_data!BK169,0)</f>
        <v>0</v>
      </c>
      <c r="M70" s="253">
        <f>IFERROR(aurora_data!BL169,0)</f>
        <v>0</v>
      </c>
      <c r="N70" s="254">
        <f>IFERROR(aurora_data!BM169,0)</f>
        <v>0</v>
      </c>
      <c r="O70" s="113">
        <f>IFERROR(aurora_data!BN169,0)</f>
        <v>0</v>
      </c>
      <c r="P70" s="253">
        <f>IFERROR(aurora_data!BO169,0)</f>
        <v>0</v>
      </c>
      <c r="Q70" s="253">
        <f>IFERROR(aurora_data!BP169,0)</f>
        <v>0</v>
      </c>
      <c r="R70" s="254">
        <f>IFERROR(aurora_data!BQ169,0)</f>
        <v>0</v>
      </c>
      <c r="S70" s="253">
        <f>IFERROR(aurora_data!BR169,0)</f>
        <v>0</v>
      </c>
      <c r="T70" s="253">
        <f>IFERROR(aurora_data!BS169,0)</f>
        <v>0</v>
      </c>
      <c r="U70" s="254">
        <f>IFERROR(aurora_data!BT169,0)</f>
        <v>0</v>
      </c>
      <c r="V70" s="61" t="s">
        <v>354</v>
      </c>
      <c r="W70" s="113">
        <f>IFERROR(aurora_data!BU169,0)</f>
        <v>0</v>
      </c>
      <c r="X70" s="255">
        <f t="shared" si="16"/>
        <v>0</v>
      </c>
    </row>
    <row r="71" spans="2:24" ht="16.5" thickBot="1">
      <c r="B71" s="452"/>
      <c r="C71" s="454"/>
      <c r="D71" s="37" t="s">
        <v>17</v>
      </c>
      <c r="E71" s="59">
        <f>IFERROR(aurora_data!BD170,0)</f>
        <v>0</v>
      </c>
      <c r="F71" s="64">
        <f>IFERROR(aurora_data!BE170,0)</f>
        <v>1</v>
      </c>
      <c r="G71" s="64">
        <f>IFERROR(aurora_data!BF170,0)</f>
        <v>8</v>
      </c>
      <c r="H71" s="64">
        <f>IFERROR(aurora_data!BG170,0)</f>
        <v>18</v>
      </c>
      <c r="I71" s="65">
        <f>IFERROR(aurora_data!BH170,0)</f>
        <v>27</v>
      </c>
      <c r="J71" s="59">
        <f>IFERROR(aurora_data!BI170,0)</f>
        <v>3</v>
      </c>
      <c r="K71" s="64">
        <f>IFERROR(aurora_data!BJ170,0)</f>
        <v>7</v>
      </c>
      <c r="L71" s="64">
        <f>IFERROR(aurora_data!BK170,0)</f>
        <v>10</v>
      </c>
      <c r="M71" s="64">
        <f>IFERROR(aurora_data!BL170,0)</f>
        <v>9</v>
      </c>
      <c r="N71" s="65">
        <f>IFERROR(aurora_data!BM170,0)</f>
        <v>25</v>
      </c>
      <c r="O71" s="59">
        <f>IFERROR(aurora_data!BN170,0)</f>
        <v>18</v>
      </c>
      <c r="P71" s="64">
        <f>IFERROR(aurora_data!BO170,0)</f>
        <v>7</v>
      </c>
      <c r="Q71" s="64">
        <f>IFERROR(aurora_data!BP170,0)</f>
        <v>19</v>
      </c>
      <c r="R71" s="65">
        <f>IFERROR(aurora_data!BQ170,0)</f>
        <v>10</v>
      </c>
      <c r="S71" s="64">
        <f>IFERROR(aurora_data!BR170,0)</f>
        <v>29</v>
      </c>
      <c r="T71" s="64">
        <f>IFERROR(aurora_data!BS170,0)</f>
        <v>25</v>
      </c>
      <c r="U71" s="65">
        <f>IFERROR(aurora_data!BT170,0)</f>
        <v>0</v>
      </c>
      <c r="V71" s="66" t="s">
        <v>354</v>
      </c>
      <c r="W71" s="59">
        <f>IFERROR(aurora_data!BU170,0)</f>
        <v>54</v>
      </c>
      <c r="X71" s="70">
        <f t="shared" si="16"/>
        <v>1.08</v>
      </c>
    </row>
    <row r="72" spans="2:24" ht="16.5" thickBot="1">
      <c r="B72" s="452"/>
      <c r="C72" s="454"/>
      <c r="D72" s="38" t="s">
        <v>343</v>
      </c>
      <c r="E72" s="256">
        <f>IFERROR(aurora_data!BD171,0)</f>
        <v>0</v>
      </c>
      <c r="F72" s="257">
        <f>IFERROR(aurora_data!BE171,0)</f>
        <v>0</v>
      </c>
      <c r="G72" s="257">
        <f>IFERROR(aurora_data!BF171,0)</f>
        <v>0</v>
      </c>
      <c r="H72" s="257">
        <f>IFERROR(aurora_data!BG171,0)</f>
        <v>0</v>
      </c>
      <c r="I72" s="258">
        <f>IFERROR(aurora_data!BH171,0)</f>
        <v>0</v>
      </c>
      <c r="J72" s="256">
        <f>IFERROR(aurora_data!BI171,0)</f>
        <v>0</v>
      </c>
      <c r="K72" s="257">
        <f>IFERROR(aurora_data!BJ171,0)</f>
        <v>0</v>
      </c>
      <c r="L72" s="257">
        <f>IFERROR(aurora_data!BK171,0)</f>
        <v>0</v>
      </c>
      <c r="M72" s="257">
        <f>IFERROR(aurora_data!BL171,0)</f>
        <v>0</v>
      </c>
      <c r="N72" s="258">
        <f>IFERROR(aurora_data!BM171,0)</f>
        <v>0</v>
      </c>
      <c r="O72" s="256">
        <f>IFERROR(aurora_data!BN171,0)</f>
        <v>0</v>
      </c>
      <c r="P72" s="257">
        <f>IFERROR(aurora_data!BO171,0)</f>
        <v>0</v>
      </c>
      <c r="Q72" s="257">
        <f>IFERROR(aurora_data!BP171,0)</f>
        <v>0</v>
      </c>
      <c r="R72" s="258">
        <f>IFERROR(aurora_data!BQ171,0)</f>
        <v>0</v>
      </c>
      <c r="S72" s="257">
        <f>IFERROR(aurora_data!BR171,0)</f>
        <v>0</v>
      </c>
      <c r="T72" s="257">
        <f>IFERROR(aurora_data!BS171,0)</f>
        <v>0</v>
      </c>
      <c r="U72" s="259">
        <f>IFERROR(aurora_data!BT171,0)</f>
        <v>0</v>
      </c>
      <c r="V72" s="260" t="s">
        <v>354</v>
      </c>
      <c r="W72" s="256">
        <f>IFERROR(aurora_data!BU171,0)</f>
        <v>0</v>
      </c>
      <c r="X72" s="261">
        <f t="shared" si="16"/>
        <v>0</v>
      </c>
    </row>
    <row r="73" spans="2:24" hidden="1" outlineLevel="1">
      <c r="B73" s="452"/>
      <c r="C73" s="454"/>
      <c r="D73" s="199" t="s">
        <v>344</v>
      </c>
      <c r="E73" s="271">
        <f>ROUNDDOWN((E75+$E$10)*($W65),0)</f>
        <v>2</v>
      </c>
      <c r="F73" s="272">
        <f>ROUNDDOWN((F75+$E$10)*($W65),0)</f>
        <v>3</v>
      </c>
      <c r="G73" s="272">
        <f>ROUNDDOWN((G75+$E$10)*($W65),0)</f>
        <v>11</v>
      </c>
      <c r="H73" s="272">
        <f>ROUNDDOWN((H75+$E$10)*($W65),0)</f>
        <v>16</v>
      </c>
      <c r="I73" s="272">
        <f>ROUNDDOWN((I75+$E$10)*($W65),0)</f>
        <v>20</v>
      </c>
      <c r="J73" s="271">
        <f>ROUNDDOWN((J75+$J$10)*($W65),0)</f>
        <v>4</v>
      </c>
      <c r="K73" s="272">
        <f>ROUNDDOWN((K75+$J$10)*($W65),0)</f>
        <v>8</v>
      </c>
      <c r="L73" s="272">
        <f>ROUNDDOWN((L75+$J$10)*($W65),0)</f>
        <v>14</v>
      </c>
      <c r="M73" s="272">
        <f>ROUNDDOWN((M75+$J$10)*($W65),0)</f>
        <v>6</v>
      </c>
      <c r="N73" s="268">
        <f>ROUNDDOWN((N75+$J$10)*($W65),0)</f>
        <v>26</v>
      </c>
      <c r="O73" s="271"/>
      <c r="P73" s="272"/>
      <c r="Q73" s="272"/>
      <c r="R73" s="268"/>
      <c r="S73" s="265"/>
      <c r="T73" s="272"/>
      <c r="U73" s="282"/>
      <c r="V73" s="61"/>
      <c r="W73" s="291"/>
      <c r="X73" s="286"/>
    </row>
    <row r="74" spans="2:24" hidden="1" outlineLevel="1">
      <c r="B74" s="452"/>
      <c r="C74" s="454"/>
      <c r="D74" s="199" t="s">
        <v>345</v>
      </c>
      <c r="E74" s="276">
        <f>IF(ROUND(((E75-$E$10)*($W65))+0.25,0) &lt;=0,1,((E75-$E$10)*($W65))+0.25)</f>
        <v>0.78000000000000014</v>
      </c>
      <c r="F74" s="277">
        <f>IF(ROUND(((F75-$E$10)*($W65))+0.25,0) &lt;=0,1,((F75-$E$10)*($W65))+0.25)</f>
        <v>2.14</v>
      </c>
      <c r="G74" s="277">
        <f>IF(ROUND(((G75-$E$10)*($W65))+0.25,0) &lt;=0,1,((G75-$E$10)*($W65))+0.25)</f>
        <v>9.3100000000000023</v>
      </c>
      <c r="H74" s="277">
        <f>IF(ROUND(((H75-$E$10)*($W65))+0.25,0) &lt;=0,1,((H75-$E$10)*($W65))+0.25)</f>
        <v>15.24</v>
      </c>
      <c r="I74" s="277">
        <f>IF(ROUND(((I75-$E$10)*($W65))+0.25,0) &lt;=0,1,((I75-$E$10)*($W65))+0.25)</f>
        <v>18.779999999999998</v>
      </c>
      <c r="J74" s="276">
        <f>IF(ROUND(((J75-$J$10)*($W65))+0.25,0) &lt;=0,1,((J75-$J$10)*($W65))+0.25)</f>
        <v>0.83999999999999986</v>
      </c>
      <c r="K74" s="277">
        <f>IF(ROUND(((K75-$J$10)*($W65))+0.25,0) &lt;=0,1,((K75-$J$10)*($W65))+0.25)</f>
        <v>4.75</v>
      </c>
      <c r="L74" s="277">
        <f>IF(ROUND(((L75-$J$10)*($W65))+0.25,0) &lt;=0,1,((L75-$J$10)*($W65))+0.25)</f>
        <v>10.41</v>
      </c>
      <c r="M74" s="277">
        <f>IF(ROUND(((M75-$J$10)*($W65))+0.25,0) &lt;=0,1,((M75-$J$10)*($W65))+0.25)</f>
        <v>2.9600000000000004</v>
      </c>
      <c r="N74" s="278">
        <f>IF(ROUND(((N75-$J$10)*($W65))+0.25,0) &lt;=0,1,((N75-$J$10)*($W65))+0.25)</f>
        <v>22.290000000000003</v>
      </c>
      <c r="O74" s="276"/>
      <c r="P74" s="277"/>
      <c r="Q74" s="277"/>
      <c r="R74" s="278"/>
      <c r="S74" s="276"/>
      <c r="T74" s="277"/>
      <c r="U74" s="287"/>
      <c r="V74" s="61"/>
      <c r="W74" s="285"/>
      <c r="X74" s="287"/>
    </row>
    <row r="75" spans="2:24" hidden="1" outlineLevel="1">
      <c r="B75" s="452"/>
      <c r="C75" s="454"/>
      <c r="D75" s="95" t="s">
        <v>346</v>
      </c>
      <c r="E75" s="414">
        <f t="shared" ref="E75:N75" si="17">IFERROR(E65/$W65,0)</f>
        <v>3.0600000000000002E-2</v>
      </c>
      <c r="F75" s="415">
        <f t="shared" si="17"/>
        <v>5.7800000000000004E-2</v>
      </c>
      <c r="G75" s="415">
        <f t="shared" si="17"/>
        <v>0.20120000000000002</v>
      </c>
      <c r="H75" s="415">
        <f t="shared" si="17"/>
        <v>0.31980000000000003</v>
      </c>
      <c r="I75" s="415">
        <f t="shared" si="17"/>
        <v>0.3906</v>
      </c>
      <c r="J75" s="414">
        <f t="shared" si="17"/>
        <v>5.1799999999999999E-2</v>
      </c>
      <c r="K75" s="415">
        <f t="shared" si="17"/>
        <v>0.13</v>
      </c>
      <c r="L75" s="415">
        <f t="shared" si="17"/>
        <v>0.2432</v>
      </c>
      <c r="M75" s="415">
        <f t="shared" si="17"/>
        <v>9.4200000000000006E-2</v>
      </c>
      <c r="N75" s="416">
        <f t="shared" si="17"/>
        <v>0.48080000000000001</v>
      </c>
      <c r="O75" s="414"/>
      <c r="P75" s="415"/>
      <c r="Q75" s="415"/>
      <c r="R75" s="416"/>
      <c r="S75" s="414"/>
      <c r="T75" s="415"/>
      <c r="U75" s="254"/>
      <c r="V75" s="61"/>
      <c r="W75" s="113"/>
      <c r="X75" s="431"/>
    </row>
    <row r="76" spans="2:24" hidden="1" outlineLevel="1">
      <c r="B76" s="452"/>
      <c r="C76" s="454"/>
      <c r="D76" s="180" t="s">
        <v>347</v>
      </c>
      <c r="E76" s="414">
        <f t="shared" ref="E76:N76" si="18">IFERROR(E66/$W65,0)</f>
        <v>0</v>
      </c>
      <c r="F76" s="415">
        <f t="shared" si="18"/>
        <v>0.02</v>
      </c>
      <c r="G76" s="415">
        <f t="shared" si="18"/>
        <v>0.1</v>
      </c>
      <c r="H76" s="415">
        <f t="shared" si="18"/>
        <v>0.28000000000000003</v>
      </c>
      <c r="I76" s="415">
        <f t="shared" si="18"/>
        <v>0.4</v>
      </c>
      <c r="J76" s="414">
        <f t="shared" si="18"/>
        <v>0.06</v>
      </c>
      <c r="K76" s="415">
        <f t="shared" si="18"/>
        <v>0.12</v>
      </c>
      <c r="L76" s="415">
        <f t="shared" si="18"/>
        <v>0.12</v>
      </c>
      <c r="M76" s="415">
        <f t="shared" si="18"/>
        <v>0.08</v>
      </c>
      <c r="N76" s="416">
        <f t="shared" si="18"/>
        <v>0.42</v>
      </c>
      <c r="O76" s="414"/>
      <c r="P76" s="415"/>
      <c r="Q76" s="415"/>
      <c r="R76" s="416"/>
      <c r="S76" s="414"/>
      <c r="T76" s="415"/>
      <c r="U76" s="254"/>
      <c r="V76" s="61"/>
      <c r="W76" s="113"/>
      <c r="X76" s="431"/>
    </row>
    <row r="77" spans="2:24" ht="16.5" hidden="1" outlineLevel="1" thickBot="1">
      <c r="B77" s="456"/>
      <c r="C77" s="455"/>
      <c r="D77" s="180" t="s">
        <v>348</v>
      </c>
      <c r="E77" s="414">
        <f t="shared" ref="E77:N77" si="19">E76-E75</f>
        <v>-3.0600000000000002E-2</v>
      </c>
      <c r="F77" s="415">
        <f t="shared" si="19"/>
        <v>-3.78E-2</v>
      </c>
      <c r="G77" s="415">
        <f t="shared" si="19"/>
        <v>-0.10120000000000001</v>
      </c>
      <c r="H77" s="415">
        <f t="shared" si="19"/>
        <v>-3.9800000000000002E-2</v>
      </c>
      <c r="I77" s="415">
        <f t="shared" si="19"/>
        <v>9.4000000000000195E-3</v>
      </c>
      <c r="J77" s="414">
        <f t="shared" si="19"/>
        <v>8.199999999999999E-3</v>
      </c>
      <c r="K77" s="415">
        <f t="shared" si="19"/>
        <v>-1.0000000000000009E-2</v>
      </c>
      <c r="L77" s="415">
        <f t="shared" si="19"/>
        <v>-0.1232</v>
      </c>
      <c r="M77" s="415">
        <f t="shared" si="19"/>
        <v>-1.4200000000000004E-2</v>
      </c>
      <c r="N77" s="416">
        <f t="shared" si="19"/>
        <v>-6.0800000000000021E-2</v>
      </c>
      <c r="O77" s="414"/>
      <c r="P77" s="415"/>
      <c r="Q77" s="415"/>
      <c r="R77" s="416"/>
      <c r="S77" s="432"/>
      <c r="T77" s="415"/>
      <c r="U77" s="254"/>
      <c r="V77" s="61"/>
      <c r="W77" s="113"/>
      <c r="X77" s="431"/>
    </row>
    <row r="78" spans="2:24" collapsed="1">
      <c r="B78" s="451" t="s">
        <v>338</v>
      </c>
      <c r="C78" s="453" t="str">
        <f>aurora_data!BA172</f>
        <v>11.00.00-11.11.30</v>
      </c>
      <c r="D78" s="34" t="s">
        <v>306</v>
      </c>
      <c r="E78" s="39">
        <f>IFERROR(aurora_data!BD172,0)</f>
        <v>1.69</v>
      </c>
      <c r="F78" s="40">
        <f>IFERROR(aurora_data!BE172,0)</f>
        <v>2.89</v>
      </c>
      <c r="G78" s="40">
        <f>IFERROR(aurora_data!BF172,0)</f>
        <v>9.89</v>
      </c>
      <c r="H78" s="40">
        <f>IFERROR(aurora_data!BG172,0)</f>
        <v>15.99</v>
      </c>
      <c r="I78" s="41">
        <f>IFERROR(aurora_data!BH172,0)</f>
        <v>19.54</v>
      </c>
      <c r="J78" s="39">
        <f>IFERROR(aurora_data!BI172,0)</f>
        <v>2.71</v>
      </c>
      <c r="K78" s="40">
        <f>IFERROR(aurora_data!BJ172,0)</f>
        <v>6.31</v>
      </c>
      <c r="L78" s="40">
        <f>IFERROR(aurora_data!BK172,0)</f>
        <v>12.35</v>
      </c>
      <c r="M78" s="40">
        <f>IFERROR(aurora_data!BL172,0)</f>
        <v>4.76</v>
      </c>
      <c r="N78" s="41">
        <f>IFERROR(aurora_data!BM172,0)</f>
        <v>23.86</v>
      </c>
      <c r="O78" s="39">
        <f>IFERROR(aurora_data!BN172,0)</f>
        <v>10.41</v>
      </c>
      <c r="P78" s="40">
        <f>IFERROR(aurora_data!BO172,0)</f>
        <v>8.02</v>
      </c>
      <c r="Q78" s="40">
        <f>IFERROR(aurora_data!BP172,0)</f>
        <v>19.73</v>
      </c>
      <c r="R78" s="41">
        <f>IFERROR(aurora_data!BQ172,0)</f>
        <v>11.83</v>
      </c>
      <c r="S78" s="40">
        <f>IFERROR(aurora_data!BR172,0)</f>
        <v>25</v>
      </c>
      <c r="T78" s="40">
        <f>IFERROR(aurora_data!BS172,0)</f>
        <v>25</v>
      </c>
      <c r="U78" s="41">
        <f>IFERROR(aurora_data!BT172,0)</f>
        <v>0</v>
      </c>
      <c r="V78" s="61" t="s">
        <v>354</v>
      </c>
      <c r="W78" s="39">
        <f>IFERROR(aurora_data!BU172,0)</f>
        <v>50</v>
      </c>
      <c r="X78" s="69">
        <f t="shared" ref="X78:X85" si="20">IFERROR(W78/$W$78,0)</f>
        <v>1</v>
      </c>
    </row>
    <row r="79" spans="2:24">
      <c r="B79" s="452"/>
      <c r="C79" s="454"/>
      <c r="D79" s="35" t="s">
        <v>339</v>
      </c>
      <c r="E79" s="113">
        <f>IFERROR(aurora_data!BD173,0)</f>
        <v>1</v>
      </c>
      <c r="F79" s="253">
        <f>IFERROR(aurora_data!BE173,0)</f>
        <v>1</v>
      </c>
      <c r="G79" s="253">
        <f>IFERROR(aurora_data!BF173,0)</f>
        <v>5</v>
      </c>
      <c r="H79" s="253">
        <f>IFERROR(aurora_data!BG173,0)</f>
        <v>12</v>
      </c>
      <c r="I79" s="254">
        <f>IFERROR(aurora_data!BH173,0)</f>
        <v>20</v>
      </c>
      <c r="J79" s="113">
        <f>IFERROR(aurora_data!BI173,0)</f>
        <v>1</v>
      </c>
      <c r="K79" s="253">
        <f>IFERROR(aurora_data!BJ173,0)</f>
        <v>5</v>
      </c>
      <c r="L79" s="253">
        <f>IFERROR(aurora_data!BK173,0)</f>
        <v>8</v>
      </c>
      <c r="M79" s="253">
        <f>IFERROR(aurora_data!BL173,0)</f>
        <v>4</v>
      </c>
      <c r="N79" s="254">
        <f>IFERROR(aurora_data!BM173,0)</f>
        <v>21</v>
      </c>
      <c r="O79" s="113">
        <f>IFERROR(aurora_data!BN173,0)</f>
        <v>12</v>
      </c>
      <c r="P79" s="253">
        <f>IFERROR(aurora_data!BO173,0)</f>
        <v>6</v>
      </c>
      <c r="Q79" s="253">
        <f>IFERROR(aurora_data!BP173,0)</f>
        <v>12</v>
      </c>
      <c r="R79" s="254">
        <f>IFERROR(aurora_data!BQ173,0)</f>
        <v>9</v>
      </c>
      <c r="S79" s="253">
        <f>IFERROR(aurora_data!BR173,0)</f>
        <v>19</v>
      </c>
      <c r="T79" s="253">
        <f>IFERROR(aurora_data!BS173,0)</f>
        <v>20</v>
      </c>
      <c r="U79" s="254">
        <f>IFERROR(aurora_data!BT173,0)</f>
        <v>0</v>
      </c>
      <c r="V79" s="61" t="s">
        <v>354</v>
      </c>
      <c r="W79" s="113">
        <f>IFERROR(aurora_data!BU173,0)</f>
        <v>39</v>
      </c>
      <c r="X79" s="255">
        <f t="shared" si="20"/>
        <v>0.78</v>
      </c>
    </row>
    <row r="80" spans="2:24">
      <c r="B80" s="452"/>
      <c r="C80" s="454"/>
      <c r="D80" s="35" t="s">
        <v>291</v>
      </c>
      <c r="E80" s="113">
        <f>IFERROR(aurora_data!BD174,0)</f>
        <v>0</v>
      </c>
      <c r="F80" s="253">
        <f>IFERROR(aurora_data!BE174,0)</f>
        <v>0</v>
      </c>
      <c r="G80" s="253">
        <f>IFERROR(aurora_data!BF174,0)</f>
        <v>1</v>
      </c>
      <c r="H80" s="253">
        <f>IFERROR(aurora_data!BG174,0)</f>
        <v>1</v>
      </c>
      <c r="I80" s="254">
        <f>IFERROR(aurora_data!BH174,0)</f>
        <v>8</v>
      </c>
      <c r="J80" s="113">
        <f>IFERROR(aurora_data!BI174,0)</f>
        <v>0</v>
      </c>
      <c r="K80" s="253">
        <f>IFERROR(aurora_data!BJ174,0)</f>
        <v>2</v>
      </c>
      <c r="L80" s="253">
        <f>IFERROR(aurora_data!BK174,0)</f>
        <v>0</v>
      </c>
      <c r="M80" s="253">
        <f>IFERROR(aurora_data!BL174,0)</f>
        <v>2</v>
      </c>
      <c r="N80" s="254">
        <f>IFERROR(aurora_data!BM174,0)</f>
        <v>6</v>
      </c>
      <c r="O80" s="113">
        <f>IFERROR(aurora_data!BN174,0)</f>
        <v>5</v>
      </c>
      <c r="P80" s="253">
        <f>IFERROR(aurora_data!BO174,0)</f>
        <v>4</v>
      </c>
      <c r="Q80" s="253">
        <f>IFERROR(aurora_data!BP174,0)</f>
        <v>1</v>
      </c>
      <c r="R80" s="254">
        <f>IFERROR(aurora_data!BQ174,0)</f>
        <v>0</v>
      </c>
      <c r="S80" s="253">
        <f>IFERROR(aurora_data!BR174,0)</f>
        <v>7</v>
      </c>
      <c r="T80" s="253">
        <f>IFERROR(aurora_data!BS174,0)</f>
        <v>3</v>
      </c>
      <c r="U80" s="254">
        <f>IFERROR(aurora_data!BT174,0)</f>
        <v>0</v>
      </c>
      <c r="V80" s="61" t="s">
        <v>354</v>
      </c>
      <c r="W80" s="113">
        <f>IFERROR(aurora_data!BU174,0)</f>
        <v>10</v>
      </c>
      <c r="X80" s="255">
        <f t="shared" si="20"/>
        <v>0.2</v>
      </c>
    </row>
    <row r="81" spans="1:24">
      <c r="B81" s="452"/>
      <c r="C81" s="454"/>
      <c r="D81" s="35" t="s">
        <v>340</v>
      </c>
      <c r="E81" s="113">
        <f>IFERROR(aurora_data!BD175,0)</f>
        <v>0</v>
      </c>
      <c r="F81" s="253">
        <f>IFERROR(aurora_data!BE175,0)</f>
        <v>0</v>
      </c>
      <c r="G81" s="253">
        <f>IFERROR(aurora_data!BF175,0)</f>
        <v>0</v>
      </c>
      <c r="H81" s="253">
        <f>IFERROR(aurora_data!BG175,0)</f>
        <v>1</v>
      </c>
      <c r="I81" s="254">
        <f>IFERROR(aurora_data!BH175,0)</f>
        <v>0</v>
      </c>
      <c r="J81" s="113">
        <f>IFERROR(aurora_data!BI175,0)</f>
        <v>0</v>
      </c>
      <c r="K81" s="253">
        <f>IFERROR(aurora_data!BJ175,0)</f>
        <v>0</v>
      </c>
      <c r="L81" s="253">
        <f>IFERROR(aurora_data!BK175,0)</f>
        <v>1</v>
      </c>
      <c r="M81" s="253">
        <f>IFERROR(aurora_data!BL175,0)</f>
        <v>0</v>
      </c>
      <c r="N81" s="254">
        <f>IFERROR(aurora_data!BM175,0)</f>
        <v>0</v>
      </c>
      <c r="O81" s="113">
        <f>IFERROR(aurora_data!BN175,0)</f>
        <v>1</v>
      </c>
      <c r="P81" s="253">
        <f>IFERROR(aurora_data!BO175,0)</f>
        <v>0</v>
      </c>
      <c r="Q81" s="253">
        <f>IFERROR(aurora_data!BP175,0)</f>
        <v>0</v>
      </c>
      <c r="R81" s="254">
        <f>IFERROR(aurora_data!BQ175,0)</f>
        <v>0</v>
      </c>
      <c r="S81" s="253">
        <f>IFERROR(aurora_data!BR175,0)</f>
        <v>0</v>
      </c>
      <c r="T81" s="253">
        <f>IFERROR(aurora_data!BS175,0)</f>
        <v>1</v>
      </c>
      <c r="U81" s="254">
        <f>IFERROR(aurora_data!BT175,0)</f>
        <v>0</v>
      </c>
      <c r="V81" s="61" t="s">
        <v>354</v>
      </c>
      <c r="W81" s="113">
        <f>IFERROR(aurora_data!BU175,0)</f>
        <v>1</v>
      </c>
      <c r="X81" s="255">
        <f t="shared" si="20"/>
        <v>0.02</v>
      </c>
    </row>
    <row r="82" spans="1:24">
      <c r="B82" s="452"/>
      <c r="C82" s="454"/>
      <c r="D82" s="35" t="s">
        <v>341</v>
      </c>
      <c r="E82" s="113">
        <f>IFERROR(aurora_data!BD176,0)</f>
        <v>0</v>
      </c>
      <c r="F82" s="253">
        <f>IFERROR(aurora_data!BE176,0)</f>
        <v>0</v>
      </c>
      <c r="G82" s="253">
        <f>IFERROR(aurora_data!BF176,0)</f>
        <v>2</v>
      </c>
      <c r="H82" s="253">
        <f>IFERROR(aurora_data!BG176,0)</f>
        <v>3</v>
      </c>
      <c r="I82" s="254">
        <f>IFERROR(aurora_data!BH176,0)</f>
        <v>0</v>
      </c>
      <c r="J82" s="113">
        <f>IFERROR(aurora_data!BI176,0)</f>
        <v>0</v>
      </c>
      <c r="K82" s="253">
        <f>IFERROR(aurora_data!BJ176,0)</f>
        <v>0</v>
      </c>
      <c r="L82" s="253">
        <f>IFERROR(aurora_data!BK176,0)</f>
        <v>3</v>
      </c>
      <c r="M82" s="253">
        <f>IFERROR(aurora_data!BL176,0)</f>
        <v>0</v>
      </c>
      <c r="N82" s="254">
        <f>IFERROR(aurora_data!BM176,0)</f>
        <v>2</v>
      </c>
      <c r="O82" s="113">
        <f>IFERROR(aurora_data!BN176,0)</f>
        <v>3</v>
      </c>
      <c r="P82" s="253">
        <f>IFERROR(aurora_data!BO176,0)</f>
        <v>0</v>
      </c>
      <c r="Q82" s="253">
        <f>IFERROR(aurora_data!BP176,0)</f>
        <v>2</v>
      </c>
      <c r="R82" s="254">
        <f>IFERROR(aurora_data!BQ176,0)</f>
        <v>0</v>
      </c>
      <c r="S82" s="253">
        <f>IFERROR(aurora_data!BR176,0)</f>
        <v>2</v>
      </c>
      <c r="T82" s="253">
        <f>IFERROR(aurora_data!BS176,0)</f>
        <v>3</v>
      </c>
      <c r="U82" s="254">
        <f>IFERROR(aurora_data!BT176,0)</f>
        <v>0</v>
      </c>
      <c r="V82" s="61" t="s">
        <v>354</v>
      </c>
      <c r="W82" s="113">
        <f>IFERROR(aurora_data!BU176,0)</f>
        <v>5</v>
      </c>
      <c r="X82" s="255">
        <f t="shared" si="20"/>
        <v>0.1</v>
      </c>
    </row>
    <row r="83" spans="1:24" ht="16.5" thickBot="1">
      <c r="B83" s="452"/>
      <c r="C83" s="454"/>
      <c r="D83" s="35" t="s">
        <v>342</v>
      </c>
      <c r="E83" s="113">
        <f>IFERROR(aurora_data!BD177,0)</f>
        <v>0</v>
      </c>
      <c r="F83" s="253">
        <f>IFERROR(aurora_data!BE177,0)</f>
        <v>0</v>
      </c>
      <c r="G83" s="253">
        <f>IFERROR(aurora_data!BF177,0)</f>
        <v>0</v>
      </c>
      <c r="H83" s="253">
        <f>IFERROR(aurora_data!BG177,0)</f>
        <v>0</v>
      </c>
      <c r="I83" s="254">
        <f>IFERROR(aurora_data!BH177,0)</f>
        <v>0</v>
      </c>
      <c r="J83" s="113">
        <f>IFERROR(aurora_data!BI177,0)</f>
        <v>0</v>
      </c>
      <c r="K83" s="253">
        <f>IFERROR(aurora_data!BJ177,0)</f>
        <v>0</v>
      </c>
      <c r="L83" s="253">
        <f>IFERROR(aurora_data!BK177,0)</f>
        <v>0</v>
      </c>
      <c r="M83" s="253">
        <f>IFERROR(aurora_data!BL177,0)</f>
        <v>0</v>
      </c>
      <c r="N83" s="254">
        <f>IFERROR(aurora_data!BM177,0)</f>
        <v>0</v>
      </c>
      <c r="O83" s="113">
        <f>IFERROR(aurora_data!BN177,0)</f>
        <v>0</v>
      </c>
      <c r="P83" s="253">
        <f>IFERROR(aurora_data!BO177,0)</f>
        <v>0</v>
      </c>
      <c r="Q83" s="253">
        <f>IFERROR(aurora_data!BP177,0)</f>
        <v>0</v>
      </c>
      <c r="R83" s="254">
        <f>IFERROR(aurora_data!BQ177,0)</f>
        <v>0</v>
      </c>
      <c r="S83" s="253">
        <f>IFERROR(aurora_data!BR177,0)</f>
        <v>0</v>
      </c>
      <c r="T83" s="253">
        <f>IFERROR(aurora_data!BS177,0)</f>
        <v>0</v>
      </c>
      <c r="U83" s="254">
        <f>IFERROR(aurora_data!BT177,0)</f>
        <v>0</v>
      </c>
      <c r="V83" s="61" t="s">
        <v>354</v>
      </c>
      <c r="W83" s="113">
        <f>IFERROR(aurora_data!BU177,0)</f>
        <v>0</v>
      </c>
      <c r="X83" s="255">
        <f t="shared" si="20"/>
        <v>0</v>
      </c>
    </row>
    <row r="84" spans="1:24" ht="16.5" thickBot="1">
      <c r="B84" s="452"/>
      <c r="C84" s="454"/>
      <c r="D84" s="37" t="s">
        <v>17</v>
      </c>
      <c r="E84" s="59">
        <f>IFERROR(aurora_data!BD178,0)</f>
        <v>1</v>
      </c>
      <c r="F84" s="64">
        <f>IFERROR(aurora_data!BE178,0)</f>
        <v>1</v>
      </c>
      <c r="G84" s="64">
        <f>IFERROR(aurora_data!BF178,0)</f>
        <v>8</v>
      </c>
      <c r="H84" s="64">
        <f>IFERROR(aurora_data!BG178,0)</f>
        <v>17</v>
      </c>
      <c r="I84" s="65">
        <f>IFERROR(aurora_data!BH178,0)</f>
        <v>28</v>
      </c>
      <c r="J84" s="59">
        <f>IFERROR(aurora_data!BI178,0)</f>
        <v>1</v>
      </c>
      <c r="K84" s="64">
        <f>IFERROR(aurora_data!BJ178,0)</f>
        <v>7</v>
      </c>
      <c r="L84" s="64">
        <f>IFERROR(aurora_data!BK178,0)</f>
        <v>12</v>
      </c>
      <c r="M84" s="64">
        <f>IFERROR(aurora_data!BL178,0)</f>
        <v>6</v>
      </c>
      <c r="N84" s="65">
        <f>IFERROR(aurora_data!BM178,0)</f>
        <v>29</v>
      </c>
      <c r="O84" s="59">
        <f>IFERROR(aurora_data!BN178,0)</f>
        <v>21</v>
      </c>
      <c r="P84" s="64">
        <f>IFERROR(aurora_data!BO178,0)</f>
        <v>10</v>
      </c>
      <c r="Q84" s="64">
        <f>IFERROR(aurora_data!BP178,0)</f>
        <v>15</v>
      </c>
      <c r="R84" s="65">
        <f>IFERROR(aurora_data!BQ178,0)</f>
        <v>9</v>
      </c>
      <c r="S84" s="64">
        <f>IFERROR(aurora_data!BR178,0)</f>
        <v>28</v>
      </c>
      <c r="T84" s="64">
        <f>IFERROR(aurora_data!BS178,0)</f>
        <v>27</v>
      </c>
      <c r="U84" s="65">
        <f>IFERROR(aurora_data!BT178,0)</f>
        <v>0</v>
      </c>
      <c r="V84" s="66" t="s">
        <v>354</v>
      </c>
      <c r="W84" s="59">
        <f>IFERROR(aurora_data!BU178,0)</f>
        <v>55</v>
      </c>
      <c r="X84" s="70">
        <f t="shared" si="20"/>
        <v>1.1000000000000001</v>
      </c>
    </row>
    <row r="85" spans="1:24" ht="16.5" thickBot="1">
      <c r="B85" s="452"/>
      <c r="C85" s="454"/>
      <c r="D85" s="38" t="s">
        <v>343</v>
      </c>
      <c r="E85" s="256">
        <f>IFERROR(aurora_data!BD179,0)</f>
        <v>0</v>
      </c>
      <c r="F85" s="257">
        <f>IFERROR(aurora_data!BE179,0)</f>
        <v>0</v>
      </c>
      <c r="G85" s="257">
        <f>IFERROR(aurora_data!BF179,0)</f>
        <v>1</v>
      </c>
      <c r="H85" s="257">
        <f>IFERROR(aurora_data!BG179,0)</f>
        <v>0</v>
      </c>
      <c r="I85" s="258">
        <f>IFERROR(aurora_data!BH179,0)</f>
        <v>0</v>
      </c>
      <c r="J85" s="256">
        <f>IFERROR(aurora_data!BI179,0)</f>
        <v>0</v>
      </c>
      <c r="K85" s="257">
        <f>IFERROR(aurora_data!BJ179,0)</f>
        <v>1</v>
      </c>
      <c r="L85" s="257">
        <f>IFERROR(aurora_data!BK179,0)</f>
        <v>0</v>
      </c>
      <c r="M85" s="257">
        <f>IFERROR(aurora_data!BL179,0)</f>
        <v>0</v>
      </c>
      <c r="N85" s="258">
        <f>IFERROR(aurora_data!BM179,0)</f>
        <v>0</v>
      </c>
      <c r="O85" s="256">
        <f>IFERROR(aurora_data!BN179,0)</f>
        <v>0</v>
      </c>
      <c r="P85" s="257">
        <f>IFERROR(aurora_data!BO179,0)</f>
        <v>0</v>
      </c>
      <c r="Q85" s="257">
        <f>IFERROR(aurora_data!BP179,0)</f>
        <v>1</v>
      </c>
      <c r="R85" s="258">
        <f>IFERROR(aurora_data!BQ179,0)</f>
        <v>0</v>
      </c>
      <c r="S85" s="257">
        <f>IFERROR(aurora_data!BR179,0)</f>
        <v>0</v>
      </c>
      <c r="T85" s="257">
        <f>IFERROR(aurora_data!BS179,0)</f>
        <v>1</v>
      </c>
      <c r="U85" s="259">
        <f>IFERROR(aurora_data!BT179,0)</f>
        <v>0</v>
      </c>
      <c r="V85" s="260" t="s">
        <v>354</v>
      </c>
      <c r="W85" s="256">
        <f>IFERROR(aurora_data!BU179,0)</f>
        <v>1</v>
      </c>
      <c r="X85" s="261">
        <f t="shared" si="20"/>
        <v>0.02</v>
      </c>
    </row>
    <row r="86" spans="1:24" hidden="1" outlineLevel="1">
      <c r="B86" s="452"/>
      <c r="C86" s="454"/>
      <c r="D86" s="199" t="s">
        <v>344</v>
      </c>
      <c r="E86" s="271">
        <f>ROUNDDOWN((E88+$E$10)*($W78),0)</f>
        <v>2</v>
      </c>
      <c r="F86" s="272">
        <f>ROUNDDOWN((F88+$E$10)*($W78),0)</f>
        <v>3</v>
      </c>
      <c r="G86" s="272">
        <f>ROUNDDOWN((G88+$E$10)*($W78),0)</f>
        <v>10</v>
      </c>
      <c r="H86" s="272">
        <f>ROUNDDOWN((H88+$E$10)*($W78),0)</f>
        <v>16</v>
      </c>
      <c r="I86" s="272">
        <f>ROUNDDOWN((I88+$E$10)*($W78),0)</f>
        <v>20</v>
      </c>
      <c r="J86" s="271">
        <f>ROUNDDOWN((J88+$J$10)*($W78),0)</f>
        <v>4</v>
      </c>
      <c r="K86" s="272">
        <f>ROUNDDOWN((K88+$J$10)*($W78),0)</f>
        <v>8</v>
      </c>
      <c r="L86" s="272">
        <f>ROUNDDOWN((L88+$J$10)*($W78),0)</f>
        <v>14</v>
      </c>
      <c r="M86" s="272">
        <f>ROUNDDOWN((M88+$J$10)*($W78),0)</f>
        <v>6</v>
      </c>
      <c r="N86" s="268">
        <f>ROUNDDOWN((N88+$J$10)*($W78),0)</f>
        <v>25</v>
      </c>
      <c r="O86" s="271"/>
      <c r="P86" s="272"/>
      <c r="Q86" s="272"/>
      <c r="R86" s="268"/>
      <c r="S86" s="265"/>
      <c r="T86" s="272"/>
      <c r="U86" s="282"/>
      <c r="V86" s="61"/>
      <c r="W86" s="291"/>
      <c r="X86" s="286"/>
    </row>
    <row r="87" spans="1:24" hidden="1" outlineLevel="1">
      <c r="B87" s="452"/>
      <c r="C87" s="454"/>
      <c r="D87" s="199" t="s">
        <v>345</v>
      </c>
      <c r="E87" s="276">
        <f>IF(ROUND(((E88-$E$10)*($W78))+0.25,0) &lt;=0,1,((E88-$E$10)*($W78))+0.25)</f>
        <v>0.93999999999999984</v>
      </c>
      <c r="F87" s="277">
        <f>IF(ROUND(((F88-$E$10)*($W78))+0.25,0) &lt;=0,1,((F88-$E$10)*($W78))+0.25)</f>
        <v>2.14</v>
      </c>
      <c r="G87" s="277">
        <f>IF(ROUND(((G88-$E$10)*($W78))+0.25,0) &lt;=0,1,((G88-$E$10)*($W78))+0.25)</f>
        <v>9.14</v>
      </c>
      <c r="H87" s="277">
        <f>IF(ROUND(((H88-$E$10)*($W78))+0.25,0) &lt;=0,1,((H88-$E$10)*($W78))+0.25)</f>
        <v>15.24</v>
      </c>
      <c r="I87" s="277">
        <f>IF(ROUND(((I88-$E$10)*($W78))+0.25,0) &lt;=0,1,((I88-$E$10)*($W78))+0.25)</f>
        <v>18.79</v>
      </c>
      <c r="J87" s="276">
        <f>IF(ROUND(((J88-$J$10)*($W78))+0.25,0) &lt;=0,1,((J88-$J$10)*($W78))+0.25)</f>
        <v>0.95999999999999985</v>
      </c>
      <c r="K87" s="277">
        <f>IF(ROUND(((K88-$J$10)*($W78))+0.25,0) &lt;=0,1,((K88-$J$10)*($W78))+0.25)</f>
        <v>4.5599999999999987</v>
      </c>
      <c r="L87" s="277">
        <f>IF(ROUND(((L88-$J$10)*($W78))+0.25,0) &lt;=0,1,((L88-$J$10)*($W78))+0.25)</f>
        <v>10.6</v>
      </c>
      <c r="M87" s="277">
        <f>IF(ROUND(((M88-$J$10)*($W78))+0.25,0) &lt;=0,1,((M88-$J$10)*($W78))+0.25)</f>
        <v>3.01</v>
      </c>
      <c r="N87" s="278">
        <f>IF(ROUND(((N88-$J$10)*($W78))+0.25,0) &lt;=0,1,((N88-$J$10)*($W78))+0.25)</f>
        <v>22.110000000000003</v>
      </c>
      <c r="O87" s="276"/>
      <c r="P87" s="277"/>
      <c r="Q87" s="277"/>
      <c r="R87" s="278"/>
      <c r="S87" s="276"/>
      <c r="T87" s="277"/>
      <c r="U87" s="287"/>
      <c r="V87" s="61"/>
      <c r="W87" s="285"/>
      <c r="X87" s="287"/>
    </row>
    <row r="88" spans="1:24" hidden="1" outlineLevel="1">
      <c r="B88" s="452"/>
      <c r="C88" s="454"/>
      <c r="D88" s="95" t="s">
        <v>346</v>
      </c>
      <c r="E88" s="414">
        <f t="shared" ref="E88:N88" si="21">IFERROR(E78/$W78,0)</f>
        <v>3.3799999999999997E-2</v>
      </c>
      <c r="F88" s="415">
        <f t="shared" si="21"/>
        <v>5.7800000000000004E-2</v>
      </c>
      <c r="G88" s="415">
        <f t="shared" si="21"/>
        <v>0.1978</v>
      </c>
      <c r="H88" s="415">
        <f t="shared" si="21"/>
        <v>0.31980000000000003</v>
      </c>
      <c r="I88" s="415">
        <f t="shared" si="21"/>
        <v>0.39079999999999998</v>
      </c>
      <c r="J88" s="414">
        <f t="shared" si="21"/>
        <v>5.4199999999999998E-2</v>
      </c>
      <c r="K88" s="415">
        <f t="shared" si="21"/>
        <v>0.12619999999999998</v>
      </c>
      <c r="L88" s="415">
        <f t="shared" si="21"/>
        <v>0.247</v>
      </c>
      <c r="M88" s="415">
        <f t="shared" si="21"/>
        <v>9.5199999999999993E-2</v>
      </c>
      <c r="N88" s="416">
        <f t="shared" si="21"/>
        <v>0.47720000000000001</v>
      </c>
      <c r="O88" s="414"/>
      <c r="P88" s="415"/>
      <c r="Q88" s="415"/>
      <c r="R88" s="416"/>
      <c r="S88" s="414"/>
      <c r="T88" s="415"/>
      <c r="U88" s="254"/>
      <c r="V88" s="61"/>
      <c r="W88" s="113"/>
      <c r="X88" s="431"/>
    </row>
    <row r="89" spans="1:24" hidden="1" outlineLevel="1">
      <c r="B89" s="452"/>
      <c r="C89" s="454"/>
      <c r="D89" s="180" t="s">
        <v>347</v>
      </c>
      <c r="E89" s="414">
        <f t="shared" ref="E89:N89" si="22">IFERROR(E79/$W78,0)</f>
        <v>0.02</v>
      </c>
      <c r="F89" s="415">
        <f t="shared" si="22"/>
        <v>0.02</v>
      </c>
      <c r="G89" s="415">
        <f t="shared" si="22"/>
        <v>0.1</v>
      </c>
      <c r="H89" s="415">
        <f t="shared" si="22"/>
        <v>0.24</v>
      </c>
      <c r="I89" s="415">
        <f t="shared" si="22"/>
        <v>0.4</v>
      </c>
      <c r="J89" s="414">
        <f t="shared" si="22"/>
        <v>0.02</v>
      </c>
      <c r="K89" s="415">
        <f t="shared" si="22"/>
        <v>0.1</v>
      </c>
      <c r="L89" s="415">
        <f t="shared" si="22"/>
        <v>0.16</v>
      </c>
      <c r="M89" s="415">
        <f t="shared" si="22"/>
        <v>0.08</v>
      </c>
      <c r="N89" s="416">
        <f t="shared" si="22"/>
        <v>0.42</v>
      </c>
      <c r="O89" s="414"/>
      <c r="P89" s="415"/>
      <c r="Q89" s="415"/>
      <c r="R89" s="416"/>
      <c r="S89" s="414"/>
      <c r="T89" s="415"/>
      <c r="U89" s="254"/>
      <c r="V89" s="61"/>
      <c r="W89" s="113"/>
      <c r="X89" s="431"/>
    </row>
    <row r="90" spans="1:24" ht="16.5" hidden="1" outlineLevel="1" thickBot="1">
      <c r="A90"/>
      <c r="B90" s="456"/>
      <c r="C90" s="455"/>
      <c r="D90" s="180" t="s">
        <v>348</v>
      </c>
      <c r="E90" s="414">
        <f t="shared" ref="E90:N90" si="23">E89-E88</f>
        <v>-1.3799999999999996E-2</v>
      </c>
      <c r="F90" s="415">
        <f t="shared" si="23"/>
        <v>-3.78E-2</v>
      </c>
      <c r="G90" s="415">
        <f t="shared" si="23"/>
        <v>-9.7799999999999998E-2</v>
      </c>
      <c r="H90" s="415">
        <f t="shared" si="23"/>
        <v>-7.9800000000000038E-2</v>
      </c>
      <c r="I90" s="415">
        <f t="shared" si="23"/>
        <v>9.2000000000000415E-3</v>
      </c>
      <c r="J90" s="414">
        <f t="shared" si="23"/>
        <v>-3.4199999999999994E-2</v>
      </c>
      <c r="K90" s="415">
        <f t="shared" si="23"/>
        <v>-2.6199999999999973E-2</v>
      </c>
      <c r="L90" s="415">
        <f t="shared" si="23"/>
        <v>-8.6999999999999994E-2</v>
      </c>
      <c r="M90" s="415">
        <f t="shared" si="23"/>
        <v>-1.5199999999999991E-2</v>
      </c>
      <c r="N90" s="416">
        <f t="shared" si="23"/>
        <v>-5.7200000000000029E-2</v>
      </c>
      <c r="O90" s="414"/>
      <c r="P90" s="415"/>
      <c r="Q90" s="415"/>
      <c r="R90" s="416"/>
      <c r="S90" s="432"/>
      <c r="T90" s="415"/>
      <c r="U90" s="254"/>
      <c r="V90" s="61"/>
      <c r="W90" s="113"/>
      <c r="X90" s="431"/>
    </row>
    <row r="91" spans="1:24" collapsed="1">
      <c r="B91" s="451" t="s">
        <v>338</v>
      </c>
      <c r="C91" s="453" t="str">
        <f>aurora_data!BA180</f>
        <v>12.00.00-12.11.30</v>
      </c>
      <c r="D91" s="34" t="s">
        <v>306</v>
      </c>
      <c r="E91" s="39">
        <f>IFERROR(aurora_data!BD180,0)</f>
        <v>1.83</v>
      </c>
      <c r="F91" s="40">
        <f>IFERROR(aurora_data!BE180,0)</f>
        <v>2.93</v>
      </c>
      <c r="G91" s="40">
        <f>IFERROR(aurora_data!BF180,0)</f>
        <v>9.98</v>
      </c>
      <c r="H91" s="40">
        <f>IFERROR(aurora_data!BG180,0)</f>
        <v>16.16</v>
      </c>
      <c r="I91" s="41">
        <f>IFERROR(aurora_data!BH180,0)</f>
        <v>19.100000000000001</v>
      </c>
      <c r="J91" s="39">
        <f>IFERROR(aurora_data!BI180,0)</f>
        <v>2.4300000000000002</v>
      </c>
      <c r="K91" s="40">
        <f>IFERROR(aurora_data!BJ180,0)</f>
        <v>6.46</v>
      </c>
      <c r="L91" s="40">
        <f>IFERROR(aurora_data!BK180,0)</f>
        <v>12.48</v>
      </c>
      <c r="M91" s="40">
        <f>IFERROR(aurora_data!BL180,0)</f>
        <v>4.8099999999999996</v>
      </c>
      <c r="N91" s="41">
        <f>IFERROR(aurora_data!BM180,0)</f>
        <v>23.83</v>
      </c>
      <c r="O91" s="39">
        <f>IFERROR(aurora_data!BN180,0)</f>
        <v>10.61</v>
      </c>
      <c r="P91" s="40">
        <f>IFERROR(aurora_data!BO180,0)</f>
        <v>7.87</v>
      </c>
      <c r="Q91" s="40">
        <f>IFERROR(aurora_data!BP180,0)</f>
        <v>19.559999999999999</v>
      </c>
      <c r="R91" s="41">
        <f>IFERROR(aurora_data!BQ180,0)</f>
        <v>11.96</v>
      </c>
      <c r="S91" s="40">
        <f>IFERROR(aurora_data!BR180,0)</f>
        <v>25</v>
      </c>
      <c r="T91" s="40">
        <f>IFERROR(aurora_data!BS180,0)</f>
        <v>25</v>
      </c>
      <c r="U91" s="41">
        <f>IFERROR(aurora_data!BT180,0)</f>
        <v>0</v>
      </c>
      <c r="V91" s="61" t="s">
        <v>354</v>
      </c>
      <c r="W91" s="39">
        <f>IFERROR(aurora_data!BU180,0)</f>
        <v>50</v>
      </c>
      <c r="X91" s="69">
        <f t="shared" ref="X91:X98" si="24">IFERROR(W91/$W$91,0)</f>
        <v>1</v>
      </c>
    </row>
    <row r="92" spans="1:24">
      <c r="B92" s="452"/>
      <c r="C92" s="454"/>
      <c r="D92" s="35" t="s">
        <v>339</v>
      </c>
      <c r="E92" s="113">
        <f>IFERROR(aurora_data!BD181,0)</f>
        <v>2</v>
      </c>
      <c r="F92" s="253">
        <f>IFERROR(aurora_data!BE181,0)</f>
        <v>2</v>
      </c>
      <c r="G92" s="253">
        <f>IFERROR(aurora_data!BF181,0)</f>
        <v>7</v>
      </c>
      <c r="H92" s="253">
        <f>IFERROR(aurora_data!BG181,0)</f>
        <v>14</v>
      </c>
      <c r="I92" s="254">
        <f>IFERROR(aurora_data!BH181,0)</f>
        <v>19</v>
      </c>
      <c r="J92" s="113">
        <f>IFERROR(aurora_data!BI181,0)</f>
        <v>1</v>
      </c>
      <c r="K92" s="253">
        <f>IFERROR(aurora_data!BJ181,0)</f>
        <v>7</v>
      </c>
      <c r="L92" s="253">
        <f>IFERROR(aurora_data!BK181,0)</f>
        <v>9</v>
      </c>
      <c r="M92" s="253">
        <f>IFERROR(aurora_data!BL181,0)</f>
        <v>2</v>
      </c>
      <c r="N92" s="254">
        <f>IFERROR(aurora_data!BM181,0)</f>
        <v>25</v>
      </c>
      <c r="O92" s="113">
        <f>IFERROR(aurora_data!BN181,0)</f>
        <v>11</v>
      </c>
      <c r="P92" s="253">
        <f>IFERROR(aurora_data!BO181,0)</f>
        <v>4</v>
      </c>
      <c r="Q92" s="253">
        <f>IFERROR(aurora_data!BP181,0)</f>
        <v>19</v>
      </c>
      <c r="R92" s="254">
        <f>IFERROR(aurora_data!BQ181,0)</f>
        <v>10</v>
      </c>
      <c r="S92" s="253">
        <f>IFERROR(aurora_data!BR181,0)</f>
        <v>21</v>
      </c>
      <c r="T92" s="253">
        <f>IFERROR(aurora_data!BS181,0)</f>
        <v>23</v>
      </c>
      <c r="U92" s="254">
        <f>IFERROR(aurora_data!BT181,0)</f>
        <v>0</v>
      </c>
      <c r="V92" s="61" t="s">
        <v>354</v>
      </c>
      <c r="W92" s="113">
        <f>IFERROR(aurora_data!BU181,0)</f>
        <v>44</v>
      </c>
      <c r="X92" s="255">
        <f t="shared" si="24"/>
        <v>0.88</v>
      </c>
    </row>
    <row r="93" spans="1:24">
      <c r="B93" s="452"/>
      <c r="C93" s="454"/>
      <c r="D93" s="35" t="s">
        <v>291</v>
      </c>
      <c r="E93" s="113">
        <f>IFERROR(aurora_data!BD182,0)</f>
        <v>1</v>
      </c>
      <c r="F93" s="253">
        <f>IFERROR(aurora_data!BE182,0)</f>
        <v>0</v>
      </c>
      <c r="G93" s="253">
        <f>IFERROR(aurora_data!BF182,0)</f>
        <v>2</v>
      </c>
      <c r="H93" s="253">
        <f>IFERROR(aurora_data!BG182,0)</f>
        <v>3</v>
      </c>
      <c r="I93" s="254">
        <f>IFERROR(aurora_data!BH182,0)</f>
        <v>2</v>
      </c>
      <c r="J93" s="113">
        <f>IFERROR(aurora_data!BI182,0)</f>
        <v>0</v>
      </c>
      <c r="K93" s="253">
        <f>IFERROR(aurora_data!BJ182,0)</f>
        <v>0</v>
      </c>
      <c r="L93" s="253">
        <f>IFERROR(aurora_data!BK182,0)</f>
        <v>4</v>
      </c>
      <c r="M93" s="253">
        <f>IFERROR(aurora_data!BL182,0)</f>
        <v>0</v>
      </c>
      <c r="N93" s="254">
        <f>IFERROR(aurora_data!BM182,0)</f>
        <v>4</v>
      </c>
      <c r="O93" s="113">
        <f>IFERROR(aurora_data!BN182,0)</f>
        <v>3</v>
      </c>
      <c r="P93" s="253">
        <f>IFERROR(aurora_data!BO182,0)</f>
        <v>3</v>
      </c>
      <c r="Q93" s="253">
        <f>IFERROR(aurora_data!BP182,0)</f>
        <v>2</v>
      </c>
      <c r="R93" s="254">
        <f>IFERROR(aurora_data!BQ182,0)</f>
        <v>0</v>
      </c>
      <c r="S93" s="253">
        <f>IFERROR(aurora_data!BR182,0)</f>
        <v>1</v>
      </c>
      <c r="T93" s="253">
        <f>IFERROR(aurora_data!BS182,0)</f>
        <v>7</v>
      </c>
      <c r="U93" s="254">
        <f>IFERROR(aurora_data!BT182,0)</f>
        <v>0</v>
      </c>
      <c r="V93" s="61" t="s">
        <v>354</v>
      </c>
      <c r="W93" s="113">
        <f>IFERROR(aurora_data!BU182,0)</f>
        <v>8</v>
      </c>
      <c r="X93" s="255">
        <f t="shared" si="24"/>
        <v>0.16</v>
      </c>
    </row>
    <row r="94" spans="1:24">
      <c r="B94" s="452"/>
      <c r="C94" s="454"/>
      <c r="D94" s="35" t="s">
        <v>340</v>
      </c>
      <c r="E94" s="113">
        <f>IFERROR(aurora_data!BD183,0)</f>
        <v>0</v>
      </c>
      <c r="F94" s="253">
        <f>IFERROR(aurora_data!BE183,0)</f>
        <v>0</v>
      </c>
      <c r="G94" s="253">
        <f>IFERROR(aurora_data!BF183,0)</f>
        <v>0</v>
      </c>
      <c r="H94" s="253">
        <f>IFERROR(aurora_data!BG183,0)</f>
        <v>0</v>
      </c>
      <c r="I94" s="254">
        <f>IFERROR(aurora_data!BH183,0)</f>
        <v>0</v>
      </c>
      <c r="J94" s="113">
        <f>IFERROR(aurora_data!BI183,0)</f>
        <v>0</v>
      </c>
      <c r="K94" s="253">
        <f>IFERROR(aurora_data!BJ183,0)</f>
        <v>0</v>
      </c>
      <c r="L94" s="253">
        <f>IFERROR(aurora_data!BK183,0)</f>
        <v>0</v>
      </c>
      <c r="M94" s="253">
        <f>IFERROR(aurora_data!BL183,0)</f>
        <v>0</v>
      </c>
      <c r="N94" s="254">
        <f>IFERROR(aurora_data!BM183,0)</f>
        <v>0</v>
      </c>
      <c r="O94" s="113">
        <f>IFERROR(aurora_data!BN183,0)</f>
        <v>0</v>
      </c>
      <c r="P94" s="253">
        <f>IFERROR(aurora_data!BO183,0)</f>
        <v>0</v>
      </c>
      <c r="Q94" s="253">
        <f>IFERROR(aurora_data!BP183,0)</f>
        <v>0</v>
      </c>
      <c r="R94" s="254">
        <f>IFERROR(aurora_data!BQ183,0)</f>
        <v>0</v>
      </c>
      <c r="S94" s="253">
        <f>IFERROR(aurora_data!BR183,0)</f>
        <v>0</v>
      </c>
      <c r="T94" s="253">
        <f>IFERROR(aurora_data!BS183,0)</f>
        <v>0</v>
      </c>
      <c r="U94" s="254">
        <f>IFERROR(aurora_data!BT183,0)</f>
        <v>0</v>
      </c>
      <c r="V94" s="61" t="s">
        <v>354</v>
      </c>
      <c r="W94" s="113">
        <f>IFERROR(aurora_data!BU183,0)</f>
        <v>0</v>
      </c>
      <c r="X94" s="255">
        <f t="shared" si="24"/>
        <v>0</v>
      </c>
    </row>
    <row r="95" spans="1:24">
      <c r="B95" s="452"/>
      <c r="C95" s="454"/>
      <c r="D95" s="35" t="s">
        <v>341</v>
      </c>
      <c r="E95" s="113">
        <f>IFERROR(aurora_data!BD184,0)</f>
        <v>0</v>
      </c>
      <c r="F95" s="253">
        <f>IFERROR(aurora_data!BE184,0)</f>
        <v>1</v>
      </c>
      <c r="G95" s="253">
        <f>IFERROR(aurora_data!BF184,0)</f>
        <v>1</v>
      </c>
      <c r="H95" s="253">
        <f>IFERROR(aurora_data!BG184,0)</f>
        <v>3</v>
      </c>
      <c r="I95" s="254">
        <f>IFERROR(aurora_data!BH184,0)</f>
        <v>3</v>
      </c>
      <c r="J95" s="113">
        <f>IFERROR(aurora_data!BI184,0)</f>
        <v>1</v>
      </c>
      <c r="K95" s="253">
        <f>IFERROR(aurora_data!BJ184,0)</f>
        <v>1</v>
      </c>
      <c r="L95" s="253">
        <f>IFERROR(aurora_data!BK184,0)</f>
        <v>2</v>
      </c>
      <c r="M95" s="253">
        <f>IFERROR(aurora_data!BL184,0)</f>
        <v>4</v>
      </c>
      <c r="N95" s="254">
        <f>IFERROR(aurora_data!BM184,0)</f>
        <v>0</v>
      </c>
      <c r="O95" s="113">
        <f>IFERROR(aurora_data!BN184,0)</f>
        <v>1</v>
      </c>
      <c r="P95" s="253">
        <f>IFERROR(aurora_data!BO184,0)</f>
        <v>0</v>
      </c>
      <c r="Q95" s="253">
        <f>IFERROR(aurora_data!BP184,0)</f>
        <v>3</v>
      </c>
      <c r="R95" s="254">
        <f>IFERROR(aurora_data!BQ184,0)</f>
        <v>4</v>
      </c>
      <c r="S95" s="253">
        <f>IFERROR(aurora_data!BR184,0)</f>
        <v>5</v>
      </c>
      <c r="T95" s="253">
        <f>IFERROR(aurora_data!BS184,0)</f>
        <v>3</v>
      </c>
      <c r="U95" s="254">
        <f>IFERROR(aurora_data!BT184,0)</f>
        <v>0</v>
      </c>
      <c r="V95" s="61" t="s">
        <v>354</v>
      </c>
      <c r="W95" s="113">
        <f>IFERROR(aurora_data!BU184,0)</f>
        <v>8</v>
      </c>
      <c r="X95" s="255">
        <f t="shared" si="24"/>
        <v>0.16</v>
      </c>
    </row>
    <row r="96" spans="1:24" ht="16.5" thickBot="1">
      <c r="B96" s="452"/>
      <c r="C96" s="454"/>
      <c r="D96" s="35" t="s">
        <v>342</v>
      </c>
      <c r="E96" s="113">
        <f>IFERROR(aurora_data!BD185,0)</f>
        <v>0</v>
      </c>
      <c r="F96" s="253">
        <f>IFERROR(aurora_data!BE185,0)</f>
        <v>0</v>
      </c>
      <c r="G96" s="253">
        <f>IFERROR(aurora_data!BF185,0)</f>
        <v>0</v>
      </c>
      <c r="H96" s="253">
        <f>IFERROR(aurora_data!BG185,0)</f>
        <v>0</v>
      </c>
      <c r="I96" s="254">
        <f>IFERROR(aurora_data!BH185,0)</f>
        <v>0</v>
      </c>
      <c r="J96" s="113">
        <f>IFERROR(aurora_data!BI185,0)</f>
        <v>0</v>
      </c>
      <c r="K96" s="253">
        <f>IFERROR(aurora_data!BJ185,0)</f>
        <v>0</v>
      </c>
      <c r="L96" s="253">
        <f>IFERROR(aurora_data!BK185,0)</f>
        <v>0</v>
      </c>
      <c r="M96" s="253">
        <f>IFERROR(aurora_data!BL185,0)</f>
        <v>0</v>
      </c>
      <c r="N96" s="254">
        <f>IFERROR(aurora_data!BM185,0)</f>
        <v>0</v>
      </c>
      <c r="O96" s="113">
        <f>IFERROR(aurora_data!BN185,0)</f>
        <v>0</v>
      </c>
      <c r="P96" s="253">
        <f>IFERROR(aurora_data!BO185,0)</f>
        <v>0</v>
      </c>
      <c r="Q96" s="253">
        <f>IFERROR(aurora_data!BP185,0)</f>
        <v>0</v>
      </c>
      <c r="R96" s="254">
        <f>IFERROR(aurora_data!BQ185,0)</f>
        <v>0</v>
      </c>
      <c r="S96" s="253">
        <f>IFERROR(aurora_data!BR185,0)</f>
        <v>0</v>
      </c>
      <c r="T96" s="253">
        <f>IFERROR(aurora_data!BS185,0)</f>
        <v>0</v>
      </c>
      <c r="U96" s="254">
        <f>IFERROR(aurora_data!BT185,0)</f>
        <v>0</v>
      </c>
      <c r="V96" s="61" t="s">
        <v>354</v>
      </c>
      <c r="W96" s="113">
        <f>IFERROR(aurora_data!BU185,0)</f>
        <v>0</v>
      </c>
      <c r="X96" s="255">
        <f t="shared" si="24"/>
        <v>0</v>
      </c>
    </row>
    <row r="97" spans="2:24" ht="16.5" thickBot="1">
      <c r="B97" s="452"/>
      <c r="C97" s="454"/>
      <c r="D97" s="37" t="s">
        <v>17</v>
      </c>
      <c r="E97" s="59">
        <f>IFERROR(aurora_data!BD186,0)</f>
        <v>3</v>
      </c>
      <c r="F97" s="64">
        <f>IFERROR(aurora_data!BE186,0)</f>
        <v>3</v>
      </c>
      <c r="G97" s="64">
        <f>IFERROR(aurora_data!BF186,0)</f>
        <v>10</v>
      </c>
      <c r="H97" s="64">
        <f>IFERROR(aurora_data!BG186,0)</f>
        <v>20</v>
      </c>
      <c r="I97" s="65">
        <f>IFERROR(aurora_data!BH186,0)</f>
        <v>24</v>
      </c>
      <c r="J97" s="59">
        <f>IFERROR(aurora_data!BI186,0)</f>
        <v>2</v>
      </c>
      <c r="K97" s="64">
        <f>IFERROR(aurora_data!BJ186,0)</f>
        <v>8</v>
      </c>
      <c r="L97" s="64">
        <f>IFERROR(aurora_data!BK186,0)</f>
        <v>15</v>
      </c>
      <c r="M97" s="64">
        <f>IFERROR(aurora_data!BL186,0)</f>
        <v>6</v>
      </c>
      <c r="N97" s="65">
        <f>IFERROR(aurora_data!BM186,0)</f>
        <v>29</v>
      </c>
      <c r="O97" s="59">
        <f>IFERROR(aurora_data!BN186,0)</f>
        <v>15</v>
      </c>
      <c r="P97" s="64">
        <f>IFERROR(aurora_data!BO186,0)</f>
        <v>7</v>
      </c>
      <c r="Q97" s="64">
        <f>IFERROR(aurora_data!BP186,0)</f>
        <v>24</v>
      </c>
      <c r="R97" s="65">
        <f>IFERROR(aurora_data!BQ186,0)</f>
        <v>14</v>
      </c>
      <c r="S97" s="64">
        <f>IFERROR(aurora_data!BR186,0)</f>
        <v>27</v>
      </c>
      <c r="T97" s="64">
        <f>IFERROR(aurora_data!BS186,0)</f>
        <v>33</v>
      </c>
      <c r="U97" s="65">
        <f>IFERROR(aurora_data!BT186,0)</f>
        <v>0</v>
      </c>
      <c r="V97" s="66" t="s">
        <v>354</v>
      </c>
      <c r="W97" s="59">
        <f>IFERROR(aurora_data!BU186,0)</f>
        <v>60</v>
      </c>
      <c r="X97" s="70">
        <f t="shared" si="24"/>
        <v>1.2</v>
      </c>
    </row>
    <row r="98" spans="2:24" ht="16.5" thickBot="1">
      <c r="B98" s="452"/>
      <c r="C98" s="454"/>
      <c r="D98" s="38" t="s">
        <v>343</v>
      </c>
      <c r="E98" s="256">
        <f>IFERROR(aurora_data!BD187,0)</f>
        <v>0</v>
      </c>
      <c r="F98" s="257">
        <f>IFERROR(aurora_data!BE187,0)</f>
        <v>0</v>
      </c>
      <c r="G98" s="257">
        <f>IFERROR(aurora_data!BF187,0)</f>
        <v>0</v>
      </c>
      <c r="H98" s="257">
        <f>IFERROR(aurora_data!BG187,0)</f>
        <v>0</v>
      </c>
      <c r="I98" s="258">
        <f>IFERROR(aurora_data!BH187,0)</f>
        <v>0</v>
      </c>
      <c r="J98" s="256">
        <f>IFERROR(aurora_data!BI187,0)</f>
        <v>0</v>
      </c>
      <c r="K98" s="257">
        <f>IFERROR(aurora_data!BJ187,0)</f>
        <v>0</v>
      </c>
      <c r="L98" s="257">
        <f>IFERROR(aurora_data!BK187,0)</f>
        <v>0</v>
      </c>
      <c r="M98" s="257">
        <f>IFERROR(aurora_data!BL187,0)</f>
        <v>0</v>
      </c>
      <c r="N98" s="258">
        <f>IFERROR(aurora_data!BM187,0)</f>
        <v>0</v>
      </c>
      <c r="O98" s="256">
        <f>IFERROR(aurora_data!BN187,0)</f>
        <v>0</v>
      </c>
      <c r="P98" s="257">
        <f>IFERROR(aurora_data!BO187,0)</f>
        <v>0</v>
      </c>
      <c r="Q98" s="257">
        <f>IFERROR(aurora_data!BP187,0)</f>
        <v>0</v>
      </c>
      <c r="R98" s="258">
        <f>IFERROR(aurora_data!BQ187,0)</f>
        <v>0</v>
      </c>
      <c r="S98" s="257">
        <f>IFERROR(aurora_data!BR187,0)</f>
        <v>0</v>
      </c>
      <c r="T98" s="257">
        <f>IFERROR(aurora_data!BS187,0)</f>
        <v>0</v>
      </c>
      <c r="U98" s="259">
        <f>IFERROR(aurora_data!BT187,0)</f>
        <v>0</v>
      </c>
      <c r="V98" s="260" t="s">
        <v>354</v>
      </c>
      <c r="W98" s="256">
        <f>IFERROR(aurora_data!BU187,0)</f>
        <v>0</v>
      </c>
      <c r="X98" s="261">
        <f t="shared" si="24"/>
        <v>0</v>
      </c>
    </row>
    <row r="99" spans="2:24" hidden="1" outlineLevel="1">
      <c r="B99" s="452"/>
      <c r="C99" s="454"/>
      <c r="D99" s="199" t="s">
        <v>344</v>
      </c>
      <c r="E99" s="271">
        <f>ROUNDDOWN((E101+$E$10)*($W91),0)</f>
        <v>2</v>
      </c>
      <c r="F99" s="272">
        <f>ROUNDDOWN((F101+$E$10)*($W91),0)</f>
        <v>3</v>
      </c>
      <c r="G99" s="272">
        <f>ROUNDDOWN((G101+$E$10)*($W91),0)</f>
        <v>10</v>
      </c>
      <c r="H99" s="272">
        <f>ROUNDDOWN((H101+$E$10)*($W91),0)</f>
        <v>17</v>
      </c>
      <c r="I99" s="272">
        <f>ROUNDDOWN((I101+$E$10)*($W91),0)</f>
        <v>20</v>
      </c>
      <c r="J99" s="271">
        <f>ROUNDDOWN((J101+$J$10)*($W91),0)</f>
        <v>4</v>
      </c>
      <c r="K99" s="272">
        <f>ROUNDDOWN((K101+$J$10)*($W91),0)</f>
        <v>8</v>
      </c>
      <c r="L99" s="272">
        <f>ROUNDDOWN((L101+$J$10)*($W91),0)</f>
        <v>14</v>
      </c>
      <c r="M99" s="272">
        <f>ROUNDDOWN((M101+$J$10)*($W91),0)</f>
        <v>6</v>
      </c>
      <c r="N99" s="268">
        <f>ROUNDDOWN((N101+$J$10)*($W91),0)</f>
        <v>25</v>
      </c>
      <c r="O99" s="271"/>
      <c r="P99" s="272"/>
      <c r="Q99" s="272"/>
      <c r="R99" s="268"/>
      <c r="S99" s="265"/>
      <c r="T99" s="272"/>
      <c r="U99" s="282"/>
      <c r="V99" s="61"/>
      <c r="W99" s="291"/>
      <c r="X99" s="286"/>
    </row>
    <row r="100" spans="2:24" hidden="1" outlineLevel="1">
      <c r="B100" s="452"/>
      <c r="C100" s="454"/>
      <c r="D100" s="199" t="s">
        <v>345</v>
      </c>
      <c r="E100" s="276">
        <f>IF(ROUND(((E101-$E$10)*($W91))+0.25,0) &lt;=0,1,((E101-$E$10)*($W91))+0.25)</f>
        <v>1.08</v>
      </c>
      <c r="F100" s="277">
        <f>IF(ROUND(((F101-$E$10)*($W91))+0.25,0) &lt;=0,1,((F101-$E$10)*($W91))+0.25)</f>
        <v>2.1800000000000006</v>
      </c>
      <c r="G100" s="277">
        <f>IF(ROUND(((G101-$E$10)*($W91))+0.25,0) &lt;=0,1,((G101-$E$10)*($W91))+0.25)</f>
        <v>9.23</v>
      </c>
      <c r="H100" s="277">
        <f>IF(ROUND(((H101-$E$10)*($W91))+0.25,0) &lt;=0,1,((H101-$E$10)*($W91))+0.25)</f>
        <v>15.409999999999998</v>
      </c>
      <c r="I100" s="277">
        <f>IF(ROUND(((I101-$E$10)*($W91))+0.25,0) &lt;=0,1,((I101-$E$10)*($W91))+0.25)</f>
        <v>18.349999999999998</v>
      </c>
      <c r="J100" s="276">
        <f>IF(ROUND(((J101-$J$10)*($W91))+0.25,0) &lt;=0,1,((J101-$J$10)*($W91))+0.25)</f>
        <v>0.68000000000000016</v>
      </c>
      <c r="K100" s="277">
        <f>IF(ROUND(((K101-$J$10)*($W91))+0.25,0) &lt;=0,1,((K101-$J$10)*($W91))+0.25)</f>
        <v>4.71</v>
      </c>
      <c r="L100" s="277">
        <f>IF(ROUND(((L101-$J$10)*($W91))+0.25,0) &lt;=0,1,((L101-$J$10)*($W91))+0.25)</f>
        <v>10.73</v>
      </c>
      <c r="M100" s="277">
        <f>IF(ROUND(((M101-$J$10)*($W91))+0.25,0) &lt;=0,1,((M101-$J$10)*($W91))+0.25)</f>
        <v>3.0599999999999996</v>
      </c>
      <c r="N100" s="278">
        <f>IF(ROUND(((N101-$J$10)*($W91))+0.25,0) &lt;=0,1,((N101-$J$10)*($W91))+0.25)</f>
        <v>22.08</v>
      </c>
      <c r="O100" s="276"/>
      <c r="P100" s="277"/>
      <c r="Q100" s="277"/>
      <c r="R100" s="278"/>
      <c r="S100" s="276"/>
      <c r="T100" s="277"/>
      <c r="U100" s="287"/>
      <c r="V100" s="61"/>
      <c r="W100" s="285"/>
      <c r="X100" s="287"/>
    </row>
    <row r="101" spans="2:24" hidden="1" outlineLevel="1">
      <c r="B101" s="452"/>
      <c r="C101" s="454"/>
      <c r="D101" s="95" t="s">
        <v>346</v>
      </c>
      <c r="E101" s="414">
        <f t="shared" ref="E101:N101" si="25">IFERROR(E91/$W91,0)</f>
        <v>3.6600000000000001E-2</v>
      </c>
      <c r="F101" s="415">
        <f t="shared" si="25"/>
        <v>5.8600000000000006E-2</v>
      </c>
      <c r="G101" s="415">
        <f t="shared" si="25"/>
        <v>0.1996</v>
      </c>
      <c r="H101" s="415">
        <f t="shared" si="25"/>
        <v>0.32319999999999999</v>
      </c>
      <c r="I101" s="415">
        <f t="shared" si="25"/>
        <v>0.38200000000000001</v>
      </c>
      <c r="J101" s="414">
        <f t="shared" si="25"/>
        <v>4.8600000000000004E-2</v>
      </c>
      <c r="K101" s="415">
        <f t="shared" si="25"/>
        <v>0.12920000000000001</v>
      </c>
      <c r="L101" s="415">
        <f t="shared" si="25"/>
        <v>0.24960000000000002</v>
      </c>
      <c r="M101" s="415">
        <f t="shared" si="25"/>
        <v>9.6199999999999994E-2</v>
      </c>
      <c r="N101" s="416">
        <f t="shared" si="25"/>
        <v>0.47659999999999997</v>
      </c>
      <c r="O101" s="414"/>
      <c r="P101" s="415"/>
      <c r="Q101" s="415"/>
      <c r="R101" s="416"/>
      <c r="S101" s="414"/>
      <c r="T101" s="415"/>
      <c r="U101" s="254"/>
      <c r="V101" s="61"/>
      <c r="W101" s="113"/>
      <c r="X101" s="431"/>
    </row>
    <row r="102" spans="2:24" hidden="1" outlineLevel="1">
      <c r="B102" s="452"/>
      <c r="C102" s="454"/>
      <c r="D102" s="180" t="s">
        <v>347</v>
      </c>
      <c r="E102" s="414">
        <f t="shared" ref="E102:N102" si="26">IFERROR(E92/$W91,0)</f>
        <v>0.04</v>
      </c>
      <c r="F102" s="415">
        <f t="shared" si="26"/>
        <v>0.04</v>
      </c>
      <c r="G102" s="415">
        <f t="shared" si="26"/>
        <v>0.14000000000000001</v>
      </c>
      <c r="H102" s="415">
        <f t="shared" si="26"/>
        <v>0.28000000000000003</v>
      </c>
      <c r="I102" s="415">
        <f t="shared" si="26"/>
        <v>0.38</v>
      </c>
      <c r="J102" s="414">
        <f t="shared" si="26"/>
        <v>0.02</v>
      </c>
      <c r="K102" s="415">
        <f t="shared" si="26"/>
        <v>0.14000000000000001</v>
      </c>
      <c r="L102" s="415">
        <f t="shared" si="26"/>
        <v>0.18</v>
      </c>
      <c r="M102" s="415">
        <f t="shared" si="26"/>
        <v>0.04</v>
      </c>
      <c r="N102" s="416">
        <f t="shared" si="26"/>
        <v>0.5</v>
      </c>
      <c r="O102" s="414"/>
      <c r="P102" s="415"/>
      <c r="Q102" s="415"/>
      <c r="R102" s="416"/>
      <c r="S102" s="414"/>
      <c r="T102" s="415"/>
      <c r="U102" s="254"/>
      <c r="V102" s="61"/>
      <c r="W102" s="113"/>
      <c r="X102" s="431"/>
    </row>
    <row r="103" spans="2:24" ht="16.5" hidden="1" outlineLevel="1" thickBot="1">
      <c r="B103" s="456"/>
      <c r="C103" s="455"/>
      <c r="D103" s="180" t="s">
        <v>348</v>
      </c>
      <c r="E103" s="414">
        <f t="shared" ref="E103:N103" si="27">E102-E101</f>
        <v>3.4000000000000002E-3</v>
      </c>
      <c r="F103" s="415">
        <f t="shared" si="27"/>
        <v>-1.8600000000000005E-2</v>
      </c>
      <c r="G103" s="415">
        <f t="shared" si="27"/>
        <v>-5.9599999999999986E-2</v>
      </c>
      <c r="H103" s="415">
        <f t="shared" si="27"/>
        <v>-4.3199999999999961E-2</v>
      </c>
      <c r="I103" s="415">
        <f t="shared" si="27"/>
        <v>-2.0000000000000018E-3</v>
      </c>
      <c r="J103" s="414">
        <f t="shared" si="27"/>
        <v>-2.8600000000000004E-2</v>
      </c>
      <c r="K103" s="415">
        <f t="shared" si="27"/>
        <v>1.0800000000000004E-2</v>
      </c>
      <c r="L103" s="415">
        <f t="shared" si="27"/>
        <v>-6.9600000000000023E-2</v>
      </c>
      <c r="M103" s="415">
        <f t="shared" si="27"/>
        <v>-5.6199999999999993E-2</v>
      </c>
      <c r="N103" s="416">
        <f t="shared" si="27"/>
        <v>2.3400000000000032E-2</v>
      </c>
      <c r="O103" s="414"/>
      <c r="P103" s="415"/>
      <c r="Q103" s="415"/>
      <c r="R103" s="416"/>
      <c r="S103" s="432"/>
      <c r="T103" s="415"/>
      <c r="U103" s="254"/>
      <c r="V103" s="61"/>
      <c r="W103" s="113"/>
      <c r="X103" s="431"/>
    </row>
    <row r="104" spans="2:24" collapsed="1">
      <c r="B104" s="451" t="s">
        <v>338</v>
      </c>
      <c r="C104" s="453" t="str">
        <f>aurora_data!BA188</f>
        <v>13.00.00-13.11.30</v>
      </c>
      <c r="D104" s="34" t="s">
        <v>306</v>
      </c>
      <c r="E104" s="39">
        <f>IFERROR(aurora_data!BD188,0)</f>
        <v>1.91</v>
      </c>
      <c r="F104" s="40">
        <f>IFERROR(aurora_data!BE188,0)</f>
        <v>3.13</v>
      </c>
      <c r="G104" s="40">
        <f>IFERROR(aurora_data!BF188,0)</f>
        <v>10.02</v>
      </c>
      <c r="H104" s="40">
        <f>IFERROR(aurora_data!BG188,0)</f>
        <v>15.8</v>
      </c>
      <c r="I104" s="41">
        <f>IFERROR(aurora_data!BH188,0)</f>
        <v>19.13</v>
      </c>
      <c r="J104" s="39">
        <f>IFERROR(aurora_data!BI188,0)</f>
        <v>2.63</v>
      </c>
      <c r="K104" s="40">
        <f>IFERROR(aurora_data!BJ188,0)</f>
        <v>6.4</v>
      </c>
      <c r="L104" s="40">
        <f>IFERROR(aurora_data!BK188,0)</f>
        <v>12.73</v>
      </c>
      <c r="M104" s="40">
        <f>IFERROR(aurora_data!BL188,0)</f>
        <v>4.63</v>
      </c>
      <c r="N104" s="41">
        <f>IFERROR(aurora_data!BM188,0)</f>
        <v>23.61</v>
      </c>
      <c r="O104" s="39">
        <f>IFERROR(aurora_data!BN188,0)</f>
        <v>10.210000000000001</v>
      </c>
      <c r="P104" s="40">
        <f>IFERROR(aurora_data!BO188,0)</f>
        <v>7.91</v>
      </c>
      <c r="Q104" s="40">
        <f>IFERROR(aurora_data!BP188,0)</f>
        <v>19.89</v>
      </c>
      <c r="R104" s="41">
        <f>IFERROR(aurora_data!BQ188,0)</f>
        <v>11.99</v>
      </c>
      <c r="S104" s="40">
        <f>IFERROR(aurora_data!BR188,0)</f>
        <v>25</v>
      </c>
      <c r="T104" s="40">
        <f>IFERROR(aurora_data!BS188,0)</f>
        <v>25</v>
      </c>
      <c r="U104" s="41">
        <f>IFERROR(aurora_data!BT188,0)</f>
        <v>0</v>
      </c>
      <c r="V104" s="61" t="s">
        <v>354</v>
      </c>
      <c r="W104" s="39">
        <f>IFERROR(aurora_data!BU188,0)</f>
        <v>50</v>
      </c>
      <c r="X104" s="69">
        <f t="shared" ref="X104:X111" si="28">IFERROR(W104/$W$104,0)</f>
        <v>1</v>
      </c>
    </row>
    <row r="105" spans="2:24">
      <c r="B105" s="452"/>
      <c r="C105" s="454"/>
      <c r="D105" s="35" t="s">
        <v>339</v>
      </c>
      <c r="E105" s="113">
        <f>IFERROR(aurora_data!BD189,0)</f>
        <v>1</v>
      </c>
      <c r="F105" s="253">
        <f>IFERROR(aurora_data!BE189,0)</f>
        <v>2</v>
      </c>
      <c r="G105" s="253">
        <f>IFERROR(aurora_data!BF189,0)</f>
        <v>8</v>
      </c>
      <c r="H105" s="253">
        <f>IFERROR(aurora_data!BG189,0)</f>
        <v>14</v>
      </c>
      <c r="I105" s="254">
        <f>IFERROR(aurora_data!BH189,0)</f>
        <v>19</v>
      </c>
      <c r="J105" s="113">
        <f>IFERROR(aurora_data!BI189,0)</f>
        <v>2</v>
      </c>
      <c r="K105" s="253">
        <f>IFERROR(aurora_data!BJ189,0)</f>
        <v>5</v>
      </c>
      <c r="L105" s="253">
        <f>IFERROR(aurora_data!BK189,0)</f>
        <v>11</v>
      </c>
      <c r="M105" s="253">
        <f>IFERROR(aurora_data!BL189,0)</f>
        <v>4</v>
      </c>
      <c r="N105" s="254">
        <f>IFERROR(aurora_data!BM189,0)</f>
        <v>22</v>
      </c>
      <c r="O105" s="113">
        <f>IFERROR(aurora_data!BN189,0)</f>
        <v>9</v>
      </c>
      <c r="P105" s="253">
        <f>IFERROR(aurora_data!BO189,0)</f>
        <v>6</v>
      </c>
      <c r="Q105" s="253">
        <f>IFERROR(aurora_data!BP189,0)</f>
        <v>17</v>
      </c>
      <c r="R105" s="254">
        <f>IFERROR(aurora_data!BQ189,0)</f>
        <v>11</v>
      </c>
      <c r="S105" s="253">
        <f>IFERROR(aurora_data!BR189,0)</f>
        <v>22</v>
      </c>
      <c r="T105" s="253">
        <f>IFERROR(aurora_data!BS189,0)</f>
        <v>22</v>
      </c>
      <c r="U105" s="254">
        <f>IFERROR(aurora_data!BT189,0)</f>
        <v>0</v>
      </c>
      <c r="V105" s="61" t="s">
        <v>354</v>
      </c>
      <c r="W105" s="113">
        <f>IFERROR(aurora_data!BU189,0)</f>
        <v>44</v>
      </c>
      <c r="X105" s="281">
        <f t="shared" si="28"/>
        <v>0.88</v>
      </c>
    </row>
    <row r="106" spans="2:24">
      <c r="B106" s="452"/>
      <c r="C106" s="454"/>
      <c r="D106" s="35" t="s">
        <v>291</v>
      </c>
      <c r="E106" s="113">
        <f>IFERROR(aurora_data!BD190,0)</f>
        <v>0</v>
      </c>
      <c r="F106" s="253">
        <f>IFERROR(aurora_data!BE190,0)</f>
        <v>2</v>
      </c>
      <c r="G106" s="253">
        <f>IFERROR(aurora_data!BF190,0)</f>
        <v>1</v>
      </c>
      <c r="H106" s="253">
        <f>IFERROR(aurora_data!BG190,0)</f>
        <v>3</v>
      </c>
      <c r="I106" s="254">
        <f>IFERROR(aurora_data!BH190,0)</f>
        <v>5</v>
      </c>
      <c r="J106" s="113">
        <f>IFERROR(aurora_data!BI190,0)</f>
        <v>0</v>
      </c>
      <c r="K106" s="253">
        <f>IFERROR(aurora_data!BJ190,0)</f>
        <v>0</v>
      </c>
      <c r="L106" s="253">
        <f>IFERROR(aurora_data!BK190,0)</f>
        <v>4</v>
      </c>
      <c r="M106" s="253">
        <f>IFERROR(aurora_data!BL190,0)</f>
        <v>1</v>
      </c>
      <c r="N106" s="254">
        <f>IFERROR(aurora_data!BM190,0)</f>
        <v>6</v>
      </c>
      <c r="O106" s="113">
        <f>IFERROR(aurora_data!BN190,0)</f>
        <v>4</v>
      </c>
      <c r="P106" s="253">
        <f>IFERROR(aurora_data!BO190,0)</f>
        <v>3</v>
      </c>
      <c r="Q106" s="253">
        <f>IFERROR(aurora_data!BP190,0)</f>
        <v>1</v>
      </c>
      <c r="R106" s="254">
        <f>IFERROR(aurora_data!BQ190,0)</f>
        <v>3</v>
      </c>
      <c r="S106" s="253">
        <f>IFERROR(aurora_data!BR190,0)</f>
        <v>8</v>
      </c>
      <c r="T106" s="253">
        <f>IFERROR(aurora_data!BS190,0)</f>
        <v>3</v>
      </c>
      <c r="U106" s="254">
        <f>IFERROR(aurora_data!BT190,0)</f>
        <v>0</v>
      </c>
      <c r="V106" s="61" t="s">
        <v>354</v>
      </c>
      <c r="W106" s="113">
        <f>IFERROR(aurora_data!BU190,0)</f>
        <v>11</v>
      </c>
      <c r="X106" s="281">
        <f t="shared" si="28"/>
        <v>0.22</v>
      </c>
    </row>
    <row r="107" spans="2:24">
      <c r="B107" s="452"/>
      <c r="C107" s="454"/>
      <c r="D107" s="35" t="s">
        <v>340</v>
      </c>
      <c r="E107" s="113">
        <f>IFERROR(aurora_data!BD191,0)</f>
        <v>0</v>
      </c>
      <c r="F107" s="253">
        <f>IFERROR(aurora_data!BE191,0)</f>
        <v>0</v>
      </c>
      <c r="G107" s="253">
        <f>IFERROR(aurora_data!BF191,0)</f>
        <v>0</v>
      </c>
      <c r="H107" s="253">
        <f>IFERROR(aurora_data!BG191,0)</f>
        <v>0</v>
      </c>
      <c r="I107" s="254">
        <f>IFERROR(aurora_data!BH191,0)</f>
        <v>0</v>
      </c>
      <c r="J107" s="113">
        <f>IFERROR(aurora_data!BI191,0)</f>
        <v>0</v>
      </c>
      <c r="K107" s="253">
        <f>IFERROR(aurora_data!BJ191,0)</f>
        <v>0</v>
      </c>
      <c r="L107" s="253">
        <f>IFERROR(aurora_data!BK191,0)</f>
        <v>0</v>
      </c>
      <c r="M107" s="253">
        <f>IFERROR(aurora_data!BL191,0)</f>
        <v>0</v>
      </c>
      <c r="N107" s="254">
        <f>IFERROR(aurora_data!BM191,0)</f>
        <v>0</v>
      </c>
      <c r="O107" s="113">
        <f>IFERROR(aurora_data!BN191,0)</f>
        <v>0</v>
      </c>
      <c r="P107" s="253">
        <f>IFERROR(aurora_data!BO191,0)</f>
        <v>0</v>
      </c>
      <c r="Q107" s="253">
        <f>IFERROR(aurora_data!BP191,0)</f>
        <v>0</v>
      </c>
      <c r="R107" s="254">
        <f>IFERROR(aurora_data!BQ191,0)</f>
        <v>0</v>
      </c>
      <c r="S107" s="253">
        <f>IFERROR(aurora_data!BR191,0)</f>
        <v>0</v>
      </c>
      <c r="T107" s="253">
        <f>IFERROR(aurora_data!BS191,0)</f>
        <v>0</v>
      </c>
      <c r="U107" s="254">
        <f>IFERROR(aurora_data!BT191,0)</f>
        <v>0</v>
      </c>
      <c r="V107" s="61" t="s">
        <v>354</v>
      </c>
      <c r="W107" s="113">
        <f>IFERROR(aurora_data!BU191,0)</f>
        <v>0</v>
      </c>
      <c r="X107" s="281">
        <f t="shared" si="28"/>
        <v>0</v>
      </c>
    </row>
    <row r="108" spans="2:24">
      <c r="B108" s="452"/>
      <c r="C108" s="454"/>
      <c r="D108" s="35" t="s">
        <v>341</v>
      </c>
      <c r="E108" s="113">
        <f>IFERROR(aurora_data!BD192,0)</f>
        <v>0</v>
      </c>
      <c r="F108" s="253">
        <f>IFERROR(aurora_data!BE192,0)</f>
        <v>0</v>
      </c>
      <c r="G108" s="253">
        <f>IFERROR(aurora_data!BF192,0)</f>
        <v>3</v>
      </c>
      <c r="H108" s="253">
        <f>IFERROR(aurora_data!BG192,0)</f>
        <v>1</v>
      </c>
      <c r="I108" s="254">
        <f>IFERROR(aurora_data!BH192,0)</f>
        <v>1</v>
      </c>
      <c r="J108" s="113">
        <f>IFERROR(aurora_data!BI192,0)</f>
        <v>1</v>
      </c>
      <c r="K108" s="253">
        <f>IFERROR(aurora_data!BJ192,0)</f>
        <v>2</v>
      </c>
      <c r="L108" s="253">
        <f>IFERROR(aurora_data!BK192,0)</f>
        <v>0</v>
      </c>
      <c r="M108" s="253">
        <f>IFERROR(aurora_data!BL192,0)</f>
        <v>0</v>
      </c>
      <c r="N108" s="254">
        <f>IFERROR(aurora_data!BM192,0)</f>
        <v>2</v>
      </c>
      <c r="O108" s="113">
        <f>IFERROR(aurora_data!BN192,0)</f>
        <v>1</v>
      </c>
      <c r="P108" s="253">
        <f>IFERROR(aurora_data!BO192,0)</f>
        <v>1</v>
      </c>
      <c r="Q108" s="253">
        <f>IFERROR(aurora_data!BP192,0)</f>
        <v>2</v>
      </c>
      <c r="R108" s="254">
        <f>IFERROR(aurora_data!BQ192,0)</f>
        <v>1</v>
      </c>
      <c r="S108" s="253">
        <f>IFERROR(aurora_data!BR192,0)</f>
        <v>3</v>
      </c>
      <c r="T108" s="253">
        <f>IFERROR(aurora_data!BS192,0)</f>
        <v>2</v>
      </c>
      <c r="U108" s="254">
        <f>IFERROR(aurora_data!BT192,0)</f>
        <v>0</v>
      </c>
      <c r="V108" s="61" t="s">
        <v>354</v>
      </c>
      <c r="W108" s="113">
        <f>IFERROR(aurora_data!BU192,0)</f>
        <v>5</v>
      </c>
      <c r="X108" s="281">
        <f t="shared" si="28"/>
        <v>0.1</v>
      </c>
    </row>
    <row r="109" spans="2:24" ht="16.5" thickBot="1">
      <c r="B109" s="452"/>
      <c r="C109" s="454"/>
      <c r="D109" s="35" t="s">
        <v>342</v>
      </c>
      <c r="E109" s="113">
        <f>IFERROR(aurora_data!BD193,0)</f>
        <v>0</v>
      </c>
      <c r="F109" s="253">
        <f>IFERROR(aurora_data!BE193,0)</f>
        <v>0</v>
      </c>
      <c r="G109" s="253">
        <f>IFERROR(aurora_data!BF193,0)</f>
        <v>0</v>
      </c>
      <c r="H109" s="253">
        <f>IFERROR(aurora_data!BG193,0)</f>
        <v>0</v>
      </c>
      <c r="I109" s="254">
        <f>IFERROR(aurora_data!BH193,0)</f>
        <v>0</v>
      </c>
      <c r="J109" s="113">
        <f>IFERROR(aurora_data!BI193,0)</f>
        <v>0</v>
      </c>
      <c r="K109" s="253">
        <f>IFERROR(aurora_data!BJ193,0)</f>
        <v>0</v>
      </c>
      <c r="L109" s="253">
        <f>IFERROR(aurora_data!BK193,0)</f>
        <v>0</v>
      </c>
      <c r="M109" s="253">
        <f>IFERROR(aurora_data!BL193,0)</f>
        <v>0</v>
      </c>
      <c r="N109" s="254">
        <f>IFERROR(aurora_data!BM193,0)</f>
        <v>0</v>
      </c>
      <c r="O109" s="113">
        <f>IFERROR(aurora_data!BN193,0)</f>
        <v>0</v>
      </c>
      <c r="P109" s="253">
        <f>IFERROR(aurora_data!BO193,0)</f>
        <v>0</v>
      </c>
      <c r="Q109" s="253">
        <f>IFERROR(aurora_data!BP193,0)</f>
        <v>0</v>
      </c>
      <c r="R109" s="254">
        <f>IFERROR(aurora_data!BQ193,0)</f>
        <v>0</v>
      </c>
      <c r="S109" s="253">
        <f>IFERROR(aurora_data!BR193,0)</f>
        <v>0</v>
      </c>
      <c r="T109" s="253">
        <f>IFERROR(aurora_data!BS193,0)</f>
        <v>0</v>
      </c>
      <c r="U109" s="254">
        <f>IFERROR(aurora_data!BT193,0)</f>
        <v>0</v>
      </c>
      <c r="V109" s="61" t="s">
        <v>354</v>
      </c>
      <c r="W109" s="113">
        <f>IFERROR(aurora_data!BU193,0)</f>
        <v>0</v>
      </c>
      <c r="X109" s="281">
        <f t="shared" si="28"/>
        <v>0</v>
      </c>
    </row>
    <row r="110" spans="2:24" ht="16.5" thickBot="1">
      <c r="B110" s="452"/>
      <c r="C110" s="454"/>
      <c r="D110" s="37" t="s">
        <v>17</v>
      </c>
      <c r="E110" s="59">
        <f>IFERROR(aurora_data!BD194,0)</f>
        <v>1</v>
      </c>
      <c r="F110" s="64">
        <f>IFERROR(aurora_data!BE194,0)</f>
        <v>4</v>
      </c>
      <c r="G110" s="64">
        <f>IFERROR(aurora_data!BF194,0)</f>
        <v>12</v>
      </c>
      <c r="H110" s="64">
        <f>IFERROR(aurora_data!BG194,0)</f>
        <v>18</v>
      </c>
      <c r="I110" s="65">
        <f>IFERROR(aurora_data!BH194,0)</f>
        <v>25</v>
      </c>
      <c r="J110" s="59">
        <f>IFERROR(aurora_data!BI194,0)</f>
        <v>3</v>
      </c>
      <c r="K110" s="64">
        <f>IFERROR(aurora_data!BJ194,0)</f>
        <v>7</v>
      </c>
      <c r="L110" s="64">
        <f>IFERROR(aurora_data!BK194,0)</f>
        <v>15</v>
      </c>
      <c r="M110" s="64">
        <f>IFERROR(aurora_data!BL194,0)</f>
        <v>5</v>
      </c>
      <c r="N110" s="65">
        <f>IFERROR(aurora_data!BM194,0)</f>
        <v>30</v>
      </c>
      <c r="O110" s="59">
        <f>IFERROR(aurora_data!BN194,0)</f>
        <v>14</v>
      </c>
      <c r="P110" s="64">
        <f>IFERROR(aurora_data!BO194,0)</f>
        <v>10</v>
      </c>
      <c r="Q110" s="64">
        <f>IFERROR(aurora_data!BP194,0)</f>
        <v>20</v>
      </c>
      <c r="R110" s="65">
        <f>IFERROR(aurora_data!BQ194,0)</f>
        <v>15</v>
      </c>
      <c r="S110" s="64">
        <f>IFERROR(aurora_data!BR194,0)</f>
        <v>33</v>
      </c>
      <c r="T110" s="64">
        <f>IFERROR(aurora_data!BS194,0)</f>
        <v>27</v>
      </c>
      <c r="U110" s="65">
        <f>IFERROR(aurora_data!BT194,0)</f>
        <v>0</v>
      </c>
      <c r="V110" s="66" t="s">
        <v>354</v>
      </c>
      <c r="W110" s="59">
        <f>IFERROR(aurora_data!BU194,0)</f>
        <v>60</v>
      </c>
      <c r="X110" s="70">
        <f t="shared" si="28"/>
        <v>1.2</v>
      </c>
    </row>
    <row r="111" spans="2:24" ht="16.5" thickBot="1">
      <c r="B111" s="452"/>
      <c r="C111" s="454"/>
      <c r="D111" s="38" t="s">
        <v>343</v>
      </c>
      <c r="E111" s="256">
        <f>IFERROR(aurora_data!BD195,0)</f>
        <v>0</v>
      </c>
      <c r="F111" s="257">
        <f>IFERROR(aurora_data!BE195,0)</f>
        <v>0</v>
      </c>
      <c r="G111" s="257">
        <f>IFERROR(aurora_data!BF195,0)</f>
        <v>0</v>
      </c>
      <c r="H111" s="257">
        <f>IFERROR(aurora_data!BG195,0)</f>
        <v>0</v>
      </c>
      <c r="I111" s="258">
        <f>IFERROR(aurora_data!BH195,0)</f>
        <v>0</v>
      </c>
      <c r="J111" s="256">
        <f>IFERROR(aurora_data!BI195,0)</f>
        <v>0</v>
      </c>
      <c r="K111" s="257">
        <f>IFERROR(aurora_data!BJ195,0)</f>
        <v>0</v>
      </c>
      <c r="L111" s="257">
        <f>IFERROR(aurora_data!BK195,0)</f>
        <v>0</v>
      </c>
      <c r="M111" s="257">
        <f>IFERROR(aurora_data!BL195,0)</f>
        <v>0</v>
      </c>
      <c r="N111" s="258">
        <f>IFERROR(aurora_data!BM195,0)</f>
        <v>0</v>
      </c>
      <c r="O111" s="256">
        <f>IFERROR(aurora_data!BN195,0)</f>
        <v>0</v>
      </c>
      <c r="P111" s="257">
        <f>IFERROR(aurora_data!BO195,0)</f>
        <v>0</v>
      </c>
      <c r="Q111" s="257">
        <f>IFERROR(aurora_data!BP195,0)</f>
        <v>0</v>
      </c>
      <c r="R111" s="258">
        <f>IFERROR(aurora_data!BQ195,0)</f>
        <v>0</v>
      </c>
      <c r="S111" s="257">
        <f>IFERROR(aurora_data!BR195,0)</f>
        <v>0</v>
      </c>
      <c r="T111" s="257">
        <f>IFERROR(aurora_data!BS195,0)</f>
        <v>0</v>
      </c>
      <c r="U111" s="259">
        <f>IFERROR(aurora_data!BT195,0)</f>
        <v>0</v>
      </c>
      <c r="V111" s="260" t="s">
        <v>354</v>
      </c>
      <c r="W111" s="256">
        <f>IFERROR(aurora_data!BU195,0)</f>
        <v>0</v>
      </c>
      <c r="X111" s="261">
        <f t="shared" si="28"/>
        <v>0</v>
      </c>
    </row>
    <row r="112" spans="2:24" hidden="1" outlineLevel="2">
      <c r="B112" s="452"/>
      <c r="C112" s="454"/>
      <c r="D112" s="199" t="s">
        <v>344</v>
      </c>
      <c r="E112" s="271">
        <f>ROUNDDOWN((E114+$E$10)*($W104),0)</f>
        <v>2</v>
      </c>
      <c r="F112" s="272">
        <f>ROUNDDOWN((F114+$E$10)*($W104),0)</f>
        <v>4</v>
      </c>
      <c r="G112" s="272">
        <f>ROUNDDOWN((G114+$E$10)*($W104),0)</f>
        <v>11</v>
      </c>
      <c r="H112" s="272">
        <f>ROUNDDOWN((H114+$E$10)*($W104),0)</f>
        <v>16</v>
      </c>
      <c r="I112" s="272">
        <f>ROUNDDOWN((I114+$E$10)*($W104),0)</f>
        <v>20</v>
      </c>
      <c r="J112" s="271">
        <f>ROUNDDOWN((J114+$J$10)*($W104),0)</f>
        <v>4</v>
      </c>
      <c r="K112" s="272">
        <f>ROUNDDOWN((K114+$J$10)*($W104),0)</f>
        <v>8</v>
      </c>
      <c r="L112" s="272">
        <f>ROUNDDOWN((L114+$J$10)*($W104),0)</f>
        <v>14</v>
      </c>
      <c r="M112" s="272">
        <f>ROUNDDOWN((M114+$J$10)*($W104),0)</f>
        <v>6</v>
      </c>
      <c r="N112" s="268">
        <f>ROUNDDOWN((N114+$J$10)*($W104),0)</f>
        <v>25</v>
      </c>
      <c r="O112" s="271"/>
      <c r="P112" s="272"/>
      <c r="Q112" s="272"/>
      <c r="R112" s="268"/>
      <c r="S112" s="265"/>
      <c r="T112" s="272"/>
      <c r="U112" s="282"/>
      <c r="V112" s="61"/>
      <c r="W112" s="291"/>
      <c r="X112" s="286"/>
    </row>
    <row r="113" spans="1:24" hidden="1" outlineLevel="2">
      <c r="B113" s="452"/>
      <c r="C113" s="454"/>
      <c r="D113" s="199" t="s">
        <v>345</v>
      </c>
      <c r="E113" s="276">
        <f>IF(ROUND(((E114-$E$10)*($W104))+0.25,0) &lt;=0,1,((E114-$E$10)*($W104))+0.25)</f>
        <v>1.1599999999999999</v>
      </c>
      <c r="F113" s="277">
        <f>IF(ROUND(((F114-$E$10)*($W104))+0.25,0) &lt;=0,1,((F114-$E$10)*($W104))+0.25)</f>
        <v>2.38</v>
      </c>
      <c r="G113" s="277">
        <f>IF(ROUND(((G114-$E$10)*($W104))+0.25,0) &lt;=0,1,((G114-$E$10)*($W104))+0.25)</f>
        <v>9.27</v>
      </c>
      <c r="H113" s="277">
        <f>IF(ROUND(((H114-$E$10)*($W104))+0.25,0) &lt;=0,1,((H114-$E$10)*($W104))+0.25)</f>
        <v>15.049999999999999</v>
      </c>
      <c r="I113" s="277">
        <f>IF(ROUND(((I114-$E$10)*($W104))+0.25,0) &lt;=0,1,((I114-$E$10)*($W104))+0.25)</f>
        <v>18.38</v>
      </c>
      <c r="J113" s="276">
        <f>IF(ROUND(((J114-$J$10)*($W104))+0.25,0) &lt;=0,1,((J114-$J$10)*($W104))+0.25)</f>
        <v>0.88</v>
      </c>
      <c r="K113" s="277">
        <f>IF(ROUND(((K114-$J$10)*($W104))+0.25,0) &lt;=0,1,((K114-$J$10)*($W104))+0.25)</f>
        <v>4.6499999999999995</v>
      </c>
      <c r="L113" s="277">
        <f>IF(ROUND(((L114-$J$10)*($W104))+0.25,0) &lt;=0,1,((L114-$J$10)*($W104))+0.25)</f>
        <v>10.979999999999999</v>
      </c>
      <c r="M113" s="277">
        <f>IF(ROUND(((M114-$J$10)*($W104))+0.25,0) &lt;=0,1,((M114-$J$10)*($W104))+0.25)</f>
        <v>2.88</v>
      </c>
      <c r="N113" s="278">
        <f>IF(ROUND(((N114-$J$10)*($W104))+0.25,0) &lt;=0,1,((N114-$J$10)*($W104))+0.25)</f>
        <v>21.860000000000003</v>
      </c>
      <c r="O113" s="276"/>
      <c r="P113" s="277"/>
      <c r="Q113" s="277"/>
      <c r="R113" s="278"/>
      <c r="S113" s="276"/>
      <c r="T113" s="277"/>
      <c r="U113" s="287"/>
      <c r="V113" s="61"/>
      <c r="W113" s="285"/>
      <c r="X113" s="287"/>
    </row>
    <row r="114" spans="1:24" hidden="1" outlineLevel="2">
      <c r="B114" s="452"/>
      <c r="C114" s="454"/>
      <c r="D114" s="95" t="s">
        <v>346</v>
      </c>
      <c r="E114" s="414">
        <f t="shared" ref="E114:N114" si="29">IFERROR(E104/$W104,0)</f>
        <v>3.8199999999999998E-2</v>
      </c>
      <c r="F114" s="415">
        <f t="shared" si="29"/>
        <v>6.2600000000000003E-2</v>
      </c>
      <c r="G114" s="415">
        <f t="shared" si="29"/>
        <v>0.20039999999999999</v>
      </c>
      <c r="H114" s="415">
        <f t="shared" si="29"/>
        <v>0.316</v>
      </c>
      <c r="I114" s="415">
        <f t="shared" si="29"/>
        <v>0.3826</v>
      </c>
      <c r="J114" s="414">
        <f t="shared" si="29"/>
        <v>5.2600000000000001E-2</v>
      </c>
      <c r="K114" s="415">
        <f t="shared" si="29"/>
        <v>0.128</v>
      </c>
      <c r="L114" s="415">
        <f t="shared" si="29"/>
        <v>0.25459999999999999</v>
      </c>
      <c r="M114" s="415">
        <f t="shared" si="29"/>
        <v>9.2600000000000002E-2</v>
      </c>
      <c r="N114" s="416">
        <f t="shared" si="29"/>
        <v>0.47220000000000001</v>
      </c>
      <c r="O114" s="414"/>
      <c r="P114" s="415"/>
      <c r="Q114" s="415"/>
      <c r="R114" s="416"/>
      <c r="S114" s="414"/>
      <c r="T114" s="415"/>
      <c r="U114" s="254"/>
      <c r="V114" s="61"/>
      <c r="W114" s="113"/>
      <c r="X114" s="431"/>
    </row>
    <row r="115" spans="1:24" hidden="1" outlineLevel="2">
      <c r="B115" s="452"/>
      <c r="C115" s="454"/>
      <c r="D115" s="180" t="s">
        <v>347</v>
      </c>
      <c r="E115" s="414">
        <f t="shared" ref="E115:N115" si="30">IFERROR(E105/$W104,0)</f>
        <v>0.02</v>
      </c>
      <c r="F115" s="415">
        <f t="shared" si="30"/>
        <v>0.04</v>
      </c>
      <c r="G115" s="415">
        <f t="shared" si="30"/>
        <v>0.16</v>
      </c>
      <c r="H115" s="415">
        <f t="shared" si="30"/>
        <v>0.28000000000000003</v>
      </c>
      <c r="I115" s="415">
        <f t="shared" si="30"/>
        <v>0.38</v>
      </c>
      <c r="J115" s="414">
        <f t="shared" si="30"/>
        <v>0.04</v>
      </c>
      <c r="K115" s="415">
        <f t="shared" si="30"/>
        <v>0.1</v>
      </c>
      <c r="L115" s="415">
        <f t="shared" si="30"/>
        <v>0.22</v>
      </c>
      <c r="M115" s="415">
        <f t="shared" si="30"/>
        <v>0.08</v>
      </c>
      <c r="N115" s="416">
        <f t="shared" si="30"/>
        <v>0.44</v>
      </c>
      <c r="O115" s="414"/>
      <c r="P115" s="415"/>
      <c r="Q115" s="415"/>
      <c r="R115" s="416"/>
      <c r="S115" s="414"/>
      <c r="T115" s="415"/>
      <c r="U115" s="254"/>
      <c r="V115" s="61"/>
      <c r="W115" s="113"/>
      <c r="X115" s="431"/>
    </row>
    <row r="116" spans="1:24" ht="16.5" hidden="1" outlineLevel="2" thickBot="1">
      <c r="B116" s="456"/>
      <c r="C116" s="455"/>
      <c r="D116" s="180" t="s">
        <v>348</v>
      </c>
      <c r="E116" s="414">
        <f t="shared" ref="E116:N116" si="31">E115-E114</f>
        <v>-1.8199999999999997E-2</v>
      </c>
      <c r="F116" s="415">
        <f t="shared" si="31"/>
        <v>-2.2600000000000002E-2</v>
      </c>
      <c r="G116" s="415">
        <f t="shared" si="31"/>
        <v>-4.0399999999999991E-2</v>
      </c>
      <c r="H116" s="415">
        <f t="shared" si="31"/>
        <v>-3.5999999999999976E-2</v>
      </c>
      <c r="I116" s="415">
        <f t="shared" si="31"/>
        <v>-2.5999999999999912E-3</v>
      </c>
      <c r="J116" s="414">
        <f t="shared" si="31"/>
        <v>-1.26E-2</v>
      </c>
      <c r="K116" s="415">
        <f t="shared" si="31"/>
        <v>-2.7999999999999997E-2</v>
      </c>
      <c r="L116" s="415">
        <f t="shared" si="31"/>
        <v>-3.4599999999999992E-2</v>
      </c>
      <c r="M116" s="415">
        <f t="shared" si="31"/>
        <v>-1.26E-2</v>
      </c>
      <c r="N116" s="416">
        <f t="shared" si="31"/>
        <v>-3.2200000000000006E-2</v>
      </c>
      <c r="O116" s="414"/>
      <c r="P116" s="415"/>
      <c r="Q116" s="415"/>
      <c r="R116" s="416"/>
      <c r="S116" s="432"/>
      <c r="T116" s="415"/>
      <c r="U116" s="254"/>
      <c r="V116" s="61"/>
      <c r="W116" s="113"/>
      <c r="X116" s="431"/>
    </row>
    <row r="117" spans="1:24" collapsed="1">
      <c r="B117" s="451" t="s">
        <v>338</v>
      </c>
      <c r="C117" s="453" t="str">
        <f>aurora_data!BA196</f>
        <v>14.00.00-14.11.30</v>
      </c>
      <c r="D117" s="34" t="s">
        <v>306</v>
      </c>
      <c r="E117" s="39">
        <f>IFERROR(aurora_data!BD196,0)</f>
        <v>2.02</v>
      </c>
      <c r="F117" s="40">
        <f>IFERROR(aurora_data!BE196,0)</f>
        <v>3.39</v>
      </c>
      <c r="G117" s="40">
        <f>IFERROR(aurora_data!BF196,0)</f>
        <v>10.07</v>
      </c>
      <c r="H117" s="40">
        <f>IFERROR(aurora_data!BG196,0)</f>
        <v>15.76</v>
      </c>
      <c r="I117" s="41">
        <f>IFERROR(aurora_data!BH196,0)</f>
        <v>18.760000000000002</v>
      </c>
      <c r="J117" s="39">
        <f>IFERROR(aurora_data!BI196,0)</f>
        <v>2.56</v>
      </c>
      <c r="K117" s="40">
        <f>IFERROR(aurora_data!BJ196,0)</f>
        <v>6.32</v>
      </c>
      <c r="L117" s="40">
        <f>IFERROR(aurora_data!BK196,0)</f>
        <v>13.23</v>
      </c>
      <c r="M117" s="40">
        <f>IFERROR(aurora_data!BL196,0)</f>
        <v>4.75</v>
      </c>
      <c r="N117" s="41">
        <f>IFERROR(aurora_data!BM196,0)</f>
        <v>23.13</v>
      </c>
      <c r="O117" s="39">
        <f>IFERROR(aurora_data!BN196,0)</f>
        <v>10.33</v>
      </c>
      <c r="P117" s="40">
        <f>IFERROR(aurora_data!BO196,0)</f>
        <v>7.67</v>
      </c>
      <c r="Q117" s="40">
        <f>IFERROR(aurora_data!BP196,0)</f>
        <v>19.829999999999998</v>
      </c>
      <c r="R117" s="41">
        <f>IFERROR(aurora_data!BQ196,0)</f>
        <v>12.17</v>
      </c>
      <c r="S117" s="40">
        <f>IFERROR(aurora_data!BR196,0)</f>
        <v>25</v>
      </c>
      <c r="T117" s="40">
        <f>IFERROR(aurora_data!BS196,0)</f>
        <v>25</v>
      </c>
      <c r="U117" s="41">
        <f>IFERROR(aurora_data!BT196,0)</f>
        <v>0</v>
      </c>
      <c r="V117" s="61" t="s">
        <v>354</v>
      </c>
      <c r="W117" s="39">
        <f>IFERROR(aurora_data!BU196,0)</f>
        <v>50</v>
      </c>
      <c r="X117" s="69">
        <f t="shared" ref="X117:X124" si="32">IFERROR(W117/$W$117,0)</f>
        <v>1</v>
      </c>
    </row>
    <row r="118" spans="1:24">
      <c r="B118" s="452"/>
      <c r="C118" s="454"/>
      <c r="D118" s="35" t="s">
        <v>339</v>
      </c>
      <c r="E118" s="113">
        <f>IFERROR(aurora_data!BD197,0)</f>
        <v>1</v>
      </c>
      <c r="F118" s="253">
        <f>IFERROR(aurora_data!BE197,0)</f>
        <v>2</v>
      </c>
      <c r="G118" s="253">
        <f>IFERROR(aurora_data!BF197,0)</f>
        <v>3</v>
      </c>
      <c r="H118" s="253">
        <f>IFERROR(aurora_data!BG197,0)</f>
        <v>13</v>
      </c>
      <c r="I118" s="254">
        <f>IFERROR(aurora_data!BH197,0)</f>
        <v>18</v>
      </c>
      <c r="J118" s="113">
        <f>IFERROR(aurora_data!BI197,0)</f>
        <v>2</v>
      </c>
      <c r="K118" s="253">
        <f>IFERROR(aurora_data!BJ197,0)</f>
        <v>4</v>
      </c>
      <c r="L118" s="253">
        <f>IFERROR(aurora_data!BK197,0)</f>
        <v>9</v>
      </c>
      <c r="M118" s="253">
        <f>IFERROR(aurora_data!BL197,0)</f>
        <v>3</v>
      </c>
      <c r="N118" s="254">
        <f>IFERROR(aurora_data!BM197,0)</f>
        <v>19</v>
      </c>
      <c r="O118" s="113">
        <f>IFERROR(aurora_data!BN197,0)</f>
        <v>6</v>
      </c>
      <c r="P118" s="253">
        <f>IFERROR(aurora_data!BO197,0)</f>
        <v>6</v>
      </c>
      <c r="Q118" s="253">
        <f>IFERROR(aurora_data!BP197,0)</f>
        <v>17</v>
      </c>
      <c r="R118" s="254">
        <f>IFERROR(aurora_data!BQ197,0)</f>
        <v>8</v>
      </c>
      <c r="S118" s="253">
        <f>IFERROR(aurora_data!BR197,0)</f>
        <v>19</v>
      </c>
      <c r="T118" s="253">
        <f>IFERROR(aurora_data!BS197,0)</f>
        <v>18</v>
      </c>
      <c r="U118" s="254">
        <f>IFERROR(aurora_data!BT197,0)</f>
        <v>0</v>
      </c>
      <c r="V118" s="61" t="s">
        <v>354</v>
      </c>
      <c r="W118" s="113">
        <f>IFERROR(aurora_data!BU197,0)</f>
        <v>37</v>
      </c>
      <c r="X118" s="255">
        <f t="shared" si="32"/>
        <v>0.74</v>
      </c>
    </row>
    <row r="119" spans="1:24">
      <c r="B119" s="452"/>
      <c r="C119" s="454"/>
      <c r="D119" s="35" t="s">
        <v>291</v>
      </c>
      <c r="E119" s="113">
        <f>IFERROR(aurora_data!BD198,0)</f>
        <v>2</v>
      </c>
      <c r="F119" s="253">
        <f>IFERROR(aurora_data!BE198,0)</f>
        <v>0</v>
      </c>
      <c r="G119" s="253">
        <f>IFERROR(aurora_data!BF198,0)</f>
        <v>0</v>
      </c>
      <c r="H119" s="253">
        <f>IFERROR(aurora_data!BG198,0)</f>
        <v>0</v>
      </c>
      <c r="I119" s="254">
        <f>IFERROR(aurora_data!BH198,0)</f>
        <v>7</v>
      </c>
      <c r="J119" s="113">
        <f>IFERROR(aurora_data!BI198,0)</f>
        <v>0</v>
      </c>
      <c r="K119" s="253">
        <f>IFERROR(aurora_data!BJ198,0)</f>
        <v>0</v>
      </c>
      <c r="L119" s="253">
        <f>IFERROR(aurora_data!BK198,0)</f>
        <v>5</v>
      </c>
      <c r="M119" s="253">
        <f>IFERROR(aurora_data!BL198,0)</f>
        <v>0</v>
      </c>
      <c r="N119" s="254">
        <f>IFERROR(aurora_data!BM198,0)</f>
        <v>4</v>
      </c>
      <c r="O119" s="113">
        <f>IFERROR(aurora_data!BN198,0)</f>
        <v>5</v>
      </c>
      <c r="P119" s="253">
        <f>IFERROR(aurora_data!BO198,0)</f>
        <v>1</v>
      </c>
      <c r="Q119" s="253">
        <f>IFERROR(aurora_data!BP198,0)</f>
        <v>1</v>
      </c>
      <c r="R119" s="254">
        <f>IFERROR(aurora_data!BQ198,0)</f>
        <v>2</v>
      </c>
      <c r="S119" s="253">
        <f>IFERROR(aurora_data!BR198,0)</f>
        <v>4</v>
      </c>
      <c r="T119" s="253">
        <f>IFERROR(aurora_data!BS198,0)</f>
        <v>5</v>
      </c>
      <c r="U119" s="254">
        <f>IFERROR(aurora_data!BT198,0)</f>
        <v>0</v>
      </c>
      <c r="V119" s="61" t="s">
        <v>354</v>
      </c>
      <c r="W119" s="113">
        <f>IFERROR(aurora_data!BU198,0)</f>
        <v>9</v>
      </c>
      <c r="X119" s="255">
        <f t="shared" si="32"/>
        <v>0.18</v>
      </c>
    </row>
    <row r="120" spans="1:24">
      <c r="A120"/>
      <c r="B120" s="452"/>
      <c r="C120" s="454"/>
      <c r="D120" s="35" t="s">
        <v>340</v>
      </c>
      <c r="E120" s="113">
        <f>IFERROR(aurora_data!BD199,0)</f>
        <v>0</v>
      </c>
      <c r="F120" s="253">
        <f>IFERROR(aurora_data!BE199,0)</f>
        <v>1</v>
      </c>
      <c r="G120" s="253">
        <f>IFERROR(aurora_data!BF199,0)</f>
        <v>0</v>
      </c>
      <c r="H120" s="253">
        <f>IFERROR(aurora_data!BG199,0)</f>
        <v>0</v>
      </c>
      <c r="I120" s="254">
        <f>IFERROR(aurora_data!BH199,0)</f>
        <v>0</v>
      </c>
      <c r="J120" s="113">
        <f>IFERROR(aurora_data!BI199,0)</f>
        <v>0</v>
      </c>
      <c r="K120" s="253">
        <f>IFERROR(aurora_data!BJ199,0)</f>
        <v>0</v>
      </c>
      <c r="L120" s="253">
        <f>IFERROR(aurora_data!BK199,0)</f>
        <v>0</v>
      </c>
      <c r="M120" s="253">
        <f>IFERROR(aurora_data!BL199,0)</f>
        <v>0</v>
      </c>
      <c r="N120" s="254">
        <f>IFERROR(aurora_data!BM199,0)</f>
        <v>1</v>
      </c>
      <c r="O120" s="113">
        <f>IFERROR(aurora_data!BN199,0)</f>
        <v>0</v>
      </c>
      <c r="P120" s="253">
        <f>IFERROR(aurora_data!BO199,0)</f>
        <v>0</v>
      </c>
      <c r="Q120" s="253">
        <f>IFERROR(aurora_data!BP199,0)</f>
        <v>1</v>
      </c>
      <c r="R120" s="254">
        <f>IFERROR(aurora_data!BQ199,0)</f>
        <v>0</v>
      </c>
      <c r="S120" s="253">
        <f>IFERROR(aurora_data!BR199,0)</f>
        <v>0</v>
      </c>
      <c r="T120" s="253">
        <f>IFERROR(aurora_data!BS199,0)</f>
        <v>1</v>
      </c>
      <c r="U120" s="254">
        <f>IFERROR(aurora_data!BT199,0)</f>
        <v>0</v>
      </c>
      <c r="V120" s="61" t="s">
        <v>354</v>
      </c>
      <c r="W120" s="113">
        <f>IFERROR(aurora_data!BU199,0)</f>
        <v>1</v>
      </c>
      <c r="X120" s="255">
        <f t="shared" si="32"/>
        <v>0.02</v>
      </c>
    </row>
    <row r="121" spans="1:24">
      <c r="A121"/>
      <c r="B121" s="452"/>
      <c r="C121" s="454"/>
      <c r="D121" s="35" t="s">
        <v>341</v>
      </c>
      <c r="E121" s="113">
        <f>IFERROR(aurora_data!BD200,0)</f>
        <v>0</v>
      </c>
      <c r="F121" s="253">
        <f>IFERROR(aurora_data!BE200,0)</f>
        <v>0</v>
      </c>
      <c r="G121" s="253">
        <f>IFERROR(aurora_data!BF200,0)</f>
        <v>1</v>
      </c>
      <c r="H121" s="253">
        <f>IFERROR(aurora_data!BG200,0)</f>
        <v>4</v>
      </c>
      <c r="I121" s="254">
        <f>IFERROR(aurora_data!BH200,0)</f>
        <v>1</v>
      </c>
      <c r="J121" s="113">
        <f>IFERROR(aurora_data!BI200,0)</f>
        <v>0</v>
      </c>
      <c r="K121" s="253">
        <f>IFERROR(aurora_data!BJ200,0)</f>
        <v>3</v>
      </c>
      <c r="L121" s="253">
        <f>IFERROR(aurora_data!BK200,0)</f>
        <v>0</v>
      </c>
      <c r="M121" s="253">
        <f>IFERROR(aurora_data!BL200,0)</f>
        <v>2</v>
      </c>
      <c r="N121" s="254">
        <f>IFERROR(aurora_data!BM200,0)</f>
        <v>1</v>
      </c>
      <c r="O121" s="113">
        <f>IFERROR(aurora_data!BN200,0)</f>
        <v>3</v>
      </c>
      <c r="P121" s="253">
        <f>IFERROR(aurora_data!BO200,0)</f>
        <v>0</v>
      </c>
      <c r="Q121" s="253">
        <f>IFERROR(aurora_data!BP200,0)</f>
        <v>2</v>
      </c>
      <c r="R121" s="254">
        <f>IFERROR(aurora_data!BQ200,0)</f>
        <v>1</v>
      </c>
      <c r="S121" s="253">
        <f>IFERROR(aurora_data!BR200,0)</f>
        <v>4</v>
      </c>
      <c r="T121" s="253">
        <f>IFERROR(aurora_data!BS200,0)</f>
        <v>2</v>
      </c>
      <c r="U121" s="254">
        <f>IFERROR(aurora_data!BT200,0)</f>
        <v>0</v>
      </c>
      <c r="V121" s="61" t="s">
        <v>354</v>
      </c>
      <c r="W121" s="113">
        <f>IFERROR(aurora_data!BU200,0)</f>
        <v>6</v>
      </c>
      <c r="X121" s="255">
        <f t="shared" si="32"/>
        <v>0.12</v>
      </c>
    </row>
    <row r="122" spans="1:24" ht="16.5" thickBot="1">
      <c r="A122"/>
      <c r="B122" s="452"/>
      <c r="C122" s="454"/>
      <c r="D122" s="35" t="s">
        <v>342</v>
      </c>
      <c r="E122" s="113">
        <f>IFERROR(aurora_data!BD201,0)</f>
        <v>0</v>
      </c>
      <c r="F122" s="253">
        <f>IFERROR(aurora_data!BE201,0)</f>
        <v>0</v>
      </c>
      <c r="G122" s="253">
        <f>IFERROR(aurora_data!BF201,0)</f>
        <v>0</v>
      </c>
      <c r="H122" s="253">
        <f>IFERROR(aurora_data!BG201,0)</f>
        <v>0</v>
      </c>
      <c r="I122" s="254">
        <f>IFERROR(aurora_data!BH201,0)</f>
        <v>0</v>
      </c>
      <c r="J122" s="113">
        <f>IFERROR(aurora_data!BI201,0)</f>
        <v>0</v>
      </c>
      <c r="K122" s="253">
        <f>IFERROR(aurora_data!BJ201,0)</f>
        <v>0</v>
      </c>
      <c r="L122" s="253">
        <f>IFERROR(aurora_data!BK201,0)</f>
        <v>0</v>
      </c>
      <c r="M122" s="253">
        <f>IFERROR(aurora_data!BL201,0)</f>
        <v>0</v>
      </c>
      <c r="N122" s="254">
        <f>IFERROR(aurora_data!BM201,0)</f>
        <v>0</v>
      </c>
      <c r="O122" s="113">
        <f>IFERROR(aurora_data!BN201,0)</f>
        <v>0</v>
      </c>
      <c r="P122" s="253">
        <f>IFERROR(aurora_data!BO201,0)</f>
        <v>0</v>
      </c>
      <c r="Q122" s="253">
        <f>IFERROR(aurora_data!BP201,0)</f>
        <v>0</v>
      </c>
      <c r="R122" s="254">
        <f>IFERROR(aurora_data!BQ201,0)</f>
        <v>0</v>
      </c>
      <c r="S122" s="253">
        <f>IFERROR(aurora_data!BR201,0)</f>
        <v>0</v>
      </c>
      <c r="T122" s="253">
        <f>IFERROR(aurora_data!BS201,0)</f>
        <v>0</v>
      </c>
      <c r="U122" s="254">
        <f>IFERROR(aurora_data!BT201,0)</f>
        <v>0</v>
      </c>
      <c r="V122" s="61" t="s">
        <v>354</v>
      </c>
      <c r="W122" s="113">
        <f>IFERROR(aurora_data!BU201,0)</f>
        <v>0</v>
      </c>
      <c r="X122" s="255">
        <f t="shared" si="32"/>
        <v>0</v>
      </c>
    </row>
    <row r="123" spans="1:24" ht="16.5" thickBot="1">
      <c r="A123"/>
      <c r="B123" s="452"/>
      <c r="C123" s="454"/>
      <c r="D123" s="37" t="s">
        <v>17</v>
      </c>
      <c r="E123" s="59">
        <f>IFERROR(aurora_data!BD202,0)</f>
        <v>3</v>
      </c>
      <c r="F123" s="64">
        <f>IFERROR(aurora_data!BE202,0)</f>
        <v>3</v>
      </c>
      <c r="G123" s="64">
        <f>IFERROR(aurora_data!BF202,0)</f>
        <v>4</v>
      </c>
      <c r="H123" s="64">
        <f>IFERROR(aurora_data!BG202,0)</f>
        <v>17</v>
      </c>
      <c r="I123" s="65">
        <f>IFERROR(aurora_data!BH202,0)</f>
        <v>26</v>
      </c>
      <c r="J123" s="59">
        <f>IFERROR(aurora_data!BI202,0)</f>
        <v>2</v>
      </c>
      <c r="K123" s="64">
        <f>IFERROR(aurora_data!BJ202,0)</f>
        <v>7</v>
      </c>
      <c r="L123" s="64">
        <f>IFERROR(aurora_data!BK202,0)</f>
        <v>14</v>
      </c>
      <c r="M123" s="64">
        <f>IFERROR(aurora_data!BL202,0)</f>
        <v>5</v>
      </c>
      <c r="N123" s="65">
        <f>IFERROR(aurora_data!BM202,0)</f>
        <v>25</v>
      </c>
      <c r="O123" s="59">
        <f>IFERROR(aurora_data!BN202,0)</f>
        <v>14</v>
      </c>
      <c r="P123" s="64">
        <f>IFERROR(aurora_data!BO202,0)</f>
        <v>7</v>
      </c>
      <c r="Q123" s="64">
        <f>IFERROR(aurora_data!BP202,0)</f>
        <v>21</v>
      </c>
      <c r="R123" s="65">
        <f>IFERROR(aurora_data!BQ202,0)</f>
        <v>11</v>
      </c>
      <c r="S123" s="64">
        <f>IFERROR(aurora_data!BR202,0)</f>
        <v>27</v>
      </c>
      <c r="T123" s="64">
        <f>IFERROR(aurora_data!BS202,0)</f>
        <v>26</v>
      </c>
      <c r="U123" s="65">
        <f>IFERROR(aurora_data!BT202,0)</f>
        <v>0</v>
      </c>
      <c r="V123" s="66" t="s">
        <v>354</v>
      </c>
      <c r="W123" s="59">
        <f>IFERROR(aurora_data!BU202,0)</f>
        <v>53</v>
      </c>
      <c r="X123" s="70">
        <f t="shared" si="32"/>
        <v>1.06</v>
      </c>
    </row>
    <row r="124" spans="1:24" ht="16.5" thickBot="1">
      <c r="A124"/>
      <c r="B124" s="452"/>
      <c r="C124" s="454"/>
      <c r="D124" s="38" t="s">
        <v>343</v>
      </c>
      <c r="E124" s="256">
        <f>IFERROR(aurora_data!BD203,0)</f>
        <v>0</v>
      </c>
      <c r="F124" s="257">
        <f>IFERROR(aurora_data!BE203,0)</f>
        <v>0</v>
      </c>
      <c r="G124" s="257">
        <f>IFERROR(aurora_data!BF203,0)</f>
        <v>0</v>
      </c>
      <c r="H124" s="257">
        <f>IFERROR(aurora_data!BG203,0)</f>
        <v>0</v>
      </c>
      <c r="I124" s="258">
        <f>IFERROR(aurora_data!BH203,0)</f>
        <v>0</v>
      </c>
      <c r="J124" s="256">
        <f>IFERROR(aurora_data!BI203,0)</f>
        <v>0</v>
      </c>
      <c r="K124" s="257">
        <f>IFERROR(aurora_data!BJ203,0)</f>
        <v>0</v>
      </c>
      <c r="L124" s="257">
        <f>IFERROR(aurora_data!BK203,0)</f>
        <v>0</v>
      </c>
      <c r="M124" s="257">
        <f>IFERROR(aurora_data!BL203,0)</f>
        <v>0</v>
      </c>
      <c r="N124" s="258">
        <f>IFERROR(aurora_data!BM203,0)</f>
        <v>0</v>
      </c>
      <c r="O124" s="256">
        <f>IFERROR(aurora_data!BN203,0)</f>
        <v>0</v>
      </c>
      <c r="P124" s="257">
        <f>IFERROR(aurora_data!BO203,0)</f>
        <v>0</v>
      </c>
      <c r="Q124" s="257">
        <f>IFERROR(aurora_data!BP203,0)</f>
        <v>0</v>
      </c>
      <c r="R124" s="258">
        <f>IFERROR(aurora_data!BQ203,0)</f>
        <v>0</v>
      </c>
      <c r="S124" s="257">
        <f>IFERROR(aurora_data!BR203,0)</f>
        <v>0</v>
      </c>
      <c r="T124" s="257">
        <f>IFERROR(aurora_data!BS203,0)</f>
        <v>0</v>
      </c>
      <c r="U124" s="259">
        <f>IFERROR(aurora_data!BT203,0)</f>
        <v>0</v>
      </c>
      <c r="V124" s="260" t="s">
        <v>354</v>
      </c>
      <c r="W124" s="256">
        <f>IFERROR(aurora_data!BU203,0)</f>
        <v>0</v>
      </c>
      <c r="X124" s="261">
        <f t="shared" si="32"/>
        <v>0</v>
      </c>
    </row>
    <row r="125" spans="1:24" hidden="1" outlineLevel="1">
      <c r="A125"/>
      <c r="B125" s="452"/>
      <c r="C125" s="454"/>
      <c r="D125" s="199" t="s">
        <v>344</v>
      </c>
      <c r="E125" s="271">
        <f>ROUNDDOWN((E127+$E$10)*($W117),0)</f>
        <v>3</v>
      </c>
      <c r="F125" s="272">
        <f>ROUNDDOWN((F127+$E$10)*($W117),0)</f>
        <v>4</v>
      </c>
      <c r="G125" s="272">
        <f>ROUNDDOWN((G127+$E$10)*($W117),0)</f>
        <v>11</v>
      </c>
      <c r="H125" s="272">
        <f>ROUNDDOWN((H127+$E$10)*($W117),0)</f>
        <v>16</v>
      </c>
      <c r="I125" s="272">
        <f>ROUNDDOWN((I127+$E$10)*($W117),0)</f>
        <v>19</v>
      </c>
      <c r="J125" s="271">
        <f>ROUNDDOWN((J127+$J$10)*($W117),0)</f>
        <v>4</v>
      </c>
      <c r="K125" s="272">
        <f>ROUNDDOWN((K127+$J$10)*($W117),0)</f>
        <v>8</v>
      </c>
      <c r="L125" s="272">
        <f>ROUNDDOWN((L127+$J$10)*($W117),0)</f>
        <v>15</v>
      </c>
      <c r="M125" s="272">
        <f>ROUNDDOWN((M127+$J$10)*($W117),0)</f>
        <v>6</v>
      </c>
      <c r="N125" s="268">
        <f>ROUNDDOWN((N127+$J$10)*($W117),0)</f>
        <v>25</v>
      </c>
      <c r="O125" s="271"/>
      <c r="P125" s="272"/>
      <c r="Q125" s="272"/>
      <c r="R125" s="268"/>
      <c r="S125" s="265"/>
      <c r="T125" s="272"/>
      <c r="U125" s="282"/>
      <c r="V125" s="61"/>
      <c r="W125" s="291"/>
      <c r="X125" s="286"/>
    </row>
    <row r="126" spans="1:24" hidden="1" outlineLevel="1">
      <c r="A126"/>
      <c r="B126" s="452"/>
      <c r="C126" s="454"/>
      <c r="D126" s="199" t="s">
        <v>345</v>
      </c>
      <c r="E126" s="276">
        <f>IF(ROUND(((E127-$E$10)*($W117))+0.25,0) &lt;=0,1,((E127-WISC6_STDZ_D!$E$9)*(WISC6_STDZ_D!$W116))+0.25)</f>
        <v>0.24972256000000001</v>
      </c>
      <c r="F126" s="277">
        <f>IF(ROUND(((F127-$E$10)*($W117))+0.25,0) &lt;=0,1,((F127-WISC6_STDZ_D!$E$9)*(WISC6_STDZ_D!$W116))+0.25)</f>
        <v>0.24934992</v>
      </c>
      <c r="G126" s="277">
        <f>IF(ROUND(((G127-$E$10)*($W117))+0.25,0) &lt;=0,1,((G127-WISC6_STDZ_D!$E$9)*(WISC6_STDZ_D!$W116))+0.25)</f>
        <v>0.24753296</v>
      </c>
      <c r="H126" s="277">
        <f>IF(ROUND(((H127-$E$10)*($W117))+0.25,0) &lt;=0,1,((H127-WISC6_STDZ_D!$E$9)*(WISC6_STDZ_D!$W116))+0.25)</f>
        <v>0.24598528</v>
      </c>
      <c r="I126" s="277">
        <f>IF(ROUND(((I127-$E$10)*($W117))+0.25,0) &lt;=0,1,((I127-WISC6_STDZ_D!$E$9)*(WISC6_STDZ_D!$W116))+0.25)</f>
        <v>0.24516927999999999</v>
      </c>
      <c r="J126" s="276">
        <f>IF(ROUND(((J127-$J$10)*($W117))+0.25,0) &lt;=0,1,((J127-WISC6_STDZ_D!$E$9)*(WISC6_STDZ_D!$W116))+0.25)</f>
        <v>0.24957567999999999</v>
      </c>
      <c r="K126" s="277">
        <f>IF(ROUND(((K127-$J$10)*($W117))+0.25,0) &lt;=0,1,((K127-WISC6_STDZ_D!$E$9)*(WISC6_STDZ_D!$W116))+0.25)</f>
        <v>0.24855295999999999</v>
      </c>
      <c r="L126" s="277">
        <f>IF(ROUND(((L127-$J$10)*($W117))+0.25,0) &lt;=0,1,((L127-WISC6_STDZ_D!$E$9)*(WISC6_STDZ_D!$W116))+0.25)</f>
        <v>0.24667343999999999</v>
      </c>
      <c r="M126" s="277">
        <f>IF(ROUND(((M127-$J$10)*($W117))+0.25,0) &lt;=0,1,((M127-WISC6_STDZ_D!$E$9)*(WISC6_STDZ_D!$W116))+0.25)</f>
        <v>0.24898000000000001</v>
      </c>
      <c r="N126" s="278">
        <f>IF(ROUND(((N127-$J$10)*($W117))+0.25,0) &lt;=0,1,((N127-WISC6_STDZ_D!$E$9)*(WISC6_STDZ_D!$W116))+0.25)</f>
        <v>0.24398064</v>
      </c>
      <c r="O126" s="276"/>
      <c r="P126" s="277"/>
      <c r="Q126" s="277"/>
      <c r="R126" s="278"/>
      <c r="S126" s="276"/>
      <c r="T126" s="277"/>
      <c r="U126" s="287"/>
      <c r="V126" s="61"/>
      <c r="W126" s="285"/>
      <c r="X126" s="287"/>
    </row>
    <row r="127" spans="1:24" hidden="1" outlineLevel="1">
      <c r="A127"/>
      <c r="B127" s="452"/>
      <c r="C127" s="454"/>
      <c r="D127" s="95" t="s">
        <v>346</v>
      </c>
      <c r="E127" s="414">
        <f t="shared" ref="E127:N127" si="33">IFERROR(E117/$W117,0)</f>
        <v>4.0399999999999998E-2</v>
      </c>
      <c r="F127" s="415">
        <f t="shared" si="33"/>
        <v>6.7799999999999999E-2</v>
      </c>
      <c r="G127" s="415">
        <f t="shared" si="33"/>
        <v>0.2014</v>
      </c>
      <c r="H127" s="415">
        <f t="shared" si="33"/>
        <v>0.31519999999999998</v>
      </c>
      <c r="I127" s="415">
        <f t="shared" si="33"/>
        <v>0.37520000000000003</v>
      </c>
      <c r="J127" s="414">
        <f t="shared" si="33"/>
        <v>5.1200000000000002E-2</v>
      </c>
      <c r="K127" s="415">
        <f t="shared" si="33"/>
        <v>0.12640000000000001</v>
      </c>
      <c r="L127" s="415">
        <f t="shared" si="33"/>
        <v>0.2646</v>
      </c>
      <c r="M127" s="415">
        <f t="shared" si="33"/>
        <v>9.5000000000000001E-2</v>
      </c>
      <c r="N127" s="416">
        <f t="shared" si="33"/>
        <v>0.46259999999999996</v>
      </c>
      <c r="O127" s="414"/>
      <c r="P127" s="415"/>
      <c r="Q127" s="415"/>
      <c r="R127" s="416"/>
      <c r="S127" s="414"/>
      <c r="T127" s="415"/>
      <c r="U127" s="254"/>
      <c r="V127" s="61"/>
      <c r="W127" s="113"/>
      <c r="X127" s="431"/>
    </row>
    <row r="128" spans="1:24" hidden="1" outlineLevel="1">
      <c r="A128"/>
      <c r="B128" s="452"/>
      <c r="C128" s="454"/>
      <c r="D128" s="180" t="s">
        <v>347</v>
      </c>
      <c r="E128" s="414">
        <f t="shared" ref="E128:N128" si="34">IFERROR(E118/$W117,0)</f>
        <v>0.02</v>
      </c>
      <c r="F128" s="415">
        <f t="shared" si="34"/>
        <v>0.04</v>
      </c>
      <c r="G128" s="415">
        <f t="shared" si="34"/>
        <v>0.06</v>
      </c>
      <c r="H128" s="415">
        <f t="shared" si="34"/>
        <v>0.26</v>
      </c>
      <c r="I128" s="415">
        <f t="shared" si="34"/>
        <v>0.36</v>
      </c>
      <c r="J128" s="414">
        <f t="shared" si="34"/>
        <v>0.04</v>
      </c>
      <c r="K128" s="415">
        <f t="shared" si="34"/>
        <v>0.08</v>
      </c>
      <c r="L128" s="415">
        <f t="shared" si="34"/>
        <v>0.18</v>
      </c>
      <c r="M128" s="415">
        <f t="shared" si="34"/>
        <v>0.06</v>
      </c>
      <c r="N128" s="416">
        <f t="shared" si="34"/>
        <v>0.38</v>
      </c>
      <c r="O128" s="414"/>
      <c r="P128" s="415"/>
      <c r="Q128" s="415"/>
      <c r="R128" s="416"/>
      <c r="S128" s="414"/>
      <c r="T128" s="415"/>
      <c r="U128" s="254"/>
      <c r="V128" s="61"/>
      <c r="W128" s="113"/>
      <c r="X128" s="431"/>
    </row>
    <row r="129" spans="1:24" ht="16.5" hidden="1" outlineLevel="1" thickBot="1">
      <c r="A129"/>
      <c r="B129" s="456"/>
      <c r="C129" s="455"/>
      <c r="D129" s="180" t="s">
        <v>348</v>
      </c>
      <c r="E129" s="414">
        <f t="shared" ref="E129:N129" si="35">E128-E127</f>
        <v>-2.0399999999999998E-2</v>
      </c>
      <c r="F129" s="415">
        <f t="shared" si="35"/>
        <v>-2.7799999999999998E-2</v>
      </c>
      <c r="G129" s="415">
        <f t="shared" si="35"/>
        <v>-0.1414</v>
      </c>
      <c r="H129" s="415">
        <f t="shared" si="35"/>
        <v>-5.5199999999999971E-2</v>
      </c>
      <c r="I129" s="415">
        <f t="shared" si="35"/>
        <v>-1.5200000000000047E-2</v>
      </c>
      <c r="J129" s="414">
        <f t="shared" si="35"/>
        <v>-1.1200000000000002E-2</v>
      </c>
      <c r="K129" s="415">
        <f t="shared" si="35"/>
        <v>-4.6400000000000011E-2</v>
      </c>
      <c r="L129" s="415">
        <f t="shared" si="35"/>
        <v>-8.4600000000000009E-2</v>
      </c>
      <c r="M129" s="415">
        <f t="shared" si="35"/>
        <v>-3.5000000000000003E-2</v>
      </c>
      <c r="N129" s="416">
        <f t="shared" si="35"/>
        <v>-8.2599999999999951E-2</v>
      </c>
      <c r="O129" s="414"/>
      <c r="P129" s="415"/>
      <c r="Q129" s="415"/>
      <c r="R129" s="416"/>
      <c r="S129" s="432"/>
      <c r="T129" s="415"/>
      <c r="U129" s="254"/>
      <c r="V129" s="61"/>
      <c r="W129" s="113"/>
      <c r="X129" s="431"/>
    </row>
    <row r="130" spans="1:24" collapsed="1">
      <c r="A130"/>
      <c r="B130" s="451" t="s">
        <v>338</v>
      </c>
      <c r="C130" s="453" t="str">
        <f>aurora_data!BA204</f>
        <v>15.00.00-15.11.30</v>
      </c>
      <c r="D130" s="34" t="s">
        <v>306</v>
      </c>
      <c r="E130" s="39">
        <f>IFERROR(aurora_data!BD204,0)</f>
        <v>1.97</v>
      </c>
      <c r="F130" s="40">
        <f>IFERROR(aurora_data!BE204,0)</f>
        <v>3.37</v>
      </c>
      <c r="G130" s="40">
        <f>IFERROR(aurora_data!BF204,0)</f>
        <v>9.9499999999999993</v>
      </c>
      <c r="H130" s="40">
        <f>IFERROR(aurora_data!BG204,0)</f>
        <v>15.67</v>
      </c>
      <c r="I130" s="41">
        <f>IFERROR(aurora_data!BH204,0)</f>
        <v>19.04</v>
      </c>
      <c r="J130" s="39">
        <f>IFERROR(aurora_data!BI204,0)</f>
        <v>2.46</v>
      </c>
      <c r="K130" s="40">
        <f>IFERROR(aurora_data!BJ204,0)</f>
        <v>6.45</v>
      </c>
      <c r="L130" s="40">
        <f>IFERROR(aurora_data!BK204,0)</f>
        <v>12.44</v>
      </c>
      <c r="M130" s="40">
        <f>IFERROR(aurora_data!BL204,0)</f>
        <v>4.4000000000000004</v>
      </c>
      <c r="N130" s="41">
        <f>IFERROR(aurora_data!BM204,0)</f>
        <v>24.25</v>
      </c>
      <c r="O130" s="39">
        <f>IFERROR(aurora_data!BN204,0)</f>
        <v>10.54</v>
      </c>
      <c r="P130" s="40">
        <f>IFERROR(aurora_data!BO204,0)</f>
        <v>7.82</v>
      </c>
      <c r="Q130" s="40">
        <f>IFERROR(aurora_data!BP204,0)</f>
        <v>19.98</v>
      </c>
      <c r="R130" s="41">
        <f>IFERROR(aurora_data!BQ204,0)</f>
        <v>11.66</v>
      </c>
      <c r="S130" s="40">
        <f>IFERROR(aurora_data!BR204,0)</f>
        <v>25</v>
      </c>
      <c r="T130" s="40">
        <f>IFERROR(aurora_data!BS204,0)</f>
        <v>25</v>
      </c>
      <c r="U130" s="41">
        <f>IFERROR(aurora_data!BT204,0)</f>
        <v>0</v>
      </c>
      <c r="V130" s="61" t="s">
        <v>354</v>
      </c>
      <c r="W130" s="39">
        <f>IFERROR(aurora_data!BU204,0)</f>
        <v>50</v>
      </c>
      <c r="X130" s="69">
        <f t="shared" ref="X130:X137" si="36">IFERROR(W130/$W$130,0)</f>
        <v>1</v>
      </c>
    </row>
    <row r="131" spans="1:24">
      <c r="A131"/>
      <c r="B131" s="452"/>
      <c r="C131" s="454"/>
      <c r="D131" s="35" t="s">
        <v>339</v>
      </c>
      <c r="E131" s="113">
        <f>IFERROR(aurora_data!BD205,0)</f>
        <v>2</v>
      </c>
      <c r="F131" s="253">
        <f>IFERROR(aurora_data!BE205,0)</f>
        <v>2</v>
      </c>
      <c r="G131" s="253">
        <f>IFERROR(aurora_data!BF205,0)</f>
        <v>4</v>
      </c>
      <c r="H131" s="253">
        <f>IFERROR(aurora_data!BG205,0)</f>
        <v>13</v>
      </c>
      <c r="I131" s="254">
        <f>IFERROR(aurora_data!BH205,0)</f>
        <v>19</v>
      </c>
      <c r="J131" s="113">
        <f>IFERROR(aurora_data!BI205,0)</f>
        <v>1</v>
      </c>
      <c r="K131" s="253">
        <f>IFERROR(aurora_data!BJ205,0)</f>
        <v>7</v>
      </c>
      <c r="L131" s="253">
        <f>IFERROR(aurora_data!BK205,0)</f>
        <v>8</v>
      </c>
      <c r="M131" s="253">
        <f>IFERROR(aurora_data!BL205,0)</f>
        <v>5</v>
      </c>
      <c r="N131" s="254">
        <f>IFERROR(aurora_data!BM205,0)</f>
        <v>19</v>
      </c>
      <c r="O131" s="113">
        <f>IFERROR(aurora_data!BN205,0)</f>
        <v>5</v>
      </c>
      <c r="P131" s="253">
        <f>IFERROR(aurora_data!BO205,0)</f>
        <v>10</v>
      </c>
      <c r="Q131" s="253">
        <f>IFERROR(aurora_data!BP205,0)</f>
        <v>16</v>
      </c>
      <c r="R131" s="254">
        <f>IFERROR(aurora_data!BQ205,0)</f>
        <v>9</v>
      </c>
      <c r="S131" s="253">
        <f>IFERROR(aurora_data!BR205,0)</f>
        <v>19</v>
      </c>
      <c r="T131" s="253">
        <f>IFERROR(aurora_data!BS205,0)</f>
        <v>21</v>
      </c>
      <c r="U131" s="254">
        <f>IFERROR(aurora_data!BT205,0)</f>
        <v>0</v>
      </c>
      <c r="V131" s="61" t="s">
        <v>354</v>
      </c>
      <c r="W131" s="113">
        <f>IFERROR(aurora_data!BU205,0)</f>
        <v>40</v>
      </c>
      <c r="X131" s="255">
        <f t="shared" si="36"/>
        <v>0.8</v>
      </c>
    </row>
    <row r="132" spans="1:24">
      <c r="A132"/>
      <c r="B132" s="452"/>
      <c r="C132" s="454"/>
      <c r="D132" s="35" t="s">
        <v>291</v>
      </c>
      <c r="E132" s="113">
        <f>IFERROR(aurora_data!BD206,0)</f>
        <v>0</v>
      </c>
      <c r="F132" s="253">
        <f>IFERROR(aurora_data!BE206,0)</f>
        <v>0</v>
      </c>
      <c r="G132" s="253">
        <f>IFERROR(aurora_data!BF206,0)</f>
        <v>1</v>
      </c>
      <c r="H132" s="253">
        <f>IFERROR(aurora_data!BG206,0)</f>
        <v>0</v>
      </c>
      <c r="I132" s="254">
        <f>IFERROR(aurora_data!BH206,0)</f>
        <v>5</v>
      </c>
      <c r="J132" s="113">
        <f>IFERROR(aurora_data!BI206,0)</f>
        <v>1</v>
      </c>
      <c r="K132" s="253">
        <f>IFERROR(aurora_data!BJ206,0)</f>
        <v>1</v>
      </c>
      <c r="L132" s="253">
        <f>IFERROR(aurora_data!BK206,0)</f>
        <v>0</v>
      </c>
      <c r="M132" s="253">
        <f>IFERROR(aurora_data!BL206,0)</f>
        <v>2</v>
      </c>
      <c r="N132" s="254">
        <f>IFERROR(aurora_data!BM206,0)</f>
        <v>2</v>
      </c>
      <c r="O132" s="113">
        <f>IFERROR(aurora_data!BN206,0)</f>
        <v>0</v>
      </c>
      <c r="P132" s="253">
        <f>IFERROR(aurora_data!BO206,0)</f>
        <v>3</v>
      </c>
      <c r="Q132" s="253">
        <f>IFERROR(aurora_data!BP206,0)</f>
        <v>3</v>
      </c>
      <c r="R132" s="254">
        <f>IFERROR(aurora_data!BQ206,0)</f>
        <v>0</v>
      </c>
      <c r="S132" s="253">
        <f>IFERROR(aurora_data!BR206,0)</f>
        <v>2</v>
      </c>
      <c r="T132" s="253">
        <f>IFERROR(aurora_data!BS206,0)</f>
        <v>4</v>
      </c>
      <c r="U132" s="254">
        <f>IFERROR(aurora_data!BT206,0)</f>
        <v>0</v>
      </c>
      <c r="V132" s="61" t="s">
        <v>354</v>
      </c>
      <c r="W132" s="113">
        <f>IFERROR(aurora_data!BU206,0)</f>
        <v>6</v>
      </c>
      <c r="X132" s="255">
        <f t="shared" si="36"/>
        <v>0.12</v>
      </c>
    </row>
    <row r="133" spans="1:24">
      <c r="A133"/>
      <c r="B133" s="452"/>
      <c r="C133" s="454"/>
      <c r="D133" s="35" t="s">
        <v>340</v>
      </c>
      <c r="E133" s="113">
        <f>IFERROR(aurora_data!BD207,0)</f>
        <v>0</v>
      </c>
      <c r="F133" s="253">
        <f>IFERROR(aurora_data!BE207,0)</f>
        <v>0</v>
      </c>
      <c r="G133" s="253">
        <f>IFERROR(aurora_data!BF207,0)</f>
        <v>0</v>
      </c>
      <c r="H133" s="253">
        <f>IFERROR(aurora_data!BG207,0)</f>
        <v>0</v>
      </c>
      <c r="I133" s="254">
        <f>IFERROR(aurora_data!BH207,0)</f>
        <v>0</v>
      </c>
      <c r="J133" s="113">
        <f>IFERROR(aurora_data!BI207,0)</f>
        <v>0</v>
      </c>
      <c r="K133" s="253">
        <f>IFERROR(aurora_data!BJ207,0)</f>
        <v>0</v>
      </c>
      <c r="L133" s="253">
        <f>IFERROR(aurora_data!BK207,0)</f>
        <v>0</v>
      </c>
      <c r="M133" s="253">
        <f>IFERROR(aurora_data!BL207,0)</f>
        <v>0</v>
      </c>
      <c r="N133" s="254">
        <f>IFERROR(aurora_data!BM207,0)</f>
        <v>0</v>
      </c>
      <c r="O133" s="113">
        <f>IFERROR(aurora_data!BN207,0)</f>
        <v>0</v>
      </c>
      <c r="P133" s="253">
        <f>IFERROR(aurora_data!BO207,0)</f>
        <v>0</v>
      </c>
      <c r="Q133" s="253">
        <f>IFERROR(aurora_data!BP207,0)</f>
        <v>0</v>
      </c>
      <c r="R133" s="254">
        <f>IFERROR(aurora_data!BQ207,0)</f>
        <v>0</v>
      </c>
      <c r="S133" s="253">
        <f>IFERROR(aurora_data!BR207,0)</f>
        <v>0</v>
      </c>
      <c r="T133" s="253">
        <f>IFERROR(aurora_data!BS207,0)</f>
        <v>0</v>
      </c>
      <c r="U133" s="254">
        <f>IFERROR(aurora_data!BT207,0)</f>
        <v>0</v>
      </c>
      <c r="V133" s="61" t="s">
        <v>354</v>
      </c>
      <c r="W133" s="113">
        <f>IFERROR(aurora_data!BU207,0)</f>
        <v>0</v>
      </c>
      <c r="X133" s="255">
        <f t="shared" si="36"/>
        <v>0</v>
      </c>
    </row>
    <row r="134" spans="1:24">
      <c r="A134"/>
      <c r="B134" s="452"/>
      <c r="C134" s="454"/>
      <c r="D134" s="35" t="s">
        <v>341</v>
      </c>
      <c r="E134" s="113">
        <f>IFERROR(aurora_data!BD208,0)</f>
        <v>0</v>
      </c>
      <c r="F134" s="253">
        <f>IFERROR(aurora_data!BE208,0)</f>
        <v>2</v>
      </c>
      <c r="G134" s="253">
        <f>IFERROR(aurora_data!BF208,0)</f>
        <v>0</v>
      </c>
      <c r="H134" s="253">
        <f>IFERROR(aurora_data!BG208,0)</f>
        <v>4</v>
      </c>
      <c r="I134" s="254">
        <f>IFERROR(aurora_data!BH208,0)</f>
        <v>0</v>
      </c>
      <c r="J134" s="113">
        <f>IFERROR(aurora_data!BI208,0)</f>
        <v>0</v>
      </c>
      <c r="K134" s="253">
        <f>IFERROR(aurora_data!BJ208,0)</f>
        <v>0</v>
      </c>
      <c r="L134" s="253">
        <f>IFERROR(aurora_data!BK208,0)</f>
        <v>2</v>
      </c>
      <c r="M134" s="253">
        <f>IFERROR(aurora_data!BL208,0)</f>
        <v>1</v>
      </c>
      <c r="N134" s="254">
        <f>IFERROR(aurora_data!BM208,0)</f>
        <v>3</v>
      </c>
      <c r="O134" s="113">
        <f>IFERROR(aurora_data!BN208,0)</f>
        <v>3</v>
      </c>
      <c r="P134" s="253">
        <f>IFERROR(aurora_data!BO208,0)</f>
        <v>0</v>
      </c>
      <c r="Q134" s="253">
        <f>IFERROR(aurora_data!BP208,0)</f>
        <v>0</v>
      </c>
      <c r="R134" s="254">
        <f>IFERROR(aurora_data!BQ208,0)</f>
        <v>3</v>
      </c>
      <c r="S134" s="253">
        <f>IFERROR(aurora_data!BR208,0)</f>
        <v>3</v>
      </c>
      <c r="T134" s="253">
        <f>IFERROR(aurora_data!BS208,0)</f>
        <v>3</v>
      </c>
      <c r="U134" s="254">
        <f>IFERROR(aurora_data!BT208,0)</f>
        <v>0</v>
      </c>
      <c r="V134" s="61" t="s">
        <v>354</v>
      </c>
      <c r="W134" s="113">
        <f>IFERROR(aurora_data!BU208,0)</f>
        <v>6</v>
      </c>
      <c r="X134" s="255">
        <f t="shared" si="36"/>
        <v>0.12</v>
      </c>
    </row>
    <row r="135" spans="1:24" ht="16.5" thickBot="1">
      <c r="A135"/>
      <c r="B135" s="452"/>
      <c r="C135" s="454"/>
      <c r="D135" s="35" t="s">
        <v>342</v>
      </c>
      <c r="E135" s="113">
        <f>IFERROR(aurora_data!BD209,0)</f>
        <v>0</v>
      </c>
      <c r="F135" s="253">
        <f>IFERROR(aurora_data!BE209,0)</f>
        <v>0</v>
      </c>
      <c r="G135" s="253">
        <f>IFERROR(aurora_data!BF209,0)</f>
        <v>0</v>
      </c>
      <c r="H135" s="253">
        <f>IFERROR(aurora_data!BG209,0)</f>
        <v>0</v>
      </c>
      <c r="I135" s="254">
        <f>IFERROR(aurora_data!BH209,0)</f>
        <v>0</v>
      </c>
      <c r="J135" s="113">
        <f>IFERROR(aurora_data!BI209,0)</f>
        <v>0</v>
      </c>
      <c r="K135" s="253">
        <f>IFERROR(aurora_data!BJ209,0)</f>
        <v>0</v>
      </c>
      <c r="L135" s="253">
        <f>IFERROR(aurora_data!BK209,0)</f>
        <v>0</v>
      </c>
      <c r="M135" s="253">
        <f>IFERROR(aurora_data!BL209,0)</f>
        <v>0</v>
      </c>
      <c r="N135" s="254">
        <f>IFERROR(aurora_data!BM209,0)</f>
        <v>0</v>
      </c>
      <c r="O135" s="113">
        <f>IFERROR(aurora_data!BN209,0)</f>
        <v>0</v>
      </c>
      <c r="P135" s="253">
        <f>IFERROR(aurora_data!BO209,0)</f>
        <v>0</v>
      </c>
      <c r="Q135" s="253">
        <f>IFERROR(aurora_data!BP209,0)</f>
        <v>0</v>
      </c>
      <c r="R135" s="254">
        <f>IFERROR(aurora_data!BQ209,0)</f>
        <v>0</v>
      </c>
      <c r="S135" s="253">
        <f>IFERROR(aurora_data!BR209,0)</f>
        <v>0</v>
      </c>
      <c r="T135" s="253">
        <f>IFERROR(aurora_data!BS209,0)</f>
        <v>0</v>
      </c>
      <c r="U135" s="254">
        <f>IFERROR(aurora_data!BT209,0)</f>
        <v>0</v>
      </c>
      <c r="V135" s="61" t="s">
        <v>354</v>
      </c>
      <c r="W135" s="113">
        <f>IFERROR(aurora_data!BU209,0)</f>
        <v>0</v>
      </c>
      <c r="X135" s="255">
        <f t="shared" si="36"/>
        <v>0</v>
      </c>
    </row>
    <row r="136" spans="1:24" ht="16.5" thickBot="1">
      <c r="A136"/>
      <c r="B136" s="452"/>
      <c r="C136" s="454"/>
      <c r="D136" s="37" t="s">
        <v>17</v>
      </c>
      <c r="E136" s="59">
        <f>IFERROR(aurora_data!BD210,0)</f>
        <v>2</v>
      </c>
      <c r="F136" s="64">
        <f>IFERROR(aurora_data!BE210,0)</f>
        <v>4</v>
      </c>
      <c r="G136" s="64">
        <f>IFERROR(aurora_data!BF210,0)</f>
        <v>5</v>
      </c>
      <c r="H136" s="64">
        <f>IFERROR(aurora_data!BG210,0)</f>
        <v>17</v>
      </c>
      <c r="I136" s="65">
        <f>IFERROR(aurora_data!BH210,0)</f>
        <v>24</v>
      </c>
      <c r="J136" s="59">
        <f>IFERROR(aurora_data!BI210,0)</f>
        <v>2</v>
      </c>
      <c r="K136" s="64">
        <f>IFERROR(aurora_data!BJ210,0)</f>
        <v>8</v>
      </c>
      <c r="L136" s="64">
        <f>IFERROR(aurora_data!BK210,0)</f>
        <v>10</v>
      </c>
      <c r="M136" s="64">
        <f>IFERROR(aurora_data!BL210,0)</f>
        <v>8</v>
      </c>
      <c r="N136" s="65">
        <f>IFERROR(aurora_data!BM210,0)</f>
        <v>24</v>
      </c>
      <c r="O136" s="59">
        <f>IFERROR(aurora_data!BN210,0)</f>
        <v>8</v>
      </c>
      <c r="P136" s="64">
        <f>IFERROR(aurora_data!BO210,0)</f>
        <v>13</v>
      </c>
      <c r="Q136" s="64">
        <f>IFERROR(aurora_data!BP210,0)</f>
        <v>19</v>
      </c>
      <c r="R136" s="65">
        <f>IFERROR(aurora_data!BQ210,0)</f>
        <v>12</v>
      </c>
      <c r="S136" s="64">
        <f>IFERROR(aurora_data!BR210,0)</f>
        <v>24</v>
      </c>
      <c r="T136" s="64">
        <f>IFERROR(aurora_data!BS210,0)</f>
        <v>28</v>
      </c>
      <c r="U136" s="65">
        <f>IFERROR(aurora_data!BT210,0)</f>
        <v>0</v>
      </c>
      <c r="V136" s="66" t="s">
        <v>354</v>
      </c>
      <c r="W136" s="59">
        <f>IFERROR(aurora_data!BU210,0)</f>
        <v>52</v>
      </c>
      <c r="X136" s="70">
        <f t="shared" si="36"/>
        <v>1.04</v>
      </c>
    </row>
    <row r="137" spans="1:24" ht="16.5" thickBot="1">
      <c r="A137"/>
      <c r="B137" s="452"/>
      <c r="C137" s="454"/>
      <c r="D137" s="38" t="s">
        <v>343</v>
      </c>
      <c r="E137" s="256">
        <f>IFERROR(aurora_data!BD211,0)</f>
        <v>0</v>
      </c>
      <c r="F137" s="257">
        <f>IFERROR(aurora_data!BE211,0)</f>
        <v>0</v>
      </c>
      <c r="G137" s="257">
        <f>IFERROR(aurora_data!BF211,0)</f>
        <v>0</v>
      </c>
      <c r="H137" s="257">
        <f>IFERROR(aurora_data!BG211,0)</f>
        <v>0</v>
      </c>
      <c r="I137" s="258">
        <f>IFERROR(aurora_data!BH211,0)</f>
        <v>0</v>
      </c>
      <c r="J137" s="256">
        <f>IFERROR(aurora_data!BI211,0)</f>
        <v>0</v>
      </c>
      <c r="K137" s="257">
        <f>IFERROR(aurora_data!BJ211,0)</f>
        <v>0</v>
      </c>
      <c r="L137" s="257">
        <f>IFERROR(aurora_data!BK211,0)</f>
        <v>0</v>
      </c>
      <c r="M137" s="257">
        <f>IFERROR(aurora_data!BL211,0)</f>
        <v>0</v>
      </c>
      <c r="N137" s="258">
        <f>IFERROR(aurora_data!BM211,0)</f>
        <v>0</v>
      </c>
      <c r="O137" s="256">
        <f>IFERROR(aurora_data!BN211,0)</f>
        <v>0</v>
      </c>
      <c r="P137" s="257">
        <f>IFERROR(aurora_data!BO211,0)</f>
        <v>0</v>
      </c>
      <c r="Q137" s="257">
        <f>IFERROR(aurora_data!BP211,0)</f>
        <v>0</v>
      </c>
      <c r="R137" s="258">
        <f>IFERROR(aurora_data!BQ211,0)</f>
        <v>0</v>
      </c>
      <c r="S137" s="257">
        <f>IFERROR(aurora_data!BR211,0)</f>
        <v>0</v>
      </c>
      <c r="T137" s="257">
        <f>IFERROR(aurora_data!BS211,0)</f>
        <v>0</v>
      </c>
      <c r="U137" s="259">
        <f>IFERROR(aurora_data!BT211,0)</f>
        <v>0</v>
      </c>
      <c r="V137" s="260" t="s">
        <v>354</v>
      </c>
      <c r="W137" s="256">
        <f>IFERROR(aurora_data!BU211,0)</f>
        <v>0</v>
      </c>
      <c r="X137" s="261">
        <f t="shared" si="36"/>
        <v>0</v>
      </c>
    </row>
    <row r="138" spans="1:24" hidden="1" outlineLevel="1">
      <c r="A138"/>
      <c r="B138" s="452"/>
      <c r="C138" s="454"/>
      <c r="D138" s="199" t="s">
        <v>344</v>
      </c>
      <c r="E138" s="271">
        <f>ROUNDDOWN((E140+$E$10)*($W130),0)</f>
        <v>2</v>
      </c>
      <c r="F138" s="272">
        <f>ROUNDDOWN((F140+$E$10)*($W130),0)</f>
        <v>4</v>
      </c>
      <c r="G138" s="272">
        <f>ROUNDDOWN((G140+$E$10)*($W130),0)</f>
        <v>10</v>
      </c>
      <c r="H138" s="272">
        <f>ROUNDDOWN((H140+$E$10)*($W130),0)</f>
        <v>16</v>
      </c>
      <c r="I138" s="272">
        <f>ROUNDDOWN((I140+$E$10)*($W130),0)</f>
        <v>20</v>
      </c>
      <c r="J138" s="271">
        <f>ROUNDDOWN((J140+$J$10)*($W130),0)</f>
        <v>4</v>
      </c>
      <c r="K138" s="272">
        <f>ROUNDDOWN((K140+$J$10)*($W130),0)</f>
        <v>8</v>
      </c>
      <c r="L138" s="272">
        <f>ROUNDDOWN((L140+$J$10)*($W130),0)</f>
        <v>14</v>
      </c>
      <c r="M138" s="272">
        <f>ROUNDDOWN((M140+$J$10)*($W130),0)</f>
        <v>6</v>
      </c>
      <c r="N138" s="268">
        <f>ROUNDDOWN((N140+$J$10)*($W130),0)</f>
        <v>26</v>
      </c>
      <c r="O138" s="271"/>
      <c r="P138" s="272"/>
      <c r="Q138" s="272"/>
      <c r="R138" s="268"/>
      <c r="S138" s="265"/>
      <c r="T138" s="272"/>
      <c r="U138" s="282"/>
      <c r="V138" s="61"/>
      <c r="W138" s="291"/>
      <c r="X138" s="286"/>
    </row>
    <row r="139" spans="1:24" hidden="1" outlineLevel="1">
      <c r="A139"/>
      <c r="B139" s="452"/>
      <c r="C139" s="454"/>
      <c r="D139" s="199" t="s">
        <v>345</v>
      </c>
      <c r="E139" s="276">
        <f>IF(ROUND(((E140-$E$10)*($W130))+0.25,0) &lt;=0,1,((E140-$E$10)*($W130))+0.25)</f>
        <v>1.2199999999999998</v>
      </c>
      <c r="F139" s="277">
        <f>IF(ROUND(((F140-$E$10)*($W130))+0.25,0) &lt;=0,1,((F140-$E$10)*($W130))+0.25)</f>
        <v>2.62</v>
      </c>
      <c r="G139" s="277">
        <f>IF(ROUND(((G140-$E$10)*($W130))+0.25,0) &lt;=0,1,((G140-$E$10)*($W130))+0.25)</f>
        <v>9.1999999999999993</v>
      </c>
      <c r="H139" s="277">
        <f>IF(ROUND(((H140-$E$10)*($W130))+0.25,0) &lt;=0,1,((H140-$E$10)*($W130))+0.25)</f>
        <v>14.92</v>
      </c>
      <c r="I139" s="277">
        <f>IF(ROUND(((I140-$E$10)*($W130))+0.25,0) &lt;=0,1,((I140-$E$10)*($W130))+0.25)</f>
        <v>18.29</v>
      </c>
      <c r="J139" s="276">
        <f>IF(ROUND(((J140-$J$10)*($W130))+0.25,0) &lt;=0,1,((J140-$J$10)*($W130))+0.25)</f>
        <v>0.71</v>
      </c>
      <c r="K139" s="277">
        <f>IF(ROUND(((K140-$J$10)*($W130))+0.25,0) &lt;=0,1,((K140-$J$10)*($W130))+0.25)</f>
        <v>4.7</v>
      </c>
      <c r="L139" s="277">
        <f>IF(ROUND(((L140-$J$10)*($W130))+0.25,0) &lt;=0,1,((L140-$J$10)*($W130))+0.25)</f>
        <v>10.69</v>
      </c>
      <c r="M139" s="277">
        <f>IF(ROUND(((M140-$J$10)*($W130))+0.25,0) &lt;=0,1,((M140-$J$10)*($W130))+0.25)</f>
        <v>2.6500000000000004</v>
      </c>
      <c r="N139" s="278">
        <f>IF(ROUND(((N140-$J$10)*($W130))+0.25,0) &lt;=0,1,((N140-$J$10)*($W130))+0.25)</f>
        <v>22.5</v>
      </c>
      <c r="O139" s="276"/>
      <c r="P139" s="277"/>
      <c r="Q139" s="277"/>
      <c r="R139" s="278"/>
      <c r="S139" s="276"/>
      <c r="T139" s="277"/>
      <c r="U139" s="287"/>
      <c r="V139" s="61"/>
      <c r="W139" s="285"/>
      <c r="X139" s="287"/>
    </row>
    <row r="140" spans="1:24" hidden="1" outlineLevel="1">
      <c r="A140"/>
      <c r="B140" s="452"/>
      <c r="C140" s="454"/>
      <c r="D140" s="95" t="s">
        <v>346</v>
      </c>
      <c r="E140" s="414">
        <f t="shared" ref="E140:N140" si="37">IFERROR(E130/$W130,0)</f>
        <v>3.9399999999999998E-2</v>
      </c>
      <c r="F140" s="415">
        <f t="shared" si="37"/>
        <v>6.7400000000000002E-2</v>
      </c>
      <c r="G140" s="415">
        <f t="shared" si="37"/>
        <v>0.19899999999999998</v>
      </c>
      <c r="H140" s="415">
        <f t="shared" si="37"/>
        <v>0.31340000000000001</v>
      </c>
      <c r="I140" s="415">
        <f t="shared" si="37"/>
        <v>0.38079999999999997</v>
      </c>
      <c r="J140" s="414">
        <f t="shared" si="37"/>
        <v>4.9200000000000001E-2</v>
      </c>
      <c r="K140" s="415">
        <f t="shared" si="37"/>
        <v>0.129</v>
      </c>
      <c r="L140" s="415">
        <f t="shared" si="37"/>
        <v>0.24879999999999999</v>
      </c>
      <c r="M140" s="415">
        <f t="shared" si="37"/>
        <v>8.8000000000000009E-2</v>
      </c>
      <c r="N140" s="416">
        <f t="shared" si="37"/>
        <v>0.48499999999999999</v>
      </c>
      <c r="O140" s="414"/>
      <c r="P140" s="415"/>
      <c r="Q140" s="415"/>
      <c r="R140" s="416"/>
      <c r="S140" s="414"/>
      <c r="T140" s="415"/>
      <c r="U140" s="254"/>
      <c r="V140" s="61"/>
      <c r="W140" s="113"/>
      <c r="X140" s="431"/>
    </row>
    <row r="141" spans="1:24" hidden="1" outlineLevel="1">
      <c r="A141"/>
      <c r="B141" s="452"/>
      <c r="C141" s="454"/>
      <c r="D141" s="180" t="s">
        <v>347</v>
      </c>
      <c r="E141" s="414">
        <f t="shared" ref="E141:N141" si="38">IFERROR(E131/$W130,0)</f>
        <v>0.04</v>
      </c>
      <c r="F141" s="415">
        <f t="shared" si="38"/>
        <v>0.04</v>
      </c>
      <c r="G141" s="415">
        <f t="shared" si="38"/>
        <v>0.08</v>
      </c>
      <c r="H141" s="415">
        <f t="shared" si="38"/>
        <v>0.26</v>
      </c>
      <c r="I141" s="415">
        <f t="shared" si="38"/>
        <v>0.38</v>
      </c>
      <c r="J141" s="414">
        <f t="shared" si="38"/>
        <v>0.02</v>
      </c>
      <c r="K141" s="415">
        <f t="shared" si="38"/>
        <v>0.14000000000000001</v>
      </c>
      <c r="L141" s="415">
        <f t="shared" si="38"/>
        <v>0.16</v>
      </c>
      <c r="M141" s="415">
        <f t="shared" si="38"/>
        <v>0.1</v>
      </c>
      <c r="N141" s="416">
        <f t="shared" si="38"/>
        <v>0.38</v>
      </c>
      <c r="O141" s="414"/>
      <c r="P141" s="415"/>
      <c r="Q141" s="415"/>
      <c r="R141" s="416"/>
      <c r="S141" s="414"/>
      <c r="T141" s="415"/>
      <c r="U141" s="254"/>
      <c r="V141" s="61"/>
      <c r="W141" s="113"/>
      <c r="X141" s="431"/>
    </row>
    <row r="142" spans="1:24" ht="16.5" hidden="1" outlineLevel="1" thickBot="1">
      <c r="A142"/>
      <c r="B142" s="456"/>
      <c r="C142" s="455"/>
      <c r="D142" s="180" t="s">
        <v>348</v>
      </c>
      <c r="E142" s="414">
        <f t="shared" ref="E142:N142" si="39">E141-E140</f>
        <v>6.0000000000000331E-4</v>
      </c>
      <c r="F142" s="415">
        <f t="shared" si="39"/>
        <v>-2.7400000000000001E-2</v>
      </c>
      <c r="G142" s="415">
        <f t="shared" si="39"/>
        <v>-0.11899999999999998</v>
      </c>
      <c r="H142" s="415">
        <f t="shared" si="39"/>
        <v>-5.3400000000000003E-2</v>
      </c>
      <c r="I142" s="415">
        <f t="shared" si="39"/>
        <v>-7.999999999999674E-4</v>
      </c>
      <c r="J142" s="414">
        <f t="shared" si="39"/>
        <v>-2.92E-2</v>
      </c>
      <c r="K142" s="415">
        <f t="shared" si="39"/>
        <v>1.100000000000001E-2</v>
      </c>
      <c r="L142" s="415">
        <f t="shared" si="39"/>
        <v>-8.879999999999999E-2</v>
      </c>
      <c r="M142" s="415">
        <f t="shared" si="39"/>
        <v>1.1999999999999997E-2</v>
      </c>
      <c r="N142" s="416">
        <f t="shared" si="39"/>
        <v>-0.10499999999999998</v>
      </c>
      <c r="O142" s="414"/>
      <c r="P142" s="415"/>
      <c r="Q142" s="415"/>
      <c r="R142" s="416"/>
      <c r="S142" s="432"/>
      <c r="T142" s="415"/>
      <c r="U142" s="254"/>
      <c r="V142" s="61"/>
      <c r="W142" s="113"/>
      <c r="X142" s="431"/>
    </row>
    <row r="143" spans="1:24" collapsed="1">
      <c r="A143"/>
      <c r="B143" s="451" t="s">
        <v>338</v>
      </c>
      <c r="C143" s="453" t="str">
        <f>aurora_data!BA212</f>
        <v>16.00.00-16.11.30</v>
      </c>
      <c r="D143" s="34" t="s">
        <v>306</v>
      </c>
      <c r="E143" s="39">
        <f>IFERROR(aurora_data!BD212,0)</f>
        <v>2.0099999999999998</v>
      </c>
      <c r="F143" s="40">
        <f>IFERROR(aurora_data!BE212,0)</f>
        <v>3.21</v>
      </c>
      <c r="G143" s="40">
        <f>IFERROR(aurora_data!BF212,0)</f>
        <v>10.11</v>
      </c>
      <c r="H143" s="40">
        <f>IFERROR(aurora_data!BG212,0)</f>
        <v>15.78</v>
      </c>
      <c r="I143" s="41">
        <f>IFERROR(aurora_data!BH212,0)</f>
        <v>18.89</v>
      </c>
      <c r="J143" s="39">
        <f>IFERROR(aurora_data!BI212,0)</f>
        <v>2.37</v>
      </c>
      <c r="K143" s="40">
        <f>IFERROR(aurora_data!BJ212,0)</f>
        <v>6.54</v>
      </c>
      <c r="L143" s="40">
        <f>IFERROR(aurora_data!BK212,0)</f>
        <v>12.23</v>
      </c>
      <c r="M143" s="40">
        <f>IFERROR(aurora_data!BL212,0)</f>
        <v>4.33</v>
      </c>
      <c r="N143" s="41">
        <f>IFERROR(aurora_data!BM212,0)</f>
        <v>24.53</v>
      </c>
      <c r="O143" s="39">
        <f>IFERROR(aurora_data!BN212,0)</f>
        <v>10.65</v>
      </c>
      <c r="P143" s="40">
        <f>IFERROR(aurora_data!BO212,0)</f>
        <v>7.89</v>
      </c>
      <c r="Q143" s="40">
        <f>IFERROR(aurora_data!BP212,0)</f>
        <v>19.54</v>
      </c>
      <c r="R143" s="41">
        <f>IFERROR(aurora_data!BQ212,0)</f>
        <v>11.92</v>
      </c>
      <c r="S143" s="40">
        <f>IFERROR(aurora_data!BR212,0)</f>
        <v>25</v>
      </c>
      <c r="T143" s="40">
        <f>IFERROR(aurora_data!BS212,0)</f>
        <v>25</v>
      </c>
      <c r="U143" s="41">
        <f>IFERROR(aurora_data!BT212,0)</f>
        <v>0</v>
      </c>
      <c r="V143" s="61" t="s">
        <v>354</v>
      </c>
      <c r="W143" s="39">
        <f>IFERROR(aurora_data!BU212,0)</f>
        <v>50</v>
      </c>
      <c r="X143" s="69">
        <f t="shared" ref="X143:X150" si="40">IFERROR(W143/$W$143,0)</f>
        <v>1</v>
      </c>
    </row>
    <row r="144" spans="1:24">
      <c r="A144"/>
      <c r="B144" s="452"/>
      <c r="C144" s="454"/>
      <c r="D144" s="35" t="s">
        <v>339</v>
      </c>
      <c r="E144" s="113">
        <f>IFERROR(aurora_data!BD213,0)</f>
        <v>2</v>
      </c>
      <c r="F144" s="253">
        <f>IFERROR(aurora_data!BE213,0)</f>
        <v>2</v>
      </c>
      <c r="G144" s="253">
        <f>IFERROR(aurora_data!BF213,0)</f>
        <v>3</v>
      </c>
      <c r="H144" s="253">
        <f>IFERROR(aurora_data!BG213,0)</f>
        <v>14</v>
      </c>
      <c r="I144" s="254">
        <f>IFERROR(aurora_data!BH213,0)</f>
        <v>19</v>
      </c>
      <c r="J144" s="113">
        <f>IFERROR(aurora_data!BI213,0)</f>
        <v>1</v>
      </c>
      <c r="K144" s="253">
        <f>IFERROR(aurora_data!BJ213,0)</f>
        <v>6</v>
      </c>
      <c r="L144" s="253">
        <f>IFERROR(aurora_data!BK213,0)</f>
        <v>9</v>
      </c>
      <c r="M144" s="253">
        <f>IFERROR(aurora_data!BL213,0)</f>
        <v>2</v>
      </c>
      <c r="N144" s="254">
        <f>IFERROR(aurora_data!BM213,0)</f>
        <v>22</v>
      </c>
      <c r="O144" s="113">
        <f>IFERROR(aurora_data!BN213,0)</f>
        <v>11</v>
      </c>
      <c r="P144" s="253">
        <f>IFERROR(aurora_data!BO213,0)</f>
        <v>9</v>
      </c>
      <c r="Q144" s="253">
        <f>IFERROR(aurora_data!BP213,0)</f>
        <v>15</v>
      </c>
      <c r="R144" s="254">
        <f>IFERROR(aurora_data!BQ213,0)</f>
        <v>5</v>
      </c>
      <c r="S144" s="253">
        <f>IFERROR(aurora_data!BR213,0)</f>
        <v>22</v>
      </c>
      <c r="T144" s="253">
        <f>IFERROR(aurora_data!BS213,0)</f>
        <v>18</v>
      </c>
      <c r="U144" s="254">
        <f>IFERROR(aurora_data!BT213,0)</f>
        <v>0</v>
      </c>
      <c r="V144" s="61" t="s">
        <v>354</v>
      </c>
      <c r="W144" s="113">
        <f>IFERROR(aurora_data!BU213,0)</f>
        <v>40</v>
      </c>
      <c r="X144" s="255">
        <f t="shared" si="40"/>
        <v>0.8</v>
      </c>
    </row>
    <row r="145" spans="1:24">
      <c r="A145"/>
      <c r="B145" s="452"/>
      <c r="C145" s="454"/>
      <c r="D145" s="35" t="s">
        <v>291</v>
      </c>
      <c r="E145" s="113">
        <f>IFERROR(aurora_data!BD214,0)</f>
        <v>0</v>
      </c>
      <c r="F145" s="253">
        <f>IFERROR(aurora_data!BE214,0)</f>
        <v>0</v>
      </c>
      <c r="G145" s="253">
        <f>IFERROR(aurora_data!BF214,0)</f>
        <v>0</v>
      </c>
      <c r="H145" s="253">
        <f>IFERROR(aurora_data!BG214,0)</f>
        <v>0</v>
      </c>
      <c r="I145" s="254">
        <f>IFERROR(aurora_data!BH214,0)</f>
        <v>0</v>
      </c>
      <c r="J145" s="113">
        <f>IFERROR(aurora_data!BI214,0)</f>
        <v>0</v>
      </c>
      <c r="K145" s="253">
        <f>IFERROR(aurora_data!BJ214,0)</f>
        <v>0</v>
      </c>
      <c r="L145" s="253">
        <f>IFERROR(aurora_data!BK214,0)</f>
        <v>0</v>
      </c>
      <c r="M145" s="253">
        <f>IFERROR(aurora_data!BL214,0)</f>
        <v>0</v>
      </c>
      <c r="N145" s="254">
        <f>IFERROR(aurora_data!BM214,0)</f>
        <v>0</v>
      </c>
      <c r="O145" s="113">
        <f>IFERROR(aurora_data!BN214,0)</f>
        <v>0</v>
      </c>
      <c r="P145" s="253">
        <f>IFERROR(aurora_data!BO214,0)</f>
        <v>0</v>
      </c>
      <c r="Q145" s="253">
        <f>IFERROR(aurora_data!BP214,0)</f>
        <v>0</v>
      </c>
      <c r="R145" s="254">
        <f>IFERROR(aurora_data!BQ214,0)</f>
        <v>0</v>
      </c>
      <c r="S145" s="253">
        <f>IFERROR(aurora_data!BR214,0)</f>
        <v>0</v>
      </c>
      <c r="T145" s="253">
        <f>IFERROR(aurora_data!BS214,0)</f>
        <v>0</v>
      </c>
      <c r="U145" s="254">
        <f>IFERROR(aurora_data!BT214,0)</f>
        <v>0</v>
      </c>
      <c r="V145" s="61" t="s">
        <v>354</v>
      </c>
      <c r="W145" s="113">
        <f>IFERROR(aurora_data!BU214,0)</f>
        <v>0</v>
      </c>
      <c r="X145" s="255">
        <f t="shared" si="40"/>
        <v>0</v>
      </c>
    </row>
    <row r="146" spans="1:24">
      <c r="A146"/>
      <c r="B146" s="452"/>
      <c r="C146" s="454"/>
      <c r="D146" s="35" t="s">
        <v>340</v>
      </c>
      <c r="E146" s="113">
        <f>IFERROR(aurora_data!BD215,0)</f>
        <v>0</v>
      </c>
      <c r="F146" s="253">
        <f>IFERROR(aurora_data!BE215,0)</f>
        <v>0</v>
      </c>
      <c r="G146" s="253">
        <f>IFERROR(aurora_data!BF215,0)</f>
        <v>0</v>
      </c>
      <c r="H146" s="253">
        <f>IFERROR(aurora_data!BG215,0)</f>
        <v>1</v>
      </c>
      <c r="I146" s="254">
        <f>IFERROR(aurora_data!BH215,0)</f>
        <v>0</v>
      </c>
      <c r="J146" s="113">
        <f>IFERROR(aurora_data!BI215,0)</f>
        <v>0</v>
      </c>
      <c r="K146" s="253">
        <f>IFERROR(aurora_data!BJ215,0)</f>
        <v>0</v>
      </c>
      <c r="L146" s="253">
        <f>IFERROR(aurora_data!BK215,0)</f>
        <v>0</v>
      </c>
      <c r="M146" s="253">
        <f>IFERROR(aurora_data!BL215,0)</f>
        <v>0</v>
      </c>
      <c r="N146" s="254">
        <f>IFERROR(aurora_data!BM215,0)</f>
        <v>1</v>
      </c>
      <c r="O146" s="113">
        <f>IFERROR(aurora_data!BN215,0)</f>
        <v>0</v>
      </c>
      <c r="P146" s="253">
        <f>IFERROR(aurora_data!BO215,0)</f>
        <v>1</v>
      </c>
      <c r="Q146" s="253">
        <f>IFERROR(aurora_data!BP215,0)</f>
        <v>0</v>
      </c>
      <c r="R146" s="254">
        <f>IFERROR(aurora_data!BQ215,0)</f>
        <v>0</v>
      </c>
      <c r="S146" s="253">
        <f>IFERROR(aurora_data!BR215,0)</f>
        <v>1</v>
      </c>
      <c r="T146" s="253">
        <f>IFERROR(aurora_data!BS215,0)</f>
        <v>0</v>
      </c>
      <c r="U146" s="254">
        <f>IFERROR(aurora_data!BT215,0)</f>
        <v>0</v>
      </c>
      <c r="V146" s="61" t="s">
        <v>354</v>
      </c>
      <c r="W146" s="113">
        <f>IFERROR(aurora_data!BU215,0)</f>
        <v>1</v>
      </c>
      <c r="X146" s="255">
        <f t="shared" si="40"/>
        <v>0.02</v>
      </c>
    </row>
    <row r="147" spans="1:24">
      <c r="A147"/>
      <c r="B147" s="452"/>
      <c r="C147" s="454"/>
      <c r="D147" s="35" t="s">
        <v>341</v>
      </c>
      <c r="E147" s="113">
        <f>IFERROR(aurora_data!BD216,0)</f>
        <v>0</v>
      </c>
      <c r="F147" s="253">
        <f>IFERROR(aurora_data!BE216,0)</f>
        <v>0</v>
      </c>
      <c r="G147" s="253">
        <f>IFERROR(aurora_data!BF216,0)</f>
        <v>0</v>
      </c>
      <c r="H147" s="253">
        <f>IFERROR(aurora_data!BG216,0)</f>
        <v>1</v>
      </c>
      <c r="I147" s="254">
        <f>IFERROR(aurora_data!BH216,0)</f>
        <v>1</v>
      </c>
      <c r="J147" s="113">
        <f>IFERROR(aurora_data!BI216,0)</f>
        <v>0</v>
      </c>
      <c r="K147" s="253">
        <f>IFERROR(aurora_data!BJ216,0)</f>
        <v>0</v>
      </c>
      <c r="L147" s="253">
        <f>IFERROR(aurora_data!BK216,0)</f>
        <v>1</v>
      </c>
      <c r="M147" s="253">
        <f>IFERROR(aurora_data!BL216,0)</f>
        <v>1</v>
      </c>
      <c r="N147" s="254">
        <f>IFERROR(aurora_data!BM216,0)</f>
        <v>0</v>
      </c>
      <c r="O147" s="113">
        <f>IFERROR(aurora_data!BN216,0)</f>
        <v>1</v>
      </c>
      <c r="P147" s="253">
        <f>IFERROR(aurora_data!BO216,0)</f>
        <v>1</v>
      </c>
      <c r="Q147" s="253">
        <f>IFERROR(aurora_data!BP216,0)</f>
        <v>0</v>
      </c>
      <c r="R147" s="254">
        <f>IFERROR(aurora_data!BQ216,0)</f>
        <v>0</v>
      </c>
      <c r="S147" s="253">
        <f>IFERROR(aurora_data!BR216,0)</f>
        <v>1</v>
      </c>
      <c r="T147" s="253">
        <f>IFERROR(aurora_data!BS216,0)</f>
        <v>1</v>
      </c>
      <c r="U147" s="254">
        <f>IFERROR(aurora_data!BT216,0)</f>
        <v>0</v>
      </c>
      <c r="V147" s="61" t="s">
        <v>354</v>
      </c>
      <c r="W147" s="113">
        <f>IFERROR(aurora_data!BU216,0)</f>
        <v>2</v>
      </c>
      <c r="X147" s="255">
        <f t="shared" si="40"/>
        <v>0.04</v>
      </c>
    </row>
    <row r="148" spans="1:24" ht="16.5" thickBot="1">
      <c r="A148"/>
      <c r="B148" s="452"/>
      <c r="C148" s="454"/>
      <c r="D148" s="35" t="s">
        <v>342</v>
      </c>
      <c r="E148" s="113">
        <f>IFERROR(aurora_data!BD217,0)</f>
        <v>0</v>
      </c>
      <c r="F148" s="253">
        <f>IFERROR(aurora_data!BE217,0)</f>
        <v>0</v>
      </c>
      <c r="G148" s="253">
        <f>IFERROR(aurora_data!BF217,0)</f>
        <v>0</v>
      </c>
      <c r="H148" s="253">
        <f>IFERROR(aurora_data!BG217,0)</f>
        <v>0</v>
      </c>
      <c r="I148" s="254">
        <f>IFERROR(aurora_data!BH217,0)</f>
        <v>0</v>
      </c>
      <c r="J148" s="113">
        <f>IFERROR(aurora_data!BI217,0)</f>
        <v>0</v>
      </c>
      <c r="K148" s="253">
        <f>IFERROR(aurora_data!BJ217,0)</f>
        <v>0</v>
      </c>
      <c r="L148" s="253">
        <f>IFERROR(aurora_data!BK217,0)</f>
        <v>0</v>
      </c>
      <c r="M148" s="253">
        <f>IFERROR(aurora_data!BL217,0)</f>
        <v>0</v>
      </c>
      <c r="N148" s="254">
        <f>IFERROR(aurora_data!BM217,0)</f>
        <v>0</v>
      </c>
      <c r="O148" s="113">
        <f>IFERROR(aurora_data!BN217,0)</f>
        <v>0</v>
      </c>
      <c r="P148" s="253">
        <f>IFERROR(aurora_data!BO217,0)</f>
        <v>0</v>
      </c>
      <c r="Q148" s="253">
        <f>IFERROR(aurora_data!BP217,0)</f>
        <v>0</v>
      </c>
      <c r="R148" s="254">
        <f>IFERROR(aurora_data!BQ217,0)</f>
        <v>0</v>
      </c>
      <c r="S148" s="253">
        <f>IFERROR(aurora_data!BR217,0)</f>
        <v>0</v>
      </c>
      <c r="T148" s="253">
        <f>IFERROR(aurora_data!BS217,0)</f>
        <v>0</v>
      </c>
      <c r="U148" s="254">
        <f>IFERROR(aurora_data!BT217,0)</f>
        <v>0</v>
      </c>
      <c r="V148" s="61" t="s">
        <v>354</v>
      </c>
      <c r="W148" s="113">
        <f>IFERROR(aurora_data!BU217,0)</f>
        <v>0</v>
      </c>
      <c r="X148" s="255">
        <f t="shared" si="40"/>
        <v>0</v>
      </c>
    </row>
    <row r="149" spans="1:24" ht="16.5" thickBot="1">
      <c r="A149"/>
      <c r="B149" s="452"/>
      <c r="C149" s="454"/>
      <c r="D149" s="37" t="s">
        <v>17</v>
      </c>
      <c r="E149" s="59">
        <f>IFERROR(aurora_data!BD218,0)</f>
        <v>2</v>
      </c>
      <c r="F149" s="64">
        <f>IFERROR(aurora_data!BE218,0)</f>
        <v>2</v>
      </c>
      <c r="G149" s="64">
        <f>IFERROR(aurora_data!BF218,0)</f>
        <v>3</v>
      </c>
      <c r="H149" s="64">
        <f>IFERROR(aurora_data!BG218,0)</f>
        <v>16</v>
      </c>
      <c r="I149" s="65">
        <f>IFERROR(aurora_data!BH218,0)</f>
        <v>20</v>
      </c>
      <c r="J149" s="59">
        <f>IFERROR(aurora_data!BI218,0)</f>
        <v>1</v>
      </c>
      <c r="K149" s="64">
        <f>IFERROR(aurora_data!BJ218,0)</f>
        <v>6</v>
      </c>
      <c r="L149" s="64">
        <f>IFERROR(aurora_data!BK218,0)</f>
        <v>10</v>
      </c>
      <c r="M149" s="64">
        <f>IFERROR(aurora_data!BL218,0)</f>
        <v>3</v>
      </c>
      <c r="N149" s="65">
        <f>IFERROR(aurora_data!BM218,0)</f>
        <v>23</v>
      </c>
      <c r="O149" s="59">
        <f>IFERROR(aurora_data!BN218,0)</f>
        <v>12</v>
      </c>
      <c r="P149" s="64">
        <f>IFERROR(aurora_data!BO218,0)</f>
        <v>11</v>
      </c>
      <c r="Q149" s="64">
        <f>IFERROR(aurora_data!BP218,0)</f>
        <v>15</v>
      </c>
      <c r="R149" s="65">
        <f>IFERROR(aurora_data!BQ218,0)</f>
        <v>5</v>
      </c>
      <c r="S149" s="64">
        <f>IFERROR(aurora_data!BR218,0)</f>
        <v>24</v>
      </c>
      <c r="T149" s="64">
        <f>IFERROR(aurora_data!BS218,0)</f>
        <v>19</v>
      </c>
      <c r="U149" s="65">
        <f>IFERROR(aurora_data!BT218,0)</f>
        <v>0</v>
      </c>
      <c r="V149" s="66" t="s">
        <v>354</v>
      </c>
      <c r="W149" s="59">
        <f>IFERROR(aurora_data!BU218,0)</f>
        <v>43</v>
      </c>
      <c r="X149" s="70">
        <f t="shared" si="40"/>
        <v>0.86</v>
      </c>
    </row>
    <row r="150" spans="1:24" ht="16.5" thickBot="1">
      <c r="A150"/>
      <c r="B150" s="452"/>
      <c r="C150" s="454"/>
      <c r="D150" s="38" t="s">
        <v>343</v>
      </c>
      <c r="E150" s="256">
        <f>IFERROR(aurora_data!BD219,0)</f>
        <v>0</v>
      </c>
      <c r="F150" s="257">
        <f>IFERROR(aurora_data!BE219,0)</f>
        <v>0</v>
      </c>
      <c r="G150" s="257">
        <f>IFERROR(aurora_data!BF219,0)</f>
        <v>1</v>
      </c>
      <c r="H150" s="257">
        <f>IFERROR(aurora_data!BG219,0)</f>
        <v>0</v>
      </c>
      <c r="I150" s="258">
        <f>IFERROR(aurora_data!BH219,0)</f>
        <v>1</v>
      </c>
      <c r="J150" s="256">
        <f>IFERROR(aurora_data!BI219,0)</f>
        <v>0</v>
      </c>
      <c r="K150" s="257">
        <f>IFERROR(aurora_data!BJ219,0)</f>
        <v>2</v>
      </c>
      <c r="L150" s="257">
        <f>IFERROR(aurora_data!BK219,0)</f>
        <v>0</v>
      </c>
      <c r="M150" s="257">
        <f>IFERROR(aurora_data!BL219,0)</f>
        <v>0</v>
      </c>
      <c r="N150" s="258">
        <f>IFERROR(aurora_data!BM219,0)</f>
        <v>0</v>
      </c>
      <c r="O150" s="256">
        <f>IFERROR(aurora_data!BN219,0)</f>
        <v>1</v>
      </c>
      <c r="P150" s="257">
        <f>IFERROR(aurora_data!BO219,0)</f>
        <v>0</v>
      </c>
      <c r="Q150" s="257">
        <f>IFERROR(aurora_data!BP219,0)</f>
        <v>1</v>
      </c>
      <c r="R150" s="258">
        <f>IFERROR(aurora_data!BQ219,0)</f>
        <v>0</v>
      </c>
      <c r="S150" s="257">
        <f>IFERROR(aurora_data!BR219,0)</f>
        <v>0</v>
      </c>
      <c r="T150" s="257">
        <f>IFERROR(aurora_data!BS219,0)</f>
        <v>2</v>
      </c>
      <c r="U150" s="259">
        <f>IFERROR(aurora_data!BT219,0)</f>
        <v>0</v>
      </c>
      <c r="V150" s="260" t="s">
        <v>354</v>
      </c>
      <c r="W150" s="256">
        <f>IFERROR(aurora_data!BU219,0)</f>
        <v>2</v>
      </c>
      <c r="X150" s="261">
        <f t="shared" si="40"/>
        <v>0.04</v>
      </c>
    </row>
    <row r="151" spans="1:24" hidden="1" outlineLevel="1">
      <c r="A151"/>
      <c r="B151" s="452"/>
      <c r="C151" s="454"/>
      <c r="D151" s="199" t="s">
        <v>344</v>
      </c>
      <c r="E151" s="271">
        <f>ROUNDDOWN((E153+$E$10)*($W143),0)</f>
        <v>3</v>
      </c>
      <c r="F151" s="272">
        <f>ROUNDDOWN((F153+$E$10)*($W143),0)</f>
        <v>4</v>
      </c>
      <c r="G151" s="272">
        <f>ROUNDDOWN((G153+$E$10)*($W143),0)</f>
        <v>11</v>
      </c>
      <c r="H151" s="272">
        <f>ROUNDDOWN((H153+$E$10)*($W143),0)</f>
        <v>16</v>
      </c>
      <c r="I151" s="272">
        <f>ROUNDDOWN((I153+$E$10)*($W143),0)</f>
        <v>19</v>
      </c>
      <c r="J151" s="271">
        <f>ROUNDDOWN((J153+$J$10)*($W143),0)</f>
        <v>4</v>
      </c>
      <c r="K151" s="272">
        <f>ROUNDDOWN((K153+$J$10)*($W143),0)</f>
        <v>8</v>
      </c>
      <c r="L151" s="272">
        <f>ROUNDDOWN((L153+$J$10)*($W143),0)</f>
        <v>14</v>
      </c>
      <c r="M151" s="272">
        <f>ROUNDDOWN((M153+$J$10)*($W143),0)</f>
        <v>6</v>
      </c>
      <c r="N151" s="268">
        <f>ROUNDDOWN((N153+$J$10)*($W143),0)</f>
        <v>26</v>
      </c>
      <c r="O151" s="271"/>
      <c r="P151" s="272"/>
      <c r="Q151" s="272"/>
      <c r="R151" s="268"/>
      <c r="S151" s="265"/>
      <c r="T151" s="272"/>
      <c r="U151" s="282"/>
      <c r="V151" s="61"/>
      <c r="W151" s="291"/>
      <c r="X151" s="286"/>
    </row>
    <row r="152" spans="1:24" hidden="1" outlineLevel="1">
      <c r="A152"/>
      <c r="B152" s="452"/>
      <c r="C152" s="454"/>
      <c r="D152" s="199" t="s">
        <v>345</v>
      </c>
      <c r="E152" s="276">
        <f>IF(ROUND(((E153-$E$10)*($W143))+0.25,0) &lt;=0,1,((E153-$E$10)*($W143))+0.25)</f>
        <v>1.2599999999999996</v>
      </c>
      <c r="F152" s="277">
        <f>IF(ROUND(((F153-$E$10)*($W143))+0.25,0) &lt;=0,1,((F153-$E$10)*($W143))+0.25)</f>
        <v>2.4599999999999995</v>
      </c>
      <c r="G152" s="277">
        <f>IF(ROUND(((G153-$E$10)*($W143))+0.25,0) &lt;=0,1,((G153-$E$10)*($W143))+0.25)</f>
        <v>9.36</v>
      </c>
      <c r="H152" s="277">
        <f>IF(ROUND(((H153-$E$10)*($W143))+0.25,0) &lt;=0,1,((H153-$E$10)*($W143))+0.25)</f>
        <v>15.03</v>
      </c>
      <c r="I152" s="277">
        <f>IF(ROUND(((I153-$E$10)*($W143))+0.25,0) &lt;=0,1,((I153-$E$10)*($W143))+0.25)</f>
        <v>18.14</v>
      </c>
      <c r="J152" s="276">
        <f>IF(ROUND(((J153-$J$10)*($W143))+0.25,0) &lt;=0,1,((J153-$J$10)*($W143))+0.25)</f>
        <v>0.62000000000000022</v>
      </c>
      <c r="K152" s="277">
        <f>IF(ROUND(((K153-$J$10)*($W143))+0.25,0) &lt;=0,1,((K153-$J$10)*($W143))+0.25)</f>
        <v>4.7899999999999991</v>
      </c>
      <c r="L152" s="277">
        <f>IF(ROUND(((L153-$J$10)*($W143))+0.25,0) &lt;=0,1,((L153-$J$10)*($W143))+0.25)</f>
        <v>10.48</v>
      </c>
      <c r="M152" s="277">
        <f>IF(ROUND(((M153-$J$10)*($W143))+0.25,0) &lt;=0,1,((M153-$J$10)*($W143))+0.25)</f>
        <v>2.5799999999999996</v>
      </c>
      <c r="N152" s="278">
        <f>IF(ROUND(((N153-$J$10)*($W143))+0.25,0) &lt;=0,1,((N153-$J$10)*($W143))+0.25)</f>
        <v>22.78</v>
      </c>
      <c r="O152" s="276"/>
      <c r="P152" s="277"/>
      <c r="Q152" s="277"/>
      <c r="R152" s="278"/>
      <c r="S152" s="276"/>
      <c r="T152" s="277"/>
      <c r="U152" s="287"/>
      <c r="V152" s="61"/>
      <c r="W152" s="285"/>
      <c r="X152" s="287"/>
    </row>
    <row r="153" spans="1:24" hidden="1" outlineLevel="1">
      <c r="A153"/>
      <c r="B153" s="452"/>
      <c r="C153" s="454"/>
      <c r="D153" s="95" t="s">
        <v>346</v>
      </c>
      <c r="E153" s="414">
        <f t="shared" ref="E153:N153" si="41">IFERROR(E143/$W143,0)</f>
        <v>4.0199999999999993E-2</v>
      </c>
      <c r="F153" s="415">
        <f t="shared" si="41"/>
        <v>6.4199999999999993E-2</v>
      </c>
      <c r="G153" s="415">
        <f t="shared" si="41"/>
        <v>0.20219999999999999</v>
      </c>
      <c r="H153" s="415">
        <f t="shared" si="41"/>
        <v>0.31559999999999999</v>
      </c>
      <c r="I153" s="415">
        <f t="shared" si="41"/>
        <v>0.37780000000000002</v>
      </c>
      <c r="J153" s="414">
        <f t="shared" si="41"/>
        <v>4.7400000000000005E-2</v>
      </c>
      <c r="K153" s="415">
        <f t="shared" si="41"/>
        <v>0.1308</v>
      </c>
      <c r="L153" s="415">
        <f t="shared" si="41"/>
        <v>0.24460000000000001</v>
      </c>
      <c r="M153" s="415">
        <f t="shared" si="41"/>
        <v>8.6599999999999996E-2</v>
      </c>
      <c r="N153" s="416">
        <f t="shared" si="41"/>
        <v>0.49060000000000004</v>
      </c>
      <c r="O153" s="414"/>
      <c r="P153" s="415"/>
      <c r="Q153" s="415"/>
      <c r="R153" s="416"/>
      <c r="S153" s="414"/>
      <c r="T153" s="415"/>
      <c r="U153" s="254"/>
      <c r="V153" s="61"/>
      <c r="W153" s="113"/>
      <c r="X153" s="431"/>
    </row>
    <row r="154" spans="1:24" hidden="1" outlineLevel="1">
      <c r="A154"/>
      <c r="B154" s="452"/>
      <c r="C154" s="454"/>
      <c r="D154" s="180" t="s">
        <v>347</v>
      </c>
      <c r="E154" s="414">
        <f t="shared" ref="E154:N154" si="42">IFERROR(E144/$W143,0)</f>
        <v>0.04</v>
      </c>
      <c r="F154" s="415">
        <f t="shared" si="42"/>
        <v>0.04</v>
      </c>
      <c r="G154" s="415">
        <f t="shared" si="42"/>
        <v>0.06</v>
      </c>
      <c r="H154" s="415">
        <f t="shared" si="42"/>
        <v>0.28000000000000003</v>
      </c>
      <c r="I154" s="415">
        <f t="shared" si="42"/>
        <v>0.38</v>
      </c>
      <c r="J154" s="414">
        <f t="shared" si="42"/>
        <v>0.02</v>
      </c>
      <c r="K154" s="415">
        <f t="shared" si="42"/>
        <v>0.12</v>
      </c>
      <c r="L154" s="415">
        <f t="shared" si="42"/>
        <v>0.18</v>
      </c>
      <c r="M154" s="415">
        <f t="shared" si="42"/>
        <v>0.04</v>
      </c>
      <c r="N154" s="416">
        <f t="shared" si="42"/>
        <v>0.44</v>
      </c>
      <c r="O154" s="414"/>
      <c r="P154" s="415"/>
      <c r="Q154" s="415"/>
      <c r="R154" s="416"/>
      <c r="S154" s="414"/>
      <c r="T154" s="415"/>
      <c r="U154" s="254"/>
      <c r="V154" s="61"/>
      <c r="W154" s="113"/>
      <c r="X154" s="431"/>
    </row>
    <row r="155" spans="1:24" ht="16.5" hidden="1" outlineLevel="1" thickBot="1">
      <c r="A155"/>
      <c r="B155" s="456"/>
      <c r="C155" s="455"/>
      <c r="D155" s="180" t="s">
        <v>348</v>
      </c>
      <c r="E155" s="414">
        <f t="shared" ref="E155:N155" si="43">E154-E153</f>
        <v>-1.9999999999999185E-4</v>
      </c>
      <c r="F155" s="415">
        <f t="shared" si="43"/>
        <v>-2.4199999999999992E-2</v>
      </c>
      <c r="G155" s="415">
        <f t="shared" si="43"/>
        <v>-0.14219999999999999</v>
      </c>
      <c r="H155" s="415">
        <f t="shared" si="43"/>
        <v>-3.5599999999999965E-2</v>
      </c>
      <c r="I155" s="415">
        <f t="shared" si="43"/>
        <v>2.1999999999999797E-3</v>
      </c>
      <c r="J155" s="414">
        <f t="shared" si="43"/>
        <v>-2.7400000000000004E-2</v>
      </c>
      <c r="K155" s="415">
        <f t="shared" si="43"/>
        <v>-1.0800000000000004E-2</v>
      </c>
      <c r="L155" s="415">
        <f t="shared" si="43"/>
        <v>-6.4600000000000019E-2</v>
      </c>
      <c r="M155" s="415">
        <f t="shared" si="43"/>
        <v>-4.6599999999999996E-2</v>
      </c>
      <c r="N155" s="416">
        <f t="shared" si="43"/>
        <v>-5.0600000000000034E-2</v>
      </c>
      <c r="O155" s="414"/>
      <c r="P155" s="415"/>
      <c r="Q155" s="415"/>
      <c r="R155" s="416"/>
      <c r="S155" s="432"/>
      <c r="T155" s="415"/>
      <c r="U155" s="254"/>
      <c r="V155" s="61"/>
      <c r="W155" s="113"/>
      <c r="X155" s="431"/>
    </row>
    <row r="156" spans="1:24" collapsed="1">
      <c r="A156"/>
      <c r="B156" s="447" t="s">
        <v>338</v>
      </c>
      <c r="C156" s="449" t="s">
        <v>150</v>
      </c>
      <c r="D156" s="34" t="s">
        <v>306</v>
      </c>
      <c r="E156" s="39">
        <f>IFERROR(aurora_data!BD220,0)</f>
        <v>18.38</v>
      </c>
      <c r="F156" s="40">
        <f>IFERROR(aurora_data!BE220,0)</f>
        <v>32.42</v>
      </c>
      <c r="G156" s="40">
        <f>IFERROR(aurora_data!BF220,0)</f>
        <v>109.76</v>
      </c>
      <c r="H156" s="40">
        <f>IFERROR(aurora_data!BG220,0)</f>
        <v>175.61</v>
      </c>
      <c r="I156" s="41">
        <f>IFERROR(aurora_data!BH220,0)</f>
        <v>213.83</v>
      </c>
      <c r="J156" s="39">
        <f>IFERROR(aurora_data!BI220,0)</f>
        <v>27.67</v>
      </c>
      <c r="K156" s="40">
        <f>IFERROR(aurora_data!BJ220,0)</f>
        <v>70.02</v>
      </c>
      <c r="L156" s="40">
        <f>IFERROR(aurora_data!BK220,0)</f>
        <v>136.24</v>
      </c>
      <c r="M156" s="40">
        <f>IFERROR(aurora_data!BL220,0)</f>
        <v>52.22</v>
      </c>
      <c r="N156" s="41">
        <f>IFERROR(aurora_data!BM220,0)</f>
        <v>263.85000000000002</v>
      </c>
      <c r="O156" s="39">
        <f>IFERROR(aurora_data!BN220,0)</f>
        <v>116.12</v>
      </c>
      <c r="P156" s="40">
        <f>IFERROR(aurora_data!BO220,0)</f>
        <v>85.52</v>
      </c>
      <c r="Q156" s="40">
        <f>IFERROR(aurora_data!BP220,0)</f>
        <v>218.47</v>
      </c>
      <c r="R156" s="41">
        <f>IFERROR(aurora_data!BQ220,0)</f>
        <v>129.88</v>
      </c>
      <c r="S156" s="40">
        <f>IFERROR(aurora_data!BR220,0)</f>
        <v>275</v>
      </c>
      <c r="T156" s="40">
        <f>IFERROR(aurora_data!BS220,0)</f>
        <v>275</v>
      </c>
      <c r="U156" s="41">
        <f>IFERROR(aurora_data!BT220,0)</f>
        <v>0</v>
      </c>
      <c r="V156" s="61" t="s">
        <v>354</v>
      </c>
      <c r="W156" s="39">
        <f>IFERROR(aurora_data!BU220,0)</f>
        <v>550</v>
      </c>
      <c r="X156" s="69">
        <f t="shared" ref="X156:X163" si="44">IFERROR(W156/$W$156,0)</f>
        <v>1</v>
      </c>
    </row>
    <row r="157" spans="1:24">
      <c r="A157"/>
      <c r="B157" s="448"/>
      <c r="C157" s="450"/>
      <c r="D157" s="35" t="s">
        <v>339</v>
      </c>
      <c r="E157" s="113">
        <f>IFERROR(aurora_data!BD221,0)</f>
        <v>12</v>
      </c>
      <c r="F157" s="253">
        <f>IFERROR(aurora_data!BE221,0)</f>
        <v>14</v>
      </c>
      <c r="G157" s="253">
        <f>IFERROR(aurora_data!BF221,0)</f>
        <v>56</v>
      </c>
      <c r="H157" s="253">
        <f>IFERROR(aurora_data!BG221,0)</f>
        <v>144</v>
      </c>
      <c r="I157" s="254">
        <f>IFERROR(aurora_data!BH221,0)</f>
        <v>211</v>
      </c>
      <c r="J157" s="113">
        <f>IFERROR(aurora_data!BI221,0)</f>
        <v>15</v>
      </c>
      <c r="K157" s="253">
        <f>IFERROR(aurora_data!BJ221,0)</f>
        <v>58</v>
      </c>
      <c r="L157" s="253">
        <f>IFERROR(aurora_data!BK221,0)</f>
        <v>94</v>
      </c>
      <c r="M157" s="253">
        <f>IFERROR(aurora_data!BL221,0)</f>
        <v>38</v>
      </c>
      <c r="N157" s="254">
        <f>IFERROR(aurora_data!BM221,0)</f>
        <v>232</v>
      </c>
      <c r="O157" s="113">
        <f>IFERROR(aurora_data!BN221,0)</f>
        <v>112</v>
      </c>
      <c r="P157" s="253">
        <f>IFERROR(aurora_data!BO221,0)</f>
        <v>78</v>
      </c>
      <c r="Q157" s="253">
        <f>IFERROR(aurora_data!BP221,0)</f>
        <v>155</v>
      </c>
      <c r="R157" s="254">
        <f>IFERROR(aurora_data!BQ221,0)</f>
        <v>91</v>
      </c>
      <c r="S157" s="253">
        <f>IFERROR(aurora_data!BR221,0)</f>
        <v>219</v>
      </c>
      <c r="T157" s="253">
        <f>IFERROR(aurora_data!BS221,0)</f>
        <v>218</v>
      </c>
      <c r="U157" s="254">
        <f>IFERROR(aurora_data!BT221,0)</f>
        <v>0</v>
      </c>
      <c r="V157" s="61" t="s">
        <v>354</v>
      </c>
      <c r="W157" s="113">
        <f>IFERROR(aurora_data!BU221,0)</f>
        <v>437</v>
      </c>
      <c r="X157" s="255">
        <f t="shared" si="44"/>
        <v>0.79454545454545455</v>
      </c>
    </row>
    <row r="158" spans="1:24">
      <c r="A158"/>
      <c r="B158" s="448"/>
      <c r="C158" s="450"/>
      <c r="D158" s="35" t="s">
        <v>291</v>
      </c>
      <c r="E158" s="113">
        <f>IFERROR(aurora_data!BD222,0)</f>
        <v>3</v>
      </c>
      <c r="F158" s="253">
        <f>IFERROR(aurora_data!BE222,0)</f>
        <v>2</v>
      </c>
      <c r="G158" s="253">
        <f>IFERROR(aurora_data!BF222,0)</f>
        <v>6</v>
      </c>
      <c r="H158" s="253">
        <f>IFERROR(aurora_data!BG222,0)</f>
        <v>7</v>
      </c>
      <c r="I158" s="254">
        <f>IFERROR(aurora_data!BH222,0)</f>
        <v>43</v>
      </c>
      <c r="J158" s="113">
        <f>IFERROR(aurora_data!BI222,0)</f>
        <v>1</v>
      </c>
      <c r="K158" s="253">
        <f>IFERROR(aurora_data!BJ222,0)</f>
        <v>8</v>
      </c>
      <c r="L158" s="253">
        <f>IFERROR(aurora_data!BK222,0)</f>
        <v>15</v>
      </c>
      <c r="M158" s="253">
        <f>IFERROR(aurora_data!BL222,0)</f>
        <v>9</v>
      </c>
      <c r="N158" s="254">
        <f>IFERROR(aurora_data!BM222,0)</f>
        <v>28</v>
      </c>
      <c r="O158" s="113">
        <f>IFERROR(aurora_data!BN222,0)</f>
        <v>30</v>
      </c>
      <c r="P158" s="253">
        <f>IFERROR(aurora_data!BO222,0)</f>
        <v>14</v>
      </c>
      <c r="Q158" s="253">
        <f>IFERROR(aurora_data!BP222,0)</f>
        <v>12</v>
      </c>
      <c r="R158" s="254">
        <f>IFERROR(aurora_data!BQ222,0)</f>
        <v>5</v>
      </c>
      <c r="S158" s="253">
        <f>IFERROR(aurora_data!BR222,0)</f>
        <v>34</v>
      </c>
      <c r="T158" s="253">
        <f>IFERROR(aurora_data!BS222,0)</f>
        <v>27</v>
      </c>
      <c r="U158" s="254">
        <f>IFERROR(aurora_data!BT222,0)</f>
        <v>0</v>
      </c>
      <c r="V158" s="61" t="s">
        <v>354</v>
      </c>
      <c r="W158" s="113">
        <f>IFERROR(aurora_data!BU222,0)</f>
        <v>61</v>
      </c>
      <c r="X158" s="255">
        <f t="shared" si="44"/>
        <v>0.11090909090909092</v>
      </c>
    </row>
    <row r="159" spans="1:24">
      <c r="A159"/>
      <c r="B159" s="448"/>
      <c r="C159" s="450"/>
      <c r="D159" s="35" t="s">
        <v>340</v>
      </c>
      <c r="E159" s="113">
        <f>IFERROR(aurora_data!BD223,0)</f>
        <v>0</v>
      </c>
      <c r="F159" s="253">
        <f>IFERROR(aurora_data!BE223,0)</f>
        <v>1</v>
      </c>
      <c r="G159" s="253">
        <f>IFERROR(aurora_data!BF223,0)</f>
        <v>1</v>
      </c>
      <c r="H159" s="253">
        <f>IFERROR(aurora_data!BG223,0)</f>
        <v>2</v>
      </c>
      <c r="I159" s="254">
        <f>IFERROR(aurora_data!BH223,0)</f>
        <v>0</v>
      </c>
      <c r="J159" s="113">
        <f>IFERROR(aurora_data!BI223,0)</f>
        <v>0</v>
      </c>
      <c r="K159" s="253">
        <f>IFERROR(aurora_data!BJ223,0)</f>
        <v>1</v>
      </c>
      <c r="L159" s="253">
        <f>IFERROR(aurora_data!BK223,0)</f>
        <v>1</v>
      </c>
      <c r="M159" s="253">
        <f>IFERROR(aurora_data!BL223,0)</f>
        <v>0</v>
      </c>
      <c r="N159" s="254">
        <f>IFERROR(aurora_data!BM223,0)</f>
        <v>2</v>
      </c>
      <c r="O159" s="113">
        <f>IFERROR(aurora_data!BN223,0)</f>
        <v>2</v>
      </c>
      <c r="P159" s="253">
        <f>IFERROR(aurora_data!BO223,0)</f>
        <v>1</v>
      </c>
      <c r="Q159" s="253">
        <f>IFERROR(aurora_data!BP223,0)</f>
        <v>1</v>
      </c>
      <c r="R159" s="254">
        <f>IFERROR(aurora_data!BQ223,0)</f>
        <v>0</v>
      </c>
      <c r="S159" s="253">
        <f>IFERROR(aurora_data!BR223,0)</f>
        <v>2</v>
      </c>
      <c r="T159" s="253">
        <f>IFERROR(aurora_data!BS223,0)</f>
        <v>2</v>
      </c>
      <c r="U159" s="254">
        <f>IFERROR(aurora_data!BT223,0)</f>
        <v>0</v>
      </c>
      <c r="V159" s="61" t="s">
        <v>354</v>
      </c>
      <c r="W159" s="113">
        <f>IFERROR(aurora_data!BU223,0)</f>
        <v>4</v>
      </c>
      <c r="X159" s="255">
        <f t="shared" si="44"/>
        <v>7.2727272727272727E-3</v>
      </c>
    </row>
    <row r="160" spans="1:24">
      <c r="A160"/>
      <c r="B160" s="448"/>
      <c r="C160" s="450"/>
      <c r="D160" s="35" t="s">
        <v>341</v>
      </c>
      <c r="E160" s="113">
        <f>IFERROR(aurora_data!BD224,0)</f>
        <v>0</v>
      </c>
      <c r="F160" s="253">
        <f>IFERROR(aurora_data!BE224,0)</f>
        <v>6</v>
      </c>
      <c r="G160" s="253">
        <f>IFERROR(aurora_data!BF224,0)</f>
        <v>15</v>
      </c>
      <c r="H160" s="253">
        <f>IFERROR(aurora_data!BG224,0)</f>
        <v>35</v>
      </c>
      <c r="I160" s="254">
        <f>IFERROR(aurora_data!BH224,0)</f>
        <v>10</v>
      </c>
      <c r="J160" s="113">
        <f>IFERROR(aurora_data!BI224,0)</f>
        <v>4</v>
      </c>
      <c r="K160" s="253">
        <f>IFERROR(aurora_data!BJ224,0)</f>
        <v>8</v>
      </c>
      <c r="L160" s="253">
        <f>IFERROR(aurora_data!BK224,0)</f>
        <v>18</v>
      </c>
      <c r="M160" s="253">
        <f>IFERROR(aurora_data!BL224,0)</f>
        <v>16</v>
      </c>
      <c r="N160" s="254">
        <f>IFERROR(aurora_data!BM224,0)</f>
        <v>20</v>
      </c>
      <c r="O160" s="113">
        <f>IFERROR(aurora_data!BN224,0)</f>
        <v>21</v>
      </c>
      <c r="P160" s="253">
        <f>IFERROR(aurora_data!BO224,0)</f>
        <v>9</v>
      </c>
      <c r="Q160" s="253">
        <f>IFERROR(aurora_data!BP224,0)</f>
        <v>21</v>
      </c>
      <c r="R160" s="254">
        <f>IFERROR(aurora_data!BQ224,0)</f>
        <v>15</v>
      </c>
      <c r="S160" s="253">
        <f>IFERROR(aurora_data!BR224,0)</f>
        <v>32</v>
      </c>
      <c r="T160" s="253">
        <f>IFERROR(aurora_data!BS224,0)</f>
        <v>34</v>
      </c>
      <c r="U160" s="254">
        <f>IFERROR(aurora_data!BT224,0)</f>
        <v>0</v>
      </c>
      <c r="V160" s="61" t="s">
        <v>354</v>
      </c>
      <c r="W160" s="113">
        <f>IFERROR(aurora_data!BU224,0)</f>
        <v>66</v>
      </c>
      <c r="X160" s="255">
        <f t="shared" si="44"/>
        <v>0.12</v>
      </c>
    </row>
    <row r="161" spans="1:24" ht="16.5" thickBot="1">
      <c r="A161"/>
      <c r="B161" s="448"/>
      <c r="C161" s="450"/>
      <c r="D161" s="35" t="s">
        <v>342</v>
      </c>
      <c r="E161" s="113">
        <f>IFERROR(aurora_data!BD225,0)</f>
        <v>0</v>
      </c>
      <c r="F161" s="253">
        <f>IFERROR(aurora_data!BE225,0)</f>
        <v>0</v>
      </c>
      <c r="G161" s="253">
        <f>IFERROR(aurora_data!BF225,0)</f>
        <v>0</v>
      </c>
      <c r="H161" s="253">
        <f>IFERROR(aurora_data!BG225,0)</f>
        <v>0</v>
      </c>
      <c r="I161" s="254">
        <f>IFERROR(aurora_data!BH225,0)</f>
        <v>0</v>
      </c>
      <c r="J161" s="113">
        <f>IFERROR(aurora_data!BI225,0)</f>
        <v>0</v>
      </c>
      <c r="K161" s="253">
        <f>IFERROR(aurora_data!BJ225,0)</f>
        <v>0</v>
      </c>
      <c r="L161" s="253">
        <f>IFERROR(aurora_data!BK225,0)</f>
        <v>0</v>
      </c>
      <c r="M161" s="253">
        <f>IFERROR(aurora_data!BL225,0)</f>
        <v>0</v>
      </c>
      <c r="N161" s="254">
        <f>IFERROR(aurora_data!BM225,0)</f>
        <v>0</v>
      </c>
      <c r="O161" s="113">
        <f>IFERROR(aurora_data!BN225,0)</f>
        <v>0</v>
      </c>
      <c r="P161" s="253">
        <f>IFERROR(aurora_data!BO225,0)</f>
        <v>0</v>
      </c>
      <c r="Q161" s="253">
        <f>IFERROR(aurora_data!BP225,0)</f>
        <v>0</v>
      </c>
      <c r="R161" s="254">
        <f>IFERROR(aurora_data!BQ225,0)</f>
        <v>0</v>
      </c>
      <c r="S161" s="253">
        <f>IFERROR(aurora_data!BR225,0)</f>
        <v>0</v>
      </c>
      <c r="T161" s="253">
        <f>IFERROR(aurora_data!BS225,0)</f>
        <v>0</v>
      </c>
      <c r="U161" s="254">
        <f>IFERROR(aurora_data!BT225,0)</f>
        <v>0</v>
      </c>
      <c r="V161" s="61" t="s">
        <v>354</v>
      </c>
      <c r="W161" s="113">
        <f>IFERROR(aurora_data!BU225,0)</f>
        <v>0</v>
      </c>
      <c r="X161" s="255">
        <f t="shared" si="44"/>
        <v>0</v>
      </c>
    </row>
    <row r="162" spans="1:24" ht="16.5" thickBot="1">
      <c r="A162"/>
      <c r="B162" s="448"/>
      <c r="C162" s="450"/>
      <c r="D162" s="37" t="s">
        <v>17</v>
      </c>
      <c r="E162" s="59">
        <f>IFERROR(aurora_data!BD226,0)</f>
        <v>15</v>
      </c>
      <c r="F162" s="64">
        <f>IFERROR(aurora_data!BE226,0)</f>
        <v>23</v>
      </c>
      <c r="G162" s="64">
        <f>IFERROR(aurora_data!BF226,0)</f>
        <v>78</v>
      </c>
      <c r="H162" s="64">
        <f>IFERROR(aurora_data!BG226,0)</f>
        <v>188</v>
      </c>
      <c r="I162" s="65">
        <f>IFERROR(aurora_data!BH226,0)</f>
        <v>264</v>
      </c>
      <c r="J162" s="59">
        <f>IFERROR(aurora_data!BI226,0)</f>
        <v>20</v>
      </c>
      <c r="K162" s="64">
        <f>IFERROR(aurora_data!BJ226,0)</f>
        <v>75</v>
      </c>
      <c r="L162" s="64">
        <f>IFERROR(aurora_data!BK226,0)</f>
        <v>128</v>
      </c>
      <c r="M162" s="64">
        <f>IFERROR(aurora_data!BL226,0)</f>
        <v>63</v>
      </c>
      <c r="N162" s="65">
        <f>IFERROR(aurora_data!BM226,0)</f>
        <v>282</v>
      </c>
      <c r="O162" s="59">
        <f>IFERROR(aurora_data!BN226,0)</f>
        <v>165</v>
      </c>
      <c r="P162" s="64">
        <f>IFERROR(aurora_data!BO226,0)</f>
        <v>102</v>
      </c>
      <c r="Q162" s="64">
        <f>IFERROR(aurora_data!BP226,0)</f>
        <v>189</v>
      </c>
      <c r="R162" s="65">
        <f>IFERROR(aurora_data!BQ226,0)</f>
        <v>111</v>
      </c>
      <c r="S162" s="64">
        <f>IFERROR(aurora_data!BR226,0)</f>
        <v>287</v>
      </c>
      <c r="T162" s="64">
        <f>IFERROR(aurora_data!BS226,0)</f>
        <v>281</v>
      </c>
      <c r="U162" s="65">
        <f>IFERROR(aurora_data!BT226,0)</f>
        <v>0</v>
      </c>
      <c r="V162" s="66" t="s">
        <v>354</v>
      </c>
      <c r="W162" s="59">
        <f>IFERROR(aurora_data!BU226,0)</f>
        <v>568</v>
      </c>
      <c r="X162" s="70">
        <f t="shared" si="44"/>
        <v>1.0327272727272727</v>
      </c>
    </row>
    <row r="163" spans="1:24" ht="16.5" thickBot="1">
      <c r="A163"/>
      <c r="B163" s="448"/>
      <c r="C163" s="450"/>
      <c r="D163" s="38" t="s">
        <v>343</v>
      </c>
      <c r="E163" s="256">
        <f>IFERROR(aurora_data!BD227,0)</f>
        <v>0</v>
      </c>
      <c r="F163" s="257">
        <f>IFERROR(aurora_data!BE227,0)</f>
        <v>0</v>
      </c>
      <c r="G163" s="257">
        <f>IFERROR(aurora_data!BF227,0)</f>
        <v>2</v>
      </c>
      <c r="H163" s="257">
        <f>IFERROR(aurora_data!BG227,0)</f>
        <v>0</v>
      </c>
      <c r="I163" s="258">
        <f>IFERROR(aurora_data!BH227,0)</f>
        <v>1</v>
      </c>
      <c r="J163" s="256">
        <f>IFERROR(aurora_data!BI227,0)</f>
        <v>0</v>
      </c>
      <c r="K163" s="257">
        <f>IFERROR(aurora_data!BJ227,0)</f>
        <v>3</v>
      </c>
      <c r="L163" s="257">
        <f>IFERROR(aurora_data!BK227,0)</f>
        <v>0</v>
      </c>
      <c r="M163" s="257">
        <f>IFERROR(aurora_data!BL227,0)</f>
        <v>0</v>
      </c>
      <c r="N163" s="258">
        <f>IFERROR(aurora_data!BM227,0)</f>
        <v>0</v>
      </c>
      <c r="O163" s="256">
        <f>IFERROR(aurora_data!BN227,0)</f>
        <v>1</v>
      </c>
      <c r="P163" s="257">
        <f>IFERROR(aurora_data!BO227,0)</f>
        <v>0</v>
      </c>
      <c r="Q163" s="257">
        <f>IFERROR(aurora_data!BP227,0)</f>
        <v>2</v>
      </c>
      <c r="R163" s="258">
        <f>IFERROR(aurora_data!BQ227,0)</f>
        <v>0</v>
      </c>
      <c r="S163" s="257">
        <f>IFERROR(aurora_data!BR227,0)</f>
        <v>0</v>
      </c>
      <c r="T163" s="257">
        <f>IFERROR(aurora_data!BS227,0)</f>
        <v>3</v>
      </c>
      <c r="U163" s="259">
        <f>IFERROR(aurora_data!BT227,0)</f>
        <v>0</v>
      </c>
      <c r="V163" s="260" t="s">
        <v>354</v>
      </c>
      <c r="W163" s="256">
        <f>IFERROR(aurora_data!BU227,0)</f>
        <v>3</v>
      </c>
      <c r="X163" s="261">
        <f t="shared" si="44"/>
        <v>5.454545454545455E-3</v>
      </c>
    </row>
    <row r="164" spans="1:24" hidden="1" outlineLevel="1">
      <c r="A164"/>
      <c r="B164" s="448"/>
      <c r="C164" s="450"/>
      <c r="D164" s="199" t="s">
        <v>344</v>
      </c>
      <c r="E164" s="186">
        <f>ROUNDDOWN((E166+$E$10)*($W156),0)</f>
        <v>29</v>
      </c>
      <c r="F164" s="187">
        <f>ROUNDDOWN((F166+$E$10)*($W156),0)</f>
        <v>43</v>
      </c>
      <c r="G164" s="187">
        <f>ROUNDDOWN((G166+$E$10)*($W156),0)</f>
        <v>120</v>
      </c>
      <c r="H164" s="187">
        <f>ROUNDDOWN((H166+$E$10)*($W156),0)</f>
        <v>186</v>
      </c>
      <c r="I164" s="187">
        <f>ROUNDDOWN((I166+$E$10)*($W156),0)</f>
        <v>224</v>
      </c>
      <c r="J164" s="186">
        <f>ROUNDDOWN((J166+$J$10)*($W156),0)</f>
        <v>49</v>
      </c>
      <c r="K164" s="187">
        <f>ROUNDDOWN((K166+$J$10)*($W156),0)</f>
        <v>92</v>
      </c>
      <c r="L164" s="187">
        <f>ROUNDDOWN((L166+$J$10)*($W156),0)</f>
        <v>158</v>
      </c>
      <c r="M164" s="187">
        <f>ROUNDDOWN((M166+$J$10)*($W156),0)</f>
        <v>74</v>
      </c>
      <c r="N164" s="188">
        <f>ROUNDDOWN((N166+$J$10)*($W156),0)</f>
        <v>285</v>
      </c>
      <c r="O164" s="186"/>
      <c r="P164" s="187"/>
      <c r="Q164" s="187"/>
      <c r="R164" s="188"/>
      <c r="S164" s="185"/>
      <c r="T164" s="187"/>
      <c r="U164" s="212"/>
      <c r="V164" s="63"/>
      <c r="W164" s="213"/>
      <c r="X164" s="210"/>
    </row>
    <row r="165" spans="1:24" hidden="1" outlineLevel="1">
      <c r="A165"/>
      <c r="B165" s="448"/>
      <c r="C165" s="450"/>
      <c r="D165" s="199" t="s">
        <v>345</v>
      </c>
      <c r="E165" s="189">
        <f>IF(ROUND(((E166-$E$10)*($W156))+0.25,0) &lt;=0,1,((E166-$E$10)*($W156))+0.25)</f>
        <v>7.63</v>
      </c>
      <c r="F165" s="190">
        <f>IF(ROUND(((F166-$E$10)*($W156))+0.25,0) &lt;=0,1,((F166-$E$10)*($W156))+0.25)</f>
        <v>21.67</v>
      </c>
      <c r="G165" s="190">
        <f>IF(ROUND(((G166-$E$10)*($W156))+0.25,0) &lt;=0,1,((G166-$E$10)*($W156))+0.25)</f>
        <v>99.01</v>
      </c>
      <c r="H165" s="190">
        <f>IF(ROUND(((H166-$E$10)*($W156))+0.25,0) &lt;=0,1,((H166-$E$10)*($W156))+0.25)</f>
        <v>164.86</v>
      </c>
      <c r="I165" s="190">
        <f>IF(ROUND(((I166-$E$10)*($W156))+0.25,0) &lt;=0,1,((I166-$E$10)*($W156))+0.25)</f>
        <v>203.08</v>
      </c>
      <c r="J165" s="189">
        <f>IF(ROUND(((J166-$J$10)*($W156))+0.25,0) &lt;=0,1,((J166-$J$10)*($W156))+0.25)</f>
        <v>5.9200000000000026</v>
      </c>
      <c r="K165" s="190">
        <f>IF(ROUND(((K166-$J$10)*($W156))+0.25,0) &lt;=0,1,((K166-$J$10)*($W156))+0.25)</f>
        <v>48.269999999999989</v>
      </c>
      <c r="L165" s="190">
        <f>IF(ROUND(((L166-$J$10)*($W156))+0.25,0) &lt;=0,1,((L166-$J$10)*($W156))+0.25)</f>
        <v>114.49000000000001</v>
      </c>
      <c r="M165" s="190">
        <f>IF(ROUND(((M166-$J$10)*($W156))+0.25,0) &lt;=0,1,((M166-$J$10)*($W156))+0.25)</f>
        <v>30.47</v>
      </c>
      <c r="N165" s="191">
        <f>IF(ROUND(((N166-$J$10)*($W156))+0.25,0) &lt;=0,1,((N166-$J$10)*($W156))+0.25)</f>
        <v>242.10000000000005</v>
      </c>
      <c r="O165" s="189"/>
      <c r="P165" s="190"/>
      <c r="Q165" s="190"/>
      <c r="R165" s="191"/>
      <c r="S165" s="189"/>
      <c r="T165" s="190"/>
      <c r="U165" s="211"/>
      <c r="V165" s="63"/>
      <c r="W165" s="214"/>
      <c r="X165" s="211"/>
    </row>
    <row r="166" spans="1:24" hidden="1" outlineLevel="1">
      <c r="A166"/>
      <c r="B166" s="448"/>
      <c r="C166" s="450"/>
      <c r="D166" s="95" t="s">
        <v>346</v>
      </c>
      <c r="E166" s="159">
        <f t="shared" ref="E166:N166" si="45">IFERROR(E156/$W156,0)</f>
        <v>3.3418181818181819E-2</v>
      </c>
      <c r="F166" s="160">
        <f t="shared" si="45"/>
        <v>5.8945454545454551E-2</v>
      </c>
      <c r="G166" s="160">
        <f t="shared" si="45"/>
        <v>0.19956363636363636</v>
      </c>
      <c r="H166" s="160">
        <f t="shared" si="45"/>
        <v>0.31929090909090913</v>
      </c>
      <c r="I166" s="160">
        <f t="shared" si="45"/>
        <v>0.38878181818181823</v>
      </c>
      <c r="J166" s="159">
        <f t="shared" si="45"/>
        <v>5.0309090909090914E-2</v>
      </c>
      <c r="K166" s="160">
        <f t="shared" si="45"/>
        <v>0.1273090909090909</v>
      </c>
      <c r="L166" s="160">
        <f t="shared" si="45"/>
        <v>0.24770909090909093</v>
      </c>
      <c r="M166" s="160">
        <f t="shared" si="45"/>
        <v>9.4945454545454541E-2</v>
      </c>
      <c r="N166" s="161">
        <f t="shared" si="45"/>
        <v>0.47972727272727278</v>
      </c>
      <c r="O166" s="159"/>
      <c r="P166" s="160"/>
      <c r="Q166" s="160"/>
      <c r="R166" s="161"/>
      <c r="S166" s="159"/>
      <c r="T166" s="160"/>
      <c r="U166" s="62"/>
      <c r="V166" s="63"/>
      <c r="W166" s="36"/>
      <c r="X166" s="172"/>
    </row>
    <row r="167" spans="1:24" hidden="1" outlineLevel="1">
      <c r="A167"/>
      <c r="B167" s="448"/>
      <c r="C167" s="450"/>
      <c r="D167" s="180" t="s">
        <v>347</v>
      </c>
      <c r="E167" s="159">
        <f t="shared" ref="E167:N167" si="46">IFERROR(E157/$W156,0)</f>
        <v>2.181818181818182E-2</v>
      </c>
      <c r="F167" s="160">
        <f t="shared" si="46"/>
        <v>2.5454545454545455E-2</v>
      </c>
      <c r="G167" s="160">
        <f t="shared" si="46"/>
        <v>0.10181818181818182</v>
      </c>
      <c r="H167" s="160">
        <f t="shared" si="46"/>
        <v>0.26181818181818184</v>
      </c>
      <c r="I167" s="160">
        <f t="shared" si="46"/>
        <v>0.38363636363636361</v>
      </c>
      <c r="J167" s="159">
        <f t="shared" si="46"/>
        <v>2.7272727272727271E-2</v>
      </c>
      <c r="K167" s="160">
        <f t="shared" si="46"/>
        <v>0.10545454545454545</v>
      </c>
      <c r="L167" s="160">
        <f t="shared" si="46"/>
        <v>0.1709090909090909</v>
      </c>
      <c r="M167" s="160">
        <f t="shared" si="46"/>
        <v>6.9090909090909092E-2</v>
      </c>
      <c r="N167" s="161">
        <f t="shared" si="46"/>
        <v>0.42181818181818181</v>
      </c>
      <c r="O167" s="159"/>
      <c r="P167" s="160"/>
      <c r="Q167" s="160"/>
      <c r="R167" s="161"/>
      <c r="S167" s="159"/>
      <c r="T167" s="160"/>
      <c r="U167" s="62"/>
      <c r="V167" s="63"/>
      <c r="W167" s="36"/>
      <c r="X167" s="172"/>
    </row>
    <row r="168" spans="1:24" ht="16.5" hidden="1" outlineLevel="1" thickBot="1">
      <c r="B168" s="448"/>
      <c r="C168" s="450"/>
      <c r="D168" s="180" t="s">
        <v>348</v>
      </c>
      <c r="E168" s="159">
        <f t="shared" ref="E168:N168" si="47">E167-E166</f>
        <v>-1.1599999999999999E-2</v>
      </c>
      <c r="F168" s="165">
        <f t="shared" si="47"/>
        <v>-3.3490909090909099E-2</v>
      </c>
      <c r="G168" s="165">
        <f t="shared" si="47"/>
        <v>-9.7745454545454538E-2</v>
      </c>
      <c r="H168" s="165">
        <f t="shared" si="47"/>
        <v>-5.7472727272727286E-2</v>
      </c>
      <c r="I168" s="165">
        <f t="shared" si="47"/>
        <v>-5.1454545454546197E-3</v>
      </c>
      <c r="J168" s="164">
        <f t="shared" si="47"/>
        <v>-2.3036363636363643E-2</v>
      </c>
      <c r="K168" s="165">
        <f t="shared" si="47"/>
        <v>-2.1854545454545446E-2</v>
      </c>
      <c r="L168" s="165">
        <f t="shared" si="47"/>
        <v>-7.6800000000000035E-2</v>
      </c>
      <c r="M168" s="165">
        <f t="shared" si="47"/>
        <v>-2.585454545454545E-2</v>
      </c>
      <c r="N168" s="166">
        <f t="shared" si="47"/>
        <v>-5.7909090909090966E-2</v>
      </c>
      <c r="O168" s="164"/>
      <c r="P168" s="165"/>
      <c r="Q168" s="165"/>
      <c r="R168" s="166"/>
      <c r="S168" s="164"/>
      <c r="T168" s="165"/>
      <c r="U168" s="62"/>
      <c r="V168" s="63"/>
      <c r="W168" s="36"/>
      <c r="X168" s="173"/>
    </row>
    <row r="169" spans="1:24" collapsed="1"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</row>
  </sheetData>
  <mergeCells count="46">
    <mergeCell ref="B156:B168"/>
    <mergeCell ref="C156:C168"/>
    <mergeCell ref="B130:B142"/>
    <mergeCell ref="C130:C142"/>
    <mergeCell ref="B143:B155"/>
    <mergeCell ref="C143:C155"/>
    <mergeCell ref="B104:B116"/>
    <mergeCell ref="C104:C116"/>
    <mergeCell ref="B117:B129"/>
    <mergeCell ref="C117:C129"/>
    <mergeCell ref="B78:B90"/>
    <mergeCell ref="C78:C90"/>
    <mergeCell ref="B91:B103"/>
    <mergeCell ref="C91:C103"/>
    <mergeCell ref="B65:B77"/>
    <mergeCell ref="C65:C77"/>
    <mergeCell ref="B26:B38"/>
    <mergeCell ref="C26:C38"/>
    <mergeCell ref="B39:B51"/>
    <mergeCell ref="C39:C51"/>
    <mergeCell ref="B13:B22"/>
    <mergeCell ref="C13:C25"/>
    <mergeCell ref="B11:B12"/>
    <mergeCell ref="E11:I11"/>
    <mergeCell ref="B52:B64"/>
    <mergeCell ref="C52:C64"/>
    <mergeCell ref="D6:J6"/>
    <mergeCell ref="B9:D9"/>
    <mergeCell ref="E9:U9"/>
    <mergeCell ref="W9:X12"/>
    <mergeCell ref="B10:C10"/>
    <mergeCell ref="E10:I10"/>
    <mergeCell ref="J10:N10"/>
    <mergeCell ref="O10:R10"/>
    <mergeCell ref="S10:U10"/>
    <mergeCell ref="O11:R11"/>
    <mergeCell ref="S11:U11"/>
    <mergeCell ref="J11:N11"/>
    <mergeCell ref="L2:Y5"/>
    <mergeCell ref="D3:F3"/>
    <mergeCell ref="G3:J3"/>
    <mergeCell ref="A1:C1"/>
    <mergeCell ref="D1:J1"/>
    <mergeCell ref="A2:C2"/>
    <mergeCell ref="D2:J2"/>
    <mergeCell ref="D5:J5"/>
  </mergeCells>
  <conditionalFormatting sqref="E14:W14">
    <cfRule type="expression" dxfId="222" priority="11">
      <formula>ROUND(E$14,0) &gt;= ROUND(E$13,0)</formula>
    </cfRule>
  </conditionalFormatting>
  <conditionalFormatting sqref="E19:W19 E45:W45">
    <cfRule type="expression" dxfId="221" priority="13">
      <formula>ROUND(E$19,0) &lt; ROUND(E$13,0)</formula>
    </cfRule>
  </conditionalFormatting>
  <conditionalFormatting sqref="E27:W27">
    <cfRule type="expression" dxfId="220" priority="12">
      <formula>ROUND(E$27,0) &gt;= ROUND(E$26,0)</formula>
    </cfRule>
  </conditionalFormatting>
  <conditionalFormatting sqref="E32:W32 E58:W58 E71:W71 E84:W84 E97:W97 E110:W110 E123:W123 E136:W136 E149:W149">
    <cfRule type="expression" dxfId="219" priority="14">
      <formula>ROUND(E$32,0) &lt; ROUND(E$26,0)</formula>
    </cfRule>
  </conditionalFormatting>
  <conditionalFormatting sqref="E40:W40">
    <cfRule type="expression" dxfId="218" priority="8">
      <formula>ROUND(E$14,0) &gt;= ROUND(E$13,0)</formula>
    </cfRule>
  </conditionalFormatting>
  <conditionalFormatting sqref="E53:W53">
    <cfRule type="expression" dxfId="217" priority="9">
      <formula>ROUND(E$27,0) &gt;= ROUND(E$26,0)</formula>
    </cfRule>
  </conditionalFormatting>
  <conditionalFormatting sqref="E66:W66">
    <cfRule type="expression" dxfId="216" priority="7">
      <formula>ROUND(E$27,0) &gt;= ROUND(E$26,0)</formula>
    </cfRule>
  </conditionalFormatting>
  <conditionalFormatting sqref="E79:W79">
    <cfRule type="expression" dxfId="215" priority="6">
      <formula>ROUND(E$27,0) &gt;= ROUND(E$26,0)</formula>
    </cfRule>
  </conditionalFormatting>
  <conditionalFormatting sqref="E92:W92">
    <cfRule type="expression" dxfId="214" priority="5">
      <formula>ROUND(E$27,0) &gt;= ROUND(E$26,0)</formula>
    </cfRule>
  </conditionalFormatting>
  <conditionalFormatting sqref="E105:W105">
    <cfRule type="expression" dxfId="213" priority="4">
      <formula>ROUND(E$27,0) &gt;= ROUND(E$26,0)</formula>
    </cfRule>
  </conditionalFormatting>
  <conditionalFormatting sqref="E118:W118">
    <cfRule type="expression" dxfId="212" priority="3">
      <formula>ROUND(E$27,0) &gt;= ROUND(E$26,0)</formula>
    </cfRule>
  </conditionalFormatting>
  <conditionalFormatting sqref="E131:W131">
    <cfRule type="expression" dxfId="211" priority="2">
      <formula>ROUND(E$27,0) &gt;= ROUND(E$26,0)</formula>
    </cfRule>
  </conditionalFormatting>
  <conditionalFormatting sqref="E144:W144">
    <cfRule type="expression" dxfId="210" priority="1">
      <formula>ROUND(E$27,0) &gt;= ROUND(E$26,0)</formula>
    </cfRule>
  </conditionalFormatting>
  <conditionalFormatting sqref="E157:W157">
    <cfRule type="expression" dxfId="209" priority="10">
      <formula>ROUND(E$157,0) &gt;= ROUND(E$156,0)</formula>
    </cfRule>
  </conditionalFormatting>
  <conditionalFormatting sqref="E162:W162">
    <cfRule type="expression" dxfId="208" priority="15">
      <formula>ROUND(E$162,0) &lt; ROUND(E$156,0)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353A-AFB8-4A27-B700-443E3ADF4ECB}">
  <sheetPr codeName="Sheet12">
    <tabColor rgb="FF0070C0"/>
  </sheetPr>
  <dimension ref="A1:BB180"/>
  <sheetViews>
    <sheetView zoomScale="90" zoomScaleNormal="90" workbookViewId="0">
      <pane ySplit="11" topLeftCell="A12" activePane="bottomLeft" state="frozen"/>
      <selection pane="bottomLeft" activeCell="F16" sqref="F16"/>
    </sheetView>
  </sheetViews>
  <sheetFormatPr defaultColWidth="2.5" defaultRowHeight="15.75" outlineLevelRow="1"/>
  <cols>
    <col min="1" max="1" width="1.125" style="2" customWidth="1"/>
    <col min="2" max="2" width="7.625" style="2" bestFit="1" customWidth="1"/>
    <col min="3" max="3" width="15.5" style="2" customWidth="1"/>
    <col min="4" max="4" width="22.5" style="4" customWidth="1"/>
    <col min="5" max="21" width="7.5" style="4" customWidth="1"/>
    <col min="22" max="22" width="0.5" style="2" customWidth="1"/>
    <col min="23" max="23" width="5.625" style="2" customWidth="1"/>
    <col min="24" max="24" width="6.375" style="2" customWidth="1"/>
    <col min="25" max="25" width="12.5" style="2" customWidth="1"/>
    <col min="26" max="26" width="2.5" style="2" customWidth="1"/>
    <col min="53" max="64" width="7.5" style="2" customWidth="1"/>
    <col min="65" max="16323" width="2.5" style="2"/>
    <col min="16324" max="16324" width="1.12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625" style="2" customWidth="1"/>
    <col min="16329" max="16329" width="2.125" style="2" customWidth="1"/>
    <col min="16330" max="16384" width="20.125" style="2" customWidth="1"/>
  </cols>
  <sheetData>
    <row r="1" spans="1:2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6" customFormat="1" ht="31.5" customHeight="1" thickBot="1">
      <c r="A2" s="499" t="s">
        <v>327</v>
      </c>
      <c r="B2" s="499"/>
      <c r="C2" s="500"/>
      <c r="D2" s="536" t="str">
        <f>_xlfn.CONCAT("Study Name: ","
Retest WISC-6 Standardization - Paper")</f>
        <v>Study Name: 
Retest WISC-6 Standardization - Paper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6" customFormat="1" ht="30.75" customHeight="1" thickBot="1">
      <c r="A3" s="2"/>
      <c r="B3" s="2"/>
      <c r="C3" s="2"/>
      <c r="D3" s="510" t="str">
        <f>_xlfn.CONCAT("Study Acronym: ","
R_WISC6_STDZ_P")</f>
        <v>Study Acronym: 
R_WISC6_STDZ_P</v>
      </c>
      <c r="E3" s="511"/>
      <c r="F3" s="562" t="s">
        <v>359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  <c r="Z3" s="221"/>
    </row>
    <row r="4" spans="1:2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  <c r="Z4" s="222"/>
    </row>
    <row r="5" spans="1:2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Z5" s="222"/>
    </row>
    <row r="6" spans="1:26" customFormat="1" ht="103.35" customHeight="1" thickBot="1">
      <c r="A6" s="2"/>
      <c r="B6" s="2"/>
      <c r="C6" s="98"/>
      <c r="D6" s="563" t="s">
        <v>360</v>
      </c>
      <c r="E6" s="564"/>
      <c r="F6" s="564"/>
      <c r="G6" s="564"/>
      <c r="H6" s="564"/>
      <c r="I6" s="565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Z6" s="222"/>
    </row>
    <row r="7" spans="1:2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Z7" s="222"/>
    </row>
    <row r="8" spans="1:26" customFormat="1">
      <c r="A8" s="2"/>
      <c r="B8" s="482" t="str">
        <f>_xlfn.CONCAT("Last Refreshed at: ",aurora_data!V332)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Z8" s="222"/>
    </row>
    <row r="9" spans="1:26" customFormat="1" ht="16.5" customHeight="1" thickBot="1">
      <c r="A9" s="2"/>
      <c r="B9" s="486"/>
      <c r="C9" s="487"/>
      <c r="D9" s="29" t="s">
        <v>333</v>
      </c>
      <c r="E9" s="528">
        <v>0.2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Z9" s="222"/>
    </row>
    <row r="10" spans="1:2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Z10" s="222"/>
    </row>
    <row r="11" spans="1:2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05"/>
      <c r="Z11" s="222"/>
    </row>
    <row r="12" spans="1:26" customFormat="1">
      <c r="A12" s="2"/>
      <c r="B12" s="451" t="s">
        <v>338</v>
      </c>
      <c r="C12" s="453" t="str">
        <f>aurora_data!A332</f>
        <v>06.00.00-06.11.30</v>
      </c>
      <c r="D12" s="34" t="s">
        <v>306</v>
      </c>
      <c r="E12" s="39">
        <f>IFERROR(aurora_data!D332,0)</f>
        <v>0.52</v>
      </c>
      <c r="F12" s="40">
        <f>IFERROR(aurora_data!E332,0)</f>
        <v>0.99</v>
      </c>
      <c r="G12" s="40">
        <f>IFERROR(aurora_data!F332,0)</f>
        <v>3.97</v>
      </c>
      <c r="H12" s="40">
        <f>IFERROR(aurora_data!G332,0)</f>
        <v>6.43</v>
      </c>
      <c r="I12" s="41">
        <f>IFERROR(aurora_data!H332,0)</f>
        <v>8.09</v>
      </c>
      <c r="J12" s="39">
        <f>IFERROR(aurora_data!I332,0)</f>
        <v>1</v>
      </c>
      <c r="K12" s="40">
        <f>IFERROR(aurora_data!J332,0)</f>
        <v>1</v>
      </c>
      <c r="L12" s="40">
        <f>IFERROR(aurora_data!K332,0)</f>
        <v>1</v>
      </c>
      <c r="M12" s="40">
        <f>IFERROR(aurora_data!L332,0)</f>
        <v>1</v>
      </c>
      <c r="N12" s="41">
        <f>IFERROR(aurora_data!M332,0)</f>
        <v>1</v>
      </c>
      <c r="O12" s="39">
        <f>IFERROR(aurora_data!N332,0)</f>
        <v>1</v>
      </c>
      <c r="P12" s="40">
        <f>IFERROR(aurora_data!O332,0)</f>
        <v>1</v>
      </c>
      <c r="Q12" s="40">
        <f>IFERROR(aurora_data!P332,0)</f>
        <v>1</v>
      </c>
      <c r="R12" s="41">
        <f>IFERROR(aurora_data!Q332,0)</f>
        <v>1</v>
      </c>
      <c r="S12" s="40">
        <f>IFERROR(aurora_data!R332,0)</f>
        <v>1</v>
      </c>
      <c r="T12" s="40">
        <f>IFERROR(aurora_data!S332,0)</f>
        <v>1</v>
      </c>
      <c r="U12" s="74">
        <f>IFERROR(aurora_data!T332,0)</f>
        <v>0</v>
      </c>
      <c r="V12" s="61" t="s">
        <v>354</v>
      </c>
      <c r="W12" s="39">
        <f>IFERROR(aurora_data!U332,0)</f>
        <v>20</v>
      </c>
      <c r="X12" s="69">
        <f t="shared" ref="X12:X20" si="0">IFERROR(W12/$W$12,0)</f>
        <v>1</v>
      </c>
      <c r="Y12" s="205"/>
      <c r="Z12" s="222"/>
    </row>
    <row r="13" spans="1:26" customFormat="1">
      <c r="A13" s="2"/>
      <c r="B13" s="452"/>
      <c r="C13" s="454"/>
      <c r="D13" s="35" t="s">
        <v>339</v>
      </c>
      <c r="E13" s="113">
        <f>IFERROR(aurora_data!D333,0)</f>
        <v>0</v>
      </c>
      <c r="F13" s="253">
        <f>IFERROR(aurora_data!E333,0)</f>
        <v>1</v>
      </c>
      <c r="G13" s="253">
        <f>IFERROR(aurora_data!F333,0)</f>
        <v>4</v>
      </c>
      <c r="H13" s="253">
        <f>IFERROR(aurora_data!G333,0)</f>
        <v>6</v>
      </c>
      <c r="I13" s="254">
        <f>IFERROR(aurora_data!H333,0)</f>
        <v>8</v>
      </c>
      <c r="J13" s="113">
        <f>IFERROR(aurora_data!I333,0)</f>
        <v>2</v>
      </c>
      <c r="K13" s="253">
        <f>IFERROR(aurora_data!J333,0)</f>
        <v>2</v>
      </c>
      <c r="L13" s="253">
        <f>IFERROR(aurora_data!K333,0)</f>
        <v>2</v>
      </c>
      <c r="M13" s="253">
        <f>IFERROR(aurora_data!L333,0)</f>
        <v>2</v>
      </c>
      <c r="N13" s="254">
        <f>IFERROR(aurora_data!M333,0)</f>
        <v>11</v>
      </c>
      <c r="O13" s="113">
        <f>IFERROR(aurora_data!N333,0)</f>
        <v>5</v>
      </c>
      <c r="P13" s="253">
        <f>IFERROR(aurora_data!O333,0)</f>
        <v>4</v>
      </c>
      <c r="Q13" s="253">
        <f>IFERROR(aurora_data!P333,0)</f>
        <v>8</v>
      </c>
      <c r="R13" s="254">
        <f>IFERROR(aurora_data!Q333,0)</f>
        <v>2</v>
      </c>
      <c r="S13" s="253">
        <f>IFERROR(aurora_data!R333,0)</f>
        <v>10</v>
      </c>
      <c r="T13" s="253">
        <f>IFERROR(aurora_data!S333,0)</f>
        <v>9</v>
      </c>
      <c r="U13" s="254">
        <f>IFERROR(aurora_data!T333,0)</f>
        <v>0</v>
      </c>
      <c r="V13" s="61" t="s">
        <v>354</v>
      </c>
      <c r="W13" s="113">
        <f>IFERROR(aurora_data!U333,0)</f>
        <v>19</v>
      </c>
      <c r="X13" s="255">
        <f t="shared" si="0"/>
        <v>0.95</v>
      </c>
      <c r="Y13" s="205"/>
      <c r="Z13" s="222"/>
    </row>
    <row r="14" spans="1:26" customFormat="1">
      <c r="A14" s="2"/>
      <c r="B14" s="452"/>
      <c r="C14" s="454"/>
      <c r="D14" s="35" t="s">
        <v>291</v>
      </c>
      <c r="E14" s="113">
        <f>IFERROR(aurora_data!D334,0)</f>
        <v>0</v>
      </c>
      <c r="F14" s="253">
        <f>IFERROR(aurora_data!E334,0)</f>
        <v>0</v>
      </c>
      <c r="G14" s="253">
        <f>IFERROR(aurora_data!F334,0)</f>
        <v>0</v>
      </c>
      <c r="H14" s="253">
        <f>IFERROR(aurora_data!G334,0)</f>
        <v>0</v>
      </c>
      <c r="I14" s="254">
        <f>IFERROR(aurora_data!H334,0)</f>
        <v>0</v>
      </c>
      <c r="J14" s="113">
        <f>IFERROR(aurora_data!I334,0)</f>
        <v>0</v>
      </c>
      <c r="K14" s="253">
        <f>IFERROR(aurora_data!J334,0)</f>
        <v>0</v>
      </c>
      <c r="L14" s="253">
        <f>IFERROR(aurora_data!K334,0)</f>
        <v>0</v>
      </c>
      <c r="M14" s="253">
        <f>IFERROR(aurora_data!L334,0)</f>
        <v>0</v>
      </c>
      <c r="N14" s="254">
        <f>IFERROR(aurora_data!M334,0)</f>
        <v>0</v>
      </c>
      <c r="O14" s="113">
        <f>IFERROR(aurora_data!N334,0)</f>
        <v>0</v>
      </c>
      <c r="P14" s="253">
        <f>IFERROR(aurora_data!O334,0)</f>
        <v>0</v>
      </c>
      <c r="Q14" s="253">
        <f>IFERROR(aurora_data!P334,0)</f>
        <v>0</v>
      </c>
      <c r="R14" s="254">
        <f>IFERROR(aurora_data!Q334,0)</f>
        <v>0</v>
      </c>
      <c r="S14" s="253">
        <f>IFERROR(aurora_data!R334,0)</f>
        <v>0</v>
      </c>
      <c r="T14" s="253">
        <f>IFERROR(aurora_data!S334,0)</f>
        <v>0</v>
      </c>
      <c r="U14" s="254">
        <f>IFERROR(aurora_data!T334,0)</f>
        <v>0</v>
      </c>
      <c r="V14" s="61" t="s">
        <v>354</v>
      </c>
      <c r="W14" s="113">
        <f>IFERROR(aurora_data!U334,0)</f>
        <v>0</v>
      </c>
      <c r="X14" s="255">
        <f t="shared" si="0"/>
        <v>0</v>
      </c>
      <c r="Y14" s="205"/>
      <c r="Z14" s="222"/>
    </row>
    <row r="15" spans="1:26" customFormat="1">
      <c r="A15" s="2"/>
      <c r="B15" s="452"/>
      <c r="C15" s="454"/>
      <c r="D15" s="35" t="s">
        <v>340</v>
      </c>
      <c r="E15" s="113">
        <f>IFERROR(aurora_data!D335,0)</f>
        <v>0</v>
      </c>
      <c r="F15" s="253">
        <f>IFERROR(aurora_data!E335,0)</f>
        <v>0</v>
      </c>
      <c r="G15" s="253">
        <f>IFERROR(aurora_data!F335,0)</f>
        <v>0</v>
      </c>
      <c r="H15" s="253">
        <f>IFERROR(aurora_data!G335,0)</f>
        <v>0</v>
      </c>
      <c r="I15" s="254">
        <f>IFERROR(aurora_data!H335,0)</f>
        <v>0</v>
      </c>
      <c r="J15" s="113">
        <f>IFERROR(aurora_data!I335,0)</f>
        <v>0</v>
      </c>
      <c r="K15" s="253">
        <f>IFERROR(aurora_data!J335,0)</f>
        <v>0</v>
      </c>
      <c r="L15" s="253">
        <f>IFERROR(aurora_data!K335,0)</f>
        <v>0</v>
      </c>
      <c r="M15" s="253">
        <f>IFERROR(aurora_data!L335,0)</f>
        <v>0</v>
      </c>
      <c r="N15" s="254">
        <f>IFERROR(aurora_data!M335,0)</f>
        <v>0</v>
      </c>
      <c r="O15" s="113">
        <f>IFERROR(aurora_data!N335,0)</f>
        <v>0</v>
      </c>
      <c r="P15" s="253">
        <f>IFERROR(aurora_data!O335,0)</f>
        <v>0</v>
      </c>
      <c r="Q15" s="253">
        <f>IFERROR(aurora_data!P335,0)</f>
        <v>0</v>
      </c>
      <c r="R15" s="254">
        <f>IFERROR(aurora_data!Q335,0)</f>
        <v>0</v>
      </c>
      <c r="S15" s="253">
        <f>IFERROR(aurora_data!R335,0)</f>
        <v>0</v>
      </c>
      <c r="T15" s="253">
        <f>IFERROR(aurora_data!S335,0)</f>
        <v>0</v>
      </c>
      <c r="U15" s="254">
        <f>IFERROR(aurora_data!T335,0)</f>
        <v>0</v>
      </c>
      <c r="V15" s="61" t="s">
        <v>354</v>
      </c>
      <c r="W15" s="113">
        <f>IFERROR(aurora_data!U335,0)</f>
        <v>0</v>
      </c>
      <c r="X15" s="255">
        <f t="shared" si="0"/>
        <v>0</v>
      </c>
      <c r="Y15" s="205"/>
      <c r="Z15" s="222"/>
    </row>
    <row r="16" spans="1:26" customFormat="1">
      <c r="A16" s="2"/>
      <c r="B16" s="452"/>
      <c r="C16" s="454"/>
      <c r="D16" s="35" t="s">
        <v>298</v>
      </c>
      <c r="E16" s="113">
        <f>IFERROR(aurora_data!D336,0)</f>
        <v>0</v>
      </c>
      <c r="F16" s="253">
        <f>IFERROR(aurora_data!E336,0)</f>
        <v>0</v>
      </c>
      <c r="G16" s="253">
        <f>IFERROR(aurora_data!F336,0)</f>
        <v>0</v>
      </c>
      <c r="H16" s="253">
        <f>IFERROR(aurora_data!G336,0)</f>
        <v>0</v>
      </c>
      <c r="I16" s="254">
        <f>IFERROR(aurora_data!H336,0)</f>
        <v>0</v>
      </c>
      <c r="J16" s="113">
        <f>IFERROR(aurora_data!I336,0)</f>
        <v>0</v>
      </c>
      <c r="K16" s="253">
        <f>IFERROR(aurora_data!J336,0)</f>
        <v>0</v>
      </c>
      <c r="L16" s="253">
        <f>IFERROR(aurora_data!K336,0)</f>
        <v>0</v>
      </c>
      <c r="M16" s="253">
        <f>IFERROR(aurora_data!L336,0)</f>
        <v>0</v>
      </c>
      <c r="N16" s="254">
        <f>IFERROR(aurora_data!M336,0)</f>
        <v>0</v>
      </c>
      <c r="O16" s="113">
        <f>IFERROR(aurora_data!N336,0)</f>
        <v>0</v>
      </c>
      <c r="P16" s="253">
        <f>IFERROR(aurora_data!O336,0)</f>
        <v>0</v>
      </c>
      <c r="Q16" s="253">
        <f>IFERROR(aurora_data!P336,0)</f>
        <v>0</v>
      </c>
      <c r="R16" s="254">
        <f>IFERROR(aurora_data!Q336,0)</f>
        <v>0</v>
      </c>
      <c r="S16" s="253">
        <f>IFERROR(aurora_data!R336,0)</f>
        <v>0</v>
      </c>
      <c r="T16" s="253">
        <f>IFERROR(aurora_data!S336,0)</f>
        <v>0</v>
      </c>
      <c r="U16" s="254">
        <f>IFERROR(aurora_data!T336,0)</f>
        <v>0</v>
      </c>
      <c r="V16" s="61" t="s">
        <v>354</v>
      </c>
      <c r="W16" s="113">
        <f>IFERROR(aurora_data!U336,0)</f>
        <v>0</v>
      </c>
      <c r="X16" s="255">
        <f t="shared" si="0"/>
        <v>0</v>
      </c>
      <c r="Y16" s="205"/>
      <c r="Z16" s="222"/>
    </row>
    <row r="17" spans="1:26" customFormat="1">
      <c r="A17" s="2"/>
      <c r="B17" s="452"/>
      <c r="C17" s="454"/>
      <c r="D17" s="35" t="s">
        <v>341</v>
      </c>
      <c r="E17" s="113">
        <f>IFERROR(aurora_data!D337,0)</f>
        <v>1</v>
      </c>
      <c r="F17" s="253">
        <f>IFERROR(aurora_data!E337,0)</f>
        <v>0</v>
      </c>
      <c r="G17" s="253">
        <f>IFERROR(aurora_data!F337,0)</f>
        <v>0</v>
      </c>
      <c r="H17" s="253">
        <f>IFERROR(aurora_data!G337,0)</f>
        <v>0</v>
      </c>
      <c r="I17" s="254">
        <f>IFERROR(aurora_data!H337,0)</f>
        <v>0</v>
      </c>
      <c r="J17" s="113">
        <f>IFERROR(aurora_data!I337,0)</f>
        <v>0</v>
      </c>
      <c r="K17" s="253">
        <f>IFERROR(aurora_data!J337,0)</f>
        <v>1</v>
      </c>
      <c r="L17" s="253">
        <f>IFERROR(aurora_data!K337,0)</f>
        <v>0</v>
      </c>
      <c r="M17" s="253">
        <f>IFERROR(aurora_data!L337,0)</f>
        <v>0</v>
      </c>
      <c r="N17" s="254">
        <f>IFERROR(aurora_data!M337,0)</f>
        <v>0</v>
      </c>
      <c r="O17" s="113">
        <f>IFERROR(aurora_data!N337,0)</f>
        <v>0</v>
      </c>
      <c r="P17" s="253">
        <f>IFERROR(aurora_data!O337,0)</f>
        <v>0</v>
      </c>
      <c r="Q17" s="253">
        <f>IFERROR(aurora_data!P337,0)</f>
        <v>1</v>
      </c>
      <c r="R17" s="254">
        <f>IFERROR(aurora_data!Q337,0)</f>
        <v>0</v>
      </c>
      <c r="S17" s="253">
        <f>IFERROR(aurora_data!R337,0)</f>
        <v>0</v>
      </c>
      <c r="T17" s="253">
        <f>IFERROR(aurora_data!S337,0)</f>
        <v>1</v>
      </c>
      <c r="U17" s="254">
        <f>IFERROR(aurora_data!T337,0)</f>
        <v>0</v>
      </c>
      <c r="V17" s="61" t="s">
        <v>354</v>
      </c>
      <c r="W17" s="113">
        <f>IFERROR(aurora_data!U337,0)</f>
        <v>1</v>
      </c>
      <c r="X17" s="255">
        <f t="shared" si="0"/>
        <v>0.05</v>
      </c>
      <c r="Y17" s="205"/>
      <c r="Z17" s="222"/>
    </row>
    <row r="18" spans="1:26" customFormat="1" ht="16.5" thickBot="1">
      <c r="A18" s="2"/>
      <c r="B18" s="452"/>
      <c r="C18" s="454"/>
      <c r="D18" s="35" t="s">
        <v>342</v>
      </c>
      <c r="E18" s="113">
        <f>IFERROR(aurora_data!D338,0)</f>
        <v>0</v>
      </c>
      <c r="F18" s="253">
        <f>IFERROR(aurora_data!E338,0)</f>
        <v>0</v>
      </c>
      <c r="G18" s="253">
        <f>IFERROR(aurora_data!F338,0)</f>
        <v>0</v>
      </c>
      <c r="H18" s="253">
        <f>IFERROR(aurora_data!G338,0)</f>
        <v>0</v>
      </c>
      <c r="I18" s="254">
        <f>IFERROR(aurora_data!H338,0)</f>
        <v>0</v>
      </c>
      <c r="J18" s="113">
        <f>IFERROR(aurora_data!I338,0)</f>
        <v>0</v>
      </c>
      <c r="K18" s="253">
        <f>IFERROR(aurora_data!J338,0)</f>
        <v>0</v>
      </c>
      <c r="L18" s="253">
        <f>IFERROR(aurora_data!K338,0)</f>
        <v>0</v>
      </c>
      <c r="M18" s="253">
        <f>IFERROR(aurora_data!L338,0)</f>
        <v>0</v>
      </c>
      <c r="N18" s="254">
        <f>IFERROR(aurora_data!M338,0)</f>
        <v>0</v>
      </c>
      <c r="O18" s="113">
        <f>IFERROR(aurora_data!N338,0)</f>
        <v>0</v>
      </c>
      <c r="P18" s="253">
        <f>IFERROR(aurora_data!O338,0)</f>
        <v>0</v>
      </c>
      <c r="Q18" s="253">
        <f>IFERROR(aurora_data!P338,0)</f>
        <v>0</v>
      </c>
      <c r="R18" s="254">
        <f>IFERROR(aurora_data!Q338,0)</f>
        <v>0</v>
      </c>
      <c r="S18" s="253">
        <f>IFERROR(aurora_data!R338,0)</f>
        <v>0</v>
      </c>
      <c r="T18" s="253">
        <f>IFERROR(aurora_data!S338,0)</f>
        <v>0</v>
      </c>
      <c r="U18" s="254">
        <f>IFERROR(aurora_data!T338,0)</f>
        <v>0</v>
      </c>
      <c r="V18" s="61" t="s">
        <v>354</v>
      </c>
      <c r="W18" s="113">
        <f>IFERROR(aurora_data!U338,0)</f>
        <v>0</v>
      </c>
      <c r="X18" s="255">
        <f t="shared" si="0"/>
        <v>0</v>
      </c>
      <c r="Y18" s="205"/>
      <c r="Z18" s="222"/>
    </row>
    <row r="19" spans="1:26" customFormat="1" ht="16.5" thickBot="1">
      <c r="A19" s="2"/>
      <c r="B19" s="452"/>
      <c r="C19" s="454"/>
      <c r="D19" s="37" t="s">
        <v>17</v>
      </c>
      <c r="E19" s="59">
        <f>IFERROR(aurora_data!D339,0)</f>
        <v>1</v>
      </c>
      <c r="F19" s="64">
        <f>IFERROR(aurora_data!E339,0)</f>
        <v>1</v>
      </c>
      <c r="G19" s="64">
        <f>IFERROR(aurora_data!F339,0)</f>
        <v>4</v>
      </c>
      <c r="H19" s="64">
        <f>IFERROR(aurora_data!G339,0)</f>
        <v>6</v>
      </c>
      <c r="I19" s="65">
        <f>IFERROR(aurora_data!H339,0)</f>
        <v>8</v>
      </c>
      <c r="J19" s="59">
        <f>IFERROR(aurora_data!I339,0)</f>
        <v>2</v>
      </c>
      <c r="K19" s="64">
        <f>IFERROR(aurora_data!J339,0)</f>
        <v>3</v>
      </c>
      <c r="L19" s="64">
        <f>IFERROR(aurora_data!K339,0)</f>
        <v>2</v>
      </c>
      <c r="M19" s="64">
        <f>IFERROR(aurora_data!L339,0)</f>
        <v>2</v>
      </c>
      <c r="N19" s="65">
        <f>IFERROR(aurora_data!M339,0)</f>
        <v>11</v>
      </c>
      <c r="O19" s="59">
        <f>IFERROR(aurora_data!N339,0)</f>
        <v>5</v>
      </c>
      <c r="P19" s="64">
        <f>IFERROR(aurora_data!O339,0)</f>
        <v>4</v>
      </c>
      <c r="Q19" s="64">
        <f>IFERROR(aurora_data!P339,0)</f>
        <v>9</v>
      </c>
      <c r="R19" s="65">
        <f>IFERROR(aurora_data!Q339,0)</f>
        <v>2</v>
      </c>
      <c r="S19" s="64">
        <f>IFERROR(aurora_data!R339,0)</f>
        <v>10</v>
      </c>
      <c r="T19" s="64">
        <f>IFERROR(aurora_data!S339,0)</f>
        <v>10</v>
      </c>
      <c r="U19" s="65">
        <f>IFERROR(aurora_data!T339,0)</f>
        <v>0</v>
      </c>
      <c r="V19" s="66" t="s">
        <v>354</v>
      </c>
      <c r="W19" s="59">
        <f>IFERROR(aurora_data!U339,0)</f>
        <v>20</v>
      </c>
      <c r="X19" s="70">
        <f t="shared" si="0"/>
        <v>1</v>
      </c>
      <c r="Y19" s="205"/>
      <c r="Z19" s="222"/>
    </row>
    <row r="20" spans="1:26" customFormat="1" ht="16.5" thickBot="1">
      <c r="A20" s="2"/>
      <c r="B20" s="452"/>
      <c r="C20" s="454"/>
      <c r="D20" s="38" t="s">
        <v>343</v>
      </c>
      <c r="E20" s="256">
        <f>IFERROR(aurora_data!D340,0)</f>
        <v>0</v>
      </c>
      <c r="F20" s="257">
        <f>IFERROR(aurora_data!E340,0)</f>
        <v>0</v>
      </c>
      <c r="G20" s="257">
        <f>IFERROR(aurora_data!F340,0)</f>
        <v>0</v>
      </c>
      <c r="H20" s="257">
        <f>IFERROR(aurora_data!G340,0)</f>
        <v>0</v>
      </c>
      <c r="I20" s="258">
        <f>IFERROR(aurora_data!H340,0)</f>
        <v>0</v>
      </c>
      <c r="J20" s="256">
        <f>IFERROR(aurora_data!I340,0)</f>
        <v>0</v>
      </c>
      <c r="K20" s="257">
        <f>IFERROR(aurora_data!J340,0)</f>
        <v>0</v>
      </c>
      <c r="L20" s="257">
        <f>IFERROR(aurora_data!K340,0)</f>
        <v>0</v>
      </c>
      <c r="M20" s="257">
        <f>IFERROR(aurora_data!L340,0)</f>
        <v>0</v>
      </c>
      <c r="N20" s="258">
        <f>IFERROR(aurora_data!M340,0)</f>
        <v>0</v>
      </c>
      <c r="O20" s="256">
        <f>IFERROR(aurora_data!N340,0)</f>
        <v>0</v>
      </c>
      <c r="P20" s="257">
        <f>IFERROR(aurora_data!O340,0)</f>
        <v>0</v>
      </c>
      <c r="Q20" s="257">
        <f>IFERROR(aurora_data!P340,0)</f>
        <v>0</v>
      </c>
      <c r="R20" s="258">
        <f>IFERROR(aurora_data!Q340,0)</f>
        <v>0</v>
      </c>
      <c r="S20" s="257">
        <f>IFERROR(aurora_data!R340,0)</f>
        <v>0</v>
      </c>
      <c r="T20" s="257">
        <f>IFERROR(aurora_data!S340,0)</f>
        <v>0</v>
      </c>
      <c r="U20" s="259">
        <f>IFERROR(aurora_data!T340,0)</f>
        <v>0</v>
      </c>
      <c r="V20" s="260" t="s">
        <v>354</v>
      </c>
      <c r="W20" s="256">
        <f>IFERROR(aurora_data!U340,0)</f>
        <v>0</v>
      </c>
      <c r="X20" s="261">
        <f t="shared" si="0"/>
        <v>0</v>
      </c>
      <c r="Y20" s="205"/>
      <c r="Z20" s="222"/>
    </row>
    <row r="21" spans="1:26" customFormat="1" hidden="1" outlineLevel="1">
      <c r="A21" s="2"/>
      <c r="B21" s="147"/>
      <c r="C21" s="109"/>
      <c r="D21" s="199" t="s">
        <v>344</v>
      </c>
      <c r="E21" s="271">
        <f>ROUNDDOWN((E23+$E$9)*($W12),0)</f>
        <v>4</v>
      </c>
      <c r="F21" s="272">
        <f>ROUNDDOWN((F23+$E$9)*($W12),0)</f>
        <v>4</v>
      </c>
      <c r="G21" s="272">
        <f>ROUNDDOWN((G23+$E$9)*($W12),0)</f>
        <v>7</v>
      </c>
      <c r="H21" s="272">
        <f>ROUNDDOWN((H23+$E$9)*($W12),0)</f>
        <v>10</v>
      </c>
      <c r="I21" s="272">
        <f>ROUNDDOWN((I23+$E$9)*($W12),0)</f>
        <v>12</v>
      </c>
      <c r="J21" s="284"/>
      <c r="K21" s="283"/>
      <c r="L21" s="283"/>
      <c r="M21" s="283"/>
      <c r="N21" s="292"/>
      <c r="O21" s="284"/>
      <c r="P21" s="283"/>
      <c r="Q21" s="283"/>
      <c r="R21" s="283"/>
      <c r="S21" s="284"/>
      <c r="T21" s="283"/>
      <c r="U21" s="283"/>
      <c r="V21" s="61"/>
      <c r="W21" s="284"/>
      <c r="X21" s="283"/>
      <c r="Y21" s="206"/>
      <c r="Z21" s="222"/>
    </row>
    <row r="22" spans="1:26" customFormat="1" ht="16.5" hidden="1" customHeight="1" outlineLevel="1">
      <c r="A22" s="2"/>
      <c r="B22" s="147"/>
      <c r="C22" s="109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1</v>
      </c>
      <c r="G22" s="277">
        <f>IF(ROUND(((G23-$E$9)*($W12))+0.25,0) &lt;=0,1,((G23-$E$9)*($W12))+0.25)</f>
        <v>1</v>
      </c>
      <c r="H22" s="277">
        <f>IF(ROUND(((H23-$E$9)*($W12))+0.25,0) &lt;=0,1,((H23-$E$9)*($W12))+0.25)</f>
        <v>2.6799999999999997</v>
      </c>
      <c r="I22" s="277">
        <f>IF(ROUND(((I23-$E$9)*($W12))+0.25,0) &lt;=0,1,((I23-$E$9)*($W12))+0.25)</f>
        <v>4.339999999999999</v>
      </c>
      <c r="J22" s="289"/>
      <c r="K22" s="288"/>
      <c r="L22" s="288"/>
      <c r="M22" s="288"/>
      <c r="N22" s="293"/>
      <c r="O22" s="289"/>
      <c r="P22" s="288"/>
      <c r="Q22" s="288"/>
      <c r="R22" s="288"/>
      <c r="S22" s="289"/>
      <c r="T22" s="288"/>
      <c r="U22" s="288"/>
      <c r="V22" s="61"/>
      <c r="W22" s="289"/>
      <c r="X22" s="288"/>
      <c r="Y22" s="207"/>
      <c r="Z22" s="222"/>
    </row>
    <row r="23" spans="1:26" customFormat="1" ht="16.5" hidden="1" customHeight="1" outlineLevel="1">
      <c r="A23" s="2"/>
      <c r="B23" s="147"/>
      <c r="C23" s="109"/>
      <c r="D23" s="95" t="s">
        <v>346</v>
      </c>
      <c r="E23" s="414">
        <f>IFERROR(E12/$W12,0)</f>
        <v>2.6000000000000002E-2</v>
      </c>
      <c r="F23" s="415">
        <f>IFERROR(F12/$W12,0)</f>
        <v>4.9500000000000002E-2</v>
      </c>
      <c r="G23" s="415">
        <f>IFERROR(G12/$W12,0)</f>
        <v>0.19850000000000001</v>
      </c>
      <c r="H23" s="415">
        <f>IFERROR(H12/$W12,0)</f>
        <v>0.32150000000000001</v>
      </c>
      <c r="I23" s="415">
        <f>IFERROR(I12/$W12,0)</f>
        <v>0.40449999999999997</v>
      </c>
      <c r="J23" s="428"/>
      <c r="K23" s="427"/>
      <c r="L23" s="427"/>
      <c r="M23" s="427"/>
      <c r="N23" s="433"/>
      <c r="O23" s="428"/>
      <c r="P23" s="427"/>
      <c r="Q23" s="427"/>
      <c r="R23" s="427"/>
      <c r="S23" s="428"/>
      <c r="T23" s="427"/>
      <c r="U23" s="427"/>
      <c r="V23" s="61"/>
      <c r="W23" s="428"/>
      <c r="X23" s="427"/>
      <c r="Y23" s="208"/>
      <c r="Z23" s="222"/>
    </row>
    <row r="24" spans="1:26" customFormat="1" ht="16.5" hidden="1" customHeight="1" outlineLevel="1">
      <c r="A24" s="2"/>
      <c r="B24" s="147"/>
      <c r="C24" s="109"/>
      <c r="D24" s="180" t="s">
        <v>347</v>
      </c>
      <c r="E24" s="414">
        <f>IFERROR(E13/$W12,0)</f>
        <v>0</v>
      </c>
      <c r="F24" s="415">
        <f>IFERROR(F13/$W12,0)</f>
        <v>0.05</v>
      </c>
      <c r="G24" s="415">
        <f>IFERROR(G13/$W12,0)</f>
        <v>0.2</v>
      </c>
      <c r="H24" s="415">
        <f>IFERROR(H13/$W12,0)</f>
        <v>0.3</v>
      </c>
      <c r="I24" s="415">
        <f>IFERROR(I13/$W12,0)</f>
        <v>0.4</v>
      </c>
      <c r="J24" s="428"/>
      <c r="K24" s="427"/>
      <c r="L24" s="427"/>
      <c r="M24" s="427"/>
      <c r="N24" s="433"/>
      <c r="O24" s="428"/>
      <c r="P24" s="427"/>
      <c r="Q24" s="427"/>
      <c r="R24" s="427"/>
      <c r="S24" s="428"/>
      <c r="T24" s="427"/>
      <c r="U24" s="427"/>
      <c r="V24" s="61"/>
      <c r="W24" s="428"/>
      <c r="X24" s="427"/>
      <c r="Y24" s="208"/>
      <c r="Z24" s="222"/>
    </row>
    <row r="25" spans="1:26" customFormat="1" ht="16.5" hidden="1" outlineLevel="1" thickBot="1">
      <c r="A25" s="2"/>
      <c r="B25" s="147"/>
      <c r="C25" s="228"/>
      <c r="D25" s="180" t="s">
        <v>348</v>
      </c>
      <c r="E25" s="414">
        <f>E24-E23</f>
        <v>-2.6000000000000002E-2</v>
      </c>
      <c r="F25" s="415">
        <f>F24-F23</f>
        <v>5.0000000000000044E-4</v>
      </c>
      <c r="G25" s="415">
        <f>G24-G23</f>
        <v>1.5000000000000013E-3</v>
      </c>
      <c r="H25" s="415">
        <f>H24-H23</f>
        <v>-2.1500000000000019E-2</v>
      </c>
      <c r="I25" s="415">
        <f>I24-I23</f>
        <v>-4.4999999999999485E-3</v>
      </c>
      <c r="J25" s="428"/>
      <c r="K25" s="427"/>
      <c r="L25" s="427"/>
      <c r="M25" s="427"/>
      <c r="N25" s="433"/>
      <c r="O25" s="428"/>
      <c r="P25" s="427"/>
      <c r="Q25" s="427"/>
      <c r="R25" s="427"/>
      <c r="S25" s="428"/>
      <c r="T25" s="427"/>
      <c r="U25" s="427"/>
      <c r="V25" s="61"/>
      <c r="W25" s="428"/>
      <c r="X25" s="427"/>
      <c r="Y25" s="209"/>
      <c r="Z25" s="222"/>
    </row>
    <row r="26" spans="1:26" customFormat="1" collapsed="1">
      <c r="A26" s="2"/>
      <c r="B26" s="560" t="s">
        <v>362</v>
      </c>
      <c r="C26" s="453" t="str">
        <f>aurora_data!A341</f>
        <v>07.00.00-07.11.30</v>
      </c>
      <c r="D26" s="34" t="s">
        <v>306</v>
      </c>
      <c r="E26" s="39">
        <f>IFERROR(aurora_data!D341,0)</f>
        <v>0.54</v>
      </c>
      <c r="F26" s="40">
        <f>IFERROR(aurora_data!E341,0)</f>
        <v>1.06</v>
      </c>
      <c r="G26" s="40">
        <f>IFERROR(aurora_data!F341,0)</f>
        <v>3.92</v>
      </c>
      <c r="H26" s="40">
        <f>IFERROR(aurora_data!G341,0)</f>
        <v>6.51</v>
      </c>
      <c r="I26" s="41">
        <f>IFERROR(aurora_data!H341,0)</f>
        <v>7.98</v>
      </c>
      <c r="J26" s="39">
        <f>IFERROR(aurora_data!I341,0)</f>
        <v>1</v>
      </c>
      <c r="K26" s="40">
        <f>IFERROR(aurora_data!J341,0)</f>
        <v>1</v>
      </c>
      <c r="L26" s="40">
        <f>IFERROR(aurora_data!K341,0)</f>
        <v>1</v>
      </c>
      <c r="M26" s="40">
        <f>IFERROR(aurora_data!L341,0)</f>
        <v>1</v>
      </c>
      <c r="N26" s="41">
        <f>IFERROR(aurora_data!M341,0)</f>
        <v>1</v>
      </c>
      <c r="O26" s="39">
        <f>IFERROR(aurora_data!N341,0)</f>
        <v>1</v>
      </c>
      <c r="P26" s="40">
        <f>IFERROR(aurora_data!O341,0)</f>
        <v>1</v>
      </c>
      <c r="Q26" s="40">
        <f>IFERROR(aurora_data!P341,0)</f>
        <v>1</v>
      </c>
      <c r="R26" s="41">
        <f>IFERROR(aurora_data!Q341,0)</f>
        <v>1</v>
      </c>
      <c r="S26" s="40">
        <f>IFERROR(aurora_data!R341,0)</f>
        <v>1</v>
      </c>
      <c r="T26" s="40">
        <f>IFERROR(aurora_data!S341,0)</f>
        <v>1</v>
      </c>
      <c r="U26" s="41">
        <f>IFERROR(aurora_data!T341,0)</f>
        <v>0</v>
      </c>
      <c r="V26" s="61" t="s">
        <v>354</v>
      </c>
      <c r="W26" s="39">
        <f>IFERROR(aurora_data!U341,0)</f>
        <v>20</v>
      </c>
      <c r="X26" s="69">
        <f t="shared" ref="X26:X34" si="1">IFERROR(W26/$W$26,0)</f>
        <v>1</v>
      </c>
      <c r="Y26" s="205"/>
      <c r="Z26" s="222"/>
    </row>
    <row r="27" spans="1:26" customFormat="1" ht="16.5" customHeight="1">
      <c r="A27" s="2"/>
      <c r="B27" s="561"/>
      <c r="C27" s="454"/>
      <c r="D27" s="35" t="s">
        <v>339</v>
      </c>
      <c r="E27" s="113">
        <f>IFERROR(aurora_data!D342,0)</f>
        <v>1</v>
      </c>
      <c r="F27" s="253">
        <f>IFERROR(aurora_data!E342,0)</f>
        <v>2</v>
      </c>
      <c r="G27" s="253">
        <f>IFERROR(aurora_data!F342,0)</f>
        <v>4</v>
      </c>
      <c r="H27" s="253">
        <f>IFERROR(aurora_data!G342,0)</f>
        <v>6</v>
      </c>
      <c r="I27" s="254">
        <f>IFERROR(aurora_data!H342,0)</f>
        <v>7</v>
      </c>
      <c r="J27" s="113">
        <f>IFERROR(aurora_data!I342,0)</f>
        <v>1</v>
      </c>
      <c r="K27" s="253">
        <f>IFERROR(aurora_data!J342,0)</f>
        <v>4</v>
      </c>
      <c r="L27" s="253">
        <f>IFERROR(aurora_data!K342,0)</f>
        <v>4</v>
      </c>
      <c r="M27" s="253">
        <f>IFERROR(aurora_data!L342,0)</f>
        <v>2</v>
      </c>
      <c r="N27" s="254">
        <f>IFERROR(aurora_data!M342,0)</f>
        <v>9</v>
      </c>
      <c r="O27" s="113">
        <f>IFERROR(aurora_data!N342,0)</f>
        <v>4</v>
      </c>
      <c r="P27" s="253">
        <f>IFERROR(aurora_data!O342,0)</f>
        <v>2</v>
      </c>
      <c r="Q27" s="253">
        <f>IFERROR(aurora_data!P342,0)</f>
        <v>10</v>
      </c>
      <c r="R27" s="254">
        <f>IFERROR(aurora_data!Q342,0)</f>
        <v>4</v>
      </c>
      <c r="S27" s="253">
        <f>IFERROR(aurora_data!R342,0)</f>
        <v>12</v>
      </c>
      <c r="T27" s="253">
        <f>IFERROR(aurora_data!S342,0)</f>
        <v>8</v>
      </c>
      <c r="U27" s="254">
        <f>IFERROR(aurora_data!T342,0)</f>
        <v>0</v>
      </c>
      <c r="V27" s="61" t="s">
        <v>354</v>
      </c>
      <c r="W27" s="113">
        <f>IFERROR(aurora_data!U342,0)</f>
        <v>20</v>
      </c>
      <c r="X27" s="255">
        <f t="shared" si="1"/>
        <v>1</v>
      </c>
      <c r="Y27" s="205"/>
      <c r="Z27" s="222"/>
    </row>
    <row r="28" spans="1:26" customFormat="1" ht="16.5" customHeight="1">
      <c r="A28" s="2"/>
      <c r="B28" s="561"/>
      <c r="C28" s="454"/>
      <c r="D28" s="35" t="s">
        <v>291</v>
      </c>
      <c r="E28" s="113">
        <f>IFERROR(aurora_data!D343,0)</f>
        <v>0</v>
      </c>
      <c r="F28" s="253">
        <f>IFERROR(aurora_data!E343,0)</f>
        <v>0</v>
      </c>
      <c r="G28" s="253">
        <f>IFERROR(aurora_data!F343,0)</f>
        <v>0</v>
      </c>
      <c r="H28" s="253">
        <f>IFERROR(aurora_data!G343,0)</f>
        <v>0</v>
      </c>
      <c r="I28" s="254">
        <f>IFERROR(aurora_data!H343,0)</f>
        <v>1</v>
      </c>
      <c r="J28" s="113">
        <f>IFERROR(aurora_data!I343,0)</f>
        <v>0</v>
      </c>
      <c r="K28" s="253">
        <f>IFERROR(aurora_data!J343,0)</f>
        <v>0</v>
      </c>
      <c r="L28" s="253">
        <f>IFERROR(aurora_data!K343,0)</f>
        <v>0</v>
      </c>
      <c r="M28" s="253">
        <f>IFERROR(aurora_data!L343,0)</f>
        <v>0</v>
      </c>
      <c r="N28" s="254">
        <f>IFERROR(aurora_data!M343,0)</f>
        <v>1</v>
      </c>
      <c r="O28" s="113">
        <f>IFERROR(aurora_data!N343,0)</f>
        <v>0</v>
      </c>
      <c r="P28" s="253">
        <f>IFERROR(aurora_data!O343,0)</f>
        <v>1</v>
      </c>
      <c r="Q28" s="253">
        <f>IFERROR(aurora_data!P343,0)</f>
        <v>0</v>
      </c>
      <c r="R28" s="254">
        <f>IFERROR(aurora_data!Q343,0)</f>
        <v>0</v>
      </c>
      <c r="S28" s="253">
        <f>IFERROR(aurora_data!R343,0)</f>
        <v>0</v>
      </c>
      <c r="T28" s="253">
        <f>IFERROR(aurora_data!S343,0)</f>
        <v>1</v>
      </c>
      <c r="U28" s="254">
        <f>IFERROR(aurora_data!T343,0)</f>
        <v>0</v>
      </c>
      <c r="V28" s="61" t="s">
        <v>354</v>
      </c>
      <c r="W28" s="113">
        <f>IFERROR(aurora_data!U343,0)</f>
        <v>1</v>
      </c>
      <c r="X28" s="255">
        <f t="shared" si="1"/>
        <v>0.05</v>
      </c>
      <c r="Y28" s="2"/>
      <c r="Z28" s="222"/>
    </row>
    <row r="29" spans="1:26" customFormat="1">
      <c r="A29" s="2"/>
      <c r="B29" s="561"/>
      <c r="C29" s="454"/>
      <c r="D29" s="35" t="s">
        <v>340</v>
      </c>
      <c r="E29" s="113">
        <f>IFERROR(aurora_data!D344,0)</f>
        <v>0</v>
      </c>
      <c r="F29" s="253">
        <f>IFERROR(aurora_data!E344,0)</f>
        <v>0</v>
      </c>
      <c r="G29" s="253">
        <f>IFERROR(aurora_data!F344,0)</f>
        <v>0</v>
      </c>
      <c r="H29" s="253">
        <f>IFERROR(aurora_data!G344,0)</f>
        <v>0</v>
      </c>
      <c r="I29" s="254">
        <f>IFERROR(aurora_data!H344,0)</f>
        <v>0</v>
      </c>
      <c r="J29" s="113">
        <f>IFERROR(aurora_data!I344,0)</f>
        <v>0</v>
      </c>
      <c r="K29" s="253">
        <f>IFERROR(aurora_data!J344,0)</f>
        <v>0</v>
      </c>
      <c r="L29" s="253">
        <f>IFERROR(aurora_data!K344,0)</f>
        <v>0</v>
      </c>
      <c r="M29" s="253">
        <f>IFERROR(aurora_data!L344,0)</f>
        <v>0</v>
      </c>
      <c r="N29" s="254">
        <f>IFERROR(aurora_data!M344,0)</f>
        <v>0</v>
      </c>
      <c r="O29" s="113">
        <f>IFERROR(aurora_data!N344,0)</f>
        <v>0</v>
      </c>
      <c r="P29" s="253">
        <f>IFERROR(aurora_data!O344,0)</f>
        <v>0</v>
      </c>
      <c r="Q29" s="253">
        <f>IFERROR(aurora_data!P344,0)</f>
        <v>0</v>
      </c>
      <c r="R29" s="254">
        <f>IFERROR(aurora_data!Q344,0)</f>
        <v>0</v>
      </c>
      <c r="S29" s="253">
        <f>IFERROR(aurora_data!R344,0)</f>
        <v>0</v>
      </c>
      <c r="T29" s="253">
        <f>IFERROR(aurora_data!S344,0)</f>
        <v>0</v>
      </c>
      <c r="U29" s="254">
        <f>IFERROR(aurora_data!T344,0)</f>
        <v>0</v>
      </c>
      <c r="V29" s="61" t="s">
        <v>354</v>
      </c>
      <c r="W29" s="113">
        <f>IFERROR(aurora_data!U344,0)</f>
        <v>0</v>
      </c>
      <c r="X29" s="255">
        <f t="shared" si="1"/>
        <v>0</v>
      </c>
      <c r="Y29" s="2"/>
      <c r="Z29" s="222"/>
    </row>
    <row r="30" spans="1:26" customFormat="1">
      <c r="A30" s="2"/>
      <c r="B30" s="561"/>
      <c r="C30" s="454"/>
      <c r="D30" s="35" t="s">
        <v>298</v>
      </c>
      <c r="E30" s="113">
        <f>IFERROR(aurora_data!D345,0)</f>
        <v>0</v>
      </c>
      <c r="F30" s="253">
        <f>IFERROR(aurora_data!E345,0)</f>
        <v>0</v>
      </c>
      <c r="G30" s="253">
        <f>IFERROR(aurora_data!F345,0)</f>
        <v>0</v>
      </c>
      <c r="H30" s="253">
        <f>IFERROR(aurora_data!G345,0)</f>
        <v>0</v>
      </c>
      <c r="I30" s="254">
        <f>IFERROR(aurora_data!H345,0)</f>
        <v>0</v>
      </c>
      <c r="J30" s="113">
        <f>IFERROR(aurora_data!I345,0)</f>
        <v>0</v>
      </c>
      <c r="K30" s="253">
        <f>IFERROR(aurora_data!J345,0)</f>
        <v>0</v>
      </c>
      <c r="L30" s="253">
        <f>IFERROR(aurora_data!K345,0)</f>
        <v>0</v>
      </c>
      <c r="M30" s="253">
        <f>IFERROR(aurora_data!L345,0)</f>
        <v>0</v>
      </c>
      <c r="N30" s="254">
        <f>IFERROR(aurora_data!M345,0)</f>
        <v>0</v>
      </c>
      <c r="O30" s="113">
        <f>IFERROR(aurora_data!N345,0)</f>
        <v>0</v>
      </c>
      <c r="P30" s="253">
        <f>IFERROR(aurora_data!O345,0)</f>
        <v>0</v>
      </c>
      <c r="Q30" s="253">
        <f>IFERROR(aurora_data!P345,0)</f>
        <v>0</v>
      </c>
      <c r="R30" s="254">
        <f>IFERROR(aurora_data!Q345,0)</f>
        <v>0</v>
      </c>
      <c r="S30" s="253">
        <f>IFERROR(aurora_data!R345,0)</f>
        <v>0</v>
      </c>
      <c r="T30" s="253">
        <f>IFERROR(aurora_data!S345,0)</f>
        <v>0</v>
      </c>
      <c r="U30" s="254">
        <f>IFERROR(aurora_data!T345,0)</f>
        <v>0</v>
      </c>
      <c r="V30" s="61" t="s">
        <v>354</v>
      </c>
      <c r="W30" s="113">
        <f>IFERROR(aurora_data!U345,0)</f>
        <v>0</v>
      </c>
      <c r="X30" s="255">
        <f t="shared" si="1"/>
        <v>0</v>
      </c>
      <c r="Y30" s="2"/>
      <c r="Z30" s="222"/>
    </row>
    <row r="31" spans="1:26" customFormat="1" ht="16.5" customHeight="1">
      <c r="A31" s="2"/>
      <c r="B31" s="561"/>
      <c r="C31" s="454"/>
      <c r="D31" s="35" t="s">
        <v>341</v>
      </c>
      <c r="E31" s="113">
        <f>IFERROR(aurora_data!D346,0)</f>
        <v>0</v>
      </c>
      <c r="F31" s="253">
        <f>IFERROR(aurora_data!E346,0)</f>
        <v>0</v>
      </c>
      <c r="G31" s="253">
        <f>IFERROR(aurora_data!F346,0)</f>
        <v>0</v>
      </c>
      <c r="H31" s="253">
        <f>IFERROR(aurora_data!G346,0)</f>
        <v>0</v>
      </c>
      <c r="I31" s="254">
        <f>IFERROR(aurora_data!H346,0)</f>
        <v>0</v>
      </c>
      <c r="J31" s="113">
        <f>IFERROR(aurora_data!I346,0)</f>
        <v>0</v>
      </c>
      <c r="K31" s="253">
        <f>IFERROR(aurora_data!J346,0)</f>
        <v>0</v>
      </c>
      <c r="L31" s="253">
        <f>IFERROR(aurora_data!K346,0)</f>
        <v>0</v>
      </c>
      <c r="M31" s="253">
        <f>IFERROR(aurora_data!L346,0)</f>
        <v>0</v>
      </c>
      <c r="N31" s="254">
        <f>IFERROR(aurora_data!M346,0)</f>
        <v>0</v>
      </c>
      <c r="O31" s="113">
        <f>IFERROR(aurora_data!N346,0)</f>
        <v>0</v>
      </c>
      <c r="P31" s="253">
        <f>IFERROR(aurora_data!O346,0)</f>
        <v>0</v>
      </c>
      <c r="Q31" s="253">
        <f>IFERROR(aurora_data!P346,0)</f>
        <v>0</v>
      </c>
      <c r="R31" s="254">
        <f>IFERROR(aurora_data!Q346,0)</f>
        <v>0</v>
      </c>
      <c r="S31" s="253">
        <f>IFERROR(aurora_data!R346,0)</f>
        <v>0</v>
      </c>
      <c r="T31" s="253">
        <f>IFERROR(aurora_data!S346,0)</f>
        <v>0</v>
      </c>
      <c r="U31" s="254">
        <f>IFERROR(aurora_data!T346,0)</f>
        <v>0</v>
      </c>
      <c r="V31" s="61" t="s">
        <v>354</v>
      </c>
      <c r="W31" s="113">
        <f>IFERROR(aurora_data!U346,0)</f>
        <v>0</v>
      </c>
      <c r="X31" s="255">
        <f t="shared" si="1"/>
        <v>0</v>
      </c>
      <c r="Y31" s="2"/>
      <c r="Z31" s="222"/>
    </row>
    <row r="32" spans="1:26" customFormat="1" ht="16.5" customHeight="1" thickBot="1">
      <c r="A32" s="2"/>
      <c r="B32" s="561"/>
      <c r="C32" s="454"/>
      <c r="D32" s="35" t="s">
        <v>342</v>
      </c>
      <c r="E32" s="113">
        <f>IFERROR(aurora_data!D347,0)</f>
        <v>0</v>
      </c>
      <c r="F32" s="253">
        <f>IFERROR(aurora_data!E347,0)</f>
        <v>0</v>
      </c>
      <c r="G32" s="253">
        <f>IFERROR(aurora_data!F347,0)</f>
        <v>0</v>
      </c>
      <c r="H32" s="253">
        <f>IFERROR(aurora_data!G347,0)</f>
        <v>0</v>
      </c>
      <c r="I32" s="254">
        <f>IFERROR(aurora_data!H347,0)</f>
        <v>0</v>
      </c>
      <c r="J32" s="113">
        <f>IFERROR(aurora_data!I347,0)</f>
        <v>0</v>
      </c>
      <c r="K32" s="253">
        <f>IFERROR(aurora_data!J347,0)</f>
        <v>0</v>
      </c>
      <c r="L32" s="253">
        <f>IFERROR(aurora_data!K347,0)</f>
        <v>0</v>
      </c>
      <c r="M32" s="253">
        <f>IFERROR(aurora_data!L347,0)</f>
        <v>0</v>
      </c>
      <c r="N32" s="254">
        <f>IFERROR(aurora_data!M347,0)</f>
        <v>0</v>
      </c>
      <c r="O32" s="113">
        <f>IFERROR(aurora_data!N347,0)</f>
        <v>0</v>
      </c>
      <c r="P32" s="253">
        <f>IFERROR(aurora_data!O347,0)</f>
        <v>0</v>
      </c>
      <c r="Q32" s="253">
        <f>IFERROR(aurora_data!P347,0)</f>
        <v>0</v>
      </c>
      <c r="R32" s="254">
        <f>IFERROR(aurora_data!Q347,0)</f>
        <v>0</v>
      </c>
      <c r="S32" s="253">
        <f>IFERROR(aurora_data!R347,0)</f>
        <v>0</v>
      </c>
      <c r="T32" s="253">
        <f>IFERROR(aurora_data!S347,0)</f>
        <v>0</v>
      </c>
      <c r="U32" s="254">
        <f>IFERROR(aurora_data!T347,0)</f>
        <v>0</v>
      </c>
      <c r="V32" s="61" t="s">
        <v>354</v>
      </c>
      <c r="W32" s="256">
        <f>IFERROR(aurora_data!U347,0)</f>
        <v>0</v>
      </c>
      <c r="X32" s="290">
        <f t="shared" si="1"/>
        <v>0</v>
      </c>
      <c r="Y32" s="2"/>
      <c r="Z32" s="222"/>
    </row>
    <row r="33" spans="1:26" customFormat="1" ht="16.5" customHeight="1" thickBot="1">
      <c r="A33" s="2"/>
      <c r="B33" s="561"/>
      <c r="C33" s="454"/>
      <c r="D33" s="37" t="s">
        <v>17</v>
      </c>
      <c r="E33" s="59">
        <f>IFERROR(aurora_data!D348,0)</f>
        <v>1</v>
      </c>
      <c r="F33" s="64">
        <f>IFERROR(aurora_data!E348,0)</f>
        <v>2</v>
      </c>
      <c r="G33" s="64">
        <f>IFERROR(aurora_data!F348,0)</f>
        <v>4</v>
      </c>
      <c r="H33" s="64">
        <f>IFERROR(aurora_data!G348,0)</f>
        <v>6</v>
      </c>
      <c r="I33" s="65">
        <f>IFERROR(aurora_data!H348,0)</f>
        <v>8</v>
      </c>
      <c r="J33" s="59">
        <f>IFERROR(aurora_data!I348,0)</f>
        <v>1</v>
      </c>
      <c r="K33" s="64">
        <f>IFERROR(aurora_data!J348,0)</f>
        <v>4</v>
      </c>
      <c r="L33" s="64">
        <f>IFERROR(aurora_data!K348,0)</f>
        <v>4</v>
      </c>
      <c r="M33" s="64">
        <f>IFERROR(aurora_data!L348,0)</f>
        <v>2</v>
      </c>
      <c r="N33" s="65">
        <f>IFERROR(aurora_data!M348,0)</f>
        <v>10</v>
      </c>
      <c r="O33" s="59">
        <f>IFERROR(aurora_data!N348,0)</f>
        <v>4</v>
      </c>
      <c r="P33" s="64">
        <f>IFERROR(aurora_data!O348,0)</f>
        <v>3</v>
      </c>
      <c r="Q33" s="64">
        <f>IFERROR(aurora_data!P348,0)</f>
        <v>10</v>
      </c>
      <c r="R33" s="65">
        <f>IFERROR(aurora_data!Q348,0)</f>
        <v>4</v>
      </c>
      <c r="S33" s="64">
        <f>IFERROR(aurora_data!R348,0)</f>
        <v>12</v>
      </c>
      <c r="T33" s="64">
        <f>IFERROR(aurora_data!S348,0)</f>
        <v>9</v>
      </c>
      <c r="U33" s="65">
        <f>IFERROR(aurora_data!T348,0)</f>
        <v>0</v>
      </c>
      <c r="V33" s="66" t="s">
        <v>354</v>
      </c>
      <c r="W33" s="59">
        <f>IFERROR(aurora_data!U348,0)</f>
        <v>21</v>
      </c>
      <c r="X33" s="70">
        <f t="shared" si="1"/>
        <v>1.05</v>
      </c>
      <c r="Y33" s="2"/>
      <c r="Z33" s="222"/>
    </row>
    <row r="34" spans="1:26" customFormat="1" ht="16.5" thickBot="1">
      <c r="A34" s="2"/>
      <c r="B34" s="561"/>
      <c r="C34" s="454"/>
      <c r="D34" s="38" t="s">
        <v>343</v>
      </c>
      <c r="E34" s="256">
        <f>IFERROR(aurora_data!D349,0)</f>
        <v>0</v>
      </c>
      <c r="F34" s="257">
        <f>IFERROR(aurora_data!E349,0)</f>
        <v>0</v>
      </c>
      <c r="G34" s="257">
        <f>IFERROR(aurora_data!F349,0)</f>
        <v>0</v>
      </c>
      <c r="H34" s="257">
        <f>IFERROR(aurora_data!G349,0)</f>
        <v>0</v>
      </c>
      <c r="I34" s="258">
        <f>IFERROR(aurora_data!H349,0)</f>
        <v>0</v>
      </c>
      <c r="J34" s="256">
        <f>IFERROR(aurora_data!I349,0)</f>
        <v>0</v>
      </c>
      <c r="K34" s="257">
        <f>IFERROR(aurora_data!J349,0)</f>
        <v>0</v>
      </c>
      <c r="L34" s="257">
        <f>IFERROR(aurora_data!K349,0)</f>
        <v>0</v>
      </c>
      <c r="M34" s="257">
        <f>IFERROR(aurora_data!L349,0)</f>
        <v>0</v>
      </c>
      <c r="N34" s="258">
        <f>IFERROR(aurora_data!M349,0)</f>
        <v>0</v>
      </c>
      <c r="O34" s="256">
        <f>IFERROR(aurora_data!N349,0)</f>
        <v>0</v>
      </c>
      <c r="P34" s="257">
        <f>IFERROR(aurora_data!O349,0)</f>
        <v>0</v>
      </c>
      <c r="Q34" s="257">
        <f>IFERROR(aurora_data!P349,0)</f>
        <v>0</v>
      </c>
      <c r="R34" s="258">
        <f>IFERROR(aurora_data!Q349,0)</f>
        <v>0</v>
      </c>
      <c r="S34" s="257">
        <f>IFERROR(aurora_data!R349,0)</f>
        <v>0</v>
      </c>
      <c r="T34" s="257">
        <f>IFERROR(aurora_data!S349,0)</f>
        <v>0</v>
      </c>
      <c r="U34" s="259">
        <f>IFERROR(aurora_data!T349,0)</f>
        <v>0</v>
      </c>
      <c r="V34" s="260" t="s">
        <v>354</v>
      </c>
      <c r="W34" s="256">
        <f>IFERROR(aurora_data!U349,0)</f>
        <v>0</v>
      </c>
      <c r="X34" s="261">
        <f t="shared" si="1"/>
        <v>0</v>
      </c>
      <c r="Y34" s="2"/>
      <c r="Z34" s="222"/>
    </row>
    <row r="35" spans="1:26" customFormat="1" hidden="1" outlineLevel="1">
      <c r="A35" s="2"/>
      <c r="B35" s="147"/>
      <c r="C35" s="454"/>
      <c r="D35" s="199" t="s">
        <v>344</v>
      </c>
      <c r="E35" s="271">
        <f>ROUNDDOWN((E37+$E$9)*($W26),0)</f>
        <v>4</v>
      </c>
      <c r="F35" s="272">
        <f>ROUNDDOWN((F37+$E$9)*($W26),0)</f>
        <v>5</v>
      </c>
      <c r="G35" s="272">
        <f>ROUNDDOWN((G37+$E$9)*($W26),0)</f>
        <v>7</v>
      </c>
      <c r="H35" s="272">
        <f>ROUNDDOWN((H37+$E$9)*($W26),0)</f>
        <v>10</v>
      </c>
      <c r="I35" s="272">
        <f>ROUNDDOWN((I37+$E$9)*($W26),0)</f>
        <v>11</v>
      </c>
      <c r="J35" s="271"/>
      <c r="K35" s="272"/>
      <c r="L35" s="272"/>
      <c r="M35" s="272"/>
      <c r="N35" s="268"/>
      <c r="O35" s="271"/>
      <c r="P35" s="272"/>
      <c r="Q35" s="272"/>
      <c r="R35" s="268"/>
      <c r="S35" s="265"/>
      <c r="T35" s="272"/>
      <c r="U35" s="282"/>
      <c r="V35" s="61"/>
      <c r="W35" s="291"/>
      <c r="X35" s="286"/>
      <c r="Y35" s="206"/>
      <c r="Z35" s="222"/>
    </row>
    <row r="36" spans="1:26" customFormat="1" ht="16.5" hidden="1" customHeight="1" outlineLevel="1">
      <c r="A36" s="2"/>
      <c r="B36" s="147"/>
      <c r="C36" s="454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1</v>
      </c>
      <c r="G36" s="277">
        <f>IF(ROUND(((G37-$E$9)*($W26))+0.25,0) &lt;=0,1,((G37-$E$9)*($W26))+0.25)</f>
        <v>1</v>
      </c>
      <c r="H36" s="277">
        <f>IF(ROUND(((H37-$E$9)*($W26))+0.25,0) &lt;=0,1,((H37-$E$9)*($W26))+0.25)</f>
        <v>2.76</v>
      </c>
      <c r="I36" s="277">
        <f>IF(ROUND(((I37-$E$9)*($W26))+0.25,0) &lt;=0,1,((I37-$E$9)*($W26))+0.25)</f>
        <v>4.2300000000000004</v>
      </c>
      <c r="J36" s="276"/>
      <c r="K36" s="277"/>
      <c r="L36" s="277"/>
      <c r="M36" s="277"/>
      <c r="N36" s="278"/>
      <c r="O36" s="276"/>
      <c r="P36" s="277"/>
      <c r="Q36" s="277"/>
      <c r="R36" s="278"/>
      <c r="S36" s="276"/>
      <c r="T36" s="277"/>
      <c r="U36" s="287"/>
      <c r="V36" s="61"/>
      <c r="W36" s="285"/>
      <c r="X36" s="287"/>
      <c r="Y36" s="207"/>
      <c r="Z36" s="222"/>
    </row>
    <row r="37" spans="1:26" customFormat="1" ht="16.5" hidden="1" customHeight="1" outlineLevel="1">
      <c r="A37" s="2"/>
      <c r="B37" s="147"/>
      <c r="C37" s="454"/>
      <c r="D37" s="95" t="s">
        <v>346</v>
      </c>
      <c r="E37" s="414">
        <f>IFERROR(E26/$W26,0)</f>
        <v>2.7000000000000003E-2</v>
      </c>
      <c r="F37" s="415">
        <f>IFERROR(F26/$W26,0)</f>
        <v>5.3000000000000005E-2</v>
      </c>
      <c r="G37" s="415">
        <f>IFERROR(G26/$W26,0)</f>
        <v>0.19600000000000001</v>
      </c>
      <c r="H37" s="415">
        <f>IFERROR(H26/$W26,0)</f>
        <v>0.32550000000000001</v>
      </c>
      <c r="I37" s="415">
        <f>IFERROR(I26/$W26,0)</f>
        <v>0.39900000000000002</v>
      </c>
      <c r="J37" s="414"/>
      <c r="K37" s="415"/>
      <c r="L37" s="415"/>
      <c r="M37" s="415"/>
      <c r="N37" s="416"/>
      <c r="O37" s="414"/>
      <c r="P37" s="415"/>
      <c r="Q37" s="415"/>
      <c r="R37" s="416"/>
      <c r="S37" s="414"/>
      <c r="T37" s="415"/>
      <c r="U37" s="254"/>
      <c r="V37" s="61"/>
      <c r="W37" s="113"/>
      <c r="X37" s="431"/>
      <c r="Y37" s="208"/>
      <c r="Z37" s="222"/>
    </row>
    <row r="38" spans="1:26" customFormat="1" ht="16.5" hidden="1" customHeight="1" outlineLevel="1">
      <c r="A38" s="2"/>
      <c r="B38" s="147"/>
      <c r="C38" s="454"/>
      <c r="D38" s="180" t="s">
        <v>347</v>
      </c>
      <c r="E38" s="414">
        <f>IFERROR(E27/$W26,0)</f>
        <v>0.05</v>
      </c>
      <c r="F38" s="415">
        <f>IFERROR(F27/$W26,0)</f>
        <v>0.1</v>
      </c>
      <c r="G38" s="415">
        <f>IFERROR(G27/$W26,0)</f>
        <v>0.2</v>
      </c>
      <c r="H38" s="415">
        <f>IFERROR(H27/$W26,0)</f>
        <v>0.3</v>
      </c>
      <c r="I38" s="415">
        <f>IFERROR(I27/$W26,0)</f>
        <v>0.35</v>
      </c>
      <c r="J38" s="414"/>
      <c r="K38" s="415"/>
      <c r="L38" s="415"/>
      <c r="M38" s="415"/>
      <c r="N38" s="416"/>
      <c r="O38" s="414"/>
      <c r="P38" s="415"/>
      <c r="Q38" s="415"/>
      <c r="R38" s="416"/>
      <c r="S38" s="414"/>
      <c r="T38" s="415"/>
      <c r="U38" s="254"/>
      <c r="V38" s="61"/>
      <c r="W38" s="113"/>
      <c r="X38" s="431"/>
      <c r="Y38" s="208"/>
      <c r="Z38" s="222"/>
    </row>
    <row r="39" spans="1:26" customFormat="1" ht="16.5" hidden="1" outlineLevel="1" thickBot="1">
      <c r="A39" s="2"/>
      <c r="B39" s="147"/>
      <c r="C39" s="455"/>
      <c r="D39" s="180" t="s">
        <v>348</v>
      </c>
      <c r="E39" s="414">
        <f>E38-E37</f>
        <v>2.3E-2</v>
      </c>
      <c r="F39" s="415">
        <f>F38-F37</f>
        <v>4.7E-2</v>
      </c>
      <c r="G39" s="415">
        <f>G38-G37</f>
        <v>4.0000000000000036E-3</v>
      </c>
      <c r="H39" s="415">
        <f>H38-H37</f>
        <v>-2.5500000000000023E-2</v>
      </c>
      <c r="I39" s="415">
        <f>I38-I37</f>
        <v>-4.9000000000000044E-2</v>
      </c>
      <c r="J39" s="414"/>
      <c r="K39" s="415"/>
      <c r="L39" s="415"/>
      <c r="M39" s="415"/>
      <c r="N39" s="416"/>
      <c r="O39" s="414"/>
      <c r="P39" s="415"/>
      <c r="Q39" s="415"/>
      <c r="R39" s="416"/>
      <c r="S39" s="432"/>
      <c r="T39" s="415"/>
      <c r="U39" s="254"/>
      <c r="V39" s="61"/>
      <c r="W39" s="113"/>
      <c r="X39" s="431"/>
      <c r="Y39" s="209"/>
      <c r="Z39" s="222"/>
    </row>
    <row r="40" spans="1:26" customFormat="1" collapsed="1">
      <c r="A40" s="2"/>
      <c r="B40" s="560" t="s">
        <v>362</v>
      </c>
      <c r="C40" s="453" t="str">
        <f>aurora_data!A350</f>
        <v>08.00.00-08.11.30</v>
      </c>
      <c r="D40" s="34" t="s">
        <v>306</v>
      </c>
      <c r="E40" s="39">
        <f>IFERROR(aurora_data!D350,0)</f>
        <v>0.55000000000000004</v>
      </c>
      <c r="F40" s="40">
        <f>IFERROR(aurora_data!E350,0)</f>
        <v>1.08</v>
      </c>
      <c r="G40" s="40">
        <f>IFERROR(aurora_data!F350,0)</f>
        <v>3.96</v>
      </c>
      <c r="H40" s="40">
        <f>IFERROR(aurora_data!G350,0)</f>
        <v>6.46</v>
      </c>
      <c r="I40" s="41">
        <f>IFERROR(aurora_data!H350,0)</f>
        <v>7.95</v>
      </c>
      <c r="J40" s="39">
        <f>IFERROR(aurora_data!I350,0)</f>
        <v>1</v>
      </c>
      <c r="K40" s="40">
        <f>IFERROR(aurora_data!J350,0)</f>
        <v>1</v>
      </c>
      <c r="L40" s="40">
        <f>IFERROR(aurora_data!K350,0)</f>
        <v>1</v>
      </c>
      <c r="M40" s="40">
        <f>IFERROR(aurora_data!L350,0)</f>
        <v>1</v>
      </c>
      <c r="N40" s="41">
        <f>IFERROR(aurora_data!M350,0)</f>
        <v>1</v>
      </c>
      <c r="O40" s="39">
        <f>IFERROR(aurora_data!N350,0)</f>
        <v>1</v>
      </c>
      <c r="P40" s="40">
        <f>IFERROR(aurora_data!O350,0)</f>
        <v>1</v>
      </c>
      <c r="Q40" s="40">
        <f>IFERROR(aurora_data!P350,0)</f>
        <v>1</v>
      </c>
      <c r="R40" s="41">
        <f>IFERROR(aurora_data!Q350,0)</f>
        <v>1</v>
      </c>
      <c r="S40" s="40">
        <f>IFERROR(aurora_data!R350,0)</f>
        <v>1</v>
      </c>
      <c r="T40" s="40">
        <f>IFERROR(aurora_data!S350,0)</f>
        <v>1</v>
      </c>
      <c r="U40" s="41">
        <f>IFERROR(aurora_data!T350,0)</f>
        <v>0</v>
      </c>
      <c r="V40" s="61"/>
      <c r="W40" s="39">
        <f>IFERROR(aurora_data!U350,0)</f>
        <v>20</v>
      </c>
      <c r="X40" s="69">
        <f t="shared" ref="X40:X48" si="2">IFERROR(W40/$W$40,0)</f>
        <v>1</v>
      </c>
      <c r="Y40" s="2"/>
      <c r="Z40" s="222"/>
    </row>
    <row r="41" spans="1:26" customFormat="1">
      <c r="A41" s="2"/>
      <c r="B41" s="561"/>
      <c r="C41" s="454"/>
      <c r="D41" s="35" t="s">
        <v>339</v>
      </c>
      <c r="E41" s="113">
        <f>IFERROR(aurora_data!D351,0)</f>
        <v>1</v>
      </c>
      <c r="F41" s="253">
        <f>IFERROR(aurora_data!E351,0)</f>
        <v>1</v>
      </c>
      <c r="G41" s="253">
        <f>IFERROR(aurora_data!F351,0)</f>
        <v>4</v>
      </c>
      <c r="H41" s="253">
        <f>IFERROR(aurora_data!G351,0)</f>
        <v>6</v>
      </c>
      <c r="I41" s="254">
        <f>IFERROR(aurora_data!H351,0)</f>
        <v>8</v>
      </c>
      <c r="J41" s="113">
        <f>IFERROR(aurora_data!I351,0)</f>
        <v>2</v>
      </c>
      <c r="K41" s="253">
        <f>IFERROR(aurora_data!J351,0)</f>
        <v>1</v>
      </c>
      <c r="L41" s="253">
        <f>IFERROR(aurora_data!K351,0)</f>
        <v>5</v>
      </c>
      <c r="M41" s="253">
        <f>IFERROR(aurora_data!L351,0)</f>
        <v>2</v>
      </c>
      <c r="N41" s="254">
        <f>IFERROR(aurora_data!M351,0)</f>
        <v>10</v>
      </c>
      <c r="O41" s="113">
        <f>IFERROR(aurora_data!N351,0)</f>
        <v>7</v>
      </c>
      <c r="P41" s="253">
        <f>IFERROR(aurora_data!O351,0)</f>
        <v>5</v>
      </c>
      <c r="Q41" s="253">
        <f>IFERROR(aurora_data!P351,0)</f>
        <v>4</v>
      </c>
      <c r="R41" s="254">
        <f>IFERROR(aurora_data!Q351,0)</f>
        <v>4</v>
      </c>
      <c r="S41" s="253">
        <f>IFERROR(aurora_data!R351,0)</f>
        <v>11</v>
      </c>
      <c r="T41" s="253">
        <f>IFERROR(aurora_data!S351,0)</f>
        <v>9</v>
      </c>
      <c r="U41" s="254">
        <f>IFERROR(aurora_data!T351,0)</f>
        <v>0</v>
      </c>
      <c r="V41" s="61"/>
      <c r="W41" s="113">
        <f>IFERROR(aurora_data!U351,0)</f>
        <v>20</v>
      </c>
      <c r="X41" s="255">
        <f t="shared" si="2"/>
        <v>1</v>
      </c>
      <c r="Y41" s="2"/>
      <c r="Z41" s="222"/>
    </row>
    <row r="42" spans="1:26" customFormat="1">
      <c r="A42" s="2"/>
      <c r="B42" s="561"/>
      <c r="C42" s="454"/>
      <c r="D42" s="35" t="s">
        <v>291</v>
      </c>
      <c r="E42" s="113">
        <f>IFERROR(aurora_data!D352,0)</f>
        <v>0</v>
      </c>
      <c r="F42" s="253">
        <f>IFERROR(aurora_data!E352,0)</f>
        <v>0</v>
      </c>
      <c r="G42" s="253">
        <f>IFERROR(aurora_data!F352,0)</f>
        <v>0</v>
      </c>
      <c r="H42" s="253">
        <f>IFERROR(aurora_data!G352,0)</f>
        <v>0</v>
      </c>
      <c r="I42" s="254">
        <f>IFERROR(aurora_data!H352,0)</f>
        <v>0</v>
      </c>
      <c r="J42" s="113">
        <f>IFERROR(aurora_data!I352,0)</f>
        <v>0</v>
      </c>
      <c r="K42" s="253">
        <f>IFERROR(aurora_data!J352,0)</f>
        <v>0</v>
      </c>
      <c r="L42" s="253">
        <f>IFERROR(aurora_data!K352,0)</f>
        <v>0</v>
      </c>
      <c r="M42" s="253">
        <f>IFERROR(aurora_data!L352,0)</f>
        <v>0</v>
      </c>
      <c r="N42" s="254">
        <f>IFERROR(aurora_data!M352,0)</f>
        <v>0</v>
      </c>
      <c r="O42" s="113">
        <f>IFERROR(aurora_data!N352,0)</f>
        <v>0</v>
      </c>
      <c r="P42" s="253">
        <f>IFERROR(aurora_data!O352,0)</f>
        <v>0</v>
      </c>
      <c r="Q42" s="253">
        <f>IFERROR(aurora_data!P352,0)</f>
        <v>0</v>
      </c>
      <c r="R42" s="254">
        <f>IFERROR(aurora_data!Q352,0)</f>
        <v>0</v>
      </c>
      <c r="S42" s="253">
        <f>IFERROR(aurora_data!R352,0)</f>
        <v>0</v>
      </c>
      <c r="T42" s="253">
        <f>IFERROR(aurora_data!S352,0)</f>
        <v>0</v>
      </c>
      <c r="U42" s="254">
        <f>IFERROR(aurora_data!T352,0)</f>
        <v>0</v>
      </c>
      <c r="V42" s="61"/>
      <c r="W42" s="113">
        <f>IFERROR(aurora_data!U352,0)</f>
        <v>0</v>
      </c>
      <c r="X42" s="255">
        <f t="shared" si="2"/>
        <v>0</v>
      </c>
      <c r="Y42" s="2"/>
      <c r="Z42" s="222"/>
    </row>
    <row r="43" spans="1:26" customFormat="1">
      <c r="A43" s="2"/>
      <c r="B43" s="561"/>
      <c r="C43" s="454"/>
      <c r="D43" s="35" t="s">
        <v>340</v>
      </c>
      <c r="E43" s="113">
        <f>IFERROR(aurora_data!D353,0)</f>
        <v>0</v>
      </c>
      <c r="F43" s="253">
        <f>IFERROR(aurora_data!E353,0)</f>
        <v>0</v>
      </c>
      <c r="G43" s="253">
        <f>IFERROR(aurora_data!F353,0)</f>
        <v>0</v>
      </c>
      <c r="H43" s="253">
        <f>IFERROR(aurora_data!G353,0)</f>
        <v>0</v>
      </c>
      <c r="I43" s="254">
        <f>IFERROR(aurora_data!H353,0)</f>
        <v>0</v>
      </c>
      <c r="J43" s="113">
        <f>IFERROR(aurora_data!I353,0)</f>
        <v>0</v>
      </c>
      <c r="K43" s="253">
        <f>IFERROR(aurora_data!J353,0)</f>
        <v>0</v>
      </c>
      <c r="L43" s="253">
        <f>IFERROR(aurora_data!K353,0)</f>
        <v>0</v>
      </c>
      <c r="M43" s="253">
        <f>IFERROR(aurora_data!L353,0)</f>
        <v>0</v>
      </c>
      <c r="N43" s="254">
        <f>IFERROR(aurora_data!M353,0)</f>
        <v>0</v>
      </c>
      <c r="O43" s="113">
        <f>IFERROR(aurora_data!N353,0)</f>
        <v>0</v>
      </c>
      <c r="P43" s="253">
        <f>IFERROR(aurora_data!O353,0)</f>
        <v>0</v>
      </c>
      <c r="Q43" s="253">
        <f>IFERROR(aurora_data!P353,0)</f>
        <v>0</v>
      </c>
      <c r="R43" s="254">
        <f>IFERROR(aurora_data!Q353,0)</f>
        <v>0</v>
      </c>
      <c r="S43" s="253">
        <f>IFERROR(aurora_data!R353,0)</f>
        <v>0</v>
      </c>
      <c r="T43" s="253">
        <f>IFERROR(aurora_data!S353,0)</f>
        <v>0</v>
      </c>
      <c r="U43" s="254">
        <f>IFERROR(aurora_data!T353,0)</f>
        <v>0</v>
      </c>
      <c r="V43" s="61"/>
      <c r="W43" s="113">
        <f>IFERROR(aurora_data!U353,0)</f>
        <v>0</v>
      </c>
      <c r="X43" s="255">
        <f t="shared" si="2"/>
        <v>0</v>
      </c>
      <c r="Y43" s="2"/>
      <c r="Z43" s="222"/>
    </row>
    <row r="44" spans="1:26" customFormat="1">
      <c r="A44" s="2"/>
      <c r="B44" s="561"/>
      <c r="C44" s="454"/>
      <c r="D44" s="35" t="s">
        <v>298</v>
      </c>
      <c r="E44" s="113">
        <f>IFERROR(aurora_data!D354,0)</f>
        <v>0</v>
      </c>
      <c r="F44" s="253">
        <f>IFERROR(aurora_data!E354,0)</f>
        <v>0</v>
      </c>
      <c r="G44" s="253">
        <f>IFERROR(aurora_data!F354,0)</f>
        <v>0</v>
      </c>
      <c r="H44" s="253">
        <f>IFERROR(aurora_data!G354,0)</f>
        <v>0</v>
      </c>
      <c r="I44" s="254">
        <f>IFERROR(aurora_data!H354,0)</f>
        <v>0</v>
      </c>
      <c r="J44" s="113">
        <f>IFERROR(aurora_data!I354,0)</f>
        <v>0</v>
      </c>
      <c r="K44" s="253">
        <f>IFERROR(aurora_data!J354,0)</f>
        <v>0</v>
      </c>
      <c r="L44" s="253">
        <f>IFERROR(aurora_data!K354,0)</f>
        <v>0</v>
      </c>
      <c r="M44" s="253">
        <f>IFERROR(aurora_data!L354,0)</f>
        <v>0</v>
      </c>
      <c r="N44" s="254">
        <f>IFERROR(aurora_data!M354,0)</f>
        <v>0</v>
      </c>
      <c r="O44" s="113">
        <f>IFERROR(aurora_data!N354,0)</f>
        <v>0</v>
      </c>
      <c r="P44" s="253">
        <f>IFERROR(aurora_data!O354,0)</f>
        <v>0</v>
      </c>
      <c r="Q44" s="253">
        <f>IFERROR(aurora_data!P354,0)</f>
        <v>0</v>
      </c>
      <c r="R44" s="254">
        <f>IFERROR(aurora_data!Q354,0)</f>
        <v>0</v>
      </c>
      <c r="S44" s="253">
        <f>IFERROR(aurora_data!R354,0)</f>
        <v>0</v>
      </c>
      <c r="T44" s="253">
        <f>IFERROR(aurora_data!S354,0)</f>
        <v>0</v>
      </c>
      <c r="U44" s="254">
        <f>IFERROR(aurora_data!T354,0)</f>
        <v>0</v>
      </c>
      <c r="V44" s="61"/>
      <c r="W44" s="113">
        <f>IFERROR(aurora_data!U354,0)</f>
        <v>0</v>
      </c>
      <c r="X44" s="255">
        <f t="shared" si="2"/>
        <v>0</v>
      </c>
      <c r="Y44" s="2"/>
      <c r="Z44" s="222"/>
    </row>
    <row r="45" spans="1:26" customFormat="1">
      <c r="A45" s="2"/>
      <c r="B45" s="561"/>
      <c r="C45" s="454"/>
      <c r="D45" s="35" t="s">
        <v>341</v>
      </c>
      <c r="E45" s="113">
        <f>IFERROR(aurora_data!D355,0)</f>
        <v>0</v>
      </c>
      <c r="F45" s="253">
        <f>IFERROR(aurora_data!E355,0)</f>
        <v>0</v>
      </c>
      <c r="G45" s="253">
        <f>IFERROR(aurora_data!F355,0)</f>
        <v>0</v>
      </c>
      <c r="H45" s="253">
        <f>IFERROR(aurora_data!G355,0)</f>
        <v>0</v>
      </c>
      <c r="I45" s="254">
        <f>IFERROR(aurora_data!H355,0)</f>
        <v>0</v>
      </c>
      <c r="J45" s="113">
        <f>IFERROR(aurora_data!I355,0)</f>
        <v>0</v>
      </c>
      <c r="K45" s="253">
        <f>IFERROR(aurora_data!J355,0)</f>
        <v>0</v>
      </c>
      <c r="L45" s="253">
        <f>IFERROR(aurora_data!K355,0)</f>
        <v>0</v>
      </c>
      <c r="M45" s="253">
        <f>IFERROR(aurora_data!L355,0)</f>
        <v>0</v>
      </c>
      <c r="N45" s="254">
        <f>IFERROR(aurora_data!M355,0)</f>
        <v>0</v>
      </c>
      <c r="O45" s="113">
        <f>IFERROR(aurora_data!N355,0)</f>
        <v>0</v>
      </c>
      <c r="P45" s="253">
        <f>IFERROR(aurora_data!O355,0)</f>
        <v>0</v>
      </c>
      <c r="Q45" s="253">
        <f>IFERROR(aurora_data!P355,0)</f>
        <v>0</v>
      </c>
      <c r="R45" s="254">
        <f>IFERROR(aurora_data!Q355,0)</f>
        <v>0</v>
      </c>
      <c r="S45" s="253">
        <f>IFERROR(aurora_data!R355,0)</f>
        <v>0</v>
      </c>
      <c r="T45" s="253">
        <f>IFERROR(aurora_data!S355,0)</f>
        <v>0</v>
      </c>
      <c r="U45" s="254">
        <f>IFERROR(aurora_data!T355,0)</f>
        <v>0</v>
      </c>
      <c r="V45" s="61"/>
      <c r="W45" s="113">
        <f>IFERROR(aurora_data!U355,0)</f>
        <v>0</v>
      </c>
      <c r="X45" s="255">
        <f t="shared" si="2"/>
        <v>0</v>
      </c>
      <c r="Y45" s="2"/>
      <c r="Z45" s="222"/>
    </row>
    <row r="46" spans="1:26" customFormat="1" ht="16.5" thickBot="1">
      <c r="A46" s="2"/>
      <c r="B46" s="561"/>
      <c r="C46" s="454"/>
      <c r="D46" s="35" t="s">
        <v>342</v>
      </c>
      <c r="E46" s="113">
        <f>IFERROR(aurora_data!D356,0)</f>
        <v>0</v>
      </c>
      <c r="F46" s="253">
        <f>IFERROR(aurora_data!E356,0)</f>
        <v>0</v>
      </c>
      <c r="G46" s="253">
        <f>IFERROR(aurora_data!F356,0)</f>
        <v>0</v>
      </c>
      <c r="H46" s="253">
        <f>IFERROR(aurora_data!G356,0)</f>
        <v>0</v>
      </c>
      <c r="I46" s="254">
        <f>IFERROR(aurora_data!H356,0)</f>
        <v>0</v>
      </c>
      <c r="J46" s="113">
        <f>IFERROR(aurora_data!I356,0)</f>
        <v>0</v>
      </c>
      <c r="K46" s="253">
        <f>IFERROR(aurora_data!J356,0)</f>
        <v>0</v>
      </c>
      <c r="L46" s="253">
        <f>IFERROR(aurora_data!K356,0)</f>
        <v>0</v>
      </c>
      <c r="M46" s="253">
        <f>IFERROR(aurora_data!L356,0)</f>
        <v>0</v>
      </c>
      <c r="N46" s="254">
        <f>IFERROR(aurora_data!M356,0)</f>
        <v>0</v>
      </c>
      <c r="O46" s="113">
        <f>IFERROR(aurora_data!N356,0)</f>
        <v>0</v>
      </c>
      <c r="P46" s="253">
        <f>IFERROR(aurora_data!O356,0)</f>
        <v>0</v>
      </c>
      <c r="Q46" s="253">
        <f>IFERROR(aurora_data!P356,0)</f>
        <v>0</v>
      </c>
      <c r="R46" s="254">
        <f>IFERROR(aurora_data!Q356,0)</f>
        <v>0</v>
      </c>
      <c r="S46" s="253">
        <f>IFERROR(aurora_data!R356,0)</f>
        <v>0</v>
      </c>
      <c r="T46" s="253">
        <f>IFERROR(aurora_data!S356,0)</f>
        <v>0</v>
      </c>
      <c r="U46" s="254">
        <f>IFERROR(aurora_data!T356,0)</f>
        <v>0</v>
      </c>
      <c r="V46" s="61"/>
      <c r="W46" s="113">
        <f>IFERROR(aurora_data!U356,0)</f>
        <v>0</v>
      </c>
      <c r="X46" s="255">
        <f t="shared" si="2"/>
        <v>0</v>
      </c>
      <c r="Y46" s="2"/>
      <c r="Z46" s="222"/>
    </row>
    <row r="47" spans="1:26" customFormat="1" ht="16.5" thickBot="1">
      <c r="A47" s="2"/>
      <c r="B47" s="561"/>
      <c r="C47" s="454"/>
      <c r="D47" s="37" t="s">
        <v>17</v>
      </c>
      <c r="E47" s="59">
        <f>IFERROR(aurora_data!D357,0)</f>
        <v>1</v>
      </c>
      <c r="F47" s="64">
        <f>IFERROR(aurora_data!E357,0)</f>
        <v>1</v>
      </c>
      <c r="G47" s="64">
        <f>IFERROR(aurora_data!F357,0)</f>
        <v>4</v>
      </c>
      <c r="H47" s="64">
        <f>IFERROR(aurora_data!G357,0)</f>
        <v>6</v>
      </c>
      <c r="I47" s="65">
        <f>IFERROR(aurora_data!H357,0)</f>
        <v>8</v>
      </c>
      <c r="J47" s="59">
        <f>IFERROR(aurora_data!I357,0)</f>
        <v>2</v>
      </c>
      <c r="K47" s="64">
        <f>IFERROR(aurora_data!J357,0)</f>
        <v>1</v>
      </c>
      <c r="L47" s="64">
        <f>IFERROR(aurora_data!K357,0)</f>
        <v>5</v>
      </c>
      <c r="M47" s="64">
        <f>IFERROR(aurora_data!L357,0)</f>
        <v>2</v>
      </c>
      <c r="N47" s="65">
        <f>IFERROR(aurora_data!M357,0)</f>
        <v>10</v>
      </c>
      <c r="O47" s="59">
        <f>IFERROR(aurora_data!N357,0)</f>
        <v>7</v>
      </c>
      <c r="P47" s="64">
        <f>IFERROR(aurora_data!O357,0)</f>
        <v>5</v>
      </c>
      <c r="Q47" s="64">
        <f>IFERROR(aurora_data!P357,0)</f>
        <v>4</v>
      </c>
      <c r="R47" s="65">
        <f>IFERROR(aurora_data!Q357,0)</f>
        <v>4</v>
      </c>
      <c r="S47" s="64">
        <f>IFERROR(aurora_data!R357,0)</f>
        <v>11</v>
      </c>
      <c r="T47" s="64">
        <f>IFERROR(aurora_data!S357,0)</f>
        <v>9</v>
      </c>
      <c r="U47" s="65">
        <f>IFERROR(aurora_data!T357,0)</f>
        <v>0</v>
      </c>
      <c r="V47" s="66"/>
      <c r="W47" s="59">
        <f>IFERROR(aurora_data!U357,0)</f>
        <v>20</v>
      </c>
      <c r="X47" s="70">
        <f t="shared" si="2"/>
        <v>1</v>
      </c>
      <c r="Y47" s="2"/>
      <c r="Z47" s="222"/>
    </row>
    <row r="48" spans="1:26" customFormat="1" ht="16.5" thickBot="1">
      <c r="A48" s="2"/>
      <c r="B48" s="561"/>
      <c r="C48" s="454"/>
      <c r="D48" s="38" t="s">
        <v>343</v>
      </c>
      <c r="E48" s="256">
        <f>IFERROR(aurora_data!D358,0)</f>
        <v>0</v>
      </c>
      <c r="F48" s="257">
        <f>IFERROR(aurora_data!E358,0)</f>
        <v>0</v>
      </c>
      <c r="G48" s="257">
        <f>IFERROR(aurora_data!F358,0)</f>
        <v>0</v>
      </c>
      <c r="H48" s="257">
        <f>IFERROR(aurora_data!G358,0)</f>
        <v>0</v>
      </c>
      <c r="I48" s="258">
        <f>IFERROR(aurora_data!H358,0)</f>
        <v>0</v>
      </c>
      <c r="J48" s="256">
        <f>IFERROR(aurora_data!I358,0)</f>
        <v>0</v>
      </c>
      <c r="K48" s="257">
        <f>IFERROR(aurora_data!J358,0)</f>
        <v>0</v>
      </c>
      <c r="L48" s="257">
        <f>IFERROR(aurora_data!K358,0)</f>
        <v>0</v>
      </c>
      <c r="M48" s="257">
        <f>IFERROR(aurora_data!L358,0)</f>
        <v>0</v>
      </c>
      <c r="N48" s="258">
        <f>IFERROR(aurora_data!M358,0)</f>
        <v>0</v>
      </c>
      <c r="O48" s="256">
        <f>IFERROR(aurora_data!N358,0)</f>
        <v>0</v>
      </c>
      <c r="P48" s="257">
        <f>IFERROR(aurora_data!O358,0)</f>
        <v>0</v>
      </c>
      <c r="Q48" s="257">
        <f>IFERROR(aurora_data!P358,0)</f>
        <v>0</v>
      </c>
      <c r="R48" s="258">
        <f>IFERROR(aurora_data!Q358,0)</f>
        <v>0</v>
      </c>
      <c r="S48" s="257">
        <f>IFERROR(aurora_data!R358,0)</f>
        <v>0</v>
      </c>
      <c r="T48" s="257">
        <f>IFERROR(aurora_data!S358,0)</f>
        <v>0</v>
      </c>
      <c r="U48" s="259">
        <f>IFERROR(aurora_data!T358,0)</f>
        <v>0</v>
      </c>
      <c r="V48" s="260"/>
      <c r="W48" s="256">
        <f>IFERROR(aurora_data!U358,0)</f>
        <v>0</v>
      </c>
      <c r="X48" s="261">
        <f t="shared" si="2"/>
        <v>0</v>
      </c>
      <c r="Y48" s="2"/>
      <c r="Z48" s="222"/>
    </row>
    <row r="49" spans="1:26" customFormat="1" hidden="1" outlineLevel="1">
      <c r="A49" s="2"/>
      <c r="B49" s="147"/>
      <c r="C49" s="454"/>
      <c r="D49" s="199" t="s">
        <v>344</v>
      </c>
      <c r="E49" s="271">
        <f>ROUNDDOWN((E51+$E$9)*($W40),0)</f>
        <v>4</v>
      </c>
      <c r="F49" s="272">
        <f>ROUNDDOWN((F51+$E$9)*($W40),0)</f>
        <v>5</v>
      </c>
      <c r="G49" s="272">
        <f>ROUNDDOWN((G51+$E$9)*($W40),0)</f>
        <v>7</v>
      </c>
      <c r="H49" s="272">
        <f>ROUNDDOWN((H51+$E$9)*($W40),0)</f>
        <v>10</v>
      </c>
      <c r="I49" s="272">
        <f>ROUNDDOWN((I51+$E$9)*($W40),0)</f>
        <v>11</v>
      </c>
      <c r="J49" s="271"/>
      <c r="K49" s="272"/>
      <c r="L49" s="272"/>
      <c r="M49" s="272"/>
      <c r="N49" s="268"/>
      <c r="O49" s="271"/>
      <c r="P49" s="272"/>
      <c r="Q49" s="272"/>
      <c r="R49" s="268"/>
      <c r="S49" s="265"/>
      <c r="T49" s="272"/>
      <c r="U49" s="282"/>
      <c r="V49" s="61"/>
      <c r="W49" s="291"/>
      <c r="X49" s="286"/>
      <c r="Y49" s="206"/>
      <c r="Z49" s="222"/>
    </row>
    <row r="50" spans="1:26" customFormat="1" ht="16.5" hidden="1" customHeight="1" outlineLevel="1">
      <c r="A50" s="2"/>
      <c r="B50" s="147"/>
      <c r="C50" s="454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1</v>
      </c>
      <c r="G50" s="277">
        <f>IF(ROUND(((G51-$E$9)*($W40))+0.25,0) &lt;=0,1,((G51-$E$9)*($W40))+0.25)</f>
        <v>1</v>
      </c>
      <c r="H50" s="277">
        <f>IF(ROUND(((H51-$E$9)*($W40))+0.25,0) &lt;=0,1,((H51-$E$9)*($W40))+0.25)</f>
        <v>2.71</v>
      </c>
      <c r="I50" s="277">
        <f>IF(ROUND(((I51-$E$9)*($W40))+0.25,0) &lt;=0,1,((I51-$E$9)*($W40))+0.25)</f>
        <v>4.2</v>
      </c>
      <c r="J50" s="276"/>
      <c r="K50" s="277"/>
      <c r="L50" s="277"/>
      <c r="M50" s="277"/>
      <c r="N50" s="278"/>
      <c r="O50" s="276"/>
      <c r="P50" s="277"/>
      <c r="Q50" s="277"/>
      <c r="R50" s="278"/>
      <c r="S50" s="276"/>
      <c r="T50" s="277"/>
      <c r="U50" s="287"/>
      <c r="V50" s="61"/>
      <c r="W50" s="285"/>
      <c r="X50" s="287"/>
      <c r="Y50" s="207"/>
      <c r="Z50" s="222"/>
    </row>
    <row r="51" spans="1:26" customFormat="1" ht="16.5" hidden="1" customHeight="1" outlineLevel="1">
      <c r="A51" s="2"/>
      <c r="B51" s="147"/>
      <c r="C51" s="454"/>
      <c r="D51" s="95" t="s">
        <v>346</v>
      </c>
      <c r="E51" s="414">
        <f>IFERROR(E40/$W40,0)</f>
        <v>2.7500000000000004E-2</v>
      </c>
      <c r="F51" s="415">
        <f>IFERROR(F40/$W40,0)</f>
        <v>5.4000000000000006E-2</v>
      </c>
      <c r="G51" s="415">
        <f>IFERROR(G40/$W40,0)</f>
        <v>0.19800000000000001</v>
      </c>
      <c r="H51" s="415">
        <f>IFERROR(H40/$W40,0)</f>
        <v>0.32300000000000001</v>
      </c>
      <c r="I51" s="415">
        <f>IFERROR(I40/$W40,0)</f>
        <v>0.39750000000000002</v>
      </c>
      <c r="J51" s="414"/>
      <c r="K51" s="415"/>
      <c r="L51" s="415"/>
      <c r="M51" s="415"/>
      <c r="N51" s="416"/>
      <c r="O51" s="414"/>
      <c r="P51" s="415"/>
      <c r="Q51" s="415"/>
      <c r="R51" s="416"/>
      <c r="S51" s="414"/>
      <c r="T51" s="415"/>
      <c r="U51" s="254"/>
      <c r="V51" s="61"/>
      <c r="W51" s="113"/>
      <c r="X51" s="431"/>
      <c r="Y51" s="208"/>
      <c r="Z51" s="222"/>
    </row>
    <row r="52" spans="1:26" customFormat="1" ht="16.5" hidden="1" customHeight="1" outlineLevel="1">
      <c r="A52" s="2"/>
      <c r="B52" s="147"/>
      <c r="C52" s="454"/>
      <c r="D52" s="180" t="s">
        <v>347</v>
      </c>
      <c r="E52" s="414">
        <f>IFERROR(E41/$W40,0)</f>
        <v>0.05</v>
      </c>
      <c r="F52" s="415">
        <f>IFERROR(F41/$W40,0)</f>
        <v>0.05</v>
      </c>
      <c r="G52" s="415">
        <f>IFERROR(G41/$W40,0)</f>
        <v>0.2</v>
      </c>
      <c r="H52" s="415">
        <f>IFERROR(H41/$W40,0)</f>
        <v>0.3</v>
      </c>
      <c r="I52" s="415">
        <f>IFERROR(I41/$W40,0)</f>
        <v>0.4</v>
      </c>
      <c r="J52" s="414"/>
      <c r="K52" s="415"/>
      <c r="L52" s="415"/>
      <c r="M52" s="415"/>
      <c r="N52" s="416"/>
      <c r="O52" s="414"/>
      <c r="P52" s="415"/>
      <c r="Q52" s="415"/>
      <c r="R52" s="416"/>
      <c r="S52" s="414"/>
      <c r="T52" s="415"/>
      <c r="U52" s="254"/>
      <c r="V52" s="61"/>
      <c r="W52" s="113"/>
      <c r="X52" s="431"/>
      <c r="Y52" s="208"/>
      <c r="Z52" s="222"/>
    </row>
    <row r="53" spans="1:26" customFormat="1" ht="16.5" hidden="1" outlineLevel="1" thickBot="1">
      <c r="A53" s="2"/>
      <c r="B53" s="147"/>
      <c r="C53" s="455"/>
      <c r="D53" s="180" t="s">
        <v>348</v>
      </c>
      <c r="E53" s="414">
        <f>E52-E51</f>
        <v>2.2499999999999999E-2</v>
      </c>
      <c r="F53" s="415">
        <f>F52-F51</f>
        <v>-4.0000000000000036E-3</v>
      </c>
      <c r="G53" s="415">
        <f>G52-G51</f>
        <v>2.0000000000000018E-3</v>
      </c>
      <c r="H53" s="415">
        <f>H52-H51</f>
        <v>-2.300000000000002E-2</v>
      </c>
      <c r="I53" s="415">
        <f>I52-I51</f>
        <v>2.5000000000000022E-3</v>
      </c>
      <c r="J53" s="414"/>
      <c r="K53" s="415"/>
      <c r="L53" s="415"/>
      <c r="M53" s="415"/>
      <c r="N53" s="416"/>
      <c r="O53" s="414"/>
      <c r="P53" s="415"/>
      <c r="Q53" s="415"/>
      <c r="R53" s="416"/>
      <c r="S53" s="432"/>
      <c r="T53" s="415"/>
      <c r="U53" s="254"/>
      <c r="V53" s="61"/>
      <c r="W53" s="113"/>
      <c r="X53" s="431"/>
      <c r="Y53" s="209"/>
      <c r="Z53" s="222"/>
    </row>
    <row r="54" spans="1:26" customFormat="1" collapsed="1">
      <c r="A54" s="2"/>
      <c r="B54" s="560" t="s">
        <v>362</v>
      </c>
      <c r="C54" s="453" t="str">
        <f>aurora_data!A359</f>
        <v>09.00.00-09.11.30</v>
      </c>
      <c r="D54" s="34" t="s">
        <v>306</v>
      </c>
      <c r="E54" s="39">
        <f>IFERROR(aurora_data!D359,0)</f>
        <v>0.55000000000000004</v>
      </c>
      <c r="F54" s="40">
        <f>IFERROR(aurora_data!E359,0)</f>
        <v>1.1100000000000001</v>
      </c>
      <c r="G54" s="40">
        <f>IFERROR(aurora_data!F359,0)</f>
        <v>4.03</v>
      </c>
      <c r="H54" s="40">
        <f>IFERROR(aurora_data!G359,0)</f>
        <v>6.39</v>
      </c>
      <c r="I54" s="41">
        <f>IFERROR(aurora_data!H359,0)</f>
        <v>7.92</v>
      </c>
      <c r="J54" s="39">
        <f>IFERROR(aurora_data!I359,0)</f>
        <v>1</v>
      </c>
      <c r="K54" s="40">
        <f>IFERROR(aurora_data!J359,0)</f>
        <v>1</v>
      </c>
      <c r="L54" s="40">
        <f>IFERROR(aurora_data!K359,0)</f>
        <v>1</v>
      </c>
      <c r="M54" s="40">
        <f>IFERROR(aurora_data!L359,0)</f>
        <v>1</v>
      </c>
      <c r="N54" s="41">
        <f>IFERROR(aurora_data!M359,0)</f>
        <v>1</v>
      </c>
      <c r="O54" s="39">
        <f>IFERROR(aurora_data!N359,0)</f>
        <v>1</v>
      </c>
      <c r="P54" s="40">
        <f>IFERROR(aurora_data!O359,0)</f>
        <v>1</v>
      </c>
      <c r="Q54" s="40">
        <f>IFERROR(aurora_data!P359,0)</f>
        <v>1</v>
      </c>
      <c r="R54" s="41">
        <f>IFERROR(aurora_data!Q359,0)</f>
        <v>1</v>
      </c>
      <c r="S54" s="40">
        <f>IFERROR(aurora_data!R359,0)</f>
        <v>1</v>
      </c>
      <c r="T54" s="40">
        <f>IFERROR(aurora_data!S359,0)</f>
        <v>1</v>
      </c>
      <c r="U54" s="41">
        <f>IFERROR(aurora_data!T359,0)</f>
        <v>0</v>
      </c>
      <c r="V54" s="61" t="s">
        <v>354</v>
      </c>
      <c r="W54" s="39">
        <f>IFERROR(aurora_data!U359,0)</f>
        <v>20</v>
      </c>
      <c r="X54" s="69">
        <f t="shared" ref="X54:X62" si="3">IFERROR(W54/$W$54,0)</f>
        <v>1</v>
      </c>
      <c r="Y54" s="2"/>
      <c r="Z54" s="222"/>
    </row>
    <row r="55" spans="1:26" customFormat="1" ht="16.5" customHeight="1">
      <c r="A55" s="2"/>
      <c r="B55" s="561"/>
      <c r="C55" s="454"/>
      <c r="D55" s="35" t="s">
        <v>339</v>
      </c>
      <c r="E55" s="113">
        <f>IFERROR(aurora_data!D360,0)</f>
        <v>1</v>
      </c>
      <c r="F55" s="253">
        <f>IFERROR(aurora_data!E360,0)</f>
        <v>1</v>
      </c>
      <c r="G55" s="253">
        <f>IFERROR(aurora_data!F360,0)</f>
        <v>4</v>
      </c>
      <c r="H55" s="253">
        <f>IFERROR(aurora_data!G360,0)</f>
        <v>7</v>
      </c>
      <c r="I55" s="254">
        <f>IFERROR(aurora_data!H360,0)</f>
        <v>7</v>
      </c>
      <c r="J55" s="113">
        <f>IFERROR(aurora_data!I360,0)</f>
        <v>3</v>
      </c>
      <c r="K55" s="253">
        <f>IFERROR(aurora_data!J360,0)</f>
        <v>2</v>
      </c>
      <c r="L55" s="253">
        <f>IFERROR(aurora_data!K360,0)</f>
        <v>5</v>
      </c>
      <c r="M55" s="253">
        <f>IFERROR(aurora_data!L360,0)</f>
        <v>1</v>
      </c>
      <c r="N55" s="254">
        <f>IFERROR(aurora_data!M360,0)</f>
        <v>9</v>
      </c>
      <c r="O55" s="113">
        <f>IFERROR(aurora_data!N360,0)</f>
        <v>5</v>
      </c>
      <c r="P55" s="253">
        <f>IFERROR(aurora_data!O360,0)</f>
        <v>2</v>
      </c>
      <c r="Q55" s="253">
        <f>IFERROR(aurora_data!P360,0)</f>
        <v>8</v>
      </c>
      <c r="R55" s="254">
        <f>IFERROR(aurora_data!Q360,0)</f>
        <v>5</v>
      </c>
      <c r="S55" s="253">
        <f>IFERROR(aurora_data!R360,0)</f>
        <v>11</v>
      </c>
      <c r="T55" s="253">
        <f>IFERROR(aurora_data!S360,0)</f>
        <v>9</v>
      </c>
      <c r="U55" s="254">
        <f>IFERROR(aurora_data!T360,0)</f>
        <v>0</v>
      </c>
      <c r="V55" s="61" t="s">
        <v>354</v>
      </c>
      <c r="W55" s="113">
        <f>IFERROR(aurora_data!U360,0)</f>
        <v>20</v>
      </c>
      <c r="X55" s="255">
        <f t="shared" si="3"/>
        <v>1</v>
      </c>
      <c r="Y55" s="2"/>
      <c r="Z55" s="222"/>
    </row>
    <row r="56" spans="1:26" customFormat="1" ht="16.5" customHeight="1">
      <c r="A56" s="2"/>
      <c r="B56" s="561"/>
      <c r="C56" s="454"/>
      <c r="D56" s="35" t="s">
        <v>291</v>
      </c>
      <c r="E56" s="113">
        <f>IFERROR(aurora_data!D361,0)</f>
        <v>1</v>
      </c>
      <c r="F56" s="253">
        <f>IFERROR(aurora_data!E361,0)</f>
        <v>0</v>
      </c>
      <c r="G56" s="253">
        <f>IFERROR(aurora_data!F361,0)</f>
        <v>0</v>
      </c>
      <c r="H56" s="253">
        <f>IFERROR(aurora_data!G361,0)</f>
        <v>0</v>
      </c>
      <c r="I56" s="254">
        <f>IFERROR(aurora_data!H361,0)</f>
        <v>2</v>
      </c>
      <c r="J56" s="113">
        <f>IFERROR(aurora_data!I361,0)</f>
        <v>1</v>
      </c>
      <c r="K56" s="253">
        <f>IFERROR(aurora_data!J361,0)</f>
        <v>0</v>
      </c>
      <c r="L56" s="253">
        <f>IFERROR(aurora_data!K361,0)</f>
        <v>0</v>
      </c>
      <c r="M56" s="253">
        <f>IFERROR(aurora_data!L361,0)</f>
        <v>0</v>
      </c>
      <c r="N56" s="254">
        <f>IFERROR(aurora_data!M361,0)</f>
        <v>2</v>
      </c>
      <c r="O56" s="113">
        <f>IFERROR(aurora_data!N361,0)</f>
        <v>0</v>
      </c>
      <c r="P56" s="253">
        <f>IFERROR(aurora_data!O361,0)</f>
        <v>0</v>
      </c>
      <c r="Q56" s="253">
        <f>IFERROR(aurora_data!P361,0)</f>
        <v>2</v>
      </c>
      <c r="R56" s="254">
        <f>IFERROR(aurora_data!Q361,0)</f>
        <v>1</v>
      </c>
      <c r="S56" s="253">
        <f>IFERROR(aurora_data!R361,0)</f>
        <v>2</v>
      </c>
      <c r="T56" s="253">
        <f>IFERROR(aurora_data!S361,0)</f>
        <v>1</v>
      </c>
      <c r="U56" s="254">
        <f>IFERROR(aurora_data!T361,0)</f>
        <v>0</v>
      </c>
      <c r="V56" s="61" t="s">
        <v>354</v>
      </c>
      <c r="W56" s="113">
        <f>IFERROR(aurora_data!U361,0)</f>
        <v>3</v>
      </c>
      <c r="X56" s="255">
        <f t="shared" si="3"/>
        <v>0.15</v>
      </c>
      <c r="Y56" s="2"/>
      <c r="Z56" s="222"/>
    </row>
    <row r="57" spans="1:26" customFormat="1">
      <c r="A57" s="2"/>
      <c r="B57" s="561"/>
      <c r="C57" s="454"/>
      <c r="D57" s="35" t="s">
        <v>340</v>
      </c>
      <c r="E57" s="113">
        <f>IFERROR(aurora_data!D362,0)</f>
        <v>0</v>
      </c>
      <c r="F57" s="253">
        <f>IFERROR(aurora_data!E362,0)</f>
        <v>0</v>
      </c>
      <c r="G57" s="253">
        <f>IFERROR(aurora_data!F362,0)</f>
        <v>0</v>
      </c>
      <c r="H57" s="253">
        <f>IFERROR(aurora_data!G362,0)</f>
        <v>0</v>
      </c>
      <c r="I57" s="254">
        <f>IFERROR(aurora_data!H362,0)</f>
        <v>0</v>
      </c>
      <c r="J57" s="113">
        <f>IFERROR(aurora_data!I362,0)</f>
        <v>0</v>
      </c>
      <c r="K57" s="253">
        <f>IFERROR(aurora_data!J362,0)</f>
        <v>0</v>
      </c>
      <c r="L57" s="253">
        <f>IFERROR(aurora_data!K362,0)</f>
        <v>0</v>
      </c>
      <c r="M57" s="253">
        <f>IFERROR(aurora_data!L362,0)</f>
        <v>0</v>
      </c>
      <c r="N57" s="254">
        <f>IFERROR(aurora_data!M362,0)</f>
        <v>0</v>
      </c>
      <c r="O57" s="113">
        <f>IFERROR(aurora_data!N362,0)</f>
        <v>0</v>
      </c>
      <c r="P57" s="253">
        <f>IFERROR(aurora_data!O362,0)</f>
        <v>0</v>
      </c>
      <c r="Q57" s="253">
        <f>IFERROR(aurora_data!P362,0)</f>
        <v>0</v>
      </c>
      <c r="R57" s="254">
        <f>IFERROR(aurora_data!Q362,0)</f>
        <v>0</v>
      </c>
      <c r="S57" s="253">
        <f>IFERROR(aurora_data!R362,0)</f>
        <v>0</v>
      </c>
      <c r="T57" s="253">
        <f>IFERROR(aurora_data!S362,0)</f>
        <v>0</v>
      </c>
      <c r="U57" s="254">
        <f>IFERROR(aurora_data!T362,0)</f>
        <v>0</v>
      </c>
      <c r="V57" s="61" t="s">
        <v>354</v>
      </c>
      <c r="W57" s="113">
        <f>IFERROR(aurora_data!U362,0)</f>
        <v>0</v>
      </c>
      <c r="X57" s="255">
        <f t="shared" si="3"/>
        <v>0</v>
      </c>
      <c r="Y57" s="2"/>
      <c r="Z57" s="222"/>
    </row>
    <row r="58" spans="1:26" customFormat="1">
      <c r="A58" s="2"/>
      <c r="B58" s="561"/>
      <c r="C58" s="454"/>
      <c r="D58" s="35" t="s">
        <v>298</v>
      </c>
      <c r="E58" s="113">
        <f>IFERROR(aurora_data!D363,0)</f>
        <v>0</v>
      </c>
      <c r="F58" s="253">
        <f>IFERROR(aurora_data!E363,0)</f>
        <v>0</v>
      </c>
      <c r="G58" s="253">
        <f>IFERROR(aurora_data!F363,0)</f>
        <v>0</v>
      </c>
      <c r="H58" s="253">
        <f>IFERROR(aurora_data!G363,0)</f>
        <v>0</v>
      </c>
      <c r="I58" s="254">
        <f>IFERROR(aurora_data!H363,0)</f>
        <v>0</v>
      </c>
      <c r="J58" s="113">
        <f>IFERROR(aurora_data!I363,0)</f>
        <v>0</v>
      </c>
      <c r="K58" s="253">
        <f>IFERROR(aurora_data!J363,0)</f>
        <v>0</v>
      </c>
      <c r="L58" s="253">
        <f>IFERROR(aurora_data!K363,0)</f>
        <v>0</v>
      </c>
      <c r="M58" s="253">
        <f>IFERROR(aurora_data!L363,0)</f>
        <v>0</v>
      </c>
      <c r="N58" s="254">
        <f>IFERROR(aurora_data!M363,0)</f>
        <v>0</v>
      </c>
      <c r="O58" s="113">
        <f>IFERROR(aurora_data!N363,0)</f>
        <v>0</v>
      </c>
      <c r="P58" s="253">
        <f>IFERROR(aurora_data!O363,0)</f>
        <v>0</v>
      </c>
      <c r="Q58" s="253">
        <f>IFERROR(aurora_data!P363,0)</f>
        <v>0</v>
      </c>
      <c r="R58" s="254">
        <f>IFERROR(aurora_data!Q363,0)</f>
        <v>0</v>
      </c>
      <c r="S58" s="253">
        <f>IFERROR(aurora_data!R363,0)</f>
        <v>0</v>
      </c>
      <c r="T58" s="253">
        <f>IFERROR(aurora_data!S363,0)</f>
        <v>0</v>
      </c>
      <c r="U58" s="254">
        <f>IFERROR(aurora_data!T363,0)</f>
        <v>0</v>
      </c>
      <c r="V58" s="61" t="s">
        <v>354</v>
      </c>
      <c r="W58" s="113">
        <f>IFERROR(aurora_data!U363,0)</f>
        <v>0</v>
      </c>
      <c r="X58" s="255">
        <f t="shared" si="3"/>
        <v>0</v>
      </c>
      <c r="Y58" s="2"/>
      <c r="Z58" s="222"/>
    </row>
    <row r="59" spans="1:26" customFormat="1" ht="16.5" customHeight="1">
      <c r="A59" s="2"/>
      <c r="B59" s="561"/>
      <c r="C59" s="454"/>
      <c r="D59" s="35" t="s">
        <v>341</v>
      </c>
      <c r="E59" s="113">
        <f>IFERROR(aurora_data!D364,0)</f>
        <v>0</v>
      </c>
      <c r="F59" s="253">
        <f>IFERROR(aurora_data!E364,0)</f>
        <v>0</v>
      </c>
      <c r="G59" s="253">
        <f>IFERROR(aurora_data!F364,0)</f>
        <v>0</v>
      </c>
      <c r="H59" s="253">
        <f>IFERROR(aurora_data!G364,0)</f>
        <v>0</v>
      </c>
      <c r="I59" s="254">
        <f>IFERROR(aurora_data!H364,0)</f>
        <v>0</v>
      </c>
      <c r="J59" s="113">
        <f>IFERROR(aurora_data!I364,0)</f>
        <v>0</v>
      </c>
      <c r="K59" s="253">
        <f>IFERROR(aurora_data!J364,0)</f>
        <v>0</v>
      </c>
      <c r="L59" s="253">
        <f>IFERROR(aurora_data!K364,0)</f>
        <v>0</v>
      </c>
      <c r="M59" s="253">
        <f>IFERROR(aurora_data!L364,0)</f>
        <v>0</v>
      </c>
      <c r="N59" s="254">
        <f>IFERROR(aurora_data!M364,0)</f>
        <v>0</v>
      </c>
      <c r="O59" s="113">
        <f>IFERROR(aurora_data!N364,0)</f>
        <v>0</v>
      </c>
      <c r="P59" s="253">
        <f>IFERROR(aurora_data!O364,0)</f>
        <v>0</v>
      </c>
      <c r="Q59" s="253">
        <f>IFERROR(aurora_data!P364,0)</f>
        <v>0</v>
      </c>
      <c r="R59" s="254">
        <f>IFERROR(aurora_data!Q364,0)</f>
        <v>0</v>
      </c>
      <c r="S59" s="253">
        <f>IFERROR(aurora_data!R364,0)</f>
        <v>0</v>
      </c>
      <c r="T59" s="253">
        <f>IFERROR(aurora_data!S364,0)</f>
        <v>0</v>
      </c>
      <c r="U59" s="254">
        <f>IFERROR(aurora_data!T364,0)</f>
        <v>0</v>
      </c>
      <c r="V59" s="61" t="s">
        <v>354</v>
      </c>
      <c r="W59" s="113">
        <f>IFERROR(aurora_data!U364,0)</f>
        <v>0</v>
      </c>
      <c r="X59" s="255">
        <f t="shared" si="3"/>
        <v>0</v>
      </c>
      <c r="Y59" s="2"/>
      <c r="Z59" s="222"/>
    </row>
    <row r="60" spans="1:26" customFormat="1" ht="16.5" customHeight="1" thickBot="1">
      <c r="A60" s="2"/>
      <c r="B60" s="561"/>
      <c r="C60" s="454"/>
      <c r="D60" s="35" t="s">
        <v>342</v>
      </c>
      <c r="E60" s="113">
        <f>IFERROR(aurora_data!D365,0)</f>
        <v>0</v>
      </c>
      <c r="F60" s="253">
        <f>IFERROR(aurora_data!E365,0)</f>
        <v>0</v>
      </c>
      <c r="G60" s="253">
        <f>IFERROR(aurora_data!F365,0)</f>
        <v>0</v>
      </c>
      <c r="H60" s="253">
        <f>IFERROR(aurora_data!G365,0)</f>
        <v>0</v>
      </c>
      <c r="I60" s="254">
        <f>IFERROR(aurora_data!H365,0)</f>
        <v>0</v>
      </c>
      <c r="J60" s="113">
        <f>IFERROR(aurora_data!I365,0)</f>
        <v>0</v>
      </c>
      <c r="K60" s="253">
        <f>IFERROR(aurora_data!J365,0)</f>
        <v>0</v>
      </c>
      <c r="L60" s="253">
        <f>IFERROR(aurora_data!K365,0)</f>
        <v>0</v>
      </c>
      <c r="M60" s="253">
        <f>IFERROR(aurora_data!L365,0)</f>
        <v>0</v>
      </c>
      <c r="N60" s="254">
        <f>IFERROR(aurora_data!M365,0)</f>
        <v>0</v>
      </c>
      <c r="O60" s="113">
        <f>IFERROR(aurora_data!N365,0)</f>
        <v>0</v>
      </c>
      <c r="P60" s="253">
        <f>IFERROR(aurora_data!O365,0)</f>
        <v>0</v>
      </c>
      <c r="Q60" s="253">
        <f>IFERROR(aurora_data!P365,0)</f>
        <v>0</v>
      </c>
      <c r="R60" s="254">
        <f>IFERROR(aurora_data!Q365,0)</f>
        <v>0</v>
      </c>
      <c r="S60" s="253">
        <f>IFERROR(aurora_data!R365,0)</f>
        <v>0</v>
      </c>
      <c r="T60" s="253">
        <f>IFERROR(aurora_data!S365,0)</f>
        <v>0</v>
      </c>
      <c r="U60" s="254">
        <f>IFERROR(aurora_data!T365,0)</f>
        <v>0</v>
      </c>
      <c r="V60" s="61" t="s">
        <v>354</v>
      </c>
      <c r="W60" s="113">
        <f>IFERROR(aurora_data!U365,0)</f>
        <v>0</v>
      </c>
      <c r="X60" s="255">
        <f t="shared" si="3"/>
        <v>0</v>
      </c>
      <c r="Y60" s="2"/>
      <c r="Z60" s="222"/>
    </row>
    <row r="61" spans="1:26" customFormat="1" ht="16.5" customHeight="1" thickBot="1">
      <c r="A61" s="2"/>
      <c r="B61" s="561"/>
      <c r="C61" s="454"/>
      <c r="D61" s="37" t="s">
        <v>17</v>
      </c>
      <c r="E61" s="59">
        <f>IFERROR(aurora_data!D366,0)</f>
        <v>2</v>
      </c>
      <c r="F61" s="64">
        <f>IFERROR(aurora_data!E366,0)</f>
        <v>1</v>
      </c>
      <c r="G61" s="64">
        <f>IFERROR(aurora_data!F366,0)</f>
        <v>4</v>
      </c>
      <c r="H61" s="64">
        <f>IFERROR(aurora_data!G366,0)</f>
        <v>7</v>
      </c>
      <c r="I61" s="65">
        <f>IFERROR(aurora_data!H366,0)</f>
        <v>9</v>
      </c>
      <c r="J61" s="59">
        <f>IFERROR(aurora_data!I366,0)</f>
        <v>4</v>
      </c>
      <c r="K61" s="64">
        <f>IFERROR(aurora_data!J366,0)</f>
        <v>2</v>
      </c>
      <c r="L61" s="64">
        <f>IFERROR(aurora_data!K366,0)</f>
        <v>5</v>
      </c>
      <c r="M61" s="64">
        <f>IFERROR(aurora_data!L366,0)</f>
        <v>1</v>
      </c>
      <c r="N61" s="65">
        <f>IFERROR(aurora_data!M366,0)</f>
        <v>11</v>
      </c>
      <c r="O61" s="59">
        <f>IFERROR(aurora_data!N366,0)</f>
        <v>5</v>
      </c>
      <c r="P61" s="64">
        <f>IFERROR(aurora_data!O366,0)</f>
        <v>2</v>
      </c>
      <c r="Q61" s="64">
        <f>IFERROR(aurora_data!P366,0)</f>
        <v>10</v>
      </c>
      <c r="R61" s="65">
        <f>IFERROR(aurora_data!Q366,0)</f>
        <v>6</v>
      </c>
      <c r="S61" s="64">
        <f>IFERROR(aurora_data!R366,0)</f>
        <v>13</v>
      </c>
      <c r="T61" s="64">
        <f>IFERROR(aurora_data!S366,0)</f>
        <v>10</v>
      </c>
      <c r="U61" s="65">
        <f>IFERROR(aurora_data!T366,0)</f>
        <v>0</v>
      </c>
      <c r="V61" s="66" t="s">
        <v>354</v>
      </c>
      <c r="W61" s="59">
        <f>IFERROR(aurora_data!U366,0)</f>
        <v>23</v>
      </c>
      <c r="X61" s="70">
        <f t="shared" si="3"/>
        <v>1.1499999999999999</v>
      </c>
      <c r="Y61" s="2"/>
      <c r="Z61" s="222"/>
    </row>
    <row r="62" spans="1:26" customFormat="1" ht="16.5" thickBot="1">
      <c r="A62" s="2"/>
      <c r="B62" s="561"/>
      <c r="C62" s="454"/>
      <c r="D62" s="38" t="s">
        <v>343</v>
      </c>
      <c r="E62" s="256">
        <f>IFERROR(aurora_data!D367,0)</f>
        <v>0</v>
      </c>
      <c r="F62" s="257">
        <f>IFERROR(aurora_data!E367,0)</f>
        <v>0</v>
      </c>
      <c r="G62" s="257">
        <f>IFERROR(aurora_data!F367,0)</f>
        <v>0</v>
      </c>
      <c r="H62" s="257">
        <f>IFERROR(aurora_data!G367,0)</f>
        <v>0</v>
      </c>
      <c r="I62" s="258">
        <f>IFERROR(aurora_data!H367,0)</f>
        <v>0</v>
      </c>
      <c r="J62" s="256">
        <f>IFERROR(aurora_data!I367,0)</f>
        <v>0</v>
      </c>
      <c r="K62" s="257">
        <f>IFERROR(aurora_data!J367,0)</f>
        <v>0</v>
      </c>
      <c r="L62" s="257">
        <f>IFERROR(aurora_data!K367,0)</f>
        <v>0</v>
      </c>
      <c r="M62" s="257">
        <f>IFERROR(aurora_data!L367,0)</f>
        <v>0</v>
      </c>
      <c r="N62" s="258">
        <f>IFERROR(aurora_data!M367,0)</f>
        <v>0</v>
      </c>
      <c r="O62" s="256">
        <f>IFERROR(aurora_data!N367,0)</f>
        <v>0</v>
      </c>
      <c r="P62" s="257">
        <f>IFERROR(aurora_data!O367,0)</f>
        <v>0</v>
      </c>
      <c r="Q62" s="257">
        <f>IFERROR(aurora_data!P367,0)</f>
        <v>0</v>
      </c>
      <c r="R62" s="258">
        <f>IFERROR(aurora_data!Q367,0)</f>
        <v>0</v>
      </c>
      <c r="S62" s="257">
        <f>IFERROR(aurora_data!R367,0)</f>
        <v>0</v>
      </c>
      <c r="T62" s="257">
        <f>IFERROR(aurora_data!S367,0)</f>
        <v>0</v>
      </c>
      <c r="U62" s="259">
        <f>IFERROR(aurora_data!T367,0)</f>
        <v>0</v>
      </c>
      <c r="V62" s="260" t="s">
        <v>354</v>
      </c>
      <c r="W62" s="256">
        <f>IFERROR(aurora_data!U367,0)</f>
        <v>0</v>
      </c>
      <c r="X62" s="261">
        <f t="shared" si="3"/>
        <v>0</v>
      </c>
      <c r="Y62" s="2"/>
      <c r="Z62" s="222"/>
    </row>
    <row r="63" spans="1:26" customFormat="1" hidden="1" outlineLevel="1">
      <c r="A63" s="2"/>
      <c r="B63" s="147"/>
      <c r="C63" s="454"/>
      <c r="D63" s="199" t="s">
        <v>344</v>
      </c>
      <c r="E63" s="271">
        <f>ROUNDDOWN((E65+$E$9)*($W54),0)</f>
        <v>4</v>
      </c>
      <c r="F63" s="272">
        <f>ROUNDDOWN((F65+$E$9)*($W54),0)</f>
        <v>5</v>
      </c>
      <c r="G63" s="272">
        <f>ROUNDDOWN((G65+$E$9)*($W54),0)</f>
        <v>8</v>
      </c>
      <c r="H63" s="272">
        <f>ROUNDDOWN((H65+$E$9)*($W54),0)</f>
        <v>10</v>
      </c>
      <c r="I63" s="272">
        <f>ROUNDDOWN((I65+$E$9)*($W54),0)</f>
        <v>11</v>
      </c>
      <c r="J63" s="271"/>
      <c r="K63" s="272"/>
      <c r="L63" s="272"/>
      <c r="M63" s="272"/>
      <c r="N63" s="268"/>
      <c r="O63" s="271"/>
      <c r="P63" s="272"/>
      <c r="Q63" s="272"/>
      <c r="R63" s="268"/>
      <c r="S63" s="265"/>
      <c r="T63" s="272"/>
      <c r="U63" s="282"/>
      <c r="V63" s="61"/>
      <c r="W63" s="291"/>
      <c r="X63" s="286"/>
      <c r="Y63" s="206"/>
      <c r="Z63" s="222"/>
    </row>
    <row r="64" spans="1:26" customFormat="1" ht="16.5" hidden="1" customHeight="1" outlineLevel="1">
      <c r="A64" s="2"/>
      <c r="B64" s="147"/>
      <c r="C64" s="454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1</v>
      </c>
      <c r="G64" s="277">
        <f>IF(ROUND(((G65-$E$9)*($W54))+0.25,0) &lt;=0,1,((G65-$E$9)*($W54))+0.25)</f>
        <v>1</v>
      </c>
      <c r="H64" s="277">
        <f>IF(ROUND(((H65-$E$9)*($W54))+0.25,0) &lt;=0,1,((H65-$E$9)*($W54))+0.25)</f>
        <v>2.6399999999999997</v>
      </c>
      <c r="I64" s="277">
        <f>IF(ROUND(((I65-$E$9)*($W54))+0.25,0) &lt;=0,1,((I65-$E$9)*($W54))+0.25)</f>
        <v>4.17</v>
      </c>
      <c r="J64" s="276"/>
      <c r="K64" s="277"/>
      <c r="L64" s="277"/>
      <c r="M64" s="277"/>
      <c r="N64" s="278"/>
      <c r="O64" s="276"/>
      <c r="P64" s="277"/>
      <c r="Q64" s="277"/>
      <c r="R64" s="278"/>
      <c r="S64" s="276"/>
      <c r="T64" s="277"/>
      <c r="U64" s="287"/>
      <c r="V64" s="61"/>
      <c r="W64" s="285"/>
      <c r="X64" s="287"/>
      <c r="Y64" s="207"/>
      <c r="Z64" s="222"/>
    </row>
    <row r="65" spans="1:26" customFormat="1" ht="16.5" hidden="1" customHeight="1" outlineLevel="1">
      <c r="A65" s="2"/>
      <c r="B65" s="147"/>
      <c r="C65" s="454"/>
      <c r="D65" s="95" t="s">
        <v>346</v>
      </c>
      <c r="E65" s="414">
        <f>IFERROR(E54/$W54,0)</f>
        <v>2.7500000000000004E-2</v>
      </c>
      <c r="F65" s="415">
        <f>IFERROR(F54/$W54,0)</f>
        <v>5.5500000000000008E-2</v>
      </c>
      <c r="G65" s="415">
        <f>IFERROR(G54/$W54,0)</f>
        <v>0.20150000000000001</v>
      </c>
      <c r="H65" s="415">
        <f>IFERROR(H54/$W54,0)</f>
        <v>0.31950000000000001</v>
      </c>
      <c r="I65" s="415">
        <f>IFERROR(I54/$W54,0)</f>
        <v>0.39600000000000002</v>
      </c>
      <c r="J65" s="414"/>
      <c r="K65" s="415"/>
      <c r="L65" s="415"/>
      <c r="M65" s="415"/>
      <c r="N65" s="416"/>
      <c r="O65" s="414"/>
      <c r="P65" s="415"/>
      <c r="Q65" s="415"/>
      <c r="R65" s="416"/>
      <c r="S65" s="414"/>
      <c r="T65" s="415"/>
      <c r="U65" s="254"/>
      <c r="V65" s="61"/>
      <c r="W65" s="113"/>
      <c r="X65" s="431"/>
      <c r="Y65" s="208"/>
      <c r="Z65" s="222"/>
    </row>
    <row r="66" spans="1:26" customFormat="1" ht="16.5" hidden="1" customHeight="1" outlineLevel="1">
      <c r="A66" s="2"/>
      <c r="B66" s="147"/>
      <c r="C66" s="454"/>
      <c r="D66" s="180" t="s">
        <v>347</v>
      </c>
      <c r="E66" s="414">
        <f>IFERROR(E55/$W54,0)</f>
        <v>0.05</v>
      </c>
      <c r="F66" s="415">
        <f>IFERROR(F55/$W54,0)</f>
        <v>0.05</v>
      </c>
      <c r="G66" s="415">
        <f>IFERROR(G55/$W54,0)</f>
        <v>0.2</v>
      </c>
      <c r="H66" s="415">
        <f>IFERROR(H55/$W54,0)</f>
        <v>0.35</v>
      </c>
      <c r="I66" s="415">
        <f>IFERROR(I55/$W54,0)</f>
        <v>0.35</v>
      </c>
      <c r="J66" s="414"/>
      <c r="K66" s="415"/>
      <c r="L66" s="415"/>
      <c r="M66" s="415"/>
      <c r="N66" s="416"/>
      <c r="O66" s="414"/>
      <c r="P66" s="415"/>
      <c r="Q66" s="415"/>
      <c r="R66" s="416"/>
      <c r="S66" s="414"/>
      <c r="T66" s="415"/>
      <c r="U66" s="254"/>
      <c r="V66" s="61"/>
      <c r="W66" s="113"/>
      <c r="X66" s="431"/>
      <c r="Y66" s="208"/>
      <c r="Z66" s="222"/>
    </row>
    <row r="67" spans="1:26" customFormat="1" ht="16.5" hidden="1" outlineLevel="1" thickBot="1">
      <c r="A67" s="2"/>
      <c r="B67" s="147"/>
      <c r="C67" s="455"/>
      <c r="D67" s="180" t="s">
        <v>348</v>
      </c>
      <c r="E67" s="414">
        <f>E66-E65</f>
        <v>2.2499999999999999E-2</v>
      </c>
      <c r="F67" s="415">
        <f>F66-F65</f>
        <v>-5.5000000000000049E-3</v>
      </c>
      <c r="G67" s="415">
        <f>G66-G65</f>
        <v>-1.5000000000000013E-3</v>
      </c>
      <c r="H67" s="415">
        <f>H66-H65</f>
        <v>3.0499999999999972E-2</v>
      </c>
      <c r="I67" s="415">
        <f>I66-I65</f>
        <v>-4.6000000000000041E-2</v>
      </c>
      <c r="J67" s="414"/>
      <c r="K67" s="415"/>
      <c r="L67" s="415"/>
      <c r="M67" s="415"/>
      <c r="N67" s="416"/>
      <c r="O67" s="414"/>
      <c r="P67" s="415"/>
      <c r="Q67" s="415"/>
      <c r="R67" s="416"/>
      <c r="S67" s="432"/>
      <c r="T67" s="415"/>
      <c r="U67" s="254"/>
      <c r="V67" s="61"/>
      <c r="W67" s="113"/>
      <c r="X67" s="431"/>
      <c r="Y67" s="209"/>
      <c r="Z67" s="222"/>
    </row>
    <row r="68" spans="1:26" customFormat="1" collapsed="1">
      <c r="A68" s="2"/>
      <c r="B68" s="560" t="s">
        <v>362</v>
      </c>
      <c r="C68" s="453" t="str">
        <f>aurora_data!A368</f>
        <v>10.00.00-10.11.30</v>
      </c>
      <c r="D68" s="34" t="s">
        <v>306</v>
      </c>
      <c r="E68" s="39">
        <f>IFERROR(aurora_data!D368,0)</f>
        <v>0.61</v>
      </c>
      <c r="F68" s="40">
        <f>IFERROR(aurora_data!E368,0)</f>
        <v>1.1599999999999999</v>
      </c>
      <c r="G68" s="40">
        <f>IFERROR(aurora_data!F368,0)</f>
        <v>4.03</v>
      </c>
      <c r="H68" s="40">
        <f>IFERROR(aurora_data!G368,0)</f>
        <v>6.39</v>
      </c>
      <c r="I68" s="41">
        <f>IFERROR(aurora_data!H368,0)</f>
        <v>7.81</v>
      </c>
      <c r="J68" s="39">
        <f>IFERROR(aurora_data!I368,0)</f>
        <v>1</v>
      </c>
      <c r="K68" s="40">
        <f>IFERROR(aurora_data!J368,0)</f>
        <v>1</v>
      </c>
      <c r="L68" s="40">
        <f>IFERROR(aurora_data!K368,0)</f>
        <v>1</v>
      </c>
      <c r="M68" s="40">
        <f>IFERROR(aurora_data!L368,0)</f>
        <v>1</v>
      </c>
      <c r="N68" s="41">
        <f>IFERROR(aurora_data!M368,0)</f>
        <v>1</v>
      </c>
      <c r="O68" s="39">
        <f>IFERROR(aurora_data!N368,0)</f>
        <v>1</v>
      </c>
      <c r="P68" s="40">
        <f>IFERROR(aurora_data!O368,0)</f>
        <v>1</v>
      </c>
      <c r="Q68" s="40">
        <f>IFERROR(aurora_data!P368,0)</f>
        <v>1</v>
      </c>
      <c r="R68" s="41">
        <f>IFERROR(aurora_data!Q368,0)</f>
        <v>1</v>
      </c>
      <c r="S68" s="40">
        <f>IFERROR(aurora_data!R368,0)</f>
        <v>1</v>
      </c>
      <c r="T68" s="40">
        <f>IFERROR(aurora_data!S368,0)</f>
        <v>1</v>
      </c>
      <c r="U68" s="41">
        <f>IFERROR(aurora_data!T368,0)</f>
        <v>0</v>
      </c>
      <c r="V68" s="61" t="s">
        <v>354</v>
      </c>
      <c r="W68" s="39">
        <f>IFERROR(aurora_data!U368,0)</f>
        <v>20</v>
      </c>
      <c r="X68" s="69">
        <f t="shared" ref="X68:X76" si="4">IFERROR(W68/$W$68,0)</f>
        <v>1</v>
      </c>
      <c r="Y68" s="2"/>
      <c r="Z68" s="222"/>
    </row>
    <row r="69" spans="1:26" customFormat="1" ht="16.5" customHeight="1">
      <c r="A69" s="2"/>
      <c r="B69" s="561"/>
      <c r="C69" s="454"/>
      <c r="D69" s="35" t="s">
        <v>339</v>
      </c>
      <c r="E69" s="113">
        <f>IFERROR(aurora_data!D369,0)</f>
        <v>0</v>
      </c>
      <c r="F69" s="253">
        <f>IFERROR(aurora_data!E369,0)</f>
        <v>2</v>
      </c>
      <c r="G69" s="253">
        <f>IFERROR(aurora_data!F369,0)</f>
        <v>4</v>
      </c>
      <c r="H69" s="253">
        <f>IFERROR(aurora_data!G369,0)</f>
        <v>7</v>
      </c>
      <c r="I69" s="254">
        <f>IFERROR(aurora_data!H369,0)</f>
        <v>7</v>
      </c>
      <c r="J69" s="113">
        <f>IFERROR(aurora_data!I369,0)</f>
        <v>2</v>
      </c>
      <c r="K69" s="253">
        <f>IFERROR(aurora_data!J369,0)</f>
        <v>3</v>
      </c>
      <c r="L69" s="253">
        <f>IFERROR(aurora_data!K369,0)</f>
        <v>2</v>
      </c>
      <c r="M69" s="253">
        <f>IFERROR(aurora_data!L369,0)</f>
        <v>2</v>
      </c>
      <c r="N69" s="254">
        <f>IFERROR(aurora_data!M369,0)</f>
        <v>11</v>
      </c>
      <c r="O69" s="113">
        <f>IFERROR(aurora_data!N369,0)</f>
        <v>9</v>
      </c>
      <c r="P69" s="253">
        <f>IFERROR(aurora_data!O369,0)</f>
        <v>2</v>
      </c>
      <c r="Q69" s="253">
        <f>IFERROR(aurora_data!P369,0)</f>
        <v>4</v>
      </c>
      <c r="R69" s="254">
        <f>IFERROR(aurora_data!Q369,0)</f>
        <v>5</v>
      </c>
      <c r="S69" s="253">
        <f>IFERROR(aurora_data!R369,0)</f>
        <v>12</v>
      </c>
      <c r="T69" s="253">
        <f>IFERROR(aurora_data!S369,0)</f>
        <v>8</v>
      </c>
      <c r="U69" s="254">
        <f>IFERROR(aurora_data!T369,0)</f>
        <v>0</v>
      </c>
      <c r="V69" s="61" t="s">
        <v>354</v>
      </c>
      <c r="W69" s="113">
        <f>IFERROR(aurora_data!U369,0)</f>
        <v>20</v>
      </c>
      <c r="X69" s="255">
        <f t="shared" si="4"/>
        <v>1</v>
      </c>
      <c r="Y69" s="2"/>
      <c r="Z69" s="222"/>
    </row>
    <row r="70" spans="1:26" customFormat="1" ht="16.5" customHeight="1">
      <c r="A70" s="2"/>
      <c r="B70" s="561"/>
      <c r="C70" s="454"/>
      <c r="D70" s="35" t="s">
        <v>291</v>
      </c>
      <c r="E70" s="113">
        <f>IFERROR(aurora_data!D370,0)</f>
        <v>0</v>
      </c>
      <c r="F70" s="253">
        <f>IFERROR(aurora_data!E370,0)</f>
        <v>0</v>
      </c>
      <c r="G70" s="253">
        <f>IFERROR(aurora_data!F370,0)</f>
        <v>0</v>
      </c>
      <c r="H70" s="253">
        <f>IFERROR(aurora_data!G370,0)</f>
        <v>0</v>
      </c>
      <c r="I70" s="254">
        <f>IFERROR(aurora_data!H370,0)</f>
        <v>0</v>
      </c>
      <c r="J70" s="113">
        <f>IFERROR(aurora_data!I370,0)</f>
        <v>0</v>
      </c>
      <c r="K70" s="253">
        <f>IFERROR(aurora_data!J370,0)</f>
        <v>0</v>
      </c>
      <c r="L70" s="253">
        <f>IFERROR(aurora_data!K370,0)</f>
        <v>0</v>
      </c>
      <c r="M70" s="253">
        <f>IFERROR(aurora_data!L370,0)</f>
        <v>0</v>
      </c>
      <c r="N70" s="254">
        <f>IFERROR(aurora_data!M370,0)</f>
        <v>0</v>
      </c>
      <c r="O70" s="113">
        <f>IFERROR(aurora_data!N370,0)</f>
        <v>0</v>
      </c>
      <c r="P70" s="253">
        <f>IFERROR(aurora_data!O370,0)</f>
        <v>0</v>
      </c>
      <c r="Q70" s="253">
        <f>IFERROR(aurora_data!P370,0)</f>
        <v>0</v>
      </c>
      <c r="R70" s="254">
        <f>IFERROR(aurora_data!Q370,0)</f>
        <v>0</v>
      </c>
      <c r="S70" s="253">
        <f>IFERROR(aurora_data!R370,0)</f>
        <v>0</v>
      </c>
      <c r="T70" s="253">
        <f>IFERROR(aurora_data!S370,0)</f>
        <v>0</v>
      </c>
      <c r="U70" s="254">
        <f>IFERROR(aurora_data!T370,0)</f>
        <v>0</v>
      </c>
      <c r="V70" s="61" t="s">
        <v>354</v>
      </c>
      <c r="W70" s="113">
        <f>IFERROR(aurora_data!U370,0)</f>
        <v>0</v>
      </c>
      <c r="X70" s="255">
        <f t="shared" si="4"/>
        <v>0</v>
      </c>
      <c r="Y70" s="2"/>
      <c r="Z70" s="222"/>
    </row>
    <row r="71" spans="1:26" customFormat="1">
      <c r="A71" s="2"/>
      <c r="B71" s="561"/>
      <c r="C71" s="454"/>
      <c r="D71" s="35" t="s">
        <v>340</v>
      </c>
      <c r="E71" s="113">
        <f>IFERROR(aurora_data!D371,0)</f>
        <v>0</v>
      </c>
      <c r="F71" s="253">
        <f>IFERROR(aurora_data!E371,0)</f>
        <v>0</v>
      </c>
      <c r="G71" s="253">
        <f>IFERROR(aurora_data!F371,0)</f>
        <v>0</v>
      </c>
      <c r="H71" s="253">
        <f>IFERROR(aurora_data!G371,0)</f>
        <v>0</v>
      </c>
      <c r="I71" s="254">
        <f>IFERROR(aurora_data!H371,0)</f>
        <v>0</v>
      </c>
      <c r="J71" s="113">
        <f>IFERROR(aurora_data!I371,0)</f>
        <v>0</v>
      </c>
      <c r="K71" s="253">
        <f>IFERROR(aurora_data!J371,0)</f>
        <v>0</v>
      </c>
      <c r="L71" s="253">
        <f>IFERROR(aurora_data!K371,0)</f>
        <v>0</v>
      </c>
      <c r="M71" s="253">
        <f>IFERROR(aurora_data!L371,0)</f>
        <v>0</v>
      </c>
      <c r="N71" s="254">
        <f>IFERROR(aurora_data!M371,0)</f>
        <v>0</v>
      </c>
      <c r="O71" s="113">
        <f>IFERROR(aurora_data!N371,0)</f>
        <v>0</v>
      </c>
      <c r="P71" s="253">
        <f>IFERROR(aurora_data!O371,0)</f>
        <v>0</v>
      </c>
      <c r="Q71" s="253">
        <f>IFERROR(aurora_data!P371,0)</f>
        <v>0</v>
      </c>
      <c r="R71" s="254">
        <f>IFERROR(aurora_data!Q371,0)</f>
        <v>0</v>
      </c>
      <c r="S71" s="253">
        <f>IFERROR(aurora_data!R371,0)</f>
        <v>0</v>
      </c>
      <c r="T71" s="253">
        <f>IFERROR(aurora_data!S371,0)</f>
        <v>0</v>
      </c>
      <c r="U71" s="254">
        <f>IFERROR(aurora_data!T371,0)</f>
        <v>0</v>
      </c>
      <c r="V71" s="61" t="s">
        <v>354</v>
      </c>
      <c r="W71" s="113">
        <f>IFERROR(aurora_data!U371,0)</f>
        <v>0</v>
      </c>
      <c r="X71" s="255">
        <f t="shared" si="4"/>
        <v>0</v>
      </c>
      <c r="Y71" s="2"/>
      <c r="Z71" s="222"/>
    </row>
    <row r="72" spans="1:26" customFormat="1">
      <c r="A72" s="2"/>
      <c r="B72" s="561"/>
      <c r="C72" s="454"/>
      <c r="D72" s="35" t="s">
        <v>298</v>
      </c>
      <c r="E72" s="113">
        <f>IFERROR(aurora_data!D372,0)</f>
        <v>0</v>
      </c>
      <c r="F72" s="253">
        <f>IFERROR(aurora_data!E372,0)</f>
        <v>0</v>
      </c>
      <c r="G72" s="253">
        <f>IFERROR(aurora_data!F372,0)</f>
        <v>0</v>
      </c>
      <c r="H72" s="253">
        <f>IFERROR(aurora_data!G372,0)</f>
        <v>0</v>
      </c>
      <c r="I72" s="254">
        <f>IFERROR(aurora_data!H372,0)</f>
        <v>0</v>
      </c>
      <c r="J72" s="113">
        <f>IFERROR(aurora_data!I372,0)</f>
        <v>0</v>
      </c>
      <c r="K72" s="253">
        <f>IFERROR(aurora_data!J372,0)</f>
        <v>0</v>
      </c>
      <c r="L72" s="253">
        <f>IFERROR(aurora_data!K372,0)</f>
        <v>0</v>
      </c>
      <c r="M72" s="253">
        <f>IFERROR(aurora_data!L372,0)</f>
        <v>0</v>
      </c>
      <c r="N72" s="254">
        <f>IFERROR(aurora_data!M372,0)</f>
        <v>0</v>
      </c>
      <c r="O72" s="113">
        <f>IFERROR(aurora_data!N372,0)</f>
        <v>0</v>
      </c>
      <c r="P72" s="253">
        <f>IFERROR(aurora_data!O372,0)</f>
        <v>0</v>
      </c>
      <c r="Q72" s="253">
        <f>IFERROR(aurora_data!P372,0)</f>
        <v>0</v>
      </c>
      <c r="R72" s="254">
        <f>IFERROR(aurora_data!Q372,0)</f>
        <v>0</v>
      </c>
      <c r="S72" s="253">
        <f>IFERROR(aurora_data!R372,0)</f>
        <v>0</v>
      </c>
      <c r="T72" s="253">
        <f>IFERROR(aurora_data!S372,0)</f>
        <v>0</v>
      </c>
      <c r="U72" s="254">
        <f>IFERROR(aurora_data!T372,0)</f>
        <v>0</v>
      </c>
      <c r="V72" s="61" t="s">
        <v>354</v>
      </c>
      <c r="W72" s="113">
        <f>IFERROR(aurora_data!U372,0)</f>
        <v>0</v>
      </c>
      <c r="X72" s="255">
        <f t="shared" si="4"/>
        <v>0</v>
      </c>
      <c r="Y72" s="2"/>
      <c r="Z72" s="222"/>
    </row>
    <row r="73" spans="1:26" customFormat="1" ht="16.5" customHeight="1">
      <c r="A73" s="2"/>
      <c r="B73" s="561"/>
      <c r="C73" s="454"/>
      <c r="D73" s="35" t="s">
        <v>341</v>
      </c>
      <c r="E73" s="113">
        <f>IFERROR(aurora_data!D373,0)</f>
        <v>0</v>
      </c>
      <c r="F73" s="253">
        <f>IFERROR(aurora_data!E373,0)</f>
        <v>0</v>
      </c>
      <c r="G73" s="253">
        <f>IFERROR(aurora_data!F373,0)</f>
        <v>0</v>
      </c>
      <c r="H73" s="253">
        <f>IFERROR(aurora_data!G373,0)</f>
        <v>0</v>
      </c>
      <c r="I73" s="254">
        <f>IFERROR(aurora_data!H373,0)</f>
        <v>0</v>
      </c>
      <c r="J73" s="113">
        <f>IFERROR(aurora_data!I373,0)</f>
        <v>0</v>
      </c>
      <c r="K73" s="253">
        <f>IFERROR(aurora_data!J373,0)</f>
        <v>0</v>
      </c>
      <c r="L73" s="253">
        <f>IFERROR(aurora_data!K373,0)</f>
        <v>0</v>
      </c>
      <c r="M73" s="253">
        <f>IFERROR(aurora_data!L373,0)</f>
        <v>0</v>
      </c>
      <c r="N73" s="254">
        <f>IFERROR(aurora_data!M373,0)</f>
        <v>0</v>
      </c>
      <c r="O73" s="113">
        <f>IFERROR(aurora_data!N373,0)</f>
        <v>0</v>
      </c>
      <c r="P73" s="253">
        <f>IFERROR(aurora_data!O373,0)</f>
        <v>0</v>
      </c>
      <c r="Q73" s="253">
        <f>IFERROR(aurora_data!P373,0)</f>
        <v>0</v>
      </c>
      <c r="R73" s="254">
        <f>IFERROR(aurora_data!Q373,0)</f>
        <v>0</v>
      </c>
      <c r="S73" s="253">
        <f>IFERROR(aurora_data!R373,0)</f>
        <v>0</v>
      </c>
      <c r="T73" s="253">
        <f>IFERROR(aurora_data!S373,0)</f>
        <v>0</v>
      </c>
      <c r="U73" s="254">
        <f>IFERROR(aurora_data!T373,0)</f>
        <v>0</v>
      </c>
      <c r="V73" s="61" t="s">
        <v>354</v>
      </c>
      <c r="W73" s="113">
        <f>IFERROR(aurora_data!U373,0)</f>
        <v>0</v>
      </c>
      <c r="X73" s="255">
        <f t="shared" si="4"/>
        <v>0</v>
      </c>
      <c r="Y73" s="2"/>
      <c r="Z73" s="222"/>
    </row>
    <row r="74" spans="1:26" customFormat="1" ht="16.5" customHeight="1" thickBot="1">
      <c r="A74" s="2"/>
      <c r="B74" s="561"/>
      <c r="C74" s="454"/>
      <c r="D74" s="35" t="s">
        <v>342</v>
      </c>
      <c r="E74" s="113">
        <f>IFERROR(aurora_data!D374,0)</f>
        <v>0</v>
      </c>
      <c r="F74" s="253">
        <f>IFERROR(aurora_data!E374,0)</f>
        <v>0</v>
      </c>
      <c r="G74" s="253">
        <f>IFERROR(aurora_data!F374,0)</f>
        <v>0</v>
      </c>
      <c r="H74" s="253">
        <f>IFERROR(aurora_data!G374,0)</f>
        <v>0</v>
      </c>
      <c r="I74" s="254">
        <f>IFERROR(aurora_data!H374,0)</f>
        <v>0</v>
      </c>
      <c r="J74" s="113">
        <f>IFERROR(aurora_data!I374,0)</f>
        <v>0</v>
      </c>
      <c r="K74" s="253">
        <f>IFERROR(aurora_data!J374,0)</f>
        <v>0</v>
      </c>
      <c r="L74" s="253">
        <f>IFERROR(aurora_data!K374,0)</f>
        <v>0</v>
      </c>
      <c r="M74" s="253">
        <f>IFERROR(aurora_data!L374,0)</f>
        <v>0</v>
      </c>
      <c r="N74" s="254">
        <f>IFERROR(aurora_data!M374,0)</f>
        <v>0</v>
      </c>
      <c r="O74" s="113">
        <f>IFERROR(aurora_data!N374,0)</f>
        <v>0</v>
      </c>
      <c r="P74" s="253">
        <f>IFERROR(aurora_data!O374,0)</f>
        <v>0</v>
      </c>
      <c r="Q74" s="253">
        <f>IFERROR(aurora_data!P374,0)</f>
        <v>0</v>
      </c>
      <c r="R74" s="254">
        <f>IFERROR(aurora_data!Q374,0)</f>
        <v>0</v>
      </c>
      <c r="S74" s="253">
        <f>IFERROR(aurora_data!R374,0)</f>
        <v>0</v>
      </c>
      <c r="T74" s="253">
        <f>IFERROR(aurora_data!S374,0)</f>
        <v>0</v>
      </c>
      <c r="U74" s="254">
        <f>IFERROR(aurora_data!T374,0)</f>
        <v>0</v>
      </c>
      <c r="V74" s="61" t="s">
        <v>354</v>
      </c>
      <c r="W74" s="113">
        <f>IFERROR(aurora_data!U374,0)</f>
        <v>0</v>
      </c>
      <c r="X74" s="255">
        <f t="shared" si="4"/>
        <v>0</v>
      </c>
      <c r="Y74" s="2"/>
      <c r="Z74" s="222"/>
    </row>
    <row r="75" spans="1:26" customFormat="1" ht="16.5" customHeight="1" thickBot="1">
      <c r="A75" s="2"/>
      <c r="B75" s="561"/>
      <c r="C75" s="454"/>
      <c r="D75" s="37" t="s">
        <v>17</v>
      </c>
      <c r="E75" s="59">
        <f>IFERROR(aurora_data!D375,0)</f>
        <v>0</v>
      </c>
      <c r="F75" s="64">
        <f>IFERROR(aurora_data!E375,0)</f>
        <v>2</v>
      </c>
      <c r="G75" s="64">
        <f>IFERROR(aurora_data!F375,0)</f>
        <v>4</v>
      </c>
      <c r="H75" s="64">
        <f>IFERROR(aurora_data!G375,0)</f>
        <v>7</v>
      </c>
      <c r="I75" s="65">
        <f>IFERROR(aurora_data!H375,0)</f>
        <v>7</v>
      </c>
      <c r="J75" s="59">
        <f>IFERROR(aurora_data!I375,0)</f>
        <v>2</v>
      </c>
      <c r="K75" s="64">
        <f>IFERROR(aurora_data!J375,0)</f>
        <v>3</v>
      </c>
      <c r="L75" s="64">
        <f>IFERROR(aurora_data!K375,0)</f>
        <v>2</v>
      </c>
      <c r="M75" s="64">
        <f>IFERROR(aurora_data!L375,0)</f>
        <v>2</v>
      </c>
      <c r="N75" s="65">
        <f>IFERROR(aurora_data!M375,0)</f>
        <v>11</v>
      </c>
      <c r="O75" s="59">
        <f>IFERROR(aurora_data!N375,0)</f>
        <v>9</v>
      </c>
      <c r="P75" s="64">
        <f>IFERROR(aurora_data!O375,0)</f>
        <v>2</v>
      </c>
      <c r="Q75" s="64">
        <f>IFERROR(aurora_data!P375,0)</f>
        <v>4</v>
      </c>
      <c r="R75" s="65">
        <f>IFERROR(aurora_data!Q375,0)</f>
        <v>5</v>
      </c>
      <c r="S75" s="64">
        <f>IFERROR(aurora_data!R375,0)</f>
        <v>12</v>
      </c>
      <c r="T75" s="64">
        <f>IFERROR(aurora_data!S375,0)</f>
        <v>8</v>
      </c>
      <c r="U75" s="65">
        <f>IFERROR(aurora_data!T375,0)</f>
        <v>0</v>
      </c>
      <c r="V75" s="66" t="s">
        <v>354</v>
      </c>
      <c r="W75" s="59">
        <f>IFERROR(aurora_data!U375,0)</f>
        <v>20</v>
      </c>
      <c r="X75" s="70">
        <f t="shared" si="4"/>
        <v>1</v>
      </c>
      <c r="Y75" s="2"/>
      <c r="Z75" s="222"/>
    </row>
    <row r="76" spans="1:26" customFormat="1" ht="16.5" thickBot="1">
      <c r="A76" s="2"/>
      <c r="B76" s="561"/>
      <c r="C76" s="454"/>
      <c r="D76" s="38" t="s">
        <v>343</v>
      </c>
      <c r="E76" s="256">
        <f>IFERROR(aurora_data!D376,0)</f>
        <v>0</v>
      </c>
      <c r="F76" s="257">
        <f>IFERROR(aurora_data!E376,0)</f>
        <v>0</v>
      </c>
      <c r="G76" s="257">
        <f>IFERROR(aurora_data!F376,0)</f>
        <v>0</v>
      </c>
      <c r="H76" s="257">
        <f>IFERROR(aurora_data!G376,0)</f>
        <v>0</v>
      </c>
      <c r="I76" s="258">
        <f>IFERROR(aurora_data!H376,0)</f>
        <v>0</v>
      </c>
      <c r="J76" s="256">
        <f>IFERROR(aurora_data!I376,0)</f>
        <v>0</v>
      </c>
      <c r="K76" s="257">
        <f>IFERROR(aurora_data!J376,0)</f>
        <v>0</v>
      </c>
      <c r="L76" s="257">
        <f>IFERROR(aurora_data!K376,0)</f>
        <v>0</v>
      </c>
      <c r="M76" s="257">
        <f>IFERROR(aurora_data!L376,0)</f>
        <v>0</v>
      </c>
      <c r="N76" s="258">
        <f>IFERROR(aurora_data!M376,0)</f>
        <v>0</v>
      </c>
      <c r="O76" s="256">
        <f>IFERROR(aurora_data!N376,0)</f>
        <v>0</v>
      </c>
      <c r="P76" s="257">
        <f>IFERROR(aurora_data!O376,0)</f>
        <v>0</v>
      </c>
      <c r="Q76" s="257">
        <f>IFERROR(aurora_data!P376,0)</f>
        <v>0</v>
      </c>
      <c r="R76" s="258">
        <f>IFERROR(aurora_data!Q376,0)</f>
        <v>0</v>
      </c>
      <c r="S76" s="257">
        <f>IFERROR(aurora_data!R376,0)</f>
        <v>0</v>
      </c>
      <c r="T76" s="257">
        <f>IFERROR(aurora_data!S376,0)</f>
        <v>0</v>
      </c>
      <c r="U76" s="259">
        <f>IFERROR(aurora_data!T376,0)</f>
        <v>0</v>
      </c>
      <c r="V76" s="260" t="s">
        <v>354</v>
      </c>
      <c r="W76" s="256">
        <f>IFERROR(aurora_data!U376,0)</f>
        <v>0</v>
      </c>
      <c r="X76" s="261">
        <f t="shared" si="4"/>
        <v>0</v>
      </c>
      <c r="Y76" s="2"/>
      <c r="Z76" s="222"/>
    </row>
    <row r="77" spans="1:26" customFormat="1" hidden="1" outlineLevel="1">
      <c r="A77" s="2"/>
      <c r="B77" s="147"/>
      <c r="C77" s="454"/>
      <c r="D77" s="199" t="s">
        <v>344</v>
      </c>
      <c r="E77" s="271">
        <f>ROUNDDOWN((E79+$E$9)*($W68),0)</f>
        <v>4</v>
      </c>
      <c r="F77" s="272">
        <f>ROUNDDOWN((F79+$E$9)*($W68),0)</f>
        <v>5</v>
      </c>
      <c r="G77" s="272">
        <f>ROUNDDOWN((G79+$E$9)*($W68),0)</f>
        <v>8</v>
      </c>
      <c r="H77" s="272">
        <f>ROUNDDOWN((H79+$E$9)*($W68),0)</f>
        <v>10</v>
      </c>
      <c r="I77" s="272">
        <f>ROUNDDOWN((I79+$E$9)*($W68),0)</f>
        <v>11</v>
      </c>
      <c r="J77" s="271"/>
      <c r="K77" s="272"/>
      <c r="L77" s="272"/>
      <c r="M77" s="272"/>
      <c r="N77" s="268"/>
      <c r="O77" s="271"/>
      <c r="P77" s="272"/>
      <c r="Q77" s="272"/>
      <c r="R77" s="268"/>
      <c r="S77" s="265"/>
      <c r="T77" s="272"/>
      <c r="U77" s="282"/>
      <c r="V77" s="61"/>
      <c r="W77" s="291"/>
      <c r="X77" s="286"/>
      <c r="Y77" s="206"/>
      <c r="Z77" s="222"/>
    </row>
    <row r="78" spans="1:26" customFormat="1" ht="16.5" hidden="1" customHeight="1" outlineLevel="1">
      <c r="A78" s="2"/>
      <c r="B78" s="147"/>
      <c r="C78" s="454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1</v>
      </c>
      <c r="G78" s="277">
        <f>IF(ROUND(((G79-$E$9)*($W68))+0.25,0) &lt;=0,1,((G79-$E$9)*($W68))+0.25)</f>
        <v>1</v>
      </c>
      <c r="H78" s="277">
        <f>IF(ROUND(((H79-$E$9)*($W68))+0.25,0) &lt;=0,1,((H79-$E$9)*($W68))+0.25)</f>
        <v>2.6399999999999997</v>
      </c>
      <c r="I78" s="277">
        <f>IF(ROUND(((I79-$E$9)*($W68))+0.25,0) &lt;=0,1,((I79-$E$9)*($W68))+0.25)</f>
        <v>4.0599999999999987</v>
      </c>
      <c r="J78" s="276"/>
      <c r="K78" s="277"/>
      <c r="L78" s="277"/>
      <c r="M78" s="277"/>
      <c r="N78" s="278"/>
      <c r="O78" s="276"/>
      <c r="P78" s="277"/>
      <c r="Q78" s="277"/>
      <c r="R78" s="278"/>
      <c r="S78" s="276"/>
      <c r="T78" s="277"/>
      <c r="U78" s="287"/>
      <c r="V78" s="61"/>
      <c r="W78" s="285"/>
      <c r="X78" s="287"/>
      <c r="Y78" s="207"/>
      <c r="Z78" s="222"/>
    </row>
    <row r="79" spans="1:26" customFormat="1" ht="16.5" hidden="1" customHeight="1" outlineLevel="1">
      <c r="A79" s="2"/>
      <c r="B79" s="147"/>
      <c r="C79" s="454"/>
      <c r="D79" s="95" t="s">
        <v>346</v>
      </c>
      <c r="E79" s="414">
        <f>IFERROR(E68/$W68,0)</f>
        <v>3.0499999999999999E-2</v>
      </c>
      <c r="F79" s="415">
        <f>IFERROR(F68/$W68,0)</f>
        <v>5.7999999999999996E-2</v>
      </c>
      <c r="G79" s="415">
        <f>IFERROR(G68/$W68,0)</f>
        <v>0.20150000000000001</v>
      </c>
      <c r="H79" s="415">
        <f>IFERROR(H68/$W68,0)</f>
        <v>0.31950000000000001</v>
      </c>
      <c r="I79" s="415">
        <f>IFERROR(I68/$W68,0)</f>
        <v>0.39049999999999996</v>
      </c>
      <c r="J79" s="414"/>
      <c r="K79" s="415"/>
      <c r="L79" s="415"/>
      <c r="M79" s="415"/>
      <c r="N79" s="416"/>
      <c r="O79" s="414"/>
      <c r="P79" s="415"/>
      <c r="Q79" s="415"/>
      <c r="R79" s="416"/>
      <c r="S79" s="414"/>
      <c r="T79" s="415"/>
      <c r="U79" s="254"/>
      <c r="V79" s="61"/>
      <c r="W79" s="113"/>
      <c r="X79" s="431"/>
      <c r="Y79" s="208"/>
      <c r="Z79" s="222"/>
    </row>
    <row r="80" spans="1:26" customFormat="1" ht="16.5" hidden="1" customHeight="1" outlineLevel="1">
      <c r="A80" s="2"/>
      <c r="B80" s="147"/>
      <c r="C80" s="454"/>
      <c r="D80" s="180" t="s">
        <v>347</v>
      </c>
      <c r="E80" s="414">
        <f>IFERROR(E69/$W68,0)</f>
        <v>0</v>
      </c>
      <c r="F80" s="415">
        <f>IFERROR(F69/$W68,0)</f>
        <v>0.1</v>
      </c>
      <c r="G80" s="415">
        <f>IFERROR(G69/$W68,0)</f>
        <v>0.2</v>
      </c>
      <c r="H80" s="415">
        <f>IFERROR(H69/$W68,0)</f>
        <v>0.35</v>
      </c>
      <c r="I80" s="415">
        <f>IFERROR(I69/$W68,0)</f>
        <v>0.35</v>
      </c>
      <c r="J80" s="414"/>
      <c r="K80" s="415"/>
      <c r="L80" s="415"/>
      <c r="M80" s="415"/>
      <c r="N80" s="416"/>
      <c r="O80" s="414"/>
      <c r="P80" s="415"/>
      <c r="Q80" s="415"/>
      <c r="R80" s="416"/>
      <c r="S80" s="414"/>
      <c r="T80" s="415"/>
      <c r="U80" s="254"/>
      <c r="V80" s="61"/>
      <c r="W80" s="113"/>
      <c r="X80" s="431"/>
      <c r="Y80" s="208"/>
      <c r="Z80" s="222"/>
    </row>
    <row r="81" spans="1:54" customFormat="1" ht="16.5" hidden="1" outlineLevel="1" thickBot="1">
      <c r="A81" s="2"/>
      <c r="B81" s="147"/>
      <c r="C81" s="455"/>
      <c r="D81" s="180" t="s">
        <v>348</v>
      </c>
      <c r="E81" s="414">
        <f>E80-E79</f>
        <v>-3.0499999999999999E-2</v>
      </c>
      <c r="F81" s="415">
        <f>F80-F79</f>
        <v>4.200000000000001E-2</v>
      </c>
      <c r="G81" s="415">
        <f>G80-G79</f>
        <v>-1.5000000000000013E-3</v>
      </c>
      <c r="H81" s="415">
        <f>H80-H79</f>
        <v>3.0499999999999972E-2</v>
      </c>
      <c r="I81" s="415">
        <f>I80-I79</f>
        <v>-4.049999999999998E-2</v>
      </c>
      <c r="J81" s="414"/>
      <c r="K81" s="415"/>
      <c r="L81" s="415"/>
      <c r="M81" s="415"/>
      <c r="N81" s="416"/>
      <c r="O81" s="414"/>
      <c r="P81" s="415"/>
      <c r="Q81" s="415"/>
      <c r="R81" s="416"/>
      <c r="S81" s="432"/>
      <c r="T81" s="415"/>
      <c r="U81" s="254"/>
      <c r="V81" s="61"/>
      <c r="W81" s="113"/>
      <c r="X81" s="431"/>
      <c r="Y81" s="209"/>
      <c r="Z81" s="222"/>
    </row>
    <row r="82" spans="1:54" customFormat="1" collapsed="1">
      <c r="A82" s="2"/>
      <c r="B82" s="560" t="s">
        <v>362</v>
      </c>
      <c r="C82" s="453" t="str">
        <f>aurora_data!A377</f>
        <v>11.00.00-11.11.30</v>
      </c>
      <c r="D82" s="34" t="s">
        <v>306</v>
      </c>
      <c r="E82" s="39">
        <f>IFERROR(aurora_data!D377,0)</f>
        <v>0.68</v>
      </c>
      <c r="F82" s="40">
        <f>IFERROR(aurora_data!E377,0)</f>
        <v>1.1599999999999999</v>
      </c>
      <c r="G82" s="40">
        <f>IFERROR(aurora_data!F377,0)</f>
        <v>3.96</v>
      </c>
      <c r="H82" s="40">
        <f>IFERROR(aurora_data!G377,0)</f>
        <v>6.39</v>
      </c>
      <c r="I82" s="41">
        <f>IFERROR(aurora_data!H377,0)</f>
        <v>7.82</v>
      </c>
      <c r="J82" s="39">
        <f>IFERROR(aurora_data!I377,0)</f>
        <v>1</v>
      </c>
      <c r="K82" s="40">
        <f>IFERROR(aurora_data!J377,0)</f>
        <v>1</v>
      </c>
      <c r="L82" s="40">
        <f>IFERROR(aurora_data!K377,0)</f>
        <v>1</v>
      </c>
      <c r="M82" s="40">
        <f>IFERROR(aurora_data!L377,0)</f>
        <v>1</v>
      </c>
      <c r="N82" s="41">
        <f>IFERROR(aurora_data!M377,0)</f>
        <v>1</v>
      </c>
      <c r="O82" s="39">
        <f>IFERROR(aurora_data!N377,0)</f>
        <v>1</v>
      </c>
      <c r="P82" s="40">
        <f>IFERROR(aurora_data!O377,0)</f>
        <v>1</v>
      </c>
      <c r="Q82" s="40">
        <f>IFERROR(aurora_data!P377,0)</f>
        <v>1</v>
      </c>
      <c r="R82" s="41">
        <f>IFERROR(aurora_data!Q377,0)</f>
        <v>1</v>
      </c>
      <c r="S82" s="40">
        <f>IFERROR(aurora_data!R377,0)</f>
        <v>1</v>
      </c>
      <c r="T82" s="40">
        <f>IFERROR(aurora_data!S377,0)</f>
        <v>1</v>
      </c>
      <c r="U82" s="41">
        <f>IFERROR(aurora_data!T377,0)</f>
        <v>0</v>
      </c>
      <c r="V82" s="61" t="s">
        <v>354</v>
      </c>
      <c r="W82" s="39">
        <f>IFERROR(aurora_data!U377,0)</f>
        <v>20</v>
      </c>
      <c r="X82" s="69">
        <f t="shared" ref="X82:X95" si="5">IFERROR(W82/$W$82,0)</f>
        <v>1</v>
      </c>
      <c r="Y82" s="2"/>
      <c r="Z82" s="222"/>
    </row>
    <row r="83" spans="1:54" customFormat="1" ht="16.5" customHeight="1">
      <c r="A83" s="2"/>
      <c r="B83" s="561"/>
      <c r="C83" s="454"/>
      <c r="D83" s="35" t="s">
        <v>339</v>
      </c>
      <c r="E83" s="113">
        <f>IFERROR(aurora_data!D378,0)</f>
        <v>1</v>
      </c>
      <c r="F83" s="253">
        <f>IFERROR(aurora_data!E378,0)</f>
        <v>1</v>
      </c>
      <c r="G83" s="253">
        <f>IFERROR(aurora_data!F378,0)</f>
        <v>4</v>
      </c>
      <c r="H83" s="253">
        <f>IFERROR(aurora_data!G378,0)</f>
        <v>7</v>
      </c>
      <c r="I83" s="254">
        <f>IFERROR(aurora_data!H378,0)</f>
        <v>7</v>
      </c>
      <c r="J83" s="113">
        <f>IFERROR(aurora_data!I378,0)</f>
        <v>1</v>
      </c>
      <c r="K83" s="253">
        <f>IFERROR(aurora_data!J378,0)</f>
        <v>4</v>
      </c>
      <c r="L83" s="253">
        <f>IFERROR(aurora_data!K378,0)</f>
        <v>6</v>
      </c>
      <c r="M83" s="253">
        <f>IFERROR(aurora_data!L378,0)</f>
        <v>1</v>
      </c>
      <c r="N83" s="254">
        <f>IFERROR(aurora_data!M378,0)</f>
        <v>8</v>
      </c>
      <c r="O83" s="113">
        <f>IFERROR(aurora_data!N378,0)</f>
        <v>5</v>
      </c>
      <c r="P83" s="253">
        <f>IFERROR(aurora_data!O378,0)</f>
        <v>3</v>
      </c>
      <c r="Q83" s="253">
        <f>IFERROR(aurora_data!P378,0)</f>
        <v>7</v>
      </c>
      <c r="R83" s="254">
        <f>IFERROR(aurora_data!Q378,0)</f>
        <v>5</v>
      </c>
      <c r="S83" s="253">
        <f>IFERROR(aurora_data!R378,0)</f>
        <v>10</v>
      </c>
      <c r="T83" s="253">
        <f>IFERROR(aurora_data!S378,0)</f>
        <v>10</v>
      </c>
      <c r="U83" s="254">
        <f>IFERROR(aurora_data!T378,0)</f>
        <v>0</v>
      </c>
      <c r="V83" s="61" t="s">
        <v>354</v>
      </c>
      <c r="W83" s="113">
        <f>IFERROR(aurora_data!U378,0)</f>
        <v>20</v>
      </c>
      <c r="X83" s="255">
        <f t="shared" si="5"/>
        <v>1</v>
      </c>
      <c r="Y83" s="2"/>
      <c r="Z83" s="222"/>
    </row>
    <row r="84" spans="1:54" customFormat="1" ht="16.5" customHeight="1">
      <c r="A84" s="2"/>
      <c r="B84" s="561"/>
      <c r="C84" s="454"/>
      <c r="D84" s="35" t="s">
        <v>291</v>
      </c>
      <c r="E84" s="113">
        <f>IFERROR(aurora_data!D379,0)</f>
        <v>0</v>
      </c>
      <c r="F84" s="253">
        <f>IFERROR(aurora_data!E379,0)</f>
        <v>0</v>
      </c>
      <c r="G84" s="253">
        <f>IFERROR(aurora_data!F379,0)</f>
        <v>0</v>
      </c>
      <c r="H84" s="253">
        <f>IFERROR(aurora_data!G379,0)</f>
        <v>5</v>
      </c>
      <c r="I84" s="254">
        <f>IFERROR(aurora_data!H379,0)</f>
        <v>0</v>
      </c>
      <c r="J84" s="113">
        <f>IFERROR(aurora_data!I379,0)</f>
        <v>0</v>
      </c>
      <c r="K84" s="253">
        <f>IFERROR(aurora_data!J379,0)</f>
        <v>0</v>
      </c>
      <c r="L84" s="253">
        <f>IFERROR(aurora_data!K379,0)</f>
        <v>4</v>
      </c>
      <c r="M84" s="253">
        <f>IFERROR(aurora_data!L379,0)</f>
        <v>0</v>
      </c>
      <c r="N84" s="254">
        <f>IFERROR(aurora_data!M379,0)</f>
        <v>1</v>
      </c>
      <c r="O84" s="113">
        <f>IFERROR(aurora_data!N379,0)</f>
        <v>1</v>
      </c>
      <c r="P84" s="253">
        <f>IFERROR(aurora_data!O379,0)</f>
        <v>0</v>
      </c>
      <c r="Q84" s="253">
        <f>IFERROR(aurora_data!P379,0)</f>
        <v>4</v>
      </c>
      <c r="R84" s="254">
        <f>IFERROR(aurora_data!Q379,0)</f>
        <v>0</v>
      </c>
      <c r="S84" s="253">
        <f>IFERROR(aurora_data!R379,0)</f>
        <v>2</v>
      </c>
      <c r="T84" s="253">
        <f>IFERROR(aurora_data!S379,0)</f>
        <v>3</v>
      </c>
      <c r="U84" s="254">
        <f>IFERROR(aurora_data!T379,0)</f>
        <v>0</v>
      </c>
      <c r="V84" s="61" t="s">
        <v>354</v>
      </c>
      <c r="W84" s="113">
        <f>IFERROR(aurora_data!U379,0)</f>
        <v>5</v>
      </c>
      <c r="X84" s="255">
        <f t="shared" si="5"/>
        <v>0.25</v>
      </c>
      <c r="Y84" s="2"/>
      <c r="Z84" s="222"/>
    </row>
    <row r="85" spans="1:54" customFormat="1">
      <c r="A85" s="2"/>
      <c r="B85" s="561"/>
      <c r="C85" s="454"/>
      <c r="D85" s="35" t="s">
        <v>340</v>
      </c>
      <c r="E85" s="113">
        <f>IFERROR(aurora_data!D380,0)</f>
        <v>0</v>
      </c>
      <c r="F85" s="253">
        <f>IFERROR(aurora_data!E380,0)</f>
        <v>0</v>
      </c>
      <c r="G85" s="253">
        <f>IFERROR(aurora_data!F380,0)</f>
        <v>0</v>
      </c>
      <c r="H85" s="253">
        <f>IFERROR(aurora_data!G380,0)</f>
        <v>0</v>
      </c>
      <c r="I85" s="254">
        <f>IFERROR(aurora_data!H380,0)</f>
        <v>0</v>
      </c>
      <c r="J85" s="113">
        <f>IFERROR(aurora_data!I380,0)</f>
        <v>0</v>
      </c>
      <c r="K85" s="253">
        <f>IFERROR(aurora_data!J380,0)</f>
        <v>0</v>
      </c>
      <c r="L85" s="253">
        <f>IFERROR(aurora_data!K380,0)</f>
        <v>0</v>
      </c>
      <c r="M85" s="253">
        <f>IFERROR(aurora_data!L380,0)</f>
        <v>0</v>
      </c>
      <c r="N85" s="254">
        <f>IFERROR(aurora_data!M380,0)</f>
        <v>0</v>
      </c>
      <c r="O85" s="113">
        <f>IFERROR(aurora_data!N380,0)</f>
        <v>0</v>
      </c>
      <c r="P85" s="253">
        <f>IFERROR(aurora_data!O380,0)</f>
        <v>0</v>
      </c>
      <c r="Q85" s="253">
        <f>IFERROR(aurora_data!P380,0)</f>
        <v>0</v>
      </c>
      <c r="R85" s="254">
        <f>IFERROR(aurora_data!Q380,0)</f>
        <v>0</v>
      </c>
      <c r="S85" s="253">
        <f>IFERROR(aurora_data!R380,0)</f>
        <v>0</v>
      </c>
      <c r="T85" s="253">
        <f>IFERROR(aurora_data!S380,0)</f>
        <v>0</v>
      </c>
      <c r="U85" s="254">
        <f>IFERROR(aurora_data!T380,0)</f>
        <v>0</v>
      </c>
      <c r="V85" s="61" t="s">
        <v>354</v>
      </c>
      <c r="W85" s="113">
        <f>IFERROR(aurora_data!U380,0)</f>
        <v>0</v>
      </c>
      <c r="X85" s="255">
        <f t="shared" si="5"/>
        <v>0</v>
      </c>
      <c r="Y85" s="2"/>
      <c r="Z85" s="222"/>
    </row>
    <row r="86" spans="1:54" customFormat="1">
      <c r="A86" s="2"/>
      <c r="B86" s="561"/>
      <c r="C86" s="454"/>
      <c r="D86" s="35" t="s">
        <v>298</v>
      </c>
      <c r="E86" s="113">
        <f>IFERROR(aurora_data!D381,0)</f>
        <v>0</v>
      </c>
      <c r="F86" s="253">
        <f>IFERROR(aurora_data!E381,0)</f>
        <v>0</v>
      </c>
      <c r="G86" s="253">
        <f>IFERROR(aurora_data!F381,0)</f>
        <v>0</v>
      </c>
      <c r="H86" s="253">
        <f>IFERROR(aurora_data!G381,0)</f>
        <v>0</v>
      </c>
      <c r="I86" s="254">
        <f>IFERROR(aurora_data!H381,0)</f>
        <v>0</v>
      </c>
      <c r="J86" s="113">
        <f>IFERROR(aurora_data!I381,0)</f>
        <v>0</v>
      </c>
      <c r="K86" s="253">
        <f>IFERROR(aurora_data!J381,0)</f>
        <v>0</v>
      </c>
      <c r="L86" s="253">
        <f>IFERROR(aurora_data!K381,0)</f>
        <v>0</v>
      </c>
      <c r="M86" s="253">
        <f>IFERROR(aurora_data!L381,0)</f>
        <v>0</v>
      </c>
      <c r="N86" s="254">
        <f>IFERROR(aurora_data!M381,0)</f>
        <v>0</v>
      </c>
      <c r="O86" s="113">
        <f>IFERROR(aurora_data!N381,0)</f>
        <v>0</v>
      </c>
      <c r="P86" s="253">
        <f>IFERROR(aurora_data!O381,0)</f>
        <v>0</v>
      </c>
      <c r="Q86" s="253">
        <f>IFERROR(aurora_data!P381,0)</f>
        <v>0</v>
      </c>
      <c r="R86" s="254">
        <f>IFERROR(aurora_data!Q381,0)</f>
        <v>0</v>
      </c>
      <c r="S86" s="253">
        <f>IFERROR(aurora_data!R381,0)</f>
        <v>0</v>
      </c>
      <c r="T86" s="253">
        <f>IFERROR(aurora_data!S381,0)</f>
        <v>0</v>
      </c>
      <c r="U86" s="254">
        <f>IFERROR(aurora_data!T381,0)</f>
        <v>0</v>
      </c>
      <c r="V86" s="61" t="s">
        <v>354</v>
      </c>
      <c r="W86" s="113">
        <f>IFERROR(aurora_data!U381,0)</f>
        <v>0</v>
      </c>
      <c r="X86" s="255">
        <f t="shared" si="5"/>
        <v>0</v>
      </c>
      <c r="Y86" s="2"/>
      <c r="Z86" s="222"/>
    </row>
    <row r="87" spans="1:54" customFormat="1" ht="16.5" customHeight="1">
      <c r="A87" s="2"/>
      <c r="B87" s="561"/>
      <c r="C87" s="454"/>
      <c r="D87" s="35" t="s">
        <v>341</v>
      </c>
      <c r="E87" s="113">
        <f>IFERROR(aurora_data!D382,0)</f>
        <v>0</v>
      </c>
      <c r="F87" s="253">
        <f>IFERROR(aurora_data!E382,0)</f>
        <v>0</v>
      </c>
      <c r="G87" s="253">
        <f>IFERROR(aurora_data!F382,0)</f>
        <v>0</v>
      </c>
      <c r="H87" s="253">
        <f>IFERROR(aurora_data!G382,0)</f>
        <v>0</v>
      </c>
      <c r="I87" s="254">
        <f>IFERROR(aurora_data!H382,0)</f>
        <v>0</v>
      </c>
      <c r="J87" s="113">
        <f>IFERROR(aurora_data!I382,0)</f>
        <v>0</v>
      </c>
      <c r="K87" s="253">
        <f>IFERROR(aurora_data!J382,0)</f>
        <v>0</v>
      </c>
      <c r="L87" s="253">
        <f>IFERROR(aurora_data!K382,0)</f>
        <v>0</v>
      </c>
      <c r="M87" s="253">
        <f>IFERROR(aurora_data!L382,0)</f>
        <v>0</v>
      </c>
      <c r="N87" s="254">
        <f>IFERROR(aurora_data!M382,0)</f>
        <v>0</v>
      </c>
      <c r="O87" s="113">
        <f>IFERROR(aurora_data!N382,0)</f>
        <v>0</v>
      </c>
      <c r="P87" s="253">
        <f>IFERROR(aurora_data!O382,0)</f>
        <v>0</v>
      </c>
      <c r="Q87" s="253">
        <f>IFERROR(aurora_data!P382,0)</f>
        <v>0</v>
      </c>
      <c r="R87" s="254">
        <f>IFERROR(aurora_data!Q382,0)</f>
        <v>0</v>
      </c>
      <c r="S87" s="253">
        <f>IFERROR(aurora_data!R382,0)</f>
        <v>0</v>
      </c>
      <c r="T87" s="253">
        <f>IFERROR(aurora_data!S382,0)</f>
        <v>0</v>
      </c>
      <c r="U87" s="254">
        <f>IFERROR(aurora_data!T382,0)</f>
        <v>0</v>
      </c>
      <c r="V87" s="61" t="s">
        <v>354</v>
      </c>
      <c r="W87" s="113">
        <f>IFERROR(aurora_data!U382,0)</f>
        <v>0</v>
      </c>
      <c r="X87" s="255">
        <f t="shared" si="5"/>
        <v>0</v>
      </c>
      <c r="Y87" s="2"/>
      <c r="Z87" s="222"/>
    </row>
    <row r="88" spans="1:54" customFormat="1" ht="16.5" customHeight="1" thickBot="1">
      <c r="A88" s="2"/>
      <c r="B88" s="561"/>
      <c r="C88" s="454"/>
      <c r="D88" s="35" t="s">
        <v>342</v>
      </c>
      <c r="E88" s="113">
        <f>IFERROR(aurora_data!D383,0)</f>
        <v>0</v>
      </c>
      <c r="F88" s="253">
        <f>IFERROR(aurora_data!E383,0)</f>
        <v>0</v>
      </c>
      <c r="G88" s="253">
        <f>IFERROR(aurora_data!F383,0)</f>
        <v>0</v>
      </c>
      <c r="H88" s="253">
        <f>IFERROR(aurora_data!G383,0)</f>
        <v>0</v>
      </c>
      <c r="I88" s="254">
        <f>IFERROR(aurora_data!H383,0)</f>
        <v>0</v>
      </c>
      <c r="J88" s="113">
        <f>IFERROR(aurora_data!I383,0)</f>
        <v>0</v>
      </c>
      <c r="K88" s="253">
        <f>IFERROR(aurora_data!J383,0)</f>
        <v>0</v>
      </c>
      <c r="L88" s="253">
        <f>IFERROR(aurora_data!K383,0)</f>
        <v>0</v>
      </c>
      <c r="M88" s="253">
        <f>IFERROR(aurora_data!L383,0)</f>
        <v>0</v>
      </c>
      <c r="N88" s="254">
        <f>IFERROR(aurora_data!M383,0)</f>
        <v>0</v>
      </c>
      <c r="O88" s="113">
        <f>IFERROR(aurora_data!N383,0)</f>
        <v>0</v>
      </c>
      <c r="P88" s="253">
        <f>IFERROR(aurora_data!O383,0)</f>
        <v>0</v>
      </c>
      <c r="Q88" s="253">
        <f>IFERROR(aurora_data!P383,0)</f>
        <v>0</v>
      </c>
      <c r="R88" s="254">
        <f>IFERROR(aurora_data!Q383,0)</f>
        <v>0</v>
      </c>
      <c r="S88" s="253">
        <f>IFERROR(aurora_data!R383,0)</f>
        <v>0</v>
      </c>
      <c r="T88" s="253">
        <f>IFERROR(aurora_data!S383,0)</f>
        <v>0</v>
      </c>
      <c r="U88" s="254">
        <f>IFERROR(aurora_data!T383,0)</f>
        <v>0</v>
      </c>
      <c r="V88" s="61" t="s">
        <v>354</v>
      </c>
      <c r="W88" s="113">
        <f>IFERROR(aurora_data!U383,0)</f>
        <v>0</v>
      </c>
      <c r="X88" s="255">
        <f t="shared" si="5"/>
        <v>0</v>
      </c>
      <c r="Y88" s="2"/>
      <c r="Z88" s="222"/>
    </row>
    <row r="89" spans="1:54" customFormat="1" ht="16.5" customHeight="1" thickBot="1">
      <c r="A89" s="2"/>
      <c r="B89" s="561"/>
      <c r="C89" s="454"/>
      <c r="D89" s="37" t="s">
        <v>17</v>
      </c>
      <c r="E89" s="59">
        <f>IFERROR(aurora_data!D384,0)</f>
        <v>1</v>
      </c>
      <c r="F89" s="64">
        <f>IFERROR(aurora_data!E384,0)</f>
        <v>1</v>
      </c>
      <c r="G89" s="64">
        <f>IFERROR(aurora_data!F384,0)</f>
        <v>4</v>
      </c>
      <c r="H89" s="64">
        <f>IFERROR(aurora_data!G384,0)</f>
        <v>12</v>
      </c>
      <c r="I89" s="65">
        <f>IFERROR(aurora_data!H384,0)</f>
        <v>7</v>
      </c>
      <c r="J89" s="59">
        <f>IFERROR(aurora_data!I384,0)</f>
        <v>1</v>
      </c>
      <c r="K89" s="64">
        <f>IFERROR(aurora_data!J384,0)</f>
        <v>4</v>
      </c>
      <c r="L89" s="64">
        <f>IFERROR(aurora_data!K384,0)</f>
        <v>10</v>
      </c>
      <c r="M89" s="64">
        <f>IFERROR(aurora_data!L384,0)</f>
        <v>1</v>
      </c>
      <c r="N89" s="65">
        <f>IFERROR(aurora_data!M384,0)</f>
        <v>9</v>
      </c>
      <c r="O89" s="59">
        <f>IFERROR(aurora_data!N384,0)</f>
        <v>6</v>
      </c>
      <c r="P89" s="64">
        <f>IFERROR(aurora_data!O384,0)</f>
        <v>3</v>
      </c>
      <c r="Q89" s="64">
        <f>IFERROR(aurora_data!P384,0)</f>
        <v>11</v>
      </c>
      <c r="R89" s="65">
        <f>IFERROR(aurora_data!Q384,0)</f>
        <v>5</v>
      </c>
      <c r="S89" s="64">
        <f>IFERROR(aurora_data!R384,0)</f>
        <v>12</v>
      </c>
      <c r="T89" s="64">
        <f>IFERROR(aurora_data!S384,0)</f>
        <v>13</v>
      </c>
      <c r="U89" s="65">
        <f>IFERROR(aurora_data!T384,0)</f>
        <v>0</v>
      </c>
      <c r="V89" s="66" t="s">
        <v>354</v>
      </c>
      <c r="W89" s="59">
        <f>IFERROR(aurora_data!U384,0)</f>
        <v>25</v>
      </c>
      <c r="X89" s="70">
        <f t="shared" si="5"/>
        <v>1.25</v>
      </c>
      <c r="Y89" s="2"/>
      <c r="Z89" s="222"/>
    </row>
    <row r="90" spans="1:54" customFormat="1" ht="16.5" thickBot="1">
      <c r="A90" s="2"/>
      <c r="B90" s="561"/>
      <c r="C90" s="454"/>
      <c r="D90" s="38" t="s">
        <v>343</v>
      </c>
      <c r="E90" s="256">
        <f>IFERROR(aurora_data!D385,0)</f>
        <v>0</v>
      </c>
      <c r="F90" s="257">
        <f>IFERROR(aurora_data!E385,0)</f>
        <v>0</v>
      </c>
      <c r="G90" s="257">
        <f>IFERROR(aurora_data!F385,0)</f>
        <v>0</v>
      </c>
      <c r="H90" s="257">
        <f>IFERROR(aurora_data!G385,0)</f>
        <v>0</v>
      </c>
      <c r="I90" s="258">
        <f>IFERROR(aurora_data!H385,0)</f>
        <v>0</v>
      </c>
      <c r="J90" s="256">
        <f>IFERROR(aurora_data!I385,0)</f>
        <v>0</v>
      </c>
      <c r="K90" s="257">
        <f>IFERROR(aurora_data!J385,0)</f>
        <v>0</v>
      </c>
      <c r="L90" s="257">
        <f>IFERROR(aurora_data!K385,0)</f>
        <v>0</v>
      </c>
      <c r="M90" s="257">
        <f>IFERROR(aurora_data!L385,0)</f>
        <v>0</v>
      </c>
      <c r="N90" s="258">
        <f>IFERROR(aurora_data!M385,0)</f>
        <v>0</v>
      </c>
      <c r="O90" s="256">
        <f>IFERROR(aurora_data!N385,0)</f>
        <v>0</v>
      </c>
      <c r="P90" s="257">
        <f>IFERROR(aurora_data!O385,0)</f>
        <v>0</v>
      </c>
      <c r="Q90" s="257">
        <f>IFERROR(aurora_data!P385,0)</f>
        <v>0</v>
      </c>
      <c r="R90" s="258">
        <f>IFERROR(aurora_data!Q385,0)</f>
        <v>0</v>
      </c>
      <c r="S90" s="257">
        <f>IFERROR(aurora_data!R385,0)</f>
        <v>0</v>
      </c>
      <c r="T90" s="257">
        <f>IFERROR(aurora_data!S385,0)</f>
        <v>0</v>
      </c>
      <c r="U90" s="259">
        <f>IFERROR(aurora_data!T385,0)</f>
        <v>0</v>
      </c>
      <c r="V90" s="260" t="s">
        <v>354</v>
      </c>
      <c r="W90" s="256">
        <f>IFERROR(aurora_data!U385,0)</f>
        <v>0</v>
      </c>
      <c r="X90" s="261">
        <f t="shared" si="5"/>
        <v>0</v>
      </c>
      <c r="Y90" s="2"/>
      <c r="Z90" s="222"/>
    </row>
    <row r="91" spans="1:54" customFormat="1" hidden="1" outlineLevel="1">
      <c r="A91" s="2"/>
      <c r="B91" s="147"/>
      <c r="C91" s="454"/>
      <c r="D91" s="199" t="s">
        <v>344</v>
      </c>
      <c r="E91" s="276">
        <f>IFERROR(aurora_data!D386,0)</f>
        <v>0.73</v>
      </c>
      <c r="F91" s="277">
        <f>IFERROR(aurora_data!E386,0)</f>
        <v>1.17</v>
      </c>
      <c r="G91" s="277">
        <f>IFERROR(aurora_data!F386,0)</f>
        <v>3.99</v>
      </c>
      <c r="H91" s="277">
        <f>IFERROR(aurora_data!G386,0)</f>
        <v>6.46</v>
      </c>
      <c r="I91" s="277">
        <f>IFERROR(aurora_data!H386,0)</f>
        <v>7.64</v>
      </c>
      <c r="J91" s="271"/>
      <c r="K91" s="272"/>
      <c r="L91" s="272"/>
      <c r="M91" s="272"/>
      <c r="N91" s="268"/>
      <c r="O91" s="271"/>
      <c r="P91" s="272"/>
      <c r="Q91" s="272"/>
      <c r="R91" s="268"/>
      <c r="S91" s="265"/>
      <c r="T91" s="272"/>
      <c r="U91" s="282"/>
      <c r="V91" s="61" t="s">
        <v>354</v>
      </c>
      <c r="W91" s="291">
        <f>IFERROR(aurora_data!U386,0)</f>
        <v>20</v>
      </c>
      <c r="X91" s="286">
        <f t="shared" si="5"/>
        <v>1</v>
      </c>
      <c r="Y91" s="206"/>
      <c r="Z91" s="222"/>
    </row>
    <row r="92" spans="1:54" customFormat="1" ht="16.5" hidden="1" customHeight="1" outlineLevel="1">
      <c r="A92" s="2"/>
      <c r="B92" s="147"/>
      <c r="C92" s="454"/>
      <c r="D92" s="199" t="s">
        <v>345</v>
      </c>
      <c r="E92" s="276">
        <f>IFERROR(aurora_data!D387,0)</f>
        <v>1</v>
      </c>
      <c r="F92" s="277">
        <f>IFERROR(aurora_data!E387,0)</f>
        <v>1</v>
      </c>
      <c r="G92" s="277">
        <f>IFERROR(aurora_data!F387,0)</f>
        <v>4</v>
      </c>
      <c r="H92" s="277">
        <f>IFERROR(aurora_data!G387,0)</f>
        <v>6</v>
      </c>
      <c r="I92" s="277">
        <f>IFERROR(aurora_data!H387,0)</f>
        <v>8</v>
      </c>
      <c r="J92" s="276"/>
      <c r="K92" s="277"/>
      <c r="L92" s="277"/>
      <c r="M92" s="277"/>
      <c r="N92" s="278"/>
      <c r="O92" s="276"/>
      <c r="P92" s="277"/>
      <c r="Q92" s="277"/>
      <c r="R92" s="278"/>
      <c r="S92" s="276"/>
      <c r="T92" s="277"/>
      <c r="U92" s="287"/>
      <c r="V92" s="61" t="s">
        <v>354</v>
      </c>
      <c r="W92" s="285">
        <f>IFERROR(aurora_data!U387,0)</f>
        <v>20</v>
      </c>
      <c r="X92" s="287">
        <f t="shared" si="5"/>
        <v>1</v>
      </c>
      <c r="Y92" s="207"/>
      <c r="Z92" s="222"/>
    </row>
    <row r="93" spans="1:54" customFormat="1" ht="16.5" hidden="1" customHeight="1" outlineLevel="1">
      <c r="A93" s="2"/>
      <c r="B93" s="147"/>
      <c r="C93" s="454"/>
      <c r="D93" s="95" t="s">
        <v>346</v>
      </c>
      <c r="E93" s="414">
        <f>IFERROR(E82/$W82,0)</f>
        <v>3.4000000000000002E-2</v>
      </c>
      <c r="F93" s="415">
        <f>IFERROR(F82/$W82,0)</f>
        <v>5.7999999999999996E-2</v>
      </c>
      <c r="G93" s="415">
        <f>IFERROR(G82/$W82,0)</f>
        <v>0.19800000000000001</v>
      </c>
      <c r="H93" s="415">
        <f>IFERROR(H82/$W82,0)</f>
        <v>0.31950000000000001</v>
      </c>
      <c r="I93" s="415">
        <f>IFERROR(I82/$W82,0)</f>
        <v>0.39100000000000001</v>
      </c>
      <c r="J93" s="414"/>
      <c r="K93" s="415"/>
      <c r="L93" s="415"/>
      <c r="M93" s="415"/>
      <c r="N93" s="416"/>
      <c r="O93" s="414"/>
      <c r="P93" s="415"/>
      <c r="Q93" s="415"/>
      <c r="R93" s="416"/>
      <c r="S93" s="414"/>
      <c r="T93" s="415"/>
      <c r="U93" s="254"/>
      <c r="V93" s="61" t="s">
        <v>354</v>
      </c>
      <c r="W93" s="113">
        <f>IFERROR(aurora_data!U388,0)</f>
        <v>2</v>
      </c>
      <c r="X93" s="431">
        <f t="shared" si="5"/>
        <v>0.1</v>
      </c>
      <c r="Y93" s="208"/>
      <c r="Z93" s="222"/>
    </row>
    <row r="94" spans="1:54" customFormat="1" ht="16.5" hidden="1" customHeight="1" outlineLevel="1">
      <c r="A94" s="2"/>
      <c r="B94" s="147"/>
      <c r="C94" s="454"/>
      <c r="D94" s="180" t="s">
        <v>347</v>
      </c>
      <c r="E94" s="414">
        <f>IFERROR(E83/$W82,0)</f>
        <v>0.05</v>
      </c>
      <c r="F94" s="415">
        <f>IFERROR(F83/$W82,0)</f>
        <v>0.05</v>
      </c>
      <c r="G94" s="415">
        <f>IFERROR(G83/$W82,0)</f>
        <v>0.2</v>
      </c>
      <c r="H94" s="415">
        <f>IFERROR(H83/$W82,0)</f>
        <v>0.35</v>
      </c>
      <c r="I94" s="415">
        <f>IFERROR(I83/$W82,0)</f>
        <v>0.35</v>
      </c>
      <c r="J94" s="414"/>
      <c r="K94" s="415"/>
      <c r="L94" s="415"/>
      <c r="M94" s="415"/>
      <c r="N94" s="416"/>
      <c r="O94" s="414"/>
      <c r="P94" s="415"/>
      <c r="Q94" s="415"/>
      <c r="R94" s="416"/>
      <c r="S94" s="414"/>
      <c r="T94" s="415"/>
      <c r="U94" s="254"/>
      <c r="V94" s="61" t="s">
        <v>354</v>
      </c>
      <c r="W94" s="113">
        <f>IFERROR(aurora_data!U389,0)</f>
        <v>0</v>
      </c>
      <c r="X94" s="431">
        <f t="shared" si="5"/>
        <v>0</v>
      </c>
      <c r="Y94" s="208"/>
      <c r="Z94" s="222"/>
    </row>
    <row r="95" spans="1:54" customFormat="1" ht="16.5" hidden="1" outlineLevel="1" thickBot="1">
      <c r="A95" s="2"/>
      <c r="B95" s="147"/>
      <c r="C95" s="455"/>
      <c r="D95" s="180" t="s">
        <v>348</v>
      </c>
      <c r="E95" s="414">
        <f>E94-E93</f>
        <v>1.6E-2</v>
      </c>
      <c r="F95" s="415">
        <f>F94-F93</f>
        <v>-7.9999999999999932E-3</v>
      </c>
      <c r="G95" s="415">
        <f>G94-G93</f>
        <v>2.0000000000000018E-3</v>
      </c>
      <c r="H95" s="415">
        <f>H94-H93</f>
        <v>3.0499999999999972E-2</v>
      </c>
      <c r="I95" s="415">
        <f>I94-I93</f>
        <v>-4.1000000000000036E-2</v>
      </c>
      <c r="J95" s="414"/>
      <c r="K95" s="415"/>
      <c r="L95" s="415"/>
      <c r="M95" s="415"/>
      <c r="N95" s="416"/>
      <c r="O95" s="414"/>
      <c r="P95" s="415"/>
      <c r="Q95" s="415"/>
      <c r="R95" s="416"/>
      <c r="S95" s="432"/>
      <c r="T95" s="415"/>
      <c r="U95" s="254"/>
      <c r="V95" s="61" t="s">
        <v>354</v>
      </c>
      <c r="W95" s="113">
        <f>IFERROR(aurora_data!U390,0)</f>
        <v>0</v>
      </c>
      <c r="X95" s="431">
        <f t="shared" si="5"/>
        <v>0</v>
      </c>
      <c r="Y95" s="209"/>
      <c r="Z95" s="222"/>
    </row>
    <row r="96" spans="1:54" customFormat="1" collapsed="1">
      <c r="A96" s="2"/>
      <c r="B96" s="560" t="s">
        <v>362</v>
      </c>
      <c r="C96" s="453" t="str">
        <f>aurora_data!A386</f>
        <v>12.00.00-12.11.30</v>
      </c>
      <c r="D96" s="34" t="s">
        <v>306</v>
      </c>
      <c r="E96" s="39">
        <f>IFERROR(aurora_data!D386,0)</f>
        <v>0.73</v>
      </c>
      <c r="F96" s="40">
        <f>IFERROR(aurora_data!E386,0)</f>
        <v>1.17</v>
      </c>
      <c r="G96" s="40">
        <f>IFERROR(aurora_data!F386,0)</f>
        <v>3.99</v>
      </c>
      <c r="H96" s="40">
        <f>IFERROR(aurora_data!G386,0)</f>
        <v>6.46</v>
      </c>
      <c r="I96" s="41">
        <f>IFERROR(aurora_data!H386,0)</f>
        <v>7.64</v>
      </c>
      <c r="J96" s="39">
        <f>IFERROR(aurora_data!I386,0)</f>
        <v>1</v>
      </c>
      <c r="K96" s="40">
        <f>IFERROR(aurora_data!J386,0)</f>
        <v>1</v>
      </c>
      <c r="L96" s="40">
        <f>IFERROR(aurora_data!K386,0)</f>
        <v>1</v>
      </c>
      <c r="M96" s="40">
        <f>IFERROR(aurora_data!L386,0)</f>
        <v>1</v>
      </c>
      <c r="N96" s="41">
        <f>IFERROR(aurora_data!M386,0)</f>
        <v>1</v>
      </c>
      <c r="O96" s="39">
        <f>IFERROR(aurora_data!N386,0)</f>
        <v>1</v>
      </c>
      <c r="P96" s="40">
        <f>IFERROR(aurora_data!O386,0)</f>
        <v>1</v>
      </c>
      <c r="Q96" s="40">
        <f>IFERROR(aurora_data!P386,0)</f>
        <v>1</v>
      </c>
      <c r="R96" s="41">
        <f>IFERROR(aurora_data!Q386,0)</f>
        <v>1</v>
      </c>
      <c r="S96" s="40">
        <f>IFERROR(aurora_data!R386,0)</f>
        <v>1</v>
      </c>
      <c r="T96" s="40">
        <f>IFERROR(aurora_data!S386,0)</f>
        <v>1</v>
      </c>
      <c r="U96" s="41">
        <f>IFERROR(aurora_data!T386,0)</f>
        <v>0</v>
      </c>
      <c r="V96" s="61" t="s">
        <v>354</v>
      </c>
      <c r="W96" s="39">
        <f>IFERROR(aurora_data!U386,0)</f>
        <v>20</v>
      </c>
      <c r="X96" s="69">
        <f t="shared" ref="X96:X104" si="6">IFERROR(W96/$W$96,0)</f>
        <v>1</v>
      </c>
      <c r="Y96" s="2"/>
      <c r="Z96" s="222"/>
      <c r="BA96" s="2"/>
      <c r="BB96" s="2"/>
    </row>
    <row r="97" spans="1:54" customFormat="1" ht="16.5" customHeight="1">
      <c r="A97" s="2"/>
      <c r="B97" s="561"/>
      <c r="C97" s="454"/>
      <c r="D97" s="35" t="s">
        <v>339</v>
      </c>
      <c r="E97" s="113">
        <f>IFERROR(aurora_data!D387,0)</f>
        <v>1</v>
      </c>
      <c r="F97" s="253">
        <f>IFERROR(aurora_data!E387,0)</f>
        <v>1</v>
      </c>
      <c r="G97" s="253">
        <f>IFERROR(aurora_data!F387,0)</f>
        <v>4</v>
      </c>
      <c r="H97" s="253">
        <f>IFERROR(aurora_data!G387,0)</f>
        <v>6</v>
      </c>
      <c r="I97" s="254">
        <f>IFERROR(aurora_data!H387,0)</f>
        <v>8</v>
      </c>
      <c r="J97" s="113">
        <f>IFERROR(aurora_data!I387,0)</f>
        <v>1</v>
      </c>
      <c r="K97" s="253">
        <f>IFERROR(aurora_data!J387,0)</f>
        <v>1</v>
      </c>
      <c r="L97" s="253">
        <f>IFERROR(aurora_data!K387,0)</f>
        <v>7</v>
      </c>
      <c r="M97" s="253">
        <f>IFERROR(aurora_data!L387,0)</f>
        <v>3</v>
      </c>
      <c r="N97" s="254">
        <f>IFERROR(aurora_data!M387,0)</f>
        <v>8</v>
      </c>
      <c r="O97" s="113">
        <f>IFERROR(aurora_data!N387,0)</f>
        <v>7</v>
      </c>
      <c r="P97" s="253">
        <f>IFERROR(aurora_data!O387,0)</f>
        <v>1</v>
      </c>
      <c r="Q97" s="253">
        <f>IFERROR(aurora_data!P387,0)</f>
        <v>7</v>
      </c>
      <c r="R97" s="254">
        <f>IFERROR(aurora_data!Q387,0)</f>
        <v>5</v>
      </c>
      <c r="S97" s="253">
        <f>IFERROR(aurora_data!R387,0)</f>
        <v>8</v>
      </c>
      <c r="T97" s="253">
        <f>IFERROR(aurora_data!S387,0)</f>
        <v>12</v>
      </c>
      <c r="U97" s="254">
        <f>IFERROR(aurora_data!T387,0)</f>
        <v>0</v>
      </c>
      <c r="V97" s="61" t="s">
        <v>354</v>
      </c>
      <c r="W97" s="113">
        <f>IFERROR(aurora_data!U387,0)</f>
        <v>20</v>
      </c>
      <c r="X97" s="255">
        <f t="shared" si="6"/>
        <v>1</v>
      </c>
      <c r="Y97" s="2"/>
      <c r="Z97" s="222"/>
      <c r="BA97" s="2"/>
      <c r="BB97" s="2"/>
    </row>
    <row r="98" spans="1:54" customFormat="1" ht="16.5" customHeight="1">
      <c r="A98" s="2"/>
      <c r="B98" s="561"/>
      <c r="C98" s="454"/>
      <c r="D98" s="35" t="s">
        <v>291</v>
      </c>
      <c r="E98" s="113">
        <f>IFERROR(aurora_data!D388,0)</f>
        <v>0</v>
      </c>
      <c r="F98" s="253">
        <f>IFERROR(aurora_data!E388,0)</f>
        <v>0</v>
      </c>
      <c r="G98" s="253">
        <f>IFERROR(aurora_data!F388,0)</f>
        <v>0</v>
      </c>
      <c r="H98" s="253">
        <f>IFERROR(aurora_data!G388,0)</f>
        <v>0</v>
      </c>
      <c r="I98" s="254">
        <f>IFERROR(aurora_data!H388,0)</f>
        <v>2</v>
      </c>
      <c r="J98" s="113">
        <f>IFERROR(aurora_data!I388,0)</f>
        <v>0</v>
      </c>
      <c r="K98" s="253">
        <f>IFERROR(aurora_data!J388,0)</f>
        <v>0</v>
      </c>
      <c r="L98" s="253">
        <f>IFERROR(aurora_data!K388,0)</f>
        <v>0</v>
      </c>
      <c r="M98" s="253">
        <f>IFERROR(aurora_data!L388,0)</f>
        <v>0</v>
      </c>
      <c r="N98" s="254">
        <f>IFERROR(aurora_data!M388,0)</f>
        <v>2</v>
      </c>
      <c r="O98" s="113">
        <f>IFERROR(aurora_data!N388,0)</f>
        <v>0</v>
      </c>
      <c r="P98" s="253">
        <f>IFERROR(aurora_data!O388,0)</f>
        <v>1</v>
      </c>
      <c r="Q98" s="253">
        <f>IFERROR(aurora_data!P388,0)</f>
        <v>1</v>
      </c>
      <c r="R98" s="254">
        <f>IFERROR(aurora_data!Q388,0)</f>
        <v>0</v>
      </c>
      <c r="S98" s="253">
        <f>IFERROR(aurora_data!R388,0)</f>
        <v>0</v>
      </c>
      <c r="T98" s="253">
        <f>IFERROR(aurora_data!S388,0)</f>
        <v>2</v>
      </c>
      <c r="U98" s="254">
        <f>IFERROR(aurora_data!T388,0)</f>
        <v>0</v>
      </c>
      <c r="V98" s="61" t="s">
        <v>354</v>
      </c>
      <c r="W98" s="113">
        <f>IFERROR(aurora_data!U388,0)</f>
        <v>2</v>
      </c>
      <c r="X98" s="255">
        <f t="shared" si="6"/>
        <v>0.1</v>
      </c>
      <c r="Y98" s="2"/>
      <c r="Z98" s="222"/>
      <c r="BA98" s="2"/>
      <c r="BB98" s="2"/>
    </row>
    <row r="99" spans="1:54" customFormat="1">
      <c r="A99" s="2"/>
      <c r="B99" s="561"/>
      <c r="C99" s="454"/>
      <c r="D99" s="35" t="s">
        <v>340</v>
      </c>
      <c r="E99" s="113">
        <f>IFERROR(aurora_data!D389,0)</f>
        <v>0</v>
      </c>
      <c r="F99" s="253">
        <f>IFERROR(aurora_data!E389,0)</f>
        <v>0</v>
      </c>
      <c r="G99" s="253">
        <f>IFERROR(aurora_data!F389,0)</f>
        <v>0</v>
      </c>
      <c r="H99" s="253">
        <f>IFERROR(aurora_data!G389,0)</f>
        <v>0</v>
      </c>
      <c r="I99" s="254">
        <f>IFERROR(aurora_data!H389,0)</f>
        <v>0</v>
      </c>
      <c r="J99" s="113">
        <f>IFERROR(aurora_data!I389,0)</f>
        <v>0</v>
      </c>
      <c r="K99" s="253">
        <f>IFERROR(aurora_data!J389,0)</f>
        <v>0</v>
      </c>
      <c r="L99" s="253">
        <f>IFERROR(aurora_data!K389,0)</f>
        <v>0</v>
      </c>
      <c r="M99" s="253">
        <f>IFERROR(aurora_data!L389,0)</f>
        <v>0</v>
      </c>
      <c r="N99" s="254">
        <f>IFERROR(aurora_data!M389,0)</f>
        <v>0</v>
      </c>
      <c r="O99" s="113">
        <f>IFERROR(aurora_data!N389,0)</f>
        <v>0</v>
      </c>
      <c r="P99" s="253">
        <f>IFERROR(aurora_data!O389,0)</f>
        <v>0</v>
      </c>
      <c r="Q99" s="253">
        <f>IFERROR(aurora_data!P389,0)</f>
        <v>0</v>
      </c>
      <c r="R99" s="254">
        <f>IFERROR(aurora_data!Q389,0)</f>
        <v>0</v>
      </c>
      <c r="S99" s="253">
        <f>IFERROR(aurora_data!R389,0)</f>
        <v>0</v>
      </c>
      <c r="T99" s="253">
        <f>IFERROR(aurora_data!S389,0)</f>
        <v>0</v>
      </c>
      <c r="U99" s="254">
        <f>IFERROR(aurora_data!T389,0)</f>
        <v>0</v>
      </c>
      <c r="V99" s="61" t="s">
        <v>354</v>
      </c>
      <c r="W99" s="113">
        <f>IFERROR(aurora_data!U389,0)</f>
        <v>0</v>
      </c>
      <c r="X99" s="255">
        <f t="shared" si="6"/>
        <v>0</v>
      </c>
      <c r="Y99" s="2"/>
      <c r="Z99" s="222"/>
      <c r="BA99" s="2"/>
      <c r="BB99" s="2"/>
    </row>
    <row r="100" spans="1:54" customFormat="1">
      <c r="A100" s="2"/>
      <c r="B100" s="561"/>
      <c r="C100" s="454"/>
      <c r="D100" s="35" t="s">
        <v>298</v>
      </c>
      <c r="E100" s="113">
        <f>IFERROR(aurora_data!D390,0)</f>
        <v>0</v>
      </c>
      <c r="F100" s="253">
        <f>IFERROR(aurora_data!E390,0)</f>
        <v>0</v>
      </c>
      <c r="G100" s="253">
        <f>IFERROR(aurora_data!F390,0)</f>
        <v>0</v>
      </c>
      <c r="H100" s="253">
        <f>IFERROR(aurora_data!G390,0)</f>
        <v>0</v>
      </c>
      <c r="I100" s="254">
        <f>IFERROR(aurora_data!H390,0)</f>
        <v>0</v>
      </c>
      <c r="J100" s="113">
        <f>IFERROR(aurora_data!I390,0)</f>
        <v>0</v>
      </c>
      <c r="K100" s="253">
        <f>IFERROR(aurora_data!J390,0)</f>
        <v>0</v>
      </c>
      <c r="L100" s="253">
        <f>IFERROR(aurora_data!K390,0)</f>
        <v>0</v>
      </c>
      <c r="M100" s="253">
        <f>IFERROR(aurora_data!L390,0)</f>
        <v>0</v>
      </c>
      <c r="N100" s="254">
        <f>IFERROR(aurora_data!M390,0)</f>
        <v>0</v>
      </c>
      <c r="O100" s="113">
        <f>IFERROR(aurora_data!N390,0)</f>
        <v>0</v>
      </c>
      <c r="P100" s="253">
        <f>IFERROR(aurora_data!O390,0)</f>
        <v>0</v>
      </c>
      <c r="Q100" s="253">
        <f>IFERROR(aurora_data!P390,0)</f>
        <v>0</v>
      </c>
      <c r="R100" s="254">
        <f>IFERROR(aurora_data!Q390,0)</f>
        <v>0</v>
      </c>
      <c r="S100" s="253">
        <f>IFERROR(aurora_data!R390,0)</f>
        <v>0</v>
      </c>
      <c r="T100" s="253">
        <f>IFERROR(aurora_data!S390,0)</f>
        <v>0</v>
      </c>
      <c r="U100" s="254">
        <f>IFERROR(aurora_data!T390,0)</f>
        <v>0</v>
      </c>
      <c r="V100" s="61" t="s">
        <v>354</v>
      </c>
      <c r="W100" s="113">
        <f>IFERROR(aurora_data!U390,0)</f>
        <v>0</v>
      </c>
      <c r="X100" s="255">
        <f t="shared" si="6"/>
        <v>0</v>
      </c>
      <c r="Y100" s="2"/>
      <c r="Z100" s="222"/>
      <c r="BA100" s="2"/>
      <c r="BB100" s="2"/>
    </row>
    <row r="101" spans="1:54" customFormat="1" ht="16.5" customHeight="1">
      <c r="A101" s="2"/>
      <c r="B101" s="561"/>
      <c r="C101" s="454"/>
      <c r="D101" s="35" t="s">
        <v>341</v>
      </c>
      <c r="E101" s="113">
        <f>IFERROR(aurora_data!D391,0)</f>
        <v>0</v>
      </c>
      <c r="F101" s="253">
        <f>IFERROR(aurora_data!E391,0)</f>
        <v>0</v>
      </c>
      <c r="G101" s="253">
        <f>IFERROR(aurora_data!F391,0)</f>
        <v>0</v>
      </c>
      <c r="H101" s="253">
        <f>IFERROR(aurora_data!G391,0)</f>
        <v>0</v>
      </c>
      <c r="I101" s="254">
        <f>IFERROR(aurora_data!H391,0)</f>
        <v>0</v>
      </c>
      <c r="J101" s="113">
        <f>IFERROR(aurora_data!I391,0)</f>
        <v>0</v>
      </c>
      <c r="K101" s="253">
        <f>IFERROR(aurora_data!J391,0)</f>
        <v>0</v>
      </c>
      <c r="L101" s="253">
        <f>IFERROR(aurora_data!K391,0)</f>
        <v>0</v>
      </c>
      <c r="M101" s="253">
        <f>IFERROR(aurora_data!L391,0)</f>
        <v>0</v>
      </c>
      <c r="N101" s="254">
        <f>IFERROR(aurora_data!M391,0)</f>
        <v>0</v>
      </c>
      <c r="O101" s="113">
        <f>IFERROR(aurora_data!N391,0)</f>
        <v>0</v>
      </c>
      <c r="P101" s="253">
        <f>IFERROR(aurora_data!O391,0)</f>
        <v>0</v>
      </c>
      <c r="Q101" s="253">
        <f>IFERROR(aurora_data!P391,0)</f>
        <v>0</v>
      </c>
      <c r="R101" s="254">
        <f>IFERROR(aurora_data!Q391,0)</f>
        <v>0</v>
      </c>
      <c r="S101" s="253">
        <f>IFERROR(aurora_data!R391,0)</f>
        <v>0</v>
      </c>
      <c r="T101" s="253">
        <f>IFERROR(aurora_data!S391,0)</f>
        <v>0</v>
      </c>
      <c r="U101" s="254">
        <f>IFERROR(aurora_data!T391,0)</f>
        <v>0</v>
      </c>
      <c r="V101" s="61" t="s">
        <v>354</v>
      </c>
      <c r="W101" s="113">
        <f>IFERROR(aurora_data!U391,0)</f>
        <v>0</v>
      </c>
      <c r="X101" s="255">
        <f t="shared" si="6"/>
        <v>0</v>
      </c>
      <c r="Y101" s="2"/>
      <c r="Z101" s="222"/>
      <c r="BA101" s="2"/>
      <c r="BB101" s="2"/>
    </row>
    <row r="102" spans="1:54" customFormat="1" ht="16.5" customHeight="1" thickBot="1">
      <c r="A102" s="2"/>
      <c r="B102" s="561"/>
      <c r="C102" s="454"/>
      <c r="D102" s="35" t="s">
        <v>342</v>
      </c>
      <c r="E102" s="113">
        <f>IFERROR(aurora_data!D392,0)</f>
        <v>0</v>
      </c>
      <c r="F102" s="253">
        <f>IFERROR(aurora_data!E392,0)</f>
        <v>0</v>
      </c>
      <c r="G102" s="253">
        <f>IFERROR(aurora_data!F392,0)</f>
        <v>0</v>
      </c>
      <c r="H102" s="253">
        <f>IFERROR(aurora_data!G392,0)</f>
        <v>0</v>
      </c>
      <c r="I102" s="254">
        <f>IFERROR(aurora_data!H392,0)</f>
        <v>0</v>
      </c>
      <c r="J102" s="113">
        <f>IFERROR(aurora_data!I392,0)</f>
        <v>0</v>
      </c>
      <c r="K102" s="253">
        <f>IFERROR(aurora_data!J392,0)</f>
        <v>0</v>
      </c>
      <c r="L102" s="253">
        <f>IFERROR(aurora_data!K392,0)</f>
        <v>0</v>
      </c>
      <c r="M102" s="253">
        <f>IFERROR(aurora_data!L392,0)</f>
        <v>0</v>
      </c>
      <c r="N102" s="254">
        <f>IFERROR(aurora_data!M392,0)</f>
        <v>0</v>
      </c>
      <c r="O102" s="113">
        <f>IFERROR(aurora_data!N392,0)</f>
        <v>0</v>
      </c>
      <c r="P102" s="253">
        <f>IFERROR(aurora_data!O392,0)</f>
        <v>0</v>
      </c>
      <c r="Q102" s="253">
        <f>IFERROR(aurora_data!P392,0)</f>
        <v>0</v>
      </c>
      <c r="R102" s="254">
        <f>IFERROR(aurora_data!Q392,0)</f>
        <v>0</v>
      </c>
      <c r="S102" s="253">
        <f>IFERROR(aurora_data!R392,0)</f>
        <v>0</v>
      </c>
      <c r="T102" s="253">
        <f>IFERROR(aurora_data!S392,0)</f>
        <v>0</v>
      </c>
      <c r="U102" s="254">
        <f>IFERROR(aurora_data!T392,0)</f>
        <v>0</v>
      </c>
      <c r="V102" s="61" t="s">
        <v>354</v>
      </c>
      <c r="W102" s="113">
        <f>IFERROR(aurora_data!U392,0)</f>
        <v>0</v>
      </c>
      <c r="X102" s="255">
        <f t="shared" si="6"/>
        <v>0</v>
      </c>
      <c r="Y102" s="2"/>
      <c r="Z102" s="222"/>
      <c r="BA102" s="2"/>
      <c r="BB102" s="2"/>
    </row>
    <row r="103" spans="1:54" customFormat="1" ht="16.5" customHeight="1" thickBot="1">
      <c r="A103" s="2"/>
      <c r="B103" s="561"/>
      <c r="C103" s="454"/>
      <c r="D103" s="37" t="s">
        <v>17</v>
      </c>
      <c r="E103" s="59">
        <f>IFERROR(aurora_data!D393,0)</f>
        <v>1</v>
      </c>
      <c r="F103" s="64">
        <f>IFERROR(aurora_data!E393,0)</f>
        <v>1</v>
      </c>
      <c r="G103" s="64">
        <f>IFERROR(aurora_data!F393,0)</f>
        <v>4</v>
      </c>
      <c r="H103" s="64">
        <f>IFERROR(aurora_data!G393,0)</f>
        <v>6</v>
      </c>
      <c r="I103" s="65">
        <f>IFERROR(aurora_data!H393,0)</f>
        <v>10</v>
      </c>
      <c r="J103" s="59">
        <f>IFERROR(aurora_data!I393,0)</f>
        <v>1</v>
      </c>
      <c r="K103" s="64">
        <f>IFERROR(aurora_data!J393,0)</f>
        <v>1</v>
      </c>
      <c r="L103" s="64">
        <f>IFERROR(aurora_data!K393,0)</f>
        <v>7</v>
      </c>
      <c r="M103" s="64">
        <f>IFERROR(aurora_data!L393,0)</f>
        <v>3</v>
      </c>
      <c r="N103" s="65">
        <f>IFERROR(aurora_data!M393,0)</f>
        <v>10</v>
      </c>
      <c r="O103" s="59">
        <f>IFERROR(aurora_data!N393,0)</f>
        <v>7</v>
      </c>
      <c r="P103" s="64">
        <f>IFERROR(aurora_data!O393,0)</f>
        <v>2</v>
      </c>
      <c r="Q103" s="64">
        <f>IFERROR(aurora_data!P393,0)</f>
        <v>8</v>
      </c>
      <c r="R103" s="65">
        <f>IFERROR(aurora_data!Q393,0)</f>
        <v>5</v>
      </c>
      <c r="S103" s="64">
        <f>IFERROR(aurora_data!R393,0)</f>
        <v>8</v>
      </c>
      <c r="T103" s="64">
        <f>IFERROR(aurora_data!S393,0)</f>
        <v>14</v>
      </c>
      <c r="U103" s="65">
        <f>IFERROR(aurora_data!T393,0)</f>
        <v>0</v>
      </c>
      <c r="V103" s="66" t="s">
        <v>354</v>
      </c>
      <c r="W103" s="59">
        <f>IFERROR(aurora_data!U393,0)</f>
        <v>22</v>
      </c>
      <c r="X103" s="70">
        <f t="shared" si="6"/>
        <v>1.1000000000000001</v>
      </c>
      <c r="Y103" s="2"/>
      <c r="Z103" s="222"/>
      <c r="BA103" s="2"/>
      <c r="BB103" s="2"/>
    </row>
    <row r="104" spans="1:54" customFormat="1" ht="16.5" thickBot="1">
      <c r="A104" s="2"/>
      <c r="B104" s="561"/>
      <c r="C104" s="454"/>
      <c r="D104" s="38" t="s">
        <v>343</v>
      </c>
      <c r="E104" s="256">
        <f>IFERROR(aurora_data!D394,0)</f>
        <v>0</v>
      </c>
      <c r="F104" s="257">
        <f>IFERROR(aurora_data!E394,0)</f>
        <v>0</v>
      </c>
      <c r="G104" s="257">
        <f>IFERROR(aurora_data!F394,0)</f>
        <v>0</v>
      </c>
      <c r="H104" s="257">
        <f>IFERROR(aurora_data!G394,0)</f>
        <v>0</v>
      </c>
      <c r="I104" s="258">
        <f>IFERROR(aurora_data!H394,0)</f>
        <v>0</v>
      </c>
      <c r="J104" s="256">
        <f>IFERROR(aurora_data!I394,0)</f>
        <v>0</v>
      </c>
      <c r="K104" s="257">
        <f>IFERROR(aurora_data!J394,0)</f>
        <v>0</v>
      </c>
      <c r="L104" s="257">
        <f>IFERROR(aurora_data!K394,0)</f>
        <v>0</v>
      </c>
      <c r="M104" s="257">
        <f>IFERROR(aurora_data!L394,0)</f>
        <v>0</v>
      </c>
      <c r="N104" s="258">
        <f>IFERROR(aurora_data!M394,0)</f>
        <v>0</v>
      </c>
      <c r="O104" s="256">
        <f>IFERROR(aurora_data!N394,0)</f>
        <v>0</v>
      </c>
      <c r="P104" s="257">
        <f>IFERROR(aurora_data!O394,0)</f>
        <v>0</v>
      </c>
      <c r="Q104" s="257">
        <f>IFERROR(aurora_data!P394,0)</f>
        <v>0</v>
      </c>
      <c r="R104" s="258">
        <f>IFERROR(aurora_data!Q394,0)</f>
        <v>0</v>
      </c>
      <c r="S104" s="257">
        <f>IFERROR(aurora_data!R394,0)</f>
        <v>0</v>
      </c>
      <c r="T104" s="257">
        <f>IFERROR(aurora_data!S394,0)</f>
        <v>0</v>
      </c>
      <c r="U104" s="259">
        <f>IFERROR(aurora_data!T394,0)</f>
        <v>0</v>
      </c>
      <c r="V104" s="260" t="s">
        <v>354</v>
      </c>
      <c r="W104" s="256">
        <f>IFERROR(aurora_data!U394,0)</f>
        <v>0</v>
      </c>
      <c r="X104" s="261">
        <f t="shared" si="6"/>
        <v>0</v>
      </c>
      <c r="Y104" s="2"/>
      <c r="Z104" s="222"/>
      <c r="BA104" s="2"/>
      <c r="BB104" s="2"/>
    </row>
    <row r="105" spans="1:54" customFormat="1" hidden="1" outlineLevel="1">
      <c r="A105" s="2"/>
      <c r="B105" s="147"/>
      <c r="C105" s="454"/>
      <c r="D105" s="199" t="s">
        <v>344</v>
      </c>
      <c r="E105" s="271">
        <f>ROUNDDOWN((E107+$E$9)*($W96),0)</f>
        <v>4</v>
      </c>
      <c r="F105" s="272">
        <f>ROUNDDOWN((F107+$E$9)*($W96),0)</f>
        <v>5</v>
      </c>
      <c r="G105" s="272">
        <f>ROUNDDOWN((G107+$E$9)*($W96),0)</f>
        <v>7</v>
      </c>
      <c r="H105" s="272">
        <f>ROUNDDOWN((H107+$E$9)*($W96),0)</f>
        <v>10</v>
      </c>
      <c r="I105" s="272">
        <f>ROUNDDOWN((I107+$E$9)*($W96),0)</f>
        <v>11</v>
      </c>
      <c r="J105" s="271"/>
      <c r="K105" s="272"/>
      <c r="L105" s="272"/>
      <c r="M105" s="272"/>
      <c r="N105" s="268"/>
      <c r="O105" s="271"/>
      <c r="P105" s="272"/>
      <c r="Q105" s="272"/>
      <c r="R105" s="268"/>
      <c r="S105" s="265"/>
      <c r="T105" s="272"/>
      <c r="U105" s="282"/>
      <c r="V105" s="61"/>
      <c r="W105" s="291"/>
      <c r="X105" s="286"/>
      <c r="Y105" s="206"/>
      <c r="Z105" s="222"/>
      <c r="BA105" s="2"/>
      <c r="BB105" s="2"/>
    </row>
    <row r="106" spans="1:54" customFormat="1" ht="16.5" hidden="1" customHeight="1" outlineLevel="1">
      <c r="A106" s="2"/>
      <c r="B106" s="147"/>
      <c r="C106" s="454"/>
      <c r="D106" s="199" t="s">
        <v>345</v>
      </c>
      <c r="E106" s="276">
        <f>IF(ROUND(((E107-$E$9)*($W96))+0.25,0) &lt;=0,1,((E107-$E$9)*($W96))+0.25)</f>
        <v>1</v>
      </c>
      <c r="F106" s="277">
        <f>IF(ROUND(((F107-$E$9)*($W96))+0.25,0) &lt;=0,1,((F107-$E$9)*($W96))+0.25)</f>
        <v>1</v>
      </c>
      <c r="G106" s="277">
        <f>IF(ROUND(((G107-$E$9)*($W96))+0.25,0) &lt;=0,1,((G107-$E$9)*($W96))+0.25)</f>
        <v>1</v>
      </c>
      <c r="H106" s="277">
        <f>IF(ROUND(((H107-$E$9)*($W96))+0.25,0) &lt;=0,1,((H107-$E$9)*($W96))+0.25)</f>
        <v>2.71</v>
      </c>
      <c r="I106" s="277">
        <f>IF(ROUND(((I107-$E$9)*($W96))+0.25,0) &lt;=0,1,((I107-$E$9)*($W96))+0.25)</f>
        <v>3.8899999999999997</v>
      </c>
      <c r="J106" s="276"/>
      <c r="K106" s="277"/>
      <c r="L106" s="277"/>
      <c r="M106" s="277"/>
      <c r="N106" s="278"/>
      <c r="O106" s="276"/>
      <c r="P106" s="277"/>
      <c r="Q106" s="277"/>
      <c r="R106" s="278"/>
      <c r="S106" s="276"/>
      <c r="T106" s="277"/>
      <c r="U106" s="287"/>
      <c r="V106" s="61"/>
      <c r="W106" s="285"/>
      <c r="X106" s="287"/>
      <c r="Y106" s="207"/>
      <c r="Z106" s="222"/>
      <c r="BA106" s="2"/>
      <c r="BB106" s="2"/>
    </row>
    <row r="107" spans="1:54" customFormat="1" ht="16.5" hidden="1" customHeight="1" outlineLevel="1">
      <c r="A107" s="2"/>
      <c r="B107" s="147"/>
      <c r="C107" s="454"/>
      <c r="D107" s="95" t="s">
        <v>346</v>
      </c>
      <c r="E107" s="414">
        <f>IFERROR(E96/$W96,0)</f>
        <v>3.6499999999999998E-2</v>
      </c>
      <c r="F107" s="415">
        <f>IFERROR(F96/$W96,0)</f>
        <v>5.8499999999999996E-2</v>
      </c>
      <c r="G107" s="415">
        <f>IFERROR(G96/$W96,0)</f>
        <v>0.19950000000000001</v>
      </c>
      <c r="H107" s="415">
        <f>IFERROR(H96/$W96,0)</f>
        <v>0.32300000000000001</v>
      </c>
      <c r="I107" s="415">
        <f>IFERROR(I96/$W96,0)</f>
        <v>0.38200000000000001</v>
      </c>
      <c r="J107" s="414"/>
      <c r="K107" s="415"/>
      <c r="L107" s="415"/>
      <c r="M107" s="415"/>
      <c r="N107" s="416"/>
      <c r="O107" s="414"/>
      <c r="P107" s="415"/>
      <c r="Q107" s="415"/>
      <c r="R107" s="416"/>
      <c r="S107" s="414"/>
      <c r="T107" s="415"/>
      <c r="U107" s="254"/>
      <c r="V107" s="61"/>
      <c r="W107" s="113"/>
      <c r="X107" s="431"/>
      <c r="Y107" s="208"/>
      <c r="Z107" s="222"/>
      <c r="BA107" s="2"/>
      <c r="BB107" s="2"/>
    </row>
    <row r="108" spans="1:54" customFormat="1" ht="16.5" hidden="1" customHeight="1" outlineLevel="1">
      <c r="A108" s="2"/>
      <c r="B108" s="147"/>
      <c r="C108" s="454"/>
      <c r="D108" s="180" t="s">
        <v>347</v>
      </c>
      <c r="E108" s="414">
        <f>IFERROR(E97/$W96,0)</f>
        <v>0.05</v>
      </c>
      <c r="F108" s="415">
        <f>IFERROR(F97/$W96,0)</f>
        <v>0.05</v>
      </c>
      <c r="G108" s="415">
        <f>IFERROR(G97/$W96,0)</f>
        <v>0.2</v>
      </c>
      <c r="H108" s="415">
        <f>IFERROR(H97/$W96,0)</f>
        <v>0.3</v>
      </c>
      <c r="I108" s="415">
        <f>IFERROR(I97/$W96,0)</f>
        <v>0.4</v>
      </c>
      <c r="J108" s="414"/>
      <c r="K108" s="415"/>
      <c r="L108" s="415"/>
      <c r="M108" s="415"/>
      <c r="N108" s="416"/>
      <c r="O108" s="414"/>
      <c r="P108" s="415"/>
      <c r="Q108" s="415"/>
      <c r="R108" s="416"/>
      <c r="S108" s="414"/>
      <c r="T108" s="415"/>
      <c r="U108" s="254"/>
      <c r="V108" s="61"/>
      <c r="W108" s="113"/>
      <c r="X108" s="431"/>
      <c r="Y108" s="208"/>
      <c r="Z108" s="222"/>
      <c r="BA108" s="2"/>
      <c r="BB108" s="2"/>
    </row>
    <row r="109" spans="1:54" customFormat="1" ht="16.5" hidden="1" outlineLevel="1" thickBot="1">
      <c r="A109" s="2"/>
      <c r="B109" s="147"/>
      <c r="C109" s="455"/>
      <c r="D109" s="180" t="s">
        <v>348</v>
      </c>
      <c r="E109" s="414">
        <f>E108-E107</f>
        <v>1.3500000000000005E-2</v>
      </c>
      <c r="F109" s="415">
        <f>F108-F107</f>
        <v>-8.4999999999999937E-3</v>
      </c>
      <c r="G109" s="415">
        <f>G108-G107</f>
        <v>5.0000000000000044E-4</v>
      </c>
      <c r="H109" s="415">
        <f>H108-H107</f>
        <v>-2.300000000000002E-2</v>
      </c>
      <c r="I109" s="415">
        <f>I108-I107</f>
        <v>1.8000000000000016E-2</v>
      </c>
      <c r="J109" s="414"/>
      <c r="K109" s="415"/>
      <c r="L109" s="415"/>
      <c r="M109" s="415"/>
      <c r="N109" s="416"/>
      <c r="O109" s="414"/>
      <c r="P109" s="415"/>
      <c r="Q109" s="415"/>
      <c r="R109" s="416"/>
      <c r="S109" s="432"/>
      <c r="T109" s="415"/>
      <c r="U109" s="254"/>
      <c r="V109" s="61"/>
      <c r="W109" s="113"/>
      <c r="X109" s="431"/>
      <c r="Y109" s="209"/>
      <c r="Z109" s="222"/>
      <c r="BA109" s="2"/>
      <c r="BB109" s="2"/>
    </row>
    <row r="110" spans="1:54" customFormat="1" collapsed="1">
      <c r="A110" s="2"/>
      <c r="B110" s="560" t="s">
        <v>362</v>
      </c>
      <c r="C110" s="453" t="str">
        <f>aurora_data!A395</f>
        <v>13.00.00-13.11.30</v>
      </c>
      <c r="D110" s="34" t="s">
        <v>306</v>
      </c>
      <c r="E110" s="39">
        <f>IFERROR(aurora_data!D395,0)</f>
        <v>0.77</v>
      </c>
      <c r="F110" s="40">
        <f>IFERROR(aurora_data!E395,0)</f>
        <v>1.25</v>
      </c>
      <c r="G110" s="40">
        <f>IFERROR(aurora_data!F395,0)</f>
        <v>4.01</v>
      </c>
      <c r="H110" s="40">
        <f>IFERROR(aurora_data!G395,0)</f>
        <v>6.32</v>
      </c>
      <c r="I110" s="41">
        <f>IFERROR(aurora_data!H395,0)</f>
        <v>7.65</v>
      </c>
      <c r="J110" s="39">
        <f>IFERROR(aurora_data!I395,0)</f>
        <v>1</v>
      </c>
      <c r="K110" s="40">
        <f>IFERROR(aurora_data!J395,0)</f>
        <v>1</v>
      </c>
      <c r="L110" s="40">
        <f>IFERROR(aurora_data!K395,0)</f>
        <v>1</v>
      </c>
      <c r="M110" s="40">
        <f>IFERROR(aurora_data!L395,0)</f>
        <v>1</v>
      </c>
      <c r="N110" s="41">
        <f>IFERROR(aurora_data!M395,0)</f>
        <v>1</v>
      </c>
      <c r="O110" s="39">
        <f>IFERROR(aurora_data!N395,0)</f>
        <v>1</v>
      </c>
      <c r="P110" s="40">
        <f>IFERROR(aurora_data!O395,0)</f>
        <v>1</v>
      </c>
      <c r="Q110" s="40">
        <f>IFERROR(aurora_data!P395,0)</f>
        <v>1</v>
      </c>
      <c r="R110" s="41">
        <f>IFERROR(aurora_data!Q395,0)</f>
        <v>1</v>
      </c>
      <c r="S110" s="40">
        <f>IFERROR(aurora_data!R395,0)</f>
        <v>1</v>
      </c>
      <c r="T110" s="40">
        <f>IFERROR(aurora_data!S395,0)</f>
        <v>1</v>
      </c>
      <c r="U110" s="41">
        <f>IFERROR(aurora_data!T395,0)</f>
        <v>0</v>
      </c>
      <c r="V110" s="61" t="s">
        <v>354</v>
      </c>
      <c r="W110" s="39">
        <f>IFERROR(aurora_data!U395,0)</f>
        <v>20</v>
      </c>
      <c r="X110" s="69">
        <f t="shared" ref="X110:X118" si="7">IFERROR(W110/$W$110,0)</f>
        <v>1</v>
      </c>
      <c r="Y110" s="2"/>
      <c r="Z110" s="222"/>
      <c r="BA110" s="2"/>
      <c r="BB110" s="2"/>
    </row>
    <row r="111" spans="1:54" customFormat="1" ht="16.5" customHeight="1">
      <c r="A111" s="2"/>
      <c r="B111" s="561"/>
      <c r="C111" s="454"/>
      <c r="D111" s="35" t="s">
        <v>339</v>
      </c>
      <c r="E111" s="113">
        <f>IFERROR(aurora_data!D396,0)</f>
        <v>1</v>
      </c>
      <c r="F111" s="253">
        <f>IFERROR(aurora_data!E396,0)</f>
        <v>3</v>
      </c>
      <c r="G111" s="253">
        <f>IFERROR(aurora_data!F396,0)</f>
        <v>4</v>
      </c>
      <c r="H111" s="253">
        <f>IFERROR(aurora_data!G396,0)</f>
        <v>5</v>
      </c>
      <c r="I111" s="254">
        <f>IFERROR(aurora_data!H396,0)</f>
        <v>7</v>
      </c>
      <c r="J111" s="113">
        <f>IFERROR(aurora_data!I396,0)</f>
        <v>1</v>
      </c>
      <c r="K111" s="253">
        <f>IFERROR(aurora_data!J396,0)</f>
        <v>1</v>
      </c>
      <c r="L111" s="253">
        <f>IFERROR(aurora_data!K396,0)</f>
        <v>6</v>
      </c>
      <c r="M111" s="253">
        <f>IFERROR(aurora_data!L396,0)</f>
        <v>3</v>
      </c>
      <c r="N111" s="254">
        <f>IFERROR(aurora_data!M396,0)</f>
        <v>9</v>
      </c>
      <c r="O111" s="113">
        <f>IFERROR(aurora_data!N396,0)</f>
        <v>3</v>
      </c>
      <c r="P111" s="253">
        <f>IFERROR(aurora_data!O396,0)</f>
        <v>4</v>
      </c>
      <c r="Q111" s="253">
        <f>IFERROR(aurora_data!P396,0)</f>
        <v>9</v>
      </c>
      <c r="R111" s="254">
        <f>IFERROR(aurora_data!Q396,0)</f>
        <v>4</v>
      </c>
      <c r="S111" s="253">
        <f>IFERROR(aurora_data!R396,0)</f>
        <v>9</v>
      </c>
      <c r="T111" s="253">
        <f>IFERROR(aurora_data!S396,0)</f>
        <v>11</v>
      </c>
      <c r="U111" s="254">
        <f>IFERROR(aurora_data!T396,0)</f>
        <v>0</v>
      </c>
      <c r="V111" s="61" t="s">
        <v>354</v>
      </c>
      <c r="W111" s="113">
        <f>IFERROR(aurora_data!U396,0)</f>
        <v>20</v>
      </c>
      <c r="X111" s="255">
        <f t="shared" si="7"/>
        <v>1</v>
      </c>
      <c r="Y111" s="2"/>
      <c r="Z111" s="222"/>
      <c r="BA111" s="2"/>
      <c r="BB111" s="2"/>
    </row>
    <row r="112" spans="1:54" customFormat="1" ht="16.5" customHeight="1">
      <c r="A112" s="2"/>
      <c r="B112" s="561"/>
      <c r="C112" s="454"/>
      <c r="D112" s="35" t="s">
        <v>291</v>
      </c>
      <c r="E112" s="113">
        <f>IFERROR(aurora_data!D397,0)</f>
        <v>0</v>
      </c>
      <c r="F112" s="253">
        <f>IFERROR(aurora_data!E397,0)</f>
        <v>0</v>
      </c>
      <c r="G112" s="253">
        <f>IFERROR(aurora_data!F397,0)</f>
        <v>0</v>
      </c>
      <c r="H112" s="253">
        <f>IFERROR(aurora_data!G397,0)</f>
        <v>1</v>
      </c>
      <c r="I112" s="254">
        <f>IFERROR(aurora_data!H397,0)</f>
        <v>1</v>
      </c>
      <c r="J112" s="113">
        <f>IFERROR(aurora_data!I397,0)</f>
        <v>0</v>
      </c>
      <c r="K112" s="253">
        <f>IFERROR(aurora_data!J397,0)</f>
        <v>0</v>
      </c>
      <c r="L112" s="253">
        <f>IFERROR(aurora_data!K397,0)</f>
        <v>1</v>
      </c>
      <c r="M112" s="253">
        <f>IFERROR(aurora_data!L397,0)</f>
        <v>0</v>
      </c>
      <c r="N112" s="254">
        <f>IFERROR(aurora_data!M397,0)</f>
        <v>1</v>
      </c>
      <c r="O112" s="113">
        <f>IFERROR(aurora_data!N397,0)</f>
        <v>0</v>
      </c>
      <c r="P112" s="253">
        <f>IFERROR(aurora_data!O397,0)</f>
        <v>0</v>
      </c>
      <c r="Q112" s="253">
        <f>IFERROR(aurora_data!P397,0)</f>
        <v>1</v>
      </c>
      <c r="R112" s="254">
        <f>IFERROR(aurora_data!Q397,0)</f>
        <v>1</v>
      </c>
      <c r="S112" s="253">
        <f>IFERROR(aurora_data!R397,0)</f>
        <v>0</v>
      </c>
      <c r="T112" s="253">
        <f>IFERROR(aurora_data!S397,0)</f>
        <v>2</v>
      </c>
      <c r="U112" s="254">
        <f>IFERROR(aurora_data!T397,0)</f>
        <v>0</v>
      </c>
      <c r="V112" s="61" t="s">
        <v>354</v>
      </c>
      <c r="W112" s="113">
        <f>IFERROR(aurora_data!U397,0)</f>
        <v>2</v>
      </c>
      <c r="X112" s="255">
        <f t="shared" si="7"/>
        <v>0.1</v>
      </c>
      <c r="Y112" s="2"/>
      <c r="Z112" s="222"/>
      <c r="BA112" s="2"/>
      <c r="BB112" s="2"/>
    </row>
    <row r="113" spans="1:54" customFormat="1">
      <c r="A113" s="2"/>
      <c r="B113" s="561"/>
      <c r="C113" s="454"/>
      <c r="D113" s="35" t="s">
        <v>340</v>
      </c>
      <c r="E113" s="113">
        <f>IFERROR(aurora_data!D398,0)</f>
        <v>0</v>
      </c>
      <c r="F113" s="253">
        <f>IFERROR(aurora_data!E398,0)</f>
        <v>0</v>
      </c>
      <c r="G113" s="253">
        <f>IFERROR(aurora_data!F398,0)</f>
        <v>0</v>
      </c>
      <c r="H113" s="253">
        <f>IFERROR(aurora_data!G398,0)</f>
        <v>0</v>
      </c>
      <c r="I113" s="254">
        <f>IFERROR(aurora_data!H398,0)</f>
        <v>0</v>
      </c>
      <c r="J113" s="113">
        <f>IFERROR(aurora_data!I398,0)</f>
        <v>0</v>
      </c>
      <c r="K113" s="253">
        <f>IFERROR(aurora_data!J398,0)</f>
        <v>0</v>
      </c>
      <c r="L113" s="253">
        <f>IFERROR(aurora_data!K398,0)</f>
        <v>0</v>
      </c>
      <c r="M113" s="253">
        <f>IFERROR(aurora_data!L398,0)</f>
        <v>0</v>
      </c>
      <c r="N113" s="254">
        <f>IFERROR(aurora_data!M398,0)</f>
        <v>0</v>
      </c>
      <c r="O113" s="113">
        <f>IFERROR(aurora_data!N398,0)</f>
        <v>0</v>
      </c>
      <c r="P113" s="253">
        <f>IFERROR(aurora_data!O398,0)</f>
        <v>0</v>
      </c>
      <c r="Q113" s="253">
        <f>IFERROR(aurora_data!P398,0)</f>
        <v>0</v>
      </c>
      <c r="R113" s="254">
        <f>IFERROR(aurora_data!Q398,0)</f>
        <v>0</v>
      </c>
      <c r="S113" s="253">
        <f>IFERROR(aurora_data!R398,0)</f>
        <v>0</v>
      </c>
      <c r="T113" s="253">
        <f>IFERROR(aurora_data!S398,0)</f>
        <v>0</v>
      </c>
      <c r="U113" s="254">
        <f>IFERROR(aurora_data!T398,0)</f>
        <v>0</v>
      </c>
      <c r="V113" s="61" t="s">
        <v>354</v>
      </c>
      <c r="W113" s="113">
        <f>IFERROR(aurora_data!U398,0)</f>
        <v>0</v>
      </c>
      <c r="X113" s="255">
        <f t="shared" si="7"/>
        <v>0</v>
      </c>
      <c r="Y113" s="2"/>
      <c r="Z113" s="222"/>
      <c r="BA113" s="2"/>
      <c r="BB113" s="2"/>
    </row>
    <row r="114" spans="1:54" customFormat="1">
      <c r="A114" s="2"/>
      <c r="B114" s="561"/>
      <c r="C114" s="454"/>
      <c r="D114" s="35" t="s">
        <v>298</v>
      </c>
      <c r="E114" s="113">
        <f>IFERROR(aurora_data!D399,0)</f>
        <v>0</v>
      </c>
      <c r="F114" s="253">
        <f>IFERROR(aurora_data!E399,0)</f>
        <v>0</v>
      </c>
      <c r="G114" s="253">
        <f>IFERROR(aurora_data!F399,0)</f>
        <v>0</v>
      </c>
      <c r="H114" s="253">
        <f>IFERROR(aurora_data!G399,0)</f>
        <v>0</v>
      </c>
      <c r="I114" s="254">
        <f>IFERROR(aurora_data!H399,0)</f>
        <v>0</v>
      </c>
      <c r="J114" s="113">
        <f>IFERROR(aurora_data!I399,0)</f>
        <v>0</v>
      </c>
      <c r="K114" s="253">
        <f>IFERROR(aurora_data!J399,0)</f>
        <v>0</v>
      </c>
      <c r="L114" s="253">
        <f>IFERROR(aurora_data!K399,0)</f>
        <v>0</v>
      </c>
      <c r="M114" s="253">
        <f>IFERROR(aurora_data!L399,0)</f>
        <v>0</v>
      </c>
      <c r="N114" s="254">
        <f>IFERROR(aurora_data!M399,0)</f>
        <v>0</v>
      </c>
      <c r="O114" s="113">
        <f>IFERROR(aurora_data!N399,0)</f>
        <v>0</v>
      </c>
      <c r="P114" s="253">
        <f>IFERROR(aurora_data!O399,0)</f>
        <v>0</v>
      </c>
      <c r="Q114" s="253">
        <f>IFERROR(aurora_data!P399,0)</f>
        <v>0</v>
      </c>
      <c r="R114" s="254">
        <f>IFERROR(aurora_data!Q399,0)</f>
        <v>0</v>
      </c>
      <c r="S114" s="253">
        <f>IFERROR(aurora_data!R399,0)</f>
        <v>0</v>
      </c>
      <c r="T114" s="253">
        <f>IFERROR(aurora_data!S399,0)</f>
        <v>0</v>
      </c>
      <c r="U114" s="254">
        <f>IFERROR(aurora_data!T399,0)</f>
        <v>0</v>
      </c>
      <c r="V114" s="61" t="s">
        <v>354</v>
      </c>
      <c r="W114" s="113">
        <f>IFERROR(aurora_data!U399,0)</f>
        <v>0</v>
      </c>
      <c r="X114" s="255">
        <f t="shared" si="7"/>
        <v>0</v>
      </c>
      <c r="Y114" s="2"/>
      <c r="Z114" s="222"/>
      <c r="BA114" s="2"/>
      <c r="BB114" s="2"/>
    </row>
    <row r="115" spans="1:54" customFormat="1" ht="16.5" customHeight="1">
      <c r="A115" s="2"/>
      <c r="B115" s="561"/>
      <c r="C115" s="454"/>
      <c r="D115" s="35" t="s">
        <v>341</v>
      </c>
      <c r="E115" s="113">
        <f>IFERROR(aurora_data!D400,0)</f>
        <v>0</v>
      </c>
      <c r="F115" s="253">
        <f>IFERROR(aurora_data!E400,0)</f>
        <v>0</v>
      </c>
      <c r="G115" s="253">
        <f>IFERROR(aurora_data!F400,0)</f>
        <v>0</v>
      </c>
      <c r="H115" s="253">
        <f>IFERROR(aurora_data!G400,0)</f>
        <v>0</v>
      </c>
      <c r="I115" s="254">
        <f>IFERROR(aurora_data!H400,0)</f>
        <v>0</v>
      </c>
      <c r="J115" s="113">
        <f>IFERROR(aurora_data!I400,0)</f>
        <v>0</v>
      </c>
      <c r="K115" s="253">
        <f>IFERROR(aurora_data!J400,0)</f>
        <v>0</v>
      </c>
      <c r="L115" s="253">
        <f>IFERROR(aurora_data!K400,0)</f>
        <v>0</v>
      </c>
      <c r="M115" s="253">
        <f>IFERROR(aurora_data!L400,0)</f>
        <v>0</v>
      </c>
      <c r="N115" s="254">
        <f>IFERROR(aurora_data!M400,0)</f>
        <v>0</v>
      </c>
      <c r="O115" s="113">
        <f>IFERROR(aurora_data!N400,0)</f>
        <v>0</v>
      </c>
      <c r="P115" s="253">
        <f>IFERROR(aurora_data!O400,0)</f>
        <v>0</v>
      </c>
      <c r="Q115" s="253">
        <f>IFERROR(aurora_data!P400,0)</f>
        <v>0</v>
      </c>
      <c r="R115" s="254">
        <f>IFERROR(aurora_data!Q400,0)</f>
        <v>0</v>
      </c>
      <c r="S115" s="253">
        <f>IFERROR(aurora_data!R400,0)</f>
        <v>0</v>
      </c>
      <c r="T115" s="253">
        <f>IFERROR(aurora_data!S400,0)</f>
        <v>0</v>
      </c>
      <c r="U115" s="254">
        <f>IFERROR(aurora_data!T400,0)</f>
        <v>0</v>
      </c>
      <c r="V115" s="61" t="s">
        <v>354</v>
      </c>
      <c r="W115" s="113">
        <f>IFERROR(aurora_data!U400,0)</f>
        <v>0</v>
      </c>
      <c r="X115" s="255">
        <f t="shared" si="7"/>
        <v>0</v>
      </c>
      <c r="Y115" s="2"/>
      <c r="Z115" s="222"/>
      <c r="BA115" s="2"/>
      <c r="BB115" s="2"/>
    </row>
    <row r="116" spans="1:54" customFormat="1" ht="16.5" customHeight="1" thickBot="1">
      <c r="A116" s="2"/>
      <c r="B116" s="561"/>
      <c r="C116" s="454"/>
      <c r="D116" s="35" t="s">
        <v>342</v>
      </c>
      <c r="E116" s="113">
        <f>IFERROR(aurora_data!D401,0)</f>
        <v>0</v>
      </c>
      <c r="F116" s="253">
        <f>IFERROR(aurora_data!E401,0)</f>
        <v>0</v>
      </c>
      <c r="G116" s="253">
        <f>IFERROR(aurora_data!F401,0)</f>
        <v>0</v>
      </c>
      <c r="H116" s="253">
        <f>IFERROR(aurora_data!G401,0)</f>
        <v>0</v>
      </c>
      <c r="I116" s="254">
        <f>IFERROR(aurora_data!H401,0)</f>
        <v>0</v>
      </c>
      <c r="J116" s="113">
        <f>IFERROR(aurora_data!I401,0)</f>
        <v>0</v>
      </c>
      <c r="K116" s="253">
        <f>IFERROR(aurora_data!J401,0)</f>
        <v>0</v>
      </c>
      <c r="L116" s="253">
        <f>IFERROR(aurora_data!K401,0)</f>
        <v>0</v>
      </c>
      <c r="M116" s="253">
        <f>IFERROR(aurora_data!L401,0)</f>
        <v>0</v>
      </c>
      <c r="N116" s="254">
        <f>IFERROR(aurora_data!M401,0)</f>
        <v>0</v>
      </c>
      <c r="O116" s="113">
        <f>IFERROR(aurora_data!N401,0)</f>
        <v>0</v>
      </c>
      <c r="P116" s="253">
        <f>IFERROR(aurora_data!O401,0)</f>
        <v>0</v>
      </c>
      <c r="Q116" s="253">
        <f>IFERROR(aurora_data!P401,0)</f>
        <v>0</v>
      </c>
      <c r="R116" s="254">
        <f>IFERROR(aurora_data!Q401,0)</f>
        <v>0</v>
      </c>
      <c r="S116" s="253">
        <f>IFERROR(aurora_data!R401,0)</f>
        <v>0</v>
      </c>
      <c r="T116" s="253">
        <f>IFERROR(aurora_data!S401,0)</f>
        <v>0</v>
      </c>
      <c r="U116" s="254">
        <f>IFERROR(aurora_data!T401,0)</f>
        <v>0</v>
      </c>
      <c r="V116" s="61" t="s">
        <v>354</v>
      </c>
      <c r="W116" s="113">
        <f>IFERROR(aurora_data!U401,0)</f>
        <v>0</v>
      </c>
      <c r="X116" s="255">
        <f t="shared" si="7"/>
        <v>0</v>
      </c>
      <c r="Y116" s="2"/>
      <c r="Z116" s="222"/>
      <c r="BA116" s="2"/>
      <c r="BB116" s="2"/>
    </row>
    <row r="117" spans="1:54" customFormat="1" ht="16.5" customHeight="1" thickBot="1">
      <c r="A117" s="2"/>
      <c r="B117" s="561"/>
      <c r="C117" s="454"/>
      <c r="D117" s="37" t="s">
        <v>17</v>
      </c>
      <c r="E117" s="59">
        <f>IFERROR(aurora_data!D402,0)</f>
        <v>1</v>
      </c>
      <c r="F117" s="64">
        <f>IFERROR(aurora_data!E402,0)</f>
        <v>3</v>
      </c>
      <c r="G117" s="64">
        <f>IFERROR(aurora_data!F402,0)</f>
        <v>4</v>
      </c>
      <c r="H117" s="64">
        <f>IFERROR(aurora_data!G402,0)</f>
        <v>6</v>
      </c>
      <c r="I117" s="65">
        <f>IFERROR(aurora_data!H402,0)</f>
        <v>8</v>
      </c>
      <c r="J117" s="59">
        <f>IFERROR(aurora_data!I402,0)</f>
        <v>1</v>
      </c>
      <c r="K117" s="64">
        <f>IFERROR(aurora_data!J402,0)</f>
        <v>1</v>
      </c>
      <c r="L117" s="64">
        <f>IFERROR(aurora_data!K402,0)</f>
        <v>7</v>
      </c>
      <c r="M117" s="64">
        <f>IFERROR(aurora_data!L402,0)</f>
        <v>3</v>
      </c>
      <c r="N117" s="65">
        <f>IFERROR(aurora_data!M402,0)</f>
        <v>10</v>
      </c>
      <c r="O117" s="59">
        <f>IFERROR(aurora_data!N402,0)</f>
        <v>3</v>
      </c>
      <c r="P117" s="64">
        <f>IFERROR(aurora_data!O402,0)</f>
        <v>4</v>
      </c>
      <c r="Q117" s="64">
        <f>IFERROR(aurora_data!P402,0)</f>
        <v>10</v>
      </c>
      <c r="R117" s="65">
        <f>IFERROR(aurora_data!Q402,0)</f>
        <v>5</v>
      </c>
      <c r="S117" s="64">
        <f>IFERROR(aurora_data!R402,0)</f>
        <v>9</v>
      </c>
      <c r="T117" s="64">
        <f>IFERROR(aurora_data!S402,0)</f>
        <v>13</v>
      </c>
      <c r="U117" s="65">
        <f>IFERROR(aurora_data!T402,0)</f>
        <v>0</v>
      </c>
      <c r="V117" s="66" t="s">
        <v>354</v>
      </c>
      <c r="W117" s="59">
        <f>IFERROR(aurora_data!U402,0)</f>
        <v>22</v>
      </c>
      <c r="X117" s="70">
        <f t="shared" si="7"/>
        <v>1.1000000000000001</v>
      </c>
      <c r="Y117" s="2"/>
      <c r="Z117" s="222"/>
      <c r="BA117" s="2"/>
      <c r="BB117" s="2"/>
    </row>
    <row r="118" spans="1:54" customFormat="1" ht="16.5" thickBot="1">
      <c r="A118" s="2"/>
      <c r="B118" s="561"/>
      <c r="C118" s="454"/>
      <c r="D118" s="38" t="s">
        <v>343</v>
      </c>
      <c r="E118" s="256">
        <f>IFERROR(aurora_data!D403,0)</f>
        <v>0</v>
      </c>
      <c r="F118" s="257">
        <f>IFERROR(aurora_data!E403,0)</f>
        <v>0</v>
      </c>
      <c r="G118" s="257">
        <f>IFERROR(aurora_data!F403,0)</f>
        <v>0</v>
      </c>
      <c r="H118" s="257">
        <f>IFERROR(aurora_data!G403,0)</f>
        <v>0</v>
      </c>
      <c r="I118" s="258">
        <f>IFERROR(aurora_data!H403,0)</f>
        <v>0</v>
      </c>
      <c r="J118" s="256">
        <f>IFERROR(aurora_data!I403,0)</f>
        <v>0</v>
      </c>
      <c r="K118" s="257">
        <f>IFERROR(aurora_data!J403,0)</f>
        <v>0</v>
      </c>
      <c r="L118" s="257">
        <f>IFERROR(aurora_data!K403,0)</f>
        <v>0</v>
      </c>
      <c r="M118" s="257">
        <f>IFERROR(aurora_data!L403,0)</f>
        <v>0</v>
      </c>
      <c r="N118" s="258">
        <f>IFERROR(aurora_data!M403,0)</f>
        <v>0</v>
      </c>
      <c r="O118" s="256">
        <f>IFERROR(aurora_data!N403,0)</f>
        <v>0</v>
      </c>
      <c r="P118" s="257">
        <f>IFERROR(aurora_data!O403,0)</f>
        <v>0</v>
      </c>
      <c r="Q118" s="257">
        <f>IFERROR(aurora_data!P403,0)</f>
        <v>0</v>
      </c>
      <c r="R118" s="258">
        <f>IFERROR(aurora_data!Q403,0)</f>
        <v>0</v>
      </c>
      <c r="S118" s="257">
        <f>IFERROR(aurora_data!R403,0)</f>
        <v>0</v>
      </c>
      <c r="T118" s="257">
        <f>IFERROR(aurora_data!S403,0)</f>
        <v>0</v>
      </c>
      <c r="U118" s="259">
        <f>IFERROR(aurora_data!T403,0)</f>
        <v>0</v>
      </c>
      <c r="V118" s="260" t="s">
        <v>354</v>
      </c>
      <c r="W118" s="256">
        <f>IFERROR(aurora_data!U403,0)</f>
        <v>0</v>
      </c>
      <c r="X118" s="261">
        <f t="shared" si="7"/>
        <v>0</v>
      </c>
      <c r="Y118" s="2"/>
      <c r="Z118" s="222"/>
      <c r="BA118" s="2"/>
      <c r="BB118" s="2"/>
    </row>
    <row r="119" spans="1:54" customFormat="1" hidden="1" outlineLevel="1">
      <c r="A119" s="2"/>
      <c r="B119" s="147"/>
      <c r="C119" s="454"/>
      <c r="D119" s="199" t="s">
        <v>344</v>
      </c>
      <c r="E119" s="271">
        <f>ROUNDDOWN((E121+$E$9)*($W110),0)</f>
        <v>4</v>
      </c>
      <c r="F119" s="272">
        <f>ROUNDDOWN((F121+$E$9)*($W110),0)</f>
        <v>5</v>
      </c>
      <c r="G119" s="272">
        <f>ROUNDDOWN((G121+$E$9)*($W110),0)</f>
        <v>8</v>
      </c>
      <c r="H119" s="272">
        <f>ROUNDDOWN((H121+$E$9)*($W110),0)</f>
        <v>10</v>
      </c>
      <c r="I119" s="272">
        <f>ROUNDDOWN((I121+$E$9)*($W110),0)</f>
        <v>11</v>
      </c>
      <c r="J119" s="271"/>
      <c r="K119" s="272"/>
      <c r="L119" s="272"/>
      <c r="M119" s="272"/>
      <c r="N119" s="268"/>
      <c r="O119" s="271"/>
      <c r="P119" s="272"/>
      <c r="Q119" s="272"/>
      <c r="R119" s="268"/>
      <c r="S119" s="265"/>
      <c r="T119" s="272"/>
      <c r="U119" s="282"/>
      <c r="V119" s="61"/>
      <c r="W119" s="291"/>
      <c r="X119" s="286"/>
      <c r="Y119" s="206"/>
      <c r="Z119" s="222"/>
      <c r="BA119" s="2"/>
      <c r="BB119" s="2"/>
    </row>
    <row r="120" spans="1:54" customFormat="1" ht="16.5" hidden="1" customHeight="1" outlineLevel="1">
      <c r="A120" s="2"/>
      <c r="B120" s="147"/>
      <c r="C120" s="454"/>
      <c r="D120" s="199" t="s">
        <v>345</v>
      </c>
      <c r="E120" s="276">
        <f>IF(ROUND(((E121-$E$9)*($W110))+0.25,0) &lt;=0,1,((E121-$E$9)*($W110))+0.25)</f>
        <v>1</v>
      </c>
      <c r="F120" s="277">
        <f>IF(ROUND(((F121-$E$9)*($W110))+0.25,0) &lt;=0,1,((F121-$E$9)*($W110))+0.25)</f>
        <v>1</v>
      </c>
      <c r="G120" s="277">
        <f>IF(ROUND(((G121-$E$9)*($W110))+0.25,0) &lt;=0,1,((G121-$E$9)*($W110))+0.25)</f>
        <v>1</v>
      </c>
      <c r="H120" s="277">
        <f>IF(ROUND(((H121-$E$9)*($W110))+0.25,0) &lt;=0,1,((H121-$E$9)*($W110))+0.25)</f>
        <v>2.57</v>
      </c>
      <c r="I120" s="277">
        <f>IF(ROUND(((I121-$E$9)*($W110))+0.25,0) &lt;=0,1,((I121-$E$9)*($W110))+0.25)</f>
        <v>3.9</v>
      </c>
      <c r="J120" s="276"/>
      <c r="K120" s="277"/>
      <c r="L120" s="277"/>
      <c r="M120" s="277"/>
      <c r="N120" s="278"/>
      <c r="O120" s="276"/>
      <c r="P120" s="277"/>
      <c r="Q120" s="277"/>
      <c r="R120" s="278"/>
      <c r="S120" s="276"/>
      <c r="T120" s="277"/>
      <c r="U120" s="287"/>
      <c r="V120" s="61"/>
      <c r="W120" s="285"/>
      <c r="X120" s="287"/>
      <c r="Y120" s="207"/>
      <c r="Z120" s="222"/>
      <c r="BA120" s="2"/>
      <c r="BB120" s="2"/>
    </row>
    <row r="121" spans="1:54" customFormat="1" ht="16.5" hidden="1" customHeight="1" outlineLevel="1">
      <c r="A121" s="2"/>
      <c r="B121" s="147"/>
      <c r="C121" s="454"/>
      <c r="D121" s="95" t="s">
        <v>346</v>
      </c>
      <c r="E121" s="414">
        <f>IFERROR(E110/$W110,0)</f>
        <v>3.85E-2</v>
      </c>
      <c r="F121" s="415">
        <f>IFERROR(F110/$W110,0)</f>
        <v>6.25E-2</v>
      </c>
      <c r="G121" s="415">
        <f>IFERROR(G110/$W110,0)</f>
        <v>0.20049999999999998</v>
      </c>
      <c r="H121" s="415">
        <f>IFERROR(H110/$W110,0)</f>
        <v>0.316</v>
      </c>
      <c r="I121" s="415">
        <f>IFERROR(I110/$W110,0)</f>
        <v>0.38250000000000001</v>
      </c>
      <c r="J121" s="414"/>
      <c r="K121" s="415"/>
      <c r="L121" s="415"/>
      <c r="M121" s="415"/>
      <c r="N121" s="416"/>
      <c r="O121" s="414"/>
      <c r="P121" s="415"/>
      <c r="Q121" s="415"/>
      <c r="R121" s="416"/>
      <c r="S121" s="414"/>
      <c r="T121" s="415"/>
      <c r="U121" s="254"/>
      <c r="V121" s="61"/>
      <c r="W121" s="113"/>
      <c r="X121" s="431"/>
      <c r="Y121" s="208"/>
      <c r="Z121" s="222"/>
      <c r="BA121" s="2"/>
      <c r="BB121" s="2"/>
    </row>
    <row r="122" spans="1:54" customFormat="1" ht="16.5" hidden="1" customHeight="1" outlineLevel="1">
      <c r="A122" s="2"/>
      <c r="B122" s="147"/>
      <c r="C122" s="454"/>
      <c r="D122" s="180" t="s">
        <v>347</v>
      </c>
      <c r="E122" s="414">
        <f>IFERROR(E111/$W110,0)</f>
        <v>0.05</v>
      </c>
      <c r="F122" s="415">
        <f>IFERROR(F111/$W110,0)</f>
        <v>0.15</v>
      </c>
      <c r="G122" s="415">
        <f>IFERROR(G111/$W110,0)</f>
        <v>0.2</v>
      </c>
      <c r="H122" s="415">
        <f>IFERROR(H111/$W110,0)</f>
        <v>0.25</v>
      </c>
      <c r="I122" s="415">
        <f>IFERROR(I111/$W110,0)</f>
        <v>0.35</v>
      </c>
      <c r="J122" s="414"/>
      <c r="K122" s="415"/>
      <c r="L122" s="415"/>
      <c r="M122" s="415"/>
      <c r="N122" s="416"/>
      <c r="O122" s="414"/>
      <c r="P122" s="415"/>
      <c r="Q122" s="415"/>
      <c r="R122" s="416"/>
      <c r="S122" s="414"/>
      <c r="T122" s="415"/>
      <c r="U122" s="254"/>
      <c r="V122" s="61"/>
      <c r="W122" s="113"/>
      <c r="X122" s="431"/>
      <c r="Y122" s="208"/>
      <c r="Z122" s="222"/>
      <c r="BA122" s="2"/>
      <c r="BB122" s="2"/>
    </row>
    <row r="123" spans="1:54" customFormat="1" ht="16.5" hidden="1" outlineLevel="1" thickBot="1">
      <c r="A123" s="2"/>
      <c r="B123" s="147"/>
      <c r="C123" s="455"/>
      <c r="D123" s="180" t="s">
        <v>348</v>
      </c>
      <c r="E123" s="414">
        <f>E122-E121</f>
        <v>1.1500000000000003E-2</v>
      </c>
      <c r="F123" s="415">
        <f>F122-F121</f>
        <v>8.7499999999999994E-2</v>
      </c>
      <c r="G123" s="415">
        <f>G122-G121</f>
        <v>-4.9999999999997269E-4</v>
      </c>
      <c r="H123" s="415">
        <f>H122-H121</f>
        <v>-6.6000000000000003E-2</v>
      </c>
      <c r="I123" s="415">
        <f>I122-I121</f>
        <v>-3.2500000000000029E-2</v>
      </c>
      <c r="J123" s="414"/>
      <c r="K123" s="415"/>
      <c r="L123" s="415"/>
      <c r="M123" s="415"/>
      <c r="N123" s="416"/>
      <c r="O123" s="414"/>
      <c r="P123" s="415"/>
      <c r="Q123" s="415"/>
      <c r="R123" s="416"/>
      <c r="S123" s="432"/>
      <c r="T123" s="415"/>
      <c r="U123" s="254"/>
      <c r="V123" s="61"/>
      <c r="W123" s="113"/>
      <c r="X123" s="431"/>
      <c r="Y123" s="209"/>
      <c r="Z123" s="222"/>
      <c r="BA123" s="2"/>
      <c r="BB123" s="2"/>
    </row>
    <row r="124" spans="1:54" customFormat="1" collapsed="1">
      <c r="A124" s="2"/>
      <c r="B124" s="560" t="s">
        <v>362</v>
      </c>
      <c r="C124" s="453" t="str">
        <f>aurora_data!A404</f>
        <v>14.00.00-14.11.30</v>
      </c>
      <c r="D124" s="34" t="s">
        <v>306</v>
      </c>
      <c r="E124" s="39">
        <f>IFERROR(aurora_data!D404,0)</f>
        <v>0.81</v>
      </c>
      <c r="F124" s="40">
        <f>IFERROR(aurora_data!E404,0)</f>
        <v>1.36</v>
      </c>
      <c r="G124" s="40">
        <f>IFERROR(aurora_data!F404,0)</f>
        <v>4.03</v>
      </c>
      <c r="H124" s="40">
        <f>IFERROR(aurora_data!G404,0)</f>
        <v>6.31</v>
      </c>
      <c r="I124" s="41">
        <f>IFERROR(aurora_data!H404,0)</f>
        <v>7.51</v>
      </c>
      <c r="J124" s="39">
        <f>IFERROR(aurora_data!I404,0)</f>
        <v>1</v>
      </c>
      <c r="K124" s="40">
        <f>IFERROR(aurora_data!J404,0)</f>
        <v>1</v>
      </c>
      <c r="L124" s="40">
        <f>IFERROR(aurora_data!K404,0)</f>
        <v>1</v>
      </c>
      <c r="M124" s="40">
        <f>IFERROR(aurora_data!L404,0)</f>
        <v>1</v>
      </c>
      <c r="N124" s="41">
        <f>IFERROR(aurora_data!M404,0)</f>
        <v>1</v>
      </c>
      <c r="O124" s="39">
        <f>IFERROR(aurora_data!N404,0)</f>
        <v>1</v>
      </c>
      <c r="P124" s="40">
        <f>IFERROR(aurora_data!O404,0)</f>
        <v>1</v>
      </c>
      <c r="Q124" s="40">
        <f>IFERROR(aurora_data!P404,0)</f>
        <v>1</v>
      </c>
      <c r="R124" s="41">
        <f>IFERROR(aurora_data!Q404,0)</f>
        <v>1</v>
      </c>
      <c r="S124" s="40">
        <f>IFERROR(aurora_data!R404,0)</f>
        <v>1</v>
      </c>
      <c r="T124" s="40">
        <f>IFERROR(aurora_data!S404,0)</f>
        <v>1</v>
      </c>
      <c r="U124" s="41">
        <f>IFERROR(aurora_data!T404,0)</f>
        <v>0</v>
      </c>
      <c r="V124" s="61" t="s">
        <v>354</v>
      </c>
      <c r="W124" s="39">
        <f>IFERROR(aurora_data!U404,0)</f>
        <v>20</v>
      </c>
      <c r="X124" s="69">
        <f t="shared" ref="X124:X132" si="8">IFERROR(W124/$W$124,0)</f>
        <v>1</v>
      </c>
      <c r="Y124" s="2"/>
      <c r="Z124" s="222"/>
      <c r="BA124" s="2"/>
      <c r="BB124" s="2"/>
    </row>
    <row r="125" spans="1:54" customFormat="1" ht="16.5" customHeight="1">
      <c r="A125" s="2"/>
      <c r="B125" s="561"/>
      <c r="C125" s="454"/>
      <c r="D125" s="35" t="s">
        <v>339</v>
      </c>
      <c r="E125" s="113">
        <f>IFERROR(aurora_data!D405,0)</f>
        <v>1</v>
      </c>
      <c r="F125" s="253">
        <f>IFERROR(aurora_data!E405,0)</f>
        <v>2</v>
      </c>
      <c r="G125" s="253">
        <f>IFERROR(aurora_data!F405,0)</f>
        <v>4</v>
      </c>
      <c r="H125" s="253">
        <f>IFERROR(aurora_data!G405,0)</f>
        <v>6</v>
      </c>
      <c r="I125" s="254">
        <f>IFERROR(aurora_data!H405,0)</f>
        <v>7</v>
      </c>
      <c r="J125" s="113">
        <f>IFERROR(aurora_data!I405,0)</f>
        <v>1</v>
      </c>
      <c r="K125" s="253">
        <f>IFERROR(aurora_data!J405,0)</f>
        <v>4</v>
      </c>
      <c r="L125" s="253">
        <f>IFERROR(aurora_data!K405,0)</f>
        <v>3</v>
      </c>
      <c r="M125" s="253">
        <f>IFERROR(aurora_data!L405,0)</f>
        <v>1</v>
      </c>
      <c r="N125" s="254">
        <f>IFERROR(aurora_data!M405,0)</f>
        <v>11</v>
      </c>
      <c r="O125" s="113">
        <f>IFERROR(aurora_data!N405,0)</f>
        <v>3</v>
      </c>
      <c r="P125" s="253">
        <f>IFERROR(aurora_data!O405,0)</f>
        <v>5</v>
      </c>
      <c r="Q125" s="253">
        <f>IFERROR(aurora_data!P405,0)</f>
        <v>8</v>
      </c>
      <c r="R125" s="254">
        <f>IFERROR(aurora_data!Q405,0)</f>
        <v>4</v>
      </c>
      <c r="S125" s="253">
        <f>IFERROR(aurora_data!R405,0)</f>
        <v>14</v>
      </c>
      <c r="T125" s="253">
        <f>IFERROR(aurora_data!S405,0)</f>
        <v>6</v>
      </c>
      <c r="U125" s="254">
        <f>IFERROR(aurora_data!T405,0)</f>
        <v>0</v>
      </c>
      <c r="V125" s="61" t="s">
        <v>354</v>
      </c>
      <c r="W125" s="113">
        <f>IFERROR(aurora_data!U405,0)</f>
        <v>20</v>
      </c>
      <c r="X125" s="255">
        <f t="shared" si="8"/>
        <v>1</v>
      </c>
      <c r="Y125" s="2"/>
      <c r="Z125" s="222"/>
      <c r="BA125" s="2"/>
      <c r="BB125" s="2"/>
    </row>
    <row r="126" spans="1:54" customFormat="1" ht="16.5" customHeight="1">
      <c r="A126" s="2"/>
      <c r="B126" s="561"/>
      <c r="C126" s="454"/>
      <c r="D126" s="35" t="s">
        <v>291</v>
      </c>
      <c r="E126" s="113">
        <f>IFERROR(aurora_data!D406,0)</f>
        <v>0</v>
      </c>
      <c r="F126" s="253">
        <f>IFERROR(aurora_data!E406,0)</f>
        <v>0</v>
      </c>
      <c r="G126" s="253">
        <f>IFERROR(aurora_data!F406,0)</f>
        <v>0</v>
      </c>
      <c r="H126" s="253">
        <f>IFERROR(aurora_data!G406,0)</f>
        <v>0</v>
      </c>
      <c r="I126" s="254">
        <f>IFERROR(aurora_data!H406,0)</f>
        <v>0</v>
      </c>
      <c r="J126" s="113">
        <f>IFERROR(aurora_data!I406,0)</f>
        <v>0</v>
      </c>
      <c r="K126" s="253">
        <f>IFERROR(aurora_data!J406,0)</f>
        <v>0</v>
      </c>
      <c r="L126" s="253">
        <f>IFERROR(aurora_data!K406,0)</f>
        <v>0</v>
      </c>
      <c r="M126" s="253">
        <f>IFERROR(aurora_data!L406,0)</f>
        <v>0</v>
      </c>
      <c r="N126" s="254">
        <f>IFERROR(aurora_data!M406,0)</f>
        <v>0</v>
      </c>
      <c r="O126" s="113">
        <f>IFERROR(aurora_data!N406,0)</f>
        <v>0</v>
      </c>
      <c r="P126" s="253">
        <f>IFERROR(aurora_data!O406,0)</f>
        <v>0</v>
      </c>
      <c r="Q126" s="253">
        <f>IFERROR(aurora_data!P406,0)</f>
        <v>0</v>
      </c>
      <c r="R126" s="254">
        <f>IFERROR(aurora_data!Q406,0)</f>
        <v>0</v>
      </c>
      <c r="S126" s="253">
        <f>IFERROR(aurora_data!R406,0)</f>
        <v>0</v>
      </c>
      <c r="T126" s="253">
        <f>IFERROR(aurora_data!S406,0)</f>
        <v>0</v>
      </c>
      <c r="U126" s="254">
        <f>IFERROR(aurora_data!T406,0)</f>
        <v>0</v>
      </c>
      <c r="V126" s="61" t="s">
        <v>354</v>
      </c>
      <c r="W126" s="113">
        <f>IFERROR(aurora_data!U406,0)</f>
        <v>0</v>
      </c>
      <c r="X126" s="255">
        <f t="shared" si="8"/>
        <v>0</v>
      </c>
      <c r="Y126" s="2"/>
      <c r="Z126" s="222"/>
      <c r="BA126" s="2"/>
      <c r="BB126" s="2"/>
    </row>
    <row r="127" spans="1:54" customFormat="1">
      <c r="A127" s="2"/>
      <c r="B127" s="561"/>
      <c r="C127" s="454"/>
      <c r="D127" s="35" t="s">
        <v>340</v>
      </c>
      <c r="E127" s="113">
        <f>IFERROR(aurora_data!D407,0)</f>
        <v>0</v>
      </c>
      <c r="F127" s="253">
        <f>IFERROR(aurora_data!E407,0)</f>
        <v>0</v>
      </c>
      <c r="G127" s="253">
        <f>IFERROR(aurora_data!F407,0)</f>
        <v>0</v>
      </c>
      <c r="H127" s="253">
        <f>IFERROR(aurora_data!G407,0)</f>
        <v>0</v>
      </c>
      <c r="I127" s="254">
        <f>IFERROR(aurora_data!H407,0)</f>
        <v>0</v>
      </c>
      <c r="J127" s="113">
        <f>IFERROR(aurora_data!I407,0)</f>
        <v>0</v>
      </c>
      <c r="K127" s="253">
        <f>IFERROR(aurora_data!J407,0)</f>
        <v>0</v>
      </c>
      <c r="L127" s="253">
        <f>IFERROR(aurora_data!K407,0)</f>
        <v>0</v>
      </c>
      <c r="M127" s="253">
        <f>IFERROR(aurora_data!L407,0)</f>
        <v>0</v>
      </c>
      <c r="N127" s="254">
        <f>IFERROR(aurora_data!M407,0)</f>
        <v>0</v>
      </c>
      <c r="O127" s="113">
        <f>IFERROR(aurora_data!N407,0)</f>
        <v>0</v>
      </c>
      <c r="P127" s="253">
        <f>IFERROR(aurora_data!O407,0)</f>
        <v>0</v>
      </c>
      <c r="Q127" s="253">
        <f>IFERROR(aurora_data!P407,0)</f>
        <v>0</v>
      </c>
      <c r="R127" s="254">
        <f>IFERROR(aurora_data!Q407,0)</f>
        <v>0</v>
      </c>
      <c r="S127" s="253">
        <f>IFERROR(aurora_data!R407,0)</f>
        <v>0</v>
      </c>
      <c r="T127" s="253">
        <f>IFERROR(aurora_data!S407,0)</f>
        <v>0</v>
      </c>
      <c r="U127" s="254">
        <f>IFERROR(aurora_data!T407,0)</f>
        <v>0</v>
      </c>
      <c r="V127" s="61" t="s">
        <v>354</v>
      </c>
      <c r="W127" s="113">
        <f>IFERROR(aurora_data!U407,0)</f>
        <v>0</v>
      </c>
      <c r="X127" s="255">
        <f t="shared" si="8"/>
        <v>0</v>
      </c>
      <c r="Y127" s="2"/>
      <c r="Z127" s="222"/>
      <c r="BA127" s="2"/>
      <c r="BB127" s="2"/>
    </row>
    <row r="128" spans="1:54" customFormat="1">
      <c r="A128" s="2"/>
      <c r="B128" s="561"/>
      <c r="C128" s="454"/>
      <c r="D128" s="35" t="s">
        <v>298</v>
      </c>
      <c r="E128" s="113">
        <f>IFERROR(aurora_data!D408,0)</f>
        <v>0</v>
      </c>
      <c r="F128" s="253">
        <f>IFERROR(aurora_data!E408,0)</f>
        <v>0</v>
      </c>
      <c r="G128" s="253">
        <f>IFERROR(aurora_data!F408,0)</f>
        <v>0</v>
      </c>
      <c r="H128" s="253">
        <f>IFERROR(aurora_data!G408,0)</f>
        <v>0</v>
      </c>
      <c r="I128" s="254">
        <f>IFERROR(aurora_data!H408,0)</f>
        <v>0</v>
      </c>
      <c r="J128" s="113">
        <f>IFERROR(aurora_data!I408,0)</f>
        <v>0</v>
      </c>
      <c r="K128" s="253">
        <f>IFERROR(aurora_data!J408,0)</f>
        <v>0</v>
      </c>
      <c r="L128" s="253">
        <f>IFERROR(aurora_data!K408,0)</f>
        <v>0</v>
      </c>
      <c r="M128" s="253">
        <f>IFERROR(aurora_data!L408,0)</f>
        <v>0</v>
      </c>
      <c r="N128" s="254">
        <f>IFERROR(aurora_data!M408,0)</f>
        <v>0</v>
      </c>
      <c r="O128" s="113">
        <f>IFERROR(aurora_data!N408,0)</f>
        <v>0</v>
      </c>
      <c r="P128" s="253">
        <f>IFERROR(aurora_data!O408,0)</f>
        <v>0</v>
      </c>
      <c r="Q128" s="253">
        <f>IFERROR(aurora_data!P408,0)</f>
        <v>0</v>
      </c>
      <c r="R128" s="254">
        <f>IFERROR(aurora_data!Q408,0)</f>
        <v>0</v>
      </c>
      <c r="S128" s="253">
        <f>IFERROR(aurora_data!R408,0)</f>
        <v>0</v>
      </c>
      <c r="T128" s="253">
        <f>IFERROR(aurora_data!S408,0)</f>
        <v>0</v>
      </c>
      <c r="U128" s="254">
        <f>IFERROR(aurora_data!T408,0)</f>
        <v>0</v>
      </c>
      <c r="V128" s="61" t="s">
        <v>354</v>
      </c>
      <c r="W128" s="113">
        <f>IFERROR(aurora_data!U408,0)</f>
        <v>0</v>
      </c>
      <c r="X128" s="255">
        <f t="shared" si="8"/>
        <v>0</v>
      </c>
      <c r="Y128" s="2"/>
      <c r="Z128" s="222"/>
      <c r="BA128" s="2"/>
      <c r="BB128" s="2"/>
    </row>
    <row r="129" spans="1:54" customFormat="1" ht="16.5" customHeight="1">
      <c r="A129" s="2"/>
      <c r="B129" s="561"/>
      <c r="C129" s="454"/>
      <c r="D129" s="35" t="s">
        <v>341</v>
      </c>
      <c r="E129" s="113">
        <f>IFERROR(aurora_data!D409,0)</f>
        <v>0</v>
      </c>
      <c r="F129" s="253">
        <f>IFERROR(aurora_data!E409,0)</f>
        <v>0</v>
      </c>
      <c r="G129" s="253">
        <f>IFERROR(aurora_data!F409,0)</f>
        <v>0</v>
      </c>
      <c r="H129" s="253">
        <f>IFERROR(aurora_data!G409,0)</f>
        <v>0</v>
      </c>
      <c r="I129" s="254">
        <f>IFERROR(aurora_data!H409,0)</f>
        <v>0</v>
      </c>
      <c r="J129" s="113">
        <f>IFERROR(aurora_data!I409,0)</f>
        <v>0</v>
      </c>
      <c r="K129" s="253">
        <f>IFERROR(aurora_data!J409,0)</f>
        <v>0</v>
      </c>
      <c r="L129" s="253">
        <f>IFERROR(aurora_data!K409,0)</f>
        <v>0</v>
      </c>
      <c r="M129" s="253">
        <f>IFERROR(aurora_data!L409,0)</f>
        <v>0</v>
      </c>
      <c r="N129" s="254">
        <f>IFERROR(aurora_data!M409,0)</f>
        <v>0</v>
      </c>
      <c r="O129" s="113">
        <f>IFERROR(aurora_data!N409,0)</f>
        <v>0</v>
      </c>
      <c r="P129" s="253">
        <f>IFERROR(aurora_data!O409,0)</f>
        <v>0</v>
      </c>
      <c r="Q129" s="253">
        <f>IFERROR(aurora_data!P409,0)</f>
        <v>0</v>
      </c>
      <c r="R129" s="254">
        <f>IFERROR(aurora_data!Q409,0)</f>
        <v>0</v>
      </c>
      <c r="S129" s="253">
        <f>IFERROR(aurora_data!R409,0)</f>
        <v>0</v>
      </c>
      <c r="T129" s="253">
        <f>IFERROR(aurora_data!S409,0)</f>
        <v>0</v>
      </c>
      <c r="U129" s="254">
        <f>IFERROR(aurora_data!T409,0)</f>
        <v>0</v>
      </c>
      <c r="V129" s="61" t="s">
        <v>354</v>
      </c>
      <c r="W129" s="113">
        <f>IFERROR(aurora_data!U409,0)</f>
        <v>0</v>
      </c>
      <c r="X129" s="255">
        <f t="shared" si="8"/>
        <v>0</v>
      </c>
      <c r="Y129" s="2"/>
      <c r="Z129" s="222"/>
      <c r="BA129" s="2"/>
      <c r="BB129" s="2"/>
    </row>
    <row r="130" spans="1:54" customFormat="1" ht="16.5" customHeight="1" thickBot="1">
      <c r="A130" s="2"/>
      <c r="B130" s="561"/>
      <c r="C130" s="454"/>
      <c r="D130" s="35" t="s">
        <v>342</v>
      </c>
      <c r="E130" s="113">
        <f>IFERROR(aurora_data!D410,0)</f>
        <v>0</v>
      </c>
      <c r="F130" s="253">
        <f>IFERROR(aurora_data!E410,0)</f>
        <v>0</v>
      </c>
      <c r="G130" s="253">
        <f>IFERROR(aurora_data!F410,0)</f>
        <v>0</v>
      </c>
      <c r="H130" s="253">
        <f>IFERROR(aurora_data!G410,0)</f>
        <v>0</v>
      </c>
      <c r="I130" s="254">
        <f>IFERROR(aurora_data!H410,0)</f>
        <v>0</v>
      </c>
      <c r="J130" s="113">
        <f>IFERROR(aurora_data!I410,0)</f>
        <v>0</v>
      </c>
      <c r="K130" s="253">
        <f>IFERROR(aurora_data!J410,0)</f>
        <v>0</v>
      </c>
      <c r="L130" s="253">
        <f>IFERROR(aurora_data!K410,0)</f>
        <v>0</v>
      </c>
      <c r="M130" s="253">
        <f>IFERROR(aurora_data!L410,0)</f>
        <v>0</v>
      </c>
      <c r="N130" s="254">
        <f>IFERROR(aurora_data!M410,0)</f>
        <v>0</v>
      </c>
      <c r="O130" s="113">
        <f>IFERROR(aurora_data!N410,0)</f>
        <v>0</v>
      </c>
      <c r="P130" s="253">
        <f>IFERROR(aurora_data!O410,0)</f>
        <v>0</v>
      </c>
      <c r="Q130" s="253">
        <f>IFERROR(aurora_data!P410,0)</f>
        <v>0</v>
      </c>
      <c r="R130" s="254">
        <f>IFERROR(aurora_data!Q410,0)</f>
        <v>0</v>
      </c>
      <c r="S130" s="253">
        <f>IFERROR(aurora_data!R410,0)</f>
        <v>0</v>
      </c>
      <c r="T130" s="253">
        <f>IFERROR(aurora_data!S410,0)</f>
        <v>0</v>
      </c>
      <c r="U130" s="254">
        <f>IFERROR(aurora_data!T410,0)</f>
        <v>0</v>
      </c>
      <c r="V130" s="61" t="s">
        <v>354</v>
      </c>
      <c r="W130" s="113">
        <f>IFERROR(aurora_data!U410,0)</f>
        <v>0</v>
      </c>
      <c r="X130" s="255">
        <f t="shared" si="8"/>
        <v>0</v>
      </c>
      <c r="Y130" s="2"/>
      <c r="Z130" s="222"/>
      <c r="BA130" s="2"/>
      <c r="BB130" s="2"/>
    </row>
    <row r="131" spans="1:54" customFormat="1" ht="16.5" customHeight="1" thickBot="1">
      <c r="A131" s="2"/>
      <c r="B131" s="561"/>
      <c r="C131" s="454"/>
      <c r="D131" s="37" t="s">
        <v>17</v>
      </c>
      <c r="E131" s="59">
        <f>IFERROR(aurora_data!D411,0)</f>
        <v>1</v>
      </c>
      <c r="F131" s="64">
        <f>IFERROR(aurora_data!E411,0)</f>
        <v>2</v>
      </c>
      <c r="G131" s="64">
        <f>IFERROR(aurora_data!F411,0)</f>
        <v>4</v>
      </c>
      <c r="H131" s="64">
        <f>IFERROR(aurora_data!G411,0)</f>
        <v>6</v>
      </c>
      <c r="I131" s="65">
        <f>IFERROR(aurora_data!H411,0)</f>
        <v>7</v>
      </c>
      <c r="J131" s="59">
        <f>IFERROR(aurora_data!I411,0)</f>
        <v>1</v>
      </c>
      <c r="K131" s="64">
        <f>IFERROR(aurora_data!J411,0)</f>
        <v>4</v>
      </c>
      <c r="L131" s="64">
        <f>IFERROR(aurora_data!K411,0)</f>
        <v>3</v>
      </c>
      <c r="M131" s="64">
        <f>IFERROR(aurora_data!L411,0)</f>
        <v>1</v>
      </c>
      <c r="N131" s="65">
        <f>IFERROR(aurora_data!M411,0)</f>
        <v>11</v>
      </c>
      <c r="O131" s="59">
        <f>IFERROR(aurora_data!N411,0)</f>
        <v>3</v>
      </c>
      <c r="P131" s="64">
        <f>IFERROR(aurora_data!O411,0)</f>
        <v>5</v>
      </c>
      <c r="Q131" s="64">
        <f>IFERROR(aurora_data!P411,0)</f>
        <v>8</v>
      </c>
      <c r="R131" s="65">
        <f>IFERROR(aurora_data!Q411,0)</f>
        <v>4</v>
      </c>
      <c r="S131" s="64">
        <f>IFERROR(aurora_data!R411,0)</f>
        <v>14</v>
      </c>
      <c r="T131" s="64">
        <f>IFERROR(aurora_data!S411,0)</f>
        <v>6</v>
      </c>
      <c r="U131" s="65">
        <f>IFERROR(aurora_data!T411,0)</f>
        <v>0</v>
      </c>
      <c r="V131" s="66" t="s">
        <v>354</v>
      </c>
      <c r="W131" s="59">
        <f>IFERROR(aurora_data!U411,0)</f>
        <v>20</v>
      </c>
      <c r="X131" s="70">
        <f t="shared" si="8"/>
        <v>1</v>
      </c>
      <c r="Y131" s="2"/>
      <c r="Z131" s="222"/>
      <c r="BA131" s="2"/>
      <c r="BB131" s="2"/>
    </row>
    <row r="132" spans="1:54" customFormat="1" ht="16.5" thickBot="1">
      <c r="A132" s="2"/>
      <c r="B132" s="561"/>
      <c r="C132" s="454"/>
      <c r="D132" s="38" t="s">
        <v>343</v>
      </c>
      <c r="E132" s="256">
        <f>IFERROR(aurora_data!D412,0)</f>
        <v>0</v>
      </c>
      <c r="F132" s="257">
        <f>IFERROR(aurora_data!E412,0)</f>
        <v>0</v>
      </c>
      <c r="G132" s="257">
        <f>IFERROR(aurora_data!F412,0)</f>
        <v>0</v>
      </c>
      <c r="H132" s="257">
        <f>IFERROR(aurora_data!G412,0)</f>
        <v>0</v>
      </c>
      <c r="I132" s="258">
        <f>IFERROR(aurora_data!H412,0)</f>
        <v>0</v>
      </c>
      <c r="J132" s="256">
        <f>IFERROR(aurora_data!I412,0)</f>
        <v>0</v>
      </c>
      <c r="K132" s="257">
        <f>IFERROR(aurora_data!J412,0)</f>
        <v>0</v>
      </c>
      <c r="L132" s="257">
        <f>IFERROR(aurora_data!K412,0)</f>
        <v>0</v>
      </c>
      <c r="M132" s="257">
        <f>IFERROR(aurora_data!L412,0)</f>
        <v>0</v>
      </c>
      <c r="N132" s="258">
        <f>IFERROR(aurora_data!M412,0)</f>
        <v>0</v>
      </c>
      <c r="O132" s="256">
        <f>IFERROR(aurora_data!N412,0)</f>
        <v>0</v>
      </c>
      <c r="P132" s="257">
        <f>IFERROR(aurora_data!O412,0)</f>
        <v>0</v>
      </c>
      <c r="Q132" s="257">
        <f>IFERROR(aurora_data!P412,0)</f>
        <v>0</v>
      </c>
      <c r="R132" s="258">
        <f>IFERROR(aurora_data!Q412,0)</f>
        <v>0</v>
      </c>
      <c r="S132" s="257">
        <f>IFERROR(aurora_data!R412,0)</f>
        <v>0</v>
      </c>
      <c r="T132" s="257">
        <f>IFERROR(aurora_data!S412,0)</f>
        <v>0</v>
      </c>
      <c r="U132" s="259">
        <f>IFERROR(aurora_data!T412,0)</f>
        <v>0</v>
      </c>
      <c r="V132" s="260" t="s">
        <v>354</v>
      </c>
      <c r="W132" s="256">
        <f>IFERROR(aurora_data!U412,0)</f>
        <v>0</v>
      </c>
      <c r="X132" s="261">
        <f t="shared" si="8"/>
        <v>0</v>
      </c>
      <c r="Y132" s="2"/>
      <c r="Z132" s="222"/>
      <c r="BA132" s="2"/>
      <c r="BB132" s="2"/>
    </row>
    <row r="133" spans="1:54" customFormat="1" hidden="1" outlineLevel="1">
      <c r="A133" s="2"/>
      <c r="B133" s="147"/>
      <c r="C133" s="454"/>
      <c r="D133" s="199" t="s">
        <v>344</v>
      </c>
      <c r="E133" s="271">
        <f>ROUNDDOWN((E135+$E$9)*($W124),0)</f>
        <v>4</v>
      </c>
      <c r="F133" s="272">
        <f>ROUNDDOWN((F135+$E$9)*($W124),0)</f>
        <v>5</v>
      </c>
      <c r="G133" s="272">
        <f>ROUNDDOWN((G135+$E$9)*($W124),0)</f>
        <v>8</v>
      </c>
      <c r="H133" s="272">
        <f>ROUNDDOWN((H135+$E$9)*($W124),0)</f>
        <v>10</v>
      </c>
      <c r="I133" s="272">
        <f>ROUNDDOWN((I135+$E$9)*($W124),0)</f>
        <v>11</v>
      </c>
      <c r="J133" s="271"/>
      <c r="K133" s="272"/>
      <c r="L133" s="272"/>
      <c r="M133" s="272"/>
      <c r="N133" s="268"/>
      <c r="O133" s="271"/>
      <c r="P133" s="272"/>
      <c r="Q133" s="272"/>
      <c r="R133" s="268"/>
      <c r="S133" s="265"/>
      <c r="T133" s="272"/>
      <c r="U133" s="282"/>
      <c r="V133" s="61"/>
      <c r="W133" s="291"/>
      <c r="X133" s="286"/>
      <c r="Y133" s="206"/>
      <c r="Z133" s="222"/>
      <c r="BA133" s="2"/>
      <c r="BB133" s="2"/>
    </row>
    <row r="134" spans="1:54" customFormat="1" ht="16.5" hidden="1" customHeight="1" outlineLevel="1">
      <c r="A134" s="2"/>
      <c r="B134" s="147"/>
      <c r="C134" s="454"/>
      <c r="D134" s="199" t="s">
        <v>345</v>
      </c>
      <c r="E134" s="276">
        <f>IF(ROUND(((E135-$E$9)*($W124))+0.25,0) &lt;=0,1,((E135-$E$9)*($W124))+0.25)</f>
        <v>1</v>
      </c>
      <c r="F134" s="277">
        <f>IF(ROUND(((F135-$E$9)*($W124))+0.25,0) &lt;=0,1,((F135-$E$9)*($W124))+0.25)</f>
        <v>1</v>
      </c>
      <c r="G134" s="277">
        <f>IF(ROUND(((G135-$E$9)*($W124))+0.25,0) &lt;=0,1,((G135-$E$9)*($W124))+0.25)</f>
        <v>1</v>
      </c>
      <c r="H134" s="277">
        <f>IF(ROUND(((H135-$E$9)*($W124))+0.25,0) &lt;=0,1,((H135-$E$9)*($W124))+0.25)</f>
        <v>2.5599999999999996</v>
      </c>
      <c r="I134" s="277">
        <f>IF(ROUND(((I135-$E$9)*($W124))+0.25,0) &lt;=0,1,((I135-$E$9)*($W124))+0.25)</f>
        <v>3.76</v>
      </c>
      <c r="J134" s="276"/>
      <c r="K134" s="277"/>
      <c r="L134" s="277"/>
      <c r="M134" s="277"/>
      <c r="N134" s="278"/>
      <c r="O134" s="276"/>
      <c r="P134" s="277"/>
      <c r="Q134" s="277"/>
      <c r="R134" s="278"/>
      <c r="S134" s="276"/>
      <c r="T134" s="277"/>
      <c r="U134" s="287"/>
      <c r="V134" s="61"/>
      <c r="W134" s="285"/>
      <c r="X134" s="287"/>
      <c r="Y134" s="207"/>
      <c r="Z134" s="222"/>
      <c r="BA134" s="2"/>
      <c r="BB134" s="2"/>
    </row>
    <row r="135" spans="1:54" customFormat="1" ht="16.5" hidden="1" customHeight="1" outlineLevel="1">
      <c r="A135" s="2"/>
      <c r="B135" s="147"/>
      <c r="C135" s="454"/>
      <c r="D135" s="95" t="s">
        <v>346</v>
      </c>
      <c r="E135" s="414">
        <f>IFERROR(E124/$W124,0)</f>
        <v>4.0500000000000001E-2</v>
      </c>
      <c r="F135" s="415">
        <f>IFERROR(F124/$W124,0)</f>
        <v>6.8000000000000005E-2</v>
      </c>
      <c r="G135" s="415">
        <f>IFERROR(G124/$W124,0)</f>
        <v>0.20150000000000001</v>
      </c>
      <c r="H135" s="415">
        <f>IFERROR(H124/$W124,0)</f>
        <v>0.3155</v>
      </c>
      <c r="I135" s="415">
        <f>IFERROR(I124/$W124,0)</f>
        <v>0.3755</v>
      </c>
      <c r="J135" s="414"/>
      <c r="K135" s="415"/>
      <c r="L135" s="415"/>
      <c r="M135" s="415"/>
      <c r="N135" s="416"/>
      <c r="O135" s="414"/>
      <c r="P135" s="415"/>
      <c r="Q135" s="415"/>
      <c r="R135" s="416"/>
      <c r="S135" s="414"/>
      <c r="T135" s="415"/>
      <c r="U135" s="254"/>
      <c r="V135" s="61"/>
      <c r="W135" s="113"/>
      <c r="X135" s="431"/>
      <c r="Y135" s="208"/>
      <c r="Z135" s="222"/>
      <c r="BA135" s="2"/>
      <c r="BB135" s="2"/>
    </row>
    <row r="136" spans="1:54" customFormat="1" ht="16.5" hidden="1" customHeight="1" outlineLevel="1">
      <c r="A136" s="2"/>
      <c r="B136" s="147"/>
      <c r="C136" s="454"/>
      <c r="D136" s="180" t="s">
        <v>347</v>
      </c>
      <c r="E136" s="414">
        <f>IFERROR(E125/$W124,0)</f>
        <v>0.05</v>
      </c>
      <c r="F136" s="415">
        <f>IFERROR(F125/$W124,0)</f>
        <v>0.1</v>
      </c>
      <c r="G136" s="415">
        <f>IFERROR(G125/$W124,0)</f>
        <v>0.2</v>
      </c>
      <c r="H136" s="415">
        <f>IFERROR(H125/$W124,0)</f>
        <v>0.3</v>
      </c>
      <c r="I136" s="415">
        <f>IFERROR(I125/$W124,0)</f>
        <v>0.35</v>
      </c>
      <c r="J136" s="414"/>
      <c r="K136" s="415"/>
      <c r="L136" s="415"/>
      <c r="M136" s="415"/>
      <c r="N136" s="416"/>
      <c r="O136" s="414"/>
      <c r="P136" s="415"/>
      <c r="Q136" s="415"/>
      <c r="R136" s="416"/>
      <c r="S136" s="414"/>
      <c r="T136" s="415"/>
      <c r="U136" s="254"/>
      <c r="V136" s="61"/>
      <c r="W136" s="113"/>
      <c r="X136" s="431"/>
      <c r="Y136" s="208"/>
      <c r="Z136" s="222"/>
      <c r="BA136" s="2"/>
      <c r="BB136" s="2"/>
    </row>
    <row r="137" spans="1:54" customFormat="1" ht="16.5" hidden="1" outlineLevel="1" thickBot="1">
      <c r="A137" s="2"/>
      <c r="B137" s="147"/>
      <c r="C137" s="455"/>
      <c r="D137" s="180" t="s">
        <v>348</v>
      </c>
      <c r="E137" s="414">
        <f>E136-E135</f>
        <v>9.5000000000000015E-3</v>
      </c>
      <c r="F137" s="415">
        <f>F136-F135</f>
        <v>3.2000000000000001E-2</v>
      </c>
      <c r="G137" s="415">
        <f>G136-G135</f>
        <v>-1.5000000000000013E-3</v>
      </c>
      <c r="H137" s="415">
        <f>H136-H135</f>
        <v>-1.5500000000000014E-2</v>
      </c>
      <c r="I137" s="415">
        <f>I136-I135</f>
        <v>-2.5500000000000023E-2</v>
      </c>
      <c r="J137" s="414"/>
      <c r="K137" s="415"/>
      <c r="L137" s="415"/>
      <c r="M137" s="415"/>
      <c r="N137" s="416"/>
      <c r="O137" s="414"/>
      <c r="P137" s="415"/>
      <c r="Q137" s="415"/>
      <c r="R137" s="416"/>
      <c r="S137" s="432"/>
      <c r="T137" s="415"/>
      <c r="U137" s="254"/>
      <c r="V137" s="61"/>
      <c r="W137" s="113"/>
      <c r="X137" s="431"/>
      <c r="Y137" s="209"/>
      <c r="Z137" s="222"/>
      <c r="BA137" s="2"/>
      <c r="BB137" s="2"/>
    </row>
    <row r="138" spans="1:54" customFormat="1" collapsed="1">
      <c r="A138" s="2"/>
      <c r="B138" s="560" t="s">
        <v>362</v>
      </c>
      <c r="C138" s="453" t="str">
        <f>aurora_data!A413</f>
        <v>15.00.00-15.11.30</v>
      </c>
      <c r="D138" s="34" t="s">
        <v>306</v>
      </c>
      <c r="E138" s="39">
        <f>IFERROR(aurora_data!D413,0)</f>
        <v>0.79</v>
      </c>
      <c r="F138" s="40">
        <f>IFERROR(aurora_data!E413,0)</f>
        <v>1.35</v>
      </c>
      <c r="G138" s="40">
        <f>IFERROR(aurora_data!F413,0)</f>
        <v>3.98</v>
      </c>
      <c r="H138" s="40">
        <f>IFERROR(aurora_data!G413,0)</f>
        <v>6.27</v>
      </c>
      <c r="I138" s="41">
        <f>IFERROR(aurora_data!H413,0)</f>
        <v>7.62</v>
      </c>
      <c r="J138" s="39">
        <f>IFERROR(aurora_data!I413,0)</f>
        <v>1</v>
      </c>
      <c r="K138" s="40">
        <f>IFERROR(aurora_data!J413,0)</f>
        <v>1</v>
      </c>
      <c r="L138" s="40">
        <f>IFERROR(aurora_data!K413,0)</f>
        <v>1</v>
      </c>
      <c r="M138" s="40">
        <f>IFERROR(aurora_data!L413,0)</f>
        <v>1</v>
      </c>
      <c r="N138" s="41">
        <f>IFERROR(aurora_data!M413,0)</f>
        <v>1</v>
      </c>
      <c r="O138" s="39">
        <f>IFERROR(aurora_data!N413,0)</f>
        <v>1</v>
      </c>
      <c r="P138" s="40">
        <f>IFERROR(aurora_data!O413,0)</f>
        <v>1</v>
      </c>
      <c r="Q138" s="40">
        <f>IFERROR(aurora_data!P413,0)</f>
        <v>1</v>
      </c>
      <c r="R138" s="41">
        <f>IFERROR(aurora_data!Q413,0)</f>
        <v>1</v>
      </c>
      <c r="S138" s="40">
        <f>IFERROR(aurora_data!R413,0)</f>
        <v>1</v>
      </c>
      <c r="T138" s="40">
        <f>IFERROR(aurora_data!S413,0)</f>
        <v>1</v>
      </c>
      <c r="U138" s="41">
        <f>IFERROR(aurora_data!T413,0)</f>
        <v>0</v>
      </c>
      <c r="V138" s="61" t="s">
        <v>354</v>
      </c>
      <c r="W138" s="39">
        <f>IFERROR(aurora_data!U413,0)</f>
        <v>20</v>
      </c>
      <c r="X138" s="69">
        <f t="shared" ref="X138:X146" si="9">IFERROR(W138/$W$138,0)</f>
        <v>1</v>
      </c>
      <c r="Y138" s="2"/>
      <c r="Z138" s="222"/>
      <c r="BA138" s="2"/>
      <c r="BB138" s="2"/>
    </row>
    <row r="139" spans="1:54" customFormat="1" ht="16.5" customHeight="1">
      <c r="A139" s="2"/>
      <c r="B139" s="561"/>
      <c r="C139" s="454"/>
      <c r="D139" s="35" t="s">
        <v>339</v>
      </c>
      <c r="E139" s="113">
        <f>IFERROR(aurora_data!D414,0)</f>
        <v>0</v>
      </c>
      <c r="F139" s="253">
        <f>IFERROR(aurora_data!E414,0)</f>
        <v>1</v>
      </c>
      <c r="G139" s="253">
        <f>IFERROR(aurora_data!F414,0)</f>
        <v>5</v>
      </c>
      <c r="H139" s="253">
        <f>IFERROR(aurora_data!G414,0)</f>
        <v>6</v>
      </c>
      <c r="I139" s="254">
        <f>IFERROR(aurora_data!H414,0)</f>
        <v>8</v>
      </c>
      <c r="J139" s="113">
        <f>IFERROR(aurora_data!I414,0)</f>
        <v>0</v>
      </c>
      <c r="K139" s="253">
        <f>IFERROR(aurora_data!J414,0)</f>
        <v>4</v>
      </c>
      <c r="L139" s="253">
        <f>IFERROR(aurora_data!K414,0)</f>
        <v>4</v>
      </c>
      <c r="M139" s="253">
        <f>IFERROR(aurora_data!L414,0)</f>
        <v>4</v>
      </c>
      <c r="N139" s="254">
        <f>IFERROR(aurora_data!M414,0)</f>
        <v>8</v>
      </c>
      <c r="O139" s="113">
        <f>IFERROR(aurora_data!N414,0)</f>
        <v>6</v>
      </c>
      <c r="P139" s="253">
        <f>IFERROR(aurora_data!O414,0)</f>
        <v>3</v>
      </c>
      <c r="Q139" s="253">
        <f>IFERROR(aurora_data!P414,0)</f>
        <v>6</v>
      </c>
      <c r="R139" s="254">
        <f>IFERROR(aurora_data!Q414,0)</f>
        <v>5</v>
      </c>
      <c r="S139" s="253">
        <f>IFERROR(aurora_data!R414,0)</f>
        <v>12</v>
      </c>
      <c r="T139" s="253">
        <f>IFERROR(aurora_data!S414,0)</f>
        <v>8</v>
      </c>
      <c r="U139" s="254">
        <f>IFERROR(aurora_data!T414,0)</f>
        <v>0</v>
      </c>
      <c r="V139" s="61" t="s">
        <v>354</v>
      </c>
      <c r="W139" s="113">
        <f>IFERROR(aurora_data!U414,0)</f>
        <v>20</v>
      </c>
      <c r="X139" s="255">
        <f t="shared" si="9"/>
        <v>1</v>
      </c>
      <c r="Y139" s="2"/>
      <c r="Z139" s="222"/>
      <c r="BA139" s="2"/>
      <c r="BB139" s="2"/>
    </row>
    <row r="140" spans="1:54" customFormat="1" ht="16.5" customHeight="1">
      <c r="A140" s="2"/>
      <c r="B140" s="561"/>
      <c r="C140" s="454"/>
      <c r="D140" s="35" t="s">
        <v>291</v>
      </c>
      <c r="E140" s="113">
        <f>IFERROR(aurora_data!D415,0)</f>
        <v>0</v>
      </c>
      <c r="F140" s="253">
        <f>IFERROR(aurora_data!E415,0)</f>
        <v>0</v>
      </c>
      <c r="G140" s="253">
        <f>IFERROR(aurora_data!F415,0)</f>
        <v>0</v>
      </c>
      <c r="H140" s="253">
        <f>IFERROR(aurora_data!G415,0)</f>
        <v>0</v>
      </c>
      <c r="I140" s="254">
        <f>IFERROR(aurora_data!H415,0)</f>
        <v>0</v>
      </c>
      <c r="J140" s="113">
        <f>IFERROR(aurora_data!I415,0)</f>
        <v>0</v>
      </c>
      <c r="K140" s="253">
        <f>IFERROR(aurora_data!J415,0)</f>
        <v>0</v>
      </c>
      <c r="L140" s="253">
        <f>IFERROR(aurora_data!K415,0)</f>
        <v>0</v>
      </c>
      <c r="M140" s="253">
        <f>IFERROR(aurora_data!L415,0)</f>
        <v>0</v>
      </c>
      <c r="N140" s="254">
        <f>IFERROR(aurora_data!M415,0)</f>
        <v>0</v>
      </c>
      <c r="O140" s="113">
        <f>IFERROR(aurora_data!N415,0)</f>
        <v>0</v>
      </c>
      <c r="P140" s="253">
        <f>IFERROR(aurora_data!O415,0)</f>
        <v>0</v>
      </c>
      <c r="Q140" s="253">
        <f>IFERROR(aurora_data!P415,0)</f>
        <v>0</v>
      </c>
      <c r="R140" s="254">
        <f>IFERROR(aurora_data!Q415,0)</f>
        <v>0</v>
      </c>
      <c r="S140" s="253">
        <f>IFERROR(aurora_data!R415,0)</f>
        <v>0</v>
      </c>
      <c r="T140" s="253">
        <f>IFERROR(aurora_data!S415,0)</f>
        <v>0</v>
      </c>
      <c r="U140" s="254">
        <f>IFERROR(aurora_data!T415,0)</f>
        <v>0</v>
      </c>
      <c r="V140" s="61" t="s">
        <v>354</v>
      </c>
      <c r="W140" s="113">
        <f>IFERROR(aurora_data!U415,0)</f>
        <v>0</v>
      </c>
      <c r="X140" s="255">
        <f t="shared" si="9"/>
        <v>0</v>
      </c>
      <c r="Y140" s="2"/>
      <c r="Z140" s="222"/>
      <c r="BA140" s="2"/>
      <c r="BB140" s="2"/>
    </row>
    <row r="141" spans="1:54" customFormat="1">
      <c r="A141" s="2"/>
      <c r="B141" s="561"/>
      <c r="C141" s="454"/>
      <c r="D141" s="35" t="s">
        <v>340</v>
      </c>
      <c r="E141" s="113">
        <f>IFERROR(aurora_data!D416,0)</f>
        <v>0</v>
      </c>
      <c r="F141" s="253">
        <f>IFERROR(aurora_data!E416,0)</f>
        <v>0</v>
      </c>
      <c r="G141" s="253">
        <f>IFERROR(aurora_data!F416,0)</f>
        <v>0</v>
      </c>
      <c r="H141" s="253">
        <f>IFERROR(aurora_data!G416,0)</f>
        <v>0</v>
      </c>
      <c r="I141" s="254">
        <f>IFERROR(aurora_data!H416,0)</f>
        <v>0</v>
      </c>
      <c r="J141" s="113">
        <f>IFERROR(aurora_data!I416,0)</f>
        <v>0</v>
      </c>
      <c r="K141" s="253">
        <f>IFERROR(aurora_data!J416,0)</f>
        <v>0</v>
      </c>
      <c r="L141" s="253">
        <f>IFERROR(aurora_data!K416,0)</f>
        <v>0</v>
      </c>
      <c r="M141" s="253">
        <f>IFERROR(aurora_data!L416,0)</f>
        <v>0</v>
      </c>
      <c r="N141" s="254">
        <f>IFERROR(aurora_data!M416,0)</f>
        <v>0</v>
      </c>
      <c r="O141" s="113">
        <f>IFERROR(aurora_data!N416,0)</f>
        <v>0</v>
      </c>
      <c r="P141" s="253">
        <f>IFERROR(aurora_data!O416,0)</f>
        <v>0</v>
      </c>
      <c r="Q141" s="253">
        <f>IFERROR(aurora_data!P416,0)</f>
        <v>0</v>
      </c>
      <c r="R141" s="254">
        <f>IFERROR(aurora_data!Q416,0)</f>
        <v>0</v>
      </c>
      <c r="S141" s="253">
        <f>IFERROR(aurora_data!R416,0)</f>
        <v>0</v>
      </c>
      <c r="T141" s="253">
        <f>IFERROR(aurora_data!S416,0)</f>
        <v>0</v>
      </c>
      <c r="U141" s="254">
        <f>IFERROR(aurora_data!T416,0)</f>
        <v>0</v>
      </c>
      <c r="V141" s="61" t="s">
        <v>354</v>
      </c>
      <c r="W141" s="113">
        <f>IFERROR(aurora_data!U416,0)</f>
        <v>0</v>
      </c>
      <c r="X141" s="255">
        <f t="shared" si="9"/>
        <v>0</v>
      </c>
      <c r="Y141" s="2"/>
      <c r="Z141" s="222"/>
      <c r="BA141" s="2"/>
      <c r="BB141" s="2"/>
    </row>
    <row r="142" spans="1:54" customFormat="1">
      <c r="A142" s="2"/>
      <c r="B142" s="561"/>
      <c r="C142" s="454"/>
      <c r="D142" s="35" t="s">
        <v>298</v>
      </c>
      <c r="E142" s="113">
        <f>IFERROR(aurora_data!D417,0)</f>
        <v>0</v>
      </c>
      <c r="F142" s="253">
        <f>IFERROR(aurora_data!E417,0)</f>
        <v>0</v>
      </c>
      <c r="G142" s="253">
        <f>IFERROR(aurora_data!F417,0)</f>
        <v>0</v>
      </c>
      <c r="H142" s="253">
        <f>IFERROR(aurora_data!G417,0)</f>
        <v>0</v>
      </c>
      <c r="I142" s="254">
        <f>IFERROR(aurora_data!H417,0)</f>
        <v>0</v>
      </c>
      <c r="J142" s="113">
        <f>IFERROR(aurora_data!I417,0)</f>
        <v>0</v>
      </c>
      <c r="K142" s="253">
        <f>IFERROR(aurora_data!J417,0)</f>
        <v>0</v>
      </c>
      <c r="L142" s="253">
        <f>IFERROR(aurora_data!K417,0)</f>
        <v>0</v>
      </c>
      <c r="M142" s="253">
        <f>IFERROR(aurora_data!L417,0)</f>
        <v>0</v>
      </c>
      <c r="N142" s="254">
        <f>IFERROR(aurora_data!M417,0)</f>
        <v>0</v>
      </c>
      <c r="O142" s="113">
        <f>IFERROR(aurora_data!N417,0)</f>
        <v>0</v>
      </c>
      <c r="P142" s="253">
        <f>IFERROR(aurora_data!O417,0)</f>
        <v>0</v>
      </c>
      <c r="Q142" s="253">
        <f>IFERROR(aurora_data!P417,0)</f>
        <v>0</v>
      </c>
      <c r="R142" s="254">
        <f>IFERROR(aurora_data!Q417,0)</f>
        <v>0</v>
      </c>
      <c r="S142" s="253">
        <f>IFERROR(aurora_data!R417,0)</f>
        <v>0</v>
      </c>
      <c r="T142" s="253">
        <f>IFERROR(aurora_data!S417,0)</f>
        <v>0</v>
      </c>
      <c r="U142" s="254">
        <f>IFERROR(aurora_data!T417,0)</f>
        <v>0</v>
      </c>
      <c r="V142" s="61" t="s">
        <v>354</v>
      </c>
      <c r="W142" s="113">
        <f>IFERROR(aurora_data!U417,0)</f>
        <v>0</v>
      </c>
      <c r="X142" s="255">
        <f t="shared" si="9"/>
        <v>0</v>
      </c>
      <c r="Y142" s="2"/>
      <c r="Z142" s="222"/>
      <c r="BA142" s="2"/>
      <c r="BB142" s="2"/>
    </row>
    <row r="143" spans="1:54" customFormat="1" ht="16.5" customHeight="1">
      <c r="A143" s="2"/>
      <c r="B143" s="561"/>
      <c r="C143" s="454"/>
      <c r="D143" s="35" t="s">
        <v>341</v>
      </c>
      <c r="E143" s="113">
        <f>IFERROR(aurora_data!D418,0)</f>
        <v>0</v>
      </c>
      <c r="F143" s="253">
        <f>IFERROR(aurora_data!E418,0)</f>
        <v>0</v>
      </c>
      <c r="G143" s="253">
        <f>IFERROR(aurora_data!F418,0)</f>
        <v>0</v>
      </c>
      <c r="H143" s="253">
        <f>IFERROR(aurora_data!G418,0)</f>
        <v>0</v>
      </c>
      <c r="I143" s="254">
        <f>IFERROR(aurora_data!H418,0)</f>
        <v>0</v>
      </c>
      <c r="J143" s="113">
        <f>IFERROR(aurora_data!I418,0)</f>
        <v>0</v>
      </c>
      <c r="K143" s="253">
        <f>IFERROR(aurora_data!J418,0)</f>
        <v>0</v>
      </c>
      <c r="L143" s="253">
        <f>IFERROR(aurora_data!K418,0)</f>
        <v>0</v>
      </c>
      <c r="M143" s="253">
        <f>IFERROR(aurora_data!L418,0)</f>
        <v>0</v>
      </c>
      <c r="N143" s="254">
        <f>IFERROR(aurora_data!M418,0)</f>
        <v>0</v>
      </c>
      <c r="O143" s="113">
        <f>IFERROR(aurora_data!N418,0)</f>
        <v>0</v>
      </c>
      <c r="P143" s="253">
        <f>IFERROR(aurora_data!O418,0)</f>
        <v>0</v>
      </c>
      <c r="Q143" s="253">
        <f>IFERROR(aurora_data!P418,0)</f>
        <v>0</v>
      </c>
      <c r="R143" s="254">
        <f>IFERROR(aurora_data!Q418,0)</f>
        <v>0</v>
      </c>
      <c r="S143" s="253">
        <f>IFERROR(aurora_data!R418,0)</f>
        <v>0</v>
      </c>
      <c r="T143" s="253">
        <f>IFERROR(aurora_data!S418,0)</f>
        <v>0</v>
      </c>
      <c r="U143" s="254">
        <f>IFERROR(aurora_data!T418,0)</f>
        <v>0</v>
      </c>
      <c r="V143" s="61" t="s">
        <v>354</v>
      </c>
      <c r="W143" s="113">
        <f>IFERROR(aurora_data!U418,0)</f>
        <v>0</v>
      </c>
      <c r="X143" s="255">
        <f t="shared" si="9"/>
        <v>0</v>
      </c>
      <c r="Y143" s="2"/>
      <c r="Z143" s="222"/>
      <c r="BA143" s="2"/>
      <c r="BB143" s="2"/>
    </row>
    <row r="144" spans="1:54" customFormat="1" ht="16.5" customHeight="1" thickBot="1">
      <c r="A144" s="2"/>
      <c r="B144" s="561"/>
      <c r="C144" s="454"/>
      <c r="D144" s="35" t="s">
        <v>342</v>
      </c>
      <c r="E144" s="113">
        <f>IFERROR(aurora_data!D419,0)</f>
        <v>0</v>
      </c>
      <c r="F144" s="253">
        <f>IFERROR(aurora_data!E419,0)</f>
        <v>0</v>
      </c>
      <c r="G144" s="253">
        <f>IFERROR(aurora_data!F419,0)</f>
        <v>0</v>
      </c>
      <c r="H144" s="253">
        <f>IFERROR(aurora_data!G419,0)</f>
        <v>0</v>
      </c>
      <c r="I144" s="254">
        <f>IFERROR(aurora_data!H419,0)</f>
        <v>0</v>
      </c>
      <c r="J144" s="113">
        <f>IFERROR(aurora_data!I419,0)</f>
        <v>0</v>
      </c>
      <c r="K144" s="253">
        <f>IFERROR(aurora_data!J419,0)</f>
        <v>0</v>
      </c>
      <c r="L144" s="253">
        <f>IFERROR(aurora_data!K419,0)</f>
        <v>0</v>
      </c>
      <c r="M144" s="253">
        <f>IFERROR(aurora_data!L419,0)</f>
        <v>0</v>
      </c>
      <c r="N144" s="254">
        <f>IFERROR(aurora_data!M419,0)</f>
        <v>0</v>
      </c>
      <c r="O144" s="113">
        <f>IFERROR(aurora_data!N419,0)</f>
        <v>0</v>
      </c>
      <c r="P144" s="253">
        <f>IFERROR(aurora_data!O419,0)</f>
        <v>0</v>
      </c>
      <c r="Q144" s="253">
        <f>IFERROR(aurora_data!P419,0)</f>
        <v>0</v>
      </c>
      <c r="R144" s="254">
        <f>IFERROR(aurora_data!Q419,0)</f>
        <v>0</v>
      </c>
      <c r="S144" s="253">
        <f>IFERROR(aurora_data!R419,0)</f>
        <v>0</v>
      </c>
      <c r="T144" s="253">
        <f>IFERROR(aurora_data!S419,0)</f>
        <v>0</v>
      </c>
      <c r="U144" s="254">
        <f>IFERROR(aurora_data!T419,0)</f>
        <v>0</v>
      </c>
      <c r="V144" s="61" t="s">
        <v>354</v>
      </c>
      <c r="W144" s="113">
        <f>IFERROR(aurora_data!U419,0)</f>
        <v>0</v>
      </c>
      <c r="X144" s="255">
        <f t="shared" si="9"/>
        <v>0</v>
      </c>
      <c r="Y144" s="2"/>
      <c r="Z144" s="222"/>
      <c r="BA144" s="2"/>
      <c r="BB144" s="2"/>
    </row>
    <row r="145" spans="1:54" customFormat="1" ht="16.5" customHeight="1" thickBot="1">
      <c r="A145" s="2"/>
      <c r="B145" s="561"/>
      <c r="C145" s="454"/>
      <c r="D145" s="37" t="s">
        <v>17</v>
      </c>
      <c r="E145" s="59">
        <f>IFERROR(aurora_data!D420,0)</f>
        <v>0</v>
      </c>
      <c r="F145" s="64">
        <f>IFERROR(aurora_data!E420,0)</f>
        <v>1</v>
      </c>
      <c r="G145" s="64">
        <f>IFERROR(aurora_data!F420,0)</f>
        <v>5</v>
      </c>
      <c r="H145" s="64">
        <f>IFERROR(aurora_data!G420,0)</f>
        <v>6</v>
      </c>
      <c r="I145" s="65">
        <f>IFERROR(aurora_data!H420,0)</f>
        <v>8</v>
      </c>
      <c r="J145" s="59">
        <f>IFERROR(aurora_data!I420,0)</f>
        <v>0</v>
      </c>
      <c r="K145" s="64">
        <f>IFERROR(aurora_data!J420,0)</f>
        <v>4</v>
      </c>
      <c r="L145" s="64">
        <f>IFERROR(aurora_data!K420,0)</f>
        <v>4</v>
      </c>
      <c r="M145" s="64">
        <f>IFERROR(aurora_data!L420,0)</f>
        <v>4</v>
      </c>
      <c r="N145" s="65">
        <f>IFERROR(aurora_data!M420,0)</f>
        <v>8</v>
      </c>
      <c r="O145" s="59">
        <f>IFERROR(aurora_data!N420,0)</f>
        <v>6</v>
      </c>
      <c r="P145" s="64">
        <f>IFERROR(aurora_data!O420,0)</f>
        <v>3</v>
      </c>
      <c r="Q145" s="64">
        <f>IFERROR(aurora_data!P420,0)</f>
        <v>6</v>
      </c>
      <c r="R145" s="65">
        <f>IFERROR(aurora_data!Q420,0)</f>
        <v>5</v>
      </c>
      <c r="S145" s="64">
        <f>IFERROR(aurora_data!R420,0)</f>
        <v>12</v>
      </c>
      <c r="T145" s="64">
        <f>IFERROR(aurora_data!S420,0)</f>
        <v>8</v>
      </c>
      <c r="U145" s="65">
        <f>IFERROR(aurora_data!T420,0)</f>
        <v>0</v>
      </c>
      <c r="V145" s="66" t="s">
        <v>354</v>
      </c>
      <c r="W145" s="59">
        <f>IFERROR(aurora_data!U420,0)</f>
        <v>20</v>
      </c>
      <c r="X145" s="70">
        <f t="shared" si="9"/>
        <v>1</v>
      </c>
      <c r="Y145" s="2"/>
      <c r="Z145" s="222"/>
      <c r="BA145" s="2"/>
      <c r="BB145" s="2"/>
    </row>
    <row r="146" spans="1:54" customFormat="1" ht="16.5" thickBot="1">
      <c r="A146" s="2"/>
      <c r="B146" s="561"/>
      <c r="C146" s="454"/>
      <c r="D146" s="38" t="s">
        <v>343</v>
      </c>
      <c r="E146" s="256">
        <f>IFERROR(aurora_data!D421,0)</f>
        <v>0</v>
      </c>
      <c r="F146" s="257">
        <f>IFERROR(aurora_data!E421,0)</f>
        <v>0</v>
      </c>
      <c r="G146" s="257">
        <f>IFERROR(aurora_data!F421,0)</f>
        <v>0</v>
      </c>
      <c r="H146" s="257">
        <f>IFERROR(aurora_data!G421,0)</f>
        <v>0</v>
      </c>
      <c r="I146" s="258">
        <f>IFERROR(aurora_data!H421,0)</f>
        <v>0</v>
      </c>
      <c r="J146" s="256">
        <f>IFERROR(aurora_data!I421,0)</f>
        <v>0</v>
      </c>
      <c r="K146" s="257">
        <f>IFERROR(aurora_data!J421,0)</f>
        <v>0</v>
      </c>
      <c r="L146" s="257">
        <f>IFERROR(aurora_data!K421,0)</f>
        <v>0</v>
      </c>
      <c r="M146" s="257">
        <f>IFERROR(aurora_data!L421,0)</f>
        <v>0</v>
      </c>
      <c r="N146" s="258">
        <f>IFERROR(aurora_data!M421,0)</f>
        <v>0</v>
      </c>
      <c r="O146" s="256">
        <f>IFERROR(aurora_data!N421,0)</f>
        <v>0</v>
      </c>
      <c r="P146" s="257">
        <f>IFERROR(aurora_data!O421,0)</f>
        <v>0</v>
      </c>
      <c r="Q146" s="257">
        <f>IFERROR(aurora_data!P421,0)</f>
        <v>0</v>
      </c>
      <c r="R146" s="258">
        <f>IFERROR(aurora_data!Q421,0)</f>
        <v>0</v>
      </c>
      <c r="S146" s="257">
        <f>IFERROR(aurora_data!R421,0)</f>
        <v>0</v>
      </c>
      <c r="T146" s="257">
        <f>IFERROR(aurora_data!S421,0)</f>
        <v>0</v>
      </c>
      <c r="U146" s="259">
        <f>IFERROR(aurora_data!T421,0)</f>
        <v>0</v>
      </c>
      <c r="V146" s="260" t="s">
        <v>354</v>
      </c>
      <c r="W146" s="256">
        <f>IFERROR(aurora_data!U421,0)</f>
        <v>0</v>
      </c>
      <c r="X146" s="261">
        <f t="shared" si="9"/>
        <v>0</v>
      </c>
      <c r="Y146" s="2"/>
      <c r="Z146" s="222"/>
      <c r="BA146" s="2"/>
      <c r="BB146" s="2"/>
    </row>
    <row r="147" spans="1:54" customFormat="1" hidden="1" outlineLevel="1">
      <c r="A147" s="2"/>
      <c r="B147" s="147"/>
      <c r="C147" s="454"/>
      <c r="D147" s="199" t="s">
        <v>344</v>
      </c>
      <c r="E147" s="271">
        <f>ROUNDDOWN((E149+$E$9)*($W138),0)</f>
        <v>4</v>
      </c>
      <c r="F147" s="272">
        <f>ROUNDDOWN((F149+$E$9)*($W138),0)</f>
        <v>5</v>
      </c>
      <c r="G147" s="272">
        <f>ROUNDDOWN((G149+$E$9)*($W138),0)</f>
        <v>7</v>
      </c>
      <c r="H147" s="272">
        <f>ROUNDDOWN((H149+$E$9)*($W138),0)</f>
        <v>10</v>
      </c>
      <c r="I147" s="272">
        <f>ROUNDDOWN((I149+$E$9)*($W138),0)</f>
        <v>11</v>
      </c>
      <c r="J147" s="271"/>
      <c r="K147" s="272"/>
      <c r="L147" s="272"/>
      <c r="M147" s="272"/>
      <c r="N147" s="268"/>
      <c r="O147" s="271"/>
      <c r="P147" s="272"/>
      <c r="Q147" s="272"/>
      <c r="R147" s="268"/>
      <c r="S147" s="265"/>
      <c r="T147" s="272"/>
      <c r="U147" s="282"/>
      <c r="V147" s="61"/>
      <c r="W147" s="291"/>
      <c r="X147" s="286"/>
      <c r="Y147" s="206"/>
      <c r="Z147" s="222"/>
      <c r="BA147" s="2"/>
      <c r="BB147" s="2"/>
    </row>
    <row r="148" spans="1:54" customFormat="1" ht="16.5" hidden="1" customHeight="1" outlineLevel="1">
      <c r="A148" s="2"/>
      <c r="B148" s="147"/>
      <c r="C148" s="454"/>
      <c r="D148" s="199" t="s">
        <v>345</v>
      </c>
      <c r="E148" s="276">
        <f>IF(ROUND(((E149-$E$9)*($W138))+0.25,0) &lt;=0,1,((E149-$E$9)*($W138))+0.25)</f>
        <v>1</v>
      </c>
      <c r="F148" s="277">
        <f>IF(ROUND(((F149-$E$9)*($W138))+0.25,0) &lt;=0,1,((F149-$E$9)*($W138))+0.25)</f>
        <v>1</v>
      </c>
      <c r="G148" s="277">
        <f>IF(ROUND(((G149-$E$9)*($W138))+0.25,0) &lt;=0,1,((G149-$E$9)*($W138))+0.25)</f>
        <v>1</v>
      </c>
      <c r="H148" s="277">
        <f>IF(ROUND(((H149-$E$9)*($W138))+0.25,0) &lt;=0,1,((H149-$E$9)*($W138))+0.25)</f>
        <v>2.5199999999999996</v>
      </c>
      <c r="I148" s="277">
        <f>IF(ROUND(((I149-$E$9)*($W138))+0.25,0) &lt;=0,1,((I149-$E$9)*($W138))+0.25)</f>
        <v>3.87</v>
      </c>
      <c r="J148" s="276"/>
      <c r="K148" s="277"/>
      <c r="L148" s="277"/>
      <c r="M148" s="277"/>
      <c r="N148" s="278"/>
      <c r="O148" s="276"/>
      <c r="P148" s="277"/>
      <c r="Q148" s="277"/>
      <c r="R148" s="278"/>
      <c r="S148" s="276"/>
      <c r="T148" s="277"/>
      <c r="U148" s="287"/>
      <c r="V148" s="61"/>
      <c r="W148" s="285"/>
      <c r="X148" s="287"/>
      <c r="Y148" s="207"/>
      <c r="Z148" s="222"/>
      <c r="BA148" s="2"/>
      <c r="BB148" s="2"/>
    </row>
    <row r="149" spans="1:54" customFormat="1" ht="16.5" hidden="1" customHeight="1" outlineLevel="1">
      <c r="A149" s="2"/>
      <c r="B149" s="147"/>
      <c r="C149" s="454"/>
      <c r="D149" s="95" t="s">
        <v>346</v>
      </c>
      <c r="E149" s="414">
        <f>IFERROR(E138/$W138,0)</f>
        <v>3.95E-2</v>
      </c>
      <c r="F149" s="415">
        <f>IFERROR(F138/$W138,0)</f>
        <v>6.7500000000000004E-2</v>
      </c>
      <c r="G149" s="415">
        <f>IFERROR(G138/$W138,0)</f>
        <v>0.19900000000000001</v>
      </c>
      <c r="H149" s="415">
        <f>IFERROR(H138/$W138,0)</f>
        <v>0.3135</v>
      </c>
      <c r="I149" s="415">
        <f>IFERROR(I138/$W138,0)</f>
        <v>0.38100000000000001</v>
      </c>
      <c r="J149" s="414"/>
      <c r="K149" s="415"/>
      <c r="L149" s="415"/>
      <c r="M149" s="415"/>
      <c r="N149" s="416"/>
      <c r="O149" s="414"/>
      <c r="P149" s="415"/>
      <c r="Q149" s="415"/>
      <c r="R149" s="416"/>
      <c r="S149" s="414"/>
      <c r="T149" s="415"/>
      <c r="U149" s="254"/>
      <c r="V149" s="61"/>
      <c r="W149" s="113"/>
      <c r="X149" s="431"/>
      <c r="Y149" s="208"/>
      <c r="Z149" s="222"/>
      <c r="BA149" s="2"/>
      <c r="BB149" s="2"/>
    </row>
    <row r="150" spans="1:54" customFormat="1" ht="16.5" hidden="1" customHeight="1" outlineLevel="1">
      <c r="A150" s="2"/>
      <c r="B150" s="147"/>
      <c r="C150" s="454"/>
      <c r="D150" s="180" t="s">
        <v>347</v>
      </c>
      <c r="E150" s="414">
        <f>IFERROR(E139/$W138,0)</f>
        <v>0</v>
      </c>
      <c r="F150" s="415">
        <f>IFERROR(F139/$W138,0)</f>
        <v>0.05</v>
      </c>
      <c r="G150" s="415">
        <f>IFERROR(G139/$W138,0)</f>
        <v>0.25</v>
      </c>
      <c r="H150" s="415">
        <f>IFERROR(H139/$W138,0)</f>
        <v>0.3</v>
      </c>
      <c r="I150" s="415">
        <f>IFERROR(I139/$W138,0)</f>
        <v>0.4</v>
      </c>
      <c r="J150" s="414"/>
      <c r="K150" s="415"/>
      <c r="L150" s="415"/>
      <c r="M150" s="415"/>
      <c r="N150" s="416"/>
      <c r="O150" s="414"/>
      <c r="P150" s="415"/>
      <c r="Q150" s="415"/>
      <c r="R150" s="416"/>
      <c r="S150" s="414"/>
      <c r="T150" s="415"/>
      <c r="U150" s="254"/>
      <c r="V150" s="61"/>
      <c r="W150" s="113"/>
      <c r="X150" s="431"/>
      <c r="Y150" s="208"/>
      <c r="Z150" s="222"/>
      <c r="BA150" s="2"/>
      <c r="BB150" s="2"/>
    </row>
    <row r="151" spans="1:54" customFormat="1" ht="16.5" hidden="1" outlineLevel="1" thickBot="1">
      <c r="A151" s="2"/>
      <c r="B151" s="147"/>
      <c r="C151" s="455"/>
      <c r="D151" s="180" t="s">
        <v>348</v>
      </c>
      <c r="E151" s="414">
        <f>E150-E149</f>
        <v>-3.95E-2</v>
      </c>
      <c r="F151" s="415">
        <f>F150-F149</f>
        <v>-1.7500000000000002E-2</v>
      </c>
      <c r="G151" s="415">
        <f>G150-G149</f>
        <v>5.099999999999999E-2</v>
      </c>
      <c r="H151" s="415">
        <f>H150-H149</f>
        <v>-1.3500000000000012E-2</v>
      </c>
      <c r="I151" s="415">
        <f>I150-I149</f>
        <v>1.9000000000000017E-2</v>
      </c>
      <c r="J151" s="414"/>
      <c r="K151" s="415"/>
      <c r="L151" s="415"/>
      <c r="M151" s="415"/>
      <c r="N151" s="416"/>
      <c r="O151" s="414"/>
      <c r="P151" s="415"/>
      <c r="Q151" s="415"/>
      <c r="R151" s="416"/>
      <c r="S151" s="432"/>
      <c r="T151" s="415"/>
      <c r="U151" s="254"/>
      <c r="V151" s="61"/>
      <c r="W151" s="113"/>
      <c r="X151" s="431"/>
      <c r="Y151" s="209"/>
      <c r="Z151" s="222"/>
      <c r="BA151" s="2"/>
      <c r="BB151" s="2"/>
    </row>
    <row r="152" spans="1:54" customFormat="1" collapsed="1">
      <c r="A152" s="2"/>
      <c r="B152" s="560" t="s">
        <v>362</v>
      </c>
      <c r="C152" s="453" t="str">
        <f>aurora_data!A422</f>
        <v>16.00.00-16.11.30</v>
      </c>
      <c r="D152" s="34" t="s">
        <v>306</v>
      </c>
      <c r="E152" s="39">
        <f>IFERROR(aurora_data!D422,0)</f>
        <v>0.8</v>
      </c>
      <c r="F152" s="40">
        <f>IFERROR(aurora_data!E422,0)</f>
        <v>1.28</v>
      </c>
      <c r="G152" s="40">
        <f>IFERROR(aurora_data!F422,0)</f>
        <v>4.04</v>
      </c>
      <c r="H152" s="40">
        <f>IFERROR(aurora_data!G422,0)</f>
        <v>6.31</v>
      </c>
      <c r="I152" s="41">
        <f>IFERROR(aurora_data!H422,0)</f>
        <v>7.56</v>
      </c>
      <c r="J152" s="39">
        <f>IFERROR(aurora_data!I422,0)</f>
        <v>1</v>
      </c>
      <c r="K152" s="40">
        <f>IFERROR(aurora_data!J422,0)</f>
        <v>1</v>
      </c>
      <c r="L152" s="40">
        <f>IFERROR(aurora_data!K422,0)</f>
        <v>1</v>
      </c>
      <c r="M152" s="40">
        <f>IFERROR(aurora_data!L422,0)</f>
        <v>1</v>
      </c>
      <c r="N152" s="41">
        <f>IFERROR(aurora_data!M422,0)</f>
        <v>1</v>
      </c>
      <c r="O152" s="39">
        <f>IFERROR(aurora_data!N422,0)</f>
        <v>1</v>
      </c>
      <c r="P152" s="40">
        <f>IFERROR(aurora_data!O422,0)</f>
        <v>1</v>
      </c>
      <c r="Q152" s="40">
        <f>IFERROR(aurora_data!P422,0)</f>
        <v>1</v>
      </c>
      <c r="R152" s="41">
        <f>IFERROR(aurora_data!Q422,0)</f>
        <v>1</v>
      </c>
      <c r="S152" s="40">
        <f>IFERROR(aurora_data!R422,0)</f>
        <v>1</v>
      </c>
      <c r="T152" s="40">
        <f>IFERROR(aurora_data!S422,0)</f>
        <v>1</v>
      </c>
      <c r="U152" s="41">
        <f>IFERROR(aurora_data!T422,0)</f>
        <v>0</v>
      </c>
      <c r="V152" s="61" t="s">
        <v>354</v>
      </c>
      <c r="W152" s="39">
        <f>IFERROR(aurora_data!U422,0)</f>
        <v>20</v>
      </c>
      <c r="X152" s="69">
        <f t="shared" ref="X152:X160" si="10">IFERROR(W152/$W$152,0)</f>
        <v>1</v>
      </c>
      <c r="Y152" s="2"/>
      <c r="Z152" s="222"/>
      <c r="BA152" s="2"/>
      <c r="BB152" s="2"/>
    </row>
    <row r="153" spans="1:54" customFormat="1" ht="16.5" customHeight="1">
      <c r="A153" s="2"/>
      <c r="B153" s="561"/>
      <c r="C153" s="454"/>
      <c r="D153" s="35" t="s">
        <v>339</v>
      </c>
      <c r="E153" s="113">
        <f>IFERROR(aurora_data!D423,0)</f>
        <v>2</v>
      </c>
      <c r="F153" s="253">
        <f>IFERROR(aurora_data!E423,0)</f>
        <v>2</v>
      </c>
      <c r="G153" s="253">
        <f>IFERROR(aurora_data!F423,0)</f>
        <v>4</v>
      </c>
      <c r="H153" s="253">
        <f>IFERROR(aurora_data!G423,0)</f>
        <v>6</v>
      </c>
      <c r="I153" s="254">
        <f>IFERROR(aurora_data!H423,0)</f>
        <v>6</v>
      </c>
      <c r="J153" s="113">
        <f>IFERROR(aurora_data!I423,0)</f>
        <v>1</v>
      </c>
      <c r="K153" s="253">
        <f>IFERROR(aurora_data!J423,0)</f>
        <v>4</v>
      </c>
      <c r="L153" s="253">
        <f>IFERROR(aurora_data!K423,0)</f>
        <v>7</v>
      </c>
      <c r="M153" s="253">
        <f>IFERROR(aurora_data!L423,0)</f>
        <v>1</v>
      </c>
      <c r="N153" s="254">
        <f>IFERROR(aurora_data!M423,0)</f>
        <v>7</v>
      </c>
      <c r="O153" s="113">
        <f>IFERROR(aurora_data!N423,0)</f>
        <v>4</v>
      </c>
      <c r="P153" s="253">
        <f>IFERROR(aurora_data!O423,0)</f>
        <v>3</v>
      </c>
      <c r="Q153" s="253">
        <f>IFERROR(aurora_data!P423,0)</f>
        <v>8</v>
      </c>
      <c r="R153" s="254">
        <f>IFERROR(aurora_data!Q423,0)</f>
        <v>5</v>
      </c>
      <c r="S153" s="253">
        <f>IFERROR(aurora_data!R423,0)</f>
        <v>9</v>
      </c>
      <c r="T153" s="253">
        <f>IFERROR(aurora_data!S423,0)</f>
        <v>11</v>
      </c>
      <c r="U153" s="254">
        <f>IFERROR(aurora_data!T423,0)</f>
        <v>0</v>
      </c>
      <c r="V153" s="61" t="s">
        <v>354</v>
      </c>
      <c r="W153" s="113">
        <f>IFERROR(aurora_data!U423,0)</f>
        <v>20</v>
      </c>
      <c r="X153" s="255">
        <f t="shared" si="10"/>
        <v>1</v>
      </c>
      <c r="Y153" s="2"/>
      <c r="Z153" s="222"/>
      <c r="BA153" s="2"/>
      <c r="BB153" s="2"/>
    </row>
    <row r="154" spans="1:54" customFormat="1" ht="16.5" customHeight="1">
      <c r="A154" s="2"/>
      <c r="B154" s="561"/>
      <c r="C154" s="454"/>
      <c r="D154" s="35" t="s">
        <v>291</v>
      </c>
      <c r="E154" s="113">
        <f>IFERROR(aurora_data!D424,0)</f>
        <v>0</v>
      </c>
      <c r="F154" s="253">
        <f>IFERROR(aurora_data!E424,0)</f>
        <v>0</v>
      </c>
      <c r="G154" s="253">
        <f>IFERROR(aurora_data!F424,0)</f>
        <v>1</v>
      </c>
      <c r="H154" s="253">
        <f>IFERROR(aurora_data!G424,0)</f>
        <v>0</v>
      </c>
      <c r="I154" s="254">
        <f>IFERROR(aurora_data!H424,0)</f>
        <v>1</v>
      </c>
      <c r="J154" s="113">
        <f>IFERROR(aurora_data!I424,0)</f>
        <v>1</v>
      </c>
      <c r="K154" s="253">
        <f>IFERROR(aurora_data!J424,0)</f>
        <v>0</v>
      </c>
      <c r="L154" s="253">
        <f>IFERROR(aurora_data!K424,0)</f>
        <v>0</v>
      </c>
      <c r="M154" s="253">
        <f>IFERROR(aurora_data!L424,0)</f>
        <v>0</v>
      </c>
      <c r="N154" s="254">
        <f>IFERROR(aurora_data!M424,0)</f>
        <v>1</v>
      </c>
      <c r="O154" s="113">
        <f>IFERROR(aurora_data!N424,0)</f>
        <v>0</v>
      </c>
      <c r="P154" s="253">
        <f>IFERROR(aurora_data!O424,0)</f>
        <v>0</v>
      </c>
      <c r="Q154" s="253">
        <f>IFERROR(aurora_data!P424,0)</f>
        <v>1</v>
      </c>
      <c r="R154" s="254">
        <f>IFERROR(aurora_data!Q424,0)</f>
        <v>1</v>
      </c>
      <c r="S154" s="253">
        <f>IFERROR(aurora_data!R424,0)</f>
        <v>2</v>
      </c>
      <c r="T154" s="253">
        <f>IFERROR(aurora_data!S424,0)</f>
        <v>0</v>
      </c>
      <c r="U154" s="254">
        <f>IFERROR(aurora_data!T424,0)</f>
        <v>0</v>
      </c>
      <c r="V154" s="61" t="s">
        <v>354</v>
      </c>
      <c r="W154" s="113">
        <f>IFERROR(aurora_data!U424,0)</f>
        <v>2</v>
      </c>
      <c r="X154" s="255">
        <f t="shared" si="10"/>
        <v>0.1</v>
      </c>
      <c r="Y154" s="2"/>
      <c r="Z154" s="222"/>
      <c r="BA154" s="2"/>
      <c r="BB154" s="2"/>
    </row>
    <row r="155" spans="1:54" customFormat="1">
      <c r="A155" s="2"/>
      <c r="B155" s="561"/>
      <c r="C155" s="454"/>
      <c r="D155" s="35" t="s">
        <v>340</v>
      </c>
      <c r="E155" s="113">
        <f>IFERROR(aurora_data!D425,0)</f>
        <v>0</v>
      </c>
      <c r="F155" s="253">
        <f>IFERROR(aurora_data!E425,0)</f>
        <v>0</v>
      </c>
      <c r="G155" s="253">
        <f>IFERROR(aurora_data!F425,0)</f>
        <v>0</v>
      </c>
      <c r="H155" s="253">
        <f>IFERROR(aurora_data!G425,0)</f>
        <v>0</v>
      </c>
      <c r="I155" s="254">
        <f>IFERROR(aurora_data!H425,0)</f>
        <v>0</v>
      </c>
      <c r="J155" s="113">
        <f>IFERROR(aurora_data!I425,0)</f>
        <v>0</v>
      </c>
      <c r="K155" s="253">
        <f>IFERROR(aurora_data!J425,0)</f>
        <v>0</v>
      </c>
      <c r="L155" s="253">
        <f>IFERROR(aurora_data!K425,0)</f>
        <v>0</v>
      </c>
      <c r="M155" s="253">
        <f>IFERROR(aurora_data!L425,0)</f>
        <v>0</v>
      </c>
      <c r="N155" s="254">
        <f>IFERROR(aurora_data!M425,0)</f>
        <v>0</v>
      </c>
      <c r="O155" s="113">
        <f>IFERROR(aurora_data!N425,0)</f>
        <v>0</v>
      </c>
      <c r="P155" s="253">
        <f>IFERROR(aurora_data!O425,0)</f>
        <v>0</v>
      </c>
      <c r="Q155" s="253">
        <f>IFERROR(aurora_data!P425,0)</f>
        <v>0</v>
      </c>
      <c r="R155" s="254">
        <f>IFERROR(aurora_data!Q425,0)</f>
        <v>0</v>
      </c>
      <c r="S155" s="253">
        <f>IFERROR(aurora_data!R425,0)</f>
        <v>0</v>
      </c>
      <c r="T155" s="253">
        <f>IFERROR(aurora_data!S425,0)</f>
        <v>0</v>
      </c>
      <c r="U155" s="254">
        <f>IFERROR(aurora_data!T425,0)</f>
        <v>0</v>
      </c>
      <c r="V155" s="61" t="s">
        <v>354</v>
      </c>
      <c r="W155" s="113">
        <f>IFERROR(aurora_data!U425,0)</f>
        <v>0</v>
      </c>
      <c r="X155" s="255">
        <f t="shared" si="10"/>
        <v>0</v>
      </c>
      <c r="Y155" s="2"/>
      <c r="Z155" s="222"/>
      <c r="BA155" s="2"/>
      <c r="BB155" s="2"/>
    </row>
    <row r="156" spans="1:54" customFormat="1">
      <c r="A156" s="2"/>
      <c r="B156" s="561"/>
      <c r="C156" s="454"/>
      <c r="D156" s="35" t="s">
        <v>298</v>
      </c>
      <c r="E156" s="113">
        <f>IFERROR(aurora_data!D426,0)</f>
        <v>0</v>
      </c>
      <c r="F156" s="253">
        <f>IFERROR(aurora_data!E426,0)</f>
        <v>0</v>
      </c>
      <c r="G156" s="253">
        <f>IFERROR(aurora_data!F426,0)</f>
        <v>0</v>
      </c>
      <c r="H156" s="253">
        <f>IFERROR(aurora_data!G426,0)</f>
        <v>0</v>
      </c>
      <c r="I156" s="254">
        <f>IFERROR(aurora_data!H426,0)</f>
        <v>0</v>
      </c>
      <c r="J156" s="113">
        <f>IFERROR(aurora_data!I426,0)</f>
        <v>0</v>
      </c>
      <c r="K156" s="253">
        <f>IFERROR(aurora_data!J426,0)</f>
        <v>0</v>
      </c>
      <c r="L156" s="253">
        <f>IFERROR(aurora_data!K426,0)</f>
        <v>0</v>
      </c>
      <c r="M156" s="253">
        <f>IFERROR(aurora_data!L426,0)</f>
        <v>0</v>
      </c>
      <c r="N156" s="254">
        <f>IFERROR(aurora_data!M426,0)</f>
        <v>0</v>
      </c>
      <c r="O156" s="113">
        <f>IFERROR(aurora_data!N426,0)</f>
        <v>0</v>
      </c>
      <c r="P156" s="253">
        <f>IFERROR(aurora_data!O426,0)</f>
        <v>0</v>
      </c>
      <c r="Q156" s="253">
        <f>IFERROR(aurora_data!P426,0)</f>
        <v>0</v>
      </c>
      <c r="R156" s="254">
        <f>IFERROR(aurora_data!Q426,0)</f>
        <v>0</v>
      </c>
      <c r="S156" s="253">
        <f>IFERROR(aurora_data!R426,0)</f>
        <v>0</v>
      </c>
      <c r="T156" s="253">
        <f>IFERROR(aurora_data!S426,0)</f>
        <v>0</v>
      </c>
      <c r="U156" s="254">
        <f>IFERROR(aurora_data!T426,0)</f>
        <v>0</v>
      </c>
      <c r="V156" s="61" t="s">
        <v>354</v>
      </c>
      <c r="W156" s="113">
        <f>IFERROR(aurora_data!U426,0)</f>
        <v>0</v>
      </c>
      <c r="X156" s="255">
        <f t="shared" si="10"/>
        <v>0</v>
      </c>
      <c r="Y156" s="2"/>
      <c r="Z156" s="222"/>
      <c r="BA156" s="2"/>
      <c r="BB156" s="2"/>
    </row>
    <row r="157" spans="1:54" customFormat="1" ht="16.5" customHeight="1">
      <c r="A157" s="2"/>
      <c r="B157" s="561"/>
      <c r="C157" s="454"/>
      <c r="D157" s="35" t="s">
        <v>341</v>
      </c>
      <c r="E157" s="113">
        <f>IFERROR(aurora_data!D427,0)</f>
        <v>0</v>
      </c>
      <c r="F157" s="253">
        <f>IFERROR(aurora_data!E427,0)</f>
        <v>0</v>
      </c>
      <c r="G157" s="253">
        <f>IFERROR(aurora_data!F427,0)</f>
        <v>0</v>
      </c>
      <c r="H157" s="253">
        <f>IFERROR(aurora_data!G427,0)</f>
        <v>0</v>
      </c>
      <c r="I157" s="254">
        <f>IFERROR(aurora_data!H427,0)</f>
        <v>0</v>
      </c>
      <c r="J157" s="113">
        <f>IFERROR(aurora_data!I427,0)</f>
        <v>0</v>
      </c>
      <c r="K157" s="253">
        <f>IFERROR(aurora_data!J427,0)</f>
        <v>0</v>
      </c>
      <c r="L157" s="253">
        <f>IFERROR(aurora_data!K427,0)</f>
        <v>0</v>
      </c>
      <c r="M157" s="253">
        <f>IFERROR(aurora_data!L427,0)</f>
        <v>0</v>
      </c>
      <c r="N157" s="254">
        <f>IFERROR(aurora_data!M427,0)</f>
        <v>0</v>
      </c>
      <c r="O157" s="113">
        <f>IFERROR(aurora_data!N427,0)</f>
        <v>0</v>
      </c>
      <c r="P157" s="253">
        <f>IFERROR(aurora_data!O427,0)</f>
        <v>0</v>
      </c>
      <c r="Q157" s="253">
        <f>IFERROR(aurora_data!P427,0)</f>
        <v>0</v>
      </c>
      <c r="R157" s="254">
        <f>IFERROR(aurora_data!Q427,0)</f>
        <v>0</v>
      </c>
      <c r="S157" s="253">
        <f>IFERROR(aurora_data!R427,0)</f>
        <v>0</v>
      </c>
      <c r="T157" s="253">
        <f>IFERROR(aurora_data!S427,0)</f>
        <v>0</v>
      </c>
      <c r="U157" s="254">
        <f>IFERROR(aurora_data!T427,0)</f>
        <v>0</v>
      </c>
      <c r="V157" s="61" t="s">
        <v>354</v>
      </c>
      <c r="W157" s="113">
        <f>IFERROR(aurora_data!U427,0)</f>
        <v>0</v>
      </c>
      <c r="X157" s="255">
        <f t="shared" si="10"/>
        <v>0</v>
      </c>
      <c r="Y157" s="2"/>
      <c r="Z157" s="222"/>
      <c r="BA157" s="2"/>
      <c r="BB157" s="2"/>
    </row>
    <row r="158" spans="1:54" customFormat="1" ht="16.5" customHeight="1" thickBot="1">
      <c r="A158" s="2"/>
      <c r="B158" s="561"/>
      <c r="C158" s="454"/>
      <c r="D158" s="35" t="s">
        <v>342</v>
      </c>
      <c r="E158" s="113">
        <f>IFERROR(aurora_data!D428,0)</f>
        <v>0</v>
      </c>
      <c r="F158" s="253">
        <f>IFERROR(aurora_data!E428,0)</f>
        <v>0</v>
      </c>
      <c r="G158" s="253">
        <f>IFERROR(aurora_data!F428,0)</f>
        <v>0</v>
      </c>
      <c r="H158" s="253">
        <f>IFERROR(aurora_data!G428,0)</f>
        <v>0</v>
      </c>
      <c r="I158" s="254">
        <f>IFERROR(aurora_data!H428,0)</f>
        <v>0</v>
      </c>
      <c r="J158" s="113">
        <f>IFERROR(aurora_data!I428,0)</f>
        <v>0</v>
      </c>
      <c r="K158" s="253">
        <f>IFERROR(aurora_data!J428,0)</f>
        <v>0</v>
      </c>
      <c r="L158" s="253">
        <f>IFERROR(aurora_data!K428,0)</f>
        <v>0</v>
      </c>
      <c r="M158" s="253">
        <f>IFERROR(aurora_data!L428,0)</f>
        <v>0</v>
      </c>
      <c r="N158" s="254">
        <f>IFERROR(aurora_data!M428,0)</f>
        <v>0</v>
      </c>
      <c r="O158" s="113">
        <f>IFERROR(aurora_data!N428,0)</f>
        <v>0</v>
      </c>
      <c r="P158" s="253">
        <f>IFERROR(aurora_data!O428,0)</f>
        <v>0</v>
      </c>
      <c r="Q158" s="253">
        <f>IFERROR(aurora_data!P428,0)</f>
        <v>0</v>
      </c>
      <c r="R158" s="254">
        <f>IFERROR(aurora_data!Q428,0)</f>
        <v>0</v>
      </c>
      <c r="S158" s="253">
        <f>IFERROR(aurora_data!R428,0)</f>
        <v>0</v>
      </c>
      <c r="T158" s="253">
        <f>IFERROR(aurora_data!S428,0)</f>
        <v>0</v>
      </c>
      <c r="U158" s="254">
        <f>IFERROR(aurora_data!T428,0)</f>
        <v>0</v>
      </c>
      <c r="V158" s="61" t="s">
        <v>354</v>
      </c>
      <c r="W158" s="113">
        <f>IFERROR(aurora_data!U428,0)</f>
        <v>0</v>
      </c>
      <c r="X158" s="255">
        <f t="shared" si="10"/>
        <v>0</v>
      </c>
      <c r="Y158" s="2"/>
      <c r="Z158" s="222"/>
      <c r="BA158" s="2"/>
      <c r="BB158" s="2"/>
    </row>
    <row r="159" spans="1:54" customFormat="1" ht="16.5" customHeight="1" thickBot="1">
      <c r="A159" s="2"/>
      <c r="B159" s="561"/>
      <c r="C159" s="454"/>
      <c r="D159" s="37" t="s">
        <v>17</v>
      </c>
      <c r="E159" s="59">
        <f>IFERROR(aurora_data!D429,0)</f>
        <v>2</v>
      </c>
      <c r="F159" s="64">
        <f>IFERROR(aurora_data!E429,0)</f>
        <v>2</v>
      </c>
      <c r="G159" s="64">
        <f>IFERROR(aurora_data!F429,0)</f>
        <v>5</v>
      </c>
      <c r="H159" s="64">
        <f>IFERROR(aurora_data!G429,0)</f>
        <v>6</v>
      </c>
      <c r="I159" s="65">
        <f>IFERROR(aurora_data!H429,0)</f>
        <v>7</v>
      </c>
      <c r="J159" s="59">
        <f>IFERROR(aurora_data!I429,0)</f>
        <v>2</v>
      </c>
      <c r="K159" s="64">
        <f>IFERROR(aurora_data!J429,0)</f>
        <v>4</v>
      </c>
      <c r="L159" s="64">
        <f>IFERROR(aurora_data!K429,0)</f>
        <v>7</v>
      </c>
      <c r="M159" s="64">
        <f>IFERROR(aurora_data!L429,0)</f>
        <v>1</v>
      </c>
      <c r="N159" s="65">
        <f>IFERROR(aurora_data!M429,0)</f>
        <v>8</v>
      </c>
      <c r="O159" s="59">
        <f>IFERROR(aurora_data!N429,0)</f>
        <v>4</v>
      </c>
      <c r="P159" s="64">
        <f>IFERROR(aurora_data!O429,0)</f>
        <v>3</v>
      </c>
      <c r="Q159" s="64">
        <f>IFERROR(aurora_data!P429,0)</f>
        <v>9</v>
      </c>
      <c r="R159" s="65">
        <f>IFERROR(aurora_data!Q429,0)</f>
        <v>6</v>
      </c>
      <c r="S159" s="64">
        <f>IFERROR(aurora_data!R429,0)</f>
        <v>11</v>
      </c>
      <c r="T159" s="64">
        <f>IFERROR(aurora_data!S429,0)</f>
        <v>11</v>
      </c>
      <c r="U159" s="65">
        <f>IFERROR(aurora_data!T429,0)</f>
        <v>0</v>
      </c>
      <c r="V159" s="66" t="s">
        <v>354</v>
      </c>
      <c r="W159" s="59">
        <f>IFERROR(aurora_data!U429,0)</f>
        <v>22</v>
      </c>
      <c r="X159" s="70">
        <f t="shared" si="10"/>
        <v>1.1000000000000001</v>
      </c>
      <c r="Y159" s="2"/>
      <c r="Z159" s="222"/>
      <c r="BA159" s="2"/>
      <c r="BB159" s="2"/>
    </row>
    <row r="160" spans="1:54" customFormat="1" ht="16.5" thickBot="1">
      <c r="A160" s="2"/>
      <c r="B160" s="561"/>
      <c r="C160" s="454"/>
      <c r="D160" s="38" t="s">
        <v>343</v>
      </c>
      <c r="E160" s="256">
        <f>IFERROR(aurora_data!D430,0)</f>
        <v>0</v>
      </c>
      <c r="F160" s="257">
        <f>IFERROR(aurora_data!E430,0)</f>
        <v>0</v>
      </c>
      <c r="G160" s="257">
        <f>IFERROR(aurora_data!F430,0)</f>
        <v>0</v>
      </c>
      <c r="H160" s="257">
        <f>IFERROR(aurora_data!G430,0)</f>
        <v>0</v>
      </c>
      <c r="I160" s="258">
        <f>IFERROR(aurora_data!H430,0)</f>
        <v>0</v>
      </c>
      <c r="J160" s="256">
        <f>IFERROR(aurora_data!I430,0)</f>
        <v>0</v>
      </c>
      <c r="K160" s="257">
        <f>IFERROR(aurora_data!J430,0)</f>
        <v>0</v>
      </c>
      <c r="L160" s="257">
        <f>IFERROR(aurora_data!K430,0)</f>
        <v>0</v>
      </c>
      <c r="M160" s="257">
        <f>IFERROR(aurora_data!L430,0)</f>
        <v>0</v>
      </c>
      <c r="N160" s="258">
        <f>IFERROR(aurora_data!M430,0)</f>
        <v>0</v>
      </c>
      <c r="O160" s="256">
        <f>IFERROR(aurora_data!N430,0)</f>
        <v>0</v>
      </c>
      <c r="P160" s="257">
        <f>IFERROR(aurora_data!O430,0)</f>
        <v>0</v>
      </c>
      <c r="Q160" s="257">
        <f>IFERROR(aurora_data!P430,0)</f>
        <v>0</v>
      </c>
      <c r="R160" s="258">
        <f>IFERROR(aurora_data!Q430,0)</f>
        <v>0</v>
      </c>
      <c r="S160" s="257">
        <f>IFERROR(aurora_data!R430,0)</f>
        <v>0</v>
      </c>
      <c r="T160" s="257">
        <f>IFERROR(aurora_data!S430,0)</f>
        <v>0</v>
      </c>
      <c r="U160" s="259">
        <f>IFERROR(aurora_data!T430,0)</f>
        <v>0</v>
      </c>
      <c r="V160" s="260" t="s">
        <v>354</v>
      </c>
      <c r="W160" s="256">
        <f>IFERROR(aurora_data!U430,0)</f>
        <v>0</v>
      </c>
      <c r="X160" s="261">
        <f t="shared" si="10"/>
        <v>0</v>
      </c>
      <c r="Y160" s="2"/>
      <c r="Z160" s="222"/>
      <c r="BA160" s="2"/>
      <c r="BB160" s="2"/>
    </row>
    <row r="161" spans="1:54" customFormat="1" hidden="1" outlineLevel="1">
      <c r="A161" s="2"/>
      <c r="B161" s="147"/>
      <c r="C161" s="454"/>
      <c r="D161" s="199" t="s">
        <v>344</v>
      </c>
      <c r="E161" s="271">
        <f>ROUNDDOWN((E163+$E$9)*($W152),0)</f>
        <v>4</v>
      </c>
      <c r="F161" s="272">
        <f>ROUNDDOWN((F163+$E$9)*($W152),0)</f>
        <v>5</v>
      </c>
      <c r="G161" s="272">
        <f>ROUNDDOWN((G163+$E$9)*($W152),0)</f>
        <v>8</v>
      </c>
      <c r="H161" s="272">
        <f>ROUNDDOWN((H163+$E$9)*($W152),0)</f>
        <v>10</v>
      </c>
      <c r="I161" s="272">
        <f>ROUNDDOWN((I163+$E$9)*($W152),0)</f>
        <v>11</v>
      </c>
      <c r="J161" s="271"/>
      <c r="K161" s="272"/>
      <c r="L161" s="272"/>
      <c r="M161" s="272"/>
      <c r="N161" s="268"/>
      <c r="O161" s="271"/>
      <c r="P161" s="272"/>
      <c r="Q161" s="272"/>
      <c r="R161" s="268"/>
      <c r="S161" s="265"/>
      <c r="T161" s="272"/>
      <c r="U161" s="282"/>
      <c r="V161" s="61"/>
      <c r="W161" s="291"/>
      <c r="X161" s="286"/>
      <c r="Y161" s="206"/>
      <c r="Z161" s="222"/>
      <c r="BA161" s="2"/>
      <c r="BB161" s="2"/>
    </row>
    <row r="162" spans="1:54" customFormat="1" ht="16.5" hidden="1" customHeight="1" outlineLevel="1">
      <c r="A162" s="2"/>
      <c r="B162" s="147"/>
      <c r="C162" s="454"/>
      <c r="D162" s="199" t="s">
        <v>345</v>
      </c>
      <c r="E162" s="276">
        <f>IF(ROUND(((E163-$E$9)*($W152))+0.25,0) &lt;=0,1,((E163-$E$9)*($W152))+0.25)</f>
        <v>1</v>
      </c>
      <c r="F162" s="277">
        <f>IF(ROUND(((F163-$E$9)*($W152))+0.25,0) &lt;=0,1,((F163-$E$9)*($W152))+0.25)</f>
        <v>1</v>
      </c>
      <c r="G162" s="277">
        <f>IF(ROUND(((G163-$E$9)*($W152))+0.25,0) &lt;=0,1,((G163-$E$9)*($W152))+0.25)</f>
        <v>1</v>
      </c>
      <c r="H162" s="277">
        <f>IF(ROUND(((H163-$E$9)*($W152))+0.25,0) &lt;=0,1,((H163-$E$9)*($W152))+0.25)</f>
        <v>2.5599999999999996</v>
      </c>
      <c r="I162" s="277">
        <f>IF(ROUND(((I163-$E$9)*($W152))+0.25,0) &lt;=0,1,((I163-$E$9)*($W152))+0.25)</f>
        <v>3.8099999999999996</v>
      </c>
      <c r="J162" s="276"/>
      <c r="K162" s="277"/>
      <c r="L162" s="277"/>
      <c r="M162" s="277"/>
      <c r="N162" s="278"/>
      <c r="O162" s="276"/>
      <c r="P162" s="277"/>
      <c r="Q162" s="277"/>
      <c r="R162" s="278"/>
      <c r="S162" s="276"/>
      <c r="T162" s="277"/>
      <c r="U162" s="287"/>
      <c r="V162" s="61"/>
      <c r="W162" s="285"/>
      <c r="X162" s="287"/>
      <c r="Y162" s="207"/>
      <c r="Z162" s="222"/>
      <c r="BA162" s="2"/>
      <c r="BB162" s="2"/>
    </row>
    <row r="163" spans="1:54" customFormat="1" ht="16.5" hidden="1" customHeight="1" outlineLevel="1">
      <c r="A163" s="2"/>
      <c r="B163" s="147"/>
      <c r="C163" s="454"/>
      <c r="D163" s="95" t="s">
        <v>346</v>
      </c>
      <c r="E163" s="414">
        <f>IFERROR(E152/$W152,0)</f>
        <v>0.04</v>
      </c>
      <c r="F163" s="415">
        <f>IFERROR(F152/$W152,0)</f>
        <v>6.4000000000000001E-2</v>
      </c>
      <c r="G163" s="415">
        <f>IFERROR(G152/$W152,0)</f>
        <v>0.20200000000000001</v>
      </c>
      <c r="H163" s="415">
        <f>IFERROR(H152/$W152,0)</f>
        <v>0.3155</v>
      </c>
      <c r="I163" s="415">
        <f>IFERROR(I152/$W152,0)</f>
        <v>0.378</v>
      </c>
      <c r="J163" s="414"/>
      <c r="K163" s="415"/>
      <c r="L163" s="415"/>
      <c r="M163" s="415"/>
      <c r="N163" s="416"/>
      <c r="O163" s="414"/>
      <c r="P163" s="415"/>
      <c r="Q163" s="415"/>
      <c r="R163" s="416"/>
      <c r="S163" s="414"/>
      <c r="T163" s="415"/>
      <c r="U163" s="254"/>
      <c r="V163" s="61"/>
      <c r="W163" s="113"/>
      <c r="X163" s="431"/>
      <c r="Y163" s="208"/>
      <c r="Z163" s="222"/>
      <c r="BA163" s="2"/>
      <c r="BB163" s="2"/>
    </row>
    <row r="164" spans="1:54" customFormat="1" ht="16.5" hidden="1" customHeight="1" outlineLevel="1">
      <c r="A164" s="2"/>
      <c r="B164" s="147"/>
      <c r="C164" s="454"/>
      <c r="D164" s="180" t="s">
        <v>347</v>
      </c>
      <c r="E164" s="414">
        <f>IFERROR(E153/$W152,0)</f>
        <v>0.1</v>
      </c>
      <c r="F164" s="415">
        <f>IFERROR(F153/$W152,0)</f>
        <v>0.1</v>
      </c>
      <c r="G164" s="415">
        <f>IFERROR(G153/$W152,0)</f>
        <v>0.2</v>
      </c>
      <c r="H164" s="415">
        <f>IFERROR(H153/$W152,0)</f>
        <v>0.3</v>
      </c>
      <c r="I164" s="415">
        <f>IFERROR(I153/$W152,0)</f>
        <v>0.3</v>
      </c>
      <c r="J164" s="414"/>
      <c r="K164" s="415"/>
      <c r="L164" s="415"/>
      <c r="M164" s="415"/>
      <c r="N164" s="416"/>
      <c r="O164" s="414"/>
      <c r="P164" s="415"/>
      <c r="Q164" s="415"/>
      <c r="R164" s="416"/>
      <c r="S164" s="414"/>
      <c r="T164" s="415"/>
      <c r="U164" s="254"/>
      <c r="V164" s="61"/>
      <c r="W164" s="113"/>
      <c r="X164" s="431"/>
      <c r="Y164" s="208"/>
      <c r="Z164" s="222"/>
      <c r="BA164" s="2"/>
      <c r="BB164" s="2"/>
    </row>
    <row r="165" spans="1:54" customFormat="1" ht="16.5" hidden="1" outlineLevel="1" thickBot="1">
      <c r="A165" s="2"/>
      <c r="B165" s="147"/>
      <c r="C165" s="455"/>
      <c r="D165" s="180" t="s">
        <v>348</v>
      </c>
      <c r="E165" s="414">
        <f>E164-E163</f>
        <v>6.0000000000000005E-2</v>
      </c>
      <c r="F165" s="415">
        <f>F164-F163</f>
        <v>3.6000000000000004E-2</v>
      </c>
      <c r="G165" s="415">
        <f>G164-G163</f>
        <v>-2.0000000000000018E-3</v>
      </c>
      <c r="H165" s="415">
        <f>H164-H163</f>
        <v>-1.5500000000000014E-2</v>
      </c>
      <c r="I165" s="415">
        <f>I164-I163</f>
        <v>-7.8000000000000014E-2</v>
      </c>
      <c r="J165" s="414"/>
      <c r="K165" s="415"/>
      <c r="L165" s="415"/>
      <c r="M165" s="415"/>
      <c r="N165" s="416"/>
      <c r="O165" s="414"/>
      <c r="P165" s="415"/>
      <c r="Q165" s="415"/>
      <c r="R165" s="416"/>
      <c r="S165" s="432"/>
      <c r="T165" s="415"/>
      <c r="U165" s="254"/>
      <c r="V165" s="61"/>
      <c r="W165" s="113"/>
      <c r="X165" s="431"/>
      <c r="Y165" s="209"/>
      <c r="Z165" s="222"/>
      <c r="BA165" s="2"/>
      <c r="BB165" s="2"/>
    </row>
    <row r="166" spans="1:54" customFormat="1" ht="15.75" customHeight="1" collapsed="1">
      <c r="A166" s="2"/>
      <c r="B166" s="447" t="s">
        <v>338</v>
      </c>
      <c r="C166" s="449" t="s">
        <v>150</v>
      </c>
      <c r="D166" s="34" t="s">
        <v>306</v>
      </c>
      <c r="E166" s="39">
        <f>IFERROR(aurora_data!D431,0)</f>
        <v>7.35</v>
      </c>
      <c r="F166" s="40">
        <f>IFERROR(aurora_data!E431,0)</f>
        <v>12.97</v>
      </c>
      <c r="G166" s="40">
        <f>IFERROR(aurora_data!F431,0)</f>
        <v>43.92</v>
      </c>
      <c r="H166" s="40">
        <f>IFERROR(aurora_data!G431,0)</f>
        <v>70.239999999999995</v>
      </c>
      <c r="I166" s="41">
        <f>IFERROR(aurora_data!H431,0)</f>
        <v>85.55</v>
      </c>
      <c r="J166" s="39">
        <f>IFERROR(aurora_data!I431,0)</f>
        <v>11</v>
      </c>
      <c r="K166" s="40">
        <f>IFERROR(aurora_data!J431,0)</f>
        <v>11</v>
      </c>
      <c r="L166" s="40">
        <f>IFERROR(aurora_data!K431,0)</f>
        <v>11</v>
      </c>
      <c r="M166" s="40">
        <f>IFERROR(aurora_data!L431,0)</f>
        <v>11</v>
      </c>
      <c r="N166" s="41">
        <f>IFERROR(aurora_data!M431,0)</f>
        <v>11</v>
      </c>
      <c r="O166" s="39">
        <f>IFERROR(aurora_data!N431,0)</f>
        <v>11</v>
      </c>
      <c r="P166" s="40">
        <f>IFERROR(aurora_data!O431,0)</f>
        <v>11</v>
      </c>
      <c r="Q166" s="40">
        <f>IFERROR(aurora_data!P431,0)</f>
        <v>11</v>
      </c>
      <c r="R166" s="41">
        <f>IFERROR(aurora_data!Q431,0)</f>
        <v>11</v>
      </c>
      <c r="S166" s="40">
        <f>IFERROR(aurora_data!R431,0)</f>
        <v>11</v>
      </c>
      <c r="T166" s="40">
        <f>IFERROR(aurora_data!S431,0)</f>
        <v>11</v>
      </c>
      <c r="U166" s="41">
        <f>IFERROR(aurora_data!T431,0)</f>
        <v>0</v>
      </c>
      <c r="V166" s="61" t="s">
        <v>354</v>
      </c>
      <c r="W166" s="39">
        <f>IFERROR(aurora_data!U431,0)</f>
        <v>220</v>
      </c>
      <c r="X166" s="69">
        <f t="shared" ref="X166:X174" si="11">IFERROR(W166/$W$166,0)</f>
        <v>1</v>
      </c>
      <c r="Y166" s="2"/>
      <c r="Z166" s="222"/>
      <c r="BA166" s="2"/>
      <c r="BB166" s="2"/>
    </row>
    <row r="167" spans="1:54" customFormat="1" ht="15.75" customHeight="1">
      <c r="A167" s="2"/>
      <c r="B167" s="448"/>
      <c r="C167" s="450"/>
      <c r="D167" s="35" t="s">
        <v>339</v>
      </c>
      <c r="E167" s="113">
        <f>IFERROR(aurora_data!D432,0)</f>
        <v>9</v>
      </c>
      <c r="F167" s="253">
        <f>IFERROR(aurora_data!E432,0)</f>
        <v>17</v>
      </c>
      <c r="G167" s="253">
        <f>IFERROR(aurora_data!F432,0)</f>
        <v>45</v>
      </c>
      <c r="H167" s="253">
        <f>IFERROR(aurora_data!G432,0)</f>
        <v>68</v>
      </c>
      <c r="I167" s="254">
        <f>IFERROR(aurora_data!H432,0)</f>
        <v>80</v>
      </c>
      <c r="J167" s="113">
        <f>IFERROR(aurora_data!I432,0)</f>
        <v>15</v>
      </c>
      <c r="K167" s="253">
        <f>IFERROR(aurora_data!J432,0)</f>
        <v>30</v>
      </c>
      <c r="L167" s="253">
        <f>IFERROR(aurora_data!K432,0)</f>
        <v>51</v>
      </c>
      <c r="M167" s="253">
        <f>IFERROR(aurora_data!L432,0)</f>
        <v>22</v>
      </c>
      <c r="N167" s="254">
        <f>IFERROR(aurora_data!M432,0)</f>
        <v>101</v>
      </c>
      <c r="O167" s="113">
        <f>IFERROR(aurora_data!N432,0)</f>
        <v>58</v>
      </c>
      <c r="P167" s="253">
        <f>IFERROR(aurora_data!O432,0)</f>
        <v>34</v>
      </c>
      <c r="Q167" s="253">
        <f>IFERROR(aurora_data!P432,0)</f>
        <v>79</v>
      </c>
      <c r="R167" s="254">
        <f>IFERROR(aurora_data!Q432,0)</f>
        <v>48</v>
      </c>
      <c r="S167" s="253">
        <f>IFERROR(aurora_data!R432,0)</f>
        <v>118</v>
      </c>
      <c r="T167" s="253">
        <f>IFERROR(aurora_data!S432,0)</f>
        <v>101</v>
      </c>
      <c r="U167" s="254">
        <f>IFERROR(aurora_data!T432,0)</f>
        <v>0</v>
      </c>
      <c r="V167" s="61" t="s">
        <v>354</v>
      </c>
      <c r="W167" s="113">
        <f>IFERROR(aurora_data!U432,0)</f>
        <v>219</v>
      </c>
      <c r="X167" s="255">
        <f t="shared" si="11"/>
        <v>0.99545454545454548</v>
      </c>
      <c r="Y167" s="2"/>
      <c r="Z167" s="222"/>
      <c r="BA167" s="2"/>
      <c r="BB167" s="2"/>
    </row>
    <row r="168" spans="1:54" customFormat="1" ht="15.75" customHeight="1">
      <c r="A168" s="2"/>
      <c r="B168" s="448"/>
      <c r="C168" s="450"/>
      <c r="D168" s="35" t="s">
        <v>291</v>
      </c>
      <c r="E168" s="113">
        <f>IFERROR(aurora_data!D433,0)</f>
        <v>1</v>
      </c>
      <c r="F168" s="253">
        <f>IFERROR(aurora_data!E433,0)</f>
        <v>0</v>
      </c>
      <c r="G168" s="253">
        <f>IFERROR(aurora_data!F433,0)</f>
        <v>1</v>
      </c>
      <c r="H168" s="253">
        <f>IFERROR(aurora_data!G433,0)</f>
        <v>6</v>
      </c>
      <c r="I168" s="254">
        <f>IFERROR(aurora_data!H433,0)</f>
        <v>7</v>
      </c>
      <c r="J168" s="113">
        <f>IFERROR(aurora_data!I433,0)</f>
        <v>2</v>
      </c>
      <c r="K168" s="253">
        <f>IFERROR(aurora_data!J433,0)</f>
        <v>0</v>
      </c>
      <c r="L168" s="253">
        <f>IFERROR(aurora_data!K433,0)</f>
        <v>5</v>
      </c>
      <c r="M168" s="253">
        <f>IFERROR(aurora_data!L433,0)</f>
        <v>0</v>
      </c>
      <c r="N168" s="254">
        <f>IFERROR(aurora_data!M433,0)</f>
        <v>8</v>
      </c>
      <c r="O168" s="113">
        <f>IFERROR(aurora_data!N433,0)</f>
        <v>1</v>
      </c>
      <c r="P168" s="253">
        <f>IFERROR(aurora_data!O433,0)</f>
        <v>2</v>
      </c>
      <c r="Q168" s="253">
        <f>IFERROR(aurora_data!P433,0)</f>
        <v>9</v>
      </c>
      <c r="R168" s="254">
        <f>IFERROR(aurora_data!Q433,0)</f>
        <v>3</v>
      </c>
      <c r="S168" s="253">
        <f>IFERROR(aurora_data!R433,0)</f>
        <v>6</v>
      </c>
      <c r="T168" s="253">
        <f>IFERROR(aurora_data!S433,0)</f>
        <v>9</v>
      </c>
      <c r="U168" s="254">
        <f>IFERROR(aurora_data!T433,0)</f>
        <v>0</v>
      </c>
      <c r="V168" s="61" t="s">
        <v>354</v>
      </c>
      <c r="W168" s="113">
        <f>IFERROR(aurora_data!U433,0)</f>
        <v>15</v>
      </c>
      <c r="X168" s="255">
        <f t="shared" si="11"/>
        <v>6.8181818181818177E-2</v>
      </c>
      <c r="Y168" s="2"/>
      <c r="Z168" s="222"/>
      <c r="BA168" s="2"/>
      <c r="BB168" s="2"/>
    </row>
    <row r="169" spans="1:54" customFormat="1" ht="15.75" customHeight="1">
      <c r="A169" s="2"/>
      <c r="B169" s="448"/>
      <c r="C169" s="450"/>
      <c r="D169" s="35" t="s">
        <v>340</v>
      </c>
      <c r="E169" s="113">
        <f>IFERROR(aurora_data!D434,0)</f>
        <v>0</v>
      </c>
      <c r="F169" s="253">
        <f>IFERROR(aurora_data!E434,0)</f>
        <v>0</v>
      </c>
      <c r="G169" s="253">
        <f>IFERROR(aurora_data!F434,0)</f>
        <v>0</v>
      </c>
      <c r="H169" s="253">
        <f>IFERROR(aurora_data!G434,0)</f>
        <v>0</v>
      </c>
      <c r="I169" s="254">
        <f>IFERROR(aurora_data!H434,0)</f>
        <v>0</v>
      </c>
      <c r="J169" s="113">
        <f>IFERROR(aurora_data!I434,0)</f>
        <v>0</v>
      </c>
      <c r="K169" s="253">
        <f>IFERROR(aurora_data!J434,0)</f>
        <v>0</v>
      </c>
      <c r="L169" s="253">
        <f>IFERROR(aurora_data!K434,0)</f>
        <v>0</v>
      </c>
      <c r="M169" s="253">
        <f>IFERROR(aurora_data!L434,0)</f>
        <v>0</v>
      </c>
      <c r="N169" s="254">
        <f>IFERROR(aurora_data!M434,0)</f>
        <v>0</v>
      </c>
      <c r="O169" s="113">
        <f>IFERROR(aurora_data!N434,0)</f>
        <v>0</v>
      </c>
      <c r="P169" s="253">
        <f>IFERROR(aurora_data!O434,0)</f>
        <v>0</v>
      </c>
      <c r="Q169" s="253">
        <f>IFERROR(aurora_data!P434,0)</f>
        <v>0</v>
      </c>
      <c r="R169" s="254">
        <f>IFERROR(aurora_data!Q434,0)</f>
        <v>0</v>
      </c>
      <c r="S169" s="253">
        <f>IFERROR(aurora_data!R434,0)</f>
        <v>0</v>
      </c>
      <c r="T169" s="253">
        <f>IFERROR(aurora_data!S434,0)</f>
        <v>0</v>
      </c>
      <c r="U169" s="254">
        <f>IFERROR(aurora_data!T434,0)</f>
        <v>0</v>
      </c>
      <c r="V169" s="61" t="s">
        <v>354</v>
      </c>
      <c r="W169" s="113">
        <f>IFERROR(aurora_data!U434,0)</f>
        <v>0</v>
      </c>
      <c r="X169" s="255">
        <f t="shared" si="11"/>
        <v>0</v>
      </c>
      <c r="Y169" s="2"/>
      <c r="Z169" s="222"/>
      <c r="BA169" s="2"/>
      <c r="BB169" s="2"/>
    </row>
    <row r="170" spans="1:54" customFormat="1" ht="15.75" customHeight="1">
      <c r="A170" s="2"/>
      <c r="B170" s="448"/>
      <c r="C170" s="450"/>
      <c r="D170" s="35" t="s">
        <v>298</v>
      </c>
      <c r="E170" s="113">
        <f>IFERROR(aurora_data!D435,0)</f>
        <v>0</v>
      </c>
      <c r="F170" s="253">
        <f>IFERROR(aurora_data!E435,0)</f>
        <v>0</v>
      </c>
      <c r="G170" s="253">
        <f>IFERROR(aurora_data!F435,0)</f>
        <v>0</v>
      </c>
      <c r="H170" s="253">
        <f>IFERROR(aurora_data!G435,0)</f>
        <v>0</v>
      </c>
      <c r="I170" s="254">
        <f>IFERROR(aurora_data!H435,0)</f>
        <v>0</v>
      </c>
      <c r="J170" s="113">
        <f>IFERROR(aurora_data!I435,0)</f>
        <v>0</v>
      </c>
      <c r="K170" s="253">
        <f>IFERROR(aurora_data!J435,0)</f>
        <v>0</v>
      </c>
      <c r="L170" s="253">
        <f>IFERROR(aurora_data!K435,0)</f>
        <v>0</v>
      </c>
      <c r="M170" s="253">
        <f>IFERROR(aurora_data!L435,0)</f>
        <v>0</v>
      </c>
      <c r="N170" s="254">
        <f>IFERROR(aurora_data!M435,0)</f>
        <v>0</v>
      </c>
      <c r="O170" s="113">
        <f>IFERROR(aurora_data!N435,0)</f>
        <v>0</v>
      </c>
      <c r="P170" s="253">
        <f>IFERROR(aurora_data!O435,0)</f>
        <v>0</v>
      </c>
      <c r="Q170" s="253">
        <f>IFERROR(aurora_data!P435,0)</f>
        <v>0</v>
      </c>
      <c r="R170" s="254">
        <f>IFERROR(aurora_data!Q435,0)</f>
        <v>0</v>
      </c>
      <c r="S170" s="253">
        <f>IFERROR(aurora_data!R435,0)</f>
        <v>0</v>
      </c>
      <c r="T170" s="253">
        <f>IFERROR(aurora_data!S435,0)</f>
        <v>0</v>
      </c>
      <c r="U170" s="254">
        <f>IFERROR(aurora_data!T435,0)</f>
        <v>0</v>
      </c>
      <c r="V170" s="61" t="s">
        <v>354</v>
      </c>
      <c r="W170" s="113">
        <f>IFERROR(aurora_data!U435,0)</f>
        <v>0</v>
      </c>
      <c r="X170" s="255">
        <f t="shared" si="11"/>
        <v>0</v>
      </c>
      <c r="Y170" s="2"/>
      <c r="Z170" s="222"/>
      <c r="BA170" s="2"/>
      <c r="BB170" s="2"/>
    </row>
    <row r="171" spans="1:54" customFormat="1" ht="16.5" customHeight="1">
      <c r="A171" s="2"/>
      <c r="B171" s="448"/>
      <c r="C171" s="450"/>
      <c r="D171" s="35" t="s">
        <v>341</v>
      </c>
      <c r="E171" s="113">
        <f>IFERROR(aurora_data!D436,0)</f>
        <v>1</v>
      </c>
      <c r="F171" s="253">
        <f>IFERROR(aurora_data!E436,0)</f>
        <v>0</v>
      </c>
      <c r="G171" s="253">
        <f>IFERROR(aurora_data!F436,0)</f>
        <v>0</v>
      </c>
      <c r="H171" s="253">
        <f>IFERROR(aurora_data!G436,0)</f>
        <v>0</v>
      </c>
      <c r="I171" s="254">
        <f>IFERROR(aurora_data!H436,0)</f>
        <v>0</v>
      </c>
      <c r="J171" s="113">
        <f>IFERROR(aurora_data!I436,0)</f>
        <v>0</v>
      </c>
      <c r="K171" s="253">
        <f>IFERROR(aurora_data!J436,0)</f>
        <v>1</v>
      </c>
      <c r="L171" s="253">
        <f>IFERROR(aurora_data!K436,0)</f>
        <v>0</v>
      </c>
      <c r="M171" s="253">
        <f>IFERROR(aurora_data!L436,0)</f>
        <v>0</v>
      </c>
      <c r="N171" s="254">
        <f>IFERROR(aurora_data!M436,0)</f>
        <v>0</v>
      </c>
      <c r="O171" s="113">
        <f>IFERROR(aurora_data!N436,0)</f>
        <v>0</v>
      </c>
      <c r="P171" s="253">
        <f>IFERROR(aurora_data!O436,0)</f>
        <v>0</v>
      </c>
      <c r="Q171" s="253">
        <f>IFERROR(aurora_data!P436,0)</f>
        <v>1</v>
      </c>
      <c r="R171" s="254">
        <f>IFERROR(aurora_data!Q436,0)</f>
        <v>0</v>
      </c>
      <c r="S171" s="253">
        <f>IFERROR(aurora_data!R436,0)</f>
        <v>0</v>
      </c>
      <c r="T171" s="253">
        <f>IFERROR(aurora_data!S436,0)</f>
        <v>1</v>
      </c>
      <c r="U171" s="254">
        <f>IFERROR(aurora_data!T436,0)</f>
        <v>0</v>
      </c>
      <c r="V171" s="61" t="s">
        <v>354</v>
      </c>
      <c r="W171" s="113">
        <f>IFERROR(aurora_data!U436,0)</f>
        <v>1</v>
      </c>
      <c r="X171" s="255">
        <f t="shared" si="11"/>
        <v>4.5454545454545452E-3</v>
      </c>
      <c r="Y171" s="2"/>
      <c r="Z171" s="222"/>
      <c r="BA171" s="2"/>
      <c r="BB171" s="2"/>
    </row>
    <row r="172" spans="1:54" customFormat="1" ht="16.5" customHeight="1" thickBot="1">
      <c r="A172" s="2"/>
      <c r="B172" s="448"/>
      <c r="C172" s="450"/>
      <c r="D172" s="35" t="s">
        <v>342</v>
      </c>
      <c r="E172" s="113">
        <f>IFERROR(aurora_data!D437,0)</f>
        <v>0</v>
      </c>
      <c r="F172" s="253">
        <f>IFERROR(aurora_data!E437,0)</f>
        <v>0</v>
      </c>
      <c r="G172" s="253">
        <f>IFERROR(aurora_data!F437,0)</f>
        <v>0</v>
      </c>
      <c r="H172" s="253">
        <f>IFERROR(aurora_data!G437,0)</f>
        <v>0</v>
      </c>
      <c r="I172" s="254">
        <f>IFERROR(aurora_data!H437,0)</f>
        <v>0</v>
      </c>
      <c r="J172" s="113">
        <f>IFERROR(aurora_data!I437,0)</f>
        <v>0</v>
      </c>
      <c r="K172" s="253">
        <f>IFERROR(aurora_data!J437,0)</f>
        <v>0</v>
      </c>
      <c r="L172" s="253">
        <f>IFERROR(aurora_data!K437,0)</f>
        <v>0</v>
      </c>
      <c r="M172" s="253">
        <f>IFERROR(aurora_data!L437,0)</f>
        <v>0</v>
      </c>
      <c r="N172" s="254">
        <f>IFERROR(aurora_data!M437,0)</f>
        <v>0</v>
      </c>
      <c r="O172" s="113">
        <f>IFERROR(aurora_data!N437,0)</f>
        <v>0</v>
      </c>
      <c r="P172" s="253">
        <f>IFERROR(aurora_data!O437,0)</f>
        <v>0</v>
      </c>
      <c r="Q172" s="253">
        <f>IFERROR(aurora_data!P437,0)</f>
        <v>0</v>
      </c>
      <c r="R172" s="254">
        <f>IFERROR(aurora_data!Q437,0)</f>
        <v>0</v>
      </c>
      <c r="S172" s="253">
        <f>IFERROR(aurora_data!R437,0)</f>
        <v>0</v>
      </c>
      <c r="T172" s="253">
        <f>IFERROR(aurora_data!S437,0)</f>
        <v>0</v>
      </c>
      <c r="U172" s="254">
        <f>IFERROR(aurora_data!T437,0)</f>
        <v>0</v>
      </c>
      <c r="V172" s="61" t="s">
        <v>354</v>
      </c>
      <c r="W172" s="113">
        <f>IFERROR(aurora_data!U437,0)</f>
        <v>0</v>
      </c>
      <c r="X172" s="255">
        <f t="shared" si="11"/>
        <v>0</v>
      </c>
      <c r="Y172" s="2"/>
      <c r="Z172" s="222"/>
      <c r="BA172" s="2"/>
      <c r="BB172" s="2"/>
    </row>
    <row r="173" spans="1:54" customFormat="1" ht="16.5" customHeight="1" thickBot="1">
      <c r="A173" s="2"/>
      <c r="B173" s="448"/>
      <c r="C173" s="450"/>
      <c r="D173" s="37" t="s">
        <v>17</v>
      </c>
      <c r="E173" s="59">
        <f>IFERROR(aurora_data!D438,0)</f>
        <v>11</v>
      </c>
      <c r="F173" s="64">
        <f>IFERROR(aurora_data!E438,0)</f>
        <v>17</v>
      </c>
      <c r="G173" s="64">
        <f>IFERROR(aurora_data!F438,0)</f>
        <v>46</v>
      </c>
      <c r="H173" s="64">
        <f>IFERROR(aurora_data!G438,0)</f>
        <v>74</v>
      </c>
      <c r="I173" s="65">
        <f>IFERROR(aurora_data!H438,0)</f>
        <v>87</v>
      </c>
      <c r="J173" s="59">
        <f>IFERROR(aurora_data!I438,0)</f>
        <v>17</v>
      </c>
      <c r="K173" s="64">
        <f>IFERROR(aurora_data!J438,0)</f>
        <v>31</v>
      </c>
      <c r="L173" s="64">
        <f>IFERROR(aurora_data!K438,0)</f>
        <v>56</v>
      </c>
      <c r="M173" s="64">
        <f>IFERROR(aurora_data!L438,0)</f>
        <v>22</v>
      </c>
      <c r="N173" s="65">
        <f>IFERROR(aurora_data!M438,0)</f>
        <v>109</v>
      </c>
      <c r="O173" s="59">
        <f>IFERROR(aurora_data!N438,0)</f>
        <v>59</v>
      </c>
      <c r="P173" s="64">
        <f>IFERROR(aurora_data!O438,0)</f>
        <v>36</v>
      </c>
      <c r="Q173" s="64">
        <f>IFERROR(aurora_data!P438,0)</f>
        <v>89</v>
      </c>
      <c r="R173" s="65">
        <f>IFERROR(aurora_data!Q438,0)</f>
        <v>51</v>
      </c>
      <c r="S173" s="64">
        <f>IFERROR(aurora_data!R438,0)</f>
        <v>124</v>
      </c>
      <c r="T173" s="64">
        <f>IFERROR(aurora_data!S438,0)</f>
        <v>111</v>
      </c>
      <c r="U173" s="65">
        <f>IFERROR(aurora_data!T438,0)</f>
        <v>0</v>
      </c>
      <c r="V173" s="66" t="s">
        <v>354</v>
      </c>
      <c r="W173" s="59">
        <f>IFERROR(aurora_data!U438,0)</f>
        <v>235</v>
      </c>
      <c r="X173" s="70">
        <f t="shared" si="11"/>
        <v>1.0681818181818181</v>
      </c>
      <c r="Y173" s="2"/>
      <c r="Z173" s="222"/>
      <c r="BA173" s="2"/>
      <c r="BB173" s="2"/>
    </row>
    <row r="174" spans="1:54" customFormat="1" ht="16.5" customHeight="1" thickBot="1">
      <c r="A174" s="2"/>
      <c r="B174" s="448"/>
      <c r="C174" s="450"/>
      <c r="D174" s="38" t="s">
        <v>343</v>
      </c>
      <c r="E174" s="256">
        <f>IFERROR(aurora_data!D439,0)</f>
        <v>0</v>
      </c>
      <c r="F174" s="257">
        <f>IFERROR(aurora_data!E439,0)</f>
        <v>0</v>
      </c>
      <c r="G174" s="257">
        <f>IFERROR(aurora_data!F439,0)</f>
        <v>0</v>
      </c>
      <c r="H174" s="257">
        <f>IFERROR(aurora_data!G439,0)</f>
        <v>0</v>
      </c>
      <c r="I174" s="258">
        <f>IFERROR(aurora_data!H439,0)</f>
        <v>0</v>
      </c>
      <c r="J174" s="256">
        <f>IFERROR(aurora_data!I439,0)</f>
        <v>0</v>
      </c>
      <c r="K174" s="257">
        <f>IFERROR(aurora_data!J439,0)</f>
        <v>0</v>
      </c>
      <c r="L174" s="257">
        <f>IFERROR(aurora_data!K439,0)</f>
        <v>0</v>
      </c>
      <c r="M174" s="257">
        <f>IFERROR(aurora_data!L439,0)</f>
        <v>0</v>
      </c>
      <c r="N174" s="258">
        <f>IFERROR(aurora_data!M439,0)</f>
        <v>0</v>
      </c>
      <c r="O174" s="256">
        <f>IFERROR(aurora_data!N439,0)</f>
        <v>0</v>
      </c>
      <c r="P174" s="257">
        <f>IFERROR(aurora_data!O439,0)</f>
        <v>0</v>
      </c>
      <c r="Q174" s="257">
        <f>IFERROR(aurora_data!P439,0)</f>
        <v>0</v>
      </c>
      <c r="R174" s="258">
        <f>IFERROR(aurora_data!Q439,0)</f>
        <v>0</v>
      </c>
      <c r="S174" s="257">
        <f>IFERROR(aurora_data!R439,0)</f>
        <v>0</v>
      </c>
      <c r="T174" s="257">
        <f>IFERROR(aurora_data!S439,0)</f>
        <v>0</v>
      </c>
      <c r="U174" s="259">
        <f>IFERROR(aurora_data!T439,0)</f>
        <v>0</v>
      </c>
      <c r="V174" s="260" t="s">
        <v>354</v>
      </c>
      <c r="W174" s="256">
        <f>IFERROR(aurora_data!U439,0)</f>
        <v>0</v>
      </c>
      <c r="X174" s="261">
        <f t="shared" si="11"/>
        <v>0</v>
      </c>
      <c r="Y174" s="2"/>
      <c r="Z174" s="222"/>
      <c r="BA174" s="2"/>
      <c r="BB174" s="2"/>
    </row>
    <row r="175" spans="1:54" customFormat="1" outlineLevel="1">
      <c r="A175" s="2"/>
      <c r="B175" s="147"/>
      <c r="C175" s="450"/>
      <c r="D175" s="199" t="s">
        <v>344</v>
      </c>
      <c r="E175" s="271">
        <f>ROUNDDOWN((E177+$E$9)*($W166),0)</f>
        <v>51</v>
      </c>
      <c r="F175" s="272">
        <f>ROUNDDOWN((F177+$E$9)*($W166),0)</f>
        <v>56</v>
      </c>
      <c r="G175" s="272">
        <f>ROUNDDOWN((G177+$E$9)*($W166),0)</f>
        <v>87</v>
      </c>
      <c r="H175" s="272">
        <f>ROUNDDOWN((H177+$E$9)*($W166),0)</f>
        <v>114</v>
      </c>
      <c r="I175" s="272">
        <f>ROUNDDOWN((I177+$E$9)*($W166),0)</f>
        <v>129</v>
      </c>
      <c r="J175" s="271"/>
      <c r="K175" s="272"/>
      <c r="L175" s="272"/>
      <c r="M175" s="272"/>
      <c r="N175" s="268"/>
      <c r="O175" s="271"/>
      <c r="P175" s="272"/>
      <c r="Q175" s="272"/>
      <c r="R175" s="268"/>
      <c r="S175" s="265"/>
      <c r="T175" s="272"/>
      <c r="U175" s="282"/>
      <c r="V175" s="61"/>
      <c r="W175" s="291"/>
      <c r="X175" s="286"/>
      <c r="Y175" s="206"/>
      <c r="Z175" s="222"/>
      <c r="BA175" s="2"/>
      <c r="BB175" s="2"/>
    </row>
    <row r="176" spans="1:54" customFormat="1" ht="16.5" customHeight="1" outlineLevel="1">
      <c r="A176" s="2"/>
      <c r="B176" s="147"/>
      <c r="C176" s="450"/>
      <c r="D176" s="199" t="s">
        <v>345</v>
      </c>
      <c r="E176" s="276">
        <f>IF(ROUND(((E177-$E$9)*($W166))+0.25,0) &lt;=0,1,((E177-$E$9)*($W166))+0.25)</f>
        <v>1</v>
      </c>
      <c r="F176" s="277">
        <f>IF(ROUND(((F177-$E$9)*($W166))+0.25,0) &lt;=0,1,((F177-$E$9)*($W166))+0.25)</f>
        <v>1</v>
      </c>
      <c r="G176" s="277">
        <f>IF(ROUND(((G177-$E$9)*($W166))+0.25,0) &lt;=0,1,((G177-$E$9)*($W166))+0.25)</f>
        <v>1</v>
      </c>
      <c r="H176" s="277">
        <f>IF(ROUND(((H177-$E$9)*($W166))+0.25,0) &lt;=0,1,((H177-$E$9)*($W166))+0.25)</f>
        <v>26.489999999999995</v>
      </c>
      <c r="I176" s="277">
        <f>IF(ROUND(((I177-$E$9)*($W166))+0.25,0) &lt;=0,1,((I177-$E$9)*($W166))+0.25)</f>
        <v>41.8</v>
      </c>
      <c r="J176" s="276"/>
      <c r="K176" s="277"/>
      <c r="L176" s="277"/>
      <c r="M176" s="277"/>
      <c r="N176" s="278"/>
      <c r="O176" s="276"/>
      <c r="P176" s="277"/>
      <c r="Q176" s="277"/>
      <c r="R176" s="278"/>
      <c r="S176" s="276"/>
      <c r="T176" s="277"/>
      <c r="U176" s="287"/>
      <c r="V176" s="61"/>
      <c r="W176" s="285"/>
      <c r="X176" s="287"/>
      <c r="Y176" s="207"/>
      <c r="Z176" s="222"/>
      <c r="BA176" s="2"/>
      <c r="BB176" s="2"/>
    </row>
    <row r="177" spans="1:54" customFormat="1" ht="16.5" customHeight="1" outlineLevel="1">
      <c r="A177" s="2"/>
      <c r="B177" s="147"/>
      <c r="C177" s="450"/>
      <c r="D177" s="95" t="s">
        <v>346</v>
      </c>
      <c r="E177" s="414">
        <f>IFERROR(E166/$W166,0)</f>
        <v>3.3409090909090909E-2</v>
      </c>
      <c r="F177" s="415">
        <f>IFERROR(F166/$W166,0)</f>
        <v>5.8954545454545461E-2</v>
      </c>
      <c r="G177" s="415">
        <f>IFERROR(G166/$W166,0)</f>
        <v>0.19963636363636364</v>
      </c>
      <c r="H177" s="415">
        <f>IFERROR(H166/$W166,0)</f>
        <v>0.31927272727272726</v>
      </c>
      <c r="I177" s="415">
        <f>IFERROR(I166/$W166,0)</f>
        <v>0.38886363636363636</v>
      </c>
      <c r="J177" s="414"/>
      <c r="K177" s="415"/>
      <c r="L177" s="415"/>
      <c r="M177" s="415"/>
      <c r="N177" s="416"/>
      <c r="O177" s="414"/>
      <c r="P177" s="415"/>
      <c r="Q177" s="415"/>
      <c r="R177" s="416"/>
      <c r="S177" s="414"/>
      <c r="T177" s="415"/>
      <c r="U177" s="254"/>
      <c r="V177" s="61"/>
      <c r="W177" s="113"/>
      <c r="X177" s="431"/>
      <c r="Y177" s="208"/>
      <c r="Z177" s="222"/>
      <c r="BA177" s="2"/>
      <c r="BB177" s="2"/>
    </row>
    <row r="178" spans="1:54" customFormat="1" ht="16.5" customHeight="1" outlineLevel="1">
      <c r="A178" s="2"/>
      <c r="B178" s="147"/>
      <c r="C178" s="450"/>
      <c r="D178" s="180" t="s">
        <v>347</v>
      </c>
      <c r="E178" s="159">
        <f>IFERROR(E167/$W166,0)</f>
        <v>4.0909090909090909E-2</v>
      </c>
      <c r="F178" s="160">
        <f>IFERROR(F167/$W166,0)</f>
        <v>7.7272727272727271E-2</v>
      </c>
      <c r="G178" s="160">
        <f>IFERROR(G167/$W166,0)</f>
        <v>0.20454545454545456</v>
      </c>
      <c r="H178" s="160">
        <f>IFERROR(H167/$W166,0)</f>
        <v>0.30909090909090908</v>
      </c>
      <c r="I178" s="160">
        <f>IFERROR(I167/$W166,0)</f>
        <v>0.36363636363636365</v>
      </c>
      <c r="J178" s="159"/>
      <c r="K178" s="160"/>
      <c r="L178" s="160"/>
      <c r="M178" s="160"/>
      <c r="N178" s="161"/>
      <c r="O178" s="159"/>
      <c r="P178" s="160"/>
      <c r="Q178" s="160"/>
      <c r="R178" s="161"/>
      <c r="S178" s="159"/>
      <c r="T178" s="160"/>
      <c r="U178" s="62"/>
      <c r="V178" s="63"/>
      <c r="W178" s="36"/>
      <c r="X178" s="172"/>
      <c r="Y178" s="208"/>
      <c r="Z178" s="222"/>
      <c r="BA178" s="2"/>
      <c r="BB178" s="2"/>
    </row>
    <row r="179" spans="1:54" customFormat="1" ht="16.5" outlineLevel="1" thickBot="1">
      <c r="A179" s="2"/>
      <c r="B179" s="215"/>
      <c r="C179" s="559"/>
      <c r="D179" s="216" t="s">
        <v>348</v>
      </c>
      <c r="E179" s="217">
        <f>E178-E177</f>
        <v>7.4999999999999997E-3</v>
      </c>
      <c r="F179" s="169">
        <f>F178-F177</f>
        <v>1.831818181818181E-2</v>
      </c>
      <c r="G179" s="169">
        <f>G178-G177</f>
        <v>4.9090909090909185E-3</v>
      </c>
      <c r="H179" s="169">
        <f>H178-H177</f>
        <v>-1.0181818181818181E-2</v>
      </c>
      <c r="I179" s="169">
        <f>I178-I177</f>
        <v>-2.5227272727272709E-2</v>
      </c>
      <c r="J179" s="168"/>
      <c r="K179" s="169"/>
      <c r="L179" s="169"/>
      <c r="M179" s="169"/>
      <c r="N179" s="170"/>
      <c r="O179" s="168"/>
      <c r="P179" s="169"/>
      <c r="Q179" s="169"/>
      <c r="R179" s="170"/>
      <c r="S179" s="168"/>
      <c r="T179" s="169"/>
      <c r="U179" s="218"/>
      <c r="V179" s="219"/>
      <c r="W179" s="220"/>
      <c r="X179" s="174"/>
      <c r="Y179" s="209"/>
      <c r="Z179" s="222"/>
      <c r="BA179" s="2"/>
      <c r="BB179" s="2"/>
    </row>
    <row r="180" spans="1:54" ht="16.5" customHeight="1" thickTop="1">
      <c r="B180" s="248"/>
      <c r="C180" s="248"/>
      <c r="Z180" s="45"/>
    </row>
  </sheetData>
  <mergeCells count="46">
    <mergeCell ref="B166:B174"/>
    <mergeCell ref="B54:B62"/>
    <mergeCell ref="B40:B48"/>
    <mergeCell ref="B68:B76"/>
    <mergeCell ref="B82:B90"/>
    <mergeCell ref="B96:B104"/>
    <mergeCell ref="B110:B118"/>
    <mergeCell ref="B152:B160"/>
    <mergeCell ref="B124:B132"/>
    <mergeCell ref="B138:B146"/>
    <mergeCell ref="A1:C1"/>
    <mergeCell ref="A2:C2"/>
    <mergeCell ref="B9:C9"/>
    <mergeCell ref="B26:B34"/>
    <mergeCell ref="B8:D8"/>
    <mergeCell ref="C26:C39"/>
    <mergeCell ref="D3:E3"/>
    <mergeCell ref="D1:I1"/>
    <mergeCell ref="D2:I2"/>
    <mergeCell ref="F3:I3"/>
    <mergeCell ref="D6:I6"/>
    <mergeCell ref="D5:I5"/>
    <mergeCell ref="B10:B11"/>
    <mergeCell ref="E10:I10"/>
    <mergeCell ref="B12:B20"/>
    <mergeCell ref="E8:U8"/>
    <mergeCell ref="C40:C53"/>
    <mergeCell ref="C12:C20"/>
    <mergeCell ref="C54:C67"/>
    <mergeCell ref="C68:C81"/>
    <mergeCell ref="C166:C179"/>
    <mergeCell ref="C152:C165"/>
    <mergeCell ref="C82:C95"/>
    <mergeCell ref="C96:C109"/>
    <mergeCell ref="C110:C123"/>
    <mergeCell ref="C124:C137"/>
    <mergeCell ref="C138:C151"/>
    <mergeCell ref="E9:I9"/>
    <mergeCell ref="J9:N9"/>
    <mergeCell ref="K2:X6"/>
    <mergeCell ref="O10:R10"/>
    <mergeCell ref="S10:U10"/>
    <mergeCell ref="O9:R9"/>
    <mergeCell ref="S9:U9"/>
    <mergeCell ref="J10:N10"/>
    <mergeCell ref="W8:X11"/>
  </mergeCells>
  <conditionalFormatting sqref="E13:W13 E41:W41">
    <cfRule type="expression" dxfId="207" priority="66">
      <formula>ROUND(E$13,0) &gt;= ROUND(E$12,0)</formula>
    </cfRule>
  </conditionalFormatting>
  <conditionalFormatting sqref="E19:W19 E47:W47">
    <cfRule type="expression" dxfId="206" priority="72">
      <formula>ROUND(E$19,0) &lt; ROUND(E$12,0)</formula>
    </cfRule>
  </conditionalFormatting>
  <conditionalFormatting sqref="E27:W27 E55:W55 E69:W69 E83:W83 E97:W97 E111:W111 E125:W125 E139:W139 E153:W153">
    <cfRule type="expression" dxfId="205" priority="71">
      <formula>ROUND(E$27,0) &gt;= ROUND(E$26,0)</formula>
    </cfRule>
  </conditionalFormatting>
  <conditionalFormatting sqref="E33:W33 E61:W61 E75:W75 E89:W89 E103:W103 E117:W117 E131:W131 E145:W145 E159:W159">
    <cfRule type="expression" dxfId="204" priority="65">
      <formula>ROUND(E$33,0) &lt; ROUND(E$26,0)</formula>
    </cfRule>
  </conditionalFormatting>
  <conditionalFormatting sqref="E167:W167">
    <cfRule type="expression" dxfId="203" priority="59">
      <formula>ROUND(E$167,0) &gt;= ROUND(E$166,0)</formula>
    </cfRule>
  </conditionalFormatting>
  <conditionalFormatting sqref="E173:W173">
    <cfRule type="expression" dxfId="202" priority="63">
      <formula>ROUND(E$173,0) &lt; ROUND(E$166,0)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FF433-70A2-4E85-8FEC-559CDCAA6CCD}">
  <sheetPr>
    <tabColor rgb="FF0070C0"/>
  </sheetPr>
  <dimension ref="A1:Z96"/>
  <sheetViews>
    <sheetView workbookViewId="0">
      <selection activeCell="C4" sqref="C4"/>
    </sheetView>
  </sheetViews>
  <sheetFormatPr defaultColWidth="8.625" defaultRowHeight="15.75" outlineLevelRow="1"/>
  <cols>
    <col min="1" max="1" width="7.5" style="2" customWidth="1"/>
    <col min="2" max="2" width="17.125" style="2" customWidth="1"/>
    <col min="3" max="3" width="18.625" style="2" customWidth="1"/>
    <col min="4" max="4" width="22.125" style="2" customWidth="1"/>
    <col min="5" max="8" width="7.5" style="2" customWidth="1"/>
    <col min="9" max="9" width="8" style="2" bestFit="1" customWidth="1"/>
    <col min="10" max="21" width="7.5" style="2" customWidth="1"/>
    <col min="22" max="22" width="0.625" style="2" customWidth="1"/>
    <col min="23" max="26" width="7.5" style="2" customWidth="1"/>
  </cols>
  <sheetData>
    <row r="1" spans="1:26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/>
      <c r="Z1"/>
    </row>
    <row r="2" spans="1:26" ht="16.5" thickBot="1">
      <c r="A2" s="499" t="s">
        <v>327</v>
      </c>
      <c r="B2" s="499"/>
      <c r="C2" s="500"/>
      <c r="D2" s="536" t="str">
        <f>_xlfn.CONCAT("Study Name: ","
Retest WISC-6 Standardization - Paper")</f>
        <v>Study Name: 
Retest WISC-6 Standardization - Paper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/>
      <c r="Z2"/>
    </row>
    <row r="3" spans="1:26" ht="16.5" thickBot="1">
      <c r="D3" s="510" t="str">
        <f>_xlfn.CONCAT("Study Acronym: ","
R_WISC6_STDZ_P")</f>
        <v>Study Acronym: 
R_WISC6_STDZ_P</v>
      </c>
      <c r="E3" s="511"/>
      <c r="F3" s="562" t="s">
        <v>359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/>
      <c r="Z3"/>
    </row>
    <row r="4" spans="1:26">
      <c r="B4" s="24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/>
      <c r="Z4"/>
    </row>
    <row r="5" spans="1:26" ht="16.5" thickBot="1"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/>
      <c r="Z5"/>
    </row>
    <row r="6" spans="1:26" ht="84" customHeight="1" thickBot="1">
      <c r="C6" s="98"/>
      <c r="D6" s="571" t="s">
        <v>363</v>
      </c>
      <c r="E6" s="572"/>
      <c r="F6" s="572"/>
      <c r="G6" s="572"/>
      <c r="H6" s="572"/>
      <c r="I6" s="573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/>
      <c r="Z6"/>
    </row>
    <row r="7" spans="1:26" ht="16.5" thickBot="1"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/>
      <c r="Z7"/>
    </row>
    <row r="8" spans="1:26">
      <c r="B8" s="482" t="str">
        <f>_xlfn.CONCAT("Last Refreshed at: ",aurora_data!BV132)</f>
        <v>Last Refreshed at: 09/17/2026 @ 7:17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/>
      <c r="Z8"/>
    </row>
    <row r="9" spans="1:26" ht="16.5" thickBot="1">
      <c r="B9" s="486"/>
      <c r="C9" s="487"/>
      <c r="D9" s="29" t="s">
        <v>333</v>
      </c>
      <c r="E9" s="528">
        <v>0.04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/>
      <c r="Z9"/>
    </row>
    <row r="10" spans="1:26" ht="17.25" thickTop="1" thickBot="1"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/>
      <c r="Z10"/>
    </row>
    <row r="11" spans="1:26" ht="17.25" thickTop="1" thickBot="1"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/>
      <c r="Z11"/>
    </row>
    <row r="12" spans="1:26">
      <c r="B12" s="451" t="s">
        <v>338</v>
      </c>
      <c r="C12" s="453" t="s">
        <v>299</v>
      </c>
      <c r="D12" s="34" t="s">
        <v>306</v>
      </c>
      <c r="E12" s="39">
        <f>IFERROR(aurora_data!D332 + aurora_data!D341,0)</f>
        <v>1.06</v>
      </c>
      <c r="F12" s="40">
        <f>IFERROR(aurora_data!E332 + aurora_data!E341,0)</f>
        <v>2.0499999999999998</v>
      </c>
      <c r="G12" s="40">
        <f>IFERROR(aurora_data!F332 + aurora_data!F341,0)</f>
        <v>7.8900000000000006</v>
      </c>
      <c r="H12" s="40">
        <f>IFERROR(aurora_data!G332 + aurora_data!G341,0)</f>
        <v>12.94</v>
      </c>
      <c r="I12" s="41">
        <f>IFERROR(aurora_data!H332 + aurora_data!H341,0)</f>
        <v>16.07</v>
      </c>
      <c r="J12" s="39">
        <f>IFERROR(aurora_data!I332 + aurora_data!I341,0)</f>
        <v>2</v>
      </c>
      <c r="K12" s="40">
        <f>IFERROR(aurora_data!J332 + aurora_data!J341,0)</f>
        <v>2</v>
      </c>
      <c r="L12" s="40">
        <f>IFERROR(aurora_data!K332 + aurora_data!K341,0)</f>
        <v>2</v>
      </c>
      <c r="M12" s="40">
        <f>IFERROR(aurora_data!L332 + aurora_data!L341,0)</f>
        <v>2</v>
      </c>
      <c r="N12" s="41">
        <f>IFERROR(aurora_data!M332 + aurora_data!M341,0)</f>
        <v>2</v>
      </c>
      <c r="O12" s="39">
        <f>IFERROR(aurora_data!N332 + aurora_data!N341,0)</f>
        <v>2</v>
      </c>
      <c r="P12" s="40">
        <f>IFERROR(aurora_data!O332 + aurora_data!O341,0)</f>
        <v>2</v>
      </c>
      <c r="Q12" s="40">
        <f>IFERROR(aurora_data!P332 + aurora_data!P341,0)</f>
        <v>2</v>
      </c>
      <c r="R12" s="41">
        <f>IFERROR(aurora_data!Q332 + aurora_data!Q341,0)</f>
        <v>2</v>
      </c>
      <c r="S12" s="40">
        <f>IFERROR(aurora_data!R332 + aurora_data!R341,0)</f>
        <v>2</v>
      </c>
      <c r="T12" s="40">
        <f>IFERROR(aurora_data!S332 + aurora_data!S341,0)</f>
        <v>2</v>
      </c>
      <c r="U12" s="74">
        <f>IFERROR(aurora_data!T332 + aurora_data!T341,0)</f>
        <v>0</v>
      </c>
      <c r="V12" s="61" t="s">
        <v>354</v>
      </c>
      <c r="W12" s="39">
        <f>IFERROR(aurora_data!U332 + aurora_data!U341,0)</f>
        <v>40</v>
      </c>
      <c r="X12" s="69">
        <f t="shared" ref="X12:X20" si="0">IFERROR(W12/$W$12,0)</f>
        <v>1</v>
      </c>
      <c r="Y12"/>
      <c r="Z12"/>
    </row>
    <row r="13" spans="1:26">
      <c r="B13" s="452"/>
      <c r="C13" s="454"/>
      <c r="D13" s="35" t="s">
        <v>339</v>
      </c>
      <c r="E13" s="113">
        <f>IFERROR(aurora_data!D333 + aurora_data!D342,0)</f>
        <v>1</v>
      </c>
      <c r="F13" s="253">
        <f>IFERROR(aurora_data!E333 + aurora_data!E342,0)</f>
        <v>3</v>
      </c>
      <c r="G13" s="253">
        <f>IFERROR(aurora_data!F333 + aurora_data!F342,0)</f>
        <v>8</v>
      </c>
      <c r="H13" s="253">
        <f>IFERROR(aurora_data!G333 + aurora_data!G342,0)</f>
        <v>12</v>
      </c>
      <c r="I13" s="254">
        <f>IFERROR(aurora_data!H333 + aurora_data!H342,0)</f>
        <v>15</v>
      </c>
      <c r="J13" s="113">
        <f>IFERROR(aurora_data!I333 + aurora_data!I342,0)</f>
        <v>3</v>
      </c>
      <c r="K13" s="253">
        <f>IFERROR(aurora_data!J333 + aurora_data!J342,0)</f>
        <v>6</v>
      </c>
      <c r="L13" s="253">
        <f>IFERROR(aurora_data!K333 + aurora_data!K342,0)</f>
        <v>6</v>
      </c>
      <c r="M13" s="253">
        <f>IFERROR(aurora_data!L333 + aurora_data!L342,0)</f>
        <v>4</v>
      </c>
      <c r="N13" s="254">
        <f>IFERROR(aurora_data!M333 + aurora_data!M342,0)</f>
        <v>20</v>
      </c>
      <c r="O13" s="113">
        <f>IFERROR(aurora_data!N333 + aurora_data!N342,0)</f>
        <v>9</v>
      </c>
      <c r="P13" s="253">
        <f>IFERROR(aurora_data!O333 + aurora_data!O342,0)</f>
        <v>6</v>
      </c>
      <c r="Q13" s="253">
        <f>IFERROR(aurora_data!P333 + aurora_data!P342,0)</f>
        <v>18</v>
      </c>
      <c r="R13" s="254">
        <f>IFERROR(aurora_data!Q333 + aurora_data!Q342,0)</f>
        <v>6</v>
      </c>
      <c r="S13" s="253">
        <f>IFERROR(aurora_data!R333 + aurora_data!R342,0)</f>
        <v>22</v>
      </c>
      <c r="T13" s="253">
        <f>IFERROR(aurora_data!S333 + aurora_data!S342,0)</f>
        <v>17</v>
      </c>
      <c r="U13" s="254">
        <f>IFERROR(aurora_data!T333 + aurora_data!T342,0)</f>
        <v>0</v>
      </c>
      <c r="V13" s="61" t="s">
        <v>354</v>
      </c>
      <c r="W13" s="113">
        <f>IFERROR(aurora_data!U333 + aurora_data!U342,0)</f>
        <v>39</v>
      </c>
      <c r="X13" s="255">
        <f t="shared" si="0"/>
        <v>0.97499999999999998</v>
      </c>
      <c r="Y13"/>
      <c r="Z13"/>
    </row>
    <row r="14" spans="1:26">
      <c r="B14" s="452"/>
      <c r="C14" s="454"/>
      <c r="D14" s="35" t="s">
        <v>291</v>
      </c>
      <c r="E14" s="113">
        <f>IFERROR(aurora_data!D334 + aurora_data!D343,0)</f>
        <v>0</v>
      </c>
      <c r="F14" s="253">
        <f>IFERROR(aurora_data!E334 + aurora_data!E343,0)</f>
        <v>0</v>
      </c>
      <c r="G14" s="253">
        <f>IFERROR(aurora_data!F334 + aurora_data!F343,0)</f>
        <v>0</v>
      </c>
      <c r="H14" s="253">
        <f>IFERROR(aurora_data!G334 + aurora_data!G343,0)</f>
        <v>0</v>
      </c>
      <c r="I14" s="254">
        <f>IFERROR(aurora_data!H334 + aurora_data!H343,0)</f>
        <v>1</v>
      </c>
      <c r="J14" s="113">
        <f>IFERROR(aurora_data!I334 + aurora_data!I343,0)</f>
        <v>0</v>
      </c>
      <c r="K14" s="253">
        <f>IFERROR(aurora_data!J334 + aurora_data!J343,0)</f>
        <v>0</v>
      </c>
      <c r="L14" s="253">
        <f>IFERROR(aurora_data!K334 + aurora_data!K343,0)</f>
        <v>0</v>
      </c>
      <c r="M14" s="253">
        <f>IFERROR(aurora_data!L334 + aurora_data!L343,0)</f>
        <v>0</v>
      </c>
      <c r="N14" s="254">
        <f>IFERROR(aurora_data!M334 + aurora_data!M343,0)</f>
        <v>1</v>
      </c>
      <c r="O14" s="113">
        <f>IFERROR(aurora_data!N334 + aurora_data!N343,0)</f>
        <v>0</v>
      </c>
      <c r="P14" s="253">
        <f>IFERROR(aurora_data!O334 + aurora_data!O343,0)</f>
        <v>1</v>
      </c>
      <c r="Q14" s="253">
        <f>IFERROR(aurora_data!P334 + aurora_data!P343,0)</f>
        <v>0</v>
      </c>
      <c r="R14" s="254">
        <f>IFERROR(aurora_data!Q334 + aurora_data!Q343,0)</f>
        <v>0</v>
      </c>
      <c r="S14" s="253">
        <f>IFERROR(aurora_data!R334 + aurora_data!R343,0)</f>
        <v>0</v>
      </c>
      <c r="T14" s="253">
        <f>IFERROR(aurora_data!S334 + aurora_data!S343,0)</f>
        <v>1</v>
      </c>
      <c r="U14" s="254">
        <f>IFERROR(aurora_data!T334 + aurora_data!T343,0)</f>
        <v>0</v>
      </c>
      <c r="V14" s="61" t="s">
        <v>354</v>
      </c>
      <c r="W14" s="113">
        <f>IFERROR(aurora_data!U334 + aurora_data!U343,0)</f>
        <v>1</v>
      </c>
      <c r="X14" s="255">
        <f t="shared" si="0"/>
        <v>2.5000000000000001E-2</v>
      </c>
      <c r="Y14"/>
      <c r="Z14"/>
    </row>
    <row r="15" spans="1:26">
      <c r="B15" s="452"/>
      <c r="C15" s="454"/>
      <c r="D15" s="35" t="s">
        <v>340</v>
      </c>
      <c r="E15" s="113">
        <f>IFERROR(aurora_data!D335 + aurora_data!D344,0)</f>
        <v>0</v>
      </c>
      <c r="F15" s="253">
        <f>IFERROR(aurora_data!E335 + aurora_data!E344,0)</f>
        <v>0</v>
      </c>
      <c r="G15" s="253">
        <f>IFERROR(aurora_data!F335 + aurora_data!F344,0)</f>
        <v>0</v>
      </c>
      <c r="H15" s="253">
        <f>IFERROR(aurora_data!G335 + aurora_data!G344,0)</f>
        <v>0</v>
      </c>
      <c r="I15" s="254">
        <f>IFERROR(aurora_data!H335 + aurora_data!H344,0)</f>
        <v>0</v>
      </c>
      <c r="J15" s="113">
        <f>IFERROR(aurora_data!I335 + aurora_data!I344,0)</f>
        <v>0</v>
      </c>
      <c r="K15" s="253">
        <f>IFERROR(aurora_data!J335 + aurora_data!J344,0)</f>
        <v>0</v>
      </c>
      <c r="L15" s="253">
        <f>IFERROR(aurora_data!K335 + aurora_data!K344,0)</f>
        <v>0</v>
      </c>
      <c r="M15" s="253">
        <f>IFERROR(aurora_data!L335 + aurora_data!L344,0)</f>
        <v>0</v>
      </c>
      <c r="N15" s="254">
        <f>IFERROR(aurora_data!M335 + aurora_data!M344,0)</f>
        <v>0</v>
      </c>
      <c r="O15" s="113">
        <f>IFERROR(aurora_data!N335 + aurora_data!N344,0)</f>
        <v>0</v>
      </c>
      <c r="P15" s="253">
        <f>IFERROR(aurora_data!O335 + aurora_data!O344,0)</f>
        <v>0</v>
      </c>
      <c r="Q15" s="253">
        <f>IFERROR(aurora_data!P335 + aurora_data!P344,0)</f>
        <v>0</v>
      </c>
      <c r="R15" s="254">
        <f>IFERROR(aurora_data!Q335 + aurora_data!Q344,0)</f>
        <v>0</v>
      </c>
      <c r="S15" s="253">
        <f>IFERROR(aurora_data!R335 + aurora_data!R344,0)</f>
        <v>0</v>
      </c>
      <c r="T15" s="253">
        <f>IFERROR(aurora_data!S335 + aurora_data!S344,0)</f>
        <v>0</v>
      </c>
      <c r="U15" s="254">
        <f>IFERROR(aurora_data!T335 + aurora_data!T344,0)</f>
        <v>0</v>
      </c>
      <c r="V15" s="61" t="s">
        <v>354</v>
      </c>
      <c r="W15" s="113">
        <f>IFERROR(aurora_data!U335 + aurora_data!U344,0)</f>
        <v>0</v>
      </c>
      <c r="X15" s="255">
        <f t="shared" si="0"/>
        <v>0</v>
      </c>
      <c r="Y15"/>
      <c r="Z15"/>
    </row>
    <row r="16" spans="1:26">
      <c r="B16" s="452"/>
      <c r="C16" s="454"/>
      <c r="D16" s="35" t="s">
        <v>298</v>
      </c>
      <c r="E16" s="113">
        <f>IFERROR(aurora_data!D336 + aurora_data!D345,0)</f>
        <v>0</v>
      </c>
      <c r="F16" s="253">
        <f>IFERROR(aurora_data!E336 + aurora_data!E345,0)</f>
        <v>0</v>
      </c>
      <c r="G16" s="253">
        <f>IFERROR(aurora_data!F336 + aurora_data!F345,0)</f>
        <v>0</v>
      </c>
      <c r="H16" s="253">
        <f>IFERROR(aurora_data!G336 + aurora_data!G345,0)</f>
        <v>0</v>
      </c>
      <c r="I16" s="254">
        <f>IFERROR(aurora_data!H336 + aurora_data!H345,0)</f>
        <v>0</v>
      </c>
      <c r="J16" s="113">
        <f>IFERROR(aurora_data!I336 + aurora_data!I345,0)</f>
        <v>0</v>
      </c>
      <c r="K16" s="253">
        <f>IFERROR(aurora_data!J336 + aurora_data!J345,0)</f>
        <v>0</v>
      </c>
      <c r="L16" s="253">
        <f>IFERROR(aurora_data!K336 + aurora_data!K345,0)</f>
        <v>0</v>
      </c>
      <c r="M16" s="253">
        <f>IFERROR(aurora_data!L336 + aurora_data!L345,0)</f>
        <v>0</v>
      </c>
      <c r="N16" s="254">
        <f>IFERROR(aurora_data!M336 + aurora_data!M345,0)</f>
        <v>0</v>
      </c>
      <c r="O16" s="113">
        <f>IFERROR(aurora_data!N336 + aurora_data!N345,0)</f>
        <v>0</v>
      </c>
      <c r="P16" s="253">
        <f>IFERROR(aurora_data!O336 + aurora_data!O345,0)</f>
        <v>0</v>
      </c>
      <c r="Q16" s="253">
        <f>IFERROR(aurora_data!P336 + aurora_data!P345,0)</f>
        <v>0</v>
      </c>
      <c r="R16" s="254">
        <f>IFERROR(aurora_data!Q336 + aurora_data!Q345,0)</f>
        <v>0</v>
      </c>
      <c r="S16" s="253">
        <f>IFERROR(aurora_data!R336 + aurora_data!R345,0)</f>
        <v>0</v>
      </c>
      <c r="T16" s="253">
        <f>IFERROR(aurora_data!S336 + aurora_data!S345,0)</f>
        <v>0</v>
      </c>
      <c r="U16" s="254">
        <f>IFERROR(aurora_data!T336 + aurora_data!T345,0)</f>
        <v>0</v>
      </c>
      <c r="V16" s="61" t="s">
        <v>354</v>
      </c>
      <c r="W16" s="113">
        <f>IFERROR(aurora_data!U336 + aurora_data!U345,0)</f>
        <v>0</v>
      </c>
      <c r="X16" s="255">
        <f t="shared" si="0"/>
        <v>0</v>
      </c>
      <c r="Y16"/>
      <c r="Z16"/>
    </row>
    <row r="17" spans="2:26">
      <c r="B17" s="452"/>
      <c r="C17" s="454"/>
      <c r="D17" s="35" t="s">
        <v>341</v>
      </c>
      <c r="E17" s="113">
        <f>IFERROR(aurora_data!D337 + aurora_data!D346,0)</f>
        <v>1</v>
      </c>
      <c r="F17" s="253">
        <f>IFERROR(aurora_data!E337 + aurora_data!E346,0)</f>
        <v>0</v>
      </c>
      <c r="G17" s="253">
        <f>IFERROR(aurora_data!F337 + aurora_data!F346,0)</f>
        <v>0</v>
      </c>
      <c r="H17" s="253">
        <f>IFERROR(aurora_data!G337 + aurora_data!G346,0)</f>
        <v>0</v>
      </c>
      <c r="I17" s="254">
        <f>IFERROR(aurora_data!H337 + aurora_data!H346,0)</f>
        <v>0</v>
      </c>
      <c r="J17" s="113">
        <f>IFERROR(aurora_data!I337 + aurora_data!I346,0)</f>
        <v>0</v>
      </c>
      <c r="K17" s="253">
        <f>IFERROR(aurora_data!J337 + aurora_data!J346,0)</f>
        <v>1</v>
      </c>
      <c r="L17" s="253">
        <f>IFERROR(aurora_data!K337 + aurora_data!K346,0)</f>
        <v>0</v>
      </c>
      <c r="M17" s="253">
        <f>IFERROR(aurora_data!L337 + aurora_data!L346,0)</f>
        <v>0</v>
      </c>
      <c r="N17" s="254">
        <f>IFERROR(aurora_data!M337 + aurora_data!M346,0)</f>
        <v>0</v>
      </c>
      <c r="O17" s="113">
        <f>IFERROR(aurora_data!N337 + aurora_data!N346,0)</f>
        <v>0</v>
      </c>
      <c r="P17" s="253">
        <f>IFERROR(aurora_data!O337 + aurora_data!O346,0)</f>
        <v>0</v>
      </c>
      <c r="Q17" s="253">
        <f>IFERROR(aurora_data!P337 + aurora_data!P346,0)</f>
        <v>1</v>
      </c>
      <c r="R17" s="254">
        <f>IFERROR(aurora_data!Q337 + aurora_data!Q346,0)</f>
        <v>0</v>
      </c>
      <c r="S17" s="253">
        <f>IFERROR(aurora_data!R337 + aurora_data!R346,0)</f>
        <v>0</v>
      </c>
      <c r="T17" s="253">
        <f>IFERROR(aurora_data!S337 + aurora_data!S346,0)</f>
        <v>1</v>
      </c>
      <c r="U17" s="254">
        <f>IFERROR(aurora_data!T337 + aurora_data!T346,0)</f>
        <v>0</v>
      </c>
      <c r="V17" s="61" t="s">
        <v>354</v>
      </c>
      <c r="W17" s="113">
        <f>IFERROR(aurora_data!U337 + aurora_data!U346,0)</f>
        <v>1</v>
      </c>
      <c r="X17" s="255">
        <f t="shared" si="0"/>
        <v>2.5000000000000001E-2</v>
      </c>
      <c r="Y17"/>
      <c r="Z17"/>
    </row>
    <row r="18" spans="2:26" ht="16.5" thickBot="1">
      <c r="B18" s="452"/>
      <c r="C18" s="454"/>
      <c r="D18" s="35" t="s">
        <v>342</v>
      </c>
      <c r="E18" s="113">
        <f>IFERROR(aurora_data!D338 + aurora_data!D347,0)</f>
        <v>0</v>
      </c>
      <c r="F18" s="253">
        <f>IFERROR(aurora_data!E338 + aurora_data!E347,0)</f>
        <v>0</v>
      </c>
      <c r="G18" s="253">
        <f>IFERROR(aurora_data!F338 + aurora_data!F347,0)</f>
        <v>0</v>
      </c>
      <c r="H18" s="253">
        <f>IFERROR(aurora_data!G338 + aurora_data!G347,0)</f>
        <v>0</v>
      </c>
      <c r="I18" s="254">
        <f>IFERROR(aurora_data!H338 + aurora_data!H347,0)</f>
        <v>0</v>
      </c>
      <c r="J18" s="113">
        <f>IFERROR(aurora_data!I338 + aurora_data!I347,0)</f>
        <v>0</v>
      </c>
      <c r="K18" s="253">
        <f>IFERROR(aurora_data!J338 + aurora_data!J347,0)</f>
        <v>0</v>
      </c>
      <c r="L18" s="253">
        <f>IFERROR(aurora_data!K338 + aurora_data!K347,0)</f>
        <v>0</v>
      </c>
      <c r="M18" s="253">
        <f>IFERROR(aurora_data!L338 + aurora_data!L347,0)</f>
        <v>0</v>
      </c>
      <c r="N18" s="254">
        <f>IFERROR(aurora_data!M338 + aurora_data!M347,0)</f>
        <v>0</v>
      </c>
      <c r="O18" s="113">
        <f>IFERROR(aurora_data!N338 + aurora_data!N347,0)</f>
        <v>0</v>
      </c>
      <c r="P18" s="253">
        <f>IFERROR(aurora_data!O338 + aurora_data!O347,0)</f>
        <v>0</v>
      </c>
      <c r="Q18" s="253">
        <f>IFERROR(aurora_data!P338 + aurora_data!P347,0)</f>
        <v>0</v>
      </c>
      <c r="R18" s="254">
        <f>IFERROR(aurora_data!Q338 + aurora_data!Q347,0)</f>
        <v>0</v>
      </c>
      <c r="S18" s="253">
        <f>IFERROR(aurora_data!R338 + aurora_data!R347,0)</f>
        <v>0</v>
      </c>
      <c r="T18" s="253">
        <f>IFERROR(aurora_data!S338 + aurora_data!S347,0)</f>
        <v>0</v>
      </c>
      <c r="U18" s="254">
        <f>IFERROR(aurora_data!T338 + aurora_data!T347,0)</f>
        <v>0</v>
      </c>
      <c r="V18" s="61" t="s">
        <v>354</v>
      </c>
      <c r="W18" s="113">
        <f>IFERROR(aurora_data!U338 + aurora_data!U347,0)</f>
        <v>0</v>
      </c>
      <c r="X18" s="255">
        <f t="shared" si="0"/>
        <v>0</v>
      </c>
      <c r="Y18"/>
      <c r="Z18"/>
    </row>
    <row r="19" spans="2:26" ht="16.5" thickBot="1">
      <c r="B19" s="452"/>
      <c r="C19" s="454"/>
      <c r="D19" s="37" t="s">
        <v>17</v>
      </c>
      <c r="E19" s="59">
        <f>IFERROR(aurora_data!D339 + aurora_data!D348,0)</f>
        <v>2</v>
      </c>
      <c r="F19" s="64">
        <f>IFERROR(aurora_data!E339 + aurora_data!E348,0)</f>
        <v>3</v>
      </c>
      <c r="G19" s="64">
        <f>IFERROR(aurora_data!F339 + aurora_data!F348,0)</f>
        <v>8</v>
      </c>
      <c r="H19" s="64">
        <f>IFERROR(aurora_data!G339 + aurora_data!G348,0)</f>
        <v>12</v>
      </c>
      <c r="I19" s="65">
        <f>IFERROR(aurora_data!H339 + aurora_data!H348,0)</f>
        <v>16</v>
      </c>
      <c r="J19" s="59">
        <f>IFERROR(aurora_data!I339 + aurora_data!I348,0)</f>
        <v>3</v>
      </c>
      <c r="K19" s="64">
        <f>IFERROR(aurora_data!J339 + aurora_data!J348,0)</f>
        <v>7</v>
      </c>
      <c r="L19" s="64">
        <f>IFERROR(aurora_data!K339 + aurora_data!K348,0)</f>
        <v>6</v>
      </c>
      <c r="M19" s="64">
        <f>IFERROR(aurora_data!L339 + aurora_data!L348,0)</f>
        <v>4</v>
      </c>
      <c r="N19" s="65">
        <f>IFERROR(aurora_data!M339 + aurora_data!M348,0)</f>
        <v>21</v>
      </c>
      <c r="O19" s="59">
        <f>IFERROR(aurora_data!N339 + aurora_data!N348,0)</f>
        <v>9</v>
      </c>
      <c r="P19" s="64">
        <f>IFERROR(aurora_data!O339 + aurora_data!O348,0)</f>
        <v>7</v>
      </c>
      <c r="Q19" s="64">
        <f>IFERROR(aurora_data!P339 + aurora_data!P348,0)</f>
        <v>19</v>
      </c>
      <c r="R19" s="65">
        <f>IFERROR(aurora_data!Q339 + aurora_data!Q348,0)</f>
        <v>6</v>
      </c>
      <c r="S19" s="64">
        <f>IFERROR(aurora_data!R339 + aurora_data!R348,0)</f>
        <v>22</v>
      </c>
      <c r="T19" s="64">
        <f>IFERROR(aurora_data!S339 + aurora_data!S348,0)</f>
        <v>19</v>
      </c>
      <c r="U19" s="65">
        <f>IFERROR(aurora_data!T339 + aurora_data!T348,0)</f>
        <v>0</v>
      </c>
      <c r="V19" s="66" t="s">
        <v>354</v>
      </c>
      <c r="W19" s="59">
        <f>IFERROR(aurora_data!U339 + aurora_data!U348,0)</f>
        <v>41</v>
      </c>
      <c r="X19" s="70">
        <f t="shared" si="0"/>
        <v>1.0249999999999999</v>
      </c>
      <c r="Y19"/>
      <c r="Z19"/>
    </row>
    <row r="20" spans="2:26" ht="16.5" thickBot="1">
      <c r="B20" s="452"/>
      <c r="C20" s="454"/>
      <c r="D20" s="38" t="s">
        <v>343</v>
      </c>
      <c r="E20" s="256">
        <f>IFERROR(aurora_data!D340 + aurora_data!D349,0)</f>
        <v>0</v>
      </c>
      <c r="F20" s="257">
        <f>IFERROR(aurora_data!E340 + aurora_data!E349,0)</f>
        <v>0</v>
      </c>
      <c r="G20" s="257">
        <f>IFERROR(aurora_data!F340 + aurora_data!F349,0)</f>
        <v>0</v>
      </c>
      <c r="H20" s="257">
        <f>IFERROR(aurora_data!G340 + aurora_data!G349,0)</f>
        <v>0</v>
      </c>
      <c r="I20" s="258">
        <f>IFERROR(aurora_data!H340 + aurora_data!H349,0)</f>
        <v>0</v>
      </c>
      <c r="J20" s="256">
        <f>IFERROR(aurora_data!I340 + aurora_data!I349,0)</f>
        <v>0</v>
      </c>
      <c r="K20" s="257">
        <f>IFERROR(aurora_data!J340 + aurora_data!J349,0)</f>
        <v>0</v>
      </c>
      <c r="L20" s="257">
        <f>IFERROR(aurora_data!K340 + aurora_data!K349,0)</f>
        <v>0</v>
      </c>
      <c r="M20" s="257">
        <f>IFERROR(aurora_data!L340 + aurora_data!L349,0)</f>
        <v>0</v>
      </c>
      <c r="N20" s="258">
        <f>IFERROR(aurora_data!M340 + aurora_data!M349,0)</f>
        <v>0</v>
      </c>
      <c r="O20" s="256">
        <f>IFERROR(aurora_data!N340 + aurora_data!N349,0)</f>
        <v>0</v>
      </c>
      <c r="P20" s="257">
        <f>IFERROR(aurora_data!O340 + aurora_data!O349,0)</f>
        <v>0</v>
      </c>
      <c r="Q20" s="257">
        <f>IFERROR(aurora_data!P340 + aurora_data!P349,0)</f>
        <v>0</v>
      </c>
      <c r="R20" s="258">
        <f>IFERROR(aurora_data!Q340 + aurora_data!Q349,0)</f>
        <v>0</v>
      </c>
      <c r="S20" s="257">
        <f>IFERROR(aurora_data!R340 + aurora_data!R349,0)</f>
        <v>0</v>
      </c>
      <c r="T20" s="257">
        <f>IFERROR(aurora_data!S340 + aurora_data!S349,0)</f>
        <v>0</v>
      </c>
      <c r="U20" s="259">
        <f>IFERROR(aurora_data!T340 + aurora_data!T349,0)</f>
        <v>0</v>
      </c>
      <c r="V20" s="260" t="s">
        <v>354</v>
      </c>
      <c r="W20" s="256">
        <f>IFERROR(aurora_data!U340 + aurora_data!U349,0)</f>
        <v>0</v>
      </c>
      <c r="X20" s="261">
        <f t="shared" si="0"/>
        <v>0</v>
      </c>
      <c r="Y20"/>
      <c r="Z20"/>
    </row>
    <row r="21" spans="2:26" outlineLevel="1">
      <c r="B21" s="452"/>
      <c r="C21" s="454"/>
      <c r="D21" s="199" t="s">
        <v>344</v>
      </c>
      <c r="E21" s="271">
        <f>ROUNDDOWN((E23+$E$9)*($W12),0)</f>
        <v>2</v>
      </c>
      <c r="F21" s="272">
        <f>ROUNDDOWN((F23+$E$9)*($W12),0)</f>
        <v>3</v>
      </c>
      <c r="G21" s="272">
        <f>ROUNDDOWN((G23+$E$9)*($W12),0)</f>
        <v>9</v>
      </c>
      <c r="H21" s="272">
        <f>ROUNDDOWN((H23+$E$9)*($W12),0)</f>
        <v>14</v>
      </c>
      <c r="I21" s="272">
        <f>ROUNDDOWN((I23+$E$9)*($W12),0)</f>
        <v>17</v>
      </c>
      <c r="J21" s="271"/>
      <c r="K21" s="272"/>
      <c r="L21" s="272"/>
      <c r="M21" s="272"/>
      <c r="N21" s="268"/>
      <c r="O21" s="271"/>
      <c r="P21" s="272"/>
      <c r="Q21" s="272"/>
      <c r="R21" s="268"/>
      <c r="S21" s="265"/>
      <c r="T21" s="272"/>
      <c r="U21" s="282"/>
      <c r="V21" s="61"/>
      <c r="W21" s="291"/>
      <c r="X21" s="286"/>
      <c r="Y21"/>
      <c r="Z21"/>
    </row>
    <row r="22" spans="2:26" outlineLevel="1">
      <c r="B22" s="452"/>
      <c r="C22" s="454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0.69999999999999984</v>
      </c>
      <c r="G22" s="277">
        <f>IF(ROUND(((G23-$E$9)*($W12))+0.25,0) &lt;=0,1,((G23-$E$9)*($W12))+0.25)</f>
        <v>6.54</v>
      </c>
      <c r="H22" s="277">
        <f>IF(ROUND(((H23-$E$9)*($W12))+0.25,0) &lt;=0,1,((H23-$E$9)*($W12))+0.25)</f>
        <v>11.590000000000002</v>
      </c>
      <c r="I22" s="277">
        <f>IF(ROUND(((I23-$E$9)*($W12))+0.25,0) &lt;=0,1,((I23-$E$9)*($W12))+0.25)</f>
        <v>14.72</v>
      </c>
      <c r="J22" s="276"/>
      <c r="K22" s="277"/>
      <c r="L22" s="277"/>
      <c r="M22" s="277"/>
      <c r="N22" s="278"/>
      <c r="O22" s="276"/>
      <c r="P22" s="277"/>
      <c r="Q22" s="277"/>
      <c r="R22" s="278"/>
      <c r="S22" s="276"/>
      <c r="T22" s="277"/>
      <c r="U22" s="287"/>
      <c r="V22" s="61"/>
      <c r="W22" s="285"/>
      <c r="X22" s="287"/>
      <c r="Y22"/>
      <c r="Z22"/>
    </row>
    <row r="23" spans="2:26" outlineLevel="1">
      <c r="B23" s="452"/>
      <c r="C23" s="454"/>
      <c r="D23" s="95" t="s">
        <v>346</v>
      </c>
      <c r="E23" s="414">
        <f>IFERROR(E12/$W12,0)</f>
        <v>2.6500000000000003E-2</v>
      </c>
      <c r="F23" s="415">
        <f t="shared" ref="F23:I23" si="1">IFERROR(F12/$W12,0)</f>
        <v>5.1249999999999997E-2</v>
      </c>
      <c r="G23" s="415">
        <f t="shared" si="1"/>
        <v>0.19725000000000001</v>
      </c>
      <c r="H23" s="415">
        <f t="shared" si="1"/>
        <v>0.32350000000000001</v>
      </c>
      <c r="I23" s="415">
        <f t="shared" si="1"/>
        <v>0.40175</v>
      </c>
      <c r="J23" s="414"/>
      <c r="K23" s="415"/>
      <c r="L23" s="415"/>
      <c r="M23" s="415"/>
      <c r="N23" s="416"/>
      <c r="O23" s="414"/>
      <c r="P23" s="415"/>
      <c r="Q23" s="415"/>
      <c r="R23" s="416"/>
      <c r="S23" s="414"/>
      <c r="T23" s="415"/>
      <c r="U23" s="254"/>
      <c r="V23" s="61"/>
      <c r="W23" s="113"/>
      <c r="X23" s="431"/>
      <c r="Y23"/>
      <c r="Z23"/>
    </row>
    <row r="24" spans="2:26" outlineLevel="1">
      <c r="B24" s="452"/>
      <c r="C24" s="454"/>
      <c r="D24" s="180" t="s">
        <v>347</v>
      </c>
      <c r="E24" s="414">
        <f>IFERROR(E13/$W12,0)</f>
        <v>2.5000000000000001E-2</v>
      </c>
      <c r="F24" s="415">
        <f t="shared" ref="F24:I24" si="2">IFERROR(F13/$W12,0)</f>
        <v>7.4999999999999997E-2</v>
      </c>
      <c r="G24" s="415">
        <f t="shared" si="2"/>
        <v>0.2</v>
      </c>
      <c r="H24" s="415">
        <f t="shared" si="2"/>
        <v>0.3</v>
      </c>
      <c r="I24" s="415">
        <f t="shared" si="2"/>
        <v>0.375</v>
      </c>
      <c r="J24" s="414"/>
      <c r="K24" s="415"/>
      <c r="L24" s="415"/>
      <c r="M24" s="415"/>
      <c r="N24" s="416"/>
      <c r="O24" s="414"/>
      <c r="P24" s="415"/>
      <c r="Q24" s="415"/>
      <c r="R24" s="416"/>
      <c r="S24" s="414"/>
      <c r="T24" s="415"/>
      <c r="U24" s="254"/>
      <c r="V24" s="61"/>
      <c r="W24" s="113"/>
      <c r="X24" s="431"/>
      <c r="Y24"/>
      <c r="Z24"/>
    </row>
    <row r="25" spans="2:26" ht="16.5" outlineLevel="1" thickBot="1">
      <c r="B25" s="456"/>
      <c r="C25" s="455"/>
      <c r="D25" s="180" t="s">
        <v>348</v>
      </c>
      <c r="E25" s="414">
        <f>E24-E23</f>
        <v>-1.5000000000000013E-3</v>
      </c>
      <c r="F25" s="415">
        <f>F24-F23</f>
        <v>2.375E-2</v>
      </c>
      <c r="G25" s="415">
        <f>G24-G23</f>
        <v>2.7500000000000024E-3</v>
      </c>
      <c r="H25" s="415">
        <f>H24-H23</f>
        <v>-2.3500000000000021E-2</v>
      </c>
      <c r="I25" s="415">
        <f>I24-I23</f>
        <v>-2.6749999999999996E-2</v>
      </c>
      <c r="J25" s="414"/>
      <c r="K25" s="415"/>
      <c r="L25" s="415"/>
      <c r="M25" s="415"/>
      <c r="N25" s="416"/>
      <c r="O25" s="414"/>
      <c r="P25" s="415"/>
      <c r="Q25" s="415"/>
      <c r="R25" s="416"/>
      <c r="S25" s="432"/>
      <c r="T25" s="415"/>
      <c r="U25" s="254"/>
      <c r="V25" s="61"/>
      <c r="W25" s="113"/>
      <c r="X25" s="431"/>
      <c r="Y25"/>
      <c r="Z25"/>
    </row>
    <row r="26" spans="2:26">
      <c r="B26" s="451" t="s">
        <v>338</v>
      </c>
      <c r="C26" s="453" t="s">
        <v>364</v>
      </c>
      <c r="D26" s="34" t="s">
        <v>306</v>
      </c>
      <c r="E26" s="39">
        <f>IFERROR(aurora_data!D350 + aurora_data!D359,0)</f>
        <v>1.1000000000000001</v>
      </c>
      <c r="F26" s="40">
        <f>IFERROR(aurora_data!E350 + aurora_data!E359,0)</f>
        <v>2.1900000000000004</v>
      </c>
      <c r="G26" s="40">
        <f>IFERROR(aurora_data!F350 + aurora_data!F359,0)</f>
        <v>7.99</v>
      </c>
      <c r="H26" s="40">
        <f>IFERROR(aurora_data!G350 + aurora_data!G359,0)</f>
        <v>12.85</v>
      </c>
      <c r="I26" s="41">
        <f>IFERROR(aurora_data!H350 + aurora_data!H359,0)</f>
        <v>15.870000000000001</v>
      </c>
      <c r="J26" s="39">
        <f>IFERROR(aurora_data!I350 + aurora_data!I359,0)</f>
        <v>2</v>
      </c>
      <c r="K26" s="40">
        <f>IFERROR(aurora_data!J350 + aurora_data!J359,0)</f>
        <v>2</v>
      </c>
      <c r="L26" s="40">
        <f>IFERROR(aurora_data!K350 + aurora_data!K359,0)</f>
        <v>2</v>
      </c>
      <c r="M26" s="40">
        <f>IFERROR(aurora_data!L350 + aurora_data!L359,0)</f>
        <v>2</v>
      </c>
      <c r="N26" s="41">
        <f>IFERROR(aurora_data!M350 + aurora_data!M359,0)</f>
        <v>2</v>
      </c>
      <c r="O26" s="39">
        <f>IFERROR(aurora_data!N350 + aurora_data!N359,0)</f>
        <v>2</v>
      </c>
      <c r="P26" s="40">
        <f>IFERROR(aurora_data!O350 + aurora_data!O359,0)</f>
        <v>2</v>
      </c>
      <c r="Q26" s="40">
        <f>IFERROR(aurora_data!P350 + aurora_data!P359,0)</f>
        <v>2</v>
      </c>
      <c r="R26" s="41">
        <f>IFERROR(aurora_data!Q350 + aurora_data!Q359,0)</f>
        <v>2</v>
      </c>
      <c r="S26" s="40">
        <f>IFERROR(aurora_data!R350 + aurora_data!R359,0)</f>
        <v>2</v>
      </c>
      <c r="T26" s="40">
        <f>IFERROR(aurora_data!S350 + aurora_data!S359,0)</f>
        <v>2</v>
      </c>
      <c r="U26" s="41">
        <f>IFERROR(aurora_data!T350 + aurora_data!T359,0)</f>
        <v>0</v>
      </c>
      <c r="V26" s="61" t="s">
        <v>354</v>
      </c>
      <c r="W26" s="39">
        <f>IFERROR(aurora_data!U350 + aurora_data!U359,0)</f>
        <v>40</v>
      </c>
      <c r="X26" s="69">
        <f t="shared" ref="X26:X34" si="3">IFERROR(W26/$W$26,0)</f>
        <v>1</v>
      </c>
      <c r="Y26"/>
      <c r="Z26"/>
    </row>
    <row r="27" spans="2:26">
      <c r="B27" s="452"/>
      <c r="C27" s="454"/>
      <c r="D27" s="35" t="s">
        <v>339</v>
      </c>
      <c r="E27" s="113">
        <f>IFERROR(aurora_data!D351 + aurora_data!D360,0)</f>
        <v>2</v>
      </c>
      <c r="F27" s="253">
        <f>IFERROR(aurora_data!E351 + aurora_data!E360,0)</f>
        <v>2</v>
      </c>
      <c r="G27" s="253">
        <f>IFERROR(aurora_data!F351 + aurora_data!F360,0)</f>
        <v>8</v>
      </c>
      <c r="H27" s="253">
        <f>IFERROR(aurora_data!G351 + aurora_data!G360,0)</f>
        <v>13</v>
      </c>
      <c r="I27" s="254">
        <f>IFERROR(aurora_data!H351 + aurora_data!H360,0)</f>
        <v>15</v>
      </c>
      <c r="J27" s="113">
        <f>IFERROR(aurora_data!I351 + aurora_data!I360,0)</f>
        <v>5</v>
      </c>
      <c r="K27" s="253">
        <f>IFERROR(aurora_data!J351 + aurora_data!J360,0)</f>
        <v>3</v>
      </c>
      <c r="L27" s="253">
        <f>IFERROR(aurora_data!K351 + aurora_data!K360,0)</f>
        <v>10</v>
      </c>
      <c r="M27" s="253">
        <f>IFERROR(aurora_data!L351 + aurora_data!L360,0)</f>
        <v>3</v>
      </c>
      <c r="N27" s="254">
        <f>IFERROR(aurora_data!M351 + aurora_data!M360,0)</f>
        <v>19</v>
      </c>
      <c r="O27" s="113">
        <f>IFERROR(aurora_data!N351 + aurora_data!N360,0)</f>
        <v>12</v>
      </c>
      <c r="P27" s="253">
        <f>IFERROR(aurora_data!O351 + aurora_data!O360,0)</f>
        <v>7</v>
      </c>
      <c r="Q27" s="253">
        <f>IFERROR(aurora_data!P351 + aurora_data!P360,0)</f>
        <v>12</v>
      </c>
      <c r="R27" s="254">
        <f>IFERROR(aurora_data!Q351 + aurora_data!Q360,0)</f>
        <v>9</v>
      </c>
      <c r="S27" s="253">
        <f>IFERROR(aurora_data!R351 + aurora_data!R360,0)</f>
        <v>22</v>
      </c>
      <c r="T27" s="253">
        <f>IFERROR(aurora_data!S351 + aurora_data!S360,0)</f>
        <v>18</v>
      </c>
      <c r="U27" s="254">
        <f>IFERROR(aurora_data!T351 + aurora_data!T360,0)</f>
        <v>0</v>
      </c>
      <c r="V27" s="61" t="s">
        <v>354</v>
      </c>
      <c r="W27" s="113">
        <f>IFERROR(aurora_data!U351 + aurora_data!U360,0)</f>
        <v>40</v>
      </c>
      <c r="X27" s="255">
        <f t="shared" si="3"/>
        <v>1</v>
      </c>
      <c r="Y27"/>
      <c r="Z27"/>
    </row>
    <row r="28" spans="2:26">
      <c r="B28" s="452"/>
      <c r="C28" s="454"/>
      <c r="D28" s="35" t="s">
        <v>291</v>
      </c>
      <c r="E28" s="113">
        <f>IFERROR(aurora_data!D352 + aurora_data!D361,0)</f>
        <v>1</v>
      </c>
      <c r="F28" s="253">
        <f>IFERROR(aurora_data!E352 + aurora_data!E361,0)</f>
        <v>0</v>
      </c>
      <c r="G28" s="253">
        <f>IFERROR(aurora_data!F352 + aurora_data!F361,0)</f>
        <v>0</v>
      </c>
      <c r="H28" s="253">
        <f>IFERROR(aurora_data!G352 + aurora_data!G361,0)</f>
        <v>0</v>
      </c>
      <c r="I28" s="254">
        <f>IFERROR(aurora_data!H352 + aurora_data!H361,0)</f>
        <v>2</v>
      </c>
      <c r="J28" s="113">
        <f>IFERROR(aurora_data!I352 + aurora_data!I361,0)</f>
        <v>1</v>
      </c>
      <c r="K28" s="253">
        <f>IFERROR(aurora_data!J352 + aurora_data!J361,0)</f>
        <v>0</v>
      </c>
      <c r="L28" s="253">
        <f>IFERROR(aurora_data!K352 + aurora_data!K361,0)</f>
        <v>0</v>
      </c>
      <c r="M28" s="253">
        <f>IFERROR(aurora_data!L352 + aurora_data!L361,0)</f>
        <v>0</v>
      </c>
      <c r="N28" s="254">
        <f>IFERROR(aurora_data!M352 + aurora_data!M361,0)</f>
        <v>2</v>
      </c>
      <c r="O28" s="113">
        <f>IFERROR(aurora_data!N352 + aurora_data!N361,0)</f>
        <v>0</v>
      </c>
      <c r="P28" s="253">
        <f>IFERROR(aurora_data!O352 + aurora_data!O361,0)</f>
        <v>0</v>
      </c>
      <c r="Q28" s="253">
        <f>IFERROR(aurora_data!P352 + aurora_data!P361,0)</f>
        <v>2</v>
      </c>
      <c r="R28" s="254">
        <f>IFERROR(aurora_data!Q352 + aurora_data!Q361,0)</f>
        <v>1</v>
      </c>
      <c r="S28" s="253">
        <f>IFERROR(aurora_data!R352 + aurora_data!R361,0)</f>
        <v>2</v>
      </c>
      <c r="T28" s="253">
        <f>IFERROR(aurora_data!S352 + aurora_data!S361,0)</f>
        <v>1</v>
      </c>
      <c r="U28" s="254">
        <f>IFERROR(aurora_data!T352 + aurora_data!T361,0)</f>
        <v>0</v>
      </c>
      <c r="V28" s="61" t="s">
        <v>354</v>
      </c>
      <c r="W28" s="113">
        <f>IFERROR(aurora_data!U352 + aurora_data!U361,0)</f>
        <v>3</v>
      </c>
      <c r="X28" s="255">
        <f t="shared" si="3"/>
        <v>7.4999999999999997E-2</v>
      </c>
      <c r="Y28"/>
      <c r="Z28"/>
    </row>
    <row r="29" spans="2:26">
      <c r="B29" s="452"/>
      <c r="C29" s="454"/>
      <c r="D29" s="35" t="s">
        <v>340</v>
      </c>
      <c r="E29" s="113">
        <f>IFERROR(aurora_data!D353 + aurora_data!D362,0)</f>
        <v>0</v>
      </c>
      <c r="F29" s="253">
        <f>IFERROR(aurora_data!E353 + aurora_data!E362,0)</f>
        <v>0</v>
      </c>
      <c r="G29" s="253">
        <f>IFERROR(aurora_data!F353 + aurora_data!F362,0)</f>
        <v>0</v>
      </c>
      <c r="H29" s="253">
        <f>IFERROR(aurora_data!G353 + aurora_data!G362,0)</f>
        <v>0</v>
      </c>
      <c r="I29" s="254">
        <f>IFERROR(aurora_data!H353 + aurora_data!H362,0)</f>
        <v>0</v>
      </c>
      <c r="J29" s="113">
        <f>IFERROR(aurora_data!I353 + aurora_data!I362,0)</f>
        <v>0</v>
      </c>
      <c r="K29" s="253">
        <f>IFERROR(aurora_data!J353 + aurora_data!J362,0)</f>
        <v>0</v>
      </c>
      <c r="L29" s="253">
        <f>IFERROR(aurora_data!K353 + aurora_data!K362,0)</f>
        <v>0</v>
      </c>
      <c r="M29" s="253">
        <f>IFERROR(aurora_data!L353 + aurora_data!L362,0)</f>
        <v>0</v>
      </c>
      <c r="N29" s="254">
        <f>IFERROR(aurora_data!M353 + aurora_data!M362,0)</f>
        <v>0</v>
      </c>
      <c r="O29" s="113">
        <f>IFERROR(aurora_data!N353 + aurora_data!N362,0)</f>
        <v>0</v>
      </c>
      <c r="P29" s="253">
        <f>IFERROR(aurora_data!O353 + aurora_data!O362,0)</f>
        <v>0</v>
      </c>
      <c r="Q29" s="253">
        <f>IFERROR(aurora_data!P353 + aurora_data!P362,0)</f>
        <v>0</v>
      </c>
      <c r="R29" s="254">
        <f>IFERROR(aurora_data!Q353 + aurora_data!Q362,0)</f>
        <v>0</v>
      </c>
      <c r="S29" s="253">
        <f>IFERROR(aurora_data!R353 + aurora_data!R362,0)</f>
        <v>0</v>
      </c>
      <c r="T29" s="253">
        <f>IFERROR(aurora_data!S353 + aurora_data!S362,0)</f>
        <v>0</v>
      </c>
      <c r="U29" s="254">
        <f>IFERROR(aurora_data!T353 + aurora_data!T362,0)</f>
        <v>0</v>
      </c>
      <c r="V29" s="61" t="s">
        <v>354</v>
      </c>
      <c r="W29" s="113">
        <f>IFERROR(aurora_data!U353 + aurora_data!U362,0)</f>
        <v>0</v>
      </c>
      <c r="X29" s="255">
        <f t="shared" si="3"/>
        <v>0</v>
      </c>
      <c r="Y29"/>
      <c r="Z29"/>
    </row>
    <row r="30" spans="2:26">
      <c r="B30" s="452"/>
      <c r="C30" s="454"/>
      <c r="D30" s="35" t="s">
        <v>298</v>
      </c>
      <c r="E30" s="113">
        <f>IFERROR(aurora_data!D354 + aurora_data!D363,0)</f>
        <v>0</v>
      </c>
      <c r="F30" s="253">
        <f>IFERROR(aurora_data!E354 + aurora_data!E363,0)</f>
        <v>0</v>
      </c>
      <c r="G30" s="253">
        <f>IFERROR(aurora_data!F354 + aurora_data!F363,0)</f>
        <v>0</v>
      </c>
      <c r="H30" s="253">
        <f>IFERROR(aurora_data!G354 + aurora_data!G363,0)</f>
        <v>0</v>
      </c>
      <c r="I30" s="254">
        <f>IFERROR(aurora_data!H354 + aurora_data!H363,0)</f>
        <v>0</v>
      </c>
      <c r="J30" s="113">
        <f>IFERROR(aurora_data!I354 + aurora_data!I363,0)</f>
        <v>0</v>
      </c>
      <c r="K30" s="253">
        <f>IFERROR(aurora_data!J354 + aurora_data!J363,0)</f>
        <v>0</v>
      </c>
      <c r="L30" s="253">
        <f>IFERROR(aurora_data!K354 + aurora_data!K363,0)</f>
        <v>0</v>
      </c>
      <c r="M30" s="253">
        <f>IFERROR(aurora_data!L354 + aurora_data!L363,0)</f>
        <v>0</v>
      </c>
      <c r="N30" s="254">
        <f>IFERROR(aurora_data!M354 + aurora_data!M363,0)</f>
        <v>0</v>
      </c>
      <c r="O30" s="113">
        <f>IFERROR(aurora_data!N354 + aurora_data!N363,0)</f>
        <v>0</v>
      </c>
      <c r="P30" s="253">
        <f>IFERROR(aurora_data!O354 + aurora_data!O363,0)</f>
        <v>0</v>
      </c>
      <c r="Q30" s="253">
        <f>IFERROR(aurora_data!P354 + aurora_data!P363,0)</f>
        <v>0</v>
      </c>
      <c r="R30" s="254">
        <f>IFERROR(aurora_data!Q354 + aurora_data!Q363,0)</f>
        <v>0</v>
      </c>
      <c r="S30" s="253">
        <f>IFERROR(aurora_data!R354 + aurora_data!R363,0)</f>
        <v>0</v>
      </c>
      <c r="T30" s="253">
        <f>IFERROR(aurora_data!S354 + aurora_data!S363,0)</f>
        <v>0</v>
      </c>
      <c r="U30" s="254">
        <f>IFERROR(aurora_data!T354 + aurora_data!T363,0)</f>
        <v>0</v>
      </c>
      <c r="V30" s="61" t="s">
        <v>354</v>
      </c>
      <c r="W30" s="113">
        <f>IFERROR(aurora_data!U354 + aurora_data!U363,0)</f>
        <v>0</v>
      </c>
      <c r="X30" s="255">
        <f t="shared" si="3"/>
        <v>0</v>
      </c>
      <c r="Y30"/>
      <c r="Z30"/>
    </row>
    <row r="31" spans="2:26">
      <c r="B31" s="452"/>
      <c r="C31" s="454"/>
      <c r="D31" s="35" t="s">
        <v>341</v>
      </c>
      <c r="E31" s="113">
        <f>IFERROR(aurora_data!D355 + aurora_data!D364,0)</f>
        <v>0</v>
      </c>
      <c r="F31" s="253">
        <f>IFERROR(aurora_data!E355 + aurora_data!E364,0)</f>
        <v>0</v>
      </c>
      <c r="G31" s="253">
        <f>IFERROR(aurora_data!F355 + aurora_data!F364,0)</f>
        <v>0</v>
      </c>
      <c r="H31" s="253">
        <f>IFERROR(aurora_data!G355 + aurora_data!G364,0)</f>
        <v>0</v>
      </c>
      <c r="I31" s="254">
        <f>IFERROR(aurora_data!H355 + aurora_data!H364,0)</f>
        <v>0</v>
      </c>
      <c r="J31" s="113">
        <f>IFERROR(aurora_data!I355 + aurora_data!I364,0)</f>
        <v>0</v>
      </c>
      <c r="K31" s="253">
        <f>IFERROR(aurora_data!J355 + aurora_data!J364,0)</f>
        <v>0</v>
      </c>
      <c r="L31" s="253">
        <f>IFERROR(aurora_data!K355 + aurora_data!K364,0)</f>
        <v>0</v>
      </c>
      <c r="M31" s="253">
        <f>IFERROR(aurora_data!L355 + aurora_data!L364,0)</f>
        <v>0</v>
      </c>
      <c r="N31" s="254">
        <f>IFERROR(aurora_data!M355 + aurora_data!M364,0)</f>
        <v>0</v>
      </c>
      <c r="O31" s="113">
        <f>IFERROR(aurora_data!N355 + aurora_data!N364,0)</f>
        <v>0</v>
      </c>
      <c r="P31" s="253">
        <f>IFERROR(aurora_data!O355 + aurora_data!O364,0)</f>
        <v>0</v>
      </c>
      <c r="Q31" s="253">
        <f>IFERROR(aurora_data!P355 + aurora_data!P364,0)</f>
        <v>0</v>
      </c>
      <c r="R31" s="254">
        <f>IFERROR(aurora_data!Q355 + aurora_data!Q364,0)</f>
        <v>0</v>
      </c>
      <c r="S31" s="253">
        <f>IFERROR(aurora_data!R355 + aurora_data!R364,0)</f>
        <v>0</v>
      </c>
      <c r="T31" s="253">
        <f>IFERROR(aurora_data!S355 + aurora_data!S364,0)</f>
        <v>0</v>
      </c>
      <c r="U31" s="254">
        <f>IFERROR(aurora_data!T355 + aurora_data!T364,0)</f>
        <v>0</v>
      </c>
      <c r="V31" s="61" t="s">
        <v>354</v>
      </c>
      <c r="W31" s="113">
        <f>IFERROR(aurora_data!U355 + aurora_data!U364,0)</f>
        <v>0</v>
      </c>
      <c r="X31" s="255">
        <f t="shared" si="3"/>
        <v>0</v>
      </c>
      <c r="Y31"/>
      <c r="Z31"/>
    </row>
    <row r="32" spans="2:26" ht="16.5" thickBot="1">
      <c r="B32" s="452"/>
      <c r="C32" s="454"/>
      <c r="D32" s="35" t="s">
        <v>342</v>
      </c>
      <c r="E32" s="113">
        <f>IFERROR(aurora_data!D356 + aurora_data!D365,0)</f>
        <v>0</v>
      </c>
      <c r="F32" s="253">
        <f>IFERROR(aurora_data!E356 + aurora_data!E365,0)</f>
        <v>0</v>
      </c>
      <c r="G32" s="253">
        <f>IFERROR(aurora_data!F356 + aurora_data!F365,0)</f>
        <v>0</v>
      </c>
      <c r="H32" s="253">
        <f>IFERROR(aurora_data!G356 + aurora_data!G365,0)</f>
        <v>0</v>
      </c>
      <c r="I32" s="254">
        <f>IFERROR(aurora_data!H356 + aurora_data!H365,0)</f>
        <v>0</v>
      </c>
      <c r="J32" s="113">
        <f>IFERROR(aurora_data!I356 + aurora_data!I365,0)</f>
        <v>0</v>
      </c>
      <c r="K32" s="253">
        <f>IFERROR(aurora_data!J356 + aurora_data!J365,0)</f>
        <v>0</v>
      </c>
      <c r="L32" s="253">
        <f>IFERROR(aurora_data!K356 + aurora_data!K365,0)</f>
        <v>0</v>
      </c>
      <c r="M32" s="253">
        <f>IFERROR(aurora_data!L356 + aurora_data!L365,0)</f>
        <v>0</v>
      </c>
      <c r="N32" s="254">
        <f>IFERROR(aurora_data!M356 + aurora_data!M365,0)</f>
        <v>0</v>
      </c>
      <c r="O32" s="113">
        <f>IFERROR(aurora_data!N356 + aurora_data!N365,0)</f>
        <v>0</v>
      </c>
      <c r="P32" s="253">
        <f>IFERROR(aurora_data!O356 + aurora_data!O365,0)</f>
        <v>0</v>
      </c>
      <c r="Q32" s="253">
        <f>IFERROR(aurora_data!P356 + aurora_data!P365,0)</f>
        <v>0</v>
      </c>
      <c r="R32" s="254">
        <f>IFERROR(aurora_data!Q356 + aurora_data!Q365,0)</f>
        <v>0</v>
      </c>
      <c r="S32" s="253">
        <f>IFERROR(aurora_data!R356 + aurora_data!R365,0)</f>
        <v>0</v>
      </c>
      <c r="T32" s="253">
        <f>IFERROR(aurora_data!S356 + aurora_data!S365,0)</f>
        <v>0</v>
      </c>
      <c r="U32" s="254">
        <f>IFERROR(aurora_data!T356 + aurora_data!T365,0)</f>
        <v>0</v>
      </c>
      <c r="V32" s="61" t="s">
        <v>354</v>
      </c>
      <c r="W32" s="256">
        <f>IFERROR(aurora_data!U356 + aurora_data!U365,0)</f>
        <v>0</v>
      </c>
      <c r="X32" s="290">
        <f t="shared" si="3"/>
        <v>0</v>
      </c>
      <c r="Y32"/>
      <c r="Z32"/>
    </row>
    <row r="33" spans="2:26" ht="16.5" thickBot="1">
      <c r="B33" s="452"/>
      <c r="C33" s="454"/>
      <c r="D33" s="37" t="s">
        <v>17</v>
      </c>
      <c r="E33" s="59">
        <f>IFERROR(aurora_data!D357 + aurora_data!D366,0)</f>
        <v>3</v>
      </c>
      <c r="F33" s="64">
        <f>IFERROR(aurora_data!E357 + aurora_data!E366,0)</f>
        <v>2</v>
      </c>
      <c r="G33" s="64">
        <f>IFERROR(aurora_data!F357 + aurora_data!F366,0)</f>
        <v>8</v>
      </c>
      <c r="H33" s="64">
        <f>IFERROR(aurora_data!G357 + aurora_data!G366,0)</f>
        <v>13</v>
      </c>
      <c r="I33" s="65">
        <f>IFERROR(aurora_data!H357 + aurora_data!H366,0)</f>
        <v>17</v>
      </c>
      <c r="J33" s="59">
        <f>IFERROR(aurora_data!I357 + aurora_data!I366,0)</f>
        <v>6</v>
      </c>
      <c r="K33" s="64">
        <f>IFERROR(aurora_data!J357 + aurora_data!J366,0)</f>
        <v>3</v>
      </c>
      <c r="L33" s="64">
        <f>IFERROR(aurora_data!K357 + aurora_data!K366,0)</f>
        <v>10</v>
      </c>
      <c r="M33" s="64">
        <f>IFERROR(aurora_data!L357 + aurora_data!L366,0)</f>
        <v>3</v>
      </c>
      <c r="N33" s="65">
        <f>IFERROR(aurora_data!M357 + aurora_data!M366,0)</f>
        <v>21</v>
      </c>
      <c r="O33" s="59">
        <f>IFERROR(aurora_data!N357 + aurora_data!N366,0)</f>
        <v>12</v>
      </c>
      <c r="P33" s="64">
        <f>IFERROR(aurora_data!O357 + aurora_data!O366,0)</f>
        <v>7</v>
      </c>
      <c r="Q33" s="64">
        <f>IFERROR(aurora_data!P357 + aurora_data!P366,0)</f>
        <v>14</v>
      </c>
      <c r="R33" s="65">
        <f>IFERROR(aurora_data!Q357 + aurora_data!Q366,0)</f>
        <v>10</v>
      </c>
      <c r="S33" s="64">
        <f>IFERROR(aurora_data!R357 + aurora_data!R366,0)</f>
        <v>24</v>
      </c>
      <c r="T33" s="64">
        <f>IFERROR(aurora_data!S357 + aurora_data!S366,0)</f>
        <v>19</v>
      </c>
      <c r="U33" s="65">
        <f>IFERROR(aurora_data!T357 + aurora_data!T366,0)</f>
        <v>0</v>
      </c>
      <c r="V33" s="66" t="s">
        <v>354</v>
      </c>
      <c r="W33" s="59">
        <f>IFERROR(aurora_data!U357 + aurora_data!U366,0)</f>
        <v>43</v>
      </c>
      <c r="X33" s="70">
        <f t="shared" si="3"/>
        <v>1.075</v>
      </c>
      <c r="Y33"/>
      <c r="Z33"/>
    </row>
    <row r="34" spans="2:26" ht="16.5" thickBot="1">
      <c r="B34" s="452"/>
      <c r="C34" s="454"/>
      <c r="D34" s="38" t="s">
        <v>343</v>
      </c>
      <c r="E34" s="256">
        <f>IFERROR(aurora_data!D358 + aurora_data!D367,0)</f>
        <v>0</v>
      </c>
      <c r="F34" s="257">
        <f>IFERROR(aurora_data!E358 + aurora_data!E367,0)</f>
        <v>0</v>
      </c>
      <c r="G34" s="257">
        <f>IFERROR(aurora_data!F358 + aurora_data!F367,0)</f>
        <v>0</v>
      </c>
      <c r="H34" s="257">
        <f>IFERROR(aurora_data!G358 + aurora_data!G367,0)</f>
        <v>0</v>
      </c>
      <c r="I34" s="258">
        <f>IFERROR(aurora_data!H358 + aurora_data!H367,0)</f>
        <v>0</v>
      </c>
      <c r="J34" s="256">
        <f>IFERROR(aurora_data!I358 + aurora_data!I367,0)</f>
        <v>0</v>
      </c>
      <c r="K34" s="257">
        <f>IFERROR(aurora_data!J358 + aurora_data!J367,0)</f>
        <v>0</v>
      </c>
      <c r="L34" s="257">
        <f>IFERROR(aurora_data!K358 + aurora_data!K367,0)</f>
        <v>0</v>
      </c>
      <c r="M34" s="257">
        <f>IFERROR(aurora_data!L358 + aurora_data!L367,0)</f>
        <v>0</v>
      </c>
      <c r="N34" s="258">
        <f>IFERROR(aurora_data!M358 + aurora_data!M367,0)</f>
        <v>0</v>
      </c>
      <c r="O34" s="256">
        <f>IFERROR(aurora_data!N358 + aurora_data!N367,0)</f>
        <v>0</v>
      </c>
      <c r="P34" s="257">
        <f>IFERROR(aurora_data!O358 + aurora_data!O367,0)</f>
        <v>0</v>
      </c>
      <c r="Q34" s="257">
        <f>IFERROR(aurora_data!P358 + aurora_data!P367,0)</f>
        <v>0</v>
      </c>
      <c r="R34" s="258">
        <f>IFERROR(aurora_data!Q358 + aurora_data!Q367,0)</f>
        <v>0</v>
      </c>
      <c r="S34" s="257">
        <f>IFERROR(aurora_data!R358 + aurora_data!R367,0)</f>
        <v>0</v>
      </c>
      <c r="T34" s="257">
        <f>IFERROR(aurora_data!S358 + aurora_data!S367,0)</f>
        <v>0</v>
      </c>
      <c r="U34" s="259">
        <f>IFERROR(aurora_data!T358 + aurora_data!T367,0)</f>
        <v>0</v>
      </c>
      <c r="V34" s="260" t="s">
        <v>354</v>
      </c>
      <c r="W34" s="256">
        <f>IFERROR(aurora_data!U358 + aurora_data!U367,0)</f>
        <v>0</v>
      </c>
      <c r="X34" s="261">
        <f t="shared" si="3"/>
        <v>0</v>
      </c>
      <c r="Y34"/>
      <c r="Z34"/>
    </row>
    <row r="35" spans="2:26" outlineLevel="1">
      <c r="B35" s="452"/>
      <c r="C35" s="454"/>
      <c r="D35" s="199" t="s">
        <v>344</v>
      </c>
      <c r="E35" s="271">
        <f>ROUNDDOWN((E37+$E$9)*($W26),0)</f>
        <v>2</v>
      </c>
      <c r="F35" s="272">
        <f>ROUNDDOWN((F37+$E$9)*($W26),0)</f>
        <v>3</v>
      </c>
      <c r="G35" s="272">
        <f>ROUNDDOWN((G37+$E$9)*($W26),0)</f>
        <v>9</v>
      </c>
      <c r="H35" s="272">
        <f>ROUNDDOWN((H37+$E$9)*($W26),0)</f>
        <v>14</v>
      </c>
      <c r="I35" s="272">
        <f>ROUNDDOWN((I37+$E$9)*($W26),0)</f>
        <v>17</v>
      </c>
      <c r="J35" s="271"/>
      <c r="K35" s="272"/>
      <c r="L35" s="272"/>
      <c r="M35" s="272"/>
      <c r="N35" s="268"/>
      <c r="O35" s="271"/>
      <c r="P35" s="272"/>
      <c r="Q35" s="272"/>
      <c r="R35" s="268"/>
      <c r="S35" s="265"/>
      <c r="T35" s="272"/>
      <c r="U35" s="282"/>
      <c r="V35" s="61"/>
      <c r="W35" s="291"/>
      <c r="X35" s="286"/>
      <c r="Y35"/>
      <c r="Z35"/>
    </row>
    <row r="36" spans="2:26" outlineLevel="1">
      <c r="B36" s="452"/>
      <c r="C36" s="454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0.8400000000000003</v>
      </c>
      <c r="G36" s="277">
        <f>IF(ROUND(((G37-$E$9)*($W26))+0.25,0) &lt;=0,1,((G37-$E$9)*($W26))+0.25)</f>
        <v>6.6400000000000006</v>
      </c>
      <c r="H36" s="277">
        <f>IF(ROUND(((H37-$E$9)*($W26))+0.25,0) &lt;=0,1,((H37-$E$9)*($W26))+0.25)</f>
        <v>11.5</v>
      </c>
      <c r="I36" s="277">
        <f>IF(ROUND(((I37-$E$9)*($W26))+0.25,0) &lt;=0,1,((I37-$E$9)*($W26))+0.25)</f>
        <v>14.520000000000003</v>
      </c>
      <c r="J36" s="276"/>
      <c r="K36" s="277"/>
      <c r="L36" s="277"/>
      <c r="M36" s="277"/>
      <c r="N36" s="278"/>
      <c r="O36" s="276"/>
      <c r="P36" s="277"/>
      <c r="Q36" s="277"/>
      <c r="R36" s="278"/>
      <c r="S36" s="276"/>
      <c r="T36" s="277"/>
      <c r="U36" s="287"/>
      <c r="V36" s="61"/>
      <c r="W36" s="285"/>
      <c r="X36" s="287"/>
      <c r="Y36"/>
      <c r="Z36"/>
    </row>
    <row r="37" spans="2:26" outlineLevel="1">
      <c r="B37" s="452"/>
      <c r="C37" s="454"/>
      <c r="D37" s="95" t="s">
        <v>346</v>
      </c>
      <c r="E37" s="414">
        <f>IFERROR(E26/$W26,0)</f>
        <v>2.7500000000000004E-2</v>
      </c>
      <c r="F37" s="415">
        <f t="shared" ref="F37:I37" si="4">IFERROR(F26/$W26,0)</f>
        <v>5.4750000000000007E-2</v>
      </c>
      <c r="G37" s="415">
        <f t="shared" si="4"/>
        <v>0.19975000000000001</v>
      </c>
      <c r="H37" s="415">
        <f t="shared" si="4"/>
        <v>0.32124999999999998</v>
      </c>
      <c r="I37" s="415">
        <f t="shared" si="4"/>
        <v>0.39675000000000005</v>
      </c>
      <c r="J37" s="414"/>
      <c r="K37" s="415"/>
      <c r="L37" s="415"/>
      <c r="M37" s="415"/>
      <c r="N37" s="416"/>
      <c r="O37" s="414"/>
      <c r="P37" s="415"/>
      <c r="Q37" s="415"/>
      <c r="R37" s="416"/>
      <c r="S37" s="414"/>
      <c r="T37" s="415"/>
      <c r="U37" s="254"/>
      <c r="V37" s="61"/>
      <c r="W37" s="113"/>
      <c r="X37" s="431"/>
      <c r="Y37"/>
      <c r="Z37"/>
    </row>
    <row r="38" spans="2:26" outlineLevel="1">
      <c r="B38" s="452"/>
      <c r="C38" s="454"/>
      <c r="D38" s="180" t="s">
        <v>347</v>
      </c>
      <c r="E38" s="414">
        <f>IFERROR(E27/$W26,0)</f>
        <v>0.05</v>
      </c>
      <c r="F38" s="415">
        <f t="shared" ref="F38:I38" si="5">IFERROR(F27/$W26,0)</f>
        <v>0.05</v>
      </c>
      <c r="G38" s="415">
        <f t="shared" si="5"/>
        <v>0.2</v>
      </c>
      <c r="H38" s="415">
        <f t="shared" si="5"/>
        <v>0.32500000000000001</v>
      </c>
      <c r="I38" s="415">
        <f t="shared" si="5"/>
        <v>0.375</v>
      </c>
      <c r="J38" s="414"/>
      <c r="K38" s="415"/>
      <c r="L38" s="415"/>
      <c r="M38" s="415"/>
      <c r="N38" s="416"/>
      <c r="O38" s="414"/>
      <c r="P38" s="415"/>
      <c r="Q38" s="415"/>
      <c r="R38" s="416"/>
      <c r="S38" s="414"/>
      <c r="T38" s="415"/>
      <c r="U38" s="254"/>
      <c r="V38" s="61"/>
      <c r="W38" s="113"/>
      <c r="X38" s="431"/>
      <c r="Y38"/>
      <c r="Z38"/>
    </row>
    <row r="39" spans="2:26" ht="16.5" outlineLevel="1" thickBot="1">
      <c r="B39" s="456"/>
      <c r="C39" s="455"/>
      <c r="D39" s="180" t="s">
        <v>348</v>
      </c>
      <c r="E39" s="414">
        <f>E38-E37</f>
        <v>2.2499999999999999E-2</v>
      </c>
      <c r="F39" s="415">
        <f>F38-F37</f>
        <v>-4.7500000000000042E-3</v>
      </c>
      <c r="G39" s="415">
        <f>G38-G37</f>
        <v>2.5000000000000022E-4</v>
      </c>
      <c r="H39" s="415">
        <f>H38-H37</f>
        <v>3.7500000000000311E-3</v>
      </c>
      <c r="I39" s="415">
        <f>I38-I37</f>
        <v>-2.1750000000000047E-2</v>
      </c>
      <c r="J39" s="414"/>
      <c r="K39" s="415"/>
      <c r="L39" s="415"/>
      <c r="M39" s="415"/>
      <c r="N39" s="416"/>
      <c r="O39" s="414"/>
      <c r="P39" s="415"/>
      <c r="Q39" s="415"/>
      <c r="R39" s="416"/>
      <c r="S39" s="432"/>
      <c r="T39" s="415"/>
      <c r="U39" s="254"/>
      <c r="V39" s="61"/>
      <c r="W39" s="113"/>
      <c r="X39" s="431"/>
      <c r="Y39"/>
      <c r="Z39"/>
    </row>
    <row r="40" spans="2:26">
      <c r="B40" s="451" t="s">
        <v>338</v>
      </c>
      <c r="C40" s="453" t="s">
        <v>365</v>
      </c>
      <c r="D40" s="34" t="s">
        <v>306</v>
      </c>
      <c r="E40" s="39">
        <f>IFERROR(aurora_data!D368 + aurora_data!D377,0)</f>
        <v>1.29</v>
      </c>
      <c r="F40" s="40">
        <f>IFERROR(aurora_data!E368 + aurora_data!E377,0)</f>
        <v>2.3199999999999998</v>
      </c>
      <c r="G40" s="40">
        <f>IFERROR(aurora_data!F368 + aurora_data!F377,0)</f>
        <v>7.99</v>
      </c>
      <c r="H40" s="40">
        <f>IFERROR(aurora_data!G368 + aurora_data!G377,0)</f>
        <v>12.78</v>
      </c>
      <c r="I40" s="41">
        <f>IFERROR(aurora_data!H368 + aurora_data!H377,0)</f>
        <v>15.629999999999999</v>
      </c>
      <c r="J40" s="39">
        <f>IFERROR(aurora_data!I368 + aurora_data!I377,0)</f>
        <v>2</v>
      </c>
      <c r="K40" s="40">
        <f>IFERROR(aurora_data!J368 + aurora_data!J377,0)</f>
        <v>2</v>
      </c>
      <c r="L40" s="40">
        <f>IFERROR(aurora_data!K368 + aurora_data!K377,0)</f>
        <v>2</v>
      </c>
      <c r="M40" s="40">
        <f>IFERROR(aurora_data!L368 + aurora_data!L377,0)</f>
        <v>2</v>
      </c>
      <c r="N40" s="41">
        <f>IFERROR(aurora_data!M368 + aurora_data!M377,0)</f>
        <v>2</v>
      </c>
      <c r="O40" s="39">
        <f>IFERROR(aurora_data!N368 + aurora_data!N377,0)</f>
        <v>2</v>
      </c>
      <c r="P40" s="40">
        <f>IFERROR(aurora_data!O368 + aurora_data!O377,0)</f>
        <v>2</v>
      </c>
      <c r="Q40" s="40">
        <f>IFERROR(aurora_data!P368 + aurora_data!P377,0)</f>
        <v>2</v>
      </c>
      <c r="R40" s="41">
        <f>IFERROR(aurora_data!Q368 + aurora_data!Q377,0)</f>
        <v>2</v>
      </c>
      <c r="S40" s="40">
        <f>IFERROR(aurora_data!R368 + aurora_data!R377,0)</f>
        <v>2</v>
      </c>
      <c r="T40" s="40">
        <f>IFERROR(aurora_data!S368 + aurora_data!S377,0)</f>
        <v>2</v>
      </c>
      <c r="U40" s="41">
        <f>IFERROR(aurora_data!T368 + aurora_data!T377,0)</f>
        <v>0</v>
      </c>
      <c r="V40" s="61"/>
      <c r="W40" s="39">
        <f>IFERROR(aurora_data!U368 + aurora_data!U377,0)</f>
        <v>40</v>
      </c>
      <c r="X40" s="69">
        <f t="shared" ref="X40:X48" si="6">IFERROR(W40/$W$40,0)</f>
        <v>1</v>
      </c>
      <c r="Y40"/>
      <c r="Z40"/>
    </row>
    <row r="41" spans="2:26">
      <c r="B41" s="452"/>
      <c r="C41" s="454"/>
      <c r="D41" s="35" t="s">
        <v>339</v>
      </c>
      <c r="E41" s="113">
        <f>IFERROR(aurora_data!D369 + aurora_data!D378,0)</f>
        <v>1</v>
      </c>
      <c r="F41" s="253">
        <f>IFERROR(aurora_data!E369 + aurora_data!E378,0)</f>
        <v>3</v>
      </c>
      <c r="G41" s="253">
        <f>IFERROR(aurora_data!F369 + aurora_data!F378,0)</f>
        <v>8</v>
      </c>
      <c r="H41" s="253">
        <f>IFERROR(aurora_data!G369 + aurora_data!G378,0)</f>
        <v>14</v>
      </c>
      <c r="I41" s="254">
        <f>IFERROR(aurora_data!H369 + aurora_data!H378,0)</f>
        <v>14</v>
      </c>
      <c r="J41" s="113">
        <f>IFERROR(aurora_data!I369 + aurora_data!I378,0)</f>
        <v>3</v>
      </c>
      <c r="K41" s="253">
        <f>IFERROR(aurora_data!J369 + aurora_data!J378,0)</f>
        <v>7</v>
      </c>
      <c r="L41" s="253">
        <f>IFERROR(aurora_data!K369 + aurora_data!K378,0)</f>
        <v>8</v>
      </c>
      <c r="M41" s="253">
        <f>IFERROR(aurora_data!L369 + aurora_data!L378,0)</f>
        <v>3</v>
      </c>
      <c r="N41" s="254">
        <f>IFERROR(aurora_data!M369 + aurora_data!M378,0)</f>
        <v>19</v>
      </c>
      <c r="O41" s="113">
        <f>IFERROR(aurora_data!N369 + aurora_data!N378,0)</f>
        <v>14</v>
      </c>
      <c r="P41" s="253">
        <f>IFERROR(aurora_data!O369 + aurora_data!O378,0)</f>
        <v>5</v>
      </c>
      <c r="Q41" s="253">
        <f>IFERROR(aurora_data!P369 + aurora_data!P378,0)</f>
        <v>11</v>
      </c>
      <c r="R41" s="254">
        <f>IFERROR(aurora_data!Q369 + aurora_data!Q378,0)</f>
        <v>10</v>
      </c>
      <c r="S41" s="253">
        <f>IFERROR(aurora_data!R369 + aurora_data!R378,0)</f>
        <v>22</v>
      </c>
      <c r="T41" s="253">
        <f>IFERROR(aurora_data!S369 + aurora_data!S378,0)</f>
        <v>18</v>
      </c>
      <c r="U41" s="254">
        <f>IFERROR(aurora_data!T369 + aurora_data!T378,0)</f>
        <v>0</v>
      </c>
      <c r="V41" s="61"/>
      <c r="W41" s="113">
        <f>IFERROR(aurora_data!U369 + aurora_data!U378,0)</f>
        <v>40</v>
      </c>
      <c r="X41" s="255">
        <f t="shared" si="6"/>
        <v>1</v>
      </c>
      <c r="Y41"/>
      <c r="Z41"/>
    </row>
    <row r="42" spans="2:26">
      <c r="B42" s="452"/>
      <c r="C42" s="454"/>
      <c r="D42" s="35" t="s">
        <v>291</v>
      </c>
      <c r="E42" s="113">
        <f>IFERROR(aurora_data!D370 + aurora_data!D379,0)</f>
        <v>0</v>
      </c>
      <c r="F42" s="253">
        <f>IFERROR(aurora_data!E370 + aurora_data!E379,0)</f>
        <v>0</v>
      </c>
      <c r="G42" s="253">
        <f>IFERROR(aurora_data!F370 + aurora_data!F379,0)</f>
        <v>0</v>
      </c>
      <c r="H42" s="253">
        <f>IFERROR(aurora_data!G370 + aurora_data!G379,0)</f>
        <v>5</v>
      </c>
      <c r="I42" s="254">
        <f>IFERROR(aurora_data!H370 + aurora_data!H379,0)</f>
        <v>0</v>
      </c>
      <c r="J42" s="113">
        <f>IFERROR(aurora_data!I370 + aurora_data!I379,0)</f>
        <v>0</v>
      </c>
      <c r="K42" s="253">
        <f>IFERROR(aurora_data!J370 + aurora_data!J379,0)</f>
        <v>0</v>
      </c>
      <c r="L42" s="253">
        <f>IFERROR(aurora_data!K370 + aurora_data!K379,0)</f>
        <v>4</v>
      </c>
      <c r="M42" s="253">
        <f>IFERROR(aurora_data!L370 + aurora_data!L379,0)</f>
        <v>0</v>
      </c>
      <c r="N42" s="254">
        <f>IFERROR(aurora_data!M370 + aurora_data!M379,0)</f>
        <v>1</v>
      </c>
      <c r="O42" s="113">
        <f>IFERROR(aurora_data!N370 + aurora_data!N379,0)</f>
        <v>1</v>
      </c>
      <c r="P42" s="253">
        <f>IFERROR(aurora_data!O370 + aurora_data!O379,0)</f>
        <v>0</v>
      </c>
      <c r="Q42" s="253">
        <f>IFERROR(aurora_data!P370 + aurora_data!P379,0)</f>
        <v>4</v>
      </c>
      <c r="R42" s="254">
        <f>IFERROR(aurora_data!Q370 + aurora_data!Q379,0)</f>
        <v>0</v>
      </c>
      <c r="S42" s="253">
        <f>IFERROR(aurora_data!R370 + aurora_data!R379,0)</f>
        <v>2</v>
      </c>
      <c r="T42" s="253">
        <f>IFERROR(aurora_data!S370 + aurora_data!S379,0)</f>
        <v>3</v>
      </c>
      <c r="U42" s="254">
        <f>IFERROR(aurora_data!T370 + aurora_data!T379,0)</f>
        <v>0</v>
      </c>
      <c r="V42" s="61"/>
      <c r="W42" s="113">
        <f>IFERROR(aurora_data!U370 + aurora_data!U379,0)</f>
        <v>5</v>
      </c>
      <c r="X42" s="255">
        <f t="shared" si="6"/>
        <v>0.125</v>
      </c>
      <c r="Y42"/>
      <c r="Z42"/>
    </row>
    <row r="43" spans="2:26">
      <c r="B43" s="452"/>
      <c r="C43" s="454"/>
      <c r="D43" s="35" t="s">
        <v>340</v>
      </c>
      <c r="E43" s="113">
        <f>IFERROR(aurora_data!D371 + aurora_data!D380,0)</f>
        <v>0</v>
      </c>
      <c r="F43" s="253">
        <f>IFERROR(aurora_data!E371 + aurora_data!E380,0)</f>
        <v>0</v>
      </c>
      <c r="G43" s="253">
        <f>IFERROR(aurora_data!F371 + aurora_data!F380,0)</f>
        <v>0</v>
      </c>
      <c r="H43" s="253">
        <f>IFERROR(aurora_data!G371 + aurora_data!G380,0)</f>
        <v>0</v>
      </c>
      <c r="I43" s="254">
        <f>IFERROR(aurora_data!H371 + aurora_data!H380,0)</f>
        <v>0</v>
      </c>
      <c r="J43" s="113">
        <f>IFERROR(aurora_data!I371 + aurora_data!I380,0)</f>
        <v>0</v>
      </c>
      <c r="K43" s="253">
        <f>IFERROR(aurora_data!J371 + aurora_data!J380,0)</f>
        <v>0</v>
      </c>
      <c r="L43" s="253">
        <f>IFERROR(aurora_data!K371 + aurora_data!K380,0)</f>
        <v>0</v>
      </c>
      <c r="M43" s="253">
        <f>IFERROR(aurora_data!L371 + aurora_data!L380,0)</f>
        <v>0</v>
      </c>
      <c r="N43" s="254">
        <f>IFERROR(aurora_data!M371 + aurora_data!M380,0)</f>
        <v>0</v>
      </c>
      <c r="O43" s="113">
        <f>IFERROR(aurora_data!N371 + aurora_data!N380,0)</f>
        <v>0</v>
      </c>
      <c r="P43" s="253">
        <f>IFERROR(aurora_data!O371 + aurora_data!O380,0)</f>
        <v>0</v>
      </c>
      <c r="Q43" s="253">
        <f>IFERROR(aurora_data!P371 + aurora_data!P380,0)</f>
        <v>0</v>
      </c>
      <c r="R43" s="254">
        <f>IFERROR(aurora_data!Q371 + aurora_data!Q380,0)</f>
        <v>0</v>
      </c>
      <c r="S43" s="253">
        <f>IFERROR(aurora_data!R371 + aurora_data!R380,0)</f>
        <v>0</v>
      </c>
      <c r="T43" s="253">
        <f>IFERROR(aurora_data!S371 + aurora_data!S380,0)</f>
        <v>0</v>
      </c>
      <c r="U43" s="254">
        <f>IFERROR(aurora_data!T371 + aurora_data!T380,0)</f>
        <v>0</v>
      </c>
      <c r="V43" s="61"/>
      <c r="W43" s="113">
        <f>IFERROR(aurora_data!U371 + aurora_data!U380,0)</f>
        <v>0</v>
      </c>
      <c r="X43" s="255">
        <f t="shared" si="6"/>
        <v>0</v>
      </c>
      <c r="Y43"/>
      <c r="Z43"/>
    </row>
    <row r="44" spans="2:26">
      <c r="B44" s="452"/>
      <c r="C44" s="454"/>
      <c r="D44" s="35" t="s">
        <v>298</v>
      </c>
      <c r="E44" s="113">
        <f>IFERROR(aurora_data!D372 + aurora_data!D381,0)</f>
        <v>0</v>
      </c>
      <c r="F44" s="253">
        <f>IFERROR(aurora_data!E372 + aurora_data!E381,0)</f>
        <v>0</v>
      </c>
      <c r="G44" s="253">
        <f>IFERROR(aurora_data!F372 + aurora_data!F381,0)</f>
        <v>0</v>
      </c>
      <c r="H44" s="253">
        <f>IFERROR(aurora_data!G372 + aurora_data!G381,0)</f>
        <v>0</v>
      </c>
      <c r="I44" s="254">
        <f>IFERROR(aurora_data!H372 + aurora_data!H381,0)</f>
        <v>0</v>
      </c>
      <c r="J44" s="113">
        <f>IFERROR(aurora_data!I372 + aurora_data!I381,0)</f>
        <v>0</v>
      </c>
      <c r="K44" s="253">
        <f>IFERROR(aurora_data!J372 + aurora_data!J381,0)</f>
        <v>0</v>
      </c>
      <c r="L44" s="253">
        <f>IFERROR(aurora_data!K372 + aurora_data!K381,0)</f>
        <v>0</v>
      </c>
      <c r="M44" s="253">
        <f>IFERROR(aurora_data!L372 + aurora_data!L381,0)</f>
        <v>0</v>
      </c>
      <c r="N44" s="254">
        <f>IFERROR(aurora_data!M372 + aurora_data!M381,0)</f>
        <v>0</v>
      </c>
      <c r="O44" s="113">
        <f>IFERROR(aurora_data!N372 + aurora_data!N381,0)</f>
        <v>0</v>
      </c>
      <c r="P44" s="253">
        <f>IFERROR(aurora_data!O372 + aurora_data!O381,0)</f>
        <v>0</v>
      </c>
      <c r="Q44" s="253">
        <f>IFERROR(aurora_data!P372 + aurora_data!P381,0)</f>
        <v>0</v>
      </c>
      <c r="R44" s="254">
        <f>IFERROR(aurora_data!Q372 + aurora_data!Q381,0)</f>
        <v>0</v>
      </c>
      <c r="S44" s="253">
        <f>IFERROR(aurora_data!R372 + aurora_data!R381,0)</f>
        <v>0</v>
      </c>
      <c r="T44" s="253">
        <f>IFERROR(aurora_data!S372 + aurora_data!S381,0)</f>
        <v>0</v>
      </c>
      <c r="U44" s="254">
        <f>IFERROR(aurora_data!T372 + aurora_data!T381,0)</f>
        <v>0</v>
      </c>
      <c r="V44" s="61"/>
      <c r="W44" s="113">
        <f>IFERROR(aurora_data!U372 + aurora_data!U381,0)</f>
        <v>0</v>
      </c>
      <c r="X44" s="255">
        <f t="shared" si="6"/>
        <v>0</v>
      </c>
      <c r="Y44"/>
      <c r="Z44"/>
    </row>
    <row r="45" spans="2:26">
      <c r="B45" s="452"/>
      <c r="C45" s="454"/>
      <c r="D45" s="35" t="s">
        <v>341</v>
      </c>
      <c r="E45" s="113">
        <f>IFERROR(aurora_data!D373 + aurora_data!D382,0)</f>
        <v>0</v>
      </c>
      <c r="F45" s="253">
        <f>IFERROR(aurora_data!E373 + aurora_data!E382,0)</f>
        <v>0</v>
      </c>
      <c r="G45" s="253">
        <f>IFERROR(aurora_data!F373 + aurora_data!F382,0)</f>
        <v>0</v>
      </c>
      <c r="H45" s="253">
        <f>IFERROR(aurora_data!G373 + aurora_data!G382,0)</f>
        <v>0</v>
      </c>
      <c r="I45" s="254">
        <f>IFERROR(aurora_data!H373 + aurora_data!H382,0)</f>
        <v>0</v>
      </c>
      <c r="J45" s="113">
        <f>IFERROR(aurora_data!I373 + aurora_data!I382,0)</f>
        <v>0</v>
      </c>
      <c r="K45" s="253">
        <f>IFERROR(aurora_data!J373 + aurora_data!J382,0)</f>
        <v>0</v>
      </c>
      <c r="L45" s="253">
        <f>IFERROR(aurora_data!K373 + aurora_data!K382,0)</f>
        <v>0</v>
      </c>
      <c r="M45" s="253">
        <f>IFERROR(aurora_data!L373 + aurora_data!L382,0)</f>
        <v>0</v>
      </c>
      <c r="N45" s="254">
        <f>IFERROR(aurora_data!M373 + aurora_data!M382,0)</f>
        <v>0</v>
      </c>
      <c r="O45" s="113">
        <f>IFERROR(aurora_data!N373 + aurora_data!N382,0)</f>
        <v>0</v>
      </c>
      <c r="P45" s="253">
        <f>IFERROR(aurora_data!O373 + aurora_data!O382,0)</f>
        <v>0</v>
      </c>
      <c r="Q45" s="253">
        <f>IFERROR(aurora_data!P373 + aurora_data!P382,0)</f>
        <v>0</v>
      </c>
      <c r="R45" s="254">
        <f>IFERROR(aurora_data!Q373 + aurora_data!Q382,0)</f>
        <v>0</v>
      </c>
      <c r="S45" s="253">
        <f>IFERROR(aurora_data!R373 + aurora_data!R382,0)</f>
        <v>0</v>
      </c>
      <c r="T45" s="253">
        <f>IFERROR(aurora_data!S373 + aurora_data!S382,0)</f>
        <v>0</v>
      </c>
      <c r="U45" s="254">
        <f>IFERROR(aurora_data!T373 + aurora_data!T382,0)</f>
        <v>0</v>
      </c>
      <c r="V45" s="61"/>
      <c r="W45" s="113">
        <f>IFERROR(aurora_data!U373 + aurora_data!U382,0)</f>
        <v>0</v>
      </c>
      <c r="X45" s="255">
        <f t="shared" si="6"/>
        <v>0</v>
      </c>
      <c r="Y45"/>
      <c r="Z45"/>
    </row>
    <row r="46" spans="2:26" ht="16.5" thickBot="1">
      <c r="B46" s="452"/>
      <c r="C46" s="454"/>
      <c r="D46" s="35" t="s">
        <v>342</v>
      </c>
      <c r="E46" s="113">
        <f>IFERROR(aurora_data!D374 + aurora_data!D383,0)</f>
        <v>0</v>
      </c>
      <c r="F46" s="253">
        <f>IFERROR(aurora_data!E374 + aurora_data!E383,0)</f>
        <v>0</v>
      </c>
      <c r="G46" s="253">
        <f>IFERROR(aurora_data!F374 + aurora_data!F383,0)</f>
        <v>0</v>
      </c>
      <c r="H46" s="253">
        <f>IFERROR(aurora_data!G374 + aurora_data!G383,0)</f>
        <v>0</v>
      </c>
      <c r="I46" s="254">
        <f>IFERROR(aurora_data!H374 + aurora_data!H383,0)</f>
        <v>0</v>
      </c>
      <c r="J46" s="113">
        <f>IFERROR(aurora_data!I374 + aurora_data!I383,0)</f>
        <v>0</v>
      </c>
      <c r="K46" s="253">
        <f>IFERROR(aurora_data!J374 + aurora_data!J383,0)</f>
        <v>0</v>
      </c>
      <c r="L46" s="253">
        <f>IFERROR(aurora_data!K374 + aurora_data!K383,0)</f>
        <v>0</v>
      </c>
      <c r="M46" s="253">
        <f>IFERROR(aurora_data!L374 + aurora_data!L383,0)</f>
        <v>0</v>
      </c>
      <c r="N46" s="254">
        <f>IFERROR(aurora_data!M374 + aurora_data!M383,0)</f>
        <v>0</v>
      </c>
      <c r="O46" s="113">
        <f>IFERROR(aurora_data!N374 + aurora_data!N383,0)</f>
        <v>0</v>
      </c>
      <c r="P46" s="253">
        <f>IFERROR(aurora_data!O374 + aurora_data!O383,0)</f>
        <v>0</v>
      </c>
      <c r="Q46" s="253">
        <f>IFERROR(aurora_data!P374 + aurora_data!P383,0)</f>
        <v>0</v>
      </c>
      <c r="R46" s="254">
        <f>IFERROR(aurora_data!Q374 + aurora_data!Q383,0)</f>
        <v>0</v>
      </c>
      <c r="S46" s="253">
        <f>IFERROR(aurora_data!R374 + aurora_data!R383,0)</f>
        <v>0</v>
      </c>
      <c r="T46" s="253">
        <f>IFERROR(aurora_data!S374 + aurora_data!S383,0)</f>
        <v>0</v>
      </c>
      <c r="U46" s="254">
        <f>IFERROR(aurora_data!T374 + aurora_data!T383,0)</f>
        <v>0</v>
      </c>
      <c r="V46" s="61"/>
      <c r="W46" s="113">
        <f>IFERROR(aurora_data!U374 + aurora_data!U383,0)</f>
        <v>0</v>
      </c>
      <c r="X46" s="255">
        <f t="shared" si="6"/>
        <v>0</v>
      </c>
      <c r="Y46"/>
      <c r="Z46"/>
    </row>
    <row r="47" spans="2:26" ht="16.5" thickBot="1">
      <c r="B47" s="452"/>
      <c r="C47" s="454"/>
      <c r="D47" s="37" t="s">
        <v>17</v>
      </c>
      <c r="E47" s="59">
        <f>IFERROR(aurora_data!D375 + aurora_data!D384,0)</f>
        <v>1</v>
      </c>
      <c r="F47" s="64">
        <f>IFERROR(aurora_data!E375 + aurora_data!E384,0)</f>
        <v>3</v>
      </c>
      <c r="G47" s="64">
        <f>IFERROR(aurora_data!F375 + aurora_data!F384,0)</f>
        <v>8</v>
      </c>
      <c r="H47" s="64">
        <f>IFERROR(aurora_data!G375 + aurora_data!G384,0)</f>
        <v>19</v>
      </c>
      <c r="I47" s="65">
        <f>IFERROR(aurora_data!H375 + aurora_data!H384,0)</f>
        <v>14</v>
      </c>
      <c r="J47" s="59">
        <f>IFERROR(aurora_data!I375 + aurora_data!I384,0)</f>
        <v>3</v>
      </c>
      <c r="K47" s="64">
        <f>IFERROR(aurora_data!J375 + aurora_data!J384,0)</f>
        <v>7</v>
      </c>
      <c r="L47" s="64">
        <f>IFERROR(aurora_data!K375 + aurora_data!K384,0)</f>
        <v>12</v>
      </c>
      <c r="M47" s="64">
        <f>IFERROR(aurora_data!L375 + aurora_data!L384,0)</f>
        <v>3</v>
      </c>
      <c r="N47" s="65">
        <f>IFERROR(aurora_data!M375 + aurora_data!M384,0)</f>
        <v>20</v>
      </c>
      <c r="O47" s="59">
        <f>IFERROR(aurora_data!N375 + aurora_data!N384,0)</f>
        <v>15</v>
      </c>
      <c r="P47" s="64">
        <f>IFERROR(aurora_data!O375 + aurora_data!O384,0)</f>
        <v>5</v>
      </c>
      <c r="Q47" s="64">
        <f>IFERROR(aurora_data!P375 + aurora_data!P384,0)</f>
        <v>15</v>
      </c>
      <c r="R47" s="65">
        <f>IFERROR(aurora_data!Q375 + aurora_data!Q384,0)</f>
        <v>10</v>
      </c>
      <c r="S47" s="64">
        <f>IFERROR(aurora_data!R375 + aurora_data!R384,0)</f>
        <v>24</v>
      </c>
      <c r="T47" s="64">
        <f>IFERROR(aurora_data!S375 + aurora_data!S384,0)</f>
        <v>21</v>
      </c>
      <c r="U47" s="65">
        <f>IFERROR(aurora_data!T375 + aurora_data!T384,0)</f>
        <v>0</v>
      </c>
      <c r="V47" s="66"/>
      <c r="W47" s="59">
        <f>IFERROR(aurora_data!U375 + aurora_data!U384,0)</f>
        <v>45</v>
      </c>
      <c r="X47" s="70">
        <f t="shared" si="6"/>
        <v>1.125</v>
      </c>
      <c r="Y47"/>
      <c r="Z47"/>
    </row>
    <row r="48" spans="2:26" ht="16.5" thickBot="1">
      <c r="B48" s="452"/>
      <c r="C48" s="454"/>
      <c r="D48" s="38" t="s">
        <v>343</v>
      </c>
      <c r="E48" s="256">
        <f>IFERROR(aurora_data!D376 + aurora_data!D385,0)</f>
        <v>0</v>
      </c>
      <c r="F48" s="257">
        <f>IFERROR(aurora_data!E376 + aurora_data!E385,0)</f>
        <v>0</v>
      </c>
      <c r="G48" s="257">
        <f>IFERROR(aurora_data!F376 + aurora_data!F385,0)</f>
        <v>0</v>
      </c>
      <c r="H48" s="257">
        <f>IFERROR(aurora_data!G376 + aurora_data!G385,0)</f>
        <v>0</v>
      </c>
      <c r="I48" s="258">
        <f>IFERROR(aurora_data!H376 + aurora_data!H385,0)</f>
        <v>0</v>
      </c>
      <c r="J48" s="256">
        <f>IFERROR(aurora_data!I376 + aurora_data!I385,0)</f>
        <v>0</v>
      </c>
      <c r="K48" s="257">
        <f>IFERROR(aurora_data!J376 + aurora_data!J385,0)</f>
        <v>0</v>
      </c>
      <c r="L48" s="257">
        <f>IFERROR(aurora_data!K376 + aurora_data!K385,0)</f>
        <v>0</v>
      </c>
      <c r="M48" s="257">
        <f>IFERROR(aurora_data!L376 + aurora_data!L385,0)</f>
        <v>0</v>
      </c>
      <c r="N48" s="258">
        <f>IFERROR(aurora_data!M376 + aurora_data!M385,0)</f>
        <v>0</v>
      </c>
      <c r="O48" s="256">
        <f>IFERROR(aurora_data!N376 + aurora_data!N385,0)</f>
        <v>0</v>
      </c>
      <c r="P48" s="257">
        <f>IFERROR(aurora_data!O376 + aurora_data!O385,0)</f>
        <v>0</v>
      </c>
      <c r="Q48" s="257">
        <f>IFERROR(aurora_data!P376 + aurora_data!P385,0)</f>
        <v>0</v>
      </c>
      <c r="R48" s="258">
        <f>IFERROR(aurora_data!Q376 + aurora_data!Q385,0)</f>
        <v>0</v>
      </c>
      <c r="S48" s="257">
        <f>IFERROR(aurora_data!R376 + aurora_data!R385,0)</f>
        <v>0</v>
      </c>
      <c r="T48" s="257">
        <f>IFERROR(aurora_data!S376 + aurora_data!S385,0)</f>
        <v>0</v>
      </c>
      <c r="U48" s="259">
        <f>IFERROR(aurora_data!T376 + aurora_data!T385,0)</f>
        <v>0</v>
      </c>
      <c r="V48" s="260"/>
      <c r="W48" s="256">
        <f>IFERROR(aurora_data!U376 + aurora_data!U385,0)</f>
        <v>0</v>
      </c>
      <c r="X48" s="261">
        <f t="shared" si="6"/>
        <v>0</v>
      </c>
      <c r="Y48"/>
      <c r="Z48"/>
    </row>
    <row r="49" spans="2:26" outlineLevel="1">
      <c r="B49" s="452"/>
      <c r="C49" s="454"/>
      <c r="D49" s="199" t="s">
        <v>344</v>
      </c>
      <c r="E49" s="271">
        <f>ROUNDDOWN((E51+$E$9)*($W40),0)</f>
        <v>2</v>
      </c>
      <c r="F49" s="272">
        <f>ROUNDDOWN((F51+$E$9)*($W40),0)</f>
        <v>3</v>
      </c>
      <c r="G49" s="272">
        <f>ROUNDDOWN((G51+$E$9)*($W40),0)</f>
        <v>9</v>
      </c>
      <c r="H49" s="272">
        <f>ROUNDDOWN((H51+$E$9)*($W40),0)</f>
        <v>14</v>
      </c>
      <c r="I49" s="272">
        <f>ROUNDDOWN((I51+$E$9)*($W40),0)</f>
        <v>17</v>
      </c>
      <c r="J49" s="271"/>
      <c r="K49" s="272"/>
      <c r="L49" s="272"/>
      <c r="M49" s="272"/>
      <c r="N49" s="268"/>
      <c r="O49" s="271"/>
      <c r="P49" s="272"/>
      <c r="Q49" s="272"/>
      <c r="R49" s="268"/>
      <c r="S49" s="265"/>
      <c r="T49" s="272"/>
      <c r="U49" s="282"/>
      <c r="V49" s="61"/>
      <c r="W49" s="291"/>
      <c r="X49" s="286"/>
      <c r="Y49"/>
      <c r="Z49"/>
    </row>
    <row r="50" spans="2:26" outlineLevel="1">
      <c r="B50" s="452"/>
      <c r="C50" s="454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0.96999999999999975</v>
      </c>
      <c r="G50" s="277">
        <f>IF(ROUND(((G51-$E$9)*($W40))+0.25,0) &lt;=0,1,((G51-$E$9)*($W40))+0.25)</f>
        <v>6.6400000000000006</v>
      </c>
      <c r="H50" s="277">
        <f>IF(ROUND(((H51-$E$9)*($W40))+0.25,0) &lt;=0,1,((H51-$E$9)*($W40))+0.25)</f>
        <v>11.430000000000001</v>
      </c>
      <c r="I50" s="277">
        <f>IF(ROUND(((I51-$E$9)*($W40))+0.25,0) &lt;=0,1,((I51-$E$9)*($W40))+0.25)</f>
        <v>14.280000000000001</v>
      </c>
      <c r="J50" s="276"/>
      <c r="K50" s="277"/>
      <c r="L50" s="277"/>
      <c r="M50" s="277"/>
      <c r="N50" s="278"/>
      <c r="O50" s="276"/>
      <c r="P50" s="277"/>
      <c r="Q50" s="277"/>
      <c r="R50" s="278"/>
      <c r="S50" s="276"/>
      <c r="T50" s="277"/>
      <c r="U50" s="287"/>
      <c r="V50" s="61"/>
      <c r="W50" s="285"/>
      <c r="X50" s="287"/>
      <c r="Y50"/>
      <c r="Z50"/>
    </row>
    <row r="51" spans="2:26" outlineLevel="1">
      <c r="B51" s="452"/>
      <c r="C51" s="454"/>
      <c r="D51" s="95" t="s">
        <v>346</v>
      </c>
      <c r="E51" s="414">
        <f>IFERROR(E40/$W40,0)</f>
        <v>3.2250000000000001E-2</v>
      </c>
      <c r="F51" s="415">
        <f t="shared" ref="F51:I51" si="7">IFERROR(F40/$W40,0)</f>
        <v>5.7999999999999996E-2</v>
      </c>
      <c r="G51" s="415">
        <f t="shared" si="7"/>
        <v>0.19975000000000001</v>
      </c>
      <c r="H51" s="415">
        <f t="shared" si="7"/>
        <v>0.31950000000000001</v>
      </c>
      <c r="I51" s="415">
        <f t="shared" si="7"/>
        <v>0.39074999999999999</v>
      </c>
      <c r="J51" s="414"/>
      <c r="K51" s="415"/>
      <c r="L51" s="415"/>
      <c r="M51" s="415"/>
      <c r="N51" s="416"/>
      <c r="O51" s="414"/>
      <c r="P51" s="415"/>
      <c r="Q51" s="415"/>
      <c r="R51" s="416"/>
      <c r="S51" s="414"/>
      <c r="T51" s="415"/>
      <c r="U51" s="254"/>
      <c r="V51" s="61"/>
      <c r="W51" s="113"/>
      <c r="X51" s="431"/>
      <c r="Y51"/>
      <c r="Z51"/>
    </row>
    <row r="52" spans="2:26" outlineLevel="1">
      <c r="B52" s="452"/>
      <c r="C52" s="454"/>
      <c r="D52" s="180" t="s">
        <v>347</v>
      </c>
      <c r="E52" s="414">
        <f>IFERROR(E41/$W40,0)</f>
        <v>2.5000000000000001E-2</v>
      </c>
      <c r="F52" s="415">
        <f t="shared" ref="F52:I52" si="8">IFERROR(F41/$W40,0)</f>
        <v>7.4999999999999997E-2</v>
      </c>
      <c r="G52" s="415">
        <f t="shared" si="8"/>
        <v>0.2</v>
      </c>
      <c r="H52" s="415">
        <f t="shared" si="8"/>
        <v>0.35</v>
      </c>
      <c r="I52" s="415">
        <f t="shared" si="8"/>
        <v>0.35</v>
      </c>
      <c r="J52" s="414"/>
      <c r="K52" s="415"/>
      <c r="L52" s="415"/>
      <c r="M52" s="415"/>
      <c r="N52" s="416"/>
      <c r="O52" s="414"/>
      <c r="P52" s="415"/>
      <c r="Q52" s="415"/>
      <c r="R52" s="416"/>
      <c r="S52" s="414"/>
      <c r="T52" s="415"/>
      <c r="U52" s="254"/>
      <c r="V52" s="61"/>
      <c r="W52" s="113"/>
      <c r="X52" s="431"/>
      <c r="Y52"/>
      <c r="Z52"/>
    </row>
    <row r="53" spans="2:26" ht="16.5" outlineLevel="1" thickBot="1">
      <c r="B53" s="456"/>
      <c r="C53" s="455"/>
      <c r="D53" s="180" t="s">
        <v>348</v>
      </c>
      <c r="E53" s="414">
        <f>E52-E51</f>
        <v>-7.2499999999999995E-3</v>
      </c>
      <c r="F53" s="415">
        <f>F52-F51</f>
        <v>1.7000000000000001E-2</v>
      </c>
      <c r="G53" s="415">
        <f>G52-G51</f>
        <v>2.5000000000000022E-4</v>
      </c>
      <c r="H53" s="415">
        <f>H52-H51</f>
        <v>3.0499999999999972E-2</v>
      </c>
      <c r="I53" s="415">
        <f>I52-I51</f>
        <v>-4.0750000000000008E-2</v>
      </c>
      <c r="J53" s="414"/>
      <c r="K53" s="415"/>
      <c r="L53" s="415"/>
      <c r="M53" s="415"/>
      <c r="N53" s="416"/>
      <c r="O53" s="414"/>
      <c r="P53" s="415"/>
      <c r="Q53" s="415"/>
      <c r="R53" s="416"/>
      <c r="S53" s="432"/>
      <c r="T53" s="415"/>
      <c r="U53" s="254"/>
      <c r="V53" s="61"/>
      <c r="W53" s="113"/>
      <c r="X53" s="431"/>
      <c r="Y53"/>
      <c r="Z53"/>
    </row>
    <row r="54" spans="2:26">
      <c r="B54" s="451" t="s">
        <v>338</v>
      </c>
      <c r="C54" s="453" t="s">
        <v>366</v>
      </c>
      <c r="D54" s="34" t="s">
        <v>306</v>
      </c>
      <c r="E54" s="39">
        <f>IFERROR(aurora_data!D386 + aurora_data!D395,0)</f>
        <v>1.5</v>
      </c>
      <c r="F54" s="40">
        <f>IFERROR(aurora_data!E386 + aurora_data!E395,0)</f>
        <v>2.42</v>
      </c>
      <c r="G54" s="40">
        <f>IFERROR(aurora_data!F386 + aurora_data!F395,0)</f>
        <v>8</v>
      </c>
      <c r="H54" s="40">
        <f>IFERROR(aurora_data!G386 + aurora_data!G395,0)</f>
        <v>12.780000000000001</v>
      </c>
      <c r="I54" s="41">
        <f>IFERROR(aurora_data!H386 + aurora_data!H395,0)</f>
        <v>15.29</v>
      </c>
      <c r="J54" s="39">
        <f>IFERROR(aurora_data!I386 + aurora_data!I395,0)</f>
        <v>2</v>
      </c>
      <c r="K54" s="40">
        <f>IFERROR(aurora_data!J386 + aurora_data!J395,0)</f>
        <v>2</v>
      </c>
      <c r="L54" s="40">
        <f>IFERROR(aurora_data!K386 + aurora_data!K395,0)</f>
        <v>2</v>
      </c>
      <c r="M54" s="40">
        <f>IFERROR(aurora_data!L386 + aurora_data!L395,0)</f>
        <v>2</v>
      </c>
      <c r="N54" s="41">
        <f>IFERROR(aurora_data!M386 + aurora_data!M395,0)</f>
        <v>2</v>
      </c>
      <c r="O54" s="39">
        <f>IFERROR(aurora_data!N386 + aurora_data!N395,0)</f>
        <v>2</v>
      </c>
      <c r="P54" s="40">
        <f>IFERROR(aurora_data!O386 + aurora_data!O395,0)</f>
        <v>2</v>
      </c>
      <c r="Q54" s="40">
        <f>IFERROR(aurora_data!P386 + aurora_data!P395,0)</f>
        <v>2</v>
      </c>
      <c r="R54" s="41">
        <f>IFERROR(aurora_data!Q386 + aurora_data!Q395,0)</f>
        <v>2</v>
      </c>
      <c r="S54" s="40">
        <f>IFERROR(aurora_data!R386 + aurora_data!R395,0)</f>
        <v>2</v>
      </c>
      <c r="T54" s="40">
        <f>IFERROR(aurora_data!S386 + aurora_data!S395,0)</f>
        <v>2</v>
      </c>
      <c r="U54" s="41">
        <f>IFERROR(aurora_data!T386 + aurora_data!T395,0)</f>
        <v>0</v>
      </c>
      <c r="V54" s="61" t="s">
        <v>354</v>
      </c>
      <c r="W54" s="39">
        <f>IFERROR(aurora_data!U386 + aurora_data!U395,0)</f>
        <v>40</v>
      </c>
      <c r="X54" s="69">
        <f t="shared" ref="X54:X62" si="9">IFERROR(W54/$W$54,0)</f>
        <v>1</v>
      </c>
      <c r="Y54"/>
      <c r="Z54"/>
    </row>
    <row r="55" spans="2:26">
      <c r="B55" s="452"/>
      <c r="C55" s="454"/>
      <c r="D55" s="35" t="s">
        <v>339</v>
      </c>
      <c r="E55" s="113">
        <f>IFERROR(aurora_data!D387 + aurora_data!D396,0)</f>
        <v>2</v>
      </c>
      <c r="F55" s="253">
        <f>IFERROR(aurora_data!E387 + aurora_data!E396,0)</f>
        <v>4</v>
      </c>
      <c r="G55" s="253">
        <f>IFERROR(aurora_data!F387 + aurora_data!F396,0)</f>
        <v>8</v>
      </c>
      <c r="H55" s="253">
        <f>IFERROR(aurora_data!G387 + aurora_data!G396,0)</f>
        <v>11</v>
      </c>
      <c r="I55" s="254">
        <f>IFERROR(aurora_data!H387 + aurora_data!H396,0)</f>
        <v>15</v>
      </c>
      <c r="J55" s="113">
        <f>IFERROR(aurora_data!I387 + aurora_data!I396,0)</f>
        <v>2</v>
      </c>
      <c r="K55" s="253">
        <f>IFERROR(aurora_data!J387 + aurora_data!J396,0)</f>
        <v>2</v>
      </c>
      <c r="L55" s="253">
        <f>IFERROR(aurora_data!K387 + aurora_data!K396,0)</f>
        <v>13</v>
      </c>
      <c r="M55" s="253">
        <f>IFERROR(aurora_data!L387 + aurora_data!L396,0)</f>
        <v>6</v>
      </c>
      <c r="N55" s="254">
        <f>IFERROR(aurora_data!M387 + aurora_data!M396,0)</f>
        <v>17</v>
      </c>
      <c r="O55" s="113">
        <f>IFERROR(aurora_data!N387 + aurora_data!N396,0)</f>
        <v>10</v>
      </c>
      <c r="P55" s="253">
        <f>IFERROR(aurora_data!O387 + aurora_data!O396,0)</f>
        <v>5</v>
      </c>
      <c r="Q55" s="253">
        <f>IFERROR(aurora_data!P387 + aurora_data!P396,0)</f>
        <v>16</v>
      </c>
      <c r="R55" s="254">
        <f>IFERROR(aurora_data!Q387 + aurora_data!Q396,0)</f>
        <v>9</v>
      </c>
      <c r="S55" s="253">
        <f>IFERROR(aurora_data!R387 + aurora_data!R396,0)</f>
        <v>17</v>
      </c>
      <c r="T55" s="253">
        <f>IFERROR(aurora_data!S387 + aurora_data!S396,0)</f>
        <v>23</v>
      </c>
      <c r="U55" s="254">
        <f>IFERROR(aurora_data!T387 + aurora_data!T396,0)</f>
        <v>0</v>
      </c>
      <c r="V55" s="61" t="s">
        <v>354</v>
      </c>
      <c r="W55" s="113">
        <f>IFERROR(aurora_data!U387 + aurora_data!U396,0)</f>
        <v>40</v>
      </c>
      <c r="X55" s="255">
        <f t="shared" si="9"/>
        <v>1</v>
      </c>
      <c r="Y55"/>
      <c r="Z55"/>
    </row>
    <row r="56" spans="2:26">
      <c r="B56" s="452"/>
      <c r="C56" s="454"/>
      <c r="D56" s="35" t="s">
        <v>291</v>
      </c>
      <c r="E56" s="113">
        <f>IFERROR(aurora_data!D388 + aurora_data!D397,0)</f>
        <v>0</v>
      </c>
      <c r="F56" s="253">
        <f>IFERROR(aurora_data!E388 + aurora_data!E397,0)</f>
        <v>0</v>
      </c>
      <c r="G56" s="253">
        <f>IFERROR(aurora_data!F388 + aurora_data!F397,0)</f>
        <v>0</v>
      </c>
      <c r="H56" s="253">
        <f>IFERROR(aurora_data!G388 + aurora_data!G397,0)</f>
        <v>1</v>
      </c>
      <c r="I56" s="254">
        <f>IFERROR(aurora_data!H388 + aurora_data!H397,0)</f>
        <v>3</v>
      </c>
      <c r="J56" s="113">
        <f>IFERROR(aurora_data!I388 + aurora_data!I397,0)</f>
        <v>0</v>
      </c>
      <c r="K56" s="253">
        <f>IFERROR(aurora_data!J388 + aurora_data!J397,0)</f>
        <v>0</v>
      </c>
      <c r="L56" s="253">
        <f>IFERROR(aurora_data!K388 + aurora_data!K397,0)</f>
        <v>1</v>
      </c>
      <c r="M56" s="253">
        <f>IFERROR(aurora_data!L388 + aurora_data!L397,0)</f>
        <v>0</v>
      </c>
      <c r="N56" s="254">
        <f>IFERROR(aurora_data!M388 + aurora_data!M397,0)</f>
        <v>3</v>
      </c>
      <c r="O56" s="113">
        <f>IFERROR(aurora_data!N388 + aurora_data!N397,0)</f>
        <v>0</v>
      </c>
      <c r="P56" s="253">
        <f>IFERROR(aurora_data!O388 + aurora_data!O397,0)</f>
        <v>1</v>
      </c>
      <c r="Q56" s="253">
        <f>IFERROR(aurora_data!P388 + aurora_data!P397,0)</f>
        <v>2</v>
      </c>
      <c r="R56" s="254">
        <f>IFERROR(aurora_data!Q388 + aurora_data!Q397,0)</f>
        <v>1</v>
      </c>
      <c r="S56" s="253">
        <f>IFERROR(aurora_data!R388 + aurora_data!R397,0)</f>
        <v>0</v>
      </c>
      <c r="T56" s="253">
        <f>IFERROR(aurora_data!S388 + aurora_data!S397,0)</f>
        <v>4</v>
      </c>
      <c r="U56" s="254">
        <f>IFERROR(aurora_data!T388 + aurora_data!T397,0)</f>
        <v>0</v>
      </c>
      <c r="V56" s="61" t="s">
        <v>354</v>
      </c>
      <c r="W56" s="113">
        <f>IFERROR(aurora_data!U388 + aurora_data!U397,0)</f>
        <v>4</v>
      </c>
      <c r="X56" s="255">
        <f t="shared" si="9"/>
        <v>0.1</v>
      </c>
      <c r="Y56"/>
      <c r="Z56"/>
    </row>
    <row r="57" spans="2:26">
      <c r="B57" s="452"/>
      <c r="C57" s="454"/>
      <c r="D57" s="35" t="s">
        <v>340</v>
      </c>
      <c r="E57" s="113">
        <f>IFERROR(aurora_data!D389 + aurora_data!D398,0)</f>
        <v>0</v>
      </c>
      <c r="F57" s="253">
        <f>IFERROR(aurora_data!E389 + aurora_data!E398,0)</f>
        <v>0</v>
      </c>
      <c r="G57" s="253">
        <f>IFERROR(aurora_data!F389 + aurora_data!F398,0)</f>
        <v>0</v>
      </c>
      <c r="H57" s="253">
        <f>IFERROR(aurora_data!G389 + aurora_data!G398,0)</f>
        <v>0</v>
      </c>
      <c r="I57" s="254">
        <f>IFERROR(aurora_data!H389 + aurora_data!H398,0)</f>
        <v>0</v>
      </c>
      <c r="J57" s="113">
        <f>IFERROR(aurora_data!I389 + aurora_data!I398,0)</f>
        <v>0</v>
      </c>
      <c r="K57" s="253">
        <f>IFERROR(aurora_data!J389 + aurora_data!J398,0)</f>
        <v>0</v>
      </c>
      <c r="L57" s="253">
        <f>IFERROR(aurora_data!K389 + aurora_data!K398,0)</f>
        <v>0</v>
      </c>
      <c r="M57" s="253">
        <f>IFERROR(aurora_data!L389 + aurora_data!L398,0)</f>
        <v>0</v>
      </c>
      <c r="N57" s="254">
        <f>IFERROR(aurora_data!M389 + aurora_data!M398,0)</f>
        <v>0</v>
      </c>
      <c r="O57" s="113">
        <f>IFERROR(aurora_data!N389 + aurora_data!N398,0)</f>
        <v>0</v>
      </c>
      <c r="P57" s="253">
        <f>IFERROR(aurora_data!O389 + aurora_data!O398,0)</f>
        <v>0</v>
      </c>
      <c r="Q57" s="253">
        <f>IFERROR(aurora_data!P389 + aurora_data!P398,0)</f>
        <v>0</v>
      </c>
      <c r="R57" s="254">
        <f>IFERROR(aurora_data!Q389 + aurora_data!Q398,0)</f>
        <v>0</v>
      </c>
      <c r="S57" s="253">
        <f>IFERROR(aurora_data!R389 + aurora_data!R398,0)</f>
        <v>0</v>
      </c>
      <c r="T57" s="253">
        <f>IFERROR(aurora_data!S389 + aurora_data!S398,0)</f>
        <v>0</v>
      </c>
      <c r="U57" s="254">
        <f>IFERROR(aurora_data!T389 + aurora_data!T398,0)</f>
        <v>0</v>
      </c>
      <c r="V57" s="61" t="s">
        <v>354</v>
      </c>
      <c r="W57" s="113">
        <f>IFERROR(aurora_data!U389 + aurora_data!U398,0)</f>
        <v>0</v>
      </c>
      <c r="X57" s="255">
        <f t="shared" si="9"/>
        <v>0</v>
      </c>
      <c r="Y57"/>
      <c r="Z57"/>
    </row>
    <row r="58" spans="2:26">
      <c r="B58" s="452"/>
      <c r="C58" s="454"/>
      <c r="D58" s="35" t="s">
        <v>298</v>
      </c>
      <c r="E58" s="113">
        <f>IFERROR(aurora_data!D390 + aurora_data!D399,0)</f>
        <v>0</v>
      </c>
      <c r="F58" s="253">
        <f>IFERROR(aurora_data!E390 + aurora_data!E399,0)</f>
        <v>0</v>
      </c>
      <c r="G58" s="253">
        <f>IFERROR(aurora_data!F390 + aurora_data!F399,0)</f>
        <v>0</v>
      </c>
      <c r="H58" s="253">
        <f>IFERROR(aurora_data!G390 + aurora_data!G399,0)</f>
        <v>0</v>
      </c>
      <c r="I58" s="254">
        <f>IFERROR(aurora_data!H390 + aurora_data!H399,0)</f>
        <v>0</v>
      </c>
      <c r="J58" s="113">
        <f>IFERROR(aurora_data!I390 + aurora_data!I399,0)</f>
        <v>0</v>
      </c>
      <c r="K58" s="253">
        <f>IFERROR(aurora_data!J390 + aurora_data!J399,0)</f>
        <v>0</v>
      </c>
      <c r="L58" s="253">
        <f>IFERROR(aurora_data!K390 + aurora_data!K399,0)</f>
        <v>0</v>
      </c>
      <c r="M58" s="253">
        <f>IFERROR(aurora_data!L390 + aurora_data!L399,0)</f>
        <v>0</v>
      </c>
      <c r="N58" s="254">
        <f>IFERROR(aurora_data!M390 + aurora_data!M399,0)</f>
        <v>0</v>
      </c>
      <c r="O58" s="113">
        <f>IFERROR(aurora_data!N390 + aurora_data!N399,0)</f>
        <v>0</v>
      </c>
      <c r="P58" s="253">
        <f>IFERROR(aurora_data!O390 + aurora_data!O399,0)</f>
        <v>0</v>
      </c>
      <c r="Q58" s="253">
        <f>IFERROR(aurora_data!P390 + aurora_data!P399,0)</f>
        <v>0</v>
      </c>
      <c r="R58" s="254">
        <f>IFERROR(aurora_data!Q390 + aurora_data!Q399,0)</f>
        <v>0</v>
      </c>
      <c r="S58" s="253">
        <f>IFERROR(aurora_data!R390 + aurora_data!R399,0)</f>
        <v>0</v>
      </c>
      <c r="T58" s="253">
        <f>IFERROR(aurora_data!S390 + aurora_data!S399,0)</f>
        <v>0</v>
      </c>
      <c r="U58" s="254">
        <f>IFERROR(aurora_data!T390 + aurora_data!T399,0)</f>
        <v>0</v>
      </c>
      <c r="V58" s="61" t="s">
        <v>354</v>
      </c>
      <c r="W58" s="113">
        <f>IFERROR(aurora_data!U390 + aurora_data!U399,0)</f>
        <v>0</v>
      </c>
      <c r="X58" s="255">
        <f t="shared" si="9"/>
        <v>0</v>
      </c>
      <c r="Y58"/>
      <c r="Z58"/>
    </row>
    <row r="59" spans="2:26">
      <c r="B59" s="452"/>
      <c r="C59" s="454"/>
      <c r="D59" s="35" t="s">
        <v>341</v>
      </c>
      <c r="E59" s="113">
        <f>IFERROR(aurora_data!D391 + aurora_data!D400,0)</f>
        <v>0</v>
      </c>
      <c r="F59" s="253">
        <f>IFERROR(aurora_data!E391 + aurora_data!E400,0)</f>
        <v>0</v>
      </c>
      <c r="G59" s="253">
        <f>IFERROR(aurora_data!F391 + aurora_data!F400,0)</f>
        <v>0</v>
      </c>
      <c r="H59" s="253">
        <f>IFERROR(aurora_data!G391 + aurora_data!G400,0)</f>
        <v>0</v>
      </c>
      <c r="I59" s="254">
        <f>IFERROR(aurora_data!H391 + aurora_data!H400,0)</f>
        <v>0</v>
      </c>
      <c r="J59" s="113">
        <f>IFERROR(aurora_data!I391 + aurora_data!I400,0)</f>
        <v>0</v>
      </c>
      <c r="K59" s="253">
        <f>IFERROR(aurora_data!J391 + aurora_data!J400,0)</f>
        <v>0</v>
      </c>
      <c r="L59" s="253">
        <f>IFERROR(aurora_data!K391 + aurora_data!K400,0)</f>
        <v>0</v>
      </c>
      <c r="M59" s="253">
        <f>IFERROR(aurora_data!L391 + aurora_data!L400,0)</f>
        <v>0</v>
      </c>
      <c r="N59" s="254">
        <f>IFERROR(aurora_data!M391 + aurora_data!M400,0)</f>
        <v>0</v>
      </c>
      <c r="O59" s="113">
        <f>IFERROR(aurora_data!N391 + aurora_data!N400,0)</f>
        <v>0</v>
      </c>
      <c r="P59" s="253">
        <f>IFERROR(aurora_data!O391 + aurora_data!O400,0)</f>
        <v>0</v>
      </c>
      <c r="Q59" s="253">
        <f>IFERROR(aurora_data!P391 + aurora_data!P400,0)</f>
        <v>0</v>
      </c>
      <c r="R59" s="254">
        <f>IFERROR(aurora_data!Q391 + aurora_data!Q400,0)</f>
        <v>0</v>
      </c>
      <c r="S59" s="253">
        <f>IFERROR(aurora_data!R391 + aurora_data!R400,0)</f>
        <v>0</v>
      </c>
      <c r="T59" s="253">
        <f>IFERROR(aurora_data!S391 + aurora_data!S400,0)</f>
        <v>0</v>
      </c>
      <c r="U59" s="254">
        <f>IFERROR(aurora_data!T391 + aurora_data!T400,0)</f>
        <v>0</v>
      </c>
      <c r="V59" s="61" t="s">
        <v>354</v>
      </c>
      <c r="W59" s="113">
        <f>IFERROR(aurora_data!U391 + aurora_data!U400,0)</f>
        <v>0</v>
      </c>
      <c r="X59" s="255">
        <f t="shared" si="9"/>
        <v>0</v>
      </c>
      <c r="Y59"/>
      <c r="Z59"/>
    </row>
    <row r="60" spans="2:26" ht="16.5" thickBot="1">
      <c r="B60" s="452"/>
      <c r="C60" s="454"/>
      <c r="D60" s="35" t="s">
        <v>342</v>
      </c>
      <c r="E60" s="113">
        <f>IFERROR(aurora_data!D392 + aurora_data!D401,0)</f>
        <v>0</v>
      </c>
      <c r="F60" s="253">
        <f>IFERROR(aurora_data!E392 + aurora_data!E401,0)</f>
        <v>0</v>
      </c>
      <c r="G60" s="253">
        <f>IFERROR(aurora_data!F392 + aurora_data!F401,0)</f>
        <v>0</v>
      </c>
      <c r="H60" s="253">
        <f>IFERROR(aurora_data!G392 + aurora_data!G401,0)</f>
        <v>0</v>
      </c>
      <c r="I60" s="254">
        <f>IFERROR(aurora_data!H392 + aurora_data!H401,0)</f>
        <v>0</v>
      </c>
      <c r="J60" s="113">
        <f>IFERROR(aurora_data!I392 + aurora_data!I401,0)</f>
        <v>0</v>
      </c>
      <c r="K60" s="253">
        <f>IFERROR(aurora_data!J392 + aurora_data!J401,0)</f>
        <v>0</v>
      </c>
      <c r="L60" s="253">
        <f>IFERROR(aurora_data!K392 + aurora_data!K401,0)</f>
        <v>0</v>
      </c>
      <c r="M60" s="253">
        <f>IFERROR(aurora_data!L392 + aurora_data!L401,0)</f>
        <v>0</v>
      </c>
      <c r="N60" s="254">
        <f>IFERROR(aurora_data!M392 + aurora_data!M401,0)</f>
        <v>0</v>
      </c>
      <c r="O60" s="113">
        <f>IFERROR(aurora_data!N392 + aurora_data!N401,0)</f>
        <v>0</v>
      </c>
      <c r="P60" s="253">
        <f>IFERROR(aurora_data!O392 + aurora_data!O401,0)</f>
        <v>0</v>
      </c>
      <c r="Q60" s="253">
        <f>IFERROR(aurora_data!P392 + aurora_data!P401,0)</f>
        <v>0</v>
      </c>
      <c r="R60" s="254">
        <f>IFERROR(aurora_data!Q392 + aurora_data!Q401,0)</f>
        <v>0</v>
      </c>
      <c r="S60" s="253">
        <f>IFERROR(aurora_data!R392 + aurora_data!R401,0)</f>
        <v>0</v>
      </c>
      <c r="T60" s="253">
        <f>IFERROR(aurora_data!S392 + aurora_data!S401,0)</f>
        <v>0</v>
      </c>
      <c r="U60" s="254">
        <f>IFERROR(aurora_data!T392 + aurora_data!T401,0)</f>
        <v>0</v>
      </c>
      <c r="V60" s="61" t="s">
        <v>354</v>
      </c>
      <c r="W60" s="113">
        <f>IFERROR(aurora_data!U392 + aurora_data!U401,0)</f>
        <v>0</v>
      </c>
      <c r="X60" s="255">
        <f t="shared" si="9"/>
        <v>0</v>
      </c>
      <c r="Y60"/>
      <c r="Z60"/>
    </row>
    <row r="61" spans="2:26" ht="16.5" thickBot="1">
      <c r="B61" s="452"/>
      <c r="C61" s="454"/>
      <c r="D61" s="37" t="s">
        <v>17</v>
      </c>
      <c r="E61" s="59">
        <f>IFERROR(aurora_data!D393 + aurora_data!D402,0)</f>
        <v>2</v>
      </c>
      <c r="F61" s="64">
        <f>IFERROR(aurora_data!E393 + aurora_data!E402,0)</f>
        <v>4</v>
      </c>
      <c r="G61" s="64">
        <f>IFERROR(aurora_data!F393 + aurora_data!F402,0)</f>
        <v>8</v>
      </c>
      <c r="H61" s="64">
        <f>IFERROR(aurora_data!G393 + aurora_data!G402,0)</f>
        <v>12</v>
      </c>
      <c r="I61" s="65">
        <f>IFERROR(aurora_data!H393 + aurora_data!H402,0)</f>
        <v>18</v>
      </c>
      <c r="J61" s="59">
        <f>IFERROR(aurora_data!I393 + aurora_data!I402,0)</f>
        <v>2</v>
      </c>
      <c r="K61" s="64">
        <f>IFERROR(aurora_data!J393 + aurora_data!J402,0)</f>
        <v>2</v>
      </c>
      <c r="L61" s="64">
        <f>IFERROR(aurora_data!K393 + aurora_data!K402,0)</f>
        <v>14</v>
      </c>
      <c r="M61" s="64">
        <f>IFERROR(aurora_data!L393 + aurora_data!L402,0)</f>
        <v>6</v>
      </c>
      <c r="N61" s="65">
        <f>IFERROR(aurora_data!M393 + aurora_data!M402,0)</f>
        <v>20</v>
      </c>
      <c r="O61" s="59">
        <f>IFERROR(aurora_data!N393 + aurora_data!N402,0)</f>
        <v>10</v>
      </c>
      <c r="P61" s="64">
        <f>IFERROR(aurora_data!O393 + aurora_data!O402,0)</f>
        <v>6</v>
      </c>
      <c r="Q61" s="64">
        <f>IFERROR(aurora_data!P393 + aurora_data!P402,0)</f>
        <v>18</v>
      </c>
      <c r="R61" s="65">
        <f>IFERROR(aurora_data!Q393 + aurora_data!Q402,0)</f>
        <v>10</v>
      </c>
      <c r="S61" s="64">
        <f>IFERROR(aurora_data!R393 + aurora_data!R402,0)</f>
        <v>17</v>
      </c>
      <c r="T61" s="64">
        <f>IFERROR(aurora_data!S393 + aurora_data!S402,0)</f>
        <v>27</v>
      </c>
      <c r="U61" s="65">
        <f>IFERROR(aurora_data!T393 + aurora_data!T402,0)</f>
        <v>0</v>
      </c>
      <c r="V61" s="66" t="s">
        <v>354</v>
      </c>
      <c r="W61" s="59">
        <f>IFERROR(aurora_data!U393 + aurora_data!U402,0)</f>
        <v>44</v>
      </c>
      <c r="X61" s="70">
        <f t="shared" si="9"/>
        <v>1.1000000000000001</v>
      </c>
      <c r="Y61"/>
      <c r="Z61"/>
    </row>
    <row r="62" spans="2:26" ht="16.5" thickBot="1">
      <c r="B62" s="452"/>
      <c r="C62" s="454"/>
      <c r="D62" s="38" t="s">
        <v>343</v>
      </c>
      <c r="E62" s="256">
        <f>IFERROR(aurora_data!D394 + aurora_data!D403,0)</f>
        <v>0</v>
      </c>
      <c r="F62" s="257">
        <f>IFERROR(aurora_data!E394 + aurora_data!E403,0)</f>
        <v>0</v>
      </c>
      <c r="G62" s="257">
        <f>IFERROR(aurora_data!F394 + aurora_data!F403,0)</f>
        <v>0</v>
      </c>
      <c r="H62" s="257">
        <f>IFERROR(aurora_data!G394 + aurora_data!G403,0)</f>
        <v>0</v>
      </c>
      <c r="I62" s="258">
        <f>IFERROR(aurora_data!H394 + aurora_data!H403,0)</f>
        <v>0</v>
      </c>
      <c r="J62" s="256">
        <f>IFERROR(aurora_data!I394 + aurora_data!I403,0)</f>
        <v>0</v>
      </c>
      <c r="K62" s="257">
        <f>IFERROR(aurora_data!J394 + aurora_data!J403,0)</f>
        <v>0</v>
      </c>
      <c r="L62" s="257">
        <f>IFERROR(aurora_data!K394 + aurora_data!K403,0)</f>
        <v>0</v>
      </c>
      <c r="M62" s="257">
        <f>IFERROR(aurora_data!L394 + aurora_data!L403,0)</f>
        <v>0</v>
      </c>
      <c r="N62" s="258">
        <f>IFERROR(aurora_data!M394 + aurora_data!M403,0)</f>
        <v>0</v>
      </c>
      <c r="O62" s="256">
        <f>IFERROR(aurora_data!N394 + aurora_data!N403,0)</f>
        <v>0</v>
      </c>
      <c r="P62" s="257">
        <f>IFERROR(aurora_data!O394 + aurora_data!O403,0)</f>
        <v>0</v>
      </c>
      <c r="Q62" s="257">
        <f>IFERROR(aurora_data!P394 + aurora_data!P403,0)</f>
        <v>0</v>
      </c>
      <c r="R62" s="258">
        <f>IFERROR(aurora_data!Q394 + aurora_data!Q403,0)</f>
        <v>0</v>
      </c>
      <c r="S62" s="257">
        <f>IFERROR(aurora_data!R394 + aurora_data!R403,0)</f>
        <v>0</v>
      </c>
      <c r="T62" s="257">
        <f>IFERROR(aurora_data!S394 + aurora_data!S403,0)</f>
        <v>0</v>
      </c>
      <c r="U62" s="259">
        <f>IFERROR(aurora_data!T394 + aurora_data!T403,0)</f>
        <v>0</v>
      </c>
      <c r="V62" s="260" t="s">
        <v>354</v>
      </c>
      <c r="W62" s="256">
        <f>IFERROR(aurora_data!U394 + aurora_data!U403,0)</f>
        <v>0</v>
      </c>
      <c r="X62" s="261">
        <f t="shared" si="9"/>
        <v>0</v>
      </c>
      <c r="Y62"/>
      <c r="Z62"/>
    </row>
    <row r="63" spans="2:26" outlineLevel="1">
      <c r="B63" s="452"/>
      <c r="C63" s="454"/>
      <c r="D63" s="199" t="s">
        <v>344</v>
      </c>
      <c r="E63" s="271">
        <f>ROUNDDOWN((E65+$E$9)*($W54),0)</f>
        <v>3</v>
      </c>
      <c r="F63" s="272">
        <f>ROUNDDOWN((F65+$E$9)*($W54),0)</f>
        <v>4</v>
      </c>
      <c r="G63" s="272">
        <f>ROUNDDOWN((G65+$E$9)*($W54),0)</f>
        <v>9</v>
      </c>
      <c r="H63" s="272">
        <f>ROUNDDOWN((H65+$E$9)*($W54),0)</f>
        <v>14</v>
      </c>
      <c r="I63" s="272">
        <f>ROUNDDOWN((I65+$E$9)*($W54),0)</f>
        <v>16</v>
      </c>
      <c r="J63" s="271"/>
      <c r="K63" s="272"/>
      <c r="L63" s="272"/>
      <c r="M63" s="272"/>
      <c r="N63" s="268"/>
      <c r="O63" s="271"/>
      <c r="P63" s="272"/>
      <c r="Q63" s="272"/>
      <c r="R63" s="268"/>
      <c r="S63" s="265"/>
      <c r="T63" s="272"/>
      <c r="U63" s="282"/>
      <c r="V63" s="61"/>
      <c r="W63" s="291"/>
      <c r="X63" s="286"/>
      <c r="Y63"/>
      <c r="Z63"/>
    </row>
    <row r="64" spans="2:26" outlineLevel="1">
      <c r="B64" s="452"/>
      <c r="C64" s="454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1.0699999999999998</v>
      </c>
      <c r="G64" s="277">
        <f>IF(ROUND(((G65-$E$9)*($W54))+0.25,0) &lt;=0,1,((G65-$E$9)*($W54))+0.25)</f>
        <v>6.65</v>
      </c>
      <c r="H64" s="277">
        <f>IF(ROUND(((H65-$E$9)*($W54))+0.25,0) &lt;=0,1,((H65-$E$9)*($W54))+0.25)</f>
        <v>11.430000000000001</v>
      </c>
      <c r="I64" s="277">
        <f>IF(ROUND(((I65-$E$9)*($W54))+0.25,0) &lt;=0,1,((I65-$E$9)*($W54))+0.25)</f>
        <v>13.94</v>
      </c>
      <c r="J64" s="276"/>
      <c r="K64" s="277"/>
      <c r="L64" s="277"/>
      <c r="M64" s="277"/>
      <c r="N64" s="278"/>
      <c r="O64" s="276"/>
      <c r="P64" s="277"/>
      <c r="Q64" s="277"/>
      <c r="R64" s="278"/>
      <c r="S64" s="276"/>
      <c r="T64" s="277"/>
      <c r="U64" s="287"/>
      <c r="V64" s="61"/>
      <c r="W64" s="285"/>
      <c r="X64" s="287"/>
      <c r="Y64"/>
      <c r="Z64"/>
    </row>
    <row r="65" spans="2:26" outlineLevel="1">
      <c r="B65" s="452"/>
      <c r="C65" s="454"/>
      <c r="D65" s="95" t="s">
        <v>346</v>
      </c>
      <c r="E65" s="414">
        <f>IFERROR(E54/$W54,0)</f>
        <v>3.7499999999999999E-2</v>
      </c>
      <c r="F65" s="415">
        <f t="shared" ref="F65:I65" si="10">IFERROR(F54/$W54,0)</f>
        <v>6.0499999999999998E-2</v>
      </c>
      <c r="G65" s="415">
        <f t="shared" si="10"/>
        <v>0.2</v>
      </c>
      <c r="H65" s="415">
        <f t="shared" si="10"/>
        <v>0.31950000000000001</v>
      </c>
      <c r="I65" s="415">
        <f t="shared" si="10"/>
        <v>0.38224999999999998</v>
      </c>
      <c r="J65" s="414"/>
      <c r="K65" s="415"/>
      <c r="L65" s="415"/>
      <c r="M65" s="415"/>
      <c r="N65" s="416"/>
      <c r="O65" s="414"/>
      <c r="P65" s="415"/>
      <c r="Q65" s="415"/>
      <c r="R65" s="416"/>
      <c r="S65" s="414"/>
      <c r="T65" s="415"/>
      <c r="U65" s="254"/>
      <c r="V65" s="61"/>
      <c r="W65" s="113"/>
      <c r="X65" s="431"/>
      <c r="Y65"/>
      <c r="Z65"/>
    </row>
    <row r="66" spans="2:26" outlineLevel="1">
      <c r="B66" s="452"/>
      <c r="C66" s="454"/>
      <c r="D66" s="180" t="s">
        <v>347</v>
      </c>
      <c r="E66" s="414">
        <f>IFERROR(E55/$W54,0)</f>
        <v>0.05</v>
      </c>
      <c r="F66" s="415">
        <f t="shared" ref="F66:I66" si="11">IFERROR(F55/$W54,0)</f>
        <v>0.1</v>
      </c>
      <c r="G66" s="415">
        <f t="shared" si="11"/>
        <v>0.2</v>
      </c>
      <c r="H66" s="415">
        <f t="shared" si="11"/>
        <v>0.27500000000000002</v>
      </c>
      <c r="I66" s="415">
        <f t="shared" si="11"/>
        <v>0.375</v>
      </c>
      <c r="J66" s="414"/>
      <c r="K66" s="415"/>
      <c r="L66" s="415"/>
      <c r="M66" s="415"/>
      <c r="N66" s="416"/>
      <c r="O66" s="414"/>
      <c r="P66" s="415"/>
      <c r="Q66" s="415"/>
      <c r="R66" s="416"/>
      <c r="S66" s="414"/>
      <c r="T66" s="415"/>
      <c r="U66" s="254"/>
      <c r="V66" s="61"/>
      <c r="W66" s="113"/>
      <c r="X66" s="431"/>
      <c r="Y66"/>
      <c r="Z66"/>
    </row>
    <row r="67" spans="2:26" ht="16.5" outlineLevel="1" thickBot="1">
      <c r="B67" s="456"/>
      <c r="C67" s="455"/>
      <c r="D67" s="180" t="s">
        <v>348</v>
      </c>
      <c r="E67" s="414">
        <f>E66-E65</f>
        <v>1.2500000000000004E-2</v>
      </c>
      <c r="F67" s="415">
        <f>F66-F65</f>
        <v>3.9500000000000007E-2</v>
      </c>
      <c r="G67" s="415">
        <f>G66-G65</f>
        <v>0</v>
      </c>
      <c r="H67" s="415">
        <f>H66-H65</f>
        <v>-4.4499999999999984E-2</v>
      </c>
      <c r="I67" s="415">
        <f>I66-I65</f>
        <v>-7.2499999999999787E-3</v>
      </c>
      <c r="J67" s="414"/>
      <c r="K67" s="415"/>
      <c r="L67" s="415"/>
      <c r="M67" s="415"/>
      <c r="N67" s="416"/>
      <c r="O67" s="414"/>
      <c r="P67" s="415"/>
      <c r="Q67" s="415"/>
      <c r="R67" s="416"/>
      <c r="S67" s="432"/>
      <c r="T67" s="415"/>
      <c r="U67" s="254"/>
      <c r="V67" s="61"/>
      <c r="W67" s="113"/>
      <c r="X67" s="431"/>
      <c r="Y67"/>
      <c r="Z67"/>
    </row>
    <row r="68" spans="2:26">
      <c r="B68" s="451" t="s">
        <v>338</v>
      </c>
      <c r="C68" s="453" t="s">
        <v>367</v>
      </c>
      <c r="D68" s="34" t="s">
        <v>306</v>
      </c>
      <c r="E68" s="39">
        <f>IFERROR(aurora_data!D404 + aurora_data!D413,0)</f>
        <v>1.6</v>
      </c>
      <c r="F68" s="40">
        <f>IFERROR(aurora_data!E404 + aurora_data!E413,0)</f>
        <v>2.71</v>
      </c>
      <c r="G68" s="40">
        <f>IFERROR(aurora_data!F404 + aurora_data!F413,0)</f>
        <v>8.01</v>
      </c>
      <c r="H68" s="40">
        <f>IFERROR(aurora_data!G404 + aurora_data!G413,0)</f>
        <v>12.579999999999998</v>
      </c>
      <c r="I68" s="41">
        <f>IFERROR(aurora_data!H404 + aurora_data!H413,0)</f>
        <v>15.129999999999999</v>
      </c>
      <c r="J68" s="39">
        <f>IFERROR(aurora_data!I404 + aurora_data!I413,0)</f>
        <v>2</v>
      </c>
      <c r="K68" s="40">
        <f>IFERROR(aurora_data!J404 + aurora_data!J413,0)</f>
        <v>2</v>
      </c>
      <c r="L68" s="40">
        <f>IFERROR(aurora_data!K404 + aurora_data!K413,0)</f>
        <v>2</v>
      </c>
      <c r="M68" s="40">
        <f>IFERROR(aurora_data!L404 + aurora_data!L413,0)</f>
        <v>2</v>
      </c>
      <c r="N68" s="41">
        <f>IFERROR(aurora_data!M404 + aurora_data!M413,0)</f>
        <v>2</v>
      </c>
      <c r="O68" s="39">
        <f>IFERROR(aurora_data!N404 + aurora_data!N413,0)</f>
        <v>2</v>
      </c>
      <c r="P68" s="40">
        <f>IFERROR(aurora_data!O404 + aurora_data!O413,0)</f>
        <v>2</v>
      </c>
      <c r="Q68" s="40">
        <f>IFERROR(aurora_data!P404 + aurora_data!P413,0)</f>
        <v>2</v>
      </c>
      <c r="R68" s="41">
        <f>IFERROR(aurora_data!Q404 + aurora_data!Q413,0)</f>
        <v>2</v>
      </c>
      <c r="S68" s="40">
        <f>IFERROR(aurora_data!R404 + aurora_data!R413,0)</f>
        <v>2</v>
      </c>
      <c r="T68" s="40">
        <f>IFERROR(aurora_data!S404 + aurora_data!S413,0)</f>
        <v>2</v>
      </c>
      <c r="U68" s="41">
        <f>IFERROR(aurora_data!T404 + aurora_data!T413,0)</f>
        <v>0</v>
      </c>
      <c r="V68" s="61" t="s">
        <v>354</v>
      </c>
      <c r="W68" s="39">
        <f>IFERROR(aurora_data!U404 + aurora_data!U413,0)</f>
        <v>40</v>
      </c>
      <c r="X68" s="69">
        <f t="shared" ref="X68:X76" si="12">IFERROR(W68/$W$68,0)</f>
        <v>1</v>
      </c>
      <c r="Y68"/>
      <c r="Z68"/>
    </row>
    <row r="69" spans="2:26">
      <c r="B69" s="452"/>
      <c r="C69" s="454"/>
      <c r="D69" s="35" t="s">
        <v>339</v>
      </c>
      <c r="E69" s="113">
        <f>IFERROR(aurora_data!D405 + aurora_data!D414,0)</f>
        <v>1</v>
      </c>
      <c r="F69" s="253">
        <f>IFERROR(aurora_data!E405 + aurora_data!E414,0)</f>
        <v>3</v>
      </c>
      <c r="G69" s="253">
        <f>IFERROR(aurora_data!F405 + aurora_data!F414,0)</f>
        <v>9</v>
      </c>
      <c r="H69" s="253">
        <f>IFERROR(aurora_data!G405 + aurora_data!G414,0)</f>
        <v>12</v>
      </c>
      <c r="I69" s="254">
        <f>IFERROR(aurora_data!H405 + aurora_data!H414,0)</f>
        <v>15</v>
      </c>
      <c r="J69" s="113">
        <f>IFERROR(aurora_data!I405 + aurora_data!I414,0)</f>
        <v>1</v>
      </c>
      <c r="K69" s="253">
        <f>IFERROR(aurora_data!J405 + aurora_data!J414,0)</f>
        <v>8</v>
      </c>
      <c r="L69" s="253">
        <f>IFERROR(aurora_data!K405 + aurora_data!K414,0)</f>
        <v>7</v>
      </c>
      <c r="M69" s="253">
        <f>IFERROR(aurora_data!L405 + aurora_data!L414,0)</f>
        <v>5</v>
      </c>
      <c r="N69" s="254">
        <f>IFERROR(aurora_data!M405 + aurora_data!M414,0)</f>
        <v>19</v>
      </c>
      <c r="O69" s="113">
        <f>IFERROR(aurora_data!N405 + aurora_data!N414,0)</f>
        <v>9</v>
      </c>
      <c r="P69" s="253">
        <f>IFERROR(aurora_data!O405 + aurora_data!O414,0)</f>
        <v>8</v>
      </c>
      <c r="Q69" s="253">
        <f>IFERROR(aurora_data!P405 + aurora_data!P414,0)</f>
        <v>14</v>
      </c>
      <c r="R69" s="254">
        <f>IFERROR(aurora_data!Q405 + aurora_data!Q414,0)</f>
        <v>9</v>
      </c>
      <c r="S69" s="253">
        <f>IFERROR(aurora_data!R405 + aurora_data!R414,0)</f>
        <v>26</v>
      </c>
      <c r="T69" s="253">
        <f>IFERROR(aurora_data!S405 + aurora_data!S414,0)</f>
        <v>14</v>
      </c>
      <c r="U69" s="254">
        <f>IFERROR(aurora_data!T405 + aurora_data!T414,0)</f>
        <v>0</v>
      </c>
      <c r="V69" s="61" t="s">
        <v>354</v>
      </c>
      <c r="W69" s="113">
        <f>IFERROR(aurora_data!U405 + aurora_data!U414,0)</f>
        <v>40</v>
      </c>
      <c r="X69" s="255">
        <f t="shared" si="12"/>
        <v>1</v>
      </c>
      <c r="Y69"/>
      <c r="Z69"/>
    </row>
    <row r="70" spans="2:26">
      <c r="B70" s="452"/>
      <c r="C70" s="454"/>
      <c r="D70" s="35" t="s">
        <v>291</v>
      </c>
      <c r="E70" s="113">
        <f>IFERROR(aurora_data!D406 + aurora_data!D415,0)</f>
        <v>0</v>
      </c>
      <c r="F70" s="253">
        <f>IFERROR(aurora_data!E406 + aurora_data!E415,0)</f>
        <v>0</v>
      </c>
      <c r="G70" s="253">
        <f>IFERROR(aurora_data!F406 + aurora_data!F415,0)</f>
        <v>0</v>
      </c>
      <c r="H70" s="253">
        <f>IFERROR(aurora_data!G406 + aurora_data!G415,0)</f>
        <v>0</v>
      </c>
      <c r="I70" s="254">
        <f>IFERROR(aurora_data!H406 + aurora_data!H415,0)</f>
        <v>0</v>
      </c>
      <c r="J70" s="113">
        <f>IFERROR(aurora_data!I406 + aurora_data!I415,0)</f>
        <v>0</v>
      </c>
      <c r="K70" s="253">
        <f>IFERROR(aurora_data!J406 + aurora_data!J415,0)</f>
        <v>0</v>
      </c>
      <c r="L70" s="253">
        <f>IFERROR(aurora_data!K406 + aurora_data!K415,0)</f>
        <v>0</v>
      </c>
      <c r="M70" s="253">
        <f>IFERROR(aurora_data!L406 + aurora_data!L415,0)</f>
        <v>0</v>
      </c>
      <c r="N70" s="254">
        <f>IFERROR(aurora_data!M406 + aurora_data!M415,0)</f>
        <v>0</v>
      </c>
      <c r="O70" s="113">
        <f>IFERROR(aurora_data!N406 + aurora_data!N415,0)</f>
        <v>0</v>
      </c>
      <c r="P70" s="253">
        <f>IFERROR(aurora_data!O406 + aurora_data!O415,0)</f>
        <v>0</v>
      </c>
      <c r="Q70" s="253">
        <f>IFERROR(aurora_data!P406 + aurora_data!P415,0)</f>
        <v>0</v>
      </c>
      <c r="R70" s="254">
        <f>IFERROR(aurora_data!Q406 + aurora_data!Q415,0)</f>
        <v>0</v>
      </c>
      <c r="S70" s="253">
        <f>IFERROR(aurora_data!R406 + aurora_data!R415,0)</f>
        <v>0</v>
      </c>
      <c r="T70" s="253">
        <f>IFERROR(aurora_data!S406 + aurora_data!S415,0)</f>
        <v>0</v>
      </c>
      <c r="U70" s="254">
        <f>IFERROR(aurora_data!T406 + aurora_data!T415,0)</f>
        <v>0</v>
      </c>
      <c r="V70" s="61" t="s">
        <v>354</v>
      </c>
      <c r="W70" s="113">
        <f>IFERROR(aurora_data!U406 + aurora_data!U415,0)</f>
        <v>0</v>
      </c>
      <c r="X70" s="255">
        <f t="shared" si="12"/>
        <v>0</v>
      </c>
      <c r="Y70"/>
      <c r="Z70"/>
    </row>
    <row r="71" spans="2:26">
      <c r="B71" s="452"/>
      <c r="C71" s="454"/>
      <c r="D71" s="35" t="s">
        <v>340</v>
      </c>
      <c r="E71" s="113">
        <f>IFERROR(aurora_data!D407 + aurora_data!D416,0)</f>
        <v>0</v>
      </c>
      <c r="F71" s="253">
        <f>IFERROR(aurora_data!E407 + aurora_data!E416,0)</f>
        <v>0</v>
      </c>
      <c r="G71" s="253">
        <f>IFERROR(aurora_data!F407 + aurora_data!F416,0)</f>
        <v>0</v>
      </c>
      <c r="H71" s="253">
        <f>IFERROR(aurora_data!G407 + aurora_data!G416,0)</f>
        <v>0</v>
      </c>
      <c r="I71" s="254">
        <f>IFERROR(aurora_data!H407 + aurora_data!H416,0)</f>
        <v>0</v>
      </c>
      <c r="J71" s="113">
        <f>IFERROR(aurora_data!I407 + aurora_data!I416,0)</f>
        <v>0</v>
      </c>
      <c r="K71" s="253">
        <f>IFERROR(aurora_data!J407 + aurora_data!J416,0)</f>
        <v>0</v>
      </c>
      <c r="L71" s="253">
        <f>IFERROR(aurora_data!K407 + aurora_data!K416,0)</f>
        <v>0</v>
      </c>
      <c r="M71" s="253">
        <f>IFERROR(aurora_data!L407 + aurora_data!L416,0)</f>
        <v>0</v>
      </c>
      <c r="N71" s="254">
        <f>IFERROR(aurora_data!M407 + aurora_data!M416,0)</f>
        <v>0</v>
      </c>
      <c r="O71" s="113">
        <f>IFERROR(aurora_data!N407 + aurora_data!N416,0)</f>
        <v>0</v>
      </c>
      <c r="P71" s="253">
        <f>IFERROR(aurora_data!O407 + aurora_data!O416,0)</f>
        <v>0</v>
      </c>
      <c r="Q71" s="253">
        <f>IFERROR(aurora_data!P407 + aurora_data!P416,0)</f>
        <v>0</v>
      </c>
      <c r="R71" s="254">
        <f>IFERROR(aurora_data!Q407 + aurora_data!Q416,0)</f>
        <v>0</v>
      </c>
      <c r="S71" s="253">
        <f>IFERROR(aurora_data!R407 + aurora_data!R416,0)</f>
        <v>0</v>
      </c>
      <c r="T71" s="253">
        <f>IFERROR(aurora_data!S407 + aurora_data!S416,0)</f>
        <v>0</v>
      </c>
      <c r="U71" s="254">
        <f>IFERROR(aurora_data!T407 + aurora_data!T416,0)</f>
        <v>0</v>
      </c>
      <c r="V71" s="61" t="s">
        <v>354</v>
      </c>
      <c r="W71" s="113">
        <f>IFERROR(aurora_data!U407 + aurora_data!U416,0)</f>
        <v>0</v>
      </c>
      <c r="X71" s="255">
        <f t="shared" si="12"/>
        <v>0</v>
      </c>
      <c r="Y71"/>
      <c r="Z71"/>
    </row>
    <row r="72" spans="2:26">
      <c r="B72" s="452"/>
      <c r="C72" s="454"/>
      <c r="D72" s="35" t="s">
        <v>298</v>
      </c>
      <c r="E72" s="113">
        <f>IFERROR(aurora_data!D408 + aurora_data!D417,0)</f>
        <v>0</v>
      </c>
      <c r="F72" s="253">
        <f>IFERROR(aurora_data!E408 + aurora_data!E417,0)</f>
        <v>0</v>
      </c>
      <c r="G72" s="253">
        <f>IFERROR(aurora_data!F408 + aurora_data!F417,0)</f>
        <v>0</v>
      </c>
      <c r="H72" s="253">
        <f>IFERROR(aurora_data!G408 + aurora_data!G417,0)</f>
        <v>0</v>
      </c>
      <c r="I72" s="254">
        <f>IFERROR(aurora_data!H408 + aurora_data!H417,0)</f>
        <v>0</v>
      </c>
      <c r="J72" s="113">
        <f>IFERROR(aurora_data!I408 + aurora_data!I417,0)</f>
        <v>0</v>
      </c>
      <c r="K72" s="253">
        <f>IFERROR(aurora_data!J408 + aurora_data!J417,0)</f>
        <v>0</v>
      </c>
      <c r="L72" s="253">
        <f>IFERROR(aurora_data!K408 + aurora_data!K417,0)</f>
        <v>0</v>
      </c>
      <c r="M72" s="253">
        <f>IFERROR(aurora_data!L408 + aurora_data!L417,0)</f>
        <v>0</v>
      </c>
      <c r="N72" s="254">
        <f>IFERROR(aurora_data!M408 + aurora_data!M417,0)</f>
        <v>0</v>
      </c>
      <c r="O72" s="113">
        <f>IFERROR(aurora_data!N408 + aurora_data!N417,0)</f>
        <v>0</v>
      </c>
      <c r="P72" s="253">
        <f>IFERROR(aurora_data!O408 + aurora_data!O417,0)</f>
        <v>0</v>
      </c>
      <c r="Q72" s="253">
        <f>IFERROR(aurora_data!P408 + aurora_data!P417,0)</f>
        <v>0</v>
      </c>
      <c r="R72" s="254">
        <f>IFERROR(aurora_data!Q408 + aurora_data!Q417,0)</f>
        <v>0</v>
      </c>
      <c r="S72" s="253">
        <f>IFERROR(aurora_data!R408 + aurora_data!R417,0)</f>
        <v>0</v>
      </c>
      <c r="T72" s="253">
        <f>IFERROR(aurora_data!S408 + aurora_data!S417,0)</f>
        <v>0</v>
      </c>
      <c r="U72" s="254">
        <f>IFERROR(aurora_data!T408 + aurora_data!T417,0)</f>
        <v>0</v>
      </c>
      <c r="V72" s="61" t="s">
        <v>354</v>
      </c>
      <c r="W72" s="113">
        <f>IFERROR(aurora_data!U408 + aurora_data!U417,0)</f>
        <v>0</v>
      </c>
      <c r="X72" s="255">
        <f t="shared" si="12"/>
        <v>0</v>
      </c>
      <c r="Y72"/>
      <c r="Z72"/>
    </row>
    <row r="73" spans="2:26">
      <c r="B73" s="452"/>
      <c r="C73" s="454"/>
      <c r="D73" s="35" t="s">
        <v>341</v>
      </c>
      <c r="E73" s="113">
        <f>IFERROR(aurora_data!D409 + aurora_data!D418,0)</f>
        <v>0</v>
      </c>
      <c r="F73" s="253">
        <f>IFERROR(aurora_data!E409 + aurora_data!E418,0)</f>
        <v>0</v>
      </c>
      <c r="G73" s="253">
        <f>IFERROR(aurora_data!F409 + aurora_data!F418,0)</f>
        <v>0</v>
      </c>
      <c r="H73" s="253">
        <f>IFERROR(aurora_data!G409 + aurora_data!G418,0)</f>
        <v>0</v>
      </c>
      <c r="I73" s="254">
        <f>IFERROR(aurora_data!H409 + aurora_data!H418,0)</f>
        <v>0</v>
      </c>
      <c r="J73" s="113">
        <f>IFERROR(aurora_data!I409 + aurora_data!I418,0)</f>
        <v>0</v>
      </c>
      <c r="K73" s="253">
        <f>IFERROR(aurora_data!J409 + aurora_data!J418,0)</f>
        <v>0</v>
      </c>
      <c r="L73" s="253">
        <f>IFERROR(aurora_data!K409 + aurora_data!K418,0)</f>
        <v>0</v>
      </c>
      <c r="M73" s="253">
        <f>IFERROR(aurora_data!L409 + aurora_data!L418,0)</f>
        <v>0</v>
      </c>
      <c r="N73" s="254">
        <f>IFERROR(aurora_data!M409 + aurora_data!M418,0)</f>
        <v>0</v>
      </c>
      <c r="O73" s="113">
        <f>IFERROR(aurora_data!N409 + aurora_data!N418,0)</f>
        <v>0</v>
      </c>
      <c r="P73" s="253">
        <f>IFERROR(aurora_data!O409 + aurora_data!O418,0)</f>
        <v>0</v>
      </c>
      <c r="Q73" s="253">
        <f>IFERROR(aurora_data!P409 + aurora_data!P418,0)</f>
        <v>0</v>
      </c>
      <c r="R73" s="254">
        <f>IFERROR(aurora_data!Q409 + aurora_data!Q418,0)</f>
        <v>0</v>
      </c>
      <c r="S73" s="253">
        <f>IFERROR(aurora_data!R409 + aurora_data!R418,0)</f>
        <v>0</v>
      </c>
      <c r="T73" s="253">
        <f>IFERROR(aurora_data!S409 + aurora_data!S418,0)</f>
        <v>0</v>
      </c>
      <c r="U73" s="254">
        <f>IFERROR(aurora_data!T409 + aurora_data!T418,0)</f>
        <v>0</v>
      </c>
      <c r="V73" s="61" t="s">
        <v>354</v>
      </c>
      <c r="W73" s="113">
        <f>IFERROR(aurora_data!U409 + aurora_data!U418,0)</f>
        <v>0</v>
      </c>
      <c r="X73" s="255">
        <f t="shared" si="12"/>
        <v>0</v>
      </c>
      <c r="Y73"/>
      <c r="Z73"/>
    </row>
    <row r="74" spans="2:26" ht="16.5" thickBot="1">
      <c r="B74" s="452"/>
      <c r="C74" s="454"/>
      <c r="D74" s="35" t="s">
        <v>342</v>
      </c>
      <c r="E74" s="113">
        <f>IFERROR(aurora_data!D410 + aurora_data!D419,0)</f>
        <v>0</v>
      </c>
      <c r="F74" s="253">
        <f>IFERROR(aurora_data!E410 + aurora_data!E419,0)</f>
        <v>0</v>
      </c>
      <c r="G74" s="253">
        <f>IFERROR(aurora_data!F410 + aurora_data!F419,0)</f>
        <v>0</v>
      </c>
      <c r="H74" s="253">
        <f>IFERROR(aurora_data!G410 + aurora_data!G419,0)</f>
        <v>0</v>
      </c>
      <c r="I74" s="254">
        <f>IFERROR(aurora_data!H410 + aurora_data!H419,0)</f>
        <v>0</v>
      </c>
      <c r="J74" s="113">
        <f>IFERROR(aurora_data!I410 + aurora_data!I419,0)</f>
        <v>0</v>
      </c>
      <c r="K74" s="253">
        <f>IFERROR(aurora_data!J410 + aurora_data!J419,0)</f>
        <v>0</v>
      </c>
      <c r="L74" s="253">
        <f>IFERROR(aurora_data!K410 + aurora_data!K419,0)</f>
        <v>0</v>
      </c>
      <c r="M74" s="253">
        <f>IFERROR(aurora_data!L410 + aurora_data!L419,0)</f>
        <v>0</v>
      </c>
      <c r="N74" s="254">
        <f>IFERROR(aurora_data!M410 + aurora_data!M419,0)</f>
        <v>0</v>
      </c>
      <c r="O74" s="113">
        <f>IFERROR(aurora_data!N410 + aurora_data!N419,0)</f>
        <v>0</v>
      </c>
      <c r="P74" s="253">
        <f>IFERROR(aurora_data!O410 + aurora_data!O419,0)</f>
        <v>0</v>
      </c>
      <c r="Q74" s="253">
        <f>IFERROR(aurora_data!P410 + aurora_data!P419,0)</f>
        <v>0</v>
      </c>
      <c r="R74" s="254">
        <f>IFERROR(aurora_data!Q410 + aurora_data!Q419,0)</f>
        <v>0</v>
      </c>
      <c r="S74" s="253">
        <f>IFERROR(aurora_data!R410 + aurora_data!R419,0)</f>
        <v>0</v>
      </c>
      <c r="T74" s="253">
        <f>IFERROR(aurora_data!S410 + aurora_data!S419,0)</f>
        <v>0</v>
      </c>
      <c r="U74" s="254">
        <f>IFERROR(aurora_data!T410 + aurora_data!T419,0)</f>
        <v>0</v>
      </c>
      <c r="V74" s="61" t="s">
        <v>354</v>
      </c>
      <c r="W74" s="113">
        <f>IFERROR(aurora_data!U410 + aurora_data!U419,0)</f>
        <v>0</v>
      </c>
      <c r="X74" s="255">
        <f t="shared" si="12"/>
        <v>0</v>
      </c>
      <c r="Y74"/>
      <c r="Z74"/>
    </row>
    <row r="75" spans="2:26" ht="16.5" thickBot="1">
      <c r="B75" s="452"/>
      <c r="C75" s="454"/>
      <c r="D75" s="37" t="s">
        <v>17</v>
      </c>
      <c r="E75" s="59">
        <f>IFERROR(aurora_data!D411 + aurora_data!D420,0)</f>
        <v>1</v>
      </c>
      <c r="F75" s="64">
        <f>IFERROR(aurora_data!E411 + aurora_data!E420,0)</f>
        <v>3</v>
      </c>
      <c r="G75" s="64">
        <f>IFERROR(aurora_data!F411 + aurora_data!F420,0)</f>
        <v>9</v>
      </c>
      <c r="H75" s="64">
        <f>IFERROR(aurora_data!G411 + aurora_data!G420,0)</f>
        <v>12</v>
      </c>
      <c r="I75" s="65">
        <f>IFERROR(aurora_data!H411 + aurora_data!H420,0)</f>
        <v>15</v>
      </c>
      <c r="J75" s="59">
        <f>IFERROR(aurora_data!I411 + aurora_data!I420,0)</f>
        <v>1</v>
      </c>
      <c r="K75" s="64">
        <f>IFERROR(aurora_data!J411 + aurora_data!J420,0)</f>
        <v>8</v>
      </c>
      <c r="L75" s="64">
        <f>IFERROR(aurora_data!K411 + aurora_data!K420,0)</f>
        <v>7</v>
      </c>
      <c r="M75" s="64">
        <f>IFERROR(aurora_data!L411 + aurora_data!L420,0)</f>
        <v>5</v>
      </c>
      <c r="N75" s="65">
        <f>IFERROR(aurora_data!M411 + aurora_data!M420,0)</f>
        <v>19</v>
      </c>
      <c r="O75" s="59">
        <f>IFERROR(aurora_data!N411 + aurora_data!N420,0)</f>
        <v>9</v>
      </c>
      <c r="P75" s="64">
        <f>IFERROR(aurora_data!O411 + aurora_data!O420,0)</f>
        <v>8</v>
      </c>
      <c r="Q75" s="64">
        <f>IFERROR(aurora_data!P411 + aurora_data!P420,0)</f>
        <v>14</v>
      </c>
      <c r="R75" s="65">
        <f>IFERROR(aurora_data!Q411 + aurora_data!Q420,0)</f>
        <v>9</v>
      </c>
      <c r="S75" s="64">
        <f>IFERROR(aurora_data!R411 + aurora_data!R420,0)</f>
        <v>26</v>
      </c>
      <c r="T75" s="64">
        <f>IFERROR(aurora_data!S411 + aurora_data!S420,0)</f>
        <v>14</v>
      </c>
      <c r="U75" s="65">
        <f>IFERROR(aurora_data!T411 + aurora_data!T420,0)</f>
        <v>0</v>
      </c>
      <c r="V75" s="66" t="s">
        <v>354</v>
      </c>
      <c r="W75" s="59">
        <f>IFERROR(aurora_data!U411 + aurora_data!U420,0)</f>
        <v>40</v>
      </c>
      <c r="X75" s="70">
        <f t="shared" si="12"/>
        <v>1</v>
      </c>
      <c r="Y75"/>
      <c r="Z75"/>
    </row>
    <row r="76" spans="2:26" ht="16.5" thickBot="1">
      <c r="B76" s="452"/>
      <c r="C76" s="454"/>
      <c r="D76" s="38" t="s">
        <v>343</v>
      </c>
      <c r="E76" s="256">
        <f>IFERROR(aurora_data!D412 + aurora_data!D421,0)</f>
        <v>0</v>
      </c>
      <c r="F76" s="257">
        <f>IFERROR(aurora_data!E412 + aurora_data!E421,0)</f>
        <v>0</v>
      </c>
      <c r="G76" s="257">
        <f>IFERROR(aurora_data!F412 + aurora_data!F421,0)</f>
        <v>0</v>
      </c>
      <c r="H76" s="257">
        <f>IFERROR(aurora_data!G412 + aurora_data!G421,0)</f>
        <v>0</v>
      </c>
      <c r="I76" s="258">
        <f>IFERROR(aurora_data!H412 + aurora_data!H421,0)</f>
        <v>0</v>
      </c>
      <c r="J76" s="256">
        <f>IFERROR(aurora_data!I412 + aurora_data!I421,0)</f>
        <v>0</v>
      </c>
      <c r="K76" s="257">
        <f>IFERROR(aurora_data!J412 + aurora_data!J421,0)</f>
        <v>0</v>
      </c>
      <c r="L76" s="257">
        <f>IFERROR(aurora_data!K412 + aurora_data!K421,0)</f>
        <v>0</v>
      </c>
      <c r="M76" s="257">
        <f>IFERROR(aurora_data!L412 + aurora_data!L421,0)</f>
        <v>0</v>
      </c>
      <c r="N76" s="258">
        <f>IFERROR(aurora_data!M412 + aurora_data!M421,0)</f>
        <v>0</v>
      </c>
      <c r="O76" s="256">
        <f>IFERROR(aurora_data!N412 + aurora_data!N421,0)</f>
        <v>0</v>
      </c>
      <c r="P76" s="257">
        <f>IFERROR(aurora_data!O412 + aurora_data!O421,0)</f>
        <v>0</v>
      </c>
      <c r="Q76" s="257">
        <f>IFERROR(aurora_data!P412 + aurora_data!P421,0)</f>
        <v>0</v>
      </c>
      <c r="R76" s="258">
        <f>IFERROR(aurora_data!Q412 + aurora_data!Q421,0)</f>
        <v>0</v>
      </c>
      <c r="S76" s="257">
        <f>IFERROR(aurora_data!R412 + aurora_data!R421,0)</f>
        <v>0</v>
      </c>
      <c r="T76" s="257">
        <f>IFERROR(aurora_data!S412 + aurora_data!S421,0)</f>
        <v>0</v>
      </c>
      <c r="U76" s="259">
        <f>IFERROR(aurora_data!T412 + aurora_data!T421,0)</f>
        <v>0</v>
      </c>
      <c r="V76" s="260" t="s">
        <v>354</v>
      </c>
      <c r="W76" s="256">
        <f>IFERROR(aurora_data!U412 + aurora_data!U421,0)</f>
        <v>0</v>
      </c>
      <c r="X76" s="261">
        <f t="shared" si="12"/>
        <v>0</v>
      </c>
      <c r="Y76"/>
      <c r="Z76"/>
    </row>
    <row r="77" spans="2:26" outlineLevel="1">
      <c r="B77" s="452"/>
      <c r="C77" s="454"/>
      <c r="D77" s="199" t="s">
        <v>344</v>
      </c>
      <c r="E77" s="271">
        <f>ROUNDDOWN((E79+$E$9)*($W68),0)</f>
        <v>3</v>
      </c>
      <c r="F77" s="272">
        <f>ROUNDDOWN((F79+$E$9)*($W68),0)</f>
        <v>4</v>
      </c>
      <c r="G77" s="272">
        <f>ROUNDDOWN((G79+$E$9)*($W68),0)</f>
        <v>9</v>
      </c>
      <c r="H77" s="272">
        <f>ROUNDDOWN((H79+$E$9)*($W68),0)</f>
        <v>14</v>
      </c>
      <c r="I77" s="272">
        <f>ROUNDDOWN((I79+$E$9)*($W68),0)</f>
        <v>16</v>
      </c>
      <c r="J77" s="271"/>
      <c r="K77" s="272"/>
      <c r="L77" s="272"/>
      <c r="M77" s="272"/>
      <c r="N77" s="268"/>
      <c r="O77" s="271"/>
      <c r="P77" s="272"/>
      <c r="Q77" s="272"/>
      <c r="R77" s="268"/>
      <c r="S77" s="265"/>
      <c r="T77" s="272"/>
      <c r="U77" s="282"/>
      <c r="V77" s="61"/>
      <c r="W77" s="291"/>
      <c r="X77" s="286"/>
      <c r="Y77"/>
      <c r="Z77"/>
    </row>
    <row r="78" spans="2:26" outlineLevel="1">
      <c r="B78" s="452"/>
      <c r="C78" s="454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1.36</v>
      </c>
      <c r="G78" s="277">
        <f>IF(ROUND(((G79-$E$9)*($W68))+0.25,0) &lt;=0,1,((G79-$E$9)*($W68))+0.25)</f>
        <v>6.6599999999999993</v>
      </c>
      <c r="H78" s="277">
        <f>IF(ROUND(((H79-$E$9)*($W68))+0.25,0) &lt;=0,1,((H79-$E$9)*($W68))+0.25)</f>
        <v>11.229999999999999</v>
      </c>
      <c r="I78" s="277">
        <f>IF(ROUND(((I79-$E$9)*($W68))+0.25,0) &lt;=0,1,((I79-$E$9)*($W68))+0.25)</f>
        <v>13.78</v>
      </c>
      <c r="J78" s="276"/>
      <c r="K78" s="277"/>
      <c r="L78" s="277"/>
      <c r="M78" s="277"/>
      <c r="N78" s="278"/>
      <c r="O78" s="276"/>
      <c r="P78" s="277"/>
      <c r="Q78" s="277"/>
      <c r="R78" s="278"/>
      <c r="S78" s="276"/>
      <c r="T78" s="277"/>
      <c r="U78" s="287"/>
      <c r="V78" s="61"/>
      <c r="W78" s="285"/>
      <c r="X78" s="287"/>
      <c r="Y78"/>
      <c r="Z78"/>
    </row>
    <row r="79" spans="2:26" outlineLevel="1">
      <c r="B79" s="452"/>
      <c r="C79" s="454"/>
      <c r="D79" s="95" t="s">
        <v>346</v>
      </c>
      <c r="E79" s="414">
        <f>IFERROR(E68/$W68,0)</f>
        <v>0.04</v>
      </c>
      <c r="F79" s="415">
        <f t="shared" ref="F79:I79" si="13">IFERROR(F68/$W68,0)</f>
        <v>6.7750000000000005E-2</v>
      </c>
      <c r="G79" s="415">
        <f t="shared" si="13"/>
        <v>0.20024999999999998</v>
      </c>
      <c r="H79" s="415">
        <f t="shared" si="13"/>
        <v>0.31449999999999995</v>
      </c>
      <c r="I79" s="415">
        <f t="shared" si="13"/>
        <v>0.37824999999999998</v>
      </c>
      <c r="J79" s="414"/>
      <c r="K79" s="415"/>
      <c r="L79" s="415"/>
      <c r="M79" s="415"/>
      <c r="N79" s="416"/>
      <c r="O79" s="414"/>
      <c r="P79" s="415"/>
      <c r="Q79" s="415"/>
      <c r="R79" s="416"/>
      <c r="S79" s="414"/>
      <c r="T79" s="415"/>
      <c r="U79" s="254"/>
      <c r="V79" s="61"/>
      <c r="W79" s="113"/>
      <c r="X79" s="431"/>
      <c r="Y79"/>
      <c r="Z79"/>
    </row>
    <row r="80" spans="2:26" outlineLevel="1">
      <c r="B80" s="452"/>
      <c r="C80" s="454"/>
      <c r="D80" s="180" t="s">
        <v>347</v>
      </c>
      <c r="E80" s="414">
        <f>IFERROR(E69/$W68,0)</f>
        <v>2.5000000000000001E-2</v>
      </c>
      <c r="F80" s="415">
        <f t="shared" ref="F80:I80" si="14">IFERROR(F69/$W68,0)</f>
        <v>7.4999999999999997E-2</v>
      </c>
      <c r="G80" s="415">
        <f t="shared" si="14"/>
        <v>0.22500000000000001</v>
      </c>
      <c r="H80" s="415">
        <f t="shared" si="14"/>
        <v>0.3</v>
      </c>
      <c r="I80" s="415">
        <f t="shared" si="14"/>
        <v>0.375</v>
      </c>
      <c r="J80" s="414"/>
      <c r="K80" s="415"/>
      <c r="L80" s="415"/>
      <c r="M80" s="415"/>
      <c r="N80" s="416"/>
      <c r="O80" s="414"/>
      <c r="P80" s="415"/>
      <c r="Q80" s="415"/>
      <c r="R80" s="416"/>
      <c r="S80" s="414"/>
      <c r="T80" s="415"/>
      <c r="U80" s="254"/>
      <c r="V80" s="61"/>
      <c r="W80" s="113"/>
      <c r="X80" s="431"/>
      <c r="Y80"/>
      <c r="Z80"/>
    </row>
    <row r="81" spans="2:26" ht="16.5" outlineLevel="1" thickBot="1">
      <c r="B81" s="456"/>
      <c r="C81" s="455"/>
      <c r="D81" s="180" t="s">
        <v>348</v>
      </c>
      <c r="E81" s="414">
        <f>E80-E79</f>
        <v>-1.4999999999999999E-2</v>
      </c>
      <c r="F81" s="415">
        <f>F80-F79</f>
        <v>7.2499999999999926E-3</v>
      </c>
      <c r="G81" s="415">
        <f>G80-G79</f>
        <v>2.4750000000000022E-2</v>
      </c>
      <c r="H81" s="415">
        <f>H80-H79</f>
        <v>-1.4499999999999957E-2</v>
      </c>
      <c r="I81" s="415">
        <f>I80-I79</f>
        <v>-3.2499999999999751E-3</v>
      </c>
      <c r="J81" s="414"/>
      <c r="K81" s="415"/>
      <c r="L81" s="415"/>
      <c r="M81" s="415"/>
      <c r="N81" s="416"/>
      <c r="O81" s="414"/>
      <c r="P81" s="415"/>
      <c r="Q81" s="415"/>
      <c r="R81" s="416"/>
      <c r="S81" s="432"/>
      <c r="T81" s="415"/>
      <c r="U81" s="254"/>
      <c r="V81" s="61"/>
      <c r="W81" s="113"/>
      <c r="X81" s="431"/>
      <c r="Y81"/>
      <c r="Z81"/>
    </row>
    <row r="82" spans="2:26">
      <c r="B82" s="568" t="s">
        <v>338</v>
      </c>
      <c r="C82" s="449" t="s">
        <v>150</v>
      </c>
      <c r="D82" s="34" t="s">
        <v>306</v>
      </c>
      <c r="E82" s="39">
        <f>IFERROR(aurora_data!D431,0)</f>
        <v>7.35</v>
      </c>
      <c r="F82" s="40">
        <f>IFERROR(aurora_data!E431,0)</f>
        <v>12.97</v>
      </c>
      <c r="G82" s="40">
        <f>IFERROR(aurora_data!F431,0)</f>
        <v>43.92</v>
      </c>
      <c r="H82" s="40">
        <f>IFERROR(aurora_data!G431,0)</f>
        <v>70.239999999999995</v>
      </c>
      <c r="I82" s="41">
        <f>IFERROR(aurora_data!H431,0)</f>
        <v>85.55</v>
      </c>
      <c r="J82" s="39">
        <f>IFERROR(aurora_data!I431,0)</f>
        <v>11</v>
      </c>
      <c r="K82" s="40">
        <f>IFERROR(aurora_data!J431,0)</f>
        <v>11</v>
      </c>
      <c r="L82" s="40">
        <f>IFERROR(aurora_data!K431,0)</f>
        <v>11</v>
      </c>
      <c r="M82" s="40">
        <f>IFERROR(aurora_data!L431,0)</f>
        <v>11</v>
      </c>
      <c r="N82" s="41">
        <f>IFERROR(aurora_data!M431,0)</f>
        <v>11</v>
      </c>
      <c r="O82" s="39">
        <f>IFERROR(aurora_data!N431,0)</f>
        <v>11</v>
      </c>
      <c r="P82" s="40">
        <f>IFERROR(aurora_data!O431,0)</f>
        <v>11</v>
      </c>
      <c r="Q82" s="40">
        <f>IFERROR(aurora_data!P431,0)</f>
        <v>11</v>
      </c>
      <c r="R82" s="41">
        <f>IFERROR(aurora_data!Q431,0)</f>
        <v>11</v>
      </c>
      <c r="S82" s="40">
        <f>IFERROR(aurora_data!R431,0)</f>
        <v>11</v>
      </c>
      <c r="T82" s="40">
        <f>IFERROR(aurora_data!S431,0)</f>
        <v>11</v>
      </c>
      <c r="U82" s="41">
        <f>IFERROR(aurora_data!T431,0)</f>
        <v>0</v>
      </c>
      <c r="V82" s="61" t="s">
        <v>354</v>
      </c>
      <c r="W82" s="39">
        <f>IFERROR(aurora_data!U431,0)</f>
        <v>220</v>
      </c>
      <c r="X82" s="69">
        <f t="shared" ref="X82:X90" si="15">IFERROR(W82/$W$82,0)</f>
        <v>1</v>
      </c>
      <c r="Y82"/>
      <c r="Z82"/>
    </row>
    <row r="83" spans="2:26">
      <c r="B83" s="569"/>
      <c r="C83" s="450"/>
      <c r="D83" s="35" t="s">
        <v>339</v>
      </c>
      <c r="E83" s="113">
        <f>IFERROR(aurora_data!D432,0)</f>
        <v>9</v>
      </c>
      <c r="F83" s="253">
        <f>IFERROR(aurora_data!E432,0)</f>
        <v>17</v>
      </c>
      <c r="G83" s="253">
        <f>IFERROR(aurora_data!F432,0)</f>
        <v>45</v>
      </c>
      <c r="H83" s="253">
        <f>IFERROR(aurora_data!G432,0)</f>
        <v>68</v>
      </c>
      <c r="I83" s="254">
        <f>IFERROR(aurora_data!H432,0)</f>
        <v>80</v>
      </c>
      <c r="J83" s="113">
        <f>IFERROR(aurora_data!I432,0)</f>
        <v>15</v>
      </c>
      <c r="K83" s="253">
        <f>IFERROR(aurora_data!J432,0)</f>
        <v>30</v>
      </c>
      <c r="L83" s="253">
        <f>IFERROR(aurora_data!K432,0)</f>
        <v>51</v>
      </c>
      <c r="M83" s="253">
        <f>IFERROR(aurora_data!L432,0)</f>
        <v>22</v>
      </c>
      <c r="N83" s="254">
        <f>IFERROR(aurora_data!M432,0)</f>
        <v>101</v>
      </c>
      <c r="O83" s="113">
        <f>IFERROR(aurora_data!N432,0)</f>
        <v>58</v>
      </c>
      <c r="P83" s="253">
        <f>IFERROR(aurora_data!O432,0)</f>
        <v>34</v>
      </c>
      <c r="Q83" s="253">
        <f>IFERROR(aurora_data!P432,0)</f>
        <v>79</v>
      </c>
      <c r="R83" s="254">
        <f>IFERROR(aurora_data!Q432,0)</f>
        <v>48</v>
      </c>
      <c r="S83" s="253">
        <f>IFERROR(aurora_data!R432,0)</f>
        <v>118</v>
      </c>
      <c r="T83" s="253">
        <f>IFERROR(aurora_data!S432,0)</f>
        <v>101</v>
      </c>
      <c r="U83" s="254">
        <f>IFERROR(aurora_data!T432,0)</f>
        <v>0</v>
      </c>
      <c r="V83" s="61" t="s">
        <v>354</v>
      </c>
      <c r="W83" s="113">
        <f>IFERROR(aurora_data!U432,0)</f>
        <v>219</v>
      </c>
      <c r="X83" s="255">
        <f t="shared" si="15"/>
        <v>0.99545454545454548</v>
      </c>
      <c r="Y83"/>
      <c r="Z83"/>
    </row>
    <row r="84" spans="2:26">
      <c r="B84" s="569"/>
      <c r="C84" s="450"/>
      <c r="D84" s="35" t="s">
        <v>291</v>
      </c>
      <c r="E84" s="113">
        <f>IFERROR(aurora_data!D433,0)</f>
        <v>1</v>
      </c>
      <c r="F84" s="253">
        <f>IFERROR(aurora_data!E433,0)</f>
        <v>0</v>
      </c>
      <c r="G84" s="253">
        <f>IFERROR(aurora_data!F433,0)</f>
        <v>1</v>
      </c>
      <c r="H84" s="253">
        <f>IFERROR(aurora_data!G433,0)</f>
        <v>6</v>
      </c>
      <c r="I84" s="254">
        <f>IFERROR(aurora_data!H433,0)</f>
        <v>7</v>
      </c>
      <c r="J84" s="113">
        <f>IFERROR(aurora_data!I433,0)</f>
        <v>2</v>
      </c>
      <c r="K84" s="253">
        <f>IFERROR(aurora_data!J433,0)</f>
        <v>0</v>
      </c>
      <c r="L84" s="253">
        <f>IFERROR(aurora_data!K433,0)</f>
        <v>5</v>
      </c>
      <c r="M84" s="253">
        <f>IFERROR(aurora_data!L433,0)</f>
        <v>0</v>
      </c>
      <c r="N84" s="254">
        <f>IFERROR(aurora_data!M433,0)</f>
        <v>8</v>
      </c>
      <c r="O84" s="113">
        <f>IFERROR(aurora_data!N433,0)</f>
        <v>1</v>
      </c>
      <c r="P84" s="253">
        <f>IFERROR(aurora_data!O433,0)</f>
        <v>2</v>
      </c>
      <c r="Q84" s="253">
        <f>IFERROR(aurora_data!P433,0)</f>
        <v>9</v>
      </c>
      <c r="R84" s="254">
        <f>IFERROR(aurora_data!Q433,0)</f>
        <v>3</v>
      </c>
      <c r="S84" s="253">
        <f>IFERROR(aurora_data!R433,0)</f>
        <v>6</v>
      </c>
      <c r="T84" s="253">
        <f>IFERROR(aurora_data!S433,0)</f>
        <v>9</v>
      </c>
      <c r="U84" s="254">
        <f>IFERROR(aurora_data!T433,0)</f>
        <v>0</v>
      </c>
      <c r="V84" s="61" t="s">
        <v>354</v>
      </c>
      <c r="W84" s="113">
        <f>IFERROR(aurora_data!U433,0)</f>
        <v>15</v>
      </c>
      <c r="X84" s="255">
        <f t="shared" si="15"/>
        <v>6.8181818181818177E-2</v>
      </c>
      <c r="Y84"/>
      <c r="Z84"/>
    </row>
    <row r="85" spans="2:26">
      <c r="B85" s="569"/>
      <c r="C85" s="450"/>
      <c r="D85" s="35" t="s">
        <v>340</v>
      </c>
      <c r="E85" s="113">
        <f>IFERROR(aurora_data!D434,0)</f>
        <v>0</v>
      </c>
      <c r="F85" s="253">
        <f>IFERROR(aurora_data!E434,0)</f>
        <v>0</v>
      </c>
      <c r="G85" s="253">
        <f>IFERROR(aurora_data!F434,0)</f>
        <v>0</v>
      </c>
      <c r="H85" s="253">
        <f>IFERROR(aurora_data!G434,0)</f>
        <v>0</v>
      </c>
      <c r="I85" s="254">
        <f>IFERROR(aurora_data!H434,0)</f>
        <v>0</v>
      </c>
      <c r="J85" s="113">
        <f>IFERROR(aurora_data!I434,0)</f>
        <v>0</v>
      </c>
      <c r="K85" s="253">
        <f>IFERROR(aurora_data!J434,0)</f>
        <v>0</v>
      </c>
      <c r="L85" s="253">
        <f>IFERROR(aurora_data!K434,0)</f>
        <v>0</v>
      </c>
      <c r="M85" s="253">
        <f>IFERROR(aurora_data!L434,0)</f>
        <v>0</v>
      </c>
      <c r="N85" s="254">
        <f>IFERROR(aurora_data!M434,0)</f>
        <v>0</v>
      </c>
      <c r="O85" s="113">
        <f>IFERROR(aurora_data!N434,0)</f>
        <v>0</v>
      </c>
      <c r="P85" s="253">
        <f>IFERROR(aurora_data!O434,0)</f>
        <v>0</v>
      </c>
      <c r="Q85" s="253">
        <f>IFERROR(aurora_data!P434,0)</f>
        <v>0</v>
      </c>
      <c r="R85" s="254">
        <f>IFERROR(aurora_data!Q434,0)</f>
        <v>0</v>
      </c>
      <c r="S85" s="253">
        <f>IFERROR(aurora_data!R434,0)</f>
        <v>0</v>
      </c>
      <c r="T85" s="253">
        <f>IFERROR(aurora_data!S434,0)</f>
        <v>0</v>
      </c>
      <c r="U85" s="254">
        <f>IFERROR(aurora_data!T434,0)</f>
        <v>0</v>
      </c>
      <c r="V85" s="61" t="s">
        <v>354</v>
      </c>
      <c r="W85" s="113">
        <f>IFERROR(aurora_data!U434,0)</f>
        <v>0</v>
      </c>
      <c r="X85" s="255">
        <f t="shared" si="15"/>
        <v>0</v>
      </c>
      <c r="Y85"/>
      <c r="Z85"/>
    </row>
    <row r="86" spans="2:26">
      <c r="B86" s="569"/>
      <c r="C86" s="450"/>
      <c r="D86" s="35" t="s">
        <v>298</v>
      </c>
      <c r="E86" s="113">
        <f>IFERROR(aurora_data!D435,0)</f>
        <v>0</v>
      </c>
      <c r="F86" s="253">
        <f>IFERROR(aurora_data!E435,0)</f>
        <v>0</v>
      </c>
      <c r="G86" s="253">
        <f>IFERROR(aurora_data!F435,0)</f>
        <v>0</v>
      </c>
      <c r="H86" s="253">
        <f>IFERROR(aurora_data!G435,0)</f>
        <v>0</v>
      </c>
      <c r="I86" s="254">
        <f>IFERROR(aurora_data!H435,0)</f>
        <v>0</v>
      </c>
      <c r="J86" s="113">
        <f>IFERROR(aurora_data!I435,0)</f>
        <v>0</v>
      </c>
      <c r="K86" s="253">
        <f>IFERROR(aurora_data!J435,0)</f>
        <v>0</v>
      </c>
      <c r="L86" s="253">
        <f>IFERROR(aurora_data!K435,0)</f>
        <v>0</v>
      </c>
      <c r="M86" s="253">
        <f>IFERROR(aurora_data!L435,0)</f>
        <v>0</v>
      </c>
      <c r="N86" s="254">
        <f>IFERROR(aurora_data!M435,0)</f>
        <v>0</v>
      </c>
      <c r="O86" s="113">
        <f>IFERROR(aurora_data!N435,0)</f>
        <v>0</v>
      </c>
      <c r="P86" s="253">
        <f>IFERROR(aurora_data!O435,0)</f>
        <v>0</v>
      </c>
      <c r="Q86" s="253">
        <f>IFERROR(aurora_data!P435,0)</f>
        <v>0</v>
      </c>
      <c r="R86" s="254">
        <f>IFERROR(aurora_data!Q435,0)</f>
        <v>0</v>
      </c>
      <c r="S86" s="253">
        <f>IFERROR(aurora_data!R435,0)</f>
        <v>0</v>
      </c>
      <c r="T86" s="253">
        <f>IFERROR(aurora_data!S435,0)</f>
        <v>0</v>
      </c>
      <c r="U86" s="254">
        <f>IFERROR(aurora_data!T435,0)</f>
        <v>0</v>
      </c>
      <c r="V86" s="61" t="s">
        <v>354</v>
      </c>
      <c r="W86" s="113">
        <f>IFERROR(aurora_data!U435,0)</f>
        <v>0</v>
      </c>
      <c r="X86" s="255">
        <f t="shared" si="15"/>
        <v>0</v>
      </c>
      <c r="Y86"/>
      <c r="Z86"/>
    </row>
    <row r="87" spans="2:26">
      <c r="B87" s="569"/>
      <c r="C87" s="450"/>
      <c r="D87" s="35" t="s">
        <v>341</v>
      </c>
      <c r="E87" s="113">
        <f>IFERROR(aurora_data!D436,0)</f>
        <v>1</v>
      </c>
      <c r="F87" s="253">
        <f>IFERROR(aurora_data!E436,0)</f>
        <v>0</v>
      </c>
      <c r="G87" s="253">
        <f>IFERROR(aurora_data!F436,0)</f>
        <v>0</v>
      </c>
      <c r="H87" s="253">
        <f>IFERROR(aurora_data!G436,0)</f>
        <v>0</v>
      </c>
      <c r="I87" s="254">
        <f>IFERROR(aurora_data!H436,0)</f>
        <v>0</v>
      </c>
      <c r="J87" s="113">
        <f>IFERROR(aurora_data!I436,0)</f>
        <v>0</v>
      </c>
      <c r="K87" s="253">
        <f>IFERROR(aurora_data!J436,0)</f>
        <v>1</v>
      </c>
      <c r="L87" s="253">
        <f>IFERROR(aurora_data!K436,0)</f>
        <v>0</v>
      </c>
      <c r="M87" s="253">
        <f>IFERROR(aurora_data!L436,0)</f>
        <v>0</v>
      </c>
      <c r="N87" s="254">
        <f>IFERROR(aurora_data!M436,0)</f>
        <v>0</v>
      </c>
      <c r="O87" s="113">
        <f>IFERROR(aurora_data!N436,0)</f>
        <v>0</v>
      </c>
      <c r="P87" s="253">
        <f>IFERROR(aurora_data!O436,0)</f>
        <v>0</v>
      </c>
      <c r="Q87" s="253">
        <f>IFERROR(aurora_data!P436,0)</f>
        <v>1</v>
      </c>
      <c r="R87" s="254">
        <f>IFERROR(aurora_data!Q436,0)</f>
        <v>0</v>
      </c>
      <c r="S87" s="253">
        <f>IFERROR(aurora_data!R436,0)</f>
        <v>0</v>
      </c>
      <c r="T87" s="253">
        <f>IFERROR(aurora_data!S436,0)</f>
        <v>1</v>
      </c>
      <c r="U87" s="254">
        <f>IFERROR(aurora_data!T436,0)</f>
        <v>0</v>
      </c>
      <c r="V87" s="61" t="s">
        <v>354</v>
      </c>
      <c r="W87" s="113">
        <f>IFERROR(aurora_data!U436,0)</f>
        <v>1</v>
      </c>
      <c r="X87" s="255">
        <f t="shared" si="15"/>
        <v>4.5454545454545452E-3</v>
      </c>
      <c r="Y87"/>
      <c r="Z87"/>
    </row>
    <row r="88" spans="2:26" ht="16.5" thickBot="1">
      <c r="B88" s="569"/>
      <c r="C88" s="450"/>
      <c r="D88" s="35" t="s">
        <v>342</v>
      </c>
      <c r="E88" s="113">
        <f>IFERROR(aurora_data!D437,0)</f>
        <v>0</v>
      </c>
      <c r="F88" s="253">
        <f>IFERROR(aurora_data!E437,0)</f>
        <v>0</v>
      </c>
      <c r="G88" s="253">
        <f>IFERROR(aurora_data!F437,0)</f>
        <v>0</v>
      </c>
      <c r="H88" s="253">
        <f>IFERROR(aurora_data!G437,0)</f>
        <v>0</v>
      </c>
      <c r="I88" s="254">
        <f>IFERROR(aurora_data!H437,0)</f>
        <v>0</v>
      </c>
      <c r="J88" s="113">
        <f>IFERROR(aurora_data!I437,0)</f>
        <v>0</v>
      </c>
      <c r="K88" s="253">
        <f>IFERROR(aurora_data!J437,0)</f>
        <v>0</v>
      </c>
      <c r="L88" s="253">
        <f>IFERROR(aurora_data!K437,0)</f>
        <v>0</v>
      </c>
      <c r="M88" s="253">
        <f>IFERROR(aurora_data!L437,0)</f>
        <v>0</v>
      </c>
      <c r="N88" s="254">
        <f>IFERROR(aurora_data!M437,0)</f>
        <v>0</v>
      </c>
      <c r="O88" s="113">
        <f>IFERROR(aurora_data!N437,0)</f>
        <v>0</v>
      </c>
      <c r="P88" s="253">
        <f>IFERROR(aurora_data!O437,0)</f>
        <v>0</v>
      </c>
      <c r="Q88" s="253">
        <f>IFERROR(aurora_data!P437,0)</f>
        <v>0</v>
      </c>
      <c r="R88" s="254">
        <f>IFERROR(aurora_data!Q437,0)</f>
        <v>0</v>
      </c>
      <c r="S88" s="253">
        <f>IFERROR(aurora_data!R437,0)</f>
        <v>0</v>
      </c>
      <c r="T88" s="253">
        <f>IFERROR(aurora_data!S437,0)</f>
        <v>0</v>
      </c>
      <c r="U88" s="254">
        <f>IFERROR(aurora_data!T437,0)</f>
        <v>0</v>
      </c>
      <c r="V88" s="61" t="s">
        <v>354</v>
      </c>
      <c r="W88" s="113">
        <f>IFERROR(aurora_data!U437,0)</f>
        <v>0</v>
      </c>
      <c r="X88" s="255">
        <f t="shared" si="15"/>
        <v>0</v>
      </c>
      <c r="Y88"/>
      <c r="Z88"/>
    </row>
    <row r="89" spans="2:26" ht="16.5" thickBot="1">
      <c r="B89" s="569"/>
      <c r="C89" s="450"/>
      <c r="D89" s="37" t="s">
        <v>17</v>
      </c>
      <c r="E89" s="59">
        <f>IFERROR(aurora_data!D438,0)</f>
        <v>11</v>
      </c>
      <c r="F89" s="64">
        <f>IFERROR(aurora_data!E438,0)</f>
        <v>17</v>
      </c>
      <c r="G89" s="64">
        <f>IFERROR(aurora_data!F438,0)</f>
        <v>46</v>
      </c>
      <c r="H89" s="64">
        <f>IFERROR(aurora_data!G438,0)</f>
        <v>74</v>
      </c>
      <c r="I89" s="65">
        <f>IFERROR(aurora_data!H438,0)</f>
        <v>87</v>
      </c>
      <c r="J89" s="59">
        <f>IFERROR(aurora_data!I438,0)</f>
        <v>17</v>
      </c>
      <c r="K89" s="64">
        <f>IFERROR(aurora_data!J438,0)</f>
        <v>31</v>
      </c>
      <c r="L89" s="64">
        <f>IFERROR(aurora_data!K438,0)</f>
        <v>56</v>
      </c>
      <c r="M89" s="64">
        <f>IFERROR(aurora_data!L438,0)</f>
        <v>22</v>
      </c>
      <c r="N89" s="65">
        <f>IFERROR(aurora_data!M438,0)</f>
        <v>109</v>
      </c>
      <c r="O89" s="59">
        <f>IFERROR(aurora_data!N438,0)</f>
        <v>59</v>
      </c>
      <c r="P89" s="64">
        <f>IFERROR(aurora_data!O438,0)</f>
        <v>36</v>
      </c>
      <c r="Q89" s="64">
        <f>IFERROR(aurora_data!P438,0)</f>
        <v>89</v>
      </c>
      <c r="R89" s="65">
        <f>IFERROR(aurora_data!Q438,0)</f>
        <v>51</v>
      </c>
      <c r="S89" s="64">
        <f>IFERROR(aurora_data!R438,0)</f>
        <v>124</v>
      </c>
      <c r="T89" s="64">
        <f>IFERROR(aurora_data!S438,0)</f>
        <v>111</v>
      </c>
      <c r="U89" s="65">
        <f>IFERROR(aurora_data!T438,0)</f>
        <v>0</v>
      </c>
      <c r="V89" s="66" t="s">
        <v>354</v>
      </c>
      <c r="W89" s="59">
        <f>IFERROR(aurora_data!U438,0)</f>
        <v>235</v>
      </c>
      <c r="X89" s="70">
        <f t="shared" si="15"/>
        <v>1.0681818181818181</v>
      </c>
      <c r="Y89"/>
      <c r="Z89"/>
    </row>
    <row r="90" spans="2:26" ht="16.5" thickBot="1">
      <c r="B90" s="569"/>
      <c r="C90" s="450"/>
      <c r="D90" s="38" t="s">
        <v>343</v>
      </c>
      <c r="E90" s="256">
        <f>IFERROR(aurora_data!D439,0)</f>
        <v>0</v>
      </c>
      <c r="F90" s="257">
        <f>IFERROR(aurora_data!E439,0)</f>
        <v>0</v>
      </c>
      <c r="G90" s="257">
        <f>IFERROR(aurora_data!F439,0)</f>
        <v>0</v>
      </c>
      <c r="H90" s="257">
        <f>IFERROR(aurora_data!G439,0)</f>
        <v>0</v>
      </c>
      <c r="I90" s="258">
        <f>IFERROR(aurora_data!H439,0)</f>
        <v>0</v>
      </c>
      <c r="J90" s="256">
        <f>IFERROR(aurora_data!I439,0)</f>
        <v>0</v>
      </c>
      <c r="K90" s="257">
        <f>IFERROR(aurora_data!J439,0)</f>
        <v>0</v>
      </c>
      <c r="L90" s="257">
        <f>IFERROR(aurora_data!K439,0)</f>
        <v>0</v>
      </c>
      <c r="M90" s="257">
        <f>IFERROR(aurora_data!L439,0)</f>
        <v>0</v>
      </c>
      <c r="N90" s="258">
        <f>IFERROR(aurora_data!M439,0)</f>
        <v>0</v>
      </c>
      <c r="O90" s="256">
        <f>IFERROR(aurora_data!N439,0)</f>
        <v>0</v>
      </c>
      <c r="P90" s="257">
        <f>IFERROR(aurora_data!O439,0)</f>
        <v>0</v>
      </c>
      <c r="Q90" s="257">
        <f>IFERROR(aurora_data!P439,0)</f>
        <v>0</v>
      </c>
      <c r="R90" s="258">
        <f>IFERROR(aurora_data!Q439,0)</f>
        <v>0</v>
      </c>
      <c r="S90" s="257">
        <f>IFERROR(aurora_data!R439,0)</f>
        <v>0</v>
      </c>
      <c r="T90" s="257">
        <f>IFERROR(aurora_data!S439,0)</f>
        <v>0</v>
      </c>
      <c r="U90" s="259">
        <f>IFERROR(aurora_data!T439,0)</f>
        <v>0</v>
      </c>
      <c r="V90" s="260" t="s">
        <v>354</v>
      </c>
      <c r="W90" s="256">
        <f>IFERROR(aurora_data!U439,0)</f>
        <v>0</v>
      </c>
      <c r="X90" s="261">
        <f t="shared" si="15"/>
        <v>0</v>
      </c>
      <c r="Y90"/>
      <c r="Z90"/>
    </row>
    <row r="91" spans="2:26" outlineLevel="1">
      <c r="B91" s="569"/>
      <c r="C91" s="450"/>
      <c r="D91" s="199" t="s">
        <v>344</v>
      </c>
      <c r="E91" s="271">
        <f>ROUNDDOWN((E93+$E$9)*($W82),0)</f>
        <v>16</v>
      </c>
      <c r="F91" s="272">
        <f>ROUNDDOWN((F93+$E$9)*($W82),0)</f>
        <v>21</v>
      </c>
      <c r="G91" s="272">
        <f>ROUNDDOWN((G93+$E$9)*($W82),0)</f>
        <v>52</v>
      </c>
      <c r="H91" s="272">
        <f>ROUNDDOWN((H93+$E$9)*($W82),0)</f>
        <v>79</v>
      </c>
      <c r="I91" s="272">
        <f>ROUNDDOWN((I93+$E$9)*($W82),0)</f>
        <v>94</v>
      </c>
      <c r="J91" s="186"/>
      <c r="K91" s="187"/>
      <c r="L91" s="187"/>
      <c r="M91" s="187"/>
      <c r="N91" s="188"/>
      <c r="O91" s="186"/>
      <c r="P91" s="187"/>
      <c r="Q91" s="187"/>
      <c r="R91" s="188"/>
      <c r="S91" s="185"/>
      <c r="T91" s="187"/>
      <c r="U91" s="212"/>
      <c r="V91" s="63"/>
      <c r="W91" s="213"/>
      <c r="X91" s="210"/>
      <c r="Y91"/>
      <c r="Z91"/>
    </row>
    <row r="92" spans="2:26" outlineLevel="1">
      <c r="B92" s="569"/>
      <c r="C92" s="450"/>
      <c r="D92" s="199" t="s">
        <v>345</v>
      </c>
      <c r="E92" s="276">
        <f>IF(ROUND(((E93-$E$9)*($W82))+0.25,0) &lt;=0,1,((E93-$E$9)*($W82))+0.25)</f>
        <v>1</v>
      </c>
      <c r="F92" s="277">
        <f>IF(ROUND(((F93-$E$9)*($W82))+0.25,0) &lt;=0,1,((F93-$E$9)*($W82))+0.25)</f>
        <v>4.4200000000000008</v>
      </c>
      <c r="G92" s="277">
        <f>IF(ROUND(((G93-$E$9)*($W82))+0.25,0) &lt;=0,1,((G93-$E$9)*($W82))+0.25)</f>
        <v>35.369999999999997</v>
      </c>
      <c r="H92" s="277">
        <f>IF(ROUND(((H93-$E$9)*($W82))+0.25,0) &lt;=0,1,((H93-$E$9)*($W82))+0.25)</f>
        <v>61.690000000000005</v>
      </c>
      <c r="I92" s="277">
        <f>IF(ROUND(((I93-$E$9)*($W82))+0.25,0) &lt;=0,1,((I93-$E$9)*($W82))+0.25)</f>
        <v>77</v>
      </c>
      <c r="J92" s="189"/>
      <c r="K92" s="190"/>
      <c r="L92" s="190"/>
      <c r="M92" s="190"/>
      <c r="N92" s="191"/>
      <c r="O92" s="189"/>
      <c r="P92" s="190"/>
      <c r="Q92" s="190"/>
      <c r="R92" s="191"/>
      <c r="S92" s="189"/>
      <c r="T92" s="190"/>
      <c r="U92" s="211"/>
      <c r="V92" s="63"/>
      <c r="W92" s="214"/>
      <c r="X92" s="211"/>
      <c r="Y92"/>
      <c r="Z92"/>
    </row>
    <row r="93" spans="2:26" outlineLevel="1">
      <c r="B93" s="569"/>
      <c r="C93" s="450"/>
      <c r="D93" s="95" t="s">
        <v>346</v>
      </c>
      <c r="E93" s="414">
        <f>IFERROR(E82/$W82,0)</f>
        <v>3.3409090909090909E-2</v>
      </c>
      <c r="F93" s="415">
        <f t="shared" ref="F93:I93" si="16">IFERROR(F82/$W82,0)</f>
        <v>5.8954545454545461E-2</v>
      </c>
      <c r="G93" s="415">
        <f t="shared" si="16"/>
        <v>0.19963636363636364</v>
      </c>
      <c r="H93" s="415">
        <f t="shared" si="16"/>
        <v>0.31927272727272726</v>
      </c>
      <c r="I93" s="415">
        <f t="shared" si="16"/>
        <v>0.38886363636363636</v>
      </c>
      <c r="J93" s="159"/>
      <c r="K93" s="160"/>
      <c r="L93" s="160"/>
      <c r="M93" s="160"/>
      <c r="N93" s="161"/>
      <c r="O93" s="159"/>
      <c r="P93" s="160"/>
      <c r="Q93" s="160"/>
      <c r="R93" s="161"/>
      <c r="S93" s="159"/>
      <c r="T93" s="160"/>
      <c r="U93" s="62"/>
      <c r="V93" s="63"/>
      <c r="W93" s="36"/>
      <c r="X93" s="172"/>
      <c r="Y93"/>
      <c r="Z93"/>
    </row>
    <row r="94" spans="2:26" outlineLevel="1">
      <c r="B94" s="569"/>
      <c r="C94" s="450"/>
      <c r="D94" s="180" t="s">
        <v>347</v>
      </c>
      <c r="E94" s="414">
        <f>IFERROR(E83/$W82,0)</f>
        <v>4.0909090909090909E-2</v>
      </c>
      <c r="F94" s="415">
        <f t="shared" ref="F94:I94" si="17">IFERROR(F83/$W82,0)</f>
        <v>7.7272727272727271E-2</v>
      </c>
      <c r="G94" s="415">
        <f t="shared" si="17"/>
        <v>0.20454545454545456</v>
      </c>
      <c r="H94" s="415">
        <f t="shared" si="17"/>
        <v>0.30909090909090908</v>
      </c>
      <c r="I94" s="415">
        <f t="shared" si="17"/>
        <v>0.36363636363636365</v>
      </c>
      <c r="J94" s="159"/>
      <c r="K94" s="160"/>
      <c r="L94" s="160"/>
      <c r="M94" s="160"/>
      <c r="N94" s="161"/>
      <c r="O94" s="159"/>
      <c r="P94" s="160"/>
      <c r="Q94" s="160"/>
      <c r="R94" s="161"/>
      <c r="S94" s="159"/>
      <c r="T94" s="160"/>
      <c r="U94" s="62"/>
      <c r="V94" s="63"/>
      <c r="W94" s="36"/>
      <c r="X94" s="172"/>
      <c r="Y94"/>
      <c r="Z94"/>
    </row>
    <row r="95" spans="2:26" ht="16.5" outlineLevel="1" thickBot="1">
      <c r="B95" s="570"/>
      <c r="C95" s="567"/>
      <c r="D95" s="323" t="s">
        <v>348</v>
      </c>
      <c r="E95" s="432">
        <f>E94-E93</f>
        <v>7.4999999999999997E-3</v>
      </c>
      <c r="F95" s="434">
        <f>F94-F93</f>
        <v>1.831818181818181E-2</v>
      </c>
      <c r="G95" s="434">
        <f>G94-G93</f>
        <v>4.9090909090909185E-3</v>
      </c>
      <c r="H95" s="434">
        <f>H94-H93</f>
        <v>-1.0181818181818181E-2</v>
      </c>
      <c r="I95" s="435">
        <f>I94-I93</f>
        <v>-2.5227272727272709E-2</v>
      </c>
      <c r="J95" s="324"/>
      <c r="K95" s="325"/>
      <c r="L95" s="325"/>
      <c r="M95" s="325"/>
      <c r="N95" s="326"/>
      <c r="O95" s="324"/>
      <c r="P95" s="325"/>
      <c r="Q95" s="325"/>
      <c r="R95" s="326"/>
      <c r="S95" s="324"/>
      <c r="T95" s="325"/>
      <c r="U95" s="68"/>
      <c r="V95" s="219"/>
      <c r="W95" s="220"/>
      <c r="X95" s="174"/>
      <c r="Y95"/>
      <c r="Z95"/>
    </row>
    <row r="96" spans="2:26">
      <c r="B96" s="96"/>
    </row>
  </sheetData>
  <mergeCells count="34">
    <mergeCell ref="F3:I3"/>
    <mergeCell ref="D5:I5"/>
    <mergeCell ref="D6:I6"/>
    <mergeCell ref="B10:B11"/>
    <mergeCell ref="E10:I10"/>
    <mergeCell ref="J10:N10"/>
    <mergeCell ref="O10:R10"/>
    <mergeCell ref="S10:U10"/>
    <mergeCell ref="B9:C9"/>
    <mergeCell ref="E9:I9"/>
    <mergeCell ref="J9:N9"/>
    <mergeCell ref="O9:R9"/>
    <mergeCell ref="S9:U9"/>
    <mergeCell ref="D1:I1"/>
    <mergeCell ref="A2:C2"/>
    <mergeCell ref="D2:I2"/>
    <mergeCell ref="B54:B67"/>
    <mergeCell ref="B68:B81"/>
    <mergeCell ref="E8:U8"/>
    <mergeCell ref="A1:C1"/>
    <mergeCell ref="B8:D8"/>
    <mergeCell ref="C12:C25"/>
    <mergeCell ref="C26:C39"/>
    <mergeCell ref="B26:B39"/>
    <mergeCell ref="B40:B53"/>
    <mergeCell ref="B12:B25"/>
    <mergeCell ref="K2:X6"/>
    <mergeCell ref="D3:E3"/>
    <mergeCell ref="W8:X11"/>
    <mergeCell ref="C82:C95"/>
    <mergeCell ref="B82:B95"/>
    <mergeCell ref="C54:C67"/>
    <mergeCell ref="C68:C81"/>
    <mergeCell ref="C40:C53"/>
  </mergeCells>
  <conditionalFormatting sqref="E13:W13">
    <cfRule type="expression" dxfId="201" priority="10">
      <formula>ROUND(E$13,0) &gt;= ROUND(E$12,0)</formula>
    </cfRule>
  </conditionalFormatting>
  <conditionalFormatting sqref="E19:W19">
    <cfRule type="expression" dxfId="200" priority="12">
      <formula>ROUND(E$19,0) &lt; ROUND(E$12,0)</formula>
    </cfRule>
  </conditionalFormatting>
  <conditionalFormatting sqref="E27:W27">
    <cfRule type="expression" dxfId="199" priority="11">
      <formula>ROUND(E$27,0) &gt;= ROUND(E$26,0)</formula>
    </cfRule>
  </conditionalFormatting>
  <conditionalFormatting sqref="E33:W33">
    <cfRule type="expression" dxfId="198" priority="9">
      <formula>ROUND(E$33,0) &lt; ROUND(E$26,0)</formula>
    </cfRule>
  </conditionalFormatting>
  <conditionalFormatting sqref="E41:W41">
    <cfRule type="expression" dxfId="197" priority="4">
      <formula>ROUND(E$13,0) &gt;= ROUND(E$12,0)</formula>
    </cfRule>
  </conditionalFormatting>
  <conditionalFormatting sqref="E47:W47">
    <cfRule type="expression" dxfId="196" priority="6">
      <formula>ROUND(E$19,0) &lt; ROUND(E$12,0)</formula>
    </cfRule>
  </conditionalFormatting>
  <conditionalFormatting sqref="E55:W55">
    <cfRule type="expression" dxfId="195" priority="5">
      <formula>ROUND(E$27,0) &gt;= ROUND(E$26,0)</formula>
    </cfRule>
  </conditionalFormatting>
  <conditionalFormatting sqref="E61:W61">
    <cfRule type="expression" dxfId="194" priority="3">
      <formula>ROUND(E$33,0) &lt; ROUND(E$26,0)</formula>
    </cfRule>
  </conditionalFormatting>
  <conditionalFormatting sqref="E69:W69">
    <cfRule type="expression" dxfId="193" priority="2">
      <formula>ROUND(E$27,0) &gt;= ROUND(E$26,0)</formula>
    </cfRule>
  </conditionalFormatting>
  <conditionalFormatting sqref="E75:W75">
    <cfRule type="expression" dxfId="192" priority="1">
      <formula>ROUND(E$33,0) &lt; ROUND(E$26,0)</formula>
    </cfRule>
  </conditionalFormatting>
  <conditionalFormatting sqref="E83:W83">
    <cfRule type="expression" dxfId="191" priority="7">
      <formula>ROUND(E$83,0) &gt;= ROUND(E$82,0)</formula>
    </cfRule>
  </conditionalFormatting>
  <conditionalFormatting sqref="E89:W89">
    <cfRule type="expression" dxfId="190" priority="8">
      <formula>ROUND(E$89,0) &lt; ROUND(E$82,0)</formula>
    </cfRule>
  </conditionalFormatting>
  <pageMargins left="0.7" right="0.7" top="0.75" bottom="0.75" header="0.3" footer="0.3"/>
  <pageSetup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E823-1CA6-48DC-AD49-3C302F5993F0}">
  <sheetPr>
    <tabColor rgb="FF0070C0"/>
  </sheetPr>
  <dimension ref="A1:Z48"/>
  <sheetViews>
    <sheetView zoomScale="81" zoomScaleNormal="80" workbookViewId="0">
      <selection activeCell="F13" sqref="F13"/>
    </sheetView>
  </sheetViews>
  <sheetFormatPr defaultColWidth="2.5" defaultRowHeight="15.75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8" width="7.5" style="4" customWidth="1"/>
    <col min="9" max="9" width="7" style="4" customWidth="1"/>
    <col min="10" max="21" width="7.5" style="4" customWidth="1"/>
    <col min="22" max="22" width="0.5" style="2" customWidth="1"/>
    <col min="23" max="24" width="5.625" style="2" customWidth="1"/>
    <col min="25" max="25" width="12.5" style="2" customWidth="1"/>
    <col min="26" max="36" width="7.5" style="2" customWidth="1"/>
    <col min="37" max="16295" width="2.5" style="2"/>
    <col min="16296" max="16296" width="1.125" style="2" customWidth="1"/>
    <col min="16297" max="16297" width="2.5" style="2" customWidth="1"/>
    <col min="16298" max="16298" width="3.5" style="2" customWidth="1"/>
    <col min="16299" max="16299" width="1" style="2" customWidth="1"/>
    <col min="16300" max="16300" width="0.625" style="2" customWidth="1"/>
    <col min="16301" max="16301" width="2.125" style="2" customWidth="1"/>
    <col min="16302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498"/>
      <c r="I1" s="542"/>
      <c r="J1" s="86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 thickBot="1">
      <c r="A2" s="499" t="s">
        <v>327</v>
      </c>
      <c r="B2" s="499"/>
      <c r="C2" s="500"/>
      <c r="D2" s="536" t="str">
        <f>_xlfn.CONCAT("Study Name: ","
Retest WISC-6 Standardization - Digital")</f>
        <v>Study Name: 
Retest WISC-6 Standardization - Digital</v>
      </c>
      <c r="E2" s="512"/>
      <c r="F2" s="512"/>
      <c r="G2" s="512"/>
      <c r="H2" s="512"/>
      <c r="I2" s="513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5" customFormat="1" ht="30.75" customHeight="1" thickBot="1">
      <c r="A3" s="2"/>
      <c r="B3" s="2"/>
      <c r="C3" s="2"/>
      <c r="D3" s="510" t="str">
        <f>_xlfn.CONCAT("Study Acronym: ","
R_WISC6_STDZ_D")</f>
        <v>Study Acronym: 
R_WISC6_STDZ_D</v>
      </c>
      <c r="E3" s="511"/>
      <c r="F3" s="562" t="s">
        <v>368</v>
      </c>
      <c r="G3" s="562"/>
      <c r="H3" s="562"/>
      <c r="I3" s="511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498"/>
      <c r="I5" s="498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25" customFormat="1" ht="103.35" customHeight="1" thickBot="1">
      <c r="A6" s="2"/>
      <c r="B6" s="2"/>
      <c r="C6" s="98"/>
      <c r="D6" s="563" t="s">
        <v>369</v>
      </c>
      <c r="E6" s="564"/>
      <c r="F6" s="564"/>
      <c r="G6" s="564"/>
      <c r="H6" s="564"/>
      <c r="I6" s="565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",aurora_data!V532)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28" t="s">
        <v>361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05"/>
    </row>
    <row r="12" spans="1:25" customFormat="1">
      <c r="A12" s="2"/>
      <c r="B12" s="451" t="s">
        <v>338</v>
      </c>
      <c r="C12" s="453" t="str">
        <f>aurora_data!A532</f>
        <v>06.00.00-07.11.30</v>
      </c>
      <c r="D12" s="34" t="s">
        <v>306</v>
      </c>
      <c r="E12" s="39">
        <f>IFERROR(aurora_data!D532,0)</f>
        <v>1</v>
      </c>
      <c r="F12" s="40">
        <f>IFERROR(aurora_data!E532,0)</f>
        <v>1</v>
      </c>
      <c r="G12" s="40">
        <f>IFERROR(aurora_data!F532,0)</f>
        <v>1</v>
      </c>
      <c r="H12" s="40">
        <f>IFERROR(aurora_data!G532,0)</f>
        <v>1</v>
      </c>
      <c r="I12" s="41">
        <f>IFERROR(aurora_data!H532,0)</f>
        <v>1</v>
      </c>
      <c r="J12" s="39">
        <f>IFERROR(aurora_data!I532,0)</f>
        <v>1</v>
      </c>
      <c r="K12" s="40">
        <f>IFERROR(aurora_data!J532,0)</f>
        <v>1</v>
      </c>
      <c r="L12" s="40">
        <f>IFERROR(aurora_data!K532,0)</f>
        <v>1</v>
      </c>
      <c r="M12" s="40">
        <f>IFERROR(aurora_data!L532,0)</f>
        <v>1</v>
      </c>
      <c r="N12" s="41">
        <f>IFERROR(aurora_data!M532,0)</f>
        <v>1</v>
      </c>
      <c r="O12" s="39">
        <f>IFERROR(aurora_data!N532,0)</f>
        <v>1</v>
      </c>
      <c r="P12" s="40">
        <f>IFERROR(aurora_data!O532,0)</f>
        <v>1</v>
      </c>
      <c r="Q12" s="40">
        <f>IFERROR(aurora_data!P532,0)</f>
        <v>1</v>
      </c>
      <c r="R12" s="41">
        <f>IFERROR(aurora_data!Q532,0)</f>
        <v>1</v>
      </c>
      <c r="S12" s="40">
        <f>IFERROR(aurora_data!R532,0)</f>
        <v>1</v>
      </c>
      <c r="T12" s="40">
        <f>IFERROR(aurora_data!S532,0)</f>
        <v>1</v>
      </c>
      <c r="U12" s="74">
        <f>IFERROR(aurora_data!T532,0)</f>
        <v>0</v>
      </c>
      <c r="V12" s="61" t="s">
        <v>354</v>
      </c>
      <c r="W12" s="39">
        <f>IFERROR(aurora_data!U532,0)</f>
        <v>30</v>
      </c>
      <c r="X12" s="69">
        <f>IFERROR(W12/$W$12,0)</f>
        <v>1</v>
      </c>
      <c r="Y12" s="205"/>
    </row>
    <row r="13" spans="1:25" customFormat="1">
      <c r="A13" s="2"/>
      <c r="B13" s="452"/>
      <c r="C13" s="454"/>
      <c r="D13" s="35" t="s">
        <v>339</v>
      </c>
      <c r="E13" s="113">
        <f>IFERROR(aurora_data!D533,0)</f>
        <v>1</v>
      </c>
      <c r="F13" s="253">
        <f>IFERROR(aurora_data!E533,0)</f>
        <v>0</v>
      </c>
      <c r="G13" s="253">
        <f>IFERROR(aurora_data!F533,0)</f>
        <v>5</v>
      </c>
      <c r="H13" s="253">
        <f>IFERROR(aurora_data!G533,0)</f>
        <v>8</v>
      </c>
      <c r="I13" s="254">
        <f>IFERROR(aurora_data!H533,0)</f>
        <v>6</v>
      </c>
      <c r="J13" s="113">
        <f>IFERROR(aurora_data!I533,0)</f>
        <v>0</v>
      </c>
      <c r="K13" s="253">
        <f>IFERROR(aurora_data!J533,0)</f>
        <v>3</v>
      </c>
      <c r="L13" s="253">
        <f>IFERROR(aurora_data!K533,0)</f>
        <v>3</v>
      </c>
      <c r="M13" s="253">
        <f>IFERROR(aurora_data!L533,0)</f>
        <v>2</v>
      </c>
      <c r="N13" s="254">
        <f>IFERROR(aurora_data!M533,0)</f>
        <v>12</v>
      </c>
      <c r="O13" s="113">
        <f>IFERROR(aurora_data!N533,0)</f>
        <v>7</v>
      </c>
      <c r="P13" s="253">
        <f>IFERROR(aurora_data!O533,0)</f>
        <v>3</v>
      </c>
      <c r="Q13" s="253">
        <f>IFERROR(aurora_data!P533,0)</f>
        <v>6</v>
      </c>
      <c r="R13" s="254">
        <f>IFERROR(aurora_data!Q533,0)</f>
        <v>4</v>
      </c>
      <c r="S13" s="253">
        <f>IFERROR(aurora_data!R533,0)</f>
        <v>7</v>
      </c>
      <c r="T13" s="253">
        <f>IFERROR(aurora_data!S533,0)</f>
        <v>13</v>
      </c>
      <c r="U13" s="254">
        <f>IFERROR(aurora_data!T533,0)</f>
        <v>0</v>
      </c>
      <c r="V13" s="61" t="s">
        <v>354</v>
      </c>
      <c r="W13" s="113">
        <f>IFERROR(aurora_data!U533,0)</f>
        <v>20</v>
      </c>
      <c r="X13" s="255">
        <f t="shared" ref="X13:X20" si="0">IFERROR(W13/$W$12,0)</f>
        <v>0.66666666666666663</v>
      </c>
      <c r="Y13" s="205"/>
    </row>
    <row r="14" spans="1:25" customFormat="1">
      <c r="A14" s="2"/>
      <c r="B14" s="452"/>
      <c r="C14" s="454"/>
      <c r="D14" s="35" t="s">
        <v>291</v>
      </c>
      <c r="E14" s="113">
        <f>IFERROR(aurora_data!D534,0)</f>
        <v>0</v>
      </c>
      <c r="F14" s="253">
        <f>IFERROR(aurora_data!E534,0)</f>
        <v>0</v>
      </c>
      <c r="G14" s="253">
        <f>IFERROR(aurora_data!F534,0)</f>
        <v>0</v>
      </c>
      <c r="H14" s="253">
        <f>IFERROR(aurora_data!G534,0)</f>
        <v>0</v>
      </c>
      <c r="I14" s="254">
        <f>IFERROR(aurora_data!H534,0)</f>
        <v>0</v>
      </c>
      <c r="J14" s="113">
        <f>IFERROR(aurora_data!I534,0)</f>
        <v>0</v>
      </c>
      <c r="K14" s="253">
        <f>IFERROR(aurora_data!J534,0)</f>
        <v>0</v>
      </c>
      <c r="L14" s="253">
        <f>IFERROR(aurora_data!K534,0)</f>
        <v>0</v>
      </c>
      <c r="M14" s="253">
        <f>IFERROR(aurora_data!L534,0)</f>
        <v>0</v>
      </c>
      <c r="N14" s="254">
        <f>IFERROR(aurora_data!M534,0)</f>
        <v>0</v>
      </c>
      <c r="O14" s="113">
        <f>IFERROR(aurora_data!N534,0)</f>
        <v>0</v>
      </c>
      <c r="P14" s="253">
        <f>IFERROR(aurora_data!O534,0)</f>
        <v>0</v>
      </c>
      <c r="Q14" s="253">
        <f>IFERROR(aurora_data!P534,0)</f>
        <v>0</v>
      </c>
      <c r="R14" s="254">
        <f>IFERROR(aurora_data!Q534,0)</f>
        <v>0</v>
      </c>
      <c r="S14" s="253">
        <f>IFERROR(aurora_data!R534,0)</f>
        <v>0</v>
      </c>
      <c r="T14" s="253">
        <f>IFERROR(aurora_data!S534,0)</f>
        <v>0</v>
      </c>
      <c r="U14" s="254">
        <f>IFERROR(aurora_data!T534,0)</f>
        <v>0</v>
      </c>
      <c r="V14" s="61" t="s">
        <v>354</v>
      </c>
      <c r="W14" s="113">
        <f>IFERROR(aurora_data!U534,0)</f>
        <v>0</v>
      </c>
      <c r="X14" s="255">
        <f t="shared" si="0"/>
        <v>0</v>
      </c>
      <c r="Y14" s="205"/>
    </row>
    <row r="15" spans="1:25" customFormat="1">
      <c r="A15" s="2"/>
      <c r="B15" s="452"/>
      <c r="C15" s="454"/>
      <c r="D15" s="35" t="s">
        <v>340</v>
      </c>
      <c r="E15" s="113">
        <f>IFERROR(aurora_data!D535,0)</f>
        <v>0</v>
      </c>
      <c r="F15" s="253">
        <f>IFERROR(aurora_data!E535,0)</f>
        <v>0</v>
      </c>
      <c r="G15" s="253">
        <f>IFERROR(aurora_data!F535,0)</f>
        <v>0</v>
      </c>
      <c r="H15" s="253">
        <f>IFERROR(aurora_data!G535,0)</f>
        <v>0</v>
      </c>
      <c r="I15" s="254">
        <f>IFERROR(aurora_data!H535,0)</f>
        <v>0</v>
      </c>
      <c r="J15" s="113">
        <f>IFERROR(aurora_data!I535,0)</f>
        <v>0</v>
      </c>
      <c r="K15" s="253">
        <f>IFERROR(aurora_data!J535,0)</f>
        <v>0</v>
      </c>
      <c r="L15" s="253">
        <f>IFERROR(aurora_data!K535,0)</f>
        <v>0</v>
      </c>
      <c r="M15" s="253">
        <f>IFERROR(aurora_data!L535,0)</f>
        <v>0</v>
      </c>
      <c r="N15" s="254">
        <f>IFERROR(aurora_data!M535,0)</f>
        <v>0</v>
      </c>
      <c r="O15" s="113">
        <f>IFERROR(aurora_data!N535,0)</f>
        <v>0</v>
      </c>
      <c r="P15" s="253">
        <f>IFERROR(aurora_data!O535,0)</f>
        <v>0</v>
      </c>
      <c r="Q15" s="253">
        <f>IFERROR(aurora_data!P535,0)</f>
        <v>0</v>
      </c>
      <c r="R15" s="254">
        <f>IFERROR(aurora_data!Q535,0)</f>
        <v>0</v>
      </c>
      <c r="S15" s="253">
        <f>IFERROR(aurora_data!R535,0)</f>
        <v>0</v>
      </c>
      <c r="T15" s="253">
        <f>IFERROR(aurora_data!S535,0)</f>
        <v>0</v>
      </c>
      <c r="U15" s="254">
        <f>IFERROR(aurora_data!T535,0)</f>
        <v>0</v>
      </c>
      <c r="V15" s="61" t="s">
        <v>354</v>
      </c>
      <c r="W15" s="113">
        <f>IFERROR(aurora_data!U535,0)</f>
        <v>0</v>
      </c>
      <c r="X15" s="255">
        <f t="shared" si="0"/>
        <v>0</v>
      </c>
      <c r="Y15" s="205"/>
    </row>
    <row r="16" spans="1:25" customFormat="1">
      <c r="A16" s="2"/>
      <c r="B16" s="452"/>
      <c r="C16" s="454"/>
      <c r="D16" s="35" t="s">
        <v>298</v>
      </c>
      <c r="E16" s="113">
        <f>IFERROR(aurora_data!D536,0)</f>
        <v>0</v>
      </c>
      <c r="F16" s="253">
        <f>IFERROR(aurora_data!E536,0)</f>
        <v>0</v>
      </c>
      <c r="G16" s="253">
        <f>IFERROR(aurora_data!F536,0)</f>
        <v>1</v>
      </c>
      <c r="H16" s="253">
        <f>IFERROR(aurora_data!G536,0)</f>
        <v>4</v>
      </c>
      <c r="I16" s="254">
        <f>IFERROR(aurora_data!H536,0)</f>
        <v>2</v>
      </c>
      <c r="J16" s="113">
        <f>IFERROR(aurora_data!I536,0)</f>
        <v>0</v>
      </c>
      <c r="K16" s="253">
        <f>IFERROR(aurora_data!J536,0)</f>
        <v>1</v>
      </c>
      <c r="L16" s="253">
        <f>IFERROR(aurora_data!K536,0)</f>
        <v>0</v>
      </c>
      <c r="M16" s="253">
        <f>IFERROR(aurora_data!L536,0)</f>
        <v>2</v>
      </c>
      <c r="N16" s="254">
        <f>IFERROR(aurora_data!M536,0)</f>
        <v>4</v>
      </c>
      <c r="O16" s="113">
        <f>IFERROR(aurora_data!N536,0)</f>
        <v>2</v>
      </c>
      <c r="P16" s="253">
        <f>IFERROR(aurora_data!O536,0)</f>
        <v>2</v>
      </c>
      <c r="Q16" s="253">
        <f>IFERROR(aurora_data!P536,0)</f>
        <v>2</v>
      </c>
      <c r="R16" s="254">
        <f>IFERROR(aurora_data!Q536,0)</f>
        <v>1</v>
      </c>
      <c r="S16" s="253">
        <f>IFERROR(aurora_data!R536,0)</f>
        <v>2</v>
      </c>
      <c r="T16" s="253">
        <f>IFERROR(aurora_data!S536,0)</f>
        <v>5</v>
      </c>
      <c r="U16" s="254">
        <f>IFERROR(aurora_data!T536,0)</f>
        <v>0</v>
      </c>
      <c r="V16" s="61" t="s">
        <v>354</v>
      </c>
      <c r="W16" s="113">
        <f>IFERROR(aurora_data!U536,0)</f>
        <v>7</v>
      </c>
      <c r="X16" s="255">
        <f t="shared" si="0"/>
        <v>0.23333333333333334</v>
      </c>
      <c r="Y16" s="205"/>
    </row>
    <row r="17" spans="1:25" customFormat="1">
      <c r="A17" s="2"/>
      <c r="B17" s="452"/>
      <c r="C17" s="454"/>
      <c r="D17" s="35" t="s">
        <v>341</v>
      </c>
      <c r="E17" s="113">
        <f>IFERROR(aurora_data!D537,0)</f>
        <v>0</v>
      </c>
      <c r="F17" s="253">
        <f>IFERROR(aurora_data!E537,0)</f>
        <v>1</v>
      </c>
      <c r="G17" s="253">
        <f>IFERROR(aurora_data!F537,0)</f>
        <v>0</v>
      </c>
      <c r="H17" s="253">
        <f>IFERROR(aurora_data!G537,0)</f>
        <v>3</v>
      </c>
      <c r="I17" s="254">
        <f>IFERROR(aurora_data!H537,0)</f>
        <v>0</v>
      </c>
      <c r="J17" s="113">
        <f>IFERROR(aurora_data!I537,0)</f>
        <v>1</v>
      </c>
      <c r="K17" s="253">
        <f>IFERROR(aurora_data!J537,0)</f>
        <v>1</v>
      </c>
      <c r="L17" s="253">
        <f>IFERROR(aurora_data!K537,0)</f>
        <v>1</v>
      </c>
      <c r="M17" s="253">
        <f>IFERROR(aurora_data!L537,0)</f>
        <v>0</v>
      </c>
      <c r="N17" s="254">
        <f>IFERROR(aurora_data!M537,0)</f>
        <v>1</v>
      </c>
      <c r="O17" s="113">
        <f>IFERROR(aurora_data!N537,0)</f>
        <v>1</v>
      </c>
      <c r="P17" s="253">
        <f>IFERROR(aurora_data!O537,0)</f>
        <v>0</v>
      </c>
      <c r="Q17" s="253">
        <f>IFERROR(aurora_data!P537,0)</f>
        <v>2</v>
      </c>
      <c r="R17" s="254">
        <f>IFERROR(aurora_data!Q537,0)</f>
        <v>1</v>
      </c>
      <c r="S17" s="253">
        <f>IFERROR(aurora_data!R537,0)</f>
        <v>2</v>
      </c>
      <c r="T17" s="253">
        <f>IFERROR(aurora_data!S537,0)</f>
        <v>2</v>
      </c>
      <c r="U17" s="254">
        <f>IFERROR(aurora_data!T537,0)</f>
        <v>0</v>
      </c>
      <c r="V17" s="61" t="s">
        <v>354</v>
      </c>
      <c r="W17" s="113">
        <f>IFERROR(aurora_data!U537,0)</f>
        <v>4</v>
      </c>
      <c r="X17" s="255">
        <f t="shared" si="0"/>
        <v>0.13333333333333333</v>
      </c>
      <c r="Y17" s="205"/>
    </row>
    <row r="18" spans="1:25" customFormat="1" ht="16.5" thickBot="1">
      <c r="A18" s="2"/>
      <c r="B18" s="452"/>
      <c r="C18" s="454"/>
      <c r="D18" s="35" t="s">
        <v>342</v>
      </c>
      <c r="E18" s="113">
        <f>IFERROR(aurora_data!D538,0)</f>
        <v>0</v>
      </c>
      <c r="F18" s="253">
        <f>IFERROR(aurora_data!E538,0)</f>
        <v>0</v>
      </c>
      <c r="G18" s="253">
        <f>IFERROR(aurora_data!F538,0)</f>
        <v>0</v>
      </c>
      <c r="H18" s="253">
        <f>IFERROR(aurora_data!G538,0)</f>
        <v>0</v>
      </c>
      <c r="I18" s="254">
        <f>IFERROR(aurora_data!H538,0)</f>
        <v>0</v>
      </c>
      <c r="J18" s="113">
        <f>IFERROR(aurora_data!I538,0)</f>
        <v>0</v>
      </c>
      <c r="K18" s="253">
        <f>IFERROR(aurora_data!J538,0)</f>
        <v>0</v>
      </c>
      <c r="L18" s="253">
        <f>IFERROR(aurora_data!K538,0)</f>
        <v>0</v>
      </c>
      <c r="M18" s="253">
        <f>IFERROR(aurora_data!L538,0)</f>
        <v>0</v>
      </c>
      <c r="N18" s="254">
        <f>IFERROR(aurora_data!M538,0)</f>
        <v>0</v>
      </c>
      <c r="O18" s="113">
        <f>IFERROR(aurora_data!N538,0)</f>
        <v>0</v>
      </c>
      <c r="P18" s="253">
        <f>IFERROR(aurora_data!O538,0)</f>
        <v>0</v>
      </c>
      <c r="Q18" s="253">
        <f>IFERROR(aurora_data!P538,0)</f>
        <v>0</v>
      </c>
      <c r="R18" s="254">
        <f>IFERROR(aurora_data!Q538,0)</f>
        <v>0</v>
      </c>
      <c r="S18" s="253">
        <f>IFERROR(aurora_data!R538,0)</f>
        <v>0</v>
      </c>
      <c r="T18" s="253">
        <f>IFERROR(aurora_data!S538,0)</f>
        <v>0</v>
      </c>
      <c r="U18" s="254">
        <f>IFERROR(aurora_data!T538,0)</f>
        <v>0</v>
      </c>
      <c r="V18" s="61" t="s">
        <v>354</v>
      </c>
      <c r="W18" s="113">
        <f>IFERROR(aurora_data!U538,0)</f>
        <v>0</v>
      </c>
      <c r="X18" s="255">
        <f t="shared" si="0"/>
        <v>0</v>
      </c>
      <c r="Y18" s="205"/>
    </row>
    <row r="19" spans="1:25" customFormat="1" ht="16.5" thickBot="1">
      <c r="A19" s="2"/>
      <c r="B19" s="452"/>
      <c r="C19" s="454"/>
      <c r="D19" s="37" t="s">
        <v>17</v>
      </c>
      <c r="E19" s="59">
        <f>IFERROR(aurora_data!D539,0)</f>
        <v>1</v>
      </c>
      <c r="F19" s="64">
        <f>IFERROR(aurora_data!E539,0)</f>
        <v>1</v>
      </c>
      <c r="G19" s="64">
        <f>IFERROR(aurora_data!F539,0)</f>
        <v>6</v>
      </c>
      <c r="H19" s="64">
        <f>IFERROR(aurora_data!G539,0)</f>
        <v>15</v>
      </c>
      <c r="I19" s="65">
        <f>IFERROR(aurora_data!H539,0)</f>
        <v>8</v>
      </c>
      <c r="J19" s="59">
        <f>IFERROR(aurora_data!I539,0)</f>
        <v>1</v>
      </c>
      <c r="K19" s="64">
        <f>IFERROR(aurora_data!J539,0)</f>
        <v>5</v>
      </c>
      <c r="L19" s="64">
        <f>IFERROR(aurora_data!K539,0)</f>
        <v>4</v>
      </c>
      <c r="M19" s="64">
        <f>IFERROR(aurora_data!L539,0)</f>
        <v>4</v>
      </c>
      <c r="N19" s="65">
        <f>IFERROR(aurora_data!M539,0)</f>
        <v>17</v>
      </c>
      <c r="O19" s="59">
        <f>IFERROR(aurora_data!N539,0)</f>
        <v>10</v>
      </c>
      <c r="P19" s="64">
        <f>IFERROR(aurora_data!O539,0)</f>
        <v>5</v>
      </c>
      <c r="Q19" s="64">
        <f>IFERROR(aurora_data!P539,0)</f>
        <v>10</v>
      </c>
      <c r="R19" s="65">
        <f>IFERROR(aurora_data!Q539,0)</f>
        <v>6</v>
      </c>
      <c r="S19" s="64">
        <f>IFERROR(aurora_data!R539,0)</f>
        <v>11</v>
      </c>
      <c r="T19" s="64">
        <f>IFERROR(aurora_data!S539,0)</f>
        <v>20</v>
      </c>
      <c r="U19" s="65">
        <f>IFERROR(aurora_data!T539,0)</f>
        <v>0</v>
      </c>
      <c r="V19" s="66" t="s">
        <v>354</v>
      </c>
      <c r="W19" s="59">
        <f>IFERROR(aurora_data!U539,0)</f>
        <v>31</v>
      </c>
      <c r="X19" s="70">
        <f t="shared" si="0"/>
        <v>1.0333333333333334</v>
      </c>
      <c r="Y19" s="205"/>
    </row>
    <row r="20" spans="1:25" customFormat="1" ht="16.5" thickBot="1">
      <c r="A20" s="2"/>
      <c r="B20" s="452"/>
      <c r="C20" s="454"/>
      <c r="D20" s="38" t="s">
        <v>343</v>
      </c>
      <c r="E20" s="256">
        <f>IFERROR(aurora_data!D540,0)</f>
        <v>0</v>
      </c>
      <c r="F20" s="257">
        <f>IFERROR(aurora_data!E540,0)</f>
        <v>0</v>
      </c>
      <c r="G20" s="257">
        <f>IFERROR(aurora_data!F540,0)</f>
        <v>0</v>
      </c>
      <c r="H20" s="257">
        <f>IFERROR(aurora_data!G540,0)</f>
        <v>0</v>
      </c>
      <c r="I20" s="258">
        <f>IFERROR(aurora_data!H540,0)</f>
        <v>0</v>
      </c>
      <c r="J20" s="256">
        <f>IFERROR(aurora_data!I540,0)</f>
        <v>0</v>
      </c>
      <c r="K20" s="257">
        <f>IFERROR(aurora_data!J540,0)</f>
        <v>0</v>
      </c>
      <c r="L20" s="257">
        <f>IFERROR(aurora_data!K540,0)</f>
        <v>0</v>
      </c>
      <c r="M20" s="257">
        <f>IFERROR(aurora_data!L540,0)</f>
        <v>0</v>
      </c>
      <c r="N20" s="258">
        <f>IFERROR(aurora_data!M540,0)</f>
        <v>0</v>
      </c>
      <c r="O20" s="256">
        <f>IFERROR(aurora_data!N540,0)</f>
        <v>0</v>
      </c>
      <c r="P20" s="257">
        <f>IFERROR(aurora_data!O540,0)</f>
        <v>0</v>
      </c>
      <c r="Q20" s="257">
        <f>IFERROR(aurora_data!P540,0)</f>
        <v>0</v>
      </c>
      <c r="R20" s="258">
        <f>IFERROR(aurora_data!Q540,0)</f>
        <v>0</v>
      </c>
      <c r="S20" s="257">
        <f>IFERROR(aurora_data!R540,0)</f>
        <v>0</v>
      </c>
      <c r="T20" s="257">
        <f>IFERROR(aurora_data!S540,0)</f>
        <v>0</v>
      </c>
      <c r="U20" s="259">
        <f>IFERROR(aurora_data!T540,0)</f>
        <v>0</v>
      </c>
      <c r="V20" s="260" t="s">
        <v>354</v>
      </c>
      <c r="W20" s="256">
        <f>IFERROR(aurora_data!U540,0)</f>
        <v>0</v>
      </c>
      <c r="X20" s="261">
        <f t="shared" si="0"/>
        <v>0</v>
      </c>
      <c r="Y20" s="205"/>
    </row>
    <row r="21" spans="1:25" customFormat="1">
      <c r="A21" s="2"/>
      <c r="B21" s="451" t="s">
        <v>338</v>
      </c>
      <c r="C21" s="453" t="str">
        <f>aurora_data!A541</f>
        <v>08.00.00-11.11.30</v>
      </c>
      <c r="D21" s="34" t="s">
        <v>306</v>
      </c>
      <c r="E21" s="39">
        <f>IFERROR(aurora_data!D541,0)</f>
        <v>1</v>
      </c>
      <c r="F21" s="40">
        <f>IFERROR(aurora_data!E541,0)</f>
        <v>1</v>
      </c>
      <c r="G21" s="40">
        <f>IFERROR(aurora_data!F541,0)</f>
        <v>1</v>
      </c>
      <c r="H21" s="40">
        <f>IFERROR(aurora_data!G541,0)</f>
        <v>1</v>
      </c>
      <c r="I21" s="41">
        <f>IFERROR(aurora_data!H541,0)</f>
        <v>1</v>
      </c>
      <c r="J21" s="39">
        <f>IFERROR(aurora_data!I541,0)</f>
        <v>1</v>
      </c>
      <c r="K21" s="40">
        <f>IFERROR(aurora_data!J541,0)</f>
        <v>1</v>
      </c>
      <c r="L21" s="40">
        <f>IFERROR(aurora_data!K541,0)</f>
        <v>1</v>
      </c>
      <c r="M21" s="40">
        <f>IFERROR(aurora_data!L541,0)</f>
        <v>1</v>
      </c>
      <c r="N21" s="41">
        <f>IFERROR(aurora_data!M541,0)</f>
        <v>1</v>
      </c>
      <c r="O21" s="39">
        <f>IFERROR(aurora_data!N541,0)</f>
        <v>1</v>
      </c>
      <c r="P21" s="40">
        <f>IFERROR(aurora_data!O541,0)</f>
        <v>1</v>
      </c>
      <c r="Q21" s="40">
        <f>IFERROR(aurora_data!P541,0)</f>
        <v>1</v>
      </c>
      <c r="R21" s="41">
        <f>IFERROR(aurora_data!Q541,0)</f>
        <v>1</v>
      </c>
      <c r="S21" s="40">
        <f>IFERROR(aurora_data!R541,0)</f>
        <v>1</v>
      </c>
      <c r="T21" s="40">
        <f>IFERROR(aurora_data!S541,0)</f>
        <v>1</v>
      </c>
      <c r="U21" s="41">
        <f>IFERROR(aurora_data!T541,0)</f>
        <v>0</v>
      </c>
      <c r="V21" s="61" t="s">
        <v>354</v>
      </c>
      <c r="W21" s="39">
        <f>IFERROR(aurora_data!U541,0)</f>
        <v>30</v>
      </c>
      <c r="X21" s="69">
        <f>IFERROR(W21/$W$21,0)</f>
        <v>1</v>
      </c>
      <c r="Y21" s="205"/>
    </row>
    <row r="22" spans="1:25" customFormat="1" ht="16.5" customHeight="1">
      <c r="A22" s="2"/>
      <c r="B22" s="452"/>
      <c r="C22" s="454"/>
      <c r="D22" s="35" t="s">
        <v>339</v>
      </c>
      <c r="E22" s="113">
        <f>IFERROR(aurora_data!D542,0)</f>
        <v>1</v>
      </c>
      <c r="F22" s="253">
        <f>IFERROR(aurora_data!E542,0)</f>
        <v>1</v>
      </c>
      <c r="G22" s="253">
        <f>IFERROR(aurora_data!F542,0)</f>
        <v>4</v>
      </c>
      <c r="H22" s="253">
        <f>IFERROR(aurora_data!G542,0)</f>
        <v>5</v>
      </c>
      <c r="I22" s="254">
        <f>IFERROR(aurora_data!H542,0)</f>
        <v>13</v>
      </c>
      <c r="J22" s="113">
        <f>IFERROR(aurora_data!I542,0)</f>
        <v>1</v>
      </c>
      <c r="K22" s="253">
        <f>IFERROR(aurora_data!J542,0)</f>
        <v>2</v>
      </c>
      <c r="L22" s="253">
        <f>IFERROR(aurora_data!K542,0)</f>
        <v>8</v>
      </c>
      <c r="M22" s="253">
        <f>IFERROR(aurora_data!L542,0)</f>
        <v>6</v>
      </c>
      <c r="N22" s="254">
        <f>IFERROR(aurora_data!M542,0)</f>
        <v>7</v>
      </c>
      <c r="O22" s="113">
        <f>IFERROR(aurora_data!N542,0)</f>
        <v>5</v>
      </c>
      <c r="P22" s="253">
        <f>IFERROR(aurora_data!O542,0)</f>
        <v>3</v>
      </c>
      <c r="Q22" s="253">
        <f>IFERROR(aurora_data!P542,0)</f>
        <v>8</v>
      </c>
      <c r="R22" s="254">
        <f>IFERROR(aurora_data!Q542,0)</f>
        <v>8</v>
      </c>
      <c r="S22" s="253">
        <f>IFERROR(aurora_data!R542,0)</f>
        <v>12</v>
      </c>
      <c r="T22" s="253">
        <f>IFERROR(aurora_data!S542,0)</f>
        <v>12</v>
      </c>
      <c r="U22" s="254">
        <f>IFERROR(aurora_data!T542,0)</f>
        <v>0</v>
      </c>
      <c r="V22" s="61" t="s">
        <v>354</v>
      </c>
      <c r="W22" s="113">
        <f>IFERROR(aurora_data!U542,0)</f>
        <v>24</v>
      </c>
      <c r="X22" s="255">
        <f t="shared" ref="X22:X29" si="1">IFERROR(W22/$W$21,0)</f>
        <v>0.8</v>
      </c>
      <c r="Y22" s="205"/>
    </row>
    <row r="23" spans="1:25" customFormat="1" ht="16.5" customHeight="1">
      <c r="A23" s="2"/>
      <c r="B23" s="452"/>
      <c r="C23" s="454"/>
      <c r="D23" s="35" t="s">
        <v>291</v>
      </c>
      <c r="E23" s="113">
        <f>IFERROR(aurora_data!D543,0)</f>
        <v>0</v>
      </c>
      <c r="F23" s="253">
        <f>IFERROR(aurora_data!E543,0)</f>
        <v>0</v>
      </c>
      <c r="G23" s="253">
        <f>IFERROR(aurora_data!F543,0)</f>
        <v>0</v>
      </c>
      <c r="H23" s="253">
        <f>IFERROR(aurora_data!G543,0)</f>
        <v>0</v>
      </c>
      <c r="I23" s="254">
        <f>IFERROR(aurora_data!H543,0)</f>
        <v>0</v>
      </c>
      <c r="J23" s="113">
        <f>IFERROR(aurora_data!I543,0)</f>
        <v>0</v>
      </c>
      <c r="K23" s="253">
        <f>IFERROR(aurora_data!J543,0)</f>
        <v>0</v>
      </c>
      <c r="L23" s="253">
        <f>IFERROR(aurora_data!K543,0)</f>
        <v>0</v>
      </c>
      <c r="M23" s="253">
        <f>IFERROR(aurora_data!L543,0)</f>
        <v>0</v>
      </c>
      <c r="N23" s="254">
        <f>IFERROR(aurora_data!M543,0)</f>
        <v>0</v>
      </c>
      <c r="O23" s="113">
        <f>IFERROR(aurora_data!N543,0)</f>
        <v>0</v>
      </c>
      <c r="P23" s="253">
        <f>IFERROR(aurora_data!O543,0)</f>
        <v>0</v>
      </c>
      <c r="Q23" s="253">
        <f>IFERROR(aurora_data!P543,0)</f>
        <v>0</v>
      </c>
      <c r="R23" s="254">
        <f>IFERROR(aurora_data!Q543,0)</f>
        <v>0</v>
      </c>
      <c r="S23" s="253">
        <f>IFERROR(aurora_data!R543,0)</f>
        <v>0</v>
      </c>
      <c r="T23" s="253">
        <f>IFERROR(aurora_data!S543,0)</f>
        <v>0</v>
      </c>
      <c r="U23" s="254">
        <f>IFERROR(aurora_data!T543,0)</f>
        <v>0</v>
      </c>
      <c r="V23" s="61" t="s">
        <v>354</v>
      </c>
      <c r="W23" s="113">
        <f>IFERROR(aurora_data!U543,0)</f>
        <v>0</v>
      </c>
      <c r="X23" s="255">
        <f t="shared" si="1"/>
        <v>0</v>
      </c>
      <c r="Y23" s="2"/>
    </row>
    <row r="24" spans="1:25" customFormat="1">
      <c r="A24" s="2"/>
      <c r="B24" s="452"/>
      <c r="C24" s="454"/>
      <c r="D24" s="35" t="s">
        <v>340</v>
      </c>
      <c r="E24" s="113">
        <f>IFERROR(aurora_data!D544,0)</f>
        <v>0</v>
      </c>
      <c r="F24" s="253">
        <f>IFERROR(aurora_data!E544,0)</f>
        <v>0</v>
      </c>
      <c r="G24" s="253">
        <f>IFERROR(aurora_data!F544,0)</f>
        <v>0</v>
      </c>
      <c r="H24" s="253">
        <f>IFERROR(aurora_data!G544,0)</f>
        <v>0</v>
      </c>
      <c r="I24" s="254">
        <f>IFERROR(aurora_data!H544,0)</f>
        <v>0</v>
      </c>
      <c r="J24" s="113">
        <f>IFERROR(aurora_data!I544,0)</f>
        <v>0</v>
      </c>
      <c r="K24" s="253">
        <f>IFERROR(aurora_data!J544,0)</f>
        <v>0</v>
      </c>
      <c r="L24" s="253">
        <f>IFERROR(aurora_data!K544,0)</f>
        <v>0</v>
      </c>
      <c r="M24" s="253">
        <f>IFERROR(aurora_data!L544,0)</f>
        <v>0</v>
      </c>
      <c r="N24" s="254">
        <f>IFERROR(aurora_data!M544,0)</f>
        <v>0</v>
      </c>
      <c r="O24" s="113">
        <f>IFERROR(aurora_data!N544,0)</f>
        <v>0</v>
      </c>
      <c r="P24" s="253">
        <f>IFERROR(aurora_data!O544,0)</f>
        <v>0</v>
      </c>
      <c r="Q24" s="253">
        <f>IFERROR(aurora_data!P544,0)</f>
        <v>0</v>
      </c>
      <c r="R24" s="254">
        <f>IFERROR(aurora_data!Q544,0)</f>
        <v>0</v>
      </c>
      <c r="S24" s="253">
        <f>IFERROR(aurora_data!R544,0)</f>
        <v>0</v>
      </c>
      <c r="T24" s="253">
        <f>IFERROR(aurora_data!S544,0)</f>
        <v>0</v>
      </c>
      <c r="U24" s="254">
        <f>IFERROR(aurora_data!T544,0)</f>
        <v>0</v>
      </c>
      <c r="V24" s="61" t="s">
        <v>354</v>
      </c>
      <c r="W24" s="113">
        <f>IFERROR(aurora_data!U544,0)</f>
        <v>0</v>
      </c>
      <c r="X24" s="255">
        <f t="shared" si="1"/>
        <v>0</v>
      </c>
      <c r="Y24" s="2"/>
    </row>
    <row r="25" spans="1:25" customFormat="1">
      <c r="A25" s="2"/>
      <c r="B25" s="452"/>
      <c r="C25" s="454"/>
      <c r="D25" s="35" t="s">
        <v>298</v>
      </c>
      <c r="E25" s="113">
        <f>IFERROR(aurora_data!D545,0)</f>
        <v>0</v>
      </c>
      <c r="F25" s="253">
        <f>IFERROR(aurora_data!E545,0)</f>
        <v>0</v>
      </c>
      <c r="G25" s="253">
        <f>IFERROR(aurora_data!F545,0)</f>
        <v>1</v>
      </c>
      <c r="H25" s="253">
        <f>IFERROR(aurora_data!G545,0)</f>
        <v>1</v>
      </c>
      <c r="I25" s="254">
        <f>IFERROR(aurora_data!H545,0)</f>
        <v>1</v>
      </c>
      <c r="J25" s="113">
        <f>IFERROR(aurora_data!I545,0)</f>
        <v>0</v>
      </c>
      <c r="K25" s="253">
        <f>IFERROR(aurora_data!J545,0)</f>
        <v>0</v>
      </c>
      <c r="L25" s="253">
        <f>IFERROR(aurora_data!K545,0)</f>
        <v>1</v>
      </c>
      <c r="M25" s="253">
        <f>IFERROR(aurora_data!L545,0)</f>
        <v>0</v>
      </c>
      <c r="N25" s="254">
        <f>IFERROR(aurora_data!M545,0)</f>
        <v>2</v>
      </c>
      <c r="O25" s="113">
        <f>IFERROR(aurora_data!N545,0)</f>
        <v>2</v>
      </c>
      <c r="P25" s="253">
        <f>IFERROR(aurora_data!O545,0)</f>
        <v>1</v>
      </c>
      <c r="Q25" s="253">
        <f>IFERROR(aurora_data!P545,0)</f>
        <v>0</v>
      </c>
      <c r="R25" s="254">
        <f>IFERROR(aurora_data!Q545,0)</f>
        <v>0</v>
      </c>
      <c r="S25" s="253">
        <f>IFERROR(aurora_data!R545,0)</f>
        <v>0</v>
      </c>
      <c r="T25" s="253">
        <f>IFERROR(aurora_data!S545,0)</f>
        <v>3</v>
      </c>
      <c r="U25" s="254">
        <f>IFERROR(aurora_data!T545,0)</f>
        <v>0</v>
      </c>
      <c r="V25" s="61" t="s">
        <v>354</v>
      </c>
      <c r="W25" s="113">
        <f>IFERROR(aurora_data!U545,0)</f>
        <v>3</v>
      </c>
      <c r="X25" s="255">
        <f t="shared" si="1"/>
        <v>0.1</v>
      </c>
      <c r="Y25" s="2"/>
    </row>
    <row r="26" spans="1:25" customFormat="1" ht="16.5" customHeight="1">
      <c r="A26" s="2"/>
      <c r="B26" s="452"/>
      <c r="C26" s="454"/>
      <c r="D26" s="35" t="s">
        <v>341</v>
      </c>
      <c r="E26" s="113">
        <f>IFERROR(aurora_data!D546,0)</f>
        <v>0</v>
      </c>
      <c r="F26" s="253">
        <f>IFERROR(aurora_data!E546,0)</f>
        <v>0</v>
      </c>
      <c r="G26" s="253">
        <f>IFERROR(aurora_data!F546,0)</f>
        <v>2</v>
      </c>
      <c r="H26" s="253">
        <f>IFERROR(aurora_data!G546,0)</f>
        <v>2</v>
      </c>
      <c r="I26" s="254">
        <f>IFERROR(aurora_data!H546,0)</f>
        <v>0</v>
      </c>
      <c r="J26" s="113">
        <f>IFERROR(aurora_data!I546,0)</f>
        <v>0</v>
      </c>
      <c r="K26" s="253">
        <f>IFERROR(aurora_data!J546,0)</f>
        <v>0</v>
      </c>
      <c r="L26" s="253">
        <f>IFERROR(aurora_data!K546,0)</f>
        <v>0</v>
      </c>
      <c r="M26" s="253">
        <f>IFERROR(aurora_data!L546,0)</f>
        <v>2</v>
      </c>
      <c r="N26" s="254">
        <f>IFERROR(aurora_data!M546,0)</f>
        <v>2</v>
      </c>
      <c r="O26" s="113">
        <f>IFERROR(aurora_data!N546,0)</f>
        <v>1</v>
      </c>
      <c r="P26" s="253">
        <f>IFERROR(aurora_data!O546,0)</f>
        <v>0</v>
      </c>
      <c r="Q26" s="253">
        <f>IFERROR(aurora_data!P546,0)</f>
        <v>2</v>
      </c>
      <c r="R26" s="254">
        <f>IFERROR(aurora_data!Q546,0)</f>
        <v>1</v>
      </c>
      <c r="S26" s="253">
        <f>IFERROR(aurora_data!R546,0)</f>
        <v>1</v>
      </c>
      <c r="T26" s="253">
        <f>IFERROR(aurora_data!S546,0)</f>
        <v>3</v>
      </c>
      <c r="U26" s="254">
        <f>IFERROR(aurora_data!T546,0)</f>
        <v>0</v>
      </c>
      <c r="V26" s="61" t="s">
        <v>354</v>
      </c>
      <c r="W26" s="113">
        <f>IFERROR(aurora_data!U546,0)</f>
        <v>4</v>
      </c>
      <c r="X26" s="255">
        <f t="shared" si="1"/>
        <v>0.13333333333333333</v>
      </c>
      <c r="Y26" s="2"/>
    </row>
    <row r="27" spans="1:25" customFormat="1" ht="16.5" customHeight="1" thickBot="1">
      <c r="A27" s="2"/>
      <c r="B27" s="452"/>
      <c r="C27" s="454"/>
      <c r="D27" s="35" t="s">
        <v>342</v>
      </c>
      <c r="E27" s="113">
        <f>IFERROR(aurora_data!D547,0)</f>
        <v>0</v>
      </c>
      <c r="F27" s="253">
        <f>IFERROR(aurora_data!E547,0)</f>
        <v>0</v>
      </c>
      <c r="G27" s="253">
        <f>IFERROR(aurora_data!F547,0)</f>
        <v>0</v>
      </c>
      <c r="H27" s="253">
        <f>IFERROR(aurora_data!G547,0)</f>
        <v>0</v>
      </c>
      <c r="I27" s="254">
        <f>IFERROR(aurora_data!H547,0)</f>
        <v>0</v>
      </c>
      <c r="J27" s="113">
        <f>IFERROR(aurora_data!I547,0)</f>
        <v>0</v>
      </c>
      <c r="K27" s="253">
        <f>IFERROR(aurora_data!J547,0)</f>
        <v>0</v>
      </c>
      <c r="L27" s="253">
        <f>IFERROR(aurora_data!K547,0)</f>
        <v>0</v>
      </c>
      <c r="M27" s="253">
        <f>IFERROR(aurora_data!L547,0)</f>
        <v>0</v>
      </c>
      <c r="N27" s="254">
        <f>IFERROR(aurora_data!M547,0)</f>
        <v>0</v>
      </c>
      <c r="O27" s="113">
        <f>IFERROR(aurora_data!N547,0)</f>
        <v>0</v>
      </c>
      <c r="P27" s="253">
        <f>IFERROR(aurora_data!O547,0)</f>
        <v>0</v>
      </c>
      <c r="Q27" s="253">
        <f>IFERROR(aurora_data!P547,0)</f>
        <v>0</v>
      </c>
      <c r="R27" s="254">
        <f>IFERROR(aurora_data!Q547,0)</f>
        <v>0</v>
      </c>
      <c r="S27" s="253">
        <f>IFERROR(aurora_data!R547,0)</f>
        <v>0</v>
      </c>
      <c r="T27" s="253">
        <f>IFERROR(aurora_data!S547,0)</f>
        <v>0</v>
      </c>
      <c r="U27" s="254">
        <f>IFERROR(aurora_data!T547,0)</f>
        <v>0</v>
      </c>
      <c r="V27" s="61" t="s">
        <v>354</v>
      </c>
      <c r="W27" s="256">
        <f>IFERROR(aurora_data!U547,0)</f>
        <v>0</v>
      </c>
      <c r="X27" s="290">
        <f t="shared" si="1"/>
        <v>0</v>
      </c>
      <c r="Y27" s="2"/>
    </row>
    <row r="28" spans="1:25" customFormat="1" ht="16.5" customHeight="1" thickBot="1">
      <c r="A28" s="2"/>
      <c r="B28" s="452"/>
      <c r="C28" s="454"/>
      <c r="D28" s="37" t="s">
        <v>17</v>
      </c>
      <c r="E28" s="59">
        <f>IFERROR(aurora_data!D548,0)</f>
        <v>1</v>
      </c>
      <c r="F28" s="64">
        <f>IFERROR(aurora_data!E548,0)</f>
        <v>1</v>
      </c>
      <c r="G28" s="64">
        <f>IFERROR(aurora_data!F548,0)</f>
        <v>7</v>
      </c>
      <c r="H28" s="64">
        <f>IFERROR(aurora_data!G548,0)</f>
        <v>8</v>
      </c>
      <c r="I28" s="65">
        <f>IFERROR(aurora_data!H548,0)</f>
        <v>14</v>
      </c>
      <c r="J28" s="59">
        <f>IFERROR(aurora_data!I548,0)</f>
        <v>1</v>
      </c>
      <c r="K28" s="64">
        <f>IFERROR(aurora_data!J548,0)</f>
        <v>2</v>
      </c>
      <c r="L28" s="64">
        <f>IFERROR(aurora_data!K548,0)</f>
        <v>9</v>
      </c>
      <c r="M28" s="64">
        <f>IFERROR(aurora_data!L548,0)</f>
        <v>8</v>
      </c>
      <c r="N28" s="65">
        <f>IFERROR(aurora_data!M548,0)</f>
        <v>11</v>
      </c>
      <c r="O28" s="59">
        <f>IFERROR(aurora_data!N548,0)</f>
        <v>8</v>
      </c>
      <c r="P28" s="64">
        <f>IFERROR(aurora_data!O548,0)</f>
        <v>4</v>
      </c>
      <c r="Q28" s="64">
        <f>IFERROR(aurora_data!P548,0)</f>
        <v>10</v>
      </c>
      <c r="R28" s="65">
        <f>IFERROR(aurora_data!Q548,0)</f>
        <v>9</v>
      </c>
      <c r="S28" s="64">
        <f>IFERROR(aurora_data!R548,0)</f>
        <v>13</v>
      </c>
      <c r="T28" s="64">
        <f>IFERROR(aurora_data!S548,0)</f>
        <v>18</v>
      </c>
      <c r="U28" s="65">
        <f>IFERROR(aurora_data!T548,0)</f>
        <v>0</v>
      </c>
      <c r="V28" s="66" t="s">
        <v>354</v>
      </c>
      <c r="W28" s="59">
        <f>IFERROR(aurora_data!U548,0)</f>
        <v>31</v>
      </c>
      <c r="X28" s="70">
        <f t="shared" si="1"/>
        <v>1.0333333333333334</v>
      </c>
      <c r="Y28" s="2"/>
    </row>
    <row r="29" spans="1:25" customFormat="1" ht="16.5" thickBot="1">
      <c r="A29" s="2"/>
      <c r="B29" s="452"/>
      <c r="C29" s="454"/>
      <c r="D29" s="38" t="s">
        <v>343</v>
      </c>
      <c r="E29" s="256">
        <f>IFERROR(aurora_data!D549,0)</f>
        <v>0</v>
      </c>
      <c r="F29" s="257">
        <f>IFERROR(aurora_data!E549,0)</f>
        <v>0</v>
      </c>
      <c r="G29" s="257">
        <f>IFERROR(aurora_data!F549,0)</f>
        <v>0</v>
      </c>
      <c r="H29" s="257">
        <f>IFERROR(aurora_data!G549,0)</f>
        <v>0</v>
      </c>
      <c r="I29" s="258">
        <f>IFERROR(aurora_data!H549,0)</f>
        <v>0</v>
      </c>
      <c r="J29" s="256">
        <f>IFERROR(aurora_data!I549,0)</f>
        <v>0</v>
      </c>
      <c r="K29" s="257">
        <f>IFERROR(aurora_data!J549,0)</f>
        <v>0</v>
      </c>
      <c r="L29" s="257">
        <f>IFERROR(aurora_data!K549,0)</f>
        <v>0</v>
      </c>
      <c r="M29" s="257">
        <f>IFERROR(aurora_data!L549,0)</f>
        <v>0</v>
      </c>
      <c r="N29" s="258">
        <f>IFERROR(aurora_data!M549,0)</f>
        <v>0</v>
      </c>
      <c r="O29" s="256">
        <f>IFERROR(aurora_data!N549,0)</f>
        <v>0</v>
      </c>
      <c r="P29" s="257">
        <f>IFERROR(aurora_data!O549,0)</f>
        <v>0</v>
      </c>
      <c r="Q29" s="257">
        <f>IFERROR(aurora_data!P549,0)</f>
        <v>0</v>
      </c>
      <c r="R29" s="258">
        <f>IFERROR(aurora_data!Q549,0)</f>
        <v>0</v>
      </c>
      <c r="S29" s="257">
        <f>IFERROR(aurora_data!R549,0)</f>
        <v>0</v>
      </c>
      <c r="T29" s="257">
        <f>IFERROR(aurora_data!S549,0)</f>
        <v>0</v>
      </c>
      <c r="U29" s="259">
        <f>IFERROR(aurora_data!T549,0)</f>
        <v>0</v>
      </c>
      <c r="V29" s="260" t="s">
        <v>354</v>
      </c>
      <c r="W29" s="256">
        <f>IFERROR(aurora_data!U549,0)</f>
        <v>0</v>
      </c>
      <c r="X29" s="261">
        <f t="shared" si="1"/>
        <v>0</v>
      </c>
      <c r="Y29" s="2"/>
    </row>
    <row r="30" spans="1:25" customFormat="1">
      <c r="A30" s="2"/>
      <c r="B30" s="451" t="s">
        <v>338</v>
      </c>
      <c r="C30" s="453" t="str">
        <f>aurora_data!A550</f>
        <v>12.00.00-16.11.30</v>
      </c>
      <c r="D30" s="34" t="s">
        <v>306</v>
      </c>
      <c r="E30" s="39">
        <f>IFERROR(aurora_data!D550,0)</f>
        <v>1</v>
      </c>
      <c r="F30" s="40">
        <f>IFERROR(aurora_data!E550,0)</f>
        <v>1</v>
      </c>
      <c r="G30" s="40">
        <f>IFERROR(aurora_data!F550,0)</f>
        <v>1</v>
      </c>
      <c r="H30" s="40">
        <f>IFERROR(aurora_data!G550,0)</f>
        <v>1</v>
      </c>
      <c r="I30" s="41">
        <f>IFERROR(aurora_data!H550,0)</f>
        <v>1</v>
      </c>
      <c r="J30" s="39">
        <f>IFERROR(aurora_data!I550,0)</f>
        <v>1</v>
      </c>
      <c r="K30" s="40">
        <f>IFERROR(aurora_data!J550,0)</f>
        <v>1</v>
      </c>
      <c r="L30" s="40">
        <f>IFERROR(aurora_data!K550,0)</f>
        <v>1</v>
      </c>
      <c r="M30" s="40">
        <f>IFERROR(aurora_data!L550,0)</f>
        <v>1</v>
      </c>
      <c r="N30" s="41">
        <f>IFERROR(aurora_data!M550,0)</f>
        <v>1</v>
      </c>
      <c r="O30" s="39">
        <f>IFERROR(aurora_data!N550,0)</f>
        <v>1</v>
      </c>
      <c r="P30" s="40">
        <f>IFERROR(aurora_data!O550,0)</f>
        <v>1</v>
      </c>
      <c r="Q30" s="40">
        <f>IFERROR(aurora_data!P550,0)</f>
        <v>1</v>
      </c>
      <c r="R30" s="41">
        <f>IFERROR(aurora_data!Q550,0)</f>
        <v>1</v>
      </c>
      <c r="S30" s="40">
        <f>IFERROR(aurora_data!R550,0)</f>
        <v>1</v>
      </c>
      <c r="T30" s="40">
        <f>IFERROR(aurora_data!S550,0)</f>
        <v>1</v>
      </c>
      <c r="U30" s="41">
        <f>IFERROR(aurora_data!T550,0)</f>
        <v>0</v>
      </c>
      <c r="V30" s="61" t="s">
        <v>354</v>
      </c>
      <c r="W30" s="39">
        <f>IFERROR(aurora_data!U550,0)</f>
        <v>30</v>
      </c>
      <c r="X30" s="69">
        <f>IFERROR(W30/$W$30,0)</f>
        <v>1</v>
      </c>
      <c r="Y30" s="2"/>
    </row>
    <row r="31" spans="1:25" customFormat="1">
      <c r="A31" s="2"/>
      <c r="B31" s="452"/>
      <c r="C31" s="454"/>
      <c r="D31" s="35" t="s">
        <v>339</v>
      </c>
      <c r="E31" s="113">
        <f>IFERROR(aurora_data!D551,0)</f>
        <v>3</v>
      </c>
      <c r="F31" s="253">
        <f>IFERROR(aurora_data!E551,0)</f>
        <v>3</v>
      </c>
      <c r="G31" s="253">
        <f>IFERROR(aurora_data!F551,0)</f>
        <v>5</v>
      </c>
      <c r="H31" s="253">
        <f>IFERROR(aurora_data!G551,0)</f>
        <v>6</v>
      </c>
      <c r="I31" s="254">
        <f>IFERROR(aurora_data!H551,0)</f>
        <v>10</v>
      </c>
      <c r="J31" s="113">
        <f>IFERROR(aurora_data!I551,0)</f>
        <v>4</v>
      </c>
      <c r="K31" s="253">
        <f>IFERROR(aurora_data!J551,0)</f>
        <v>6</v>
      </c>
      <c r="L31" s="253">
        <f>IFERROR(aurora_data!K551,0)</f>
        <v>8</v>
      </c>
      <c r="M31" s="253">
        <f>IFERROR(aurora_data!L551,0)</f>
        <v>2</v>
      </c>
      <c r="N31" s="254">
        <f>IFERROR(aurora_data!M551,0)</f>
        <v>7</v>
      </c>
      <c r="O31" s="113">
        <f>IFERROR(aurora_data!N551,0)</f>
        <v>3</v>
      </c>
      <c r="P31" s="253">
        <f>IFERROR(aurora_data!O551,0)</f>
        <v>4</v>
      </c>
      <c r="Q31" s="253">
        <f>IFERROR(aurora_data!P551,0)</f>
        <v>14</v>
      </c>
      <c r="R31" s="254">
        <f>IFERROR(aurora_data!Q551,0)</f>
        <v>6</v>
      </c>
      <c r="S31" s="253">
        <f>IFERROR(aurora_data!R551,0)</f>
        <v>13</v>
      </c>
      <c r="T31" s="253">
        <f>IFERROR(aurora_data!S551,0)</f>
        <v>14</v>
      </c>
      <c r="U31" s="254">
        <f>IFERROR(aurora_data!T551,0)</f>
        <v>0</v>
      </c>
      <c r="V31" s="61" t="s">
        <v>354</v>
      </c>
      <c r="W31" s="113">
        <f>IFERROR(aurora_data!U551,0)</f>
        <v>27</v>
      </c>
      <c r="X31" s="255">
        <f t="shared" ref="X31:X38" si="2">IFERROR(W31/$W$30,0)</f>
        <v>0.9</v>
      </c>
      <c r="Y31" s="2"/>
    </row>
    <row r="32" spans="1:25" customFormat="1">
      <c r="A32" s="2"/>
      <c r="B32" s="452"/>
      <c r="C32" s="454"/>
      <c r="D32" s="35" t="s">
        <v>291</v>
      </c>
      <c r="E32" s="113">
        <f>IFERROR(aurora_data!D552,0)</f>
        <v>0</v>
      </c>
      <c r="F32" s="253">
        <f>IFERROR(aurora_data!E552,0)</f>
        <v>0</v>
      </c>
      <c r="G32" s="253">
        <f>IFERROR(aurora_data!F552,0)</f>
        <v>0</v>
      </c>
      <c r="H32" s="253">
        <f>IFERROR(aurora_data!G552,0)</f>
        <v>0</v>
      </c>
      <c r="I32" s="254">
        <f>IFERROR(aurora_data!H552,0)</f>
        <v>0</v>
      </c>
      <c r="J32" s="113">
        <f>IFERROR(aurora_data!I552,0)</f>
        <v>0</v>
      </c>
      <c r="K32" s="253">
        <f>IFERROR(aurora_data!J552,0)</f>
        <v>0</v>
      </c>
      <c r="L32" s="253">
        <f>IFERROR(aurora_data!K552,0)</f>
        <v>0</v>
      </c>
      <c r="M32" s="253">
        <f>IFERROR(aurora_data!L552,0)</f>
        <v>0</v>
      </c>
      <c r="N32" s="254">
        <f>IFERROR(aurora_data!M552,0)</f>
        <v>0</v>
      </c>
      <c r="O32" s="113">
        <f>IFERROR(aurora_data!N552,0)</f>
        <v>0</v>
      </c>
      <c r="P32" s="253">
        <f>IFERROR(aurora_data!O552,0)</f>
        <v>0</v>
      </c>
      <c r="Q32" s="253">
        <f>IFERROR(aurora_data!P552,0)</f>
        <v>0</v>
      </c>
      <c r="R32" s="254">
        <f>IFERROR(aurora_data!Q552,0)</f>
        <v>0</v>
      </c>
      <c r="S32" s="253">
        <f>IFERROR(aurora_data!R552,0)</f>
        <v>0</v>
      </c>
      <c r="T32" s="253">
        <f>IFERROR(aurora_data!S552,0)</f>
        <v>0</v>
      </c>
      <c r="U32" s="254">
        <f>IFERROR(aurora_data!T552,0)</f>
        <v>0</v>
      </c>
      <c r="V32" s="61" t="s">
        <v>354</v>
      </c>
      <c r="W32" s="113">
        <f>IFERROR(aurora_data!U552,0)</f>
        <v>0</v>
      </c>
      <c r="X32" s="255">
        <f t="shared" si="2"/>
        <v>0</v>
      </c>
      <c r="Y32" s="2"/>
    </row>
    <row r="33" spans="1:26" customFormat="1">
      <c r="A33" s="2"/>
      <c r="B33" s="452"/>
      <c r="C33" s="454"/>
      <c r="D33" s="35" t="s">
        <v>340</v>
      </c>
      <c r="E33" s="113">
        <f>IFERROR(aurora_data!D553,0)</f>
        <v>0</v>
      </c>
      <c r="F33" s="253">
        <f>IFERROR(aurora_data!E553,0)</f>
        <v>0</v>
      </c>
      <c r="G33" s="253">
        <f>IFERROR(aurora_data!F553,0)</f>
        <v>0</v>
      </c>
      <c r="H33" s="253">
        <f>IFERROR(aurora_data!G553,0)</f>
        <v>0</v>
      </c>
      <c r="I33" s="254">
        <f>IFERROR(aurora_data!H553,0)</f>
        <v>0</v>
      </c>
      <c r="J33" s="113">
        <f>IFERROR(aurora_data!I553,0)</f>
        <v>0</v>
      </c>
      <c r="K33" s="253">
        <f>IFERROR(aurora_data!J553,0)</f>
        <v>0</v>
      </c>
      <c r="L33" s="253">
        <f>IFERROR(aurora_data!K553,0)</f>
        <v>0</v>
      </c>
      <c r="M33" s="253">
        <f>IFERROR(aurora_data!L553,0)</f>
        <v>0</v>
      </c>
      <c r="N33" s="254">
        <f>IFERROR(aurora_data!M553,0)</f>
        <v>0</v>
      </c>
      <c r="O33" s="113">
        <f>IFERROR(aurora_data!N553,0)</f>
        <v>0</v>
      </c>
      <c r="P33" s="253">
        <f>IFERROR(aurora_data!O553,0)</f>
        <v>0</v>
      </c>
      <c r="Q33" s="253">
        <f>IFERROR(aurora_data!P553,0)</f>
        <v>0</v>
      </c>
      <c r="R33" s="254">
        <f>IFERROR(aurora_data!Q553,0)</f>
        <v>0</v>
      </c>
      <c r="S33" s="253">
        <f>IFERROR(aurora_data!R553,0)</f>
        <v>0</v>
      </c>
      <c r="T33" s="253">
        <f>IFERROR(aurora_data!S553,0)</f>
        <v>0</v>
      </c>
      <c r="U33" s="254">
        <f>IFERROR(aurora_data!T553,0)</f>
        <v>0</v>
      </c>
      <c r="V33" s="61" t="s">
        <v>354</v>
      </c>
      <c r="W33" s="113">
        <f>IFERROR(aurora_data!U553,0)</f>
        <v>0</v>
      </c>
      <c r="X33" s="255">
        <f t="shared" si="2"/>
        <v>0</v>
      </c>
      <c r="Y33" s="2"/>
    </row>
    <row r="34" spans="1:26" customFormat="1">
      <c r="A34" s="2"/>
      <c r="B34" s="452"/>
      <c r="C34" s="454"/>
      <c r="D34" s="35" t="s">
        <v>298</v>
      </c>
      <c r="E34" s="113">
        <f>IFERROR(aurora_data!D554,0)</f>
        <v>0</v>
      </c>
      <c r="F34" s="253">
        <f>IFERROR(aurora_data!E554,0)</f>
        <v>1</v>
      </c>
      <c r="G34" s="253">
        <f>IFERROR(aurora_data!F554,0)</f>
        <v>0</v>
      </c>
      <c r="H34" s="253">
        <f>IFERROR(aurora_data!G554,0)</f>
        <v>2</v>
      </c>
      <c r="I34" s="254">
        <f>IFERROR(aurora_data!H554,0)</f>
        <v>0</v>
      </c>
      <c r="J34" s="113">
        <f>IFERROR(aurora_data!I554,0)</f>
        <v>0</v>
      </c>
      <c r="K34" s="253">
        <f>IFERROR(aurora_data!J554,0)</f>
        <v>1</v>
      </c>
      <c r="L34" s="253">
        <f>IFERROR(aurora_data!K554,0)</f>
        <v>0</v>
      </c>
      <c r="M34" s="253">
        <f>IFERROR(aurora_data!L554,0)</f>
        <v>1</v>
      </c>
      <c r="N34" s="254">
        <f>IFERROR(aurora_data!M554,0)</f>
        <v>1</v>
      </c>
      <c r="O34" s="113">
        <f>IFERROR(aurora_data!N554,0)</f>
        <v>2</v>
      </c>
      <c r="P34" s="253">
        <f>IFERROR(aurora_data!O554,0)</f>
        <v>0</v>
      </c>
      <c r="Q34" s="253">
        <f>IFERROR(aurora_data!P554,0)</f>
        <v>0</v>
      </c>
      <c r="R34" s="254">
        <f>IFERROR(aurora_data!Q554,0)</f>
        <v>1</v>
      </c>
      <c r="S34" s="253">
        <f>IFERROR(aurora_data!R554,0)</f>
        <v>3</v>
      </c>
      <c r="T34" s="253">
        <f>IFERROR(aurora_data!S554,0)</f>
        <v>0</v>
      </c>
      <c r="U34" s="254">
        <f>IFERROR(aurora_data!T554,0)</f>
        <v>0</v>
      </c>
      <c r="V34" s="61" t="s">
        <v>354</v>
      </c>
      <c r="W34" s="113">
        <f>IFERROR(aurora_data!U554,0)</f>
        <v>3</v>
      </c>
      <c r="X34" s="255">
        <f t="shared" si="2"/>
        <v>0.1</v>
      </c>
      <c r="Y34" s="2"/>
    </row>
    <row r="35" spans="1:26" customFormat="1">
      <c r="A35" s="2"/>
      <c r="B35" s="452"/>
      <c r="C35" s="454"/>
      <c r="D35" s="35" t="s">
        <v>341</v>
      </c>
      <c r="E35" s="113">
        <f>IFERROR(aurora_data!D555,0)</f>
        <v>0</v>
      </c>
      <c r="F35" s="253">
        <f>IFERROR(aurora_data!E555,0)</f>
        <v>0</v>
      </c>
      <c r="G35" s="253">
        <f>IFERROR(aurora_data!F555,0)</f>
        <v>0</v>
      </c>
      <c r="H35" s="253">
        <f>IFERROR(aurora_data!G555,0)</f>
        <v>1</v>
      </c>
      <c r="I35" s="254">
        <f>IFERROR(aurora_data!H555,0)</f>
        <v>0</v>
      </c>
      <c r="J35" s="113">
        <f>IFERROR(aurora_data!I555,0)</f>
        <v>0</v>
      </c>
      <c r="K35" s="253">
        <f>IFERROR(aurora_data!J555,0)</f>
        <v>0</v>
      </c>
      <c r="L35" s="253">
        <f>IFERROR(aurora_data!K555,0)</f>
        <v>0</v>
      </c>
      <c r="M35" s="253">
        <f>IFERROR(aurora_data!L555,0)</f>
        <v>1</v>
      </c>
      <c r="N35" s="254">
        <f>IFERROR(aurora_data!M555,0)</f>
        <v>0</v>
      </c>
      <c r="O35" s="113">
        <f>IFERROR(aurora_data!N555,0)</f>
        <v>0</v>
      </c>
      <c r="P35" s="253">
        <f>IFERROR(aurora_data!O555,0)</f>
        <v>0</v>
      </c>
      <c r="Q35" s="253">
        <f>IFERROR(aurora_data!P555,0)</f>
        <v>0</v>
      </c>
      <c r="R35" s="254">
        <f>IFERROR(aurora_data!Q555,0)</f>
        <v>1</v>
      </c>
      <c r="S35" s="253">
        <f>IFERROR(aurora_data!R555,0)</f>
        <v>1</v>
      </c>
      <c r="T35" s="253">
        <f>IFERROR(aurora_data!S555,0)</f>
        <v>0</v>
      </c>
      <c r="U35" s="254">
        <f>IFERROR(aurora_data!T555,0)</f>
        <v>0</v>
      </c>
      <c r="V35" s="61" t="s">
        <v>354</v>
      </c>
      <c r="W35" s="113">
        <f>IFERROR(aurora_data!U555,0)</f>
        <v>1</v>
      </c>
      <c r="X35" s="255">
        <f t="shared" si="2"/>
        <v>3.3333333333333333E-2</v>
      </c>
      <c r="Y35" s="2"/>
    </row>
    <row r="36" spans="1:26" customFormat="1" ht="16.5" thickBot="1">
      <c r="A36" s="2"/>
      <c r="B36" s="452"/>
      <c r="C36" s="454"/>
      <c r="D36" s="35" t="s">
        <v>342</v>
      </c>
      <c r="E36" s="113">
        <f>IFERROR(aurora_data!D556,0)</f>
        <v>0</v>
      </c>
      <c r="F36" s="253">
        <f>IFERROR(aurora_data!E556,0)</f>
        <v>0</v>
      </c>
      <c r="G36" s="253">
        <f>IFERROR(aurora_data!F556,0)</f>
        <v>0</v>
      </c>
      <c r="H36" s="253">
        <f>IFERROR(aurora_data!G556,0)</f>
        <v>0</v>
      </c>
      <c r="I36" s="254">
        <f>IFERROR(aurora_data!H556,0)</f>
        <v>0</v>
      </c>
      <c r="J36" s="113">
        <f>IFERROR(aurora_data!I556,0)</f>
        <v>0</v>
      </c>
      <c r="K36" s="253">
        <f>IFERROR(aurora_data!J556,0)</f>
        <v>0</v>
      </c>
      <c r="L36" s="253">
        <f>IFERROR(aurora_data!K556,0)</f>
        <v>0</v>
      </c>
      <c r="M36" s="253">
        <f>IFERROR(aurora_data!L556,0)</f>
        <v>0</v>
      </c>
      <c r="N36" s="254">
        <f>IFERROR(aurora_data!M556,0)</f>
        <v>0</v>
      </c>
      <c r="O36" s="113">
        <f>IFERROR(aurora_data!N556,0)</f>
        <v>0</v>
      </c>
      <c r="P36" s="253">
        <f>IFERROR(aurora_data!O556,0)</f>
        <v>0</v>
      </c>
      <c r="Q36" s="253">
        <f>IFERROR(aurora_data!P556,0)</f>
        <v>0</v>
      </c>
      <c r="R36" s="254">
        <f>IFERROR(aurora_data!Q556,0)</f>
        <v>0</v>
      </c>
      <c r="S36" s="253">
        <f>IFERROR(aurora_data!R556,0)</f>
        <v>0</v>
      </c>
      <c r="T36" s="253">
        <f>IFERROR(aurora_data!S556,0)</f>
        <v>0</v>
      </c>
      <c r="U36" s="254">
        <f>IFERROR(aurora_data!T556,0)</f>
        <v>0</v>
      </c>
      <c r="V36" s="61" t="s">
        <v>354</v>
      </c>
      <c r="W36" s="113">
        <f>IFERROR(aurora_data!U556,0)</f>
        <v>0</v>
      </c>
      <c r="X36" s="255">
        <f t="shared" si="2"/>
        <v>0</v>
      </c>
      <c r="Y36" s="2"/>
    </row>
    <row r="37" spans="1:26" customFormat="1" ht="16.5" thickBot="1">
      <c r="A37" s="2"/>
      <c r="B37" s="452"/>
      <c r="C37" s="454"/>
      <c r="D37" s="37" t="s">
        <v>17</v>
      </c>
      <c r="E37" s="59">
        <f>IFERROR(aurora_data!D557,0)</f>
        <v>3</v>
      </c>
      <c r="F37" s="64">
        <f>IFERROR(aurora_data!E557,0)</f>
        <v>4</v>
      </c>
      <c r="G37" s="64">
        <f>IFERROR(aurora_data!F557,0)</f>
        <v>5</v>
      </c>
      <c r="H37" s="64">
        <f>IFERROR(aurora_data!G557,0)</f>
        <v>9</v>
      </c>
      <c r="I37" s="65">
        <f>IFERROR(aurora_data!H557,0)</f>
        <v>10</v>
      </c>
      <c r="J37" s="59">
        <f>IFERROR(aurora_data!I557,0)</f>
        <v>4</v>
      </c>
      <c r="K37" s="64">
        <f>IFERROR(aurora_data!J557,0)</f>
        <v>7</v>
      </c>
      <c r="L37" s="64">
        <f>IFERROR(aurora_data!K557,0)</f>
        <v>8</v>
      </c>
      <c r="M37" s="64">
        <f>IFERROR(aurora_data!L557,0)</f>
        <v>4</v>
      </c>
      <c r="N37" s="65">
        <f>IFERROR(aurora_data!M557,0)</f>
        <v>8</v>
      </c>
      <c r="O37" s="59">
        <f>IFERROR(aurora_data!N557,0)</f>
        <v>5</v>
      </c>
      <c r="P37" s="64">
        <f>IFERROR(aurora_data!O557,0)</f>
        <v>4</v>
      </c>
      <c r="Q37" s="64">
        <f>IFERROR(aurora_data!P557,0)</f>
        <v>14</v>
      </c>
      <c r="R37" s="65">
        <f>IFERROR(aurora_data!Q557,0)</f>
        <v>8</v>
      </c>
      <c r="S37" s="64">
        <f>IFERROR(aurora_data!R557,0)</f>
        <v>17</v>
      </c>
      <c r="T37" s="64">
        <f>IFERROR(aurora_data!S557,0)</f>
        <v>14</v>
      </c>
      <c r="U37" s="65">
        <f>IFERROR(aurora_data!T557,0)</f>
        <v>0</v>
      </c>
      <c r="V37" s="66" t="s">
        <v>354</v>
      </c>
      <c r="W37" s="59">
        <f>IFERROR(aurora_data!U557,0)</f>
        <v>31</v>
      </c>
      <c r="X37" s="70">
        <f t="shared" si="2"/>
        <v>1.0333333333333334</v>
      </c>
      <c r="Y37" s="2"/>
    </row>
    <row r="38" spans="1:26" customFormat="1" ht="16.5" thickBot="1">
      <c r="A38" s="2"/>
      <c r="B38" s="452"/>
      <c r="C38" s="454"/>
      <c r="D38" s="38" t="s">
        <v>343</v>
      </c>
      <c r="E38" s="256">
        <f>IFERROR(aurora_data!D558,0)</f>
        <v>0</v>
      </c>
      <c r="F38" s="257">
        <f>IFERROR(aurora_data!E558,0)</f>
        <v>0</v>
      </c>
      <c r="G38" s="257">
        <f>IFERROR(aurora_data!F558,0)</f>
        <v>0</v>
      </c>
      <c r="H38" s="257">
        <f>IFERROR(aurora_data!G558,0)</f>
        <v>0</v>
      </c>
      <c r="I38" s="258">
        <f>IFERROR(aurora_data!H558,0)</f>
        <v>0</v>
      </c>
      <c r="J38" s="256">
        <f>IFERROR(aurora_data!I558,0)</f>
        <v>0</v>
      </c>
      <c r="K38" s="257">
        <f>IFERROR(aurora_data!J558,0)</f>
        <v>0</v>
      </c>
      <c r="L38" s="257">
        <f>IFERROR(aurora_data!K558,0)</f>
        <v>0</v>
      </c>
      <c r="M38" s="257">
        <f>IFERROR(aurora_data!L558,0)</f>
        <v>0</v>
      </c>
      <c r="N38" s="258">
        <f>IFERROR(aurora_data!M558,0)</f>
        <v>0</v>
      </c>
      <c r="O38" s="256">
        <f>IFERROR(aurora_data!N558,0)</f>
        <v>0</v>
      </c>
      <c r="P38" s="257">
        <f>IFERROR(aurora_data!O558,0)</f>
        <v>0</v>
      </c>
      <c r="Q38" s="257">
        <f>IFERROR(aurora_data!P558,0)</f>
        <v>0</v>
      </c>
      <c r="R38" s="258">
        <f>IFERROR(aurora_data!Q558,0)</f>
        <v>0</v>
      </c>
      <c r="S38" s="257">
        <f>IFERROR(aurora_data!R558,0)</f>
        <v>0</v>
      </c>
      <c r="T38" s="257">
        <f>IFERROR(aurora_data!S558,0)</f>
        <v>0</v>
      </c>
      <c r="U38" s="259">
        <f>IFERROR(aurora_data!T558,0)</f>
        <v>0</v>
      </c>
      <c r="V38" s="260" t="s">
        <v>354</v>
      </c>
      <c r="W38" s="256">
        <f>IFERROR(aurora_data!U558,0)</f>
        <v>0</v>
      </c>
      <c r="X38" s="261">
        <f t="shared" si="2"/>
        <v>0</v>
      </c>
      <c r="Y38" s="2"/>
    </row>
    <row r="39" spans="1:26" customFormat="1" ht="15.75" customHeight="1">
      <c r="A39" s="2"/>
      <c r="B39" s="447" t="s">
        <v>338</v>
      </c>
      <c r="C39" s="449" t="s">
        <v>150</v>
      </c>
      <c r="D39" s="34" t="s">
        <v>306</v>
      </c>
      <c r="E39" s="39">
        <f>IFERROR(aurora_data!D559,0)</f>
        <v>3</v>
      </c>
      <c r="F39" s="40">
        <f>IFERROR(aurora_data!E559,0)</f>
        <v>3</v>
      </c>
      <c r="G39" s="40">
        <f>IFERROR(aurora_data!F559,0)</f>
        <v>3</v>
      </c>
      <c r="H39" s="40">
        <f>IFERROR(aurora_data!G559,0)</f>
        <v>3</v>
      </c>
      <c r="I39" s="41">
        <f>IFERROR(aurora_data!H559,0)</f>
        <v>3</v>
      </c>
      <c r="J39" s="39">
        <f>IFERROR(aurora_data!I559,0)</f>
        <v>3</v>
      </c>
      <c r="K39" s="40">
        <f>IFERROR(aurora_data!J559,0)</f>
        <v>3</v>
      </c>
      <c r="L39" s="40">
        <f>IFERROR(aurora_data!K559,0)</f>
        <v>3</v>
      </c>
      <c r="M39" s="40">
        <f>IFERROR(aurora_data!L559,0)</f>
        <v>3</v>
      </c>
      <c r="N39" s="41">
        <f>IFERROR(aurora_data!M559,0)</f>
        <v>3</v>
      </c>
      <c r="O39" s="39">
        <f>IFERROR(aurora_data!N559,0)</f>
        <v>3</v>
      </c>
      <c r="P39" s="40">
        <f>IFERROR(aurora_data!O559,0)</f>
        <v>3</v>
      </c>
      <c r="Q39" s="40">
        <f>IFERROR(aurora_data!P559,0)</f>
        <v>3</v>
      </c>
      <c r="R39" s="41">
        <f>IFERROR(aurora_data!Q559,0)</f>
        <v>3</v>
      </c>
      <c r="S39" s="40">
        <f>IFERROR(aurora_data!R559,0)</f>
        <v>3</v>
      </c>
      <c r="T39" s="40">
        <f>IFERROR(aurora_data!S559,0)</f>
        <v>3</v>
      </c>
      <c r="U39" s="41">
        <f>IFERROR(aurora_data!T559,0)</f>
        <v>0</v>
      </c>
      <c r="V39" s="61" t="s">
        <v>354</v>
      </c>
      <c r="W39" s="39">
        <f>IFERROR(aurora_data!U559,0)</f>
        <v>90</v>
      </c>
      <c r="X39" s="69">
        <f>IFERROR(W39/$W$39,0)</f>
        <v>1</v>
      </c>
      <c r="Y39" s="2"/>
      <c r="Z39" s="2"/>
    </row>
    <row r="40" spans="1:26" customFormat="1" ht="15.75" customHeight="1">
      <c r="A40" s="2"/>
      <c r="B40" s="448"/>
      <c r="C40" s="450"/>
      <c r="D40" s="35" t="s">
        <v>339</v>
      </c>
      <c r="E40" s="113">
        <f>IFERROR(aurora_data!D560,0)</f>
        <v>5</v>
      </c>
      <c r="F40" s="253">
        <f>IFERROR(aurora_data!E560,0)</f>
        <v>4</v>
      </c>
      <c r="G40" s="253">
        <f>IFERROR(aurora_data!F560,0)</f>
        <v>14</v>
      </c>
      <c r="H40" s="253">
        <f>IFERROR(aurora_data!G560,0)</f>
        <v>19</v>
      </c>
      <c r="I40" s="254">
        <f>IFERROR(aurora_data!H560,0)</f>
        <v>29</v>
      </c>
      <c r="J40" s="113">
        <f>IFERROR(aurora_data!I560,0)</f>
        <v>5</v>
      </c>
      <c r="K40" s="253">
        <f>IFERROR(aurora_data!J560,0)</f>
        <v>11</v>
      </c>
      <c r="L40" s="253">
        <f>IFERROR(aurora_data!K560,0)</f>
        <v>19</v>
      </c>
      <c r="M40" s="253">
        <f>IFERROR(aurora_data!L560,0)</f>
        <v>10</v>
      </c>
      <c r="N40" s="254">
        <f>IFERROR(aurora_data!M560,0)</f>
        <v>26</v>
      </c>
      <c r="O40" s="113">
        <f>IFERROR(aurora_data!N560,0)</f>
        <v>15</v>
      </c>
      <c r="P40" s="253">
        <f>IFERROR(aurora_data!O560,0)</f>
        <v>10</v>
      </c>
      <c r="Q40" s="253">
        <f>IFERROR(aurora_data!P560,0)</f>
        <v>28</v>
      </c>
      <c r="R40" s="254">
        <f>IFERROR(aurora_data!Q560,0)</f>
        <v>18</v>
      </c>
      <c r="S40" s="253">
        <f>IFERROR(aurora_data!R560,0)</f>
        <v>32</v>
      </c>
      <c r="T40" s="253">
        <f>IFERROR(aurora_data!S560,0)</f>
        <v>39</v>
      </c>
      <c r="U40" s="254">
        <f>IFERROR(aurora_data!T560,0)</f>
        <v>0</v>
      </c>
      <c r="V40" s="61" t="s">
        <v>354</v>
      </c>
      <c r="W40" s="113">
        <f>IFERROR(aurora_data!U560,0)</f>
        <v>71</v>
      </c>
      <c r="X40" s="255">
        <f t="shared" ref="X40:X47" si="3">IFERROR(W40/$W$39,0)</f>
        <v>0.78888888888888886</v>
      </c>
      <c r="Y40" s="2"/>
      <c r="Z40" s="2"/>
    </row>
    <row r="41" spans="1:26" customFormat="1" ht="15.75" customHeight="1">
      <c r="A41" s="2"/>
      <c r="B41" s="448"/>
      <c r="C41" s="450"/>
      <c r="D41" s="35" t="s">
        <v>291</v>
      </c>
      <c r="E41" s="113">
        <f>IFERROR(aurora_data!D561,0)</f>
        <v>0</v>
      </c>
      <c r="F41" s="253">
        <f>IFERROR(aurora_data!E561,0)</f>
        <v>0</v>
      </c>
      <c r="G41" s="253">
        <f>IFERROR(aurora_data!F561,0)</f>
        <v>0</v>
      </c>
      <c r="H41" s="253">
        <f>IFERROR(aurora_data!G561,0)</f>
        <v>0</v>
      </c>
      <c r="I41" s="254">
        <f>IFERROR(aurora_data!H561,0)</f>
        <v>0</v>
      </c>
      <c r="J41" s="113">
        <f>IFERROR(aurora_data!I561,0)</f>
        <v>0</v>
      </c>
      <c r="K41" s="253">
        <f>IFERROR(aurora_data!J561,0)</f>
        <v>0</v>
      </c>
      <c r="L41" s="253">
        <f>IFERROR(aurora_data!K561,0)</f>
        <v>0</v>
      </c>
      <c r="M41" s="253">
        <f>IFERROR(aurora_data!L561,0)</f>
        <v>0</v>
      </c>
      <c r="N41" s="254">
        <f>IFERROR(aurora_data!M561,0)</f>
        <v>0</v>
      </c>
      <c r="O41" s="113">
        <f>IFERROR(aurora_data!N561,0)</f>
        <v>0</v>
      </c>
      <c r="P41" s="253">
        <f>IFERROR(aurora_data!O561,0)</f>
        <v>0</v>
      </c>
      <c r="Q41" s="253">
        <f>IFERROR(aurora_data!P561,0)</f>
        <v>0</v>
      </c>
      <c r="R41" s="254">
        <f>IFERROR(aurora_data!Q561,0)</f>
        <v>0</v>
      </c>
      <c r="S41" s="253">
        <f>IFERROR(aurora_data!R561,0)</f>
        <v>0</v>
      </c>
      <c r="T41" s="253">
        <f>IFERROR(aurora_data!S561,0)</f>
        <v>0</v>
      </c>
      <c r="U41" s="254">
        <f>IFERROR(aurora_data!T561,0)</f>
        <v>0</v>
      </c>
      <c r="V41" s="61" t="s">
        <v>354</v>
      </c>
      <c r="W41" s="113">
        <f>IFERROR(aurora_data!U561,0)</f>
        <v>0</v>
      </c>
      <c r="X41" s="255">
        <f t="shared" si="3"/>
        <v>0</v>
      </c>
      <c r="Y41" s="2"/>
      <c r="Z41" s="2"/>
    </row>
    <row r="42" spans="1:26" customFormat="1" ht="15.75" customHeight="1">
      <c r="A42" s="2"/>
      <c r="B42" s="448"/>
      <c r="C42" s="450"/>
      <c r="D42" s="35" t="s">
        <v>340</v>
      </c>
      <c r="E42" s="113">
        <f>IFERROR(aurora_data!D562,0)</f>
        <v>0</v>
      </c>
      <c r="F42" s="253">
        <f>IFERROR(aurora_data!E562,0)</f>
        <v>0</v>
      </c>
      <c r="G42" s="253">
        <f>IFERROR(aurora_data!F562,0)</f>
        <v>0</v>
      </c>
      <c r="H42" s="253">
        <f>IFERROR(aurora_data!G562,0)</f>
        <v>0</v>
      </c>
      <c r="I42" s="254">
        <f>IFERROR(aurora_data!H562,0)</f>
        <v>0</v>
      </c>
      <c r="J42" s="113">
        <f>IFERROR(aurora_data!I562,0)</f>
        <v>0</v>
      </c>
      <c r="K42" s="253">
        <f>IFERROR(aurora_data!J562,0)</f>
        <v>0</v>
      </c>
      <c r="L42" s="253">
        <f>IFERROR(aurora_data!K562,0)</f>
        <v>0</v>
      </c>
      <c r="M42" s="253">
        <f>IFERROR(aurora_data!L562,0)</f>
        <v>0</v>
      </c>
      <c r="N42" s="254">
        <f>IFERROR(aurora_data!M562,0)</f>
        <v>0</v>
      </c>
      <c r="O42" s="113">
        <f>IFERROR(aurora_data!N562,0)</f>
        <v>0</v>
      </c>
      <c r="P42" s="253">
        <f>IFERROR(aurora_data!O562,0)</f>
        <v>0</v>
      </c>
      <c r="Q42" s="253">
        <f>IFERROR(aurora_data!P562,0)</f>
        <v>0</v>
      </c>
      <c r="R42" s="254">
        <f>IFERROR(aurora_data!Q562,0)</f>
        <v>0</v>
      </c>
      <c r="S42" s="253">
        <f>IFERROR(aurora_data!R562,0)</f>
        <v>0</v>
      </c>
      <c r="T42" s="253">
        <f>IFERROR(aurora_data!S562,0)</f>
        <v>0</v>
      </c>
      <c r="U42" s="254">
        <f>IFERROR(aurora_data!T562,0)</f>
        <v>0</v>
      </c>
      <c r="V42" s="61" t="s">
        <v>354</v>
      </c>
      <c r="W42" s="113">
        <f>IFERROR(aurora_data!U562,0)</f>
        <v>0</v>
      </c>
      <c r="X42" s="255">
        <f t="shared" si="3"/>
        <v>0</v>
      </c>
      <c r="Y42" s="2"/>
      <c r="Z42" s="2"/>
    </row>
    <row r="43" spans="1:26" customFormat="1" ht="15.75" customHeight="1">
      <c r="A43" s="2"/>
      <c r="B43" s="448"/>
      <c r="C43" s="450"/>
      <c r="D43" s="35" t="s">
        <v>298</v>
      </c>
      <c r="E43" s="113">
        <f>IFERROR(aurora_data!D563,0)</f>
        <v>0</v>
      </c>
      <c r="F43" s="253">
        <f>IFERROR(aurora_data!E563,0)</f>
        <v>1</v>
      </c>
      <c r="G43" s="253">
        <f>IFERROR(aurora_data!F563,0)</f>
        <v>2</v>
      </c>
      <c r="H43" s="253">
        <f>IFERROR(aurora_data!G563,0)</f>
        <v>7</v>
      </c>
      <c r="I43" s="254">
        <f>IFERROR(aurora_data!H563,0)</f>
        <v>3</v>
      </c>
      <c r="J43" s="113">
        <f>IFERROR(aurora_data!I563,0)</f>
        <v>0</v>
      </c>
      <c r="K43" s="253">
        <f>IFERROR(aurora_data!J563,0)</f>
        <v>2</v>
      </c>
      <c r="L43" s="253">
        <f>IFERROR(aurora_data!K563,0)</f>
        <v>1</v>
      </c>
      <c r="M43" s="253">
        <f>IFERROR(aurora_data!L563,0)</f>
        <v>3</v>
      </c>
      <c r="N43" s="254">
        <f>IFERROR(aurora_data!M563,0)</f>
        <v>7</v>
      </c>
      <c r="O43" s="113">
        <f>IFERROR(aurora_data!N563,0)</f>
        <v>6</v>
      </c>
      <c r="P43" s="253">
        <f>IFERROR(aurora_data!O563,0)</f>
        <v>3</v>
      </c>
      <c r="Q43" s="253">
        <f>IFERROR(aurora_data!P563,0)</f>
        <v>2</v>
      </c>
      <c r="R43" s="254">
        <f>IFERROR(aurora_data!Q563,0)</f>
        <v>2</v>
      </c>
      <c r="S43" s="253">
        <f>IFERROR(aurora_data!R563,0)</f>
        <v>5</v>
      </c>
      <c r="T43" s="253">
        <f>IFERROR(aurora_data!S563,0)</f>
        <v>8</v>
      </c>
      <c r="U43" s="254">
        <f>IFERROR(aurora_data!T563,0)</f>
        <v>0</v>
      </c>
      <c r="V43" s="61" t="s">
        <v>354</v>
      </c>
      <c r="W43" s="113">
        <f>IFERROR(aurora_data!U563,0)</f>
        <v>13</v>
      </c>
      <c r="X43" s="255">
        <f t="shared" si="3"/>
        <v>0.14444444444444443</v>
      </c>
      <c r="Y43" s="2"/>
      <c r="Z43" s="2"/>
    </row>
    <row r="44" spans="1:26" customFormat="1" ht="16.5" customHeight="1">
      <c r="A44" s="2"/>
      <c r="B44" s="448"/>
      <c r="C44" s="450"/>
      <c r="D44" s="35" t="s">
        <v>341</v>
      </c>
      <c r="E44" s="113">
        <f>IFERROR(aurora_data!D564,0)</f>
        <v>0</v>
      </c>
      <c r="F44" s="253">
        <f>IFERROR(aurora_data!E564,0)</f>
        <v>1</v>
      </c>
      <c r="G44" s="253">
        <f>IFERROR(aurora_data!F564,0)</f>
        <v>2</v>
      </c>
      <c r="H44" s="253">
        <f>IFERROR(aurora_data!G564,0)</f>
        <v>6</v>
      </c>
      <c r="I44" s="254">
        <f>IFERROR(aurora_data!H564,0)</f>
        <v>0</v>
      </c>
      <c r="J44" s="113">
        <f>IFERROR(aurora_data!I564,0)</f>
        <v>1</v>
      </c>
      <c r="K44" s="253">
        <f>IFERROR(aurora_data!J564,0)</f>
        <v>1</v>
      </c>
      <c r="L44" s="253">
        <f>IFERROR(aurora_data!K564,0)</f>
        <v>1</v>
      </c>
      <c r="M44" s="253">
        <f>IFERROR(aurora_data!L564,0)</f>
        <v>3</v>
      </c>
      <c r="N44" s="254">
        <f>IFERROR(aurora_data!M564,0)</f>
        <v>3</v>
      </c>
      <c r="O44" s="113">
        <f>IFERROR(aurora_data!N564,0)</f>
        <v>2</v>
      </c>
      <c r="P44" s="253">
        <f>IFERROR(aurora_data!O564,0)</f>
        <v>0</v>
      </c>
      <c r="Q44" s="253">
        <f>IFERROR(aurora_data!P564,0)</f>
        <v>4</v>
      </c>
      <c r="R44" s="254">
        <f>IFERROR(aurora_data!Q564,0)</f>
        <v>3</v>
      </c>
      <c r="S44" s="253">
        <f>IFERROR(aurora_data!R564,0)</f>
        <v>4</v>
      </c>
      <c r="T44" s="253">
        <f>IFERROR(aurora_data!S564,0)</f>
        <v>5</v>
      </c>
      <c r="U44" s="254">
        <f>IFERROR(aurora_data!T564,0)</f>
        <v>0</v>
      </c>
      <c r="V44" s="61" t="s">
        <v>354</v>
      </c>
      <c r="W44" s="113">
        <f>IFERROR(aurora_data!U564,0)</f>
        <v>9</v>
      </c>
      <c r="X44" s="255">
        <f t="shared" si="3"/>
        <v>0.1</v>
      </c>
      <c r="Y44" s="2"/>
      <c r="Z44" s="2"/>
    </row>
    <row r="45" spans="1:26" customFormat="1" ht="16.5" customHeight="1" thickBot="1">
      <c r="A45" s="2"/>
      <c r="B45" s="448"/>
      <c r="C45" s="450"/>
      <c r="D45" s="35" t="s">
        <v>342</v>
      </c>
      <c r="E45" s="113">
        <f>IFERROR(aurora_data!D565,0)</f>
        <v>0</v>
      </c>
      <c r="F45" s="253">
        <f>IFERROR(aurora_data!E565,0)</f>
        <v>0</v>
      </c>
      <c r="G45" s="253">
        <f>IFERROR(aurora_data!F565,0)</f>
        <v>0</v>
      </c>
      <c r="H45" s="253">
        <f>IFERROR(aurora_data!G565,0)</f>
        <v>0</v>
      </c>
      <c r="I45" s="254">
        <f>IFERROR(aurora_data!H565,0)</f>
        <v>0</v>
      </c>
      <c r="J45" s="113">
        <f>IFERROR(aurora_data!I565,0)</f>
        <v>0</v>
      </c>
      <c r="K45" s="253">
        <f>IFERROR(aurora_data!J565,0)</f>
        <v>0</v>
      </c>
      <c r="L45" s="253">
        <f>IFERROR(aurora_data!K565,0)</f>
        <v>0</v>
      </c>
      <c r="M45" s="253">
        <f>IFERROR(aurora_data!L565,0)</f>
        <v>0</v>
      </c>
      <c r="N45" s="254">
        <f>IFERROR(aurora_data!M565,0)</f>
        <v>0</v>
      </c>
      <c r="O45" s="113">
        <f>IFERROR(aurora_data!N565,0)</f>
        <v>0</v>
      </c>
      <c r="P45" s="253">
        <f>IFERROR(aurora_data!O565,0)</f>
        <v>0</v>
      </c>
      <c r="Q45" s="253">
        <f>IFERROR(aurora_data!P565,0)</f>
        <v>0</v>
      </c>
      <c r="R45" s="254">
        <f>IFERROR(aurora_data!Q565,0)</f>
        <v>0</v>
      </c>
      <c r="S45" s="253">
        <f>IFERROR(aurora_data!R565,0)</f>
        <v>0</v>
      </c>
      <c r="T45" s="253">
        <f>IFERROR(aurora_data!S565,0)</f>
        <v>0</v>
      </c>
      <c r="U45" s="254">
        <f>IFERROR(aurora_data!T565,0)</f>
        <v>0</v>
      </c>
      <c r="V45" s="61" t="s">
        <v>354</v>
      </c>
      <c r="W45" s="113">
        <f>IFERROR(aurora_data!U565,0)</f>
        <v>0</v>
      </c>
      <c r="X45" s="255">
        <f t="shared" si="3"/>
        <v>0</v>
      </c>
      <c r="Y45" s="2"/>
      <c r="Z45" s="2"/>
    </row>
    <row r="46" spans="1:26" customFormat="1" ht="16.5" customHeight="1" thickBot="1">
      <c r="A46" s="2"/>
      <c r="B46" s="448"/>
      <c r="C46" s="450"/>
      <c r="D46" s="37" t="s">
        <v>17</v>
      </c>
      <c r="E46" s="59">
        <f>IFERROR(aurora_data!D566,0)</f>
        <v>5</v>
      </c>
      <c r="F46" s="64">
        <f>IFERROR(aurora_data!E566,0)</f>
        <v>6</v>
      </c>
      <c r="G46" s="64">
        <f>IFERROR(aurora_data!F566,0)</f>
        <v>18</v>
      </c>
      <c r="H46" s="64">
        <f>IFERROR(aurora_data!G566,0)</f>
        <v>32</v>
      </c>
      <c r="I46" s="65">
        <f>IFERROR(aurora_data!H566,0)</f>
        <v>32</v>
      </c>
      <c r="J46" s="59">
        <f>IFERROR(aurora_data!I566,0)</f>
        <v>6</v>
      </c>
      <c r="K46" s="64">
        <f>IFERROR(aurora_data!J566,0)</f>
        <v>14</v>
      </c>
      <c r="L46" s="64">
        <f>IFERROR(aurora_data!K566,0)</f>
        <v>21</v>
      </c>
      <c r="M46" s="64">
        <f>IFERROR(aurora_data!L566,0)</f>
        <v>16</v>
      </c>
      <c r="N46" s="65">
        <f>IFERROR(aurora_data!M566,0)</f>
        <v>36</v>
      </c>
      <c r="O46" s="59">
        <f>IFERROR(aurora_data!N566,0)</f>
        <v>23</v>
      </c>
      <c r="P46" s="64">
        <f>IFERROR(aurora_data!O566,0)</f>
        <v>13</v>
      </c>
      <c r="Q46" s="64">
        <f>IFERROR(aurora_data!P566,0)</f>
        <v>34</v>
      </c>
      <c r="R46" s="65">
        <f>IFERROR(aurora_data!Q566,0)</f>
        <v>23</v>
      </c>
      <c r="S46" s="64">
        <f>IFERROR(aurora_data!R566,0)</f>
        <v>41</v>
      </c>
      <c r="T46" s="64">
        <f>IFERROR(aurora_data!S566,0)</f>
        <v>52</v>
      </c>
      <c r="U46" s="65">
        <f>IFERROR(aurora_data!T566,0)</f>
        <v>0</v>
      </c>
      <c r="V46" s="66" t="s">
        <v>354</v>
      </c>
      <c r="W46" s="59">
        <f>IFERROR(aurora_data!U566,0)</f>
        <v>93</v>
      </c>
      <c r="X46" s="70">
        <f t="shared" si="3"/>
        <v>1.0333333333333334</v>
      </c>
      <c r="Y46" s="2"/>
      <c r="Z46" s="2"/>
    </row>
    <row r="47" spans="1:26" customFormat="1" ht="16.5" customHeight="1" thickBot="1">
      <c r="A47" s="2"/>
      <c r="B47" s="448"/>
      <c r="C47" s="450"/>
      <c r="D47" s="38" t="s">
        <v>343</v>
      </c>
      <c r="E47" s="256">
        <f>IFERROR(aurora_data!D567,0)</f>
        <v>0</v>
      </c>
      <c r="F47" s="257">
        <f>IFERROR(aurora_data!E567,0)</f>
        <v>0</v>
      </c>
      <c r="G47" s="257">
        <f>IFERROR(aurora_data!F567,0)</f>
        <v>0</v>
      </c>
      <c r="H47" s="257">
        <f>IFERROR(aurora_data!G567,0)</f>
        <v>0</v>
      </c>
      <c r="I47" s="258">
        <f>IFERROR(aurora_data!H567,0)</f>
        <v>0</v>
      </c>
      <c r="J47" s="256">
        <f>IFERROR(aurora_data!I567,0)</f>
        <v>0</v>
      </c>
      <c r="K47" s="257">
        <f>IFERROR(aurora_data!J567,0)</f>
        <v>0</v>
      </c>
      <c r="L47" s="257">
        <f>IFERROR(aurora_data!K567,0)</f>
        <v>0</v>
      </c>
      <c r="M47" s="257">
        <f>IFERROR(aurora_data!L567,0)</f>
        <v>0</v>
      </c>
      <c r="N47" s="258">
        <f>IFERROR(aurora_data!M567,0)</f>
        <v>0</v>
      </c>
      <c r="O47" s="256">
        <f>IFERROR(aurora_data!N567,0)</f>
        <v>0</v>
      </c>
      <c r="P47" s="257">
        <f>IFERROR(aurora_data!O567,0)</f>
        <v>0</v>
      </c>
      <c r="Q47" s="257">
        <f>IFERROR(aurora_data!P567,0)</f>
        <v>0</v>
      </c>
      <c r="R47" s="258">
        <f>IFERROR(aurora_data!Q567,0)</f>
        <v>0</v>
      </c>
      <c r="S47" s="257">
        <f>IFERROR(aurora_data!R567,0)</f>
        <v>0</v>
      </c>
      <c r="T47" s="257">
        <f>IFERROR(aurora_data!S567,0)</f>
        <v>0</v>
      </c>
      <c r="U47" s="259">
        <f>IFERROR(aurora_data!T567,0)</f>
        <v>0</v>
      </c>
      <c r="V47" s="260" t="s">
        <v>354</v>
      </c>
      <c r="W47" s="256">
        <f>IFERROR(aurora_data!U567,0)</f>
        <v>0</v>
      </c>
      <c r="X47" s="261">
        <f t="shared" si="3"/>
        <v>0</v>
      </c>
      <c r="Y47" s="2"/>
      <c r="Z47" s="2"/>
    </row>
    <row r="48" spans="1:26" ht="16.5" customHeight="1" thickTop="1">
      <c r="B48" s="248"/>
      <c r="C48" s="248"/>
    </row>
  </sheetData>
  <mergeCells count="30">
    <mergeCell ref="A1:C1"/>
    <mergeCell ref="D1:I1"/>
    <mergeCell ref="A2:C2"/>
    <mergeCell ref="D2:I2"/>
    <mergeCell ref="K2:X6"/>
    <mergeCell ref="D3:E3"/>
    <mergeCell ref="F3:I3"/>
    <mergeCell ref="D5:I5"/>
    <mergeCell ref="D6:I6"/>
    <mergeCell ref="W8:X11"/>
    <mergeCell ref="S9:U9"/>
    <mergeCell ref="B12:B20"/>
    <mergeCell ref="C12:C20"/>
    <mergeCell ref="B10:B11"/>
    <mergeCell ref="E10:I10"/>
    <mergeCell ref="J10:N10"/>
    <mergeCell ref="O10:R10"/>
    <mergeCell ref="S10:U10"/>
    <mergeCell ref="B9:C9"/>
    <mergeCell ref="E9:I9"/>
    <mergeCell ref="J9:N9"/>
    <mergeCell ref="O9:R9"/>
    <mergeCell ref="B8:D8"/>
    <mergeCell ref="E8:U8"/>
    <mergeCell ref="B21:B29"/>
    <mergeCell ref="C21:C29"/>
    <mergeCell ref="B30:B38"/>
    <mergeCell ref="C30:C38"/>
    <mergeCell ref="B39:B47"/>
    <mergeCell ref="C39:C47"/>
  </mergeCells>
  <conditionalFormatting sqref="E13:W13">
    <cfRule type="expression" dxfId="189" priority="34">
      <formula>ROUND(E$13,0) &gt;= ROUND(E$12,0)</formula>
    </cfRule>
  </conditionalFormatting>
  <conditionalFormatting sqref="E19:W19">
    <cfRule type="expression" dxfId="188" priority="36">
      <formula>ROUND(E$19,0) &lt; ROUND(E$12,0)</formula>
    </cfRule>
  </conditionalFormatting>
  <conditionalFormatting sqref="E22:W22">
    <cfRule type="expression" dxfId="187" priority="35">
      <formula>ROUND(E$22,0) &gt;= ROUND(E$21,0)</formula>
    </cfRule>
  </conditionalFormatting>
  <conditionalFormatting sqref="E28:W28">
    <cfRule type="expression" dxfId="186" priority="33">
      <formula>ROUND(E$28,0) &lt; ROUND(E$21,0)</formula>
    </cfRule>
  </conditionalFormatting>
  <conditionalFormatting sqref="E31:W31">
    <cfRule type="expression" dxfId="185" priority="28">
      <formula>ROUND(E$13,0) &gt;= ROUND(E$12,0)</formula>
    </cfRule>
  </conditionalFormatting>
  <conditionalFormatting sqref="E37:W37">
    <cfRule type="expression" dxfId="184" priority="30">
      <formula>ROUND(E$19,0) &lt; ROUND(E$12,0)</formula>
    </cfRule>
  </conditionalFormatting>
  <conditionalFormatting sqref="E40:W40">
    <cfRule type="expression" dxfId="183" priority="31">
      <formula>ROUND(E$40,0) &gt;= ROUND(E$39,0)</formula>
    </cfRule>
  </conditionalFormatting>
  <conditionalFormatting sqref="E46:W46">
    <cfRule type="expression" dxfId="182" priority="32">
      <formula>ROUND(E$46,0) &lt; ROUND(E$39,0)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F508-46A1-455B-A240-2D28527CDAB0}">
  <sheetPr codeName="Sheet13"/>
  <dimension ref="A5:S209"/>
  <sheetViews>
    <sheetView topLeftCell="A4" workbookViewId="0">
      <selection activeCell="F158" sqref="F158"/>
    </sheetView>
  </sheetViews>
  <sheetFormatPr defaultColWidth="16" defaultRowHeight="15.75"/>
  <cols>
    <col min="1" max="1" width="15.625" bestFit="1" customWidth="1"/>
    <col min="2" max="2" width="4.875" style="1" bestFit="1" customWidth="1"/>
    <col min="3" max="5" width="1.875" style="1" bestFit="1" customWidth="1"/>
    <col min="6" max="6" width="5.875" style="1" bestFit="1" customWidth="1"/>
    <col min="7" max="7" width="3.125" style="1" bestFit="1" customWidth="1"/>
    <col min="8" max="8" width="2.875" style="1" bestFit="1" customWidth="1"/>
    <col min="9" max="9" width="3.25" style="1" bestFit="1" customWidth="1"/>
    <col min="10" max="10" width="4" style="1" bestFit="1" customWidth="1"/>
    <col min="11" max="11" width="9.125" style="1" bestFit="1" customWidth="1"/>
    <col min="12" max="13" width="3.25" style="1" bestFit="1" customWidth="1"/>
    <col min="14" max="14" width="3.75" style="1" bestFit="1" customWidth="1"/>
    <col min="15" max="15" width="5.625" style="1" bestFit="1" customWidth="1"/>
    <col min="16" max="16" width="2.625" style="1" bestFit="1" customWidth="1"/>
    <col min="17" max="17" width="6.625" style="1" bestFit="1" customWidth="1"/>
    <col min="18" max="18" width="8.5" bestFit="1" customWidth="1"/>
  </cols>
  <sheetData>
    <row r="5" spans="1:19" s="119" customFormat="1" ht="21">
      <c r="A5" s="118" t="str">
        <f>'Open Cells'!A9</f>
        <v>WISC-6 Standardization - Paper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</row>
    <row r="6" spans="1:19" ht="16.5" thickBot="1"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</row>
    <row r="7" spans="1:19" ht="16.5" thickBot="1">
      <c r="A7" s="121" t="s">
        <v>370</v>
      </c>
      <c r="B7" s="122" t="s">
        <v>287</v>
      </c>
      <c r="C7" s="128"/>
      <c r="D7" s="133"/>
      <c r="E7" s="123"/>
      <c r="F7" s="135"/>
      <c r="G7" s="133"/>
      <c r="H7" s="135"/>
      <c r="I7" s="135"/>
      <c r="J7" s="135"/>
      <c r="K7" s="136"/>
      <c r="L7"/>
      <c r="M7"/>
      <c r="N7"/>
      <c r="O7"/>
      <c r="P7"/>
      <c r="Q7"/>
    </row>
    <row r="8" spans="1:19" ht="63.75" thickBot="1">
      <c r="A8" s="122"/>
      <c r="B8" s="574" t="s">
        <v>28</v>
      </c>
      <c r="C8" s="577"/>
      <c r="D8" s="574" t="s">
        <v>21</v>
      </c>
      <c r="E8" s="575"/>
      <c r="F8" s="575"/>
      <c r="G8" s="575"/>
      <c r="H8" s="576"/>
      <c r="I8" s="176" t="s">
        <v>32</v>
      </c>
      <c r="J8" s="574" t="s">
        <v>25</v>
      </c>
      <c r="K8" s="576"/>
      <c r="L8"/>
      <c r="M8"/>
      <c r="N8"/>
      <c r="O8"/>
      <c r="P8"/>
      <c r="Q8"/>
    </row>
    <row r="9" spans="1:19" ht="32.25" thickBot="1">
      <c r="A9" s="133" t="s">
        <v>371</v>
      </c>
      <c r="B9" s="134" t="s">
        <v>29</v>
      </c>
      <c r="C9" s="124" t="s">
        <v>38</v>
      </c>
      <c r="D9" s="134" t="s">
        <v>24</v>
      </c>
      <c r="E9" s="402" t="s">
        <v>22</v>
      </c>
      <c r="F9" s="402" t="s">
        <v>36</v>
      </c>
      <c r="G9" s="402" t="s">
        <v>31</v>
      </c>
      <c r="H9" s="402" t="s">
        <v>39</v>
      </c>
      <c r="I9" s="176" t="s">
        <v>33</v>
      </c>
      <c r="J9" s="134" t="s">
        <v>34</v>
      </c>
      <c r="K9" s="125" t="s">
        <v>26</v>
      </c>
      <c r="L9"/>
      <c r="M9"/>
      <c r="N9"/>
      <c r="O9"/>
      <c r="P9"/>
      <c r="Q9"/>
    </row>
    <row r="10" spans="1:19">
      <c r="A10" s="129" t="s">
        <v>20</v>
      </c>
      <c r="B10" s="121"/>
      <c r="C10" s="395"/>
      <c r="D10" s="394">
        <v>23</v>
      </c>
      <c r="E10" s="394">
        <v>5</v>
      </c>
      <c r="F10" s="394"/>
      <c r="G10" s="394"/>
      <c r="H10" s="394"/>
      <c r="I10" s="403"/>
      <c r="J10" s="121"/>
      <c r="K10" s="395">
        <v>0</v>
      </c>
      <c r="L10"/>
      <c r="M10"/>
      <c r="N10"/>
      <c r="O10"/>
      <c r="P10"/>
      <c r="Q10"/>
    </row>
    <row r="11" spans="1:19">
      <c r="A11" s="126" t="s">
        <v>27</v>
      </c>
      <c r="B11" s="396">
        <v>6</v>
      </c>
      <c r="C11" s="398"/>
      <c r="D11" s="397">
        <v>22</v>
      </c>
      <c r="E11" s="397"/>
      <c r="F11" s="397"/>
      <c r="G11" s="397">
        <v>11</v>
      </c>
      <c r="H11" s="397"/>
      <c r="I11" s="404">
        <v>39</v>
      </c>
      <c r="J11" s="396">
        <v>49</v>
      </c>
      <c r="K11" s="398">
        <v>0</v>
      </c>
      <c r="L11"/>
      <c r="M11"/>
      <c r="N11"/>
      <c r="O11"/>
      <c r="P11"/>
      <c r="Q11"/>
    </row>
    <row r="12" spans="1:19">
      <c r="A12" s="126" t="s">
        <v>35</v>
      </c>
      <c r="B12" s="396">
        <v>8</v>
      </c>
      <c r="C12" s="398"/>
      <c r="D12" s="397"/>
      <c r="E12" s="397"/>
      <c r="F12" s="397">
        <v>12</v>
      </c>
      <c r="G12" s="397"/>
      <c r="H12" s="397"/>
      <c r="I12" s="404"/>
      <c r="J12" s="396"/>
      <c r="K12" s="398">
        <v>0</v>
      </c>
      <c r="L12"/>
      <c r="M12"/>
      <c r="N12"/>
      <c r="O12"/>
      <c r="P12"/>
      <c r="Q12"/>
    </row>
    <row r="13" spans="1:19">
      <c r="A13" s="126" t="s">
        <v>37</v>
      </c>
      <c r="B13" s="396"/>
      <c r="C13" s="398">
        <v>39</v>
      </c>
      <c r="D13" s="397"/>
      <c r="E13" s="397"/>
      <c r="F13" s="397"/>
      <c r="G13" s="397"/>
      <c r="H13" s="397">
        <v>47</v>
      </c>
      <c r="I13" s="404">
        <v>39</v>
      </c>
      <c r="J13" s="396"/>
      <c r="K13" s="398">
        <v>0</v>
      </c>
      <c r="L13"/>
      <c r="M13"/>
      <c r="N13"/>
      <c r="O13"/>
      <c r="P13"/>
      <c r="Q13"/>
    </row>
    <row r="14" spans="1:19">
      <c r="A14" s="126" t="s">
        <v>40</v>
      </c>
      <c r="B14" s="396"/>
      <c r="C14" s="398"/>
      <c r="D14" s="397"/>
      <c r="E14" s="397"/>
      <c r="F14" s="397"/>
      <c r="G14" s="397"/>
      <c r="H14" s="397"/>
      <c r="I14" s="404"/>
      <c r="J14" s="396"/>
      <c r="K14" s="398">
        <v>0</v>
      </c>
      <c r="L14"/>
      <c r="M14"/>
      <c r="N14"/>
      <c r="O14"/>
      <c r="P14"/>
      <c r="Q14"/>
    </row>
    <row r="15" spans="1:19" ht="16.5" thickBot="1">
      <c r="A15" s="127" t="s">
        <v>41</v>
      </c>
      <c r="B15" s="396"/>
      <c r="C15" s="398"/>
      <c r="D15" s="397"/>
      <c r="E15" s="397"/>
      <c r="F15" s="397"/>
      <c r="G15" s="397"/>
      <c r="H15" s="397"/>
      <c r="I15" s="404"/>
      <c r="J15" s="396"/>
      <c r="K15" s="398">
        <v>0</v>
      </c>
      <c r="L15"/>
      <c r="M15"/>
      <c r="N15"/>
      <c r="O15"/>
      <c r="P15"/>
      <c r="Q15"/>
    </row>
    <row r="16" spans="1:19" ht="16.5" thickBot="1">
      <c r="A16" s="127" t="s">
        <v>372</v>
      </c>
      <c r="B16" s="399">
        <v>14</v>
      </c>
      <c r="C16" s="401">
        <v>39</v>
      </c>
      <c r="D16" s="400">
        <v>45</v>
      </c>
      <c r="E16" s="400">
        <v>5</v>
      </c>
      <c r="F16" s="400">
        <v>12</v>
      </c>
      <c r="G16" s="400">
        <v>11</v>
      </c>
      <c r="H16" s="400">
        <v>47</v>
      </c>
      <c r="I16" s="405">
        <v>78</v>
      </c>
      <c r="J16" s="399">
        <v>49</v>
      </c>
      <c r="K16" s="401">
        <v>0</v>
      </c>
      <c r="L16"/>
      <c r="M16"/>
      <c r="N16"/>
      <c r="O16"/>
      <c r="P16"/>
      <c r="Q16"/>
    </row>
    <row r="19" spans="1:19" s="119" customFormat="1" ht="21">
      <c r="A19" s="118" t="str">
        <f>'Open Cells'!A81</f>
        <v>WISC-6 Standardization - Digital</v>
      </c>
      <c r="B19" s="130"/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</row>
    <row r="20" spans="1:19" ht="16.5" thickBot="1"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</row>
    <row r="21" spans="1:19" ht="16.5" thickBot="1">
      <c r="A21" s="121" t="s">
        <v>370</v>
      </c>
      <c r="B21" s="122" t="s">
        <v>287</v>
      </c>
      <c r="C21" s="128"/>
      <c r="D21" s="133"/>
      <c r="E21" s="123"/>
      <c r="F21" s="135"/>
      <c r="G21" s="133"/>
      <c r="H21" s="135"/>
      <c r="I21" s="135"/>
      <c r="J21" s="135"/>
      <c r="K21" s="136"/>
      <c r="L21" s="135"/>
      <c r="M21" s="133"/>
      <c r="N21" s="135"/>
      <c r="O21" s="136"/>
      <c r="P21"/>
      <c r="Q21"/>
    </row>
    <row r="22" spans="1:19" ht="16.5" thickBot="1">
      <c r="A22" s="122"/>
      <c r="B22" s="574" t="s">
        <v>28</v>
      </c>
      <c r="C22" s="575"/>
      <c r="D22" s="575"/>
      <c r="E22" s="577"/>
      <c r="F22" s="574" t="s">
        <v>21</v>
      </c>
      <c r="G22" s="575"/>
      <c r="H22" s="575"/>
      <c r="I22" s="575"/>
      <c r="J22" s="576"/>
      <c r="K22" s="574" t="s">
        <v>32</v>
      </c>
      <c r="L22" s="576"/>
      <c r="M22" s="574" t="s">
        <v>25</v>
      </c>
      <c r="N22" s="575"/>
      <c r="O22" s="576"/>
      <c r="P22"/>
      <c r="Q22"/>
    </row>
    <row r="23" spans="1:19" ht="32.25" thickBot="1">
      <c r="A23" s="133" t="s">
        <v>371</v>
      </c>
      <c r="B23" s="134" t="s">
        <v>29</v>
      </c>
      <c r="C23" s="124" t="s">
        <v>56</v>
      </c>
      <c r="D23" s="124" t="s">
        <v>50</v>
      </c>
      <c r="E23" s="124" t="s">
        <v>38</v>
      </c>
      <c r="F23" s="134" t="s">
        <v>24</v>
      </c>
      <c r="G23" s="402" t="s">
        <v>22</v>
      </c>
      <c r="H23" s="402" t="s">
        <v>36</v>
      </c>
      <c r="I23" s="402" t="s">
        <v>31</v>
      </c>
      <c r="J23" s="402" t="s">
        <v>39</v>
      </c>
      <c r="K23" s="134" t="s">
        <v>47</v>
      </c>
      <c r="L23" s="125" t="s">
        <v>33</v>
      </c>
      <c r="M23" s="134" t="s">
        <v>45</v>
      </c>
      <c r="N23" s="124" t="s">
        <v>34</v>
      </c>
      <c r="O23" s="125" t="s">
        <v>26</v>
      </c>
      <c r="P23"/>
      <c r="Q23"/>
    </row>
    <row r="24" spans="1:19">
      <c r="A24" s="129" t="s">
        <v>43</v>
      </c>
      <c r="B24" s="121">
        <v>7</v>
      </c>
      <c r="C24" s="394"/>
      <c r="D24" s="394"/>
      <c r="E24" s="395"/>
      <c r="F24" s="394">
        <v>23</v>
      </c>
      <c r="G24" s="394"/>
      <c r="H24" s="394"/>
      <c r="I24" s="394">
        <v>10</v>
      </c>
      <c r="J24" s="394"/>
      <c r="K24" s="121"/>
      <c r="L24" s="395">
        <v>39</v>
      </c>
      <c r="M24" s="121">
        <v>49</v>
      </c>
      <c r="N24" s="394"/>
      <c r="O24" s="395">
        <v>0</v>
      </c>
      <c r="P24"/>
      <c r="Q24"/>
    </row>
    <row r="25" spans="1:19">
      <c r="A25" s="126" t="s">
        <v>46</v>
      </c>
      <c r="B25" s="396">
        <v>8</v>
      </c>
      <c r="C25" s="397"/>
      <c r="D25" s="397"/>
      <c r="E25" s="398"/>
      <c r="F25" s="397"/>
      <c r="G25" s="397">
        <v>4</v>
      </c>
      <c r="H25" s="397"/>
      <c r="I25" s="397"/>
      <c r="J25" s="397"/>
      <c r="K25" s="396">
        <v>14</v>
      </c>
      <c r="L25" s="398"/>
      <c r="M25" s="396">
        <v>49</v>
      </c>
      <c r="N25" s="397"/>
      <c r="O25" s="398">
        <v>0</v>
      </c>
      <c r="P25"/>
      <c r="Q25"/>
    </row>
    <row r="26" spans="1:19">
      <c r="A26" s="126" t="s">
        <v>48</v>
      </c>
      <c r="B26" s="396"/>
      <c r="C26" s="397"/>
      <c r="D26" s="397"/>
      <c r="E26" s="398"/>
      <c r="F26" s="397"/>
      <c r="G26" s="397"/>
      <c r="H26" s="397"/>
      <c r="I26" s="397"/>
      <c r="J26" s="397"/>
      <c r="K26" s="396"/>
      <c r="L26" s="398"/>
      <c r="M26" s="396"/>
      <c r="N26" s="397"/>
      <c r="O26" s="398">
        <v>0</v>
      </c>
      <c r="P26"/>
      <c r="Q26"/>
    </row>
    <row r="27" spans="1:19">
      <c r="A27" s="126" t="s">
        <v>49</v>
      </c>
      <c r="B27" s="396"/>
      <c r="C27" s="397"/>
      <c r="D27" s="397">
        <v>31</v>
      </c>
      <c r="E27" s="398"/>
      <c r="F27" s="397"/>
      <c r="G27" s="397"/>
      <c r="H27" s="397">
        <v>13</v>
      </c>
      <c r="I27" s="397">
        <v>9</v>
      </c>
      <c r="J27" s="397"/>
      <c r="K27" s="396"/>
      <c r="L27" s="398">
        <v>38</v>
      </c>
      <c r="M27" s="396">
        <v>49</v>
      </c>
      <c r="N27" s="397"/>
      <c r="O27" s="398">
        <v>0</v>
      </c>
      <c r="P27"/>
      <c r="Q27"/>
    </row>
    <row r="28" spans="1:19">
      <c r="A28" s="126" t="s">
        <v>51</v>
      </c>
      <c r="B28" s="396"/>
      <c r="C28" s="397"/>
      <c r="D28" s="397"/>
      <c r="E28" s="398"/>
      <c r="F28" s="397"/>
      <c r="G28" s="397"/>
      <c r="H28" s="397"/>
      <c r="I28" s="397"/>
      <c r="J28" s="397"/>
      <c r="K28" s="396"/>
      <c r="L28" s="398"/>
      <c r="M28" s="396"/>
      <c r="N28" s="397"/>
      <c r="O28" s="398">
        <v>0</v>
      </c>
      <c r="P28"/>
      <c r="Q28"/>
    </row>
    <row r="29" spans="1:19">
      <c r="A29" s="126" t="s">
        <v>52</v>
      </c>
      <c r="B29" s="396"/>
      <c r="C29" s="397"/>
      <c r="D29" s="397"/>
      <c r="E29" s="398">
        <v>37</v>
      </c>
      <c r="F29" s="397"/>
      <c r="G29" s="397">
        <v>5</v>
      </c>
      <c r="H29" s="397"/>
      <c r="I29" s="397"/>
      <c r="J29" s="397">
        <v>45</v>
      </c>
      <c r="K29" s="396"/>
      <c r="L29" s="398">
        <v>39</v>
      </c>
      <c r="M29" s="396"/>
      <c r="N29" s="397">
        <v>49</v>
      </c>
      <c r="O29" s="398">
        <v>0</v>
      </c>
      <c r="P29"/>
      <c r="Q29"/>
    </row>
    <row r="30" spans="1:19">
      <c r="A30" s="126" t="s">
        <v>53</v>
      </c>
      <c r="B30" s="396"/>
      <c r="C30" s="397"/>
      <c r="D30" s="397"/>
      <c r="E30" s="398">
        <v>37</v>
      </c>
      <c r="F30" s="397"/>
      <c r="G30" s="397">
        <v>5</v>
      </c>
      <c r="H30" s="397"/>
      <c r="I30" s="397">
        <v>7</v>
      </c>
      <c r="J30" s="397"/>
      <c r="K30" s="396"/>
      <c r="L30" s="398">
        <v>38</v>
      </c>
      <c r="M30" s="396">
        <v>48</v>
      </c>
      <c r="N30" s="397"/>
      <c r="O30" s="398">
        <v>0</v>
      </c>
      <c r="P30"/>
      <c r="Q30"/>
    </row>
    <row r="31" spans="1:19">
      <c r="A31" s="126" t="s">
        <v>54</v>
      </c>
      <c r="B31" s="396"/>
      <c r="C31" s="397"/>
      <c r="D31" s="397"/>
      <c r="E31" s="398">
        <v>37</v>
      </c>
      <c r="F31" s="397">
        <v>23</v>
      </c>
      <c r="G31" s="397"/>
      <c r="H31" s="397"/>
      <c r="I31" s="397"/>
      <c r="J31" s="397"/>
      <c r="K31" s="396">
        <v>16</v>
      </c>
      <c r="L31" s="398">
        <v>38</v>
      </c>
      <c r="M31" s="396"/>
      <c r="N31" s="397">
        <v>49</v>
      </c>
      <c r="O31" s="398">
        <v>0</v>
      </c>
      <c r="P31"/>
      <c r="Q31"/>
    </row>
    <row r="32" spans="1:19" ht="16.5" thickBot="1">
      <c r="A32" s="127" t="s">
        <v>55</v>
      </c>
      <c r="B32" s="396">
        <v>9</v>
      </c>
      <c r="C32" s="397">
        <v>19</v>
      </c>
      <c r="D32" s="397"/>
      <c r="E32" s="398">
        <v>35</v>
      </c>
      <c r="F32" s="397">
        <v>23</v>
      </c>
      <c r="G32" s="397">
        <v>4</v>
      </c>
      <c r="H32" s="397"/>
      <c r="I32" s="397">
        <v>6</v>
      </c>
      <c r="J32" s="397">
        <v>50</v>
      </c>
      <c r="K32" s="396"/>
      <c r="L32" s="398">
        <v>34</v>
      </c>
      <c r="M32" s="396">
        <v>47</v>
      </c>
      <c r="N32" s="397">
        <v>48</v>
      </c>
      <c r="O32" s="398">
        <v>0</v>
      </c>
      <c r="P32"/>
      <c r="Q32"/>
    </row>
    <row r="33" spans="1:19" ht="16.5" thickBot="1">
      <c r="A33" s="127" t="s">
        <v>372</v>
      </c>
      <c r="B33" s="399">
        <v>24</v>
      </c>
      <c r="C33" s="400">
        <v>19</v>
      </c>
      <c r="D33" s="400">
        <v>31</v>
      </c>
      <c r="E33" s="401">
        <v>146</v>
      </c>
      <c r="F33" s="400">
        <v>69</v>
      </c>
      <c r="G33" s="400">
        <v>18</v>
      </c>
      <c r="H33" s="400">
        <v>13</v>
      </c>
      <c r="I33" s="400">
        <v>32</v>
      </c>
      <c r="J33" s="400">
        <v>95</v>
      </c>
      <c r="K33" s="399">
        <v>30</v>
      </c>
      <c r="L33" s="401">
        <v>226</v>
      </c>
      <c r="M33" s="399">
        <v>242</v>
      </c>
      <c r="N33" s="400">
        <v>146</v>
      </c>
      <c r="O33" s="401">
        <v>0</v>
      </c>
      <c r="P33"/>
      <c r="Q33"/>
    </row>
    <row r="34" spans="1:19">
      <c r="A34" s="11"/>
      <c r="R34" s="1"/>
    </row>
    <row r="35" spans="1:19" s="119" customFormat="1" ht="21">
      <c r="A35" s="118" t="str">
        <f>'Open Cells'!A183</f>
        <v>Retest WISC-6 Standardization - Paper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0"/>
      <c r="P35" s="130"/>
      <c r="Q35" s="130"/>
    </row>
    <row r="36" spans="1:19" ht="16.5" thickBot="1">
      <c r="B36" s="120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</row>
    <row r="37" spans="1:19" ht="16.5" thickBot="1">
      <c r="A37" s="121" t="s">
        <v>370</v>
      </c>
      <c r="B37" s="122" t="s">
        <v>287</v>
      </c>
      <c r="C37" s="128"/>
      <c r="D37" s="133"/>
      <c r="E37" s="123"/>
      <c r="F37" s="135"/>
      <c r="G37" s="133"/>
      <c r="H37" s="135"/>
      <c r="I37" s="135"/>
      <c r="J37" s="135"/>
      <c r="K37" s="136"/>
      <c r="L37" s="135"/>
      <c r="M37" s="133"/>
      <c r="N37" s="135"/>
      <c r="O37" s="135"/>
      <c r="P37" s="136"/>
      <c r="Q37" s="135"/>
      <c r="R37" s="122"/>
    </row>
    <row r="38" spans="1:19" ht="32.25" thickBot="1">
      <c r="A38" s="122"/>
      <c r="B38" s="574" t="s">
        <v>28</v>
      </c>
      <c r="C38" s="575"/>
      <c r="D38" s="575"/>
      <c r="E38" s="577"/>
      <c r="F38" s="574" t="s">
        <v>21</v>
      </c>
      <c r="G38" s="575"/>
      <c r="H38" s="575"/>
      <c r="I38" s="575"/>
      <c r="J38" s="576"/>
      <c r="K38" s="574" t="s">
        <v>32</v>
      </c>
      <c r="L38" s="575"/>
      <c r="M38" s="575"/>
      <c r="N38" s="576"/>
      <c r="O38" s="574" t="s">
        <v>25</v>
      </c>
      <c r="P38" s="575"/>
      <c r="Q38" s="576"/>
      <c r="R38" s="124" t="s">
        <v>373</v>
      </c>
    </row>
    <row r="39" spans="1:19" ht="16.5" thickBot="1">
      <c r="A39" s="133" t="s">
        <v>371</v>
      </c>
      <c r="B39" s="134" t="s">
        <v>29</v>
      </c>
      <c r="C39" s="124" t="s">
        <v>56</v>
      </c>
      <c r="D39" s="124" t="s">
        <v>50</v>
      </c>
      <c r="E39" s="124" t="s">
        <v>38</v>
      </c>
      <c r="F39" s="134" t="s">
        <v>24</v>
      </c>
      <c r="G39" s="402" t="s">
        <v>22</v>
      </c>
      <c r="H39" s="402" t="s">
        <v>36</v>
      </c>
      <c r="I39" s="402" t="s">
        <v>31</v>
      </c>
      <c r="J39" s="402" t="s">
        <v>39</v>
      </c>
      <c r="K39" s="134" t="s">
        <v>59</v>
      </c>
      <c r="L39" s="124" t="s">
        <v>47</v>
      </c>
      <c r="M39" s="124" t="s">
        <v>33</v>
      </c>
      <c r="N39" s="125" t="s">
        <v>60</v>
      </c>
      <c r="O39" s="134" t="s">
        <v>45</v>
      </c>
      <c r="P39" s="124" t="s">
        <v>34</v>
      </c>
      <c r="Q39" s="125" t="s">
        <v>26</v>
      </c>
      <c r="R39" s="402" t="s">
        <v>58</v>
      </c>
    </row>
    <row r="40" spans="1:19">
      <c r="A40" s="129" t="s">
        <v>57</v>
      </c>
      <c r="B40" s="121">
        <v>1</v>
      </c>
      <c r="C40" s="394">
        <v>1</v>
      </c>
      <c r="D40" s="394">
        <v>1</v>
      </c>
      <c r="E40" s="395">
        <v>1</v>
      </c>
      <c r="F40" s="394">
        <v>1</v>
      </c>
      <c r="G40" s="394">
        <v>1</v>
      </c>
      <c r="H40" s="394">
        <v>1</v>
      </c>
      <c r="I40" s="394">
        <v>1</v>
      </c>
      <c r="J40" s="394">
        <v>1</v>
      </c>
      <c r="K40" s="121">
        <v>1</v>
      </c>
      <c r="L40" s="394">
        <v>1</v>
      </c>
      <c r="M40" s="394">
        <v>1</v>
      </c>
      <c r="N40" s="395">
        <v>1</v>
      </c>
      <c r="O40" s="121">
        <v>1</v>
      </c>
      <c r="P40" s="394">
        <v>1</v>
      </c>
      <c r="Q40" s="395">
        <v>0</v>
      </c>
      <c r="R40" s="394">
        <v>1</v>
      </c>
    </row>
    <row r="41" spans="1:19" ht="16.5" thickBot="1">
      <c r="A41" s="127" t="s">
        <v>61</v>
      </c>
      <c r="B41" s="396">
        <v>1</v>
      </c>
      <c r="C41" s="397">
        <v>1</v>
      </c>
      <c r="D41" s="397">
        <v>1</v>
      </c>
      <c r="E41" s="398">
        <v>1</v>
      </c>
      <c r="F41" s="397">
        <v>1</v>
      </c>
      <c r="G41" s="397">
        <v>1</v>
      </c>
      <c r="H41" s="397">
        <v>1</v>
      </c>
      <c r="I41" s="397">
        <v>1</v>
      </c>
      <c r="J41" s="397">
        <v>1</v>
      </c>
      <c r="K41" s="396">
        <v>1</v>
      </c>
      <c r="L41" s="397">
        <v>1</v>
      </c>
      <c r="M41" s="397">
        <v>1</v>
      </c>
      <c r="N41" s="398">
        <v>1</v>
      </c>
      <c r="O41" s="396">
        <v>1</v>
      </c>
      <c r="P41" s="397">
        <v>1</v>
      </c>
      <c r="Q41" s="398">
        <v>0</v>
      </c>
      <c r="R41" s="397">
        <v>1</v>
      </c>
    </row>
    <row r="42" spans="1:19" ht="16.5" thickBot="1">
      <c r="A42" s="127" t="s">
        <v>372</v>
      </c>
      <c r="B42" s="399">
        <v>2</v>
      </c>
      <c r="C42" s="400">
        <v>2</v>
      </c>
      <c r="D42" s="400">
        <v>2</v>
      </c>
      <c r="E42" s="401">
        <v>2</v>
      </c>
      <c r="F42" s="400">
        <v>2</v>
      </c>
      <c r="G42" s="400">
        <v>2</v>
      </c>
      <c r="H42" s="400">
        <v>2</v>
      </c>
      <c r="I42" s="400">
        <v>2</v>
      </c>
      <c r="J42" s="400">
        <v>2</v>
      </c>
      <c r="K42" s="399">
        <v>2</v>
      </c>
      <c r="L42" s="400">
        <v>2</v>
      </c>
      <c r="M42" s="400">
        <v>2</v>
      </c>
      <c r="N42" s="401">
        <v>2</v>
      </c>
      <c r="O42" s="399">
        <v>2</v>
      </c>
      <c r="P42" s="400">
        <v>2</v>
      </c>
      <c r="Q42" s="401">
        <v>0</v>
      </c>
      <c r="R42" s="400">
        <v>2</v>
      </c>
    </row>
    <row r="43" spans="1:19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</row>
    <row r="44" spans="1:19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</row>
    <row r="45" spans="1:19" ht="16.5" thickBot="1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</row>
    <row r="46" spans="1:19" ht="16.5" thickBo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</row>
    <row r="48" spans="1:19" ht="21">
      <c r="A48" s="118" t="str">
        <f>'Open Cells'!A237</f>
        <v>Retest WISC-6 Standardization Digital</v>
      </c>
      <c r="B48" s="130"/>
      <c r="C48" s="130"/>
      <c r="D48" s="130"/>
      <c r="E48" s="130"/>
      <c r="F48" s="130"/>
      <c r="G48" s="130"/>
      <c r="H48" s="130"/>
      <c r="I48" s="130"/>
      <c r="J48" s="130"/>
      <c r="K48" s="130"/>
      <c r="L48" s="130"/>
      <c r="M48" s="130"/>
      <c r="N48" s="130"/>
      <c r="O48" s="130"/>
      <c r="P48" s="130"/>
      <c r="Q48" s="130"/>
    </row>
    <row r="49" spans="1:18" ht="16.5" thickBot="1">
      <c r="B49" s="120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</row>
    <row r="50" spans="1:18" ht="16.5" thickBot="1">
      <c r="A50" s="121" t="s">
        <v>370</v>
      </c>
      <c r="B50" s="122" t="s">
        <v>287</v>
      </c>
      <c r="C50" s="128"/>
      <c r="D50" s="133"/>
      <c r="E50" s="123"/>
      <c r="F50" s="135"/>
      <c r="G50" s="133"/>
      <c r="H50" s="135"/>
      <c r="I50" s="135"/>
      <c r="J50" s="135"/>
      <c r="K50" s="136"/>
      <c r="L50" s="135"/>
      <c r="M50" s="133"/>
      <c r="N50" s="135"/>
      <c r="O50" s="135"/>
      <c r="P50" s="136"/>
      <c r="Q50" s="135"/>
      <c r="R50" s="122"/>
    </row>
    <row r="51" spans="1:18" ht="32.25" thickBot="1">
      <c r="A51" s="122"/>
      <c r="B51" s="574" t="s">
        <v>28</v>
      </c>
      <c r="C51" s="575"/>
      <c r="D51" s="575"/>
      <c r="E51" s="577"/>
      <c r="F51" s="574" t="s">
        <v>21</v>
      </c>
      <c r="G51" s="575"/>
      <c r="H51" s="575"/>
      <c r="I51" s="575"/>
      <c r="J51" s="576"/>
      <c r="K51" s="574" t="s">
        <v>32</v>
      </c>
      <c r="L51" s="575"/>
      <c r="M51" s="575"/>
      <c r="N51" s="576"/>
      <c r="O51" s="574" t="s">
        <v>25</v>
      </c>
      <c r="P51" s="575"/>
      <c r="Q51" s="576"/>
      <c r="R51" s="124" t="s">
        <v>373</v>
      </c>
    </row>
    <row r="52" spans="1:18" ht="16.5" thickBot="1">
      <c r="A52" s="133" t="s">
        <v>371</v>
      </c>
      <c r="B52" s="134" t="s">
        <v>29</v>
      </c>
      <c r="C52" s="124" t="s">
        <v>56</v>
      </c>
      <c r="D52" s="124" t="s">
        <v>50</v>
      </c>
      <c r="E52" s="124" t="s">
        <v>38</v>
      </c>
      <c r="F52" s="134" t="s">
        <v>24</v>
      </c>
      <c r="G52" s="402" t="s">
        <v>22</v>
      </c>
      <c r="H52" s="402" t="s">
        <v>36</v>
      </c>
      <c r="I52" s="402" t="s">
        <v>31</v>
      </c>
      <c r="J52" s="402" t="s">
        <v>39</v>
      </c>
      <c r="K52" s="134" t="s">
        <v>59</v>
      </c>
      <c r="L52" s="124" t="s">
        <v>47</v>
      </c>
      <c r="M52" s="124" t="s">
        <v>33</v>
      </c>
      <c r="N52" s="125" t="s">
        <v>60</v>
      </c>
      <c r="O52" s="134" t="s">
        <v>45</v>
      </c>
      <c r="P52" s="124" t="s">
        <v>34</v>
      </c>
      <c r="Q52" s="125" t="s">
        <v>26</v>
      </c>
      <c r="R52" s="402" t="s">
        <v>58</v>
      </c>
    </row>
    <row r="53" spans="1:18">
      <c r="A53" s="129" t="s">
        <v>62</v>
      </c>
      <c r="B53" s="121">
        <v>1</v>
      </c>
      <c r="C53" s="394">
        <v>1</v>
      </c>
      <c r="D53" s="394">
        <v>1</v>
      </c>
      <c r="E53" s="395">
        <v>1</v>
      </c>
      <c r="F53" s="394">
        <v>1</v>
      </c>
      <c r="G53" s="394">
        <v>1</v>
      </c>
      <c r="H53" s="394">
        <v>1</v>
      </c>
      <c r="I53" s="394">
        <v>1</v>
      </c>
      <c r="J53" s="394">
        <v>1</v>
      </c>
      <c r="K53" s="121">
        <v>1</v>
      </c>
      <c r="L53" s="394">
        <v>1</v>
      </c>
      <c r="M53" s="394">
        <v>1</v>
      </c>
      <c r="N53" s="395">
        <v>1</v>
      </c>
      <c r="O53" s="121">
        <v>1</v>
      </c>
      <c r="P53" s="394">
        <v>1</v>
      </c>
      <c r="Q53" s="395">
        <v>0</v>
      </c>
      <c r="R53" s="394">
        <v>1</v>
      </c>
    </row>
    <row r="54" spans="1:18" ht="16.5" thickBot="1">
      <c r="A54" s="127" t="s">
        <v>63</v>
      </c>
      <c r="B54" s="396">
        <v>1</v>
      </c>
      <c r="C54" s="397">
        <v>1</v>
      </c>
      <c r="D54" s="397">
        <v>1</v>
      </c>
      <c r="E54" s="398">
        <v>1</v>
      </c>
      <c r="F54" s="397">
        <v>1</v>
      </c>
      <c r="G54" s="397">
        <v>1</v>
      </c>
      <c r="H54" s="397">
        <v>1</v>
      </c>
      <c r="I54" s="397">
        <v>0</v>
      </c>
      <c r="J54" s="397">
        <v>1</v>
      </c>
      <c r="K54" s="396">
        <v>1</v>
      </c>
      <c r="L54" s="397">
        <v>1</v>
      </c>
      <c r="M54" s="397">
        <v>0</v>
      </c>
      <c r="N54" s="398">
        <v>1</v>
      </c>
      <c r="O54" s="396">
        <v>0</v>
      </c>
      <c r="P54" s="397">
        <v>1</v>
      </c>
      <c r="Q54" s="398">
        <v>0</v>
      </c>
      <c r="R54" s="397">
        <v>1</v>
      </c>
    </row>
    <row r="55" spans="1:18" ht="16.5" thickBot="1">
      <c r="A55" s="127" t="s">
        <v>372</v>
      </c>
      <c r="B55" s="399">
        <v>2</v>
      </c>
      <c r="C55" s="400">
        <v>2</v>
      </c>
      <c r="D55" s="400">
        <v>2</v>
      </c>
      <c r="E55" s="401">
        <v>2</v>
      </c>
      <c r="F55" s="400">
        <v>2</v>
      </c>
      <c r="G55" s="400">
        <v>2</v>
      </c>
      <c r="H55" s="400">
        <v>2</v>
      </c>
      <c r="I55" s="400">
        <v>1</v>
      </c>
      <c r="J55" s="400">
        <v>2</v>
      </c>
      <c r="K55" s="399">
        <v>2</v>
      </c>
      <c r="L55" s="400">
        <v>2</v>
      </c>
      <c r="M55" s="400">
        <v>1</v>
      </c>
      <c r="N55" s="401">
        <v>2</v>
      </c>
      <c r="O55" s="399">
        <v>1</v>
      </c>
      <c r="P55" s="400">
        <v>2</v>
      </c>
      <c r="Q55" s="401">
        <v>0</v>
      </c>
      <c r="R55" s="400">
        <v>2</v>
      </c>
    </row>
    <row r="56" spans="1:18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</row>
    <row r="57" spans="1:18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</row>
    <row r="58" spans="1:18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</row>
    <row r="59" spans="1:18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</row>
    <row r="60" spans="1:18" ht="16.5" thickBo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</row>
    <row r="61" spans="1:18" ht="16.5" thickBo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</row>
    <row r="62" spans="1:18" ht="21">
      <c r="A62" s="118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</row>
    <row r="63" spans="1:18" ht="21">
      <c r="A63" s="118" t="str">
        <f>'Open Cells'!A291</f>
        <v>Validity WISC-6/WISC-5 Plus - Paper</v>
      </c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  <c r="M63" s="130"/>
      <c r="N63" s="130"/>
      <c r="O63" s="130"/>
      <c r="P63" s="130"/>
      <c r="Q63" s="130"/>
    </row>
    <row r="64" spans="1:18" ht="16.5" thickBot="1"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</row>
    <row r="65" spans="1:18" ht="16.5" thickBot="1">
      <c r="A65" s="121" t="s">
        <v>370</v>
      </c>
      <c r="B65" s="122" t="s">
        <v>287</v>
      </c>
      <c r="C65" s="128"/>
      <c r="D65" s="133"/>
      <c r="E65" s="123"/>
      <c r="F65" s="135"/>
      <c r="G65" s="133"/>
      <c r="H65" s="135"/>
      <c r="I65" s="135"/>
      <c r="J65" s="135"/>
      <c r="K65" s="136"/>
      <c r="L65" s="135"/>
      <c r="M65" s="133"/>
      <c r="N65" s="135"/>
      <c r="O65" s="135"/>
      <c r="P65" s="136"/>
      <c r="Q65" s="135"/>
      <c r="R65" s="122"/>
    </row>
    <row r="66" spans="1:18" ht="32.25" thickBot="1">
      <c r="A66" s="122"/>
      <c r="B66" s="574" t="s">
        <v>28</v>
      </c>
      <c r="C66" s="575"/>
      <c r="D66" s="575"/>
      <c r="E66" s="577"/>
      <c r="F66" s="574" t="s">
        <v>21</v>
      </c>
      <c r="G66" s="575"/>
      <c r="H66" s="575"/>
      <c r="I66" s="575"/>
      <c r="J66" s="576"/>
      <c r="K66" s="574" t="s">
        <v>32</v>
      </c>
      <c r="L66" s="575"/>
      <c r="M66" s="575"/>
      <c r="N66" s="576"/>
      <c r="O66" s="574" t="s">
        <v>25</v>
      </c>
      <c r="P66" s="575"/>
      <c r="Q66" s="576"/>
      <c r="R66" s="124" t="s">
        <v>373</v>
      </c>
    </row>
    <row r="67" spans="1:18" ht="16.5" thickBot="1">
      <c r="A67" s="133" t="s">
        <v>371</v>
      </c>
      <c r="B67" s="134" t="s">
        <v>29</v>
      </c>
      <c r="C67" s="124" t="s">
        <v>56</v>
      </c>
      <c r="D67" s="124" t="s">
        <v>50</v>
      </c>
      <c r="E67" s="124" t="s">
        <v>38</v>
      </c>
      <c r="F67" s="134" t="s">
        <v>24</v>
      </c>
      <c r="G67" s="402" t="s">
        <v>22</v>
      </c>
      <c r="H67" s="402" t="s">
        <v>36</v>
      </c>
      <c r="I67" s="402" t="s">
        <v>31</v>
      </c>
      <c r="J67" s="402" t="s">
        <v>39</v>
      </c>
      <c r="K67" s="134" t="s">
        <v>59</v>
      </c>
      <c r="L67" s="124" t="s">
        <v>47</v>
      </c>
      <c r="M67" s="124" t="s">
        <v>33</v>
      </c>
      <c r="N67" s="125" t="s">
        <v>60</v>
      </c>
      <c r="O67" s="134" t="s">
        <v>45</v>
      </c>
      <c r="P67" s="124" t="s">
        <v>34</v>
      </c>
      <c r="Q67" s="125" t="s">
        <v>26</v>
      </c>
      <c r="R67" s="402" t="s">
        <v>58</v>
      </c>
    </row>
    <row r="68" spans="1:18">
      <c r="A68" s="129" t="s">
        <v>64</v>
      </c>
      <c r="B68" s="121">
        <v>0</v>
      </c>
      <c r="C68" s="394">
        <v>1</v>
      </c>
      <c r="D68" s="394">
        <v>1</v>
      </c>
      <c r="E68" s="395">
        <v>1</v>
      </c>
      <c r="F68" s="394">
        <v>1</v>
      </c>
      <c r="G68" s="394">
        <v>1</v>
      </c>
      <c r="H68" s="394">
        <v>1</v>
      </c>
      <c r="I68" s="394">
        <v>0</v>
      </c>
      <c r="J68" s="394">
        <v>1</v>
      </c>
      <c r="K68" s="121">
        <v>1</v>
      </c>
      <c r="L68" s="394">
        <v>1</v>
      </c>
      <c r="M68" s="394">
        <v>0</v>
      </c>
      <c r="N68" s="395">
        <v>1</v>
      </c>
      <c r="O68" s="121">
        <v>1</v>
      </c>
      <c r="P68" s="394">
        <v>0</v>
      </c>
      <c r="Q68" s="395">
        <v>0</v>
      </c>
      <c r="R68" s="394">
        <v>1</v>
      </c>
    </row>
    <row r="69" spans="1:18" ht="16.5" thickBot="1">
      <c r="A69" s="127" t="s">
        <v>65</v>
      </c>
      <c r="B69" s="396">
        <v>1</v>
      </c>
      <c r="C69" s="397">
        <v>1</v>
      </c>
      <c r="D69" s="397">
        <v>1</v>
      </c>
      <c r="E69" s="398">
        <v>1</v>
      </c>
      <c r="F69" s="397">
        <v>1</v>
      </c>
      <c r="G69" s="397">
        <v>1</v>
      </c>
      <c r="H69" s="397">
        <v>1</v>
      </c>
      <c r="I69" s="397">
        <v>1</v>
      </c>
      <c r="J69" s="397">
        <v>1</v>
      </c>
      <c r="K69" s="396">
        <v>1</v>
      </c>
      <c r="L69" s="397">
        <v>1</v>
      </c>
      <c r="M69" s="397">
        <v>1</v>
      </c>
      <c r="N69" s="398">
        <v>1</v>
      </c>
      <c r="O69" s="396">
        <v>1</v>
      </c>
      <c r="P69" s="397">
        <v>1</v>
      </c>
      <c r="Q69" s="398">
        <v>0</v>
      </c>
      <c r="R69" s="397">
        <v>1</v>
      </c>
    </row>
    <row r="70" spans="1:18" ht="16.5" thickBot="1">
      <c r="A70" s="127" t="s">
        <v>372</v>
      </c>
      <c r="B70" s="399">
        <v>1</v>
      </c>
      <c r="C70" s="400">
        <v>2</v>
      </c>
      <c r="D70" s="400">
        <v>2</v>
      </c>
      <c r="E70" s="401">
        <v>2</v>
      </c>
      <c r="F70" s="400">
        <v>2</v>
      </c>
      <c r="G70" s="400">
        <v>2</v>
      </c>
      <c r="H70" s="400">
        <v>2</v>
      </c>
      <c r="I70" s="400">
        <v>1</v>
      </c>
      <c r="J70" s="400">
        <v>2</v>
      </c>
      <c r="K70" s="399">
        <v>2</v>
      </c>
      <c r="L70" s="400">
        <v>2</v>
      </c>
      <c r="M70" s="400">
        <v>1</v>
      </c>
      <c r="N70" s="401">
        <v>2</v>
      </c>
      <c r="O70" s="399">
        <v>2</v>
      </c>
      <c r="P70" s="400">
        <v>1</v>
      </c>
      <c r="Q70" s="401">
        <v>0</v>
      </c>
      <c r="R70" s="400">
        <v>2</v>
      </c>
    </row>
    <row r="71" spans="1:18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</row>
    <row r="72" spans="1:18" ht="16.5" thickBo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</row>
    <row r="73" spans="1:18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</row>
    <row r="75" spans="1:18" ht="21">
      <c r="A75" s="118" t="str">
        <f>'Open Cells'!A345</f>
        <v>Validity WISC-6/WPPSI-4 - Paper</v>
      </c>
      <c r="B75" s="130"/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</row>
    <row r="76" spans="1:18" ht="16.5" thickBot="1"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</row>
    <row r="77" spans="1:18" ht="16.5" thickBot="1">
      <c r="A77" s="121" t="s">
        <v>370</v>
      </c>
      <c r="B77" s="122" t="s">
        <v>287</v>
      </c>
      <c r="C77" s="128"/>
      <c r="D77" s="133"/>
      <c r="E77" s="123"/>
      <c r="F77" s="135"/>
      <c r="G77" s="133"/>
      <c r="H77" s="135"/>
      <c r="I77" s="135"/>
      <c r="J77" s="135"/>
      <c r="K77" s="136"/>
      <c r="L77" s="135"/>
      <c r="M77" s="133"/>
      <c r="N77" s="135"/>
      <c r="O77" s="135"/>
      <c r="P77" s="136"/>
      <c r="Q77" s="135"/>
      <c r="R77" s="122"/>
    </row>
    <row r="78" spans="1:18" ht="32.25" thickBot="1">
      <c r="A78" s="122"/>
      <c r="B78" s="574" t="s">
        <v>28</v>
      </c>
      <c r="C78" s="575"/>
      <c r="D78" s="575"/>
      <c r="E78" s="577"/>
      <c r="F78" s="574" t="s">
        <v>21</v>
      </c>
      <c r="G78" s="575"/>
      <c r="H78" s="575"/>
      <c r="I78" s="575"/>
      <c r="J78" s="576"/>
      <c r="K78" s="574" t="s">
        <v>32</v>
      </c>
      <c r="L78" s="575"/>
      <c r="M78" s="575"/>
      <c r="N78" s="576"/>
      <c r="O78" s="574" t="s">
        <v>25</v>
      </c>
      <c r="P78" s="575"/>
      <c r="Q78" s="576"/>
      <c r="R78" s="124" t="s">
        <v>373</v>
      </c>
    </row>
    <row r="79" spans="1:18" ht="16.5" thickBot="1">
      <c r="A79" s="133" t="s">
        <v>371</v>
      </c>
      <c r="B79" s="134" t="s">
        <v>29</v>
      </c>
      <c r="C79" s="124" t="s">
        <v>56</v>
      </c>
      <c r="D79" s="124" t="s">
        <v>50</v>
      </c>
      <c r="E79" s="124" t="s">
        <v>38</v>
      </c>
      <c r="F79" s="134" t="s">
        <v>24</v>
      </c>
      <c r="G79" s="402" t="s">
        <v>22</v>
      </c>
      <c r="H79" s="402" t="s">
        <v>36</v>
      </c>
      <c r="I79" s="402" t="s">
        <v>31</v>
      </c>
      <c r="J79" s="402" t="s">
        <v>39</v>
      </c>
      <c r="K79" s="134" t="s">
        <v>59</v>
      </c>
      <c r="L79" s="124" t="s">
        <v>47</v>
      </c>
      <c r="M79" s="124" t="s">
        <v>33</v>
      </c>
      <c r="N79" s="125" t="s">
        <v>60</v>
      </c>
      <c r="O79" s="134" t="s">
        <v>45</v>
      </c>
      <c r="P79" s="124" t="s">
        <v>34</v>
      </c>
      <c r="Q79" s="125" t="s">
        <v>26</v>
      </c>
      <c r="R79" s="402" t="s">
        <v>58</v>
      </c>
    </row>
    <row r="80" spans="1:18" ht="16.5" thickBot="1">
      <c r="A80" s="175" t="s">
        <v>66</v>
      </c>
      <c r="B80" s="121">
        <v>1</v>
      </c>
      <c r="C80" s="394">
        <v>1</v>
      </c>
      <c r="D80" s="394">
        <v>1</v>
      </c>
      <c r="E80" s="395">
        <v>1</v>
      </c>
      <c r="F80" s="394">
        <v>1</v>
      </c>
      <c r="G80" s="394">
        <v>1</v>
      </c>
      <c r="H80" s="394">
        <v>1</v>
      </c>
      <c r="I80" s="394">
        <v>1</v>
      </c>
      <c r="J80" s="394">
        <v>1</v>
      </c>
      <c r="K80" s="121">
        <v>1</v>
      </c>
      <c r="L80" s="394">
        <v>1</v>
      </c>
      <c r="M80" s="394">
        <v>1</v>
      </c>
      <c r="N80" s="395">
        <v>1</v>
      </c>
      <c r="O80" s="121">
        <v>1</v>
      </c>
      <c r="P80" s="394">
        <v>1</v>
      </c>
      <c r="Q80" s="395">
        <v>0</v>
      </c>
      <c r="R80" s="394">
        <v>1</v>
      </c>
    </row>
    <row r="81" spans="1:18" ht="16.5" thickBot="1">
      <c r="A81" s="127" t="s">
        <v>372</v>
      </c>
      <c r="B81" s="399">
        <v>1</v>
      </c>
      <c r="C81" s="400">
        <v>1</v>
      </c>
      <c r="D81" s="400">
        <v>1</v>
      </c>
      <c r="E81" s="401">
        <v>1</v>
      </c>
      <c r="F81" s="400">
        <v>1</v>
      </c>
      <c r="G81" s="400">
        <v>1</v>
      </c>
      <c r="H81" s="400">
        <v>1</v>
      </c>
      <c r="I81" s="400">
        <v>1</v>
      </c>
      <c r="J81" s="400">
        <v>1</v>
      </c>
      <c r="K81" s="399">
        <v>1</v>
      </c>
      <c r="L81" s="400">
        <v>1</v>
      </c>
      <c r="M81" s="400">
        <v>1</v>
      </c>
      <c r="N81" s="401">
        <v>1</v>
      </c>
      <c r="O81" s="399">
        <v>1</v>
      </c>
      <c r="P81" s="400">
        <v>1</v>
      </c>
      <c r="Q81" s="401">
        <v>0</v>
      </c>
      <c r="R81" s="400">
        <v>1</v>
      </c>
    </row>
    <row r="82" spans="1:18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</row>
    <row r="83" spans="1:18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</row>
    <row r="84" spans="1:18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</row>
    <row r="85" spans="1:18" ht="16.5" thickBo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</row>
    <row r="86" spans="1:18" ht="16.5" thickBo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</row>
    <row r="88" spans="1:18" ht="21"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</row>
    <row r="89" spans="1:18" ht="21">
      <c r="A89" s="118" t="str">
        <f>'Open Cells'!A382</f>
        <v>Validity WISC-6/WAIS-5 - Paper</v>
      </c>
      <c r="B89" s="130"/>
      <c r="C89" s="130"/>
      <c r="D89" s="130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</row>
    <row r="90" spans="1:18" ht="16.5" thickBot="1"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</row>
    <row r="91" spans="1:18" ht="16.5" thickBot="1">
      <c r="A91" s="121" t="s">
        <v>370</v>
      </c>
      <c r="B91" s="122" t="s">
        <v>287</v>
      </c>
      <c r="C91" s="128"/>
      <c r="D91" s="133"/>
      <c r="E91" s="123"/>
      <c r="F91" s="135"/>
      <c r="G91" s="133"/>
      <c r="H91" s="135"/>
      <c r="I91" s="135"/>
      <c r="J91" s="135"/>
      <c r="K91" s="136"/>
      <c r="L91" s="135"/>
      <c r="M91" s="133"/>
      <c r="N91" s="135"/>
      <c r="O91" s="135"/>
      <c r="P91" s="136"/>
      <c r="Q91" s="135"/>
      <c r="R91" s="122"/>
    </row>
    <row r="92" spans="1:18" ht="32.25" thickBot="1">
      <c r="A92" s="122"/>
      <c r="B92" s="574" t="s">
        <v>28</v>
      </c>
      <c r="C92" s="575"/>
      <c r="D92" s="575"/>
      <c r="E92" s="577"/>
      <c r="F92" s="574" t="s">
        <v>21</v>
      </c>
      <c r="G92" s="575"/>
      <c r="H92" s="575"/>
      <c r="I92" s="575"/>
      <c r="J92" s="576"/>
      <c r="K92" s="574" t="s">
        <v>32</v>
      </c>
      <c r="L92" s="575"/>
      <c r="M92" s="575"/>
      <c r="N92" s="576"/>
      <c r="O92" s="574" t="s">
        <v>25</v>
      </c>
      <c r="P92" s="575"/>
      <c r="Q92" s="576"/>
      <c r="R92" s="124" t="s">
        <v>373</v>
      </c>
    </row>
    <row r="93" spans="1:18" ht="16.5" thickBot="1">
      <c r="A93" s="133" t="s">
        <v>371</v>
      </c>
      <c r="B93" s="134" t="s">
        <v>29</v>
      </c>
      <c r="C93" s="124" t="s">
        <v>56</v>
      </c>
      <c r="D93" s="124" t="s">
        <v>50</v>
      </c>
      <c r="E93" s="124" t="s">
        <v>38</v>
      </c>
      <c r="F93" s="134" t="s">
        <v>24</v>
      </c>
      <c r="G93" s="402" t="s">
        <v>22</v>
      </c>
      <c r="H93" s="402" t="s">
        <v>36</v>
      </c>
      <c r="I93" s="402" t="s">
        <v>31</v>
      </c>
      <c r="J93" s="402" t="s">
        <v>39</v>
      </c>
      <c r="K93" s="134" t="s">
        <v>59</v>
      </c>
      <c r="L93" s="124" t="s">
        <v>47</v>
      </c>
      <c r="M93" s="124" t="s">
        <v>33</v>
      </c>
      <c r="N93" s="125" t="s">
        <v>60</v>
      </c>
      <c r="O93" s="134" t="s">
        <v>45</v>
      </c>
      <c r="P93" s="124" t="s">
        <v>34</v>
      </c>
      <c r="Q93" s="125" t="s">
        <v>26</v>
      </c>
      <c r="R93" s="402" t="s">
        <v>58</v>
      </c>
    </row>
    <row r="94" spans="1:18" ht="16.5" thickBot="1">
      <c r="A94" s="175" t="s">
        <v>67</v>
      </c>
      <c r="B94" s="121">
        <v>1</v>
      </c>
      <c r="C94" s="394">
        <v>1</v>
      </c>
      <c r="D94" s="394">
        <v>1</v>
      </c>
      <c r="E94" s="395">
        <v>1</v>
      </c>
      <c r="F94" s="394">
        <v>1</v>
      </c>
      <c r="G94" s="394">
        <v>1</v>
      </c>
      <c r="H94" s="394">
        <v>1</v>
      </c>
      <c r="I94" s="394">
        <v>1</v>
      </c>
      <c r="J94" s="394">
        <v>1</v>
      </c>
      <c r="K94" s="121">
        <v>1</v>
      </c>
      <c r="L94" s="394">
        <v>1</v>
      </c>
      <c r="M94" s="394">
        <v>1</v>
      </c>
      <c r="N94" s="395">
        <v>1</v>
      </c>
      <c r="O94" s="121">
        <v>1</v>
      </c>
      <c r="P94" s="394">
        <v>1</v>
      </c>
      <c r="Q94" s="395">
        <v>0</v>
      </c>
      <c r="R94" s="394">
        <v>1</v>
      </c>
    </row>
    <row r="95" spans="1:18" ht="16.5" thickBot="1">
      <c r="A95" s="127" t="s">
        <v>372</v>
      </c>
      <c r="B95" s="399">
        <v>1</v>
      </c>
      <c r="C95" s="400">
        <v>1</v>
      </c>
      <c r="D95" s="400">
        <v>1</v>
      </c>
      <c r="E95" s="401">
        <v>1</v>
      </c>
      <c r="F95" s="400">
        <v>1</v>
      </c>
      <c r="G95" s="400">
        <v>1</v>
      </c>
      <c r="H95" s="400">
        <v>1</v>
      </c>
      <c r="I95" s="400">
        <v>1</v>
      </c>
      <c r="J95" s="400">
        <v>1</v>
      </c>
      <c r="K95" s="399">
        <v>1</v>
      </c>
      <c r="L95" s="400">
        <v>1</v>
      </c>
      <c r="M95" s="400">
        <v>1</v>
      </c>
      <c r="N95" s="401">
        <v>1</v>
      </c>
      <c r="O95" s="399">
        <v>1</v>
      </c>
      <c r="P95" s="400">
        <v>1</v>
      </c>
      <c r="Q95" s="401">
        <v>0</v>
      </c>
      <c r="R95" s="400">
        <v>1</v>
      </c>
    </row>
    <row r="96" spans="1:18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</row>
    <row r="97" spans="1:18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</row>
    <row r="98" spans="1:18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</row>
    <row r="99" spans="1:18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</row>
    <row r="100" spans="1:18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</row>
    <row r="101" spans="1:18" ht="16.5" thickBo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</row>
    <row r="102" spans="1:18" ht="16.5" thickBo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</row>
    <row r="103" spans="1:18">
      <c r="A103" s="11"/>
      <c r="R103" s="1"/>
    </row>
    <row r="104" spans="1:18">
      <c r="A104" s="11"/>
      <c r="R104" s="1"/>
    </row>
    <row r="105" spans="1:18">
      <c r="A105" s="11" t="str">
        <f>'Open Cells'!A419</f>
        <v>Validity WISC-6/WIAT-4 - Paper</v>
      </c>
      <c r="R105" s="1"/>
    </row>
    <row r="106" spans="1:18" ht="16.5" thickBot="1"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</row>
    <row r="107" spans="1:18" ht="16.5" thickBot="1">
      <c r="A107" s="121" t="s">
        <v>370</v>
      </c>
      <c r="B107" s="122" t="s">
        <v>287</v>
      </c>
      <c r="C107" s="128"/>
      <c r="D107" s="133"/>
      <c r="E107" s="123"/>
      <c r="F107" s="135"/>
      <c r="G107" s="133"/>
      <c r="H107" s="135"/>
      <c r="I107" s="135"/>
      <c r="J107" s="135"/>
      <c r="K107" s="136"/>
      <c r="L107" s="135"/>
      <c r="M107" s="133"/>
      <c r="N107" s="135"/>
      <c r="O107" s="135"/>
      <c r="P107" s="136"/>
      <c r="Q107" s="135"/>
      <c r="R107" s="122"/>
    </row>
    <row r="108" spans="1:18" ht="32.25" thickBot="1">
      <c r="A108" s="122"/>
      <c r="B108" s="574" t="s">
        <v>28</v>
      </c>
      <c r="C108" s="575"/>
      <c r="D108" s="575"/>
      <c r="E108" s="577"/>
      <c r="F108" s="574" t="s">
        <v>21</v>
      </c>
      <c r="G108" s="575"/>
      <c r="H108" s="575"/>
      <c r="I108" s="575"/>
      <c r="J108" s="576"/>
      <c r="K108" s="574" t="s">
        <v>32</v>
      </c>
      <c r="L108" s="575"/>
      <c r="M108" s="575"/>
      <c r="N108" s="576"/>
      <c r="O108" s="574" t="s">
        <v>25</v>
      </c>
      <c r="P108" s="575"/>
      <c r="Q108" s="576"/>
      <c r="R108" s="124" t="s">
        <v>373</v>
      </c>
    </row>
    <row r="109" spans="1:18" ht="16.5" thickBot="1">
      <c r="A109" s="133" t="s">
        <v>371</v>
      </c>
      <c r="B109" s="134" t="s">
        <v>29</v>
      </c>
      <c r="C109" s="124" t="s">
        <v>56</v>
      </c>
      <c r="D109" s="124" t="s">
        <v>50</v>
      </c>
      <c r="E109" s="124" t="s">
        <v>38</v>
      </c>
      <c r="F109" s="134" t="s">
        <v>24</v>
      </c>
      <c r="G109" s="402" t="s">
        <v>22</v>
      </c>
      <c r="H109" s="402" t="s">
        <v>36</v>
      </c>
      <c r="I109" s="402" t="s">
        <v>31</v>
      </c>
      <c r="J109" s="402" t="s">
        <v>39</v>
      </c>
      <c r="K109" s="134" t="s">
        <v>59</v>
      </c>
      <c r="L109" s="124" t="s">
        <v>47</v>
      </c>
      <c r="M109" s="124" t="s">
        <v>33</v>
      </c>
      <c r="N109" s="125" t="s">
        <v>60</v>
      </c>
      <c r="O109" s="134" t="s">
        <v>45</v>
      </c>
      <c r="P109" s="124" t="s">
        <v>34</v>
      </c>
      <c r="Q109" s="125" t="s">
        <v>26</v>
      </c>
      <c r="R109" s="402" t="s">
        <v>58</v>
      </c>
    </row>
    <row r="110" spans="1:18">
      <c r="A110" s="129" t="s">
        <v>55</v>
      </c>
      <c r="B110" s="121">
        <v>1</v>
      </c>
      <c r="C110" s="394">
        <v>1</v>
      </c>
      <c r="D110" s="394">
        <v>1</v>
      </c>
      <c r="E110" s="395">
        <v>0</v>
      </c>
      <c r="F110" s="394">
        <v>1</v>
      </c>
      <c r="G110" s="394">
        <v>1</v>
      </c>
      <c r="H110" s="394">
        <v>1</v>
      </c>
      <c r="I110" s="394">
        <v>1</v>
      </c>
      <c r="J110" s="394">
        <v>0</v>
      </c>
      <c r="K110" s="121">
        <v>1</v>
      </c>
      <c r="L110" s="394">
        <v>1</v>
      </c>
      <c r="M110" s="394">
        <v>0</v>
      </c>
      <c r="N110" s="395">
        <v>1</v>
      </c>
      <c r="O110" s="121">
        <v>0</v>
      </c>
      <c r="P110" s="394">
        <v>1</v>
      </c>
      <c r="Q110" s="395">
        <v>0</v>
      </c>
      <c r="R110" s="394">
        <v>1</v>
      </c>
    </row>
    <row r="111" spans="1:18" ht="16.5" thickBot="1">
      <c r="A111" s="127" t="s">
        <v>67</v>
      </c>
      <c r="B111" s="396">
        <v>1</v>
      </c>
      <c r="C111" s="397">
        <v>1</v>
      </c>
      <c r="D111" s="397">
        <v>1</v>
      </c>
      <c r="E111" s="398">
        <v>1</v>
      </c>
      <c r="F111" s="397">
        <v>1</v>
      </c>
      <c r="G111" s="397">
        <v>1</v>
      </c>
      <c r="H111" s="397">
        <v>1</v>
      </c>
      <c r="I111" s="397">
        <v>1</v>
      </c>
      <c r="J111" s="397">
        <v>1</v>
      </c>
      <c r="K111" s="396">
        <v>1</v>
      </c>
      <c r="L111" s="397">
        <v>1</v>
      </c>
      <c r="M111" s="397">
        <v>1</v>
      </c>
      <c r="N111" s="398">
        <v>1</v>
      </c>
      <c r="O111" s="396">
        <v>1</v>
      </c>
      <c r="P111" s="397">
        <v>1</v>
      </c>
      <c r="Q111" s="398">
        <v>0</v>
      </c>
      <c r="R111" s="397">
        <v>1</v>
      </c>
    </row>
    <row r="112" spans="1:18" ht="16.5" thickBot="1">
      <c r="A112" s="127" t="s">
        <v>372</v>
      </c>
      <c r="B112" s="399">
        <v>2</v>
      </c>
      <c r="C112" s="400">
        <v>2</v>
      </c>
      <c r="D112" s="400">
        <v>2</v>
      </c>
      <c r="E112" s="401">
        <v>1</v>
      </c>
      <c r="F112" s="400">
        <v>2</v>
      </c>
      <c r="G112" s="400">
        <v>2</v>
      </c>
      <c r="H112" s="400">
        <v>2</v>
      </c>
      <c r="I112" s="400">
        <v>2</v>
      </c>
      <c r="J112" s="400">
        <v>1</v>
      </c>
      <c r="K112" s="399">
        <v>2</v>
      </c>
      <c r="L112" s="400">
        <v>2</v>
      </c>
      <c r="M112" s="400">
        <v>1</v>
      </c>
      <c r="N112" s="401">
        <v>2</v>
      </c>
      <c r="O112" s="399">
        <v>1</v>
      </c>
      <c r="P112" s="400">
        <v>2</v>
      </c>
      <c r="Q112" s="401">
        <v>0</v>
      </c>
      <c r="R112" s="400">
        <v>2</v>
      </c>
    </row>
    <row r="113" spans="1:18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</row>
    <row r="114" spans="1:18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</row>
    <row r="115" spans="1:18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</row>
    <row r="116" spans="1:18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</row>
    <row r="117" spans="1:18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</row>
    <row r="118" spans="1:18" ht="16.5" thickBo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</row>
    <row r="119" spans="1:18" ht="16.5" thickBo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</row>
    <row r="120" spans="1:18">
      <c r="A120" s="141"/>
    </row>
    <row r="121" spans="1:18" ht="16.5" thickBot="1">
      <c r="A121" s="141"/>
    </row>
    <row r="122" spans="1:18">
      <c r="A122" s="143" t="str">
        <f>'Open Cells'!A473</f>
        <v>Validity WISC-6/KTEA-3 – Paper Form A</v>
      </c>
      <c r="B122" s="144"/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</row>
    <row r="123" spans="1:18" ht="16.5" thickBot="1">
      <c r="A123" s="145"/>
      <c r="B123" s="142"/>
      <c r="C123" s="142"/>
      <c r="D123" s="142"/>
      <c r="E123" s="142"/>
      <c r="F123" s="142"/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</row>
    <row r="124" spans="1:18" ht="16.5" thickBot="1">
      <c r="A124" s="121" t="s">
        <v>370</v>
      </c>
      <c r="B124" s="122" t="s">
        <v>287</v>
      </c>
      <c r="C124" s="128"/>
      <c r="D124" s="133"/>
      <c r="E124" s="123"/>
      <c r="F124" s="135"/>
      <c r="G124" s="133"/>
      <c r="H124" s="135"/>
      <c r="I124" s="135"/>
      <c r="J124" s="135"/>
      <c r="K124" s="136"/>
      <c r="L124" s="135"/>
      <c r="M124" s="133"/>
      <c r="N124" s="135"/>
      <c r="O124" s="135"/>
      <c r="P124" s="136"/>
      <c r="Q124" s="135"/>
      <c r="R124" s="122"/>
    </row>
    <row r="125" spans="1:18" ht="32.25" thickBot="1">
      <c r="A125" s="122"/>
      <c r="B125" s="574" t="s">
        <v>28</v>
      </c>
      <c r="C125" s="575"/>
      <c r="D125" s="575"/>
      <c r="E125" s="577"/>
      <c r="F125" s="574" t="s">
        <v>21</v>
      </c>
      <c r="G125" s="575"/>
      <c r="H125" s="575"/>
      <c r="I125" s="575"/>
      <c r="J125" s="576"/>
      <c r="K125" s="574" t="s">
        <v>32</v>
      </c>
      <c r="L125" s="575"/>
      <c r="M125" s="575"/>
      <c r="N125" s="576"/>
      <c r="O125" s="574" t="s">
        <v>25</v>
      </c>
      <c r="P125" s="575"/>
      <c r="Q125" s="576"/>
      <c r="R125" s="124" t="s">
        <v>373</v>
      </c>
    </row>
    <row r="126" spans="1:18" ht="16.5" thickBot="1">
      <c r="A126" s="133" t="s">
        <v>371</v>
      </c>
      <c r="B126" s="134" t="s">
        <v>29</v>
      </c>
      <c r="C126" s="124" t="s">
        <v>56</v>
      </c>
      <c r="D126" s="124" t="s">
        <v>50</v>
      </c>
      <c r="E126" s="124" t="s">
        <v>38</v>
      </c>
      <c r="F126" s="134" t="s">
        <v>24</v>
      </c>
      <c r="G126" s="402" t="s">
        <v>22</v>
      </c>
      <c r="H126" s="402" t="s">
        <v>36</v>
      </c>
      <c r="I126" s="402" t="s">
        <v>31</v>
      </c>
      <c r="J126" s="402" t="s">
        <v>39</v>
      </c>
      <c r="K126" s="134" t="s">
        <v>59</v>
      </c>
      <c r="L126" s="124" t="s">
        <v>47</v>
      </c>
      <c r="M126" s="124" t="s">
        <v>33</v>
      </c>
      <c r="N126" s="125" t="s">
        <v>60</v>
      </c>
      <c r="O126" s="134" t="s">
        <v>45</v>
      </c>
      <c r="P126" s="124" t="s">
        <v>34</v>
      </c>
      <c r="Q126" s="125" t="s">
        <v>26</v>
      </c>
      <c r="R126" s="402" t="s">
        <v>58</v>
      </c>
    </row>
    <row r="127" spans="1:18" ht="16.5" thickBot="1">
      <c r="A127" s="175" t="s">
        <v>66</v>
      </c>
      <c r="B127" s="121">
        <v>0</v>
      </c>
      <c r="C127" s="394">
        <v>1</v>
      </c>
      <c r="D127" s="394">
        <v>1</v>
      </c>
      <c r="E127" s="395">
        <v>1</v>
      </c>
      <c r="F127" s="394">
        <v>0</v>
      </c>
      <c r="G127" s="394">
        <v>1</v>
      </c>
      <c r="H127" s="394">
        <v>1</v>
      </c>
      <c r="I127" s="394">
        <v>1</v>
      </c>
      <c r="J127" s="394">
        <v>1</v>
      </c>
      <c r="K127" s="121">
        <v>1</v>
      </c>
      <c r="L127" s="394">
        <v>1</v>
      </c>
      <c r="M127" s="394">
        <v>0</v>
      </c>
      <c r="N127" s="395">
        <v>1</v>
      </c>
      <c r="O127" s="121">
        <v>1</v>
      </c>
      <c r="P127" s="394">
        <v>0</v>
      </c>
      <c r="Q127" s="395">
        <v>0</v>
      </c>
      <c r="R127" s="394">
        <v>1</v>
      </c>
    </row>
    <row r="128" spans="1:18" ht="16.5" thickBot="1">
      <c r="A128" s="127" t="s">
        <v>372</v>
      </c>
      <c r="B128" s="399">
        <v>0</v>
      </c>
      <c r="C128" s="400">
        <v>1</v>
      </c>
      <c r="D128" s="400">
        <v>1</v>
      </c>
      <c r="E128" s="401">
        <v>1</v>
      </c>
      <c r="F128" s="400">
        <v>0</v>
      </c>
      <c r="G128" s="400">
        <v>1</v>
      </c>
      <c r="H128" s="400">
        <v>1</v>
      </c>
      <c r="I128" s="400">
        <v>1</v>
      </c>
      <c r="J128" s="400">
        <v>1</v>
      </c>
      <c r="K128" s="399">
        <v>1</v>
      </c>
      <c r="L128" s="400">
        <v>1</v>
      </c>
      <c r="M128" s="400">
        <v>0</v>
      </c>
      <c r="N128" s="401">
        <v>1</v>
      </c>
      <c r="O128" s="399">
        <v>1</v>
      </c>
      <c r="P128" s="400">
        <v>0</v>
      </c>
      <c r="Q128" s="401">
        <v>0</v>
      </c>
      <c r="R128" s="400">
        <v>1</v>
      </c>
    </row>
    <row r="129" spans="1:18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</row>
    <row r="130" spans="1:18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</row>
    <row r="131" spans="1:18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</row>
    <row r="132" spans="1:18" ht="16.5" thickBo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</row>
    <row r="133" spans="1:18" ht="16.5" thickBo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</row>
    <row r="136" spans="1:18" ht="21">
      <c r="A136" s="118" t="e">
        <f>'Open Cells'!A510</f>
        <v>#REF!</v>
      </c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</row>
    <row r="137" spans="1:18" ht="16.5" thickBot="1"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</row>
    <row r="138" spans="1:18" ht="16.5" thickBot="1">
      <c r="A138" s="121" t="s">
        <v>370</v>
      </c>
      <c r="B138" s="122" t="s">
        <v>287</v>
      </c>
      <c r="C138" s="128"/>
      <c r="D138" s="133"/>
      <c r="E138" s="123"/>
      <c r="F138" s="135"/>
      <c r="G138" s="133"/>
      <c r="H138" s="135"/>
      <c r="I138" s="135"/>
      <c r="J138" s="135"/>
      <c r="K138" s="136"/>
      <c r="L138" s="135"/>
      <c r="M138" s="133"/>
      <c r="N138" s="135"/>
      <c r="O138" s="135"/>
      <c r="P138" s="136"/>
      <c r="Q138" s="135"/>
      <c r="R138" s="122"/>
    </row>
    <row r="139" spans="1:18" ht="32.25" thickBot="1">
      <c r="A139" s="122"/>
      <c r="B139" s="574" t="s">
        <v>28</v>
      </c>
      <c r="C139" s="575"/>
      <c r="D139" s="575"/>
      <c r="E139" s="577"/>
      <c r="F139" s="574" t="s">
        <v>21</v>
      </c>
      <c r="G139" s="575"/>
      <c r="H139" s="575"/>
      <c r="I139" s="575"/>
      <c r="J139" s="576"/>
      <c r="K139" s="574" t="s">
        <v>32</v>
      </c>
      <c r="L139" s="575"/>
      <c r="M139" s="575"/>
      <c r="N139" s="576"/>
      <c r="O139" s="574" t="s">
        <v>25</v>
      </c>
      <c r="P139" s="575"/>
      <c r="Q139" s="576"/>
      <c r="R139" s="124" t="s">
        <v>373</v>
      </c>
    </row>
    <row r="140" spans="1:18" ht="16.5" thickBot="1">
      <c r="A140" s="133" t="s">
        <v>371</v>
      </c>
      <c r="B140" s="134" t="s">
        <v>29</v>
      </c>
      <c r="C140" s="124" t="s">
        <v>56</v>
      </c>
      <c r="D140" s="124" t="s">
        <v>50</v>
      </c>
      <c r="E140" s="124" t="s">
        <v>38</v>
      </c>
      <c r="F140" s="134" t="s">
        <v>24</v>
      </c>
      <c r="G140" s="402" t="s">
        <v>22</v>
      </c>
      <c r="H140" s="402" t="s">
        <v>36</v>
      </c>
      <c r="I140" s="402" t="s">
        <v>31</v>
      </c>
      <c r="J140" s="402" t="s">
        <v>39</v>
      </c>
      <c r="K140" s="134" t="s">
        <v>59</v>
      </c>
      <c r="L140" s="124" t="s">
        <v>47</v>
      </c>
      <c r="M140" s="124" t="s">
        <v>33</v>
      </c>
      <c r="N140" s="125" t="s">
        <v>60</v>
      </c>
      <c r="O140" s="134" t="s">
        <v>45</v>
      </c>
      <c r="P140" s="124" t="s">
        <v>34</v>
      </c>
      <c r="Q140" s="125" t="s">
        <v>26</v>
      </c>
      <c r="R140" s="402" t="s">
        <v>58</v>
      </c>
    </row>
    <row r="141" spans="1:18" ht="16.5" thickBot="1">
      <c r="A141" s="175" t="s">
        <v>67</v>
      </c>
      <c r="B141" s="121">
        <v>1</v>
      </c>
      <c r="C141" s="394">
        <v>1</v>
      </c>
      <c r="D141" s="394">
        <v>1</v>
      </c>
      <c r="E141" s="395">
        <v>1</v>
      </c>
      <c r="F141" s="394">
        <v>1</v>
      </c>
      <c r="G141" s="394">
        <v>1</v>
      </c>
      <c r="H141" s="394">
        <v>1</v>
      </c>
      <c r="I141" s="394">
        <v>1</v>
      </c>
      <c r="J141" s="394">
        <v>1</v>
      </c>
      <c r="K141" s="121">
        <v>1</v>
      </c>
      <c r="L141" s="394">
        <v>1</v>
      </c>
      <c r="M141" s="394">
        <v>1</v>
      </c>
      <c r="N141" s="395">
        <v>1</v>
      </c>
      <c r="O141" s="121">
        <v>1</v>
      </c>
      <c r="P141" s="394">
        <v>1</v>
      </c>
      <c r="Q141" s="395">
        <v>0</v>
      </c>
      <c r="R141" s="394">
        <v>1</v>
      </c>
    </row>
    <row r="142" spans="1:18" ht="16.5" thickBot="1">
      <c r="A142" s="127" t="s">
        <v>372</v>
      </c>
      <c r="B142" s="399">
        <v>1</v>
      </c>
      <c r="C142" s="400">
        <v>1</v>
      </c>
      <c r="D142" s="400">
        <v>1</v>
      </c>
      <c r="E142" s="401">
        <v>1</v>
      </c>
      <c r="F142" s="400">
        <v>1</v>
      </c>
      <c r="G142" s="400">
        <v>1</v>
      </c>
      <c r="H142" s="400">
        <v>1</v>
      </c>
      <c r="I142" s="400">
        <v>1</v>
      </c>
      <c r="J142" s="400">
        <v>1</v>
      </c>
      <c r="K142" s="399">
        <v>1</v>
      </c>
      <c r="L142" s="400">
        <v>1</v>
      </c>
      <c r="M142" s="400">
        <v>1</v>
      </c>
      <c r="N142" s="401">
        <v>1</v>
      </c>
      <c r="O142" s="399">
        <v>1</v>
      </c>
      <c r="P142" s="400">
        <v>1</v>
      </c>
      <c r="Q142" s="401">
        <v>0</v>
      </c>
      <c r="R142" s="400">
        <v>1</v>
      </c>
    </row>
    <row r="143" spans="1:18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</row>
    <row r="144" spans="1:18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</row>
    <row r="145" spans="1:18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</row>
    <row r="146" spans="1:18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</row>
    <row r="147" spans="1:18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</row>
    <row r="148" spans="1:18" ht="16.5" thickBo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</row>
    <row r="149" spans="1:18" ht="16.5" thickBot="1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</row>
    <row r="152" spans="1:18" ht="21">
      <c r="A152" s="118">
        <f>'Open Cells'!A547</f>
        <v>0</v>
      </c>
      <c r="B152" s="130"/>
      <c r="C152" s="130"/>
      <c r="D152" s="130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</row>
    <row r="153" spans="1:18" ht="16.5" thickBot="1"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</row>
    <row r="154" spans="1:18" ht="16.5" thickBot="1">
      <c r="A154" s="121" t="s">
        <v>370</v>
      </c>
      <c r="B154" s="122" t="s">
        <v>287</v>
      </c>
      <c r="C154" s="128"/>
      <c r="D154" s="133"/>
      <c r="E154" s="123"/>
      <c r="F154" s="135"/>
      <c r="G154" s="133"/>
      <c r="H154" s="135"/>
      <c r="I154" s="135"/>
      <c r="J154" s="135"/>
      <c r="K154" s="136"/>
      <c r="L154" s="135"/>
      <c r="M154" s="133"/>
      <c r="N154" s="135"/>
      <c r="O154" s="135"/>
      <c r="P154" s="136"/>
      <c r="Q154" s="135"/>
      <c r="R154" s="122"/>
    </row>
    <row r="155" spans="1:18" ht="32.25" thickBot="1">
      <c r="A155" s="122"/>
      <c r="B155" s="574" t="s">
        <v>28</v>
      </c>
      <c r="C155" s="575"/>
      <c r="D155" s="575"/>
      <c r="E155" s="577"/>
      <c r="F155" s="574" t="s">
        <v>21</v>
      </c>
      <c r="G155" s="575"/>
      <c r="H155" s="575"/>
      <c r="I155" s="575"/>
      <c r="J155" s="576"/>
      <c r="K155" s="574" t="s">
        <v>32</v>
      </c>
      <c r="L155" s="575"/>
      <c r="M155" s="575"/>
      <c r="N155" s="576"/>
      <c r="O155" s="574" t="s">
        <v>25</v>
      </c>
      <c r="P155" s="575"/>
      <c r="Q155" s="576"/>
      <c r="R155" s="124" t="s">
        <v>373</v>
      </c>
    </row>
    <row r="156" spans="1:18" ht="16.5" thickBot="1">
      <c r="A156" s="133" t="s">
        <v>371</v>
      </c>
      <c r="B156" s="134" t="s">
        <v>29</v>
      </c>
      <c r="C156" s="124" t="s">
        <v>56</v>
      </c>
      <c r="D156" s="124" t="s">
        <v>50</v>
      </c>
      <c r="E156" s="124" t="s">
        <v>38</v>
      </c>
      <c r="F156" s="134" t="s">
        <v>24</v>
      </c>
      <c r="G156" s="402" t="s">
        <v>22</v>
      </c>
      <c r="H156" s="402" t="s">
        <v>36</v>
      </c>
      <c r="I156" s="402" t="s">
        <v>31</v>
      </c>
      <c r="J156" s="402" t="s">
        <v>39</v>
      </c>
      <c r="K156" s="134" t="s">
        <v>59</v>
      </c>
      <c r="L156" s="124" t="s">
        <v>47</v>
      </c>
      <c r="M156" s="124" t="s">
        <v>33</v>
      </c>
      <c r="N156" s="125" t="s">
        <v>60</v>
      </c>
      <c r="O156" s="134" t="s">
        <v>45</v>
      </c>
      <c r="P156" s="124" t="s">
        <v>34</v>
      </c>
      <c r="Q156" s="125" t="s">
        <v>26</v>
      </c>
      <c r="R156" s="402" t="s">
        <v>58</v>
      </c>
    </row>
    <row r="157" spans="1:18" ht="16.5" thickBot="1">
      <c r="A157" s="175" t="s">
        <v>66</v>
      </c>
      <c r="B157" s="121">
        <v>0</v>
      </c>
      <c r="C157" s="394">
        <v>1</v>
      </c>
      <c r="D157" s="394">
        <v>1</v>
      </c>
      <c r="E157" s="395">
        <v>1</v>
      </c>
      <c r="F157" s="394">
        <v>0</v>
      </c>
      <c r="G157" s="394">
        <v>1</v>
      </c>
      <c r="H157" s="394">
        <v>1</v>
      </c>
      <c r="I157" s="394">
        <v>1</v>
      </c>
      <c r="J157" s="394">
        <v>1</v>
      </c>
      <c r="K157" s="121">
        <v>1</v>
      </c>
      <c r="L157" s="394">
        <v>1</v>
      </c>
      <c r="M157" s="394">
        <v>0</v>
      </c>
      <c r="N157" s="395">
        <v>1</v>
      </c>
      <c r="O157" s="121">
        <v>1</v>
      </c>
      <c r="P157" s="394">
        <v>0</v>
      </c>
      <c r="Q157" s="395">
        <v>0</v>
      </c>
      <c r="R157" s="394">
        <v>1</v>
      </c>
    </row>
    <row r="158" spans="1:18" ht="16.5" thickBot="1">
      <c r="A158" s="127" t="s">
        <v>372</v>
      </c>
      <c r="B158" s="399">
        <v>0</v>
      </c>
      <c r="C158" s="400">
        <v>1</v>
      </c>
      <c r="D158" s="400">
        <v>1</v>
      </c>
      <c r="E158" s="401">
        <v>1</v>
      </c>
      <c r="F158" s="400">
        <v>0</v>
      </c>
      <c r="G158" s="400">
        <v>1</v>
      </c>
      <c r="H158" s="400">
        <v>1</v>
      </c>
      <c r="I158" s="400">
        <v>1</v>
      </c>
      <c r="J158" s="400">
        <v>1</v>
      </c>
      <c r="K158" s="399">
        <v>1</v>
      </c>
      <c r="L158" s="400">
        <v>1</v>
      </c>
      <c r="M158" s="400">
        <v>0</v>
      </c>
      <c r="N158" s="401">
        <v>1</v>
      </c>
      <c r="O158" s="399">
        <v>1</v>
      </c>
      <c r="P158" s="400">
        <v>0</v>
      </c>
      <c r="Q158" s="401">
        <v>0</v>
      </c>
      <c r="R158" s="400">
        <v>1</v>
      </c>
    </row>
    <row r="159" spans="1:18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</row>
    <row r="160" spans="1:18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</row>
    <row r="161" spans="1:18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</row>
    <row r="162" spans="1:18" ht="16.5" thickBot="1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</row>
    <row r="163" spans="1:18" ht="16.5" thickBo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</row>
    <row r="166" spans="1:18" ht="21">
      <c r="A166" s="118">
        <f>'Open Cells'!A584</f>
        <v>0</v>
      </c>
      <c r="B166" s="130"/>
      <c r="C166" s="130"/>
      <c r="D166" s="130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</row>
    <row r="167" spans="1:18" ht="16.5" thickBot="1"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</row>
    <row r="168" spans="1:18" ht="16.5" thickBot="1">
      <c r="A168" s="121" t="s">
        <v>370</v>
      </c>
      <c r="B168" s="122" t="s">
        <v>287</v>
      </c>
      <c r="C168" s="128"/>
      <c r="D168" s="133"/>
      <c r="E168" s="123"/>
      <c r="F168" s="135"/>
      <c r="G168" s="133"/>
      <c r="H168" s="135"/>
      <c r="I168" s="135"/>
      <c r="J168" s="135"/>
      <c r="K168" s="136"/>
      <c r="L168" s="135"/>
      <c r="M168" s="133"/>
      <c r="N168" s="135"/>
      <c r="O168" s="135"/>
      <c r="P168" s="136"/>
      <c r="Q168" s="135"/>
      <c r="R168" s="122"/>
    </row>
    <row r="169" spans="1:18" ht="32.25" thickBot="1">
      <c r="A169" s="122"/>
      <c r="B169" s="574" t="s">
        <v>28</v>
      </c>
      <c r="C169" s="575"/>
      <c r="D169" s="575"/>
      <c r="E169" s="577"/>
      <c r="F169" s="574" t="s">
        <v>21</v>
      </c>
      <c r="G169" s="575"/>
      <c r="H169" s="575"/>
      <c r="I169" s="575"/>
      <c r="J169" s="576"/>
      <c r="K169" s="574" t="s">
        <v>32</v>
      </c>
      <c r="L169" s="575"/>
      <c r="M169" s="575"/>
      <c r="N169" s="576"/>
      <c r="O169" s="574" t="s">
        <v>25</v>
      </c>
      <c r="P169" s="575"/>
      <c r="Q169" s="576"/>
      <c r="R169" s="124" t="s">
        <v>373</v>
      </c>
    </row>
    <row r="170" spans="1:18" ht="16.5" thickBot="1">
      <c r="A170" s="133" t="s">
        <v>371</v>
      </c>
      <c r="B170" s="134" t="s">
        <v>29</v>
      </c>
      <c r="C170" s="124" t="s">
        <v>56</v>
      </c>
      <c r="D170" s="124" t="s">
        <v>50</v>
      </c>
      <c r="E170" s="124" t="s">
        <v>38</v>
      </c>
      <c r="F170" s="134" t="s">
        <v>24</v>
      </c>
      <c r="G170" s="402" t="s">
        <v>22</v>
      </c>
      <c r="H170" s="402" t="s">
        <v>36</v>
      </c>
      <c r="I170" s="402" t="s">
        <v>31</v>
      </c>
      <c r="J170" s="402" t="s">
        <v>39</v>
      </c>
      <c r="K170" s="134" t="s">
        <v>59</v>
      </c>
      <c r="L170" s="124" t="s">
        <v>47</v>
      </c>
      <c r="M170" s="124" t="s">
        <v>33</v>
      </c>
      <c r="N170" s="125" t="s">
        <v>60</v>
      </c>
      <c r="O170" s="134" t="s">
        <v>45</v>
      </c>
      <c r="P170" s="124" t="s">
        <v>34</v>
      </c>
      <c r="Q170" s="125" t="s">
        <v>26</v>
      </c>
      <c r="R170" s="402" t="s">
        <v>58</v>
      </c>
    </row>
    <row r="171" spans="1:18" ht="16.5" thickBot="1">
      <c r="A171" s="175" t="s">
        <v>62</v>
      </c>
      <c r="B171" s="121">
        <v>0</v>
      </c>
      <c r="C171" s="394">
        <v>1</v>
      </c>
      <c r="D171" s="394">
        <v>1</v>
      </c>
      <c r="E171" s="395">
        <v>1</v>
      </c>
      <c r="F171" s="394">
        <v>1</v>
      </c>
      <c r="G171" s="394">
        <v>1</v>
      </c>
      <c r="H171" s="394">
        <v>1</v>
      </c>
      <c r="I171" s="394">
        <v>0</v>
      </c>
      <c r="J171" s="394">
        <v>1</v>
      </c>
      <c r="K171" s="121">
        <v>1</v>
      </c>
      <c r="L171" s="394">
        <v>1</v>
      </c>
      <c r="M171" s="394">
        <v>0</v>
      </c>
      <c r="N171" s="395">
        <v>0</v>
      </c>
      <c r="O171" s="121">
        <v>0</v>
      </c>
      <c r="P171" s="394">
        <v>0</v>
      </c>
      <c r="Q171" s="395">
        <v>0</v>
      </c>
      <c r="R171" s="394">
        <v>1</v>
      </c>
    </row>
    <row r="172" spans="1:18" ht="16.5" thickBot="1">
      <c r="A172" s="127" t="s">
        <v>372</v>
      </c>
      <c r="B172" s="399">
        <v>0</v>
      </c>
      <c r="C172" s="400">
        <v>1</v>
      </c>
      <c r="D172" s="400">
        <v>1</v>
      </c>
      <c r="E172" s="401">
        <v>1</v>
      </c>
      <c r="F172" s="400">
        <v>1</v>
      </c>
      <c r="G172" s="400">
        <v>1</v>
      </c>
      <c r="H172" s="400">
        <v>1</v>
      </c>
      <c r="I172" s="400">
        <v>0</v>
      </c>
      <c r="J172" s="400">
        <v>1</v>
      </c>
      <c r="K172" s="399">
        <v>1</v>
      </c>
      <c r="L172" s="400">
        <v>1</v>
      </c>
      <c r="M172" s="400">
        <v>0</v>
      </c>
      <c r="N172" s="401">
        <v>0</v>
      </c>
      <c r="O172" s="399">
        <v>0</v>
      </c>
      <c r="P172" s="400">
        <v>0</v>
      </c>
      <c r="Q172" s="401">
        <v>0</v>
      </c>
      <c r="R172" s="400">
        <v>1</v>
      </c>
    </row>
    <row r="173" spans="1:18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</row>
    <row r="174" spans="1:18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</row>
    <row r="175" spans="1:18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</row>
    <row r="176" spans="1:18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</row>
    <row r="177" spans="1:18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</row>
    <row r="178" spans="1:18" ht="16.5" thickBo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</row>
    <row r="179" spans="1:18" ht="16.5" thickBo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</row>
    <row r="180" spans="1:18">
      <c r="A180" s="11"/>
      <c r="R180" s="1"/>
    </row>
    <row r="181" spans="1:18">
      <c r="R181" s="1"/>
    </row>
    <row r="182" spans="1:18">
      <c r="A182" s="11">
        <f>'Open Cells'!A621</f>
        <v>0</v>
      </c>
      <c r="B182" s="11"/>
      <c r="R182" s="1"/>
    </row>
    <row r="183" spans="1:18" ht="16.5" thickBot="1"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</row>
    <row r="184" spans="1:18" ht="16.5" thickBot="1">
      <c r="A184" s="121" t="s">
        <v>370</v>
      </c>
      <c r="B184" s="122" t="s">
        <v>287</v>
      </c>
      <c r="C184" s="128"/>
      <c r="D184" s="133"/>
      <c r="E184" s="123"/>
      <c r="F184" s="135"/>
      <c r="G184" s="133"/>
      <c r="H184" s="135"/>
      <c r="I184" s="135"/>
      <c r="J184" s="135"/>
      <c r="K184" s="136"/>
      <c r="L184" s="135"/>
      <c r="M184" s="133"/>
      <c r="N184" s="135"/>
      <c r="O184" s="136"/>
      <c r="P184"/>
      <c r="Q184"/>
    </row>
    <row r="185" spans="1:18" ht="48" thickBot="1">
      <c r="A185" s="122"/>
      <c r="B185" s="578" t="s">
        <v>28</v>
      </c>
      <c r="C185" s="574" t="s">
        <v>21</v>
      </c>
      <c r="D185" s="575"/>
      <c r="E185" s="575"/>
      <c r="F185" s="575"/>
      <c r="G185" s="576"/>
      <c r="H185" s="574" t="s">
        <v>32</v>
      </c>
      <c r="I185" s="575"/>
      <c r="J185" s="575"/>
      <c r="K185" s="576"/>
      <c r="L185" s="574" t="s">
        <v>25</v>
      </c>
      <c r="M185" s="575"/>
      <c r="N185" s="576"/>
      <c r="O185" s="124" t="s">
        <v>373</v>
      </c>
      <c r="P185"/>
      <c r="Q185"/>
    </row>
    <row r="186" spans="1:18" ht="48" thickBot="1">
      <c r="A186" s="133" t="s">
        <v>371</v>
      </c>
      <c r="B186" s="579"/>
      <c r="C186" s="134" t="s">
        <v>24</v>
      </c>
      <c r="D186" s="402" t="s">
        <v>22</v>
      </c>
      <c r="E186" s="402" t="s">
        <v>36</v>
      </c>
      <c r="F186" s="402" t="s">
        <v>31</v>
      </c>
      <c r="G186" s="402" t="s">
        <v>39</v>
      </c>
      <c r="H186" s="134" t="s">
        <v>59</v>
      </c>
      <c r="I186" s="124" t="s">
        <v>47</v>
      </c>
      <c r="J186" s="124" t="s">
        <v>33</v>
      </c>
      <c r="K186" s="125" t="s">
        <v>60</v>
      </c>
      <c r="L186" s="134" t="s">
        <v>45</v>
      </c>
      <c r="M186" s="124" t="s">
        <v>34</v>
      </c>
      <c r="N186" s="125" t="s">
        <v>26</v>
      </c>
      <c r="O186" s="402" t="s">
        <v>58</v>
      </c>
      <c r="P186"/>
      <c r="Q186"/>
    </row>
    <row r="187" spans="1:18">
      <c r="A187" s="129" t="s">
        <v>55</v>
      </c>
      <c r="B187" s="121">
        <v>4</v>
      </c>
      <c r="C187" s="394">
        <v>1</v>
      </c>
      <c r="D187" s="394">
        <v>1</v>
      </c>
      <c r="E187" s="394">
        <v>1</v>
      </c>
      <c r="F187" s="394">
        <v>1</v>
      </c>
      <c r="G187" s="394">
        <v>1</v>
      </c>
      <c r="H187" s="121">
        <v>1</v>
      </c>
      <c r="I187" s="394">
        <v>1</v>
      </c>
      <c r="J187" s="394">
        <v>1</v>
      </c>
      <c r="K187" s="395">
        <v>1</v>
      </c>
      <c r="L187" s="121">
        <v>1</v>
      </c>
      <c r="M187" s="394">
        <v>1</v>
      </c>
      <c r="N187" s="395">
        <v>0</v>
      </c>
      <c r="O187" s="394">
        <v>1</v>
      </c>
      <c r="P187"/>
      <c r="Q187"/>
    </row>
    <row r="188" spans="1:18" ht="16.5" thickBot="1">
      <c r="A188" s="127" t="s">
        <v>67</v>
      </c>
      <c r="B188" s="396">
        <v>3</v>
      </c>
      <c r="C188" s="397">
        <v>1</v>
      </c>
      <c r="D188" s="397">
        <v>1</v>
      </c>
      <c r="E188" s="397">
        <v>1</v>
      </c>
      <c r="F188" s="397">
        <v>0</v>
      </c>
      <c r="G188" s="397">
        <v>1</v>
      </c>
      <c r="H188" s="396">
        <v>1</v>
      </c>
      <c r="I188" s="397">
        <v>1</v>
      </c>
      <c r="J188" s="397">
        <v>0</v>
      </c>
      <c r="K188" s="398">
        <v>1</v>
      </c>
      <c r="L188" s="396">
        <v>1</v>
      </c>
      <c r="M188" s="397">
        <v>0</v>
      </c>
      <c r="N188" s="398">
        <v>0</v>
      </c>
      <c r="O188" s="397">
        <v>1</v>
      </c>
      <c r="P188"/>
      <c r="Q188"/>
    </row>
    <row r="189" spans="1:18" ht="16.5" thickBot="1">
      <c r="A189" s="127" t="s">
        <v>372</v>
      </c>
      <c r="B189" s="399">
        <v>7</v>
      </c>
      <c r="C189" s="400">
        <v>2</v>
      </c>
      <c r="D189" s="400">
        <v>2</v>
      </c>
      <c r="E189" s="400">
        <v>2</v>
      </c>
      <c r="F189" s="400">
        <v>1</v>
      </c>
      <c r="G189" s="400">
        <v>2</v>
      </c>
      <c r="H189" s="399">
        <v>2</v>
      </c>
      <c r="I189" s="400">
        <v>2</v>
      </c>
      <c r="J189" s="400">
        <v>1</v>
      </c>
      <c r="K189" s="401">
        <v>2</v>
      </c>
      <c r="L189" s="399">
        <v>2</v>
      </c>
      <c r="M189" s="400">
        <v>1</v>
      </c>
      <c r="N189" s="401">
        <v>0</v>
      </c>
      <c r="O189" s="400">
        <v>2</v>
      </c>
      <c r="P189"/>
      <c r="Q189"/>
    </row>
    <row r="190" spans="1:18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</row>
    <row r="191" spans="1:18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</row>
    <row r="192" spans="1:18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</row>
    <row r="193" spans="1:18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8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8" ht="16.5" thickBo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8" ht="16.5" thickBot="1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9" spans="1:18" ht="21">
      <c r="A199" s="118">
        <f>'Open Cells'!A675</f>
        <v>0</v>
      </c>
      <c r="B199" s="130"/>
      <c r="C199" s="130"/>
      <c r="D199" s="130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</row>
    <row r="200" spans="1:18" ht="16.5" thickBot="1"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</row>
    <row r="201" spans="1:18" ht="16.5" thickBot="1">
      <c r="A201" s="121" t="s">
        <v>370</v>
      </c>
      <c r="B201" s="122" t="s">
        <v>287</v>
      </c>
      <c r="C201" s="128"/>
      <c r="D201" s="133"/>
      <c r="E201" s="123"/>
      <c r="F201" s="135"/>
      <c r="G201" s="133"/>
      <c r="H201" s="135"/>
      <c r="I201" s="135"/>
      <c r="J201" s="135"/>
      <c r="K201" s="136"/>
      <c r="L201" s="135"/>
      <c r="M201" s="133"/>
      <c r="N201" s="135"/>
      <c r="O201" s="135"/>
      <c r="P201" s="136"/>
      <c r="Q201" s="135"/>
      <c r="R201" s="122"/>
    </row>
    <row r="202" spans="1:18" ht="32.25" thickBot="1">
      <c r="A202" s="122"/>
      <c r="B202" s="574" t="s">
        <v>28</v>
      </c>
      <c r="C202" s="575"/>
      <c r="D202" s="575"/>
      <c r="E202" s="577"/>
      <c r="F202" s="574" t="s">
        <v>21</v>
      </c>
      <c r="G202" s="575"/>
      <c r="H202" s="575"/>
      <c r="I202" s="575"/>
      <c r="J202" s="576"/>
      <c r="K202" s="574" t="s">
        <v>32</v>
      </c>
      <c r="L202" s="575"/>
      <c r="M202" s="575"/>
      <c r="N202" s="576"/>
      <c r="O202" s="574" t="s">
        <v>25</v>
      </c>
      <c r="P202" s="575"/>
      <c r="Q202" s="576"/>
      <c r="R202" s="124" t="s">
        <v>373</v>
      </c>
    </row>
    <row r="203" spans="1:18" ht="16.5" thickBot="1">
      <c r="A203" s="133" t="s">
        <v>371</v>
      </c>
      <c r="B203" s="134" t="s">
        <v>29</v>
      </c>
      <c r="C203" s="124" t="s">
        <v>56</v>
      </c>
      <c r="D203" s="124" t="s">
        <v>50</v>
      </c>
      <c r="E203" s="124" t="s">
        <v>38</v>
      </c>
      <c r="F203" s="134" t="s">
        <v>24</v>
      </c>
      <c r="G203" s="402" t="s">
        <v>22</v>
      </c>
      <c r="H203" s="402" t="s">
        <v>36</v>
      </c>
      <c r="I203" s="402" t="s">
        <v>31</v>
      </c>
      <c r="J203" s="402" t="s">
        <v>39</v>
      </c>
      <c r="K203" s="134" t="s">
        <v>59</v>
      </c>
      <c r="L203" s="124" t="s">
        <v>47</v>
      </c>
      <c r="M203" s="124" t="s">
        <v>33</v>
      </c>
      <c r="N203" s="125" t="s">
        <v>60</v>
      </c>
      <c r="O203" s="134" t="s">
        <v>45</v>
      </c>
      <c r="P203" s="124" t="s">
        <v>34</v>
      </c>
      <c r="Q203" s="125" t="s">
        <v>26</v>
      </c>
      <c r="R203" s="402" t="s">
        <v>58</v>
      </c>
    </row>
    <row r="204" spans="1:18">
      <c r="A204" s="129" t="s">
        <v>64</v>
      </c>
      <c r="B204" s="121">
        <v>0</v>
      </c>
      <c r="C204" s="394">
        <v>1</v>
      </c>
      <c r="D204" s="394">
        <v>1</v>
      </c>
      <c r="E204" s="395">
        <v>1</v>
      </c>
      <c r="F204" s="394">
        <v>1</v>
      </c>
      <c r="G204" s="394">
        <v>1</v>
      </c>
      <c r="H204" s="394">
        <v>1</v>
      </c>
      <c r="I204" s="394">
        <v>0</v>
      </c>
      <c r="J204" s="394">
        <v>1</v>
      </c>
      <c r="K204" s="121">
        <v>1</v>
      </c>
      <c r="L204" s="394">
        <v>1</v>
      </c>
      <c r="M204" s="394">
        <v>0</v>
      </c>
      <c r="N204" s="395">
        <v>1</v>
      </c>
      <c r="O204" s="121">
        <v>1</v>
      </c>
      <c r="P204" s="394">
        <v>0</v>
      </c>
      <c r="Q204" s="395">
        <v>0</v>
      </c>
      <c r="R204" s="394">
        <v>1</v>
      </c>
    </row>
    <row r="205" spans="1:18" ht="16.5" thickBot="1">
      <c r="A205" s="127" t="s">
        <v>65</v>
      </c>
      <c r="B205" s="396">
        <v>1</v>
      </c>
      <c r="C205" s="397">
        <v>1</v>
      </c>
      <c r="D205" s="397">
        <v>1</v>
      </c>
      <c r="E205" s="398">
        <v>1</v>
      </c>
      <c r="F205" s="397">
        <v>1</v>
      </c>
      <c r="G205" s="397">
        <v>1</v>
      </c>
      <c r="H205" s="397">
        <v>1</v>
      </c>
      <c r="I205" s="397">
        <v>1</v>
      </c>
      <c r="J205" s="397">
        <v>1</v>
      </c>
      <c r="K205" s="396">
        <v>1</v>
      </c>
      <c r="L205" s="397">
        <v>1</v>
      </c>
      <c r="M205" s="397">
        <v>1</v>
      </c>
      <c r="N205" s="398">
        <v>1</v>
      </c>
      <c r="O205" s="396">
        <v>1</v>
      </c>
      <c r="P205" s="397">
        <v>1</v>
      </c>
      <c r="Q205" s="398">
        <v>0</v>
      </c>
      <c r="R205" s="397">
        <v>1</v>
      </c>
    </row>
    <row r="206" spans="1:18" ht="16.5" thickBot="1">
      <c r="A206" s="127" t="s">
        <v>372</v>
      </c>
      <c r="B206" s="399">
        <v>1</v>
      </c>
      <c r="C206" s="400">
        <v>2</v>
      </c>
      <c r="D206" s="400">
        <v>2</v>
      </c>
      <c r="E206" s="401">
        <v>2</v>
      </c>
      <c r="F206" s="400">
        <v>2</v>
      </c>
      <c r="G206" s="400">
        <v>2</v>
      </c>
      <c r="H206" s="400">
        <v>2</v>
      </c>
      <c r="I206" s="400">
        <v>1</v>
      </c>
      <c r="J206" s="400">
        <v>2</v>
      </c>
      <c r="K206" s="399">
        <v>2</v>
      </c>
      <c r="L206" s="400">
        <v>2</v>
      </c>
      <c r="M206" s="400">
        <v>1</v>
      </c>
      <c r="N206" s="401">
        <v>2</v>
      </c>
      <c r="O206" s="399">
        <v>2</v>
      </c>
      <c r="P206" s="400">
        <v>1</v>
      </c>
      <c r="Q206" s="401">
        <v>0</v>
      </c>
      <c r="R206" s="400">
        <v>2</v>
      </c>
    </row>
    <row r="207" spans="1:18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</row>
    <row r="208" spans="1:18" ht="16.5" thickBo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</row>
    <row r="209" customFormat="1"/>
  </sheetData>
  <mergeCells count="55">
    <mergeCell ref="B139:E139"/>
    <mergeCell ref="F139:J139"/>
    <mergeCell ref="K139:N139"/>
    <mergeCell ref="O139:Q139"/>
    <mergeCell ref="B108:E108"/>
    <mergeCell ref="F108:J108"/>
    <mergeCell ref="K108:N108"/>
    <mergeCell ref="O108:Q108"/>
    <mergeCell ref="B125:E125"/>
    <mergeCell ref="F125:J125"/>
    <mergeCell ref="K125:N125"/>
    <mergeCell ref="O125:Q125"/>
    <mergeCell ref="J8:K8"/>
    <mergeCell ref="B51:E51"/>
    <mergeCell ref="F51:J51"/>
    <mergeCell ref="K51:N51"/>
    <mergeCell ref="O51:Q51"/>
    <mergeCell ref="B38:E38"/>
    <mergeCell ref="F38:J38"/>
    <mergeCell ref="K38:N38"/>
    <mergeCell ref="O38:Q38"/>
    <mergeCell ref="B22:E22"/>
    <mergeCell ref="F22:J22"/>
    <mergeCell ref="K22:L22"/>
    <mergeCell ref="M22:O22"/>
    <mergeCell ref="B8:C8"/>
    <mergeCell ref="D8:H8"/>
    <mergeCell ref="B66:E66"/>
    <mergeCell ref="F66:J66"/>
    <mergeCell ref="K66:N66"/>
    <mergeCell ref="O66:Q66"/>
    <mergeCell ref="B78:E78"/>
    <mergeCell ref="F169:J169"/>
    <mergeCell ref="K169:N169"/>
    <mergeCell ref="O169:Q169"/>
    <mergeCell ref="B155:E155"/>
    <mergeCell ref="F155:J155"/>
    <mergeCell ref="K155:N155"/>
    <mergeCell ref="O155:Q155"/>
    <mergeCell ref="O202:Q202"/>
    <mergeCell ref="F78:J78"/>
    <mergeCell ref="K78:N78"/>
    <mergeCell ref="O78:Q78"/>
    <mergeCell ref="B92:E92"/>
    <mergeCell ref="F92:J92"/>
    <mergeCell ref="K92:N92"/>
    <mergeCell ref="O92:Q92"/>
    <mergeCell ref="B185:B186"/>
    <mergeCell ref="C185:G185"/>
    <mergeCell ref="H185:K185"/>
    <mergeCell ref="L185:N185"/>
    <mergeCell ref="B202:E202"/>
    <mergeCell ref="F202:J202"/>
    <mergeCell ref="K202:N202"/>
    <mergeCell ref="B169:E169"/>
  </mergeCells>
  <conditionalFormatting sqref="A7:Q9 A10:A15">
    <cfRule type="cellIs" dxfId="181" priority="19" operator="notEqual">
      <formula>0</formula>
    </cfRule>
  </conditionalFormatting>
  <conditionalFormatting sqref="A21:Q23 A24:A29">
    <cfRule type="cellIs" dxfId="180" priority="18" operator="notEqual">
      <formula>0</formula>
    </cfRule>
  </conditionalFormatting>
  <conditionalFormatting sqref="A37:Q39 A40:A44">
    <cfRule type="cellIs" dxfId="179" priority="17" operator="notEqual">
      <formula>0</formula>
    </cfRule>
  </conditionalFormatting>
  <conditionalFormatting sqref="A50:Q52 A53:A57">
    <cfRule type="cellIs" dxfId="178" priority="13" operator="notEqual">
      <formula>0</formula>
    </cfRule>
  </conditionalFormatting>
  <conditionalFormatting sqref="A65:Q67 A68:A72">
    <cfRule type="cellIs" dxfId="177" priority="12" operator="notEqual">
      <formula>0</formula>
    </cfRule>
  </conditionalFormatting>
  <conditionalFormatting sqref="A77:Q79 A80:A84">
    <cfRule type="cellIs" dxfId="176" priority="11" operator="notEqual">
      <formula>0</formula>
    </cfRule>
  </conditionalFormatting>
  <conditionalFormatting sqref="A91:Q93 A94:A98">
    <cfRule type="cellIs" dxfId="175" priority="10" operator="notEqual">
      <formula>0</formula>
    </cfRule>
  </conditionalFormatting>
  <conditionalFormatting sqref="A107:Q109 A110:A114">
    <cfRule type="cellIs" dxfId="174" priority="9" operator="notEqual">
      <formula>0</formula>
    </cfRule>
  </conditionalFormatting>
  <conditionalFormatting sqref="A124:Q126 A127:A131">
    <cfRule type="cellIs" dxfId="173" priority="8" operator="notEqual">
      <formula>0</formula>
    </cfRule>
  </conditionalFormatting>
  <conditionalFormatting sqref="A138:Q140 A141:A145">
    <cfRule type="cellIs" dxfId="172" priority="7" operator="notEqual">
      <formula>0</formula>
    </cfRule>
  </conditionalFormatting>
  <conditionalFormatting sqref="A154:Q156 A157:A161">
    <cfRule type="cellIs" dxfId="171" priority="6" operator="notEqual">
      <formula>0</formula>
    </cfRule>
  </conditionalFormatting>
  <conditionalFormatting sqref="A168:Q170 A171:A175">
    <cfRule type="cellIs" dxfId="170" priority="5" operator="notEqual">
      <formula>0</formula>
    </cfRule>
  </conditionalFormatting>
  <conditionalFormatting sqref="A184:Q186 A187:A191">
    <cfRule type="cellIs" dxfId="169" priority="4" operator="notEqual">
      <formula>0</formula>
    </cfRule>
  </conditionalFormatting>
  <conditionalFormatting sqref="A201:Q203 A204:A208">
    <cfRule type="cellIs" dxfId="168" priority="3" operator="notEqual">
      <formula>0</formula>
    </cfRule>
  </conditionalFormatting>
  <pageMargins left="0.7" right="0.7" top="0.75" bottom="0.75" header="0.3" footer="0.3"/>
  <pageSetup paperSize="9" orientation="portrait" r:id="rId1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63B2-C338-4FF7-9571-E2B19BCCB416}">
  <sheetPr codeName="Sheet17">
    <tabColor rgb="FF92D050"/>
  </sheetPr>
  <dimension ref="A1:Y40"/>
  <sheetViews>
    <sheetView zoomScale="70" zoomScaleNormal="100" workbookViewId="0">
      <selection activeCell="E50" sqref="E50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64" width="7.5" style="2" customWidth="1"/>
    <col min="65" max="16323" width="2.5" style="2"/>
    <col min="16324" max="16324" width="1.125" style="2" customWidth="1"/>
    <col min="16325" max="16325" width="2.5" style="2" customWidth="1"/>
    <col min="16326" max="16326" width="3.5" style="2" customWidth="1"/>
    <col min="16327" max="16327" width="1" style="2" customWidth="1"/>
    <col min="16328" max="16328" width="0.625" style="2" customWidth="1"/>
    <col min="16329" max="16329" width="2.125" style="2" customWidth="1"/>
    <col min="16330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>
      <c r="A2" s="499" t="s">
        <v>327</v>
      </c>
      <c r="B2" s="499"/>
      <c r="C2" s="500"/>
      <c r="D2" s="580" t="str">
        <f>_xlfn.CONCAT("Study Name: ","
Validity WISC-6/WAIS-5 - Paper ")</f>
        <v xml:space="preserve">Study Name: 
Validity WISC-6/WAIS-5 - Paper 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25" customFormat="1" ht="30.75" customHeight="1" thickBot="1">
      <c r="A3" s="2"/>
      <c r="B3" s="2"/>
      <c r="C3" s="2"/>
      <c r="D3" s="536" t="str">
        <f>_xlfn.CONCAT("Study Acronym: ","
V_WAIS5_P")</f>
        <v>Study Acronym: 
V_WAIS5_P</v>
      </c>
      <c r="E3" s="512"/>
      <c r="F3" s="583" t="s">
        <v>374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25" customFormat="1" ht="111" customHeight="1" thickBot="1">
      <c r="A6" s="2"/>
      <c r="B6" s="2"/>
      <c r="C6" s="98"/>
      <c r="D6" s="585" t="s">
        <v>375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",aurora_data!V1132)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</row>
    <row r="12" spans="1:25" customFormat="1">
      <c r="A12" s="2"/>
      <c r="B12" s="560" t="s">
        <v>362</v>
      </c>
      <c r="C12" s="453" t="str">
        <f>aurora_data!A1132</f>
        <v>16.00.00-16.11.30</v>
      </c>
      <c r="D12" s="34" t="s">
        <v>306</v>
      </c>
      <c r="E12" s="39">
        <f>IFERROR(aurora_data!D1132,0)</f>
        <v>2.0099999999999998</v>
      </c>
      <c r="F12" s="40">
        <f>IFERROR(aurora_data!E1132,0)</f>
        <v>3.2</v>
      </c>
      <c r="G12" s="40">
        <f>IFERROR(aurora_data!F1132,0)</f>
        <v>10.11</v>
      </c>
      <c r="H12" s="40">
        <f>IFERROR(aurora_data!G1132,0)</f>
        <v>15.78</v>
      </c>
      <c r="I12" s="41">
        <f>IFERROR(aurora_data!H1132,0)</f>
        <v>18.89</v>
      </c>
      <c r="J12" s="39">
        <f>IFERROR(aurora_data!I1132,0)</f>
        <v>1</v>
      </c>
      <c r="K12" s="40">
        <f>IFERROR(aurora_data!J1132,0)</f>
        <v>1</v>
      </c>
      <c r="L12" s="40">
        <f>IFERROR(aurora_data!K1132,0)</f>
        <v>1</v>
      </c>
      <c r="M12" s="40">
        <f>IFERROR(aurora_data!L1132,0)</f>
        <v>1</v>
      </c>
      <c r="N12" s="41">
        <f>IFERROR(aurora_data!M1132,0)</f>
        <v>1</v>
      </c>
      <c r="O12" s="39">
        <f>IFERROR(aurora_data!N1132,0)</f>
        <v>1</v>
      </c>
      <c r="P12" s="40">
        <f>IFERROR(aurora_data!O1132,0)</f>
        <v>1</v>
      </c>
      <c r="Q12" s="40">
        <f>IFERROR(aurora_data!P1132,0)</f>
        <v>1</v>
      </c>
      <c r="R12" s="41">
        <f>IFERROR(aurora_data!Q1132,0)</f>
        <v>1</v>
      </c>
      <c r="S12" s="40">
        <f>IFERROR(aurora_data!R1132,0)</f>
        <v>1</v>
      </c>
      <c r="T12" s="40">
        <f>IFERROR(aurora_data!S1132,0)</f>
        <v>1</v>
      </c>
      <c r="U12" s="74">
        <f>IFERROR(aurora_data!T732,0)</f>
        <v>0</v>
      </c>
      <c r="V12" s="61" t="s">
        <v>354</v>
      </c>
      <c r="W12" s="39">
        <f>IFERROR(aurora_data!U1132,0)</f>
        <v>50</v>
      </c>
      <c r="X12" s="69">
        <f>IFERROR(W12/$W$12,0)</f>
        <v>1</v>
      </c>
      <c r="Y12" s="2"/>
    </row>
    <row r="13" spans="1:25" customFormat="1">
      <c r="A13" s="2"/>
      <c r="B13" s="561"/>
      <c r="C13" s="454"/>
      <c r="D13" s="35" t="s">
        <v>339</v>
      </c>
      <c r="E13" s="113">
        <f>IFERROR(aurora_data!D1133,0)</f>
        <v>3</v>
      </c>
      <c r="F13" s="253">
        <f>IFERROR(aurora_data!E1133,0)</f>
        <v>3</v>
      </c>
      <c r="G13" s="253">
        <f>IFERROR(aurora_data!F1133,0)</f>
        <v>10</v>
      </c>
      <c r="H13" s="253">
        <f>IFERROR(aurora_data!G1133,0)</f>
        <v>15</v>
      </c>
      <c r="I13" s="254">
        <f>IFERROR(aurora_data!H1133,0)</f>
        <v>19</v>
      </c>
      <c r="J13" s="113">
        <f>IFERROR(aurora_data!I1133,0)</f>
        <v>2</v>
      </c>
      <c r="K13" s="253">
        <f>IFERROR(aurora_data!J1133,0)</f>
        <v>7</v>
      </c>
      <c r="L13" s="253">
        <f>IFERROR(aurora_data!K1133,0)</f>
        <v>11</v>
      </c>
      <c r="M13" s="253">
        <f>IFERROR(aurora_data!L1133,0)</f>
        <v>3</v>
      </c>
      <c r="N13" s="254">
        <f>IFERROR(aurora_data!M1133,0)</f>
        <v>27</v>
      </c>
      <c r="O13" s="113">
        <f>IFERROR(aurora_data!N1133,0)</f>
        <v>11</v>
      </c>
      <c r="P13" s="253">
        <f>IFERROR(aurora_data!O1133,0)</f>
        <v>8</v>
      </c>
      <c r="Q13" s="253">
        <f>IFERROR(aurora_data!P1133,0)</f>
        <v>14</v>
      </c>
      <c r="R13" s="254">
        <f>IFERROR(aurora_data!Q1133,0)</f>
        <v>17</v>
      </c>
      <c r="S13" s="253">
        <f>IFERROR(aurora_data!R1133,0)</f>
        <v>27</v>
      </c>
      <c r="T13" s="253">
        <f>IFERROR(aurora_data!S1133,0)</f>
        <v>23</v>
      </c>
      <c r="U13" s="254">
        <f>IFERROR(aurora_data!T733,0)</f>
        <v>0</v>
      </c>
      <c r="V13" s="61" t="s">
        <v>354</v>
      </c>
      <c r="W13" s="113">
        <f>IFERROR(aurora_data!U1133,0)</f>
        <v>50</v>
      </c>
      <c r="X13" s="255">
        <f t="shared" ref="X13:X20" si="0">IFERROR(W13/$W$12,0)</f>
        <v>1</v>
      </c>
      <c r="Y13" s="2"/>
    </row>
    <row r="14" spans="1:25" customFormat="1">
      <c r="A14" s="2"/>
      <c r="B14" s="561"/>
      <c r="C14" s="454"/>
      <c r="D14" s="35" t="s">
        <v>291</v>
      </c>
      <c r="E14" s="113">
        <f>IFERROR(aurora_data!D1134,0)</f>
        <v>0</v>
      </c>
      <c r="F14" s="253">
        <f>IFERROR(aurora_data!E1134,0)</f>
        <v>0</v>
      </c>
      <c r="G14" s="253">
        <f>IFERROR(aurora_data!F1134,0)</f>
        <v>0</v>
      </c>
      <c r="H14" s="253">
        <f>IFERROR(aurora_data!G1134,0)</f>
        <v>0</v>
      </c>
      <c r="I14" s="254">
        <f>IFERROR(aurora_data!H1134,0)</f>
        <v>0</v>
      </c>
      <c r="J14" s="113">
        <f>IFERROR(aurora_data!I1134,0)</f>
        <v>0</v>
      </c>
      <c r="K14" s="253">
        <f>IFERROR(aurora_data!J1134,0)</f>
        <v>0</v>
      </c>
      <c r="L14" s="253">
        <f>IFERROR(aurora_data!K1134,0)</f>
        <v>0</v>
      </c>
      <c r="M14" s="253">
        <f>IFERROR(aurora_data!L1134,0)</f>
        <v>0</v>
      </c>
      <c r="N14" s="254">
        <f>IFERROR(aurora_data!M1134,0)</f>
        <v>0</v>
      </c>
      <c r="O14" s="113">
        <f>IFERROR(aurora_data!N1134,0)</f>
        <v>0</v>
      </c>
      <c r="P14" s="253">
        <f>IFERROR(aurora_data!O1134,0)</f>
        <v>0</v>
      </c>
      <c r="Q14" s="253">
        <f>IFERROR(aurora_data!P1134,0)</f>
        <v>0</v>
      </c>
      <c r="R14" s="254">
        <f>IFERROR(aurora_data!Q1134,0)</f>
        <v>0</v>
      </c>
      <c r="S14" s="253">
        <f>IFERROR(aurora_data!R1134,0)</f>
        <v>0</v>
      </c>
      <c r="T14" s="253">
        <f>IFERROR(aurora_data!S1134,0)</f>
        <v>0</v>
      </c>
      <c r="U14" s="254">
        <f>IFERROR(aurora_data!T734,0)</f>
        <v>0</v>
      </c>
      <c r="V14" s="61" t="s">
        <v>354</v>
      </c>
      <c r="W14" s="113">
        <f>IFERROR(aurora_data!U1134,0)</f>
        <v>0</v>
      </c>
      <c r="X14" s="255">
        <f t="shared" si="0"/>
        <v>0</v>
      </c>
      <c r="Y14" s="2"/>
    </row>
    <row r="15" spans="1:25" customFormat="1">
      <c r="A15" s="2"/>
      <c r="B15" s="561"/>
      <c r="C15" s="454"/>
      <c r="D15" s="35" t="s">
        <v>340</v>
      </c>
      <c r="E15" s="113">
        <f>IFERROR(aurora_data!D1135,0)</f>
        <v>0</v>
      </c>
      <c r="F15" s="253">
        <f>IFERROR(aurora_data!E1135,0)</f>
        <v>0</v>
      </c>
      <c r="G15" s="253">
        <f>IFERROR(aurora_data!F1135,0)</f>
        <v>0</v>
      </c>
      <c r="H15" s="253">
        <f>IFERROR(aurora_data!G1135,0)</f>
        <v>0</v>
      </c>
      <c r="I15" s="254">
        <f>IFERROR(aurora_data!H1135,0)</f>
        <v>0</v>
      </c>
      <c r="J15" s="113">
        <f>IFERROR(aurora_data!I1135,0)</f>
        <v>0</v>
      </c>
      <c r="K15" s="253">
        <f>IFERROR(aurora_data!J1135,0)</f>
        <v>0</v>
      </c>
      <c r="L15" s="253">
        <f>IFERROR(aurora_data!K1135,0)</f>
        <v>0</v>
      </c>
      <c r="M15" s="253">
        <f>IFERROR(aurora_data!L1135,0)</f>
        <v>0</v>
      </c>
      <c r="N15" s="254">
        <f>IFERROR(aurora_data!M1135,0)</f>
        <v>0</v>
      </c>
      <c r="O15" s="113">
        <f>IFERROR(aurora_data!N1135,0)</f>
        <v>0</v>
      </c>
      <c r="P15" s="253">
        <f>IFERROR(aurora_data!O1135,0)</f>
        <v>0</v>
      </c>
      <c r="Q15" s="253">
        <f>IFERROR(aurora_data!P1135,0)</f>
        <v>0</v>
      </c>
      <c r="R15" s="254">
        <f>IFERROR(aurora_data!Q1135,0)</f>
        <v>0</v>
      </c>
      <c r="S15" s="253">
        <f>IFERROR(aurora_data!R1135,0)</f>
        <v>0</v>
      </c>
      <c r="T15" s="253">
        <f>IFERROR(aurora_data!S1135,0)</f>
        <v>0</v>
      </c>
      <c r="U15" s="254">
        <f>IFERROR(aurora_data!T735,0)</f>
        <v>0</v>
      </c>
      <c r="V15" s="61" t="s">
        <v>354</v>
      </c>
      <c r="W15" s="113">
        <f>IFERROR(aurora_data!U1135,0)</f>
        <v>0</v>
      </c>
      <c r="X15" s="255">
        <f t="shared" si="0"/>
        <v>0</v>
      </c>
      <c r="Y15" s="2"/>
    </row>
    <row r="16" spans="1:25" customFormat="1">
      <c r="A16" s="2"/>
      <c r="B16" s="561"/>
      <c r="C16" s="454"/>
      <c r="D16" s="35" t="s">
        <v>298</v>
      </c>
      <c r="E16" s="113">
        <f>IFERROR(aurora_data!D1136,0)</f>
        <v>0</v>
      </c>
      <c r="F16" s="253">
        <f>IFERROR(aurora_data!E1136,0)</f>
        <v>0</v>
      </c>
      <c r="G16" s="253">
        <f>IFERROR(aurora_data!F1136,0)</f>
        <v>0</v>
      </c>
      <c r="H16" s="253">
        <f>IFERROR(aurora_data!G1136,0)</f>
        <v>0</v>
      </c>
      <c r="I16" s="254">
        <f>IFERROR(aurora_data!H1136,0)</f>
        <v>0</v>
      </c>
      <c r="J16" s="113">
        <f>IFERROR(aurora_data!I1136,0)</f>
        <v>0</v>
      </c>
      <c r="K16" s="253">
        <f>IFERROR(aurora_data!J1136,0)</f>
        <v>0</v>
      </c>
      <c r="L16" s="253">
        <f>IFERROR(aurora_data!K1136,0)</f>
        <v>0</v>
      </c>
      <c r="M16" s="253">
        <f>IFERROR(aurora_data!L1136,0)</f>
        <v>0</v>
      </c>
      <c r="N16" s="254">
        <f>IFERROR(aurora_data!M1136,0)</f>
        <v>0</v>
      </c>
      <c r="O16" s="113">
        <f>IFERROR(aurora_data!N1136,0)</f>
        <v>0</v>
      </c>
      <c r="P16" s="253">
        <f>IFERROR(aurora_data!O1136,0)</f>
        <v>0</v>
      </c>
      <c r="Q16" s="253">
        <f>IFERROR(aurora_data!P1136,0)</f>
        <v>0</v>
      </c>
      <c r="R16" s="254">
        <f>IFERROR(aurora_data!Q1136,0)</f>
        <v>0</v>
      </c>
      <c r="S16" s="253">
        <f>IFERROR(aurora_data!R1136,0)</f>
        <v>0</v>
      </c>
      <c r="T16" s="253">
        <f>IFERROR(aurora_data!S1136,0)</f>
        <v>0</v>
      </c>
      <c r="U16" s="254">
        <f>IFERROR(aurora_data!T736,0)</f>
        <v>0</v>
      </c>
      <c r="V16" s="61" t="s">
        <v>354</v>
      </c>
      <c r="W16" s="113">
        <f>IFERROR(aurora_data!U1136,0)</f>
        <v>0</v>
      </c>
      <c r="X16" s="255">
        <f t="shared" si="0"/>
        <v>0</v>
      </c>
      <c r="Y16" s="2"/>
    </row>
    <row r="17" spans="1:25" customFormat="1">
      <c r="A17" s="2"/>
      <c r="B17" s="561"/>
      <c r="C17" s="454"/>
      <c r="D17" s="35" t="s">
        <v>341</v>
      </c>
      <c r="E17" s="113">
        <f>IFERROR(aurora_data!D1137,0)</f>
        <v>0</v>
      </c>
      <c r="F17" s="253">
        <f>IFERROR(aurora_data!E1137,0)</f>
        <v>0</v>
      </c>
      <c r="G17" s="253">
        <f>IFERROR(aurora_data!F1137,0)</f>
        <v>0</v>
      </c>
      <c r="H17" s="253">
        <f>IFERROR(aurora_data!G1137,0)</f>
        <v>1</v>
      </c>
      <c r="I17" s="254">
        <f>IFERROR(aurora_data!H1137,0)</f>
        <v>0</v>
      </c>
      <c r="J17" s="113">
        <f>IFERROR(aurora_data!I1137,0)</f>
        <v>0</v>
      </c>
      <c r="K17" s="253">
        <f>IFERROR(aurora_data!J1137,0)</f>
        <v>0</v>
      </c>
      <c r="L17" s="253">
        <f>IFERROR(aurora_data!K1137,0)</f>
        <v>0</v>
      </c>
      <c r="M17" s="253">
        <f>IFERROR(aurora_data!L1137,0)</f>
        <v>1</v>
      </c>
      <c r="N17" s="254">
        <f>IFERROR(aurora_data!M1137,0)</f>
        <v>0</v>
      </c>
      <c r="O17" s="113">
        <f>IFERROR(aurora_data!N1137,0)</f>
        <v>0</v>
      </c>
      <c r="P17" s="253">
        <f>IFERROR(aurora_data!O1137,0)</f>
        <v>0</v>
      </c>
      <c r="Q17" s="253">
        <f>IFERROR(aurora_data!P1137,0)</f>
        <v>0</v>
      </c>
      <c r="R17" s="254">
        <f>IFERROR(aurora_data!Q1137,0)</f>
        <v>1</v>
      </c>
      <c r="S17" s="253">
        <f>IFERROR(aurora_data!R1137,0)</f>
        <v>1</v>
      </c>
      <c r="T17" s="253">
        <f>IFERROR(aurora_data!S1137,0)</f>
        <v>0</v>
      </c>
      <c r="U17" s="254">
        <f>IFERROR(aurora_data!T737,0)</f>
        <v>0</v>
      </c>
      <c r="V17" s="61" t="s">
        <v>354</v>
      </c>
      <c r="W17" s="113">
        <f>IFERROR(aurora_data!U1137,0)</f>
        <v>1</v>
      </c>
      <c r="X17" s="255">
        <f t="shared" si="0"/>
        <v>0.02</v>
      </c>
      <c r="Y17" s="2"/>
    </row>
    <row r="18" spans="1:25" customFormat="1" ht="16.5" thickBot="1">
      <c r="A18" s="2"/>
      <c r="B18" s="561"/>
      <c r="C18" s="454"/>
      <c r="D18" s="35" t="s">
        <v>342</v>
      </c>
      <c r="E18" s="113">
        <f>IFERROR(aurora_data!D1138,0)</f>
        <v>0</v>
      </c>
      <c r="F18" s="253">
        <f>IFERROR(aurora_data!E1138,0)</f>
        <v>0</v>
      </c>
      <c r="G18" s="253">
        <f>IFERROR(aurora_data!F1138,0)</f>
        <v>0</v>
      </c>
      <c r="H18" s="253">
        <f>IFERROR(aurora_data!G1138,0)</f>
        <v>0</v>
      </c>
      <c r="I18" s="254">
        <f>IFERROR(aurora_data!H1138,0)</f>
        <v>0</v>
      </c>
      <c r="J18" s="113">
        <f>IFERROR(aurora_data!I1138,0)</f>
        <v>0</v>
      </c>
      <c r="K18" s="253">
        <f>IFERROR(aurora_data!J1138,0)</f>
        <v>0</v>
      </c>
      <c r="L18" s="253">
        <f>IFERROR(aurora_data!K1138,0)</f>
        <v>0</v>
      </c>
      <c r="M18" s="253">
        <f>IFERROR(aurora_data!L1138,0)</f>
        <v>0</v>
      </c>
      <c r="N18" s="254">
        <f>IFERROR(aurora_data!M1138,0)</f>
        <v>0</v>
      </c>
      <c r="O18" s="113">
        <f>IFERROR(aurora_data!N1138,0)</f>
        <v>0</v>
      </c>
      <c r="P18" s="253">
        <f>IFERROR(aurora_data!O1138,0)</f>
        <v>0</v>
      </c>
      <c r="Q18" s="253">
        <f>IFERROR(aurora_data!P1138,0)</f>
        <v>0</v>
      </c>
      <c r="R18" s="254">
        <f>IFERROR(aurora_data!Q1138,0)</f>
        <v>0</v>
      </c>
      <c r="S18" s="253">
        <f>IFERROR(aurora_data!R1138,0)</f>
        <v>0</v>
      </c>
      <c r="T18" s="253">
        <f>IFERROR(aurora_data!S1138,0)</f>
        <v>0</v>
      </c>
      <c r="U18" s="254">
        <f>IFERROR(aurora_data!T738,0)</f>
        <v>0</v>
      </c>
      <c r="V18" s="61" t="s">
        <v>354</v>
      </c>
      <c r="W18" s="113">
        <f>IFERROR(aurora_data!U1138,0)</f>
        <v>0</v>
      </c>
      <c r="X18" s="255">
        <f t="shared" si="0"/>
        <v>0</v>
      </c>
      <c r="Y18" s="2"/>
    </row>
    <row r="19" spans="1:25" customFormat="1" ht="16.5" thickBot="1">
      <c r="A19" s="2"/>
      <c r="B19" s="561"/>
      <c r="C19" s="454"/>
      <c r="D19" s="37" t="s">
        <v>17</v>
      </c>
      <c r="E19" s="59">
        <f>IFERROR(aurora_data!D1139,0)</f>
        <v>3</v>
      </c>
      <c r="F19" s="64">
        <f>IFERROR(aurora_data!E1139,0)</f>
        <v>3</v>
      </c>
      <c r="G19" s="64">
        <f>IFERROR(aurora_data!F1139,0)</f>
        <v>10</v>
      </c>
      <c r="H19" s="64">
        <f>IFERROR(aurora_data!G1139,0)</f>
        <v>16</v>
      </c>
      <c r="I19" s="65">
        <f>IFERROR(aurora_data!H1139,0)</f>
        <v>19</v>
      </c>
      <c r="J19" s="59">
        <f>IFERROR(aurora_data!I1139,0)</f>
        <v>2</v>
      </c>
      <c r="K19" s="64">
        <f>IFERROR(aurora_data!J1139,0)</f>
        <v>7</v>
      </c>
      <c r="L19" s="64">
        <f>IFERROR(aurora_data!K1139,0)</f>
        <v>11</v>
      </c>
      <c r="M19" s="64">
        <f>IFERROR(aurora_data!L1139,0)</f>
        <v>4</v>
      </c>
      <c r="N19" s="65">
        <f>IFERROR(aurora_data!M1139,0)</f>
        <v>27</v>
      </c>
      <c r="O19" s="59">
        <f>IFERROR(aurora_data!N1139,0)</f>
        <v>11</v>
      </c>
      <c r="P19" s="64">
        <f>IFERROR(aurora_data!O1139,0)</f>
        <v>8</v>
      </c>
      <c r="Q19" s="64">
        <f>IFERROR(aurora_data!P1139,0)</f>
        <v>14</v>
      </c>
      <c r="R19" s="65">
        <f>IFERROR(aurora_data!Q1139,0)</f>
        <v>18</v>
      </c>
      <c r="S19" s="64">
        <f>IFERROR(aurora_data!R1139,0)</f>
        <v>28</v>
      </c>
      <c r="T19" s="64">
        <f>IFERROR(aurora_data!S1139,0)</f>
        <v>23</v>
      </c>
      <c r="U19" s="65">
        <f>IFERROR(aurora_data!T739,0)</f>
        <v>0</v>
      </c>
      <c r="V19" s="66" t="s">
        <v>354</v>
      </c>
      <c r="W19" s="59">
        <f>IFERROR(aurora_data!U1139,0)</f>
        <v>51</v>
      </c>
      <c r="X19" s="70">
        <f t="shared" si="0"/>
        <v>1.02</v>
      </c>
      <c r="Y19" s="2"/>
    </row>
    <row r="20" spans="1:25" customFormat="1" ht="16.5" thickBot="1">
      <c r="A20" s="2"/>
      <c r="B20" s="561"/>
      <c r="C20" s="454"/>
      <c r="D20" s="38" t="s">
        <v>343</v>
      </c>
      <c r="E20" s="256">
        <f>IFERROR(aurora_data!D1140,0)</f>
        <v>0</v>
      </c>
      <c r="F20" s="257">
        <f>IFERROR(aurora_data!E1140,0)</f>
        <v>0</v>
      </c>
      <c r="G20" s="257">
        <f>IFERROR(aurora_data!F1140,0)</f>
        <v>0</v>
      </c>
      <c r="H20" s="257">
        <f>IFERROR(aurora_data!G1140,0)</f>
        <v>0</v>
      </c>
      <c r="I20" s="258">
        <f>IFERROR(aurora_data!H1140,0)</f>
        <v>0</v>
      </c>
      <c r="J20" s="256">
        <f>IFERROR(aurora_data!I1140,0)</f>
        <v>0</v>
      </c>
      <c r="K20" s="257">
        <f>IFERROR(aurora_data!J1140,0)</f>
        <v>0</v>
      </c>
      <c r="L20" s="257">
        <f>IFERROR(aurora_data!K1140,0)</f>
        <v>0</v>
      </c>
      <c r="M20" s="257">
        <f>IFERROR(aurora_data!L1140,0)</f>
        <v>0</v>
      </c>
      <c r="N20" s="258">
        <f>IFERROR(aurora_data!M1140,0)</f>
        <v>0</v>
      </c>
      <c r="O20" s="256">
        <f>IFERROR(aurora_data!N1140,0)</f>
        <v>0</v>
      </c>
      <c r="P20" s="257">
        <f>IFERROR(aurora_data!O1140,0)</f>
        <v>0</v>
      </c>
      <c r="Q20" s="257">
        <f>IFERROR(aurora_data!P1140,0)</f>
        <v>0</v>
      </c>
      <c r="R20" s="258">
        <f>IFERROR(aurora_data!Q1140,0)</f>
        <v>0</v>
      </c>
      <c r="S20" s="257">
        <f>IFERROR(aurora_data!R1140,0)</f>
        <v>0</v>
      </c>
      <c r="T20" s="257">
        <f>IFERROR(aurora_data!S1140,0)</f>
        <v>0</v>
      </c>
      <c r="U20" s="259">
        <f>IFERROR(aurora_data!T740,0)</f>
        <v>0</v>
      </c>
      <c r="V20" s="260" t="s">
        <v>354</v>
      </c>
      <c r="W20" s="256">
        <f>IFERROR(aurora_data!U1140,0)</f>
        <v>0</v>
      </c>
      <c r="X20" s="261">
        <f t="shared" si="0"/>
        <v>0</v>
      </c>
      <c r="Y20" s="2"/>
    </row>
    <row r="21" spans="1:25" customFormat="1" ht="16.5" hidden="1" outlineLevel="1" thickBot="1">
      <c r="A21" s="2"/>
      <c r="B21" s="393"/>
      <c r="C21" s="227"/>
      <c r="D21" s="199" t="s">
        <v>344</v>
      </c>
      <c r="E21" s="271">
        <f>ROUNDDOWN((E23+$E$9)*($W12),0)</f>
        <v>3</v>
      </c>
      <c r="F21" s="272">
        <f>ROUNDDOWN((F23+$E$9)*($W12),0)</f>
        <v>4</v>
      </c>
      <c r="G21" s="272">
        <f>ROUNDDOWN((G23+$E$9)*($W12),0)</f>
        <v>11</v>
      </c>
      <c r="H21" s="272">
        <f>ROUNDDOWN((H23+$E$9)*($W12),0)</f>
        <v>16</v>
      </c>
      <c r="I21" s="272">
        <f>ROUNDDOWN((I23+$E$9)*($W12),0)</f>
        <v>19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</row>
    <row r="22" spans="1:25" customFormat="1" ht="16.5" hidden="1" outlineLevel="1" thickBot="1">
      <c r="A22" s="2"/>
      <c r="B22" s="393"/>
      <c r="C22" s="227"/>
      <c r="D22" s="199" t="s">
        <v>345</v>
      </c>
      <c r="E22" s="276">
        <f>IF(ROUND(((E23-$E$9)*($W12))+0.25,0) &lt;=0,1,((E23-$E$9)*($W12))+0.25)</f>
        <v>1.2599999999999996</v>
      </c>
      <c r="F22" s="277">
        <f>IF(ROUND(((F23-$E$9)*($W12))+0.25,0) &lt;=0,1,((F23-$E$9)*($W12))+0.25)</f>
        <v>2.4499999999999997</v>
      </c>
      <c r="G22" s="277">
        <f t="shared" ref="G22:I22" si="1">IF(ROUND(((G23-$E$9)*($W12))+0.25,0) &lt;=0,1,((G23-$E$9)*($W12))+0.25)</f>
        <v>9.36</v>
      </c>
      <c r="H22" s="277">
        <f t="shared" si="1"/>
        <v>15.03</v>
      </c>
      <c r="I22" s="277">
        <f t="shared" si="1"/>
        <v>18.14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</row>
    <row r="23" spans="1:25" customFormat="1" ht="16.5" hidden="1" outlineLevel="1" thickBot="1">
      <c r="A23" s="2"/>
      <c r="B23" s="393"/>
      <c r="C23" s="227"/>
      <c r="D23" s="95" t="s">
        <v>346</v>
      </c>
      <c r="E23" s="414">
        <f>IFERROR(E12/$W12,0)</f>
        <v>4.0199999999999993E-2</v>
      </c>
      <c r="F23" s="415">
        <f t="shared" ref="F23:H23" si="2">IFERROR(F12/$W12,0)</f>
        <v>6.4000000000000001E-2</v>
      </c>
      <c r="G23" s="415">
        <f>IFERROR(G12/$W12,0)</f>
        <v>0.20219999999999999</v>
      </c>
      <c r="H23" s="415">
        <f t="shared" si="2"/>
        <v>0.31559999999999999</v>
      </c>
      <c r="I23" s="415">
        <f>IFERROR(I12/$W12,0)</f>
        <v>0.37780000000000002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</row>
    <row r="24" spans="1:25" customFormat="1" ht="16.5" hidden="1" outlineLevel="1" thickBot="1">
      <c r="A24" s="2"/>
      <c r="B24" s="393"/>
      <c r="C24" s="227"/>
      <c r="D24" s="180" t="s">
        <v>347</v>
      </c>
      <c r="E24" s="414">
        <f>IFERROR(E13/$W12,0)</f>
        <v>0.06</v>
      </c>
      <c r="F24" s="415">
        <f t="shared" ref="F24:I24" si="3">IFERROR(F13/$W12,0)</f>
        <v>0.06</v>
      </c>
      <c r="G24" s="415">
        <f t="shared" si="3"/>
        <v>0.2</v>
      </c>
      <c r="H24" s="415">
        <f t="shared" si="3"/>
        <v>0.3</v>
      </c>
      <c r="I24" s="415">
        <f t="shared" si="3"/>
        <v>0.38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</row>
    <row r="25" spans="1:25" customFormat="1" ht="16.5" hidden="1" outlineLevel="1" thickBot="1">
      <c r="A25" s="2"/>
      <c r="B25" s="393"/>
      <c r="C25" s="227"/>
      <c r="D25" s="180" t="s">
        <v>348</v>
      </c>
      <c r="E25" s="414">
        <f>E24-E23</f>
        <v>1.9800000000000005E-2</v>
      </c>
      <c r="F25" s="415">
        <f t="shared" ref="F25:I25" si="4">F24-F23</f>
        <v>-4.0000000000000036E-3</v>
      </c>
      <c r="G25" s="415">
        <f t="shared" si="4"/>
        <v>-2.1999999999999797E-3</v>
      </c>
      <c r="H25" s="415">
        <f t="shared" si="4"/>
        <v>-1.5600000000000003E-2</v>
      </c>
      <c r="I25" s="415">
        <f t="shared" si="4"/>
        <v>2.1999999999999797E-3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</row>
    <row r="26" spans="1:25" customFormat="1" ht="16.5" customHeight="1" collapsed="1">
      <c r="A26" s="2"/>
      <c r="B26" s="560" t="s">
        <v>362</v>
      </c>
      <c r="C26" s="449" t="s">
        <v>150</v>
      </c>
      <c r="D26" s="34" t="s">
        <v>306</v>
      </c>
      <c r="E26" s="39">
        <f>IFERROR(aurora_data!D1141,0)</f>
        <v>2.0099999999999998</v>
      </c>
      <c r="F26" s="40">
        <f>IFERROR(aurora_data!E1141,0)</f>
        <v>3.2</v>
      </c>
      <c r="G26" s="40">
        <f>IFERROR(aurora_data!F1141,0)</f>
        <v>10.11</v>
      </c>
      <c r="H26" s="40">
        <f>IFERROR(aurora_data!G1141,0)</f>
        <v>15.78</v>
      </c>
      <c r="I26" s="41">
        <f>IFERROR(aurora_data!H1141,0)</f>
        <v>18.89</v>
      </c>
      <c r="J26" s="39">
        <f>IFERROR(aurora_data!I1141,0)</f>
        <v>1</v>
      </c>
      <c r="K26" s="40">
        <f>IFERROR(aurora_data!J1141,0)</f>
        <v>1</v>
      </c>
      <c r="L26" s="40">
        <f>IFERROR(aurora_data!K1141,0)</f>
        <v>1</v>
      </c>
      <c r="M26" s="40">
        <f>IFERROR(aurora_data!L1141,0)</f>
        <v>1</v>
      </c>
      <c r="N26" s="41">
        <f>IFERROR(aurora_data!M1141,0)</f>
        <v>1</v>
      </c>
      <c r="O26" s="39">
        <f>IFERROR(aurora_data!N1141,0)</f>
        <v>1</v>
      </c>
      <c r="P26" s="40">
        <f>IFERROR(aurora_data!O1141,0)</f>
        <v>1</v>
      </c>
      <c r="Q26" s="40">
        <f>IFERROR(aurora_data!P1141,0)</f>
        <v>1</v>
      </c>
      <c r="R26" s="41">
        <f>IFERROR(aurora_data!Q1141,0)</f>
        <v>1</v>
      </c>
      <c r="S26" s="40">
        <f>IFERROR(aurora_data!R1141,0)</f>
        <v>1</v>
      </c>
      <c r="T26" s="40">
        <f>IFERROR(aurora_data!S1141,0)</f>
        <v>1</v>
      </c>
      <c r="U26" s="41">
        <f>IFERROR(aurora_data!T741,0)</f>
        <v>0</v>
      </c>
      <c r="V26" s="61" t="s">
        <v>354</v>
      </c>
      <c r="W26" s="39">
        <f>IFERROR(aurora_data!U1141,0)</f>
        <v>50</v>
      </c>
      <c r="X26" s="69">
        <f>IFERROR(W26/$W$26,0)</f>
        <v>1</v>
      </c>
      <c r="Y26" s="2"/>
    </row>
    <row r="27" spans="1:25" customFormat="1" ht="16.5" customHeight="1">
      <c r="A27" s="2"/>
      <c r="B27" s="561"/>
      <c r="C27" s="450"/>
      <c r="D27" s="35" t="s">
        <v>339</v>
      </c>
      <c r="E27" s="113">
        <f>IFERROR(aurora_data!D1142,0)</f>
        <v>3</v>
      </c>
      <c r="F27" s="253">
        <f>IFERROR(aurora_data!E1142,0)</f>
        <v>3</v>
      </c>
      <c r="G27" s="253">
        <f>IFERROR(aurora_data!F1142,0)</f>
        <v>10</v>
      </c>
      <c r="H27" s="253">
        <f>IFERROR(aurora_data!G1142,0)</f>
        <v>15</v>
      </c>
      <c r="I27" s="254">
        <f>IFERROR(aurora_data!H1142,0)</f>
        <v>19</v>
      </c>
      <c r="J27" s="113">
        <f>IFERROR(aurora_data!I1142,0)</f>
        <v>2</v>
      </c>
      <c r="K27" s="253">
        <f>IFERROR(aurora_data!J1142,0)</f>
        <v>7</v>
      </c>
      <c r="L27" s="253">
        <f>IFERROR(aurora_data!K1142,0)</f>
        <v>11</v>
      </c>
      <c r="M27" s="253">
        <f>IFERROR(aurora_data!L1142,0)</f>
        <v>3</v>
      </c>
      <c r="N27" s="254">
        <f>IFERROR(aurora_data!M1142,0)</f>
        <v>27</v>
      </c>
      <c r="O27" s="113">
        <f>IFERROR(aurora_data!N1142,0)</f>
        <v>11</v>
      </c>
      <c r="P27" s="253">
        <f>IFERROR(aurora_data!O1142,0)</f>
        <v>8</v>
      </c>
      <c r="Q27" s="253">
        <f>IFERROR(aurora_data!P1142,0)</f>
        <v>14</v>
      </c>
      <c r="R27" s="254">
        <f>IFERROR(aurora_data!Q1142,0)</f>
        <v>17</v>
      </c>
      <c r="S27" s="253">
        <f>IFERROR(aurora_data!R1142,0)</f>
        <v>27</v>
      </c>
      <c r="T27" s="253">
        <f>IFERROR(aurora_data!S1142,0)</f>
        <v>23</v>
      </c>
      <c r="U27" s="254">
        <f>IFERROR(aurora_data!T742,0)</f>
        <v>0</v>
      </c>
      <c r="V27" s="61" t="s">
        <v>354</v>
      </c>
      <c r="W27" s="113">
        <f>IFERROR(aurora_data!U1142,0)</f>
        <v>50</v>
      </c>
      <c r="X27" s="281">
        <f t="shared" ref="X27:X34" si="5">IFERROR(W27/$W$26,0)</f>
        <v>1</v>
      </c>
      <c r="Y27" s="2"/>
    </row>
    <row r="28" spans="1:25" customFormat="1" ht="16.5" customHeight="1">
      <c r="A28" s="2"/>
      <c r="B28" s="561"/>
      <c r="C28" s="450"/>
      <c r="D28" s="35" t="s">
        <v>291</v>
      </c>
      <c r="E28" s="113">
        <f>IFERROR(aurora_data!D1143,0)</f>
        <v>0</v>
      </c>
      <c r="F28" s="253">
        <f>IFERROR(aurora_data!E1143,0)</f>
        <v>0</v>
      </c>
      <c r="G28" s="253">
        <f>IFERROR(aurora_data!F1143,0)</f>
        <v>0</v>
      </c>
      <c r="H28" s="253">
        <f>IFERROR(aurora_data!G1143,0)</f>
        <v>0</v>
      </c>
      <c r="I28" s="254">
        <f>IFERROR(aurora_data!H1143,0)</f>
        <v>0</v>
      </c>
      <c r="J28" s="113">
        <f>IFERROR(aurora_data!I1143,0)</f>
        <v>0</v>
      </c>
      <c r="K28" s="253">
        <f>IFERROR(aurora_data!J1143,0)</f>
        <v>0</v>
      </c>
      <c r="L28" s="253">
        <f>IFERROR(aurora_data!K1143,0)</f>
        <v>0</v>
      </c>
      <c r="M28" s="253">
        <f>IFERROR(aurora_data!L1143,0)</f>
        <v>0</v>
      </c>
      <c r="N28" s="254">
        <f>IFERROR(aurora_data!M1143,0)</f>
        <v>0</v>
      </c>
      <c r="O28" s="113">
        <f>IFERROR(aurora_data!N1143,0)</f>
        <v>0</v>
      </c>
      <c r="P28" s="253">
        <f>IFERROR(aurora_data!O1143,0)</f>
        <v>0</v>
      </c>
      <c r="Q28" s="253">
        <f>IFERROR(aurora_data!P1143,0)</f>
        <v>0</v>
      </c>
      <c r="R28" s="254">
        <f>IFERROR(aurora_data!Q1143,0)</f>
        <v>0</v>
      </c>
      <c r="S28" s="253">
        <f>IFERROR(aurora_data!R1143,0)</f>
        <v>0</v>
      </c>
      <c r="T28" s="253">
        <f>IFERROR(aurora_data!S1143,0)</f>
        <v>0</v>
      </c>
      <c r="U28" s="254">
        <f>IFERROR(aurora_data!T743,0)</f>
        <v>0</v>
      </c>
      <c r="V28" s="61" t="s">
        <v>354</v>
      </c>
      <c r="W28" s="113">
        <f>IFERROR(aurora_data!U1143,0)</f>
        <v>0</v>
      </c>
      <c r="X28" s="281">
        <f t="shared" si="5"/>
        <v>0</v>
      </c>
      <c r="Y28" s="2"/>
    </row>
    <row r="29" spans="1:25" customFormat="1" ht="16.5" customHeight="1">
      <c r="A29" s="2"/>
      <c r="B29" s="561"/>
      <c r="C29" s="450"/>
      <c r="D29" s="35" t="s">
        <v>340</v>
      </c>
      <c r="E29" s="113">
        <f>IFERROR(aurora_data!D1144,0)</f>
        <v>0</v>
      </c>
      <c r="F29" s="253">
        <f>IFERROR(aurora_data!E1144,0)</f>
        <v>0</v>
      </c>
      <c r="G29" s="253">
        <f>IFERROR(aurora_data!F1144,0)</f>
        <v>0</v>
      </c>
      <c r="H29" s="253">
        <f>IFERROR(aurora_data!G1144,0)</f>
        <v>0</v>
      </c>
      <c r="I29" s="254">
        <f>IFERROR(aurora_data!H1144,0)</f>
        <v>0</v>
      </c>
      <c r="J29" s="113">
        <f>IFERROR(aurora_data!I1144,0)</f>
        <v>0</v>
      </c>
      <c r="K29" s="253">
        <f>IFERROR(aurora_data!J1144,0)</f>
        <v>0</v>
      </c>
      <c r="L29" s="253">
        <f>IFERROR(aurora_data!K1144,0)</f>
        <v>0</v>
      </c>
      <c r="M29" s="253">
        <f>IFERROR(aurora_data!L1144,0)</f>
        <v>0</v>
      </c>
      <c r="N29" s="254">
        <f>IFERROR(aurora_data!M1144,0)</f>
        <v>0</v>
      </c>
      <c r="O29" s="113">
        <f>IFERROR(aurora_data!N1144,0)</f>
        <v>0</v>
      </c>
      <c r="P29" s="253">
        <f>IFERROR(aurora_data!O1144,0)</f>
        <v>0</v>
      </c>
      <c r="Q29" s="253">
        <f>IFERROR(aurora_data!P1144,0)</f>
        <v>0</v>
      </c>
      <c r="R29" s="254">
        <f>IFERROR(aurora_data!Q1144,0)</f>
        <v>0</v>
      </c>
      <c r="S29" s="253">
        <f>IFERROR(aurora_data!R1144,0)</f>
        <v>0</v>
      </c>
      <c r="T29" s="253">
        <f>IFERROR(aurora_data!S1144,0)</f>
        <v>0</v>
      </c>
      <c r="U29" s="254">
        <f>IFERROR(aurora_data!T744,0)</f>
        <v>0</v>
      </c>
      <c r="V29" s="61" t="s">
        <v>354</v>
      </c>
      <c r="W29" s="113">
        <f>IFERROR(aurora_data!U1144,0)</f>
        <v>0</v>
      </c>
      <c r="X29" s="281">
        <f t="shared" si="5"/>
        <v>0</v>
      </c>
      <c r="Y29" s="2"/>
    </row>
    <row r="30" spans="1:25" customFormat="1" ht="16.5" customHeight="1">
      <c r="A30" s="2"/>
      <c r="B30" s="561"/>
      <c r="C30" s="450"/>
      <c r="D30" s="35" t="s">
        <v>298</v>
      </c>
      <c r="E30" s="113">
        <f>IFERROR(aurora_data!D1145,0)</f>
        <v>0</v>
      </c>
      <c r="F30" s="253">
        <f>IFERROR(aurora_data!E1145,0)</f>
        <v>0</v>
      </c>
      <c r="G30" s="253">
        <f>IFERROR(aurora_data!F1145,0)</f>
        <v>0</v>
      </c>
      <c r="H30" s="253">
        <f>IFERROR(aurora_data!G1145,0)</f>
        <v>0</v>
      </c>
      <c r="I30" s="254">
        <f>IFERROR(aurora_data!H1145,0)</f>
        <v>0</v>
      </c>
      <c r="J30" s="113">
        <f>IFERROR(aurora_data!I1145,0)</f>
        <v>0</v>
      </c>
      <c r="K30" s="253">
        <f>IFERROR(aurora_data!J1145,0)</f>
        <v>0</v>
      </c>
      <c r="L30" s="253">
        <f>IFERROR(aurora_data!K1145,0)</f>
        <v>0</v>
      </c>
      <c r="M30" s="253">
        <f>IFERROR(aurora_data!L1145,0)</f>
        <v>0</v>
      </c>
      <c r="N30" s="254">
        <f>IFERROR(aurora_data!M1145,0)</f>
        <v>0</v>
      </c>
      <c r="O30" s="113">
        <f>IFERROR(aurora_data!N1145,0)</f>
        <v>0</v>
      </c>
      <c r="P30" s="253">
        <f>IFERROR(aurora_data!O1145,0)</f>
        <v>0</v>
      </c>
      <c r="Q30" s="253">
        <f>IFERROR(aurora_data!P1145,0)</f>
        <v>0</v>
      </c>
      <c r="R30" s="254">
        <f>IFERROR(aurora_data!Q1145,0)</f>
        <v>0</v>
      </c>
      <c r="S30" s="253">
        <f>IFERROR(aurora_data!R1145,0)</f>
        <v>0</v>
      </c>
      <c r="T30" s="253">
        <f>IFERROR(aurora_data!S1145,0)</f>
        <v>0</v>
      </c>
      <c r="U30" s="254">
        <f>IFERROR(aurora_data!T745,0)</f>
        <v>0</v>
      </c>
      <c r="V30" s="61" t="s">
        <v>354</v>
      </c>
      <c r="W30" s="113">
        <f>IFERROR(aurora_data!U1145,0)</f>
        <v>0</v>
      </c>
      <c r="X30" s="281">
        <f t="shared" si="5"/>
        <v>0</v>
      </c>
      <c r="Y30" s="2"/>
    </row>
    <row r="31" spans="1:25" customFormat="1" ht="16.5" customHeight="1">
      <c r="A31" s="2"/>
      <c r="B31" s="561"/>
      <c r="C31" s="450"/>
      <c r="D31" s="35" t="s">
        <v>341</v>
      </c>
      <c r="E31" s="113">
        <f>IFERROR(aurora_data!D1146,0)</f>
        <v>0</v>
      </c>
      <c r="F31" s="253">
        <f>IFERROR(aurora_data!E1146,0)</f>
        <v>0</v>
      </c>
      <c r="G31" s="253">
        <f>IFERROR(aurora_data!F1146,0)</f>
        <v>0</v>
      </c>
      <c r="H31" s="253">
        <f>IFERROR(aurora_data!G1146,0)</f>
        <v>1</v>
      </c>
      <c r="I31" s="254">
        <f>IFERROR(aurora_data!H1146,0)</f>
        <v>0</v>
      </c>
      <c r="J31" s="113">
        <f>IFERROR(aurora_data!I1146,0)</f>
        <v>0</v>
      </c>
      <c r="K31" s="253">
        <f>IFERROR(aurora_data!J1146,0)</f>
        <v>0</v>
      </c>
      <c r="L31" s="253">
        <f>IFERROR(aurora_data!K1146,0)</f>
        <v>0</v>
      </c>
      <c r="M31" s="253">
        <f>IFERROR(aurora_data!L1146,0)</f>
        <v>1</v>
      </c>
      <c r="N31" s="254">
        <f>IFERROR(aurora_data!M1146,0)</f>
        <v>0</v>
      </c>
      <c r="O31" s="113">
        <f>IFERROR(aurora_data!N1146,0)</f>
        <v>0</v>
      </c>
      <c r="P31" s="253">
        <f>IFERROR(aurora_data!O1146,0)</f>
        <v>0</v>
      </c>
      <c r="Q31" s="253">
        <f>IFERROR(aurora_data!P1146,0)</f>
        <v>0</v>
      </c>
      <c r="R31" s="254">
        <f>IFERROR(aurora_data!Q1146,0)</f>
        <v>1</v>
      </c>
      <c r="S31" s="253">
        <f>IFERROR(aurora_data!R1146,0)</f>
        <v>1</v>
      </c>
      <c r="T31" s="253">
        <f>IFERROR(aurora_data!S1146,0)</f>
        <v>0</v>
      </c>
      <c r="U31" s="254">
        <f>IFERROR(aurora_data!T746,0)</f>
        <v>0</v>
      </c>
      <c r="V31" s="61" t="s">
        <v>354</v>
      </c>
      <c r="W31" s="113">
        <f>IFERROR(aurora_data!U1146,0)</f>
        <v>1</v>
      </c>
      <c r="X31" s="281">
        <f t="shared" si="5"/>
        <v>0.02</v>
      </c>
      <c r="Y31" s="2"/>
    </row>
    <row r="32" spans="1:25" customFormat="1" ht="16.5" thickBot="1">
      <c r="A32" s="2"/>
      <c r="B32" s="561"/>
      <c r="C32" s="450"/>
      <c r="D32" s="35" t="s">
        <v>342</v>
      </c>
      <c r="E32" s="113">
        <f>IFERROR(aurora_data!D1147,0)</f>
        <v>0</v>
      </c>
      <c r="F32" s="253">
        <f>IFERROR(aurora_data!E1147,0)</f>
        <v>0</v>
      </c>
      <c r="G32" s="253">
        <f>IFERROR(aurora_data!F1147,0)</f>
        <v>0</v>
      </c>
      <c r="H32" s="253">
        <f>IFERROR(aurora_data!G1147,0)</f>
        <v>0</v>
      </c>
      <c r="I32" s="254">
        <f>IFERROR(aurora_data!H1147,0)</f>
        <v>0</v>
      </c>
      <c r="J32" s="113">
        <f>IFERROR(aurora_data!I1147,0)</f>
        <v>0</v>
      </c>
      <c r="K32" s="253">
        <f>IFERROR(aurora_data!J1147,0)</f>
        <v>0</v>
      </c>
      <c r="L32" s="253">
        <f>IFERROR(aurora_data!K1147,0)</f>
        <v>0</v>
      </c>
      <c r="M32" s="253">
        <f>IFERROR(aurora_data!L1147,0)</f>
        <v>0</v>
      </c>
      <c r="N32" s="254">
        <f>IFERROR(aurora_data!M1147,0)</f>
        <v>0</v>
      </c>
      <c r="O32" s="113">
        <f>IFERROR(aurora_data!N1147,0)</f>
        <v>0</v>
      </c>
      <c r="P32" s="253">
        <f>IFERROR(aurora_data!O1147,0)</f>
        <v>0</v>
      </c>
      <c r="Q32" s="253">
        <f>IFERROR(aurora_data!P1147,0)</f>
        <v>0</v>
      </c>
      <c r="R32" s="254">
        <f>IFERROR(aurora_data!Q1147,0)</f>
        <v>0</v>
      </c>
      <c r="S32" s="253">
        <f>IFERROR(aurora_data!R1147,0)</f>
        <v>0</v>
      </c>
      <c r="T32" s="253">
        <f>IFERROR(aurora_data!S1147,0)</f>
        <v>0</v>
      </c>
      <c r="U32" s="254">
        <f>IFERROR(aurora_data!T747,0)</f>
        <v>0</v>
      </c>
      <c r="V32" s="61" t="s">
        <v>354</v>
      </c>
      <c r="W32" s="113">
        <f>IFERROR(aurora_data!U1147,0)</f>
        <v>0</v>
      </c>
      <c r="X32" s="281">
        <f t="shared" si="5"/>
        <v>0</v>
      </c>
      <c r="Y32" s="2"/>
    </row>
    <row r="33" spans="1:25" customFormat="1" ht="16.5" thickBot="1">
      <c r="A33" s="2"/>
      <c r="B33" s="561"/>
      <c r="C33" s="450"/>
      <c r="D33" s="37" t="s">
        <v>17</v>
      </c>
      <c r="E33" s="59">
        <f>IFERROR(aurora_data!D1148,0)</f>
        <v>3</v>
      </c>
      <c r="F33" s="64">
        <f>IFERROR(aurora_data!E1148,0)</f>
        <v>3</v>
      </c>
      <c r="G33" s="64">
        <f>IFERROR(aurora_data!F1148,0)</f>
        <v>10</v>
      </c>
      <c r="H33" s="64">
        <f>IFERROR(aurora_data!G1148,0)</f>
        <v>16</v>
      </c>
      <c r="I33" s="65">
        <f>IFERROR(aurora_data!H1148,0)</f>
        <v>19</v>
      </c>
      <c r="J33" s="59">
        <f>IFERROR(aurora_data!I1148,0)</f>
        <v>2</v>
      </c>
      <c r="K33" s="64">
        <f>IFERROR(aurora_data!J1148,0)</f>
        <v>7</v>
      </c>
      <c r="L33" s="64">
        <f>IFERROR(aurora_data!K1148,0)</f>
        <v>11</v>
      </c>
      <c r="M33" s="64">
        <f>IFERROR(aurora_data!L1148,0)</f>
        <v>4</v>
      </c>
      <c r="N33" s="65">
        <f>IFERROR(aurora_data!M1148,0)</f>
        <v>27</v>
      </c>
      <c r="O33" s="59">
        <f>IFERROR(aurora_data!N1148,0)</f>
        <v>11</v>
      </c>
      <c r="P33" s="64">
        <f>IFERROR(aurora_data!O1148,0)</f>
        <v>8</v>
      </c>
      <c r="Q33" s="64">
        <f>IFERROR(aurora_data!P1148,0)</f>
        <v>14</v>
      </c>
      <c r="R33" s="65">
        <f>IFERROR(aurora_data!Q1148,0)</f>
        <v>18</v>
      </c>
      <c r="S33" s="64">
        <f>IFERROR(aurora_data!R1148,0)</f>
        <v>28</v>
      </c>
      <c r="T33" s="64">
        <f>IFERROR(aurora_data!S1148,0)</f>
        <v>23</v>
      </c>
      <c r="U33" s="65">
        <f>IFERROR(aurora_data!T748,0)</f>
        <v>0</v>
      </c>
      <c r="V33" s="66" t="s">
        <v>354</v>
      </c>
      <c r="W33" s="59">
        <f>IFERROR(aurora_data!U1148,0)</f>
        <v>51</v>
      </c>
      <c r="X33" s="70">
        <f t="shared" si="5"/>
        <v>1.02</v>
      </c>
      <c r="Y33" s="2"/>
    </row>
    <row r="34" spans="1:25" customFormat="1" ht="16.5" thickBot="1">
      <c r="A34" s="2"/>
      <c r="B34" s="561"/>
      <c r="C34" s="450"/>
      <c r="D34" s="38" t="s">
        <v>343</v>
      </c>
      <c r="E34" s="256">
        <f>IFERROR(aurora_data!D1149,0)</f>
        <v>0</v>
      </c>
      <c r="F34" s="257">
        <f>IFERROR(aurora_data!E1149,0)</f>
        <v>0</v>
      </c>
      <c r="G34" s="257">
        <f>IFERROR(aurora_data!F1149,0)</f>
        <v>0</v>
      </c>
      <c r="H34" s="257">
        <f>IFERROR(aurora_data!G1149,0)</f>
        <v>0</v>
      </c>
      <c r="I34" s="258">
        <f>IFERROR(aurora_data!H1149,0)</f>
        <v>0</v>
      </c>
      <c r="J34" s="256">
        <f>IFERROR(aurora_data!I1149,0)</f>
        <v>0</v>
      </c>
      <c r="K34" s="257">
        <f>IFERROR(aurora_data!J1149,0)</f>
        <v>0</v>
      </c>
      <c r="L34" s="257">
        <f>IFERROR(aurora_data!K1149,0)</f>
        <v>0</v>
      </c>
      <c r="M34" s="257">
        <f>IFERROR(aurora_data!L1149,0)</f>
        <v>0</v>
      </c>
      <c r="N34" s="258">
        <f>IFERROR(aurora_data!M1149,0)</f>
        <v>0</v>
      </c>
      <c r="O34" s="256">
        <f>IFERROR(aurora_data!N1149,0)</f>
        <v>0</v>
      </c>
      <c r="P34" s="257">
        <f>IFERROR(aurora_data!O1149,0)</f>
        <v>0</v>
      </c>
      <c r="Q34" s="257">
        <f>IFERROR(aurora_data!P1149,0)</f>
        <v>0</v>
      </c>
      <c r="R34" s="258">
        <f>IFERROR(aurora_data!Q1149,0)</f>
        <v>0</v>
      </c>
      <c r="S34" s="257">
        <f>IFERROR(aurora_data!R1149,0)</f>
        <v>0</v>
      </c>
      <c r="T34" s="257">
        <f>IFERROR(aurora_data!S1149,0)</f>
        <v>0</v>
      </c>
      <c r="U34" s="259">
        <f>IFERROR(aurora_data!T749,0)</f>
        <v>0</v>
      </c>
      <c r="V34" s="260" t="s">
        <v>354</v>
      </c>
      <c r="W34" s="256">
        <f>IFERROR(aurora_data!U1149,0)</f>
        <v>0</v>
      </c>
      <c r="X34" s="261">
        <f t="shared" si="5"/>
        <v>0</v>
      </c>
      <c r="Y34" s="2"/>
    </row>
    <row r="35" spans="1:25" customFormat="1" ht="16.5" hidden="1" outlineLevel="1" thickBot="1">
      <c r="A35" s="2"/>
      <c r="B35" s="147"/>
      <c r="C35" s="227"/>
      <c r="D35" s="199" t="s">
        <v>344</v>
      </c>
      <c r="E35" s="186">
        <f>ROUNDDOWN((E37+$E$9)*($W26),0)</f>
        <v>3</v>
      </c>
      <c r="F35" s="187">
        <f>ROUNDDOWN((F37+$E$9)*($W26),0)</f>
        <v>4</v>
      </c>
      <c r="G35" s="187">
        <f>ROUNDDOWN((G37+$E$9)*($W26),0)</f>
        <v>11</v>
      </c>
      <c r="H35" s="187">
        <f>ROUNDDOWN((H37+$E$9)*($W26),0)</f>
        <v>16</v>
      </c>
      <c r="I35" s="187">
        <f>ROUNDDOWN((I37+$E$9)*($W26),0)</f>
        <v>19</v>
      </c>
      <c r="J35" s="229"/>
      <c r="K35" s="230"/>
      <c r="L35" s="230"/>
      <c r="M35" s="230"/>
      <c r="N35" s="231"/>
      <c r="O35" s="229"/>
      <c r="P35" s="230"/>
      <c r="Q35" s="230"/>
      <c r="R35" s="231"/>
      <c r="S35" s="230"/>
      <c r="T35" s="230"/>
      <c r="U35" s="232"/>
      <c r="V35" s="233"/>
      <c r="W35" s="229"/>
      <c r="X35" s="234"/>
      <c r="Y35" s="2"/>
    </row>
    <row r="36" spans="1:25" customFormat="1" ht="16.5" hidden="1" outlineLevel="1" thickBot="1">
      <c r="A36" s="2"/>
      <c r="B36" s="147"/>
      <c r="C36" s="227"/>
      <c r="D36" s="199" t="s">
        <v>345</v>
      </c>
      <c r="E36" s="189">
        <f>IF(ROUND(((E37-$E$9)*($W26))+0.25,0) &lt;=0,1,((E37-$E$9)*($W26))+0.25)</f>
        <v>1.2599999999999996</v>
      </c>
      <c r="F36" s="190">
        <f>IF(ROUND(((F37-$E$9)*($W26))+0.25,0) &lt;=0,1,((F37-$E$9)*($W26))+0.25)</f>
        <v>2.4499999999999997</v>
      </c>
      <c r="G36" s="190">
        <f t="shared" ref="G36:I36" si="6">IF(ROUND(((G37-$E$9)*($W26))+0.25,0) &lt;=0,1,((G37-$E$9)*($W26))+0.25)</f>
        <v>9.36</v>
      </c>
      <c r="H36" s="190">
        <f t="shared" si="6"/>
        <v>15.03</v>
      </c>
      <c r="I36" s="190">
        <f t="shared" si="6"/>
        <v>18.14</v>
      </c>
      <c r="J36" s="229"/>
      <c r="K36" s="230"/>
      <c r="L36" s="230"/>
      <c r="M36" s="230"/>
      <c r="N36" s="231"/>
      <c r="O36" s="229"/>
      <c r="P36" s="230"/>
      <c r="Q36" s="230"/>
      <c r="R36" s="231"/>
      <c r="S36" s="230"/>
      <c r="T36" s="230"/>
      <c r="U36" s="232"/>
      <c r="V36" s="233"/>
      <c r="W36" s="229"/>
      <c r="X36" s="234"/>
      <c r="Y36" s="2"/>
    </row>
    <row r="37" spans="1:25" customFormat="1" ht="16.5" hidden="1" outlineLevel="1" thickBot="1">
      <c r="A37" s="2"/>
      <c r="B37" s="147"/>
      <c r="C37" s="227"/>
      <c r="D37" s="95" t="s">
        <v>346</v>
      </c>
      <c r="E37" s="159">
        <f>IFERROR(E26/$W26,0)</f>
        <v>4.0199999999999993E-2</v>
      </c>
      <c r="F37" s="160">
        <f t="shared" ref="F37" si="7">IFERROR(F26/$W26,0)</f>
        <v>6.4000000000000001E-2</v>
      </c>
      <c r="G37" s="160">
        <f>IFERROR(G26/$W26,0)</f>
        <v>0.20219999999999999</v>
      </c>
      <c r="H37" s="160">
        <f t="shared" ref="H37" si="8">IFERROR(H26/$W26,0)</f>
        <v>0.31559999999999999</v>
      </c>
      <c r="I37" s="160">
        <f>IFERROR(I26/$W26,0)</f>
        <v>0.37780000000000002</v>
      </c>
      <c r="J37" s="229"/>
      <c r="K37" s="230"/>
      <c r="L37" s="230"/>
      <c r="M37" s="230"/>
      <c r="N37" s="231"/>
      <c r="O37" s="229"/>
      <c r="P37" s="230"/>
      <c r="Q37" s="230"/>
      <c r="R37" s="231"/>
      <c r="S37" s="230"/>
      <c r="T37" s="230"/>
      <c r="U37" s="232"/>
      <c r="V37" s="233"/>
      <c r="W37" s="229"/>
      <c r="X37" s="234"/>
      <c r="Y37" s="2"/>
    </row>
    <row r="38" spans="1:25" customFormat="1" ht="16.5" hidden="1" outlineLevel="1" thickBot="1">
      <c r="A38" s="2"/>
      <c r="B38" s="147"/>
      <c r="C38" s="227"/>
      <c r="D38" s="180" t="s">
        <v>347</v>
      </c>
      <c r="E38" s="159">
        <f>IFERROR(E27/$W26,0)</f>
        <v>0.06</v>
      </c>
      <c r="F38" s="160">
        <f t="shared" ref="F38:I38" si="9">IFERROR(F27/$W26,0)</f>
        <v>0.06</v>
      </c>
      <c r="G38" s="160">
        <f t="shared" si="9"/>
        <v>0.2</v>
      </c>
      <c r="H38" s="160">
        <f t="shared" si="9"/>
        <v>0.3</v>
      </c>
      <c r="I38" s="160">
        <f t="shared" si="9"/>
        <v>0.38</v>
      </c>
      <c r="J38" s="229"/>
      <c r="K38" s="230"/>
      <c r="L38" s="230"/>
      <c r="M38" s="230"/>
      <c r="N38" s="231"/>
      <c r="O38" s="229"/>
      <c r="P38" s="230"/>
      <c r="Q38" s="230"/>
      <c r="R38" s="231"/>
      <c r="S38" s="230"/>
      <c r="T38" s="230"/>
      <c r="U38" s="232"/>
      <c r="V38" s="233"/>
      <c r="W38" s="229"/>
      <c r="X38" s="234"/>
      <c r="Y38" s="2"/>
    </row>
    <row r="39" spans="1:25" customFormat="1" ht="16.5" hidden="1" outlineLevel="1" thickBot="1">
      <c r="A39" s="2"/>
      <c r="B39" s="147"/>
      <c r="C39" s="236"/>
      <c r="D39" s="237" t="s">
        <v>348</v>
      </c>
      <c r="E39" s="238">
        <f>E38-E37</f>
        <v>1.9800000000000005E-2</v>
      </c>
      <c r="F39" s="239">
        <f t="shared" ref="F39:I39" si="10">F38-F37</f>
        <v>-4.0000000000000036E-3</v>
      </c>
      <c r="G39" s="239">
        <f t="shared" si="10"/>
        <v>-2.1999999999999797E-3</v>
      </c>
      <c r="H39" s="239">
        <f t="shared" si="10"/>
        <v>-1.5600000000000003E-2</v>
      </c>
      <c r="I39" s="239">
        <f t="shared" si="10"/>
        <v>2.1999999999999797E-3</v>
      </c>
      <c r="J39" s="240"/>
      <c r="K39" s="241"/>
      <c r="L39" s="241"/>
      <c r="M39" s="241"/>
      <c r="N39" s="242"/>
      <c r="O39" s="240"/>
      <c r="P39" s="241"/>
      <c r="Q39" s="241"/>
      <c r="R39" s="242"/>
      <c r="S39" s="241"/>
      <c r="T39" s="241"/>
      <c r="U39" s="243"/>
      <c r="V39" s="244"/>
      <c r="W39" s="240"/>
      <c r="X39" s="245"/>
      <c r="Y39" s="2"/>
    </row>
    <row r="40" spans="1:25" ht="16.5" customHeight="1" collapsed="1">
      <c r="B40" s="96"/>
    </row>
  </sheetData>
  <mergeCells count="26">
    <mergeCell ref="C12:C20"/>
    <mergeCell ref="B26:B34"/>
    <mergeCell ref="C26:C34"/>
    <mergeCell ref="B12:B20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">
    <cfRule type="expression" dxfId="167" priority="24">
      <formula>ROUND(E$13,0) &gt;= ROUND(E$12,0)</formula>
    </cfRule>
  </conditionalFormatting>
  <conditionalFormatting sqref="E19:W19">
    <cfRule type="expression" dxfId="166" priority="30">
      <formula>ROUND(E$19,0) &lt; ROUND(E$12,0)</formula>
    </cfRule>
  </conditionalFormatting>
  <conditionalFormatting sqref="E27:W27">
    <cfRule type="expression" dxfId="165" priority="19">
      <formula>ROUND(E$27,0) &gt;= ROUND(E$26,0)</formula>
    </cfRule>
  </conditionalFormatting>
  <conditionalFormatting sqref="E33:W33">
    <cfRule type="expression" dxfId="164" priority="20">
      <formula>ROUND(E$33,0) &lt; ROUND(E$26,0)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BB923-0D65-4EC8-8002-D2BD23F7FB72}">
  <sheetPr codeName="Sheet18">
    <tabColor rgb="FF92D050"/>
  </sheetPr>
  <dimension ref="A1:AJ180"/>
  <sheetViews>
    <sheetView topLeftCell="A130" zoomScaleNormal="100" workbookViewId="0">
      <selection activeCell="T71" sqref="T71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2.125" style="2" customWidth="1"/>
    <col min="26" max="26" width="0.875" style="2" customWidth="1"/>
    <col min="27" max="27" width="7.5" style="2" customWidth="1"/>
    <col min="28" max="28" width="15" style="2" bestFit="1" customWidth="1"/>
    <col min="29" max="29" width="23.625" style="2" customWidth="1"/>
    <col min="30" max="32" width="7.5" style="2" customWidth="1"/>
    <col min="33" max="33" width="7" style="2" customWidth="1"/>
    <col min="34" max="34" width="0.5" style="2" customWidth="1"/>
    <col min="35" max="63" width="7.5" style="2" customWidth="1"/>
    <col min="64" max="16322" width="2.5" style="2"/>
    <col min="16323" max="16323" width="1.125" style="2" customWidth="1"/>
    <col min="16324" max="16324" width="2.5" style="2" customWidth="1"/>
    <col min="16325" max="16325" width="3.5" style="2" customWidth="1"/>
    <col min="16326" max="16326" width="1" style="2" customWidth="1"/>
    <col min="16327" max="16327" width="0.625" style="2" customWidth="1"/>
    <col min="16328" max="16328" width="2.125" style="2" customWidth="1"/>
    <col min="16329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Validity WISC-6/WIAT-4 - Paper")</f>
        <v>Study Name: 
Validity WISC-6/WIAT-4 -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customHeight="1" thickBot="1">
      <c r="A3" s="2"/>
      <c r="B3" s="2"/>
      <c r="C3" s="2"/>
      <c r="D3" s="536" t="str">
        <f>_xlfn.CONCAT("Study Acronym: ","
V_WIAT4_P")</f>
        <v>Study Acronym: 
V_WIAT4_P</v>
      </c>
      <c r="E3" s="512"/>
      <c r="F3" s="583" t="s">
        <v>376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38.75" customHeight="1" thickBot="1">
      <c r="A6" s="2"/>
      <c r="B6" s="2"/>
      <c r="C6" s="98"/>
      <c r="D6" s="585" t="s">
        <v>378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",aurora_data!V1332)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540" t="s">
        <v>332</v>
      </c>
      <c r="AB8" s="541"/>
      <c r="AC8" s="541"/>
      <c r="AD8" s="541"/>
      <c r="AE8" s="541"/>
      <c r="AF8" s="541"/>
      <c r="AG8" s="541"/>
      <c r="AH8" s="44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/>
      <c r="AD9" s="528"/>
      <c r="AE9" s="529"/>
      <c r="AF9" s="529"/>
      <c r="AG9" s="529"/>
      <c r="AH9" s="2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7"/>
      <c r="AH10" s="32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3" t="s">
        <v>50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560" t="s">
        <v>362</v>
      </c>
      <c r="C12" s="453" t="str">
        <f>aurora_data!A1332</f>
        <v>06.00.00-06.11.30</v>
      </c>
      <c r="D12" s="34" t="s">
        <v>306</v>
      </c>
      <c r="E12" s="39">
        <f>IFERROR(aurora_data!D1332,0)</f>
        <v>0.52</v>
      </c>
      <c r="F12" s="40">
        <f>IFERROR(aurora_data!E1332,0)</f>
        <v>0.99</v>
      </c>
      <c r="G12" s="40">
        <f>IFERROR(aurora_data!F1332,0)</f>
        <v>3.97</v>
      </c>
      <c r="H12" s="40">
        <f>IFERROR(aurora_data!G1332,0)</f>
        <v>6.43</v>
      </c>
      <c r="I12" s="41">
        <f>IFERROR(aurora_data!H1332,0)</f>
        <v>8.09</v>
      </c>
      <c r="J12" s="39">
        <f>IFERROR(aurora_data!I1332,0)</f>
        <v>1</v>
      </c>
      <c r="K12" s="40">
        <f>IFERROR(aurora_data!J1332,0)</f>
        <v>1</v>
      </c>
      <c r="L12" s="40">
        <f>IFERROR(aurora_data!K1332,0)</f>
        <v>1</v>
      </c>
      <c r="M12" s="40">
        <f>IFERROR(aurora_data!L1332,0)</f>
        <v>1</v>
      </c>
      <c r="N12" s="41">
        <f>IFERROR(aurora_data!M1332,0)</f>
        <v>1</v>
      </c>
      <c r="O12" s="39">
        <f>IFERROR(aurora_data!N1332,0)</f>
        <v>1</v>
      </c>
      <c r="P12" s="40">
        <f>IFERROR(aurora_data!O1332,0)</f>
        <v>1</v>
      </c>
      <c r="Q12" s="40">
        <f>IFERROR(aurora_data!P1332,0)</f>
        <v>1</v>
      </c>
      <c r="R12" s="41">
        <f>IFERROR(aurora_data!Q1332,0)</f>
        <v>1</v>
      </c>
      <c r="S12" s="40">
        <f>IFERROR(aurora_data!R1332,0)</f>
        <v>1</v>
      </c>
      <c r="T12" s="40">
        <f>IFERROR(aurora_data!S1332,0)</f>
        <v>1</v>
      </c>
      <c r="U12" s="74">
        <f>IFERROR(aurora_data!T932,0)</f>
        <v>0</v>
      </c>
      <c r="V12" s="61" t="s">
        <v>354</v>
      </c>
      <c r="W12" s="39">
        <f>IFERROR(aurora_data!U1332,0)</f>
        <v>20</v>
      </c>
      <c r="X12" s="69">
        <f>IFERROR(W12/$W$12,0)</f>
        <v>1</v>
      </c>
      <c r="Y12" s="2"/>
      <c r="AA12" s="451" t="s">
        <v>338</v>
      </c>
      <c r="AB12" s="453" t="str">
        <f>aurora_data!A1332</f>
        <v>06.00.00-06.11.30</v>
      </c>
      <c r="AC12" s="34" t="s">
        <v>306</v>
      </c>
      <c r="AD12" s="39">
        <v>2</v>
      </c>
      <c r="AE12" s="40">
        <v>4</v>
      </c>
      <c r="AF12" s="40">
        <v>6</v>
      </c>
      <c r="AG12" s="41">
        <v>8</v>
      </c>
      <c r="AH12" s="61" t="s">
        <v>354</v>
      </c>
      <c r="AI12" s="39">
        <f>IFERROR(aurora_data!U1332,0)</f>
        <v>20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IFERROR(aurora_data!D1333,0)</f>
        <v>1</v>
      </c>
      <c r="F13" s="253">
        <f>IFERROR(aurora_data!E1333,0)</f>
        <v>1</v>
      </c>
      <c r="G13" s="253">
        <f>IFERROR(aurora_data!F1333,0)</f>
        <v>4</v>
      </c>
      <c r="H13" s="253">
        <f>IFERROR(aurora_data!G1333,0)</f>
        <v>6</v>
      </c>
      <c r="I13" s="254">
        <f>IFERROR(aurora_data!H1333,0)</f>
        <v>8</v>
      </c>
      <c r="J13" s="113">
        <f>IFERROR(aurora_data!I1333,0)</f>
        <v>1</v>
      </c>
      <c r="K13" s="253">
        <f>IFERROR(aurora_data!J1333,0)</f>
        <v>4</v>
      </c>
      <c r="L13" s="253">
        <f>IFERROR(aurora_data!K1333,0)</f>
        <v>6</v>
      </c>
      <c r="M13" s="253">
        <f>IFERROR(aurora_data!L1333,0)</f>
        <v>2</v>
      </c>
      <c r="N13" s="254">
        <f>IFERROR(aurora_data!M1333,0)</f>
        <v>7</v>
      </c>
      <c r="O13" s="113">
        <f>IFERROR(aurora_data!N1333,0)</f>
        <v>8</v>
      </c>
      <c r="P13" s="253">
        <f>IFERROR(aurora_data!O1333,0)</f>
        <v>2</v>
      </c>
      <c r="Q13" s="253">
        <f>IFERROR(aurora_data!P1333,0)</f>
        <v>6</v>
      </c>
      <c r="R13" s="254">
        <f>IFERROR(aurora_data!Q1333,0)</f>
        <v>4</v>
      </c>
      <c r="S13" s="253">
        <f>IFERROR(aurora_data!R1333,0)</f>
        <v>10</v>
      </c>
      <c r="T13" s="253">
        <f>IFERROR(aurora_data!S1333,0)</f>
        <v>10</v>
      </c>
      <c r="U13" s="254">
        <f>IFERROR(aurora_data!T933,0)</f>
        <v>0</v>
      </c>
      <c r="V13" s="61" t="s">
        <v>354</v>
      </c>
      <c r="W13" s="113">
        <f>IFERROR(aurora_data!U1333,0)</f>
        <v>20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IFERROR(aurora_data!D1333,0)+IFERROR(aurora_data!E1333,0)</f>
        <v>2</v>
      </c>
      <c r="AE13" s="253">
        <f>IFERROR(aurora_data!F1333,0)</f>
        <v>4</v>
      </c>
      <c r="AF13" s="253">
        <f>IFERROR(aurora_data!G1333,0)</f>
        <v>6</v>
      </c>
      <c r="AG13" s="254">
        <f>IFERROR(aurora_data!H1333,0)</f>
        <v>8</v>
      </c>
      <c r="AH13" s="61" t="s">
        <v>354</v>
      </c>
      <c r="AI13" s="113">
        <f>IFERROR(aurora_data!U1333,0)</f>
        <v>20</v>
      </c>
      <c r="AJ13" s="255">
        <f t="shared" si="0"/>
        <v>1</v>
      </c>
    </row>
    <row r="14" spans="1:36" customFormat="1">
      <c r="A14" s="2"/>
      <c r="B14" s="561"/>
      <c r="C14" s="454"/>
      <c r="D14" s="35" t="s">
        <v>291</v>
      </c>
      <c r="E14" s="113">
        <f>IFERROR(aurora_data!D1334,0)</f>
        <v>0</v>
      </c>
      <c r="F14" s="253">
        <f>IFERROR(aurora_data!E1334,0)</f>
        <v>0</v>
      </c>
      <c r="G14" s="253">
        <f>IFERROR(aurora_data!F1334,0)</f>
        <v>0</v>
      </c>
      <c r="H14" s="253">
        <f>IFERROR(aurora_data!G1334,0)</f>
        <v>0</v>
      </c>
      <c r="I14" s="254">
        <f>IFERROR(aurora_data!H1334,0)</f>
        <v>1</v>
      </c>
      <c r="J14" s="113">
        <f>IFERROR(aurora_data!I1334,0)</f>
        <v>0</v>
      </c>
      <c r="K14" s="253">
        <f>IFERROR(aurora_data!J1334,0)</f>
        <v>0</v>
      </c>
      <c r="L14" s="253">
        <f>IFERROR(aurora_data!K1334,0)</f>
        <v>0</v>
      </c>
      <c r="M14" s="253">
        <f>IFERROR(aurora_data!L1334,0)</f>
        <v>0</v>
      </c>
      <c r="N14" s="254">
        <f>IFERROR(aurora_data!M1334,0)</f>
        <v>1</v>
      </c>
      <c r="O14" s="113">
        <f>IFERROR(aurora_data!N1334,0)</f>
        <v>1</v>
      </c>
      <c r="P14" s="253">
        <f>IFERROR(aurora_data!O1334,0)</f>
        <v>0</v>
      </c>
      <c r="Q14" s="253">
        <f>IFERROR(aurora_data!P1334,0)</f>
        <v>0</v>
      </c>
      <c r="R14" s="254">
        <f>IFERROR(aurora_data!Q1334,0)</f>
        <v>0</v>
      </c>
      <c r="S14" s="253">
        <f>IFERROR(aurora_data!R1334,0)</f>
        <v>0</v>
      </c>
      <c r="T14" s="253">
        <f>IFERROR(aurora_data!S1334,0)</f>
        <v>1</v>
      </c>
      <c r="U14" s="254">
        <f>IFERROR(aurora_data!T934,0)</f>
        <v>0</v>
      </c>
      <c r="V14" s="61" t="s">
        <v>354</v>
      </c>
      <c r="W14" s="113">
        <f>IFERROR(aurora_data!U1334,0)</f>
        <v>1</v>
      </c>
      <c r="X14" s="255">
        <f t="shared" si="1"/>
        <v>0.05</v>
      </c>
      <c r="Y14" s="2"/>
      <c r="AA14" s="452"/>
      <c r="AB14" s="454"/>
      <c r="AC14" s="35" t="s">
        <v>291</v>
      </c>
      <c r="AD14" s="113">
        <f>IFERROR(aurora_data!D1334,0)+IFERROR(aurora_data!E1334,0)</f>
        <v>0</v>
      </c>
      <c r="AE14" s="253">
        <f>IFERROR(aurora_data!F1334,0)</f>
        <v>0</v>
      </c>
      <c r="AF14" s="253">
        <f>IFERROR(aurora_data!G1334,0)</f>
        <v>0</v>
      </c>
      <c r="AG14" s="254">
        <f>IFERROR(aurora_data!H1334,0)</f>
        <v>1</v>
      </c>
      <c r="AH14" s="61" t="s">
        <v>354</v>
      </c>
      <c r="AI14" s="113">
        <f>IFERROR(aurora_data!U1334,0)</f>
        <v>1</v>
      </c>
      <c r="AJ14" s="255">
        <f t="shared" si="0"/>
        <v>0.05</v>
      </c>
    </row>
    <row r="15" spans="1:36" customFormat="1">
      <c r="A15" s="2"/>
      <c r="B15" s="561"/>
      <c r="C15" s="454"/>
      <c r="D15" s="35" t="s">
        <v>340</v>
      </c>
      <c r="E15" s="113">
        <f>IFERROR(aurora_data!D1335,0)</f>
        <v>0</v>
      </c>
      <c r="F15" s="253">
        <f>IFERROR(aurora_data!E1335,0)</f>
        <v>0</v>
      </c>
      <c r="G15" s="253">
        <f>IFERROR(aurora_data!F1335,0)</f>
        <v>0</v>
      </c>
      <c r="H15" s="253">
        <f>IFERROR(aurora_data!G1335,0)</f>
        <v>0</v>
      </c>
      <c r="I15" s="254">
        <f>IFERROR(aurora_data!H1335,0)</f>
        <v>0</v>
      </c>
      <c r="J15" s="113">
        <f>IFERROR(aurora_data!I1335,0)</f>
        <v>0</v>
      </c>
      <c r="K15" s="253">
        <f>IFERROR(aurora_data!J1335,0)</f>
        <v>0</v>
      </c>
      <c r="L15" s="253">
        <f>IFERROR(aurora_data!K1335,0)</f>
        <v>0</v>
      </c>
      <c r="M15" s="253">
        <f>IFERROR(aurora_data!L1335,0)</f>
        <v>0</v>
      </c>
      <c r="N15" s="254">
        <f>IFERROR(aurora_data!M1335,0)</f>
        <v>0</v>
      </c>
      <c r="O15" s="113">
        <f>IFERROR(aurora_data!N1335,0)</f>
        <v>0</v>
      </c>
      <c r="P15" s="253">
        <f>IFERROR(aurora_data!O1335,0)</f>
        <v>0</v>
      </c>
      <c r="Q15" s="253">
        <f>IFERROR(aurora_data!P1335,0)</f>
        <v>0</v>
      </c>
      <c r="R15" s="254">
        <f>IFERROR(aurora_data!Q1335,0)</f>
        <v>0</v>
      </c>
      <c r="S15" s="253">
        <f>IFERROR(aurora_data!R1335,0)</f>
        <v>0</v>
      </c>
      <c r="T15" s="253">
        <f>IFERROR(aurora_data!S1335,0)</f>
        <v>0</v>
      </c>
      <c r="U15" s="254">
        <f>IFERROR(aurora_data!T935,0)</f>
        <v>0</v>
      </c>
      <c r="V15" s="61" t="s">
        <v>354</v>
      </c>
      <c r="W15" s="113">
        <f>IFERROR(aurora_data!U1335,0)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IFERROR(aurora_data!D1335,0)+IFERROR(aurora_data!E1335,0)</f>
        <v>0</v>
      </c>
      <c r="AE15" s="253">
        <f>IFERROR(aurora_data!F1335,0)</f>
        <v>0</v>
      </c>
      <c r="AF15" s="253">
        <f>IFERROR(aurora_data!G1335,0)</f>
        <v>0</v>
      </c>
      <c r="AG15" s="254">
        <f>IFERROR(aurora_data!H1335,0)</f>
        <v>0</v>
      </c>
      <c r="AH15" s="61" t="s">
        <v>354</v>
      </c>
      <c r="AI15" s="113">
        <f>IFERROR(aurora_data!U1335,0)</f>
        <v>0</v>
      </c>
      <c r="AJ15" s="255">
        <f t="shared" si="0"/>
        <v>0</v>
      </c>
    </row>
    <row r="16" spans="1:36" customFormat="1">
      <c r="A16" s="2"/>
      <c r="B16" s="561"/>
      <c r="C16" s="454"/>
      <c r="D16" s="35" t="s">
        <v>298</v>
      </c>
      <c r="E16" s="113">
        <f>IFERROR(aurora_data!D1336,0)</f>
        <v>0</v>
      </c>
      <c r="F16" s="253">
        <f>IFERROR(aurora_data!E1336,0)</f>
        <v>0</v>
      </c>
      <c r="G16" s="253">
        <f>IFERROR(aurora_data!F1336,0)</f>
        <v>0</v>
      </c>
      <c r="H16" s="253">
        <f>IFERROR(aurora_data!G1336,0)</f>
        <v>0</v>
      </c>
      <c r="I16" s="254">
        <f>IFERROR(aurora_data!H1336,0)</f>
        <v>0</v>
      </c>
      <c r="J16" s="113">
        <f>IFERROR(aurora_data!I1336,0)</f>
        <v>0</v>
      </c>
      <c r="K16" s="253">
        <f>IFERROR(aurora_data!J1336,0)</f>
        <v>0</v>
      </c>
      <c r="L16" s="253">
        <f>IFERROR(aurora_data!K1336,0)</f>
        <v>0</v>
      </c>
      <c r="M16" s="253">
        <f>IFERROR(aurora_data!L1336,0)</f>
        <v>0</v>
      </c>
      <c r="N16" s="254">
        <f>IFERROR(aurora_data!M1336,0)</f>
        <v>0</v>
      </c>
      <c r="O16" s="113">
        <f>IFERROR(aurora_data!N1336,0)</f>
        <v>0</v>
      </c>
      <c r="P16" s="253">
        <f>IFERROR(aurora_data!O1336,0)</f>
        <v>0</v>
      </c>
      <c r="Q16" s="253">
        <f>IFERROR(aurora_data!P1336,0)</f>
        <v>0</v>
      </c>
      <c r="R16" s="254">
        <f>IFERROR(aurora_data!Q1336,0)</f>
        <v>0</v>
      </c>
      <c r="S16" s="253">
        <f>IFERROR(aurora_data!R1336,0)</f>
        <v>0</v>
      </c>
      <c r="T16" s="253">
        <f>IFERROR(aurora_data!S1336,0)</f>
        <v>0</v>
      </c>
      <c r="U16" s="254">
        <f>IFERROR(aurora_data!T936,0)</f>
        <v>0</v>
      </c>
      <c r="V16" s="61" t="s">
        <v>354</v>
      </c>
      <c r="W16" s="113">
        <f>IFERROR(aurora_data!U1336,0)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IFERROR(aurora_data!D1336,0)+IFERROR(aurora_data!E1336,0)</f>
        <v>0</v>
      </c>
      <c r="AE16" s="253">
        <f>IFERROR(aurora_data!F1336,0)</f>
        <v>0</v>
      </c>
      <c r="AF16" s="253">
        <f>IFERROR(aurora_data!G1336,0)</f>
        <v>0</v>
      </c>
      <c r="AG16" s="254">
        <f>IFERROR(aurora_data!H1336,0)</f>
        <v>0</v>
      </c>
      <c r="AH16" s="61" t="s">
        <v>354</v>
      </c>
      <c r="AI16" s="113">
        <f>IFERROR(aurora_data!U1336,0)</f>
        <v>0</v>
      </c>
      <c r="AJ16" s="255">
        <f t="shared" si="0"/>
        <v>0</v>
      </c>
    </row>
    <row r="17" spans="1:36" customFormat="1">
      <c r="A17" s="2"/>
      <c r="B17" s="561"/>
      <c r="C17" s="454"/>
      <c r="D17" s="35" t="s">
        <v>341</v>
      </c>
      <c r="E17" s="113">
        <f>IFERROR(aurora_data!D1337,0)</f>
        <v>0</v>
      </c>
      <c r="F17" s="253">
        <f>IFERROR(aurora_data!E1337,0)</f>
        <v>0</v>
      </c>
      <c r="G17" s="253">
        <f>IFERROR(aurora_data!F1337,0)</f>
        <v>0</v>
      </c>
      <c r="H17" s="253">
        <f>IFERROR(aurora_data!G1337,0)</f>
        <v>0</v>
      </c>
      <c r="I17" s="254">
        <f>IFERROR(aurora_data!H1337,0)</f>
        <v>0</v>
      </c>
      <c r="J17" s="113">
        <f>IFERROR(aurora_data!I1337,0)</f>
        <v>0</v>
      </c>
      <c r="K17" s="253">
        <f>IFERROR(aurora_data!J1337,0)</f>
        <v>0</v>
      </c>
      <c r="L17" s="253">
        <f>IFERROR(aurora_data!K1337,0)</f>
        <v>0</v>
      </c>
      <c r="M17" s="253">
        <f>IFERROR(aurora_data!L1337,0)</f>
        <v>0</v>
      </c>
      <c r="N17" s="254">
        <f>IFERROR(aurora_data!M1337,0)</f>
        <v>0</v>
      </c>
      <c r="O17" s="113">
        <f>IFERROR(aurora_data!N1337,0)</f>
        <v>0</v>
      </c>
      <c r="P17" s="253">
        <f>IFERROR(aurora_data!O1337,0)</f>
        <v>0</v>
      </c>
      <c r="Q17" s="253">
        <f>IFERROR(aurora_data!P1337,0)</f>
        <v>0</v>
      </c>
      <c r="R17" s="254">
        <f>IFERROR(aurora_data!Q1337,0)</f>
        <v>0</v>
      </c>
      <c r="S17" s="253">
        <f>IFERROR(aurora_data!R1337,0)</f>
        <v>0</v>
      </c>
      <c r="T17" s="253">
        <f>IFERROR(aurora_data!S1337,0)</f>
        <v>0</v>
      </c>
      <c r="U17" s="254">
        <f>IFERROR(aurora_data!T937,0)</f>
        <v>0</v>
      </c>
      <c r="V17" s="61" t="s">
        <v>354</v>
      </c>
      <c r="W17" s="113">
        <f>IFERROR(aurora_data!U1337,0)</f>
        <v>0</v>
      </c>
      <c r="X17" s="255">
        <f t="shared" si="1"/>
        <v>0</v>
      </c>
      <c r="Y17" s="2"/>
      <c r="AA17" s="452"/>
      <c r="AB17" s="454"/>
      <c r="AC17" s="35" t="s">
        <v>341</v>
      </c>
      <c r="AD17" s="113">
        <f>IFERROR(aurora_data!D1337,0)+IFERROR(aurora_data!E1337,0)</f>
        <v>0</v>
      </c>
      <c r="AE17" s="253">
        <f>IFERROR(aurora_data!F1337,0)</f>
        <v>0</v>
      </c>
      <c r="AF17" s="253">
        <f>IFERROR(aurora_data!G1337,0)</f>
        <v>0</v>
      </c>
      <c r="AG17" s="254">
        <f>IFERROR(aurora_data!H1337,0)</f>
        <v>0</v>
      </c>
      <c r="AH17" s="61" t="s">
        <v>354</v>
      </c>
      <c r="AI17" s="113">
        <f>IFERROR(aurora_data!U1337,0)</f>
        <v>0</v>
      </c>
      <c r="AJ17" s="255">
        <f t="shared" si="0"/>
        <v>0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IFERROR(aurora_data!D1338,0)</f>
        <v>0</v>
      </c>
      <c r="F18" s="253">
        <f>IFERROR(aurora_data!E1338,0)</f>
        <v>0</v>
      </c>
      <c r="G18" s="253">
        <f>IFERROR(aurora_data!F1338,0)</f>
        <v>0</v>
      </c>
      <c r="H18" s="253">
        <f>IFERROR(aurora_data!G1338,0)</f>
        <v>0</v>
      </c>
      <c r="I18" s="254">
        <f>IFERROR(aurora_data!H1338,0)</f>
        <v>0</v>
      </c>
      <c r="J18" s="113">
        <f>IFERROR(aurora_data!I1338,0)</f>
        <v>0</v>
      </c>
      <c r="K18" s="253">
        <f>IFERROR(aurora_data!J1338,0)</f>
        <v>0</v>
      </c>
      <c r="L18" s="253">
        <f>IFERROR(aurora_data!K1338,0)</f>
        <v>0</v>
      </c>
      <c r="M18" s="253">
        <f>IFERROR(aurora_data!L1338,0)</f>
        <v>0</v>
      </c>
      <c r="N18" s="254">
        <f>IFERROR(aurora_data!M1338,0)</f>
        <v>0</v>
      </c>
      <c r="O18" s="113">
        <f>IFERROR(aurora_data!N1338,0)</f>
        <v>0</v>
      </c>
      <c r="P18" s="253">
        <f>IFERROR(aurora_data!O1338,0)</f>
        <v>0</v>
      </c>
      <c r="Q18" s="253">
        <f>IFERROR(aurora_data!P1338,0)</f>
        <v>0</v>
      </c>
      <c r="R18" s="254">
        <f>IFERROR(aurora_data!Q1338,0)</f>
        <v>0</v>
      </c>
      <c r="S18" s="253">
        <f>IFERROR(aurora_data!R1338,0)</f>
        <v>0</v>
      </c>
      <c r="T18" s="253">
        <f>IFERROR(aurora_data!S1338,0)</f>
        <v>0</v>
      </c>
      <c r="U18" s="254">
        <f>IFERROR(aurora_data!T938,0)</f>
        <v>0</v>
      </c>
      <c r="V18" s="61" t="s">
        <v>354</v>
      </c>
      <c r="W18" s="113">
        <f>IFERROR(aurora_data!U1338,0)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IFERROR(aurora_data!D1338,0)+IFERROR(aurora_data!E1338,0)</f>
        <v>0</v>
      </c>
      <c r="AE18" s="253">
        <f>IFERROR(aurora_data!F1338,0)</f>
        <v>0</v>
      </c>
      <c r="AF18" s="253">
        <f>IFERROR(aurora_data!G1338,0)</f>
        <v>0</v>
      </c>
      <c r="AG18" s="254">
        <f>IFERROR(aurora_data!H1338,0)</f>
        <v>0</v>
      </c>
      <c r="AH18" s="61" t="s">
        <v>354</v>
      </c>
      <c r="AI18" s="113">
        <f>IFERROR(aurora_data!U1338,0)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IFERROR(aurora_data!D1339,0)</f>
        <v>1</v>
      </c>
      <c r="F19" s="64">
        <f>IFERROR(aurora_data!E1339,0)</f>
        <v>1</v>
      </c>
      <c r="G19" s="64">
        <f>IFERROR(aurora_data!F1339,0)</f>
        <v>4</v>
      </c>
      <c r="H19" s="64">
        <f>IFERROR(aurora_data!G1339,0)</f>
        <v>6</v>
      </c>
      <c r="I19" s="65">
        <f>IFERROR(aurora_data!H1339,0)</f>
        <v>9</v>
      </c>
      <c r="J19" s="59">
        <f>IFERROR(aurora_data!I1339,0)</f>
        <v>1</v>
      </c>
      <c r="K19" s="64">
        <f>IFERROR(aurora_data!J1339,0)</f>
        <v>4</v>
      </c>
      <c r="L19" s="64">
        <f>IFERROR(aurora_data!K1339,0)</f>
        <v>6</v>
      </c>
      <c r="M19" s="64">
        <f>IFERROR(aurora_data!L1339,0)</f>
        <v>2</v>
      </c>
      <c r="N19" s="65">
        <f>IFERROR(aurora_data!M1339,0)</f>
        <v>8</v>
      </c>
      <c r="O19" s="59">
        <f>IFERROR(aurora_data!N1339,0)</f>
        <v>9</v>
      </c>
      <c r="P19" s="64">
        <f>IFERROR(aurora_data!O1339,0)</f>
        <v>2</v>
      </c>
      <c r="Q19" s="64">
        <f>IFERROR(aurora_data!P1339,0)</f>
        <v>6</v>
      </c>
      <c r="R19" s="65">
        <f>IFERROR(aurora_data!Q1339,0)</f>
        <v>4</v>
      </c>
      <c r="S19" s="64">
        <f>IFERROR(aurora_data!R1339,0)</f>
        <v>10</v>
      </c>
      <c r="T19" s="64">
        <f>IFERROR(aurora_data!S1339,0)</f>
        <v>11</v>
      </c>
      <c r="U19" s="65">
        <f>IFERROR(aurora_data!T939,0)</f>
        <v>0</v>
      </c>
      <c r="V19" s="66" t="s">
        <v>354</v>
      </c>
      <c r="W19" s="59">
        <f>IFERROR(aurora_data!U1339,0)</f>
        <v>21</v>
      </c>
      <c r="X19" s="70">
        <f t="shared" si="1"/>
        <v>1.05</v>
      </c>
      <c r="Y19" s="2"/>
      <c r="AA19" s="452"/>
      <c r="AB19" s="454"/>
      <c r="AC19" s="360" t="s">
        <v>17</v>
      </c>
      <c r="AD19" s="59">
        <f>IFERROR(aurora_data!D1339,0)+IFERROR(aurora_data!E1339,0)</f>
        <v>2</v>
      </c>
      <c r="AE19" s="64">
        <f>IFERROR(aurora_data!F1339,0)</f>
        <v>4</v>
      </c>
      <c r="AF19" s="64">
        <f>IFERROR(aurora_data!G1339,0)</f>
        <v>6</v>
      </c>
      <c r="AG19" s="65">
        <f>IFERROR(aurora_data!H1339,0)</f>
        <v>9</v>
      </c>
      <c r="AH19" s="66" t="s">
        <v>354</v>
      </c>
      <c r="AI19" s="59">
        <f>IFERROR(aurora_data!U1339,0)</f>
        <v>21</v>
      </c>
      <c r="AJ19" s="70">
        <f t="shared" si="0"/>
        <v>1.05</v>
      </c>
    </row>
    <row r="20" spans="1:36" customFormat="1" ht="17.25" customHeight="1" thickBot="1">
      <c r="A20" s="2"/>
      <c r="B20" s="561"/>
      <c r="C20" s="454"/>
      <c r="D20" s="38" t="s">
        <v>343</v>
      </c>
      <c r="E20" s="256">
        <f>IFERROR(aurora_data!D1340,0)</f>
        <v>0</v>
      </c>
      <c r="F20" s="257">
        <f>IFERROR(aurora_data!E1340,0)</f>
        <v>0</v>
      </c>
      <c r="G20" s="257">
        <f>IFERROR(aurora_data!F1340,0)</f>
        <v>0</v>
      </c>
      <c r="H20" s="257">
        <f>IFERROR(aurora_data!G1340,0)</f>
        <v>0</v>
      </c>
      <c r="I20" s="258">
        <f>IFERROR(aurora_data!H1340,0)</f>
        <v>0</v>
      </c>
      <c r="J20" s="256">
        <f>IFERROR(aurora_data!I1340,0)</f>
        <v>0</v>
      </c>
      <c r="K20" s="257">
        <f>IFERROR(aurora_data!J1340,0)</f>
        <v>0</v>
      </c>
      <c r="L20" s="257">
        <f>IFERROR(aurora_data!K1340,0)</f>
        <v>0</v>
      </c>
      <c r="M20" s="257">
        <f>IFERROR(aurora_data!L1340,0)</f>
        <v>0</v>
      </c>
      <c r="N20" s="258">
        <f>IFERROR(aurora_data!M1340,0)</f>
        <v>0</v>
      </c>
      <c r="O20" s="256">
        <f>IFERROR(aurora_data!N1340,0)</f>
        <v>0</v>
      </c>
      <c r="P20" s="257">
        <f>IFERROR(aurora_data!O1340,0)</f>
        <v>0</v>
      </c>
      <c r="Q20" s="257">
        <f>IFERROR(aurora_data!P1340,0)</f>
        <v>0</v>
      </c>
      <c r="R20" s="258">
        <f>IFERROR(aurora_data!Q1340,0)</f>
        <v>0</v>
      </c>
      <c r="S20" s="257">
        <f>IFERROR(aurora_data!R1340,0)</f>
        <v>0</v>
      </c>
      <c r="T20" s="257">
        <f>IFERROR(aurora_data!S1340,0)</f>
        <v>0</v>
      </c>
      <c r="U20" s="259">
        <f>IFERROR(aurora_data!T940,0)</f>
        <v>0</v>
      </c>
      <c r="V20" s="260" t="s">
        <v>354</v>
      </c>
      <c r="W20" s="256">
        <f>IFERROR(aurora_data!U1340,0)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IFERROR(aurora_data!D1340,0)+IFERROR(aurora_data!E1340,0)</f>
        <v>0</v>
      </c>
      <c r="AE20" s="257">
        <f>IFERROR(aurora_data!F1340,0)</f>
        <v>0</v>
      </c>
      <c r="AF20" s="257">
        <f>IFERROR(aurora_data!G1340,0)</f>
        <v>0</v>
      </c>
      <c r="AG20" s="258">
        <f>IFERROR(aurora_data!H1340,0)</f>
        <v>0</v>
      </c>
      <c r="AH20" s="260" t="s">
        <v>354</v>
      </c>
      <c r="AI20" s="256">
        <f>IFERROR(aurora_data!U1340,0)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6">
        <f>(E23+$E$9)*($W12)</f>
        <v>0.91999999999999993</v>
      </c>
      <c r="F21" s="277">
        <f>(F23+$E$9)*($W12)</f>
        <v>1.3900000000000001</v>
      </c>
      <c r="G21" s="277">
        <f>(G23+$E$9)*($W12)</f>
        <v>4.37</v>
      </c>
      <c r="H21" s="277">
        <f>(H23+$E$9)*($W12)</f>
        <v>6.83</v>
      </c>
      <c r="I21" s="277">
        <f>(I23+$E$9)*($W12)</f>
        <v>8.49</v>
      </c>
      <c r="J21" s="294">
        <f>IFERROR(aurora_data!I1341,0)</f>
        <v>1</v>
      </c>
      <c r="K21" s="295">
        <f>IFERROR(aurora_data!J1341,0)</f>
        <v>1</v>
      </c>
      <c r="L21" s="295">
        <f>IFERROR(aurora_data!K1341,0)</f>
        <v>1</v>
      </c>
      <c r="M21" s="295">
        <f>IFERROR(aurora_data!L1341,0)</f>
        <v>1</v>
      </c>
      <c r="N21" s="296">
        <f>IFERROR(aurora_data!M1341,0)</f>
        <v>1</v>
      </c>
      <c r="O21" s="294">
        <f>IFERROR(aurora_data!N1341,0)</f>
        <v>1</v>
      </c>
      <c r="P21" s="295">
        <f>IFERROR(aurora_data!O1341,0)</f>
        <v>1</v>
      </c>
      <c r="Q21" s="295">
        <f>IFERROR(aurora_data!P1341,0)</f>
        <v>1</v>
      </c>
      <c r="R21" s="296">
        <f>IFERROR(aurora_data!Q1341,0)</f>
        <v>1</v>
      </c>
      <c r="S21" s="295">
        <f>IFERROR(aurora_data!R1341,0)</f>
        <v>1</v>
      </c>
      <c r="T21" s="295">
        <f>IFERROR(aurora_data!S1341,0)</f>
        <v>1</v>
      </c>
      <c r="U21" s="297">
        <f>IFERROR(aurora_data!T941,0)</f>
        <v>0</v>
      </c>
      <c r="V21" s="298" t="s">
        <v>354</v>
      </c>
      <c r="W21" s="294">
        <f>IFERROR(aurora_data!U1341,0)</f>
        <v>18</v>
      </c>
      <c r="X21" s="299"/>
      <c r="Y21" s="2"/>
      <c r="AA21" s="147"/>
      <c r="AB21" s="227"/>
      <c r="AC21" s="297"/>
      <c r="AD21" s="327"/>
      <c r="AE21" s="328"/>
      <c r="AF21" s="328"/>
      <c r="AG21" s="297"/>
      <c r="AH21" s="298" t="s">
        <v>354</v>
      </c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0.84000000000000008</v>
      </c>
      <c r="G22" s="277">
        <f t="shared" ref="G22:I22" si="2">IF(ROUND(((G23-$E$9)*($W12))+0.25,0) &lt;=0,1,((G23-$E$9)*($W12))+0.25)</f>
        <v>3.8200000000000003</v>
      </c>
      <c r="H22" s="277">
        <f t="shared" si="2"/>
        <v>6.2799999999999994</v>
      </c>
      <c r="I22" s="277">
        <f t="shared" si="2"/>
        <v>7.9399999999999995</v>
      </c>
      <c r="J22" s="294">
        <f>IFERROR(aurora_data!I1342,0)</f>
        <v>0</v>
      </c>
      <c r="K22" s="295">
        <f>IFERROR(aurora_data!J1342,0)</f>
        <v>2</v>
      </c>
      <c r="L22" s="295">
        <f>IFERROR(aurora_data!K1342,0)</f>
        <v>5</v>
      </c>
      <c r="M22" s="295">
        <f>IFERROR(aurora_data!L1342,0)</f>
        <v>2</v>
      </c>
      <c r="N22" s="296">
        <f>IFERROR(aurora_data!M1342,0)</f>
        <v>8</v>
      </c>
      <c r="O22" s="294">
        <f>IFERROR(aurora_data!N1342,0)</f>
        <v>7</v>
      </c>
      <c r="P22" s="295">
        <f>IFERROR(aurora_data!O1342,0)</f>
        <v>3</v>
      </c>
      <c r="Q22" s="295">
        <f>IFERROR(aurora_data!P1342,0)</f>
        <v>6</v>
      </c>
      <c r="R22" s="296">
        <f>IFERROR(aurora_data!Q1342,0)</f>
        <v>1</v>
      </c>
      <c r="S22" s="295">
        <f>IFERROR(aurora_data!R1342,0)</f>
        <v>11</v>
      </c>
      <c r="T22" s="295">
        <f>IFERROR(aurora_data!S1342,0)</f>
        <v>6</v>
      </c>
      <c r="U22" s="297">
        <f>IFERROR(aurora_data!T942,0)</f>
        <v>0</v>
      </c>
      <c r="V22" s="298" t="s">
        <v>354</v>
      </c>
      <c r="W22" s="294">
        <f>IFERROR(aurora_data!U1342,0)</f>
        <v>17</v>
      </c>
      <c r="X22" s="299"/>
      <c r="Y22" s="2"/>
      <c r="AA22" s="147"/>
      <c r="AB22" s="227"/>
      <c r="AC22" s="296"/>
      <c r="AD22" s="294"/>
      <c r="AE22" s="295"/>
      <c r="AF22" s="295"/>
      <c r="AG22" s="296"/>
      <c r="AH22" s="298" t="s">
        <v>354</v>
      </c>
      <c r="AI22" s="294"/>
      <c r="AJ22" s="299"/>
    </row>
    <row r="23" spans="1:36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" si="3">IFERROR(F12/$W12,0)</f>
        <v>4.9500000000000002E-2</v>
      </c>
      <c r="G23" s="415">
        <f>IFERROR(G12/$W12,0)</f>
        <v>0.19850000000000001</v>
      </c>
      <c r="H23" s="415">
        <f t="shared" ref="H23" si="4">IFERROR(H12/$W12,0)</f>
        <v>0.32150000000000001</v>
      </c>
      <c r="I23" s="415">
        <f>IFERROR(I12/$W12,0)</f>
        <v>0.40449999999999997</v>
      </c>
      <c r="J23" s="294">
        <f>IFERROR(aurora_data!I1343,0)</f>
        <v>0</v>
      </c>
      <c r="K23" s="295">
        <f>IFERROR(aurora_data!J1343,0)</f>
        <v>0</v>
      </c>
      <c r="L23" s="295">
        <f>IFERROR(aurora_data!K1343,0)</f>
        <v>1</v>
      </c>
      <c r="M23" s="295">
        <f>IFERROR(aurora_data!L1343,0)</f>
        <v>0</v>
      </c>
      <c r="N23" s="296">
        <f>IFERROR(aurora_data!M1343,0)</f>
        <v>1</v>
      </c>
      <c r="O23" s="294">
        <f>IFERROR(aurora_data!N1343,0)</f>
        <v>0</v>
      </c>
      <c r="P23" s="295">
        <f>IFERROR(aurora_data!O1343,0)</f>
        <v>0</v>
      </c>
      <c r="Q23" s="295">
        <f>IFERROR(aurora_data!P1343,0)</f>
        <v>2</v>
      </c>
      <c r="R23" s="296">
        <f>IFERROR(aurora_data!Q1343,0)</f>
        <v>0</v>
      </c>
      <c r="S23" s="295">
        <f>IFERROR(aurora_data!R1343,0)</f>
        <v>2</v>
      </c>
      <c r="T23" s="295">
        <f>IFERROR(aurora_data!S1343,0)</f>
        <v>0</v>
      </c>
      <c r="U23" s="297">
        <f>IFERROR(aurora_data!T943,0)</f>
        <v>0</v>
      </c>
      <c r="V23" s="298" t="s">
        <v>354</v>
      </c>
      <c r="W23" s="294">
        <f>IFERROR(aurora_data!U1343,0)</f>
        <v>2</v>
      </c>
      <c r="X23" s="299"/>
      <c r="Y23" s="2"/>
      <c r="AA23" s="147"/>
      <c r="AB23" s="227"/>
      <c r="AC23" s="296"/>
      <c r="AD23" s="294"/>
      <c r="AE23" s="295"/>
      <c r="AF23" s="295"/>
      <c r="AG23" s="296"/>
      <c r="AH23" s="298" t="s">
        <v>354</v>
      </c>
      <c r="AI23" s="294"/>
      <c r="AJ23" s="299"/>
    </row>
    <row r="24" spans="1:36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0.05</v>
      </c>
      <c r="F24" s="415">
        <f t="shared" ref="F24:I24" si="5">IFERROR(F13/$W12,0)</f>
        <v>0.05</v>
      </c>
      <c r="G24" s="415">
        <f t="shared" si="5"/>
        <v>0.2</v>
      </c>
      <c r="H24" s="415">
        <f t="shared" si="5"/>
        <v>0.3</v>
      </c>
      <c r="I24" s="415">
        <f t="shared" si="5"/>
        <v>0.4</v>
      </c>
      <c r="J24" s="294">
        <f>IFERROR(aurora_data!I1344,0)</f>
        <v>0</v>
      </c>
      <c r="K24" s="295">
        <f>IFERROR(aurora_data!J1344,0)</f>
        <v>0</v>
      </c>
      <c r="L24" s="295">
        <f>IFERROR(aurora_data!K1344,0)</f>
        <v>0</v>
      </c>
      <c r="M24" s="295">
        <f>IFERROR(aurora_data!L1344,0)</f>
        <v>0</v>
      </c>
      <c r="N24" s="296">
        <f>IFERROR(aurora_data!M1344,0)</f>
        <v>0</v>
      </c>
      <c r="O24" s="294">
        <f>IFERROR(aurora_data!N1344,0)</f>
        <v>0</v>
      </c>
      <c r="P24" s="295">
        <f>IFERROR(aurora_data!O1344,0)</f>
        <v>0</v>
      </c>
      <c r="Q24" s="295">
        <f>IFERROR(aurora_data!P1344,0)</f>
        <v>0</v>
      </c>
      <c r="R24" s="296">
        <f>IFERROR(aurora_data!Q1344,0)</f>
        <v>0</v>
      </c>
      <c r="S24" s="295">
        <f>IFERROR(aurora_data!R1344,0)</f>
        <v>0</v>
      </c>
      <c r="T24" s="295">
        <f>IFERROR(aurora_data!S1344,0)</f>
        <v>0</v>
      </c>
      <c r="U24" s="297">
        <f>IFERROR(aurora_data!T944,0)</f>
        <v>0</v>
      </c>
      <c r="V24" s="298" t="s">
        <v>354</v>
      </c>
      <c r="W24" s="294">
        <f>IFERROR(aurora_data!U1344,0)</f>
        <v>0</v>
      </c>
      <c r="X24" s="299"/>
      <c r="Y24" s="2"/>
      <c r="AA24" s="147"/>
      <c r="AB24" s="227"/>
      <c r="AC24" s="296"/>
      <c r="AD24" s="294"/>
      <c r="AE24" s="295"/>
      <c r="AF24" s="295"/>
      <c r="AG24" s="296"/>
      <c r="AH24" s="298" t="s">
        <v>354</v>
      </c>
      <c r="AI24" s="294"/>
      <c r="AJ24" s="299"/>
    </row>
    <row r="25" spans="1:36" customFormat="1" ht="16.5" hidden="1" outlineLevel="1" thickBot="1">
      <c r="A25" s="2"/>
      <c r="B25" s="147"/>
      <c r="C25" s="227"/>
      <c r="D25" s="180" t="s">
        <v>348</v>
      </c>
      <c r="E25" s="414">
        <f>E24-E23</f>
        <v>2.4E-2</v>
      </c>
      <c r="F25" s="415">
        <f t="shared" ref="F25:I25" si="6">F24-F23</f>
        <v>5.0000000000000044E-4</v>
      </c>
      <c r="G25" s="415">
        <f t="shared" si="6"/>
        <v>1.5000000000000013E-3</v>
      </c>
      <c r="H25" s="415">
        <f t="shared" si="6"/>
        <v>-2.1500000000000019E-2</v>
      </c>
      <c r="I25" s="415">
        <f t="shared" si="6"/>
        <v>-4.4999999999999485E-3</v>
      </c>
      <c r="J25" s="294">
        <f>IFERROR(aurora_data!I1345,0)</f>
        <v>0</v>
      </c>
      <c r="K25" s="295">
        <f>IFERROR(aurora_data!J1345,0)</f>
        <v>0</v>
      </c>
      <c r="L25" s="295">
        <f>IFERROR(aurora_data!K1345,0)</f>
        <v>0</v>
      </c>
      <c r="M25" s="295">
        <f>IFERROR(aurora_data!L1345,0)</f>
        <v>1</v>
      </c>
      <c r="N25" s="296">
        <f>IFERROR(aurora_data!M1345,0)</f>
        <v>0</v>
      </c>
      <c r="O25" s="294">
        <f>IFERROR(aurora_data!N1345,0)</f>
        <v>0</v>
      </c>
      <c r="P25" s="295">
        <f>IFERROR(aurora_data!O1345,0)</f>
        <v>0</v>
      </c>
      <c r="Q25" s="295">
        <f>IFERROR(aurora_data!P1345,0)</f>
        <v>1</v>
      </c>
      <c r="R25" s="296">
        <f>IFERROR(aurora_data!Q1345,0)</f>
        <v>0</v>
      </c>
      <c r="S25" s="295">
        <f>IFERROR(aurora_data!R1345,0)</f>
        <v>0</v>
      </c>
      <c r="T25" s="295">
        <f>IFERROR(aurora_data!S1345,0)</f>
        <v>1</v>
      </c>
      <c r="U25" s="297">
        <f>IFERROR(aurora_data!T945,0)</f>
        <v>0</v>
      </c>
      <c r="V25" s="298" t="s">
        <v>354</v>
      </c>
      <c r="W25" s="294">
        <f>IFERROR(aurora_data!U1345,0)</f>
        <v>1</v>
      </c>
      <c r="X25" s="299"/>
      <c r="Y25" s="2"/>
      <c r="AA25" s="147"/>
      <c r="AB25" s="227"/>
      <c r="AC25" s="331"/>
      <c r="AD25" s="329"/>
      <c r="AE25" s="330"/>
      <c r="AF25" s="330"/>
      <c r="AG25" s="331"/>
      <c r="AH25" s="298" t="s">
        <v>354</v>
      </c>
      <c r="AI25" s="294"/>
      <c r="AJ25" s="299"/>
    </row>
    <row r="26" spans="1:36" customFormat="1">
      <c r="A26" s="2"/>
      <c r="B26" s="451" t="s">
        <v>338</v>
      </c>
      <c r="C26" s="453" t="str">
        <f>aurora_data!A1341</f>
        <v>07.00.00-07.11.30</v>
      </c>
      <c r="D26" s="34" t="s">
        <v>306</v>
      </c>
      <c r="E26" s="39">
        <f>IFERROR(aurora_data!D1341,0)</f>
        <v>0.49</v>
      </c>
      <c r="F26" s="40">
        <f>IFERROR(aurora_data!E1341,0)</f>
        <v>0.95</v>
      </c>
      <c r="G26" s="40">
        <f>IFERROR(aurora_data!F1341,0)</f>
        <v>3.53</v>
      </c>
      <c r="H26" s="40">
        <f>IFERROR(aurora_data!G1341,0)</f>
        <v>5.86</v>
      </c>
      <c r="I26" s="41">
        <f>IFERROR(aurora_data!H1341,0)</f>
        <v>7.18</v>
      </c>
      <c r="J26" s="39">
        <f>IFERROR(aurora_data!I1341,0)</f>
        <v>1</v>
      </c>
      <c r="K26" s="40">
        <f>IFERROR(aurora_data!J1341,0)</f>
        <v>1</v>
      </c>
      <c r="L26" s="40">
        <f>IFERROR(aurora_data!K1341,0)</f>
        <v>1</v>
      </c>
      <c r="M26" s="40">
        <f>IFERROR(aurora_data!L1341,0)</f>
        <v>1</v>
      </c>
      <c r="N26" s="41">
        <f>IFERROR(aurora_data!M1341,0)</f>
        <v>1</v>
      </c>
      <c r="O26" s="39">
        <f>IFERROR(aurora_data!N1341,0)</f>
        <v>1</v>
      </c>
      <c r="P26" s="40">
        <f>IFERROR(aurora_data!O1341,0)</f>
        <v>1</v>
      </c>
      <c r="Q26" s="40">
        <f>IFERROR(aurora_data!P1341,0)</f>
        <v>1</v>
      </c>
      <c r="R26" s="41">
        <f>IFERROR(aurora_data!Q1341,0)</f>
        <v>1</v>
      </c>
      <c r="S26" s="40">
        <f>IFERROR(aurora_data!R1341,0)</f>
        <v>1</v>
      </c>
      <c r="T26" s="40">
        <f>IFERROR(aurora_data!S1341,0)</f>
        <v>1</v>
      </c>
      <c r="U26" s="41">
        <f>IFERROR(aurora_data!T941,0)</f>
        <v>0</v>
      </c>
      <c r="V26" s="61" t="s">
        <v>354</v>
      </c>
      <c r="W26" s="39">
        <f>IFERROR(aurora_data!U1341,0)</f>
        <v>18</v>
      </c>
      <c r="X26" s="69">
        <f>IFERROR(W26/$W$26,0)</f>
        <v>1</v>
      </c>
      <c r="Y26" s="2"/>
      <c r="AA26" s="451" t="s">
        <v>338</v>
      </c>
      <c r="AB26" s="453" t="str">
        <f>aurora_data!A1341</f>
        <v>07.00.00-07.11.30</v>
      </c>
      <c r="AC26" s="34" t="s">
        <v>306</v>
      </c>
      <c r="AD26" s="332">
        <v>2</v>
      </c>
      <c r="AE26" s="40">
        <v>4</v>
      </c>
      <c r="AF26" s="40">
        <v>6</v>
      </c>
      <c r="AG26" s="333">
        <v>6</v>
      </c>
      <c r="AH26" s="61" t="s">
        <v>354</v>
      </c>
      <c r="AI26" s="39">
        <f>IFERROR(aurora_data!U1341,0)</f>
        <v>18</v>
      </c>
      <c r="AJ26" s="69">
        <f t="shared" ref="AJ26:AJ34" si="7">IFERROR(AI26/$AI$26,0)</f>
        <v>1</v>
      </c>
    </row>
    <row r="27" spans="1:36" customFormat="1">
      <c r="A27" s="2"/>
      <c r="B27" s="452"/>
      <c r="C27" s="454"/>
      <c r="D27" s="35" t="s">
        <v>339</v>
      </c>
      <c r="E27" s="113">
        <f>IFERROR(aurora_data!D1342,0)</f>
        <v>1</v>
      </c>
      <c r="F27" s="253">
        <f>IFERROR(aurora_data!E1342,0)</f>
        <v>1</v>
      </c>
      <c r="G27" s="253">
        <f>IFERROR(aurora_data!F1342,0)</f>
        <v>3</v>
      </c>
      <c r="H27" s="253">
        <f>IFERROR(aurora_data!G1342,0)</f>
        <v>5</v>
      </c>
      <c r="I27" s="254">
        <f>IFERROR(aurora_data!H1342,0)</f>
        <v>7</v>
      </c>
      <c r="J27" s="113">
        <f>IFERROR(aurora_data!I1342,0)</f>
        <v>0</v>
      </c>
      <c r="K27" s="253">
        <f>IFERROR(aurora_data!J1342,0)</f>
        <v>2</v>
      </c>
      <c r="L27" s="253">
        <f>IFERROR(aurora_data!K1342,0)</f>
        <v>5</v>
      </c>
      <c r="M27" s="253">
        <f>IFERROR(aurora_data!L1342,0)</f>
        <v>2</v>
      </c>
      <c r="N27" s="254">
        <f>IFERROR(aurora_data!M1342,0)</f>
        <v>8</v>
      </c>
      <c r="O27" s="113">
        <f>IFERROR(aurora_data!N1342,0)</f>
        <v>7</v>
      </c>
      <c r="P27" s="253">
        <f>IFERROR(aurora_data!O1342,0)</f>
        <v>3</v>
      </c>
      <c r="Q27" s="253">
        <f>IFERROR(aurora_data!P1342,0)</f>
        <v>6</v>
      </c>
      <c r="R27" s="254">
        <f>IFERROR(aurora_data!Q1342,0)</f>
        <v>1</v>
      </c>
      <c r="S27" s="253">
        <f>IFERROR(aurora_data!R1342,0)</f>
        <v>11</v>
      </c>
      <c r="T27" s="253">
        <f>IFERROR(aurora_data!S1342,0)</f>
        <v>6</v>
      </c>
      <c r="U27" s="254">
        <f>IFERROR(aurora_data!T942,0)</f>
        <v>0</v>
      </c>
      <c r="V27" s="61" t="s">
        <v>354</v>
      </c>
      <c r="W27" s="113">
        <f>IFERROR(aurora_data!U1342,0)</f>
        <v>17</v>
      </c>
      <c r="X27" s="255">
        <f t="shared" ref="X27:X34" si="8">IFERROR(W27/$W$26,0)</f>
        <v>0.94444444444444442</v>
      </c>
      <c r="Y27" s="2"/>
      <c r="AA27" s="452"/>
      <c r="AB27" s="454"/>
      <c r="AC27" s="35" t="s">
        <v>339</v>
      </c>
      <c r="AD27" s="113">
        <f>IFERROR(aurora_data!D1342,0)+IFERROR(aurora_data!E1342,0)</f>
        <v>2</v>
      </c>
      <c r="AE27" s="253">
        <f>IFERROR(aurora_data!F1342,0)</f>
        <v>3</v>
      </c>
      <c r="AF27" s="253">
        <f>IFERROR(aurora_data!G1342,0)</f>
        <v>5</v>
      </c>
      <c r="AG27" s="254">
        <f>IFERROR(aurora_data!H1342,0)</f>
        <v>7</v>
      </c>
      <c r="AH27" s="61" t="s">
        <v>354</v>
      </c>
      <c r="AI27" s="113">
        <f>IFERROR(aurora_data!U1342,0)</f>
        <v>17</v>
      </c>
      <c r="AJ27" s="255">
        <f t="shared" si="7"/>
        <v>0.94444444444444442</v>
      </c>
    </row>
    <row r="28" spans="1:36" customFormat="1">
      <c r="A28" s="2"/>
      <c r="B28" s="452"/>
      <c r="C28" s="454"/>
      <c r="D28" s="35" t="s">
        <v>291</v>
      </c>
      <c r="E28" s="113">
        <f>IFERROR(aurora_data!D1343,0)</f>
        <v>0</v>
      </c>
      <c r="F28" s="253">
        <f>IFERROR(aurora_data!E1343,0)</f>
        <v>0</v>
      </c>
      <c r="G28" s="253">
        <f>IFERROR(aurora_data!F1343,0)</f>
        <v>0</v>
      </c>
      <c r="H28" s="253">
        <f>IFERROR(aurora_data!G1343,0)</f>
        <v>2</v>
      </c>
      <c r="I28" s="254">
        <f>IFERROR(aurora_data!H1343,0)</f>
        <v>0</v>
      </c>
      <c r="J28" s="113">
        <f>IFERROR(aurora_data!I1343,0)</f>
        <v>0</v>
      </c>
      <c r="K28" s="253">
        <f>IFERROR(aurora_data!J1343,0)</f>
        <v>0</v>
      </c>
      <c r="L28" s="253">
        <f>IFERROR(aurora_data!K1343,0)</f>
        <v>1</v>
      </c>
      <c r="M28" s="253">
        <f>IFERROR(aurora_data!L1343,0)</f>
        <v>0</v>
      </c>
      <c r="N28" s="254">
        <f>IFERROR(aurora_data!M1343,0)</f>
        <v>1</v>
      </c>
      <c r="O28" s="113">
        <f>IFERROR(aurora_data!N1343,0)</f>
        <v>0</v>
      </c>
      <c r="P28" s="253">
        <f>IFERROR(aurora_data!O1343,0)</f>
        <v>0</v>
      </c>
      <c r="Q28" s="253">
        <f>IFERROR(aurora_data!P1343,0)</f>
        <v>2</v>
      </c>
      <c r="R28" s="254">
        <f>IFERROR(aurora_data!Q1343,0)</f>
        <v>0</v>
      </c>
      <c r="S28" s="253">
        <f>IFERROR(aurora_data!R1343,0)</f>
        <v>2</v>
      </c>
      <c r="T28" s="253">
        <f>IFERROR(aurora_data!S1343,0)</f>
        <v>0</v>
      </c>
      <c r="U28" s="254">
        <f>IFERROR(aurora_data!T943,0)</f>
        <v>0</v>
      </c>
      <c r="V28" s="61" t="s">
        <v>354</v>
      </c>
      <c r="W28" s="113">
        <f>IFERROR(aurora_data!U1343,0)</f>
        <v>2</v>
      </c>
      <c r="X28" s="255">
        <f t="shared" si="8"/>
        <v>0.1111111111111111</v>
      </c>
      <c r="Y28" s="2"/>
      <c r="AA28" s="452"/>
      <c r="AB28" s="454"/>
      <c r="AC28" s="35" t="s">
        <v>291</v>
      </c>
      <c r="AD28" s="113">
        <f>IFERROR(aurora_data!D1343,0)+IFERROR(aurora_data!E1343,0)</f>
        <v>0</v>
      </c>
      <c r="AE28" s="253">
        <f>IFERROR(aurora_data!F1343,0)</f>
        <v>0</v>
      </c>
      <c r="AF28" s="253">
        <f>IFERROR(aurora_data!G1343,0)</f>
        <v>2</v>
      </c>
      <c r="AG28" s="254">
        <f>IFERROR(aurora_data!H1343,0)</f>
        <v>0</v>
      </c>
      <c r="AH28" s="61" t="s">
        <v>354</v>
      </c>
      <c r="AI28" s="113">
        <f>IFERROR(aurora_data!U1343,0)</f>
        <v>2</v>
      </c>
      <c r="AJ28" s="255">
        <f t="shared" si="7"/>
        <v>0.1111111111111111</v>
      </c>
    </row>
    <row r="29" spans="1:36" customFormat="1">
      <c r="A29" s="2"/>
      <c r="B29" s="452"/>
      <c r="C29" s="454"/>
      <c r="D29" s="35" t="s">
        <v>340</v>
      </c>
      <c r="E29" s="113">
        <f>IFERROR(aurora_data!D1344,0)</f>
        <v>0</v>
      </c>
      <c r="F29" s="253">
        <f>IFERROR(aurora_data!E1344,0)</f>
        <v>0</v>
      </c>
      <c r="G29" s="253">
        <f>IFERROR(aurora_data!F1344,0)</f>
        <v>0</v>
      </c>
      <c r="H29" s="253">
        <f>IFERROR(aurora_data!G1344,0)</f>
        <v>0</v>
      </c>
      <c r="I29" s="254">
        <f>IFERROR(aurora_data!H1344,0)</f>
        <v>0</v>
      </c>
      <c r="J29" s="113">
        <f>IFERROR(aurora_data!I1344,0)</f>
        <v>0</v>
      </c>
      <c r="K29" s="253">
        <f>IFERROR(aurora_data!J1344,0)</f>
        <v>0</v>
      </c>
      <c r="L29" s="253">
        <f>IFERROR(aurora_data!K1344,0)</f>
        <v>0</v>
      </c>
      <c r="M29" s="253">
        <f>IFERROR(aurora_data!L1344,0)</f>
        <v>0</v>
      </c>
      <c r="N29" s="254">
        <f>IFERROR(aurora_data!M1344,0)</f>
        <v>0</v>
      </c>
      <c r="O29" s="113">
        <f>IFERROR(aurora_data!N1344,0)</f>
        <v>0</v>
      </c>
      <c r="P29" s="253">
        <f>IFERROR(aurora_data!O1344,0)</f>
        <v>0</v>
      </c>
      <c r="Q29" s="253">
        <f>IFERROR(aurora_data!P1344,0)</f>
        <v>0</v>
      </c>
      <c r="R29" s="254">
        <f>IFERROR(aurora_data!Q1344,0)</f>
        <v>0</v>
      </c>
      <c r="S29" s="253">
        <f>IFERROR(aurora_data!R1344,0)</f>
        <v>0</v>
      </c>
      <c r="T29" s="253">
        <f>IFERROR(aurora_data!S1344,0)</f>
        <v>0</v>
      </c>
      <c r="U29" s="254">
        <f>IFERROR(aurora_data!T944,0)</f>
        <v>0</v>
      </c>
      <c r="V29" s="61" t="s">
        <v>354</v>
      </c>
      <c r="W29" s="113">
        <f>IFERROR(aurora_data!U1344,0)</f>
        <v>0</v>
      </c>
      <c r="X29" s="255">
        <f t="shared" si="8"/>
        <v>0</v>
      </c>
      <c r="Y29" s="2"/>
      <c r="AA29" s="452"/>
      <c r="AB29" s="454"/>
      <c r="AC29" s="35" t="s">
        <v>340</v>
      </c>
      <c r="AD29" s="113">
        <f>IFERROR(aurora_data!D1344,0)+IFERROR(aurora_data!E1344,0)</f>
        <v>0</v>
      </c>
      <c r="AE29" s="253">
        <f>IFERROR(aurora_data!F1344,0)</f>
        <v>0</v>
      </c>
      <c r="AF29" s="253">
        <f>IFERROR(aurora_data!G1344,0)</f>
        <v>0</v>
      </c>
      <c r="AG29" s="254">
        <f>IFERROR(aurora_data!H1344,0)</f>
        <v>0</v>
      </c>
      <c r="AH29" s="61" t="s">
        <v>354</v>
      </c>
      <c r="AI29" s="113">
        <f>IFERROR(aurora_data!U1344,0)</f>
        <v>0</v>
      </c>
      <c r="AJ29" s="255">
        <f t="shared" si="7"/>
        <v>0</v>
      </c>
    </row>
    <row r="30" spans="1:36" customFormat="1">
      <c r="A30" s="2"/>
      <c r="B30" s="452"/>
      <c r="C30" s="454"/>
      <c r="D30" s="35" t="s">
        <v>298</v>
      </c>
      <c r="E30" s="113">
        <f>IFERROR(aurora_data!D1345,0)</f>
        <v>0</v>
      </c>
      <c r="F30" s="253">
        <f>IFERROR(aurora_data!E1345,0)</f>
        <v>1</v>
      </c>
      <c r="G30" s="253">
        <f>IFERROR(aurora_data!F1345,0)</f>
        <v>0</v>
      </c>
      <c r="H30" s="253">
        <f>IFERROR(aurora_data!G1345,0)</f>
        <v>0</v>
      </c>
      <c r="I30" s="254">
        <f>IFERROR(aurora_data!H1345,0)</f>
        <v>0</v>
      </c>
      <c r="J30" s="113">
        <f>IFERROR(aurora_data!I1345,0)</f>
        <v>0</v>
      </c>
      <c r="K30" s="253">
        <f>IFERROR(aurora_data!J1345,0)</f>
        <v>0</v>
      </c>
      <c r="L30" s="253">
        <f>IFERROR(aurora_data!K1345,0)</f>
        <v>0</v>
      </c>
      <c r="M30" s="253">
        <f>IFERROR(aurora_data!L1345,0)</f>
        <v>1</v>
      </c>
      <c r="N30" s="254">
        <f>IFERROR(aurora_data!M1345,0)</f>
        <v>0</v>
      </c>
      <c r="O30" s="113">
        <f>IFERROR(aurora_data!N1345,0)</f>
        <v>0</v>
      </c>
      <c r="P30" s="253">
        <f>IFERROR(aurora_data!O1345,0)</f>
        <v>0</v>
      </c>
      <c r="Q30" s="253">
        <f>IFERROR(aurora_data!P1345,0)</f>
        <v>1</v>
      </c>
      <c r="R30" s="254">
        <f>IFERROR(aurora_data!Q1345,0)</f>
        <v>0</v>
      </c>
      <c r="S30" s="253">
        <f>IFERROR(aurora_data!R1345,0)</f>
        <v>0</v>
      </c>
      <c r="T30" s="253">
        <f>IFERROR(aurora_data!S1345,0)</f>
        <v>1</v>
      </c>
      <c r="U30" s="254">
        <f>IFERROR(aurora_data!T945,0)</f>
        <v>0</v>
      </c>
      <c r="V30" s="61" t="s">
        <v>354</v>
      </c>
      <c r="W30" s="113">
        <f>IFERROR(aurora_data!U1345,0)</f>
        <v>1</v>
      </c>
      <c r="X30" s="255">
        <f t="shared" si="8"/>
        <v>5.5555555555555552E-2</v>
      </c>
      <c r="Y30" s="2"/>
      <c r="AA30" s="452"/>
      <c r="AB30" s="454"/>
      <c r="AC30" s="35" t="s">
        <v>298</v>
      </c>
      <c r="AD30" s="113">
        <f>IFERROR(aurora_data!D1345,0)+IFERROR(aurora_data!E1345,0)</f>
        <v>1</v>
      </c>
      <c r="AE30" s="253">
        <f>IFERROR(aurora_data!F1345,0)</f>
        <v>0</v>
      </c>
      <c r="AF30" s="253">
        <f>IFERROR(aurora_data!G1345,0)</f>
        <v>0</v>
      </c>
      <c r="AG30" s="254">
        <f>IFERROR(aurora_data!H1345,0)</f>
        <v>0</v>
      </c>
      <c r="AH30" s="61" t="s">
        <v>354</v>
      </c>
      <c r="AI30" s="113">
        <f>IFERROR(aurora_data!U1345,0)</f>
        <v>1</v>
      </c>
      <c r="AJ30" s="255">
        <f t="shared" si="7"/>
        <v>5.5555555555555552E-2</v>
      </c>
    </row>
    <row r="31" spans="1:36" customFormat="1">
      <c r="A31" s="2"/>
      <c r="B31" s="452"/>
      <c r="C31" s="454"/>
      <c r="D31" s="35" t="s">
        <v>341</v>
      </c>
      <c r="E31" s="113">
        <f>IFERROR(aurora_data!D1346,0)</f>
        <v>0</v>
      </c>
      <c r="F31" s="253">
        <f>IFERROR(aurora_data!E1346,0)</f>
        <v>0</v>
      </c>
      <c r="G31" s="253">
        <f>IFERROR(aurora_data!F1346,0)</f>
        <v>1</v>
      </c>
      <c r="H31" s="253">
        <f>IFERROR(aurora_data!G1346,0)</f>
        <v>0</v>
      </c>
      <c r="I31" s="254">
        <f>IFERROR(aurora_data!H1346,0)</f>
        <v>0</v>
      </c>
      <c r="J31" s="113">
        <f>IFERROR(aurora_data!I1346,0)</f>
        <v>0</v>
      </c>
      <c r="K31" s="253">
        <f>IFERROR(aurora_data!J1346,0)</f>
        <v>0</v>
      </c>
      <c r="L31" s="253">
        <f>IFERROR(aurora_data!K1346,0)</f>
        <v>0</v>
      </c>
      <c r="M31" s="253">
        <f>IFERROR(aurora_data!L1346,0)</f>
        <v>1</v>
      </c>
      <c r="N31" s="254">
        <f>IFERROR(aurora_data!M1346,0)</f>
        <v>0</v>
      </c>
      <c r="O31" s="113">
        <f>IFERROR(aurora_data!N1346,0)</f>
        <v>0</v>
      </c>
      <c r="P31" s="253">
        <f>IFERROR(aurora_data!O1346,0)</f>
        <v>0</v>
      </c>
      <c r="Q31" s="253">
        <f>IFERROR(aurora_data!P1346,0)</f>
        <v>0</v>
      </c>
      <c r="R31" s="254">
        <f>IFERROR(aurora_data!Q1346,0)</f>
        <v>1</v>
      </c>
      <c r="S31" s="253">
        <f>IFERROR(aurora_data!R1346,0)</f>
        <v>1</v>
      </c>
      <c r="T31" s="253">
        <f>IFERROR(aurora_data!S1346,0)</f>
        <v>0</v>
      </c>
      <c r="U31" s="254">
        <f>IFERROR(aurora_data!T946,0)</f>
        <v>0</v>
      </c>
      <c r="V31" s="61" t="s">
        <v>354</v>
      </c>
      <c r="W31" s="113">
        <f>IFERROR(aurora_data!U1346,0)</f>
        <v>1</v>
      </c>
      <c r="X31" s="255">
        <f t="shared" si="8"/>
        <v>5.5555555555555552E-2</v>
      </c>
      <c r="Y31" s="2"/>
      <c r="AA31" s="452"/>
      <c r="AB31" s="454"/>
      <c r="AC31" s="35" t="s">
        <v>341</v>
      </c>
      <c r="AD31" s="113">
        <f>IFERROR(aurora_data!D1346,0)+IFERROR(aurora_data!E1346,0)</f>
        <v>0</v>
      </c>
      <c r="AE31" s="253">
        <f>IFERROR(aurora_data!F1346,0)</f>
        <v>1</v>
      </c>
      <c r="AF31" s="253">
        <f>IFERROR(aurora_data!G1346,0)</f>
        <v>0</v>
      </c>
      <c r="AG31" s="254">
        <f>IFERROR(aurora_data!H1346,0)</f>
        <v>0</v>
      </c>
      <c r="AH31" s="61" t="s">
        <v>354</v>
      </c>
      <c r="AI31" s="113">
        <f>IFERROR(aurora_data!U1346,0)</f>
        <v>1</v>
      </c>
      <c r="AJ31" s="255">
        <f t="shared" si="7"/>
        <v>5.5555555555555552E-2</v>
      </c>
    </row>
    <row r="32" spans="1:36" customFormat="1" ht="16.5" thickBot="1">
      <c r="A32" s="2"/>
      <c r="B32" s="452"/>
      <c r="C32" s="454"/>
      <c r="D32" s="35" t="s">
        <v>342</v>
      </c>
      <c r="E32" s="113">
        <f>IFERROR(aurora_data!D1347,0)</f>
        <v>0</v>
      </c>
      <c r="F32" s="253">
        <f>IFERROR(aurora_data!E1347,0)</f>
        <v>0</v>
      </c>
      <c r="G32" s="253">
        <f>IFERROR(aurora_data!F1347,0)</f>
        <v>0</v>
      </c>
      <c r="H32" s="253">
        <f>IFERROR(aurora_data!G1347,0)</f>
        <v>0</v>
      </c>
      <c r="I32" s="254">
        <f>IFERROR(aurora_data!H1347,0)</f>
        <v>0</v>
      </c>
      <c r="J32" s="113">
        <f>IFERROR(aurora_data!I1347,0)</f>
        <v>0</v>
      </c>
      <c r="K32" s="253">
        <f>IFERROR(aurora_data!J1347,0)</f>
        <v>0</v>
      </c>
      <c r="L32" s="253">
        <f>IFERROR(aurora_data!K1347,0)</f>
        <v>0</v>
      </c>
      <c r="M32" s="253">
        <f>IFERROR(aurora_data!L1347,0)</f>
        <v>0</v>
      </c>
      <c r="N32" s="254">
        <f>IFERROR(aurora_data!M1347,0)</f>
        <v>0</v>
      </c>
      <c r="O32" s="113">
        <f>IFERROR(aurora_data!N1347,0)</f>
        <v>0</v>
      </c>
      <c r="P32" s="253">
        <f>IFERROR(aurora_data!O1347,0)</f>
        <v>0</v>
      </c>
      <c r="Q32" s="253">
        <f>IFERROR(aurora_data!P1347,0)</f>
        <v>0</v>
      </c>
      <c r="R32" s="254">
        <f>IFERROR(aurora_data!Q1347,0)</f>
        <v>0</v>
      </c>
      <c r="S32" s="253">
        <f>IFERROR(aurora_data!R1347,0)</f>
        <v>0</v>
      </c>
      <c r="T32" s="253">
        <f>IFERROR(aurora_data!S1347,0)</f>
        <v>0</v>
      </c>
      <c r="U32" s="254">
        <f>IFERROR(aurora_data!T947,0)</f>
        <v>0</v>
      </c>
      <c r="V32" s="61" t="s">
        <v>354</v>
      </c>
      <c r="W32" s="113">
        <f>IFERROR(aurora_data!U1347,0)</f>
        <v>0</v>
      </c>
      <c r="X32" s="255">
        <f t="shared" si="8"/>
        <v>0</v>
      </c>
      <c r="Y32" s="2"/>
      <c r="AA32" s="452"/>
      <c r="AB32" s="454"/>
      <c r="AC32" s="35" t="s">
        <v>342</v>
      </c>
      <c r="AD32" s="113">
        <f>IFERROR(aurora_data!D1347,0)+IFERROR(aurora_data!E1347,0)</f>
        <v>0</v>
      </c>
      <c r="AE32" s="253">
        <f>IFERROR(aurora_data!F1347,0)</f>
        <v>0</v>
      </c>
      <c r="AF32" s="253">
        <f>IFERROR(aurora_data!G1347,0)</f>
        <v>0</v>
      </c>
      <c r="AG32" s="254">
        <f>IFERROR(aurora_data!H1347,0)</f>
        <v>0</v>
      </c>
      <c r="AH32" s="61" t="s">
        <v>354</v>
      </c>
      <c r="AI32" s="113">
        <f>IFERROR(aurora_data!U1347,0)</f>
        <v>0</v>
      </c>
      <c r="AJ32" s="255">
        <f t="shared" si="7"/>
        <v>0</v>
      </c>
    </row>
    <row r="33" spans="1:36" customFormat="1" ht="16.5" thickBot="1">
      <c r="A33" s="2"/>
      <c r="B33" s="452"/>
      <c r="C33" s="454"/>
      <c r="D33" s="37" t="s">
        <v>17</v>
      </c>
      <c r="E33" s="59">
        <f>IFERROR(aurora_data!D1348,0)</f>
        <v>1</v>
      </c>
      <c r="F33" s="64">
        <f>IFERROR(aurora_data!E1348,0)</f>
        <v>2</v>
      </c>
      <c r="G33" s="64">
        <f>IFERROR(aurora_data!F1348,0)</f>
        <v>4</v>
      </c>
      <c r="H33" s="64">
        <f>IFERROR(aurora_data!G1348,0)</f>
        <v>7</v>
      </c>
      <c r="I33" s="65">
        <f>IFERROR(aurora_data!H1348,0)</f>
        <v>7</v>
      </c>
      <c r="J33" s="59">
        <f>IFERROR(aurora_data!I1348,0)</f>
        <v>0</v>
      </c>
      <c r="K33" s="64">
        <f>IFERROR(aurora_data!J1348,0)</f>
        <v>2</v>
      </c>
      <c r="L33" s="64">
        <f>IFERROR(aurora_data!K1348,0)</f>
        <v>6</v>
      </c>
      <c r="M33" s="64">
        <f>IFERROR(aurora_data!L1348,0)</f>
        <v>4</v>
      </c>
      <c r="N33" s="65">
        <f>IFERROR(aurora_data!M1348,0)</f>
        <v>9</v>
      </c>
      <c r="O33" s="59">
        <f>IFERROR(aurora_data!N1348,0)</f>
        <v>7</v>
      </c>
      <c r="P33" s="64">
        <f>IFERROR(aurora_data!O1348,0)</f>
        <v>3</v>
      </c>
      <c r="Q33" s="64">
        <f>IFERROR(aurora_data!P1348,0)</f>
        <v>9</v>
      </c>
      <c r="R33" s="65">
        <f>IFERROR(aurora_data!Q1348,0)</f>
        <v>2</v>
      </c>
      <c r="S33" s="64">
        <f>IFERROR(aurora_data!R1348,0)</f>
        <v>14</v>
      </c>
      <c r="T33" s="64">
        <f>IFERROR(aurora_data!S1348,0)</f>
        <v>7</v>
      </c>
      <c r="U33" s="65">
        <f>IFERROR(aurora_data!T948,0)</f>
        <v>0</v>
      </c>
      <c r="V33" s="66" t="s">
        <v>354</v>
      </c>
      <c r="W33" s="59">
        <f>IFERROR(aurora_data!U1348,0)</f>
        <v>21</v>
      </c>
      <c r="X33" s="70">
        <f t="shared" si="8"/>
        <v>1.1666666666666667</v>
      </c>
      <c r="Y33" s="2"/>
      <c r="AA33" s="452"/>
      <c r="AB33" s="454"/>
      <c r="AC33" s="360" t="s">
        <v>17</v>
      </c>
      <c r="AD33" s="59">
        <f>IFERROR(aurora_data!D1348,0)+IFERROR(aurora_data!E1348,0)</f>
        <v>3</v>
      </c>
      <c r="AE33" s="64">
        <f>IFERROR(aurora_data!F1348,0)</f>
        <v>4</v>
      </c>
      <c r="AF33" s="64">
        <f>IFERROR(aurora_data!G1348,0)</f>
        <v>7</v>
      </c>
      <c r="AG33" s="65">
        <f>IFERROR(aurora_data!H1348,0)</f>
        <v>7</v>
      </c>
      <c r="AH33" s="66" t="s">
        <v>354</v>
      </c>
      <c r="AI33" s="59">
        <f>IFERROR(aurora_data!U1348,0)</f>
        <v>21</v>
      </c>
      <c r="AJ33" s="70">
        <f t="shared" si="7"/>
        <v>1.1666666666666667</v>
      </c>
    </row>
    <row r="34" spans="1:36" customFormat="1" ht="16.5" thickBot="1">
      <c r="A34" s="2"/>
      <c r="B34" s="452"/>
      <c r="C34" s="454"/>
      <c r="D34" s="38" t="s">
        <v>343</v>
      </c>
      <c r="E34" s="256">
        <f>IFERROR(aurora_data!D1349,0)</f>
        <v>0</v>
      </c>
      <c r="F34" s="257">
        <f>IFERROR(aurora_data!E1349,0)</f>
        <v>0</v>
      </c>
      <c r="G34" s="257">
        <f>IFERROR(aurora_data!F1349,0)</f>
        <v>0</v>
      </c>
      <c r="H34" s="257">
        <f>IFERROR(aurora_data!G1349,0)</f>
        <v>0</v>
      </c>
      <c r="I34" s="258">
        <f>IFERROR(aurora_data!H1349,0)</f>
        <v>0</v>
      </c>
      <c r="J34" s="256">
        <f>IFERROR(aurora_data!I1349,0)</f>
        <v>0</v>
      </c>
      <c r="K34" s="257">
        <f>IFERROR(aurora_data!J1349,0)</f>
        <v>0</v>
      </c>
      <c r="L34" s="257">
        <f>IFERROR(aurora_data!K1349,0)</f>
        <v>0</v>
      </c>
      <c r="M34" s="257">
        <f>IFERROR(aurora_data!L1349,0)</f>
        <v>0</v>
      </c>
      <c r="N34" s="258">
        <f>IFERROR(aurora_data!M1349,0)</f>
        <v>0</v>
      </c>
      <c r="O34" s="256">
        <f>IFERROR(aurora_data!N1349,0)</f>
        <v>0</v>
      </c>
      <c r="P34" s="257">
        <f>IFERROR(aurora_data!O1349,0)</f>
        <v>0</v>
      </c>
      <c r="Q34" s="257">
        <f>IFERROR(aurora_data!P1349,0)</f>
        <v>0</v>
      </c>
      <c r="R34" s="258">
        <f>IFERROR(aurora_data!Q1349,0)</f>
        <v>0</v>
      </c>
      <c r="S34" s="257">
        <f>IFERROR(aurora_data!R1349,0)</f>
        <v>0</v>
      </c>
      <c r="T34" s="257">
        <f>IFERROR(aurora_data!S1349,0)</f>
        <v>0</v>
      </c>
      <c r="U34" s="259">
        <f>IFERROR(aurora_data!T949,0)</f>
        <v>0</v>
      </c>
      <c r="V34" s="260" t="s">
        <v>354</v>
      </c>
      <c r="W34" s="256">
        <f>IFERROR(aurora_data!U1349,0)</f>
        <v>0</v>
      </c>
      <c r="X34" s="261">
        <f t="shared" si="8"/>
        <v>0</v>
      </c>
      <c r="Y34" s="2"/>
      <c r="AA34" s="452"/>
      <c r="AB34" s="454"/>
      <c r="AC34" s="38" t="s">
        <v>343</v>
      </c>
      <c r="AD34" s="256">
        <f>IFERROR(aurora_data!D1349,0)+IFERROR(aurora_data!E1349,0)</f>
        <v>0</v>
      </c>
      <c r="AE34" s="257">
        <f>IFERROR(aurora_data!F1349,0)</f>
        <v>0</v>
      </c>
      <c r="AF34" s="257">
        <f>IFERROR(aurora_data!G1349,0)</f>
        <v>0</v>
      </c>
      <c r="AG34" s="258">
        <f>IFERROR(aurora_data!H1349,0)</f>
        <v>0</v>
      </c>
      <c r="AH34" s="260" t="s">
        <v>354</v>
      </c>
      <c r="AI34" s="256">
        <f>IFERROR(aurora_data!U1349,0)</f>
        <v>0</v>
      </c>
      <c r="AJ34" s="261">
        <f t="shared" si="7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6">
        <f>(E37+$E$9)*($W26)</f>
        <v>0.85</v>
      </c>
      <c r="F35" s="277">
        <f>(F37+$E$9)*($W26)</f>
        <v>1.31</v>
      </c>
      <c r="G35" s="277">
        <f>(G37+$E$9)*($W26)</f>
        <v>3.8899999999999997</v>
      </c>
      <c r="H35" s="277">
        <f>(H37+$E$9)*($W26)</f>
        <v>6.2200000000000006</v>
      </c>
      <c r="I35" s="277">
        <f>(I37+$E$9)*($W26)</f>
        <v>7.5399999999999991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297"/>
      <c r="AD35" s="327"/>
      <c r="AE35" s="328"/>
      <c r="AF35" s="328"/>
      <c r="AG35" s="297"/>
      <c r="AH35" s="298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0.84000000000000008</v>
      </c>
      <c r="G36" s="277">
        <f t="shared" ref="G36:I36" si="9">IF(ROUND(((G37-$E$9)*($W26))+0.25,0) &lt;=0,1,((G37-$E$9)*($W26))+0.25)</f>
        <v>3.42</v>
      </c>
      <c r="H36" s="277">
        <f t="shared" si="9"/>
        <v>5.75</v>
      </c>
      <c r="I36" s="277">
        <f t="shared" si="9"/>
        <v>7.0699999999999985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296"/>
      <c r="AD36" s="294"/>
      <c r="AE36" s="295"/>
      <c r="AF36" s="295"/>
      <c r="AG36" s="296"/>
      <c r="AH36" s="298"/>
      <c r="AI36" s="294"/>
      <c r="AJ36" s="299"/>
    </row>
    <row r="37" spans="1:36" customFormat="1" ht="16.5" hidden="1" outlineLevel="1" thickBot="1">
      <c r="A37" s="2"/>
      <c r="B37" s="147"/>
      <c r="C37" s="227"/>
      <c r="D37" s="95" t="s">
        <v>346</v>
      </c>
      <c r="E37" s="414">
        <f>IFERROR(E26/$W26,0)</f>
        <v>2.7222222222222221E-2</v>
      </c>
      <c r="F37" s="415">
        <f t="shared" ref="F37" si="10">IFERROR(F26/$W26,0)</f>
        <v>5.2777777777777778E-2</v>
      </c>
      <c r="G37" s="415">
        <f>IFERROR(G26/$W26,0)</f>
        <v>0.1961111111111111</v>
      </c>
      <c r="H37" s="415">
        <f t="shared" ref="H37" si="11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296"/>
      <c r="AD37" s="294"/>
      <c r="AE37" s="295"/>
      <c r="AF37" s="295"/>
      <c r="AG37" s="296"/>
      <c r="AH37" s="298"/>
      <c r="AI37" s="294"/>
      <c r="AJ37" s="299"/>
    </row>
    <row r="38" spans="1:36" customFormat="1" ht="16.5" hidden="1" outlineLevel="1" thickBot="1">
      <c r="A38" s="2"/>
      <c r="B38" s="147"/>
      <c r="C38" s="227"/>
      <c r="D38" s="180" t="s">
        <v>347</v>
      </c>
      <c r="E38" s="414">
        <f>IFERROR(E27/$W26,0)</f>
        <v>5.5555555555555552E-2</v>
      </c>
      <c r="F38" s="415">
        <f t="shared" ref="F38:I38" si="12">IFERROR(F27/$W26,0)</f>
        <v>5.5555555555555552E-2</v>
      </c>
      <c r="G38" s="415">
        <f t="shared" si="12"/>
        <v>0.16666666666666666</v>
      </c>
      <c r="H38" s="415">
        <f t="shared" si="12"/>
        <v>0.27777777777777779</v>
      </c>
      <c r="I38" s="415">
        <f t="shared" si="12"/>
        <v>0.3888888888888889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296"/>
      <c r="AD38" s="294"/>
      <c r="AE38" s="295"/>
      <c r="AF38" s="295"/>
      <c r="AG38" s="296"/>
      <c r="AH38" s="298"/>
      <c r="AI38" s="294"/>
      <c r="AJ38" s="299"/>
    </row>
    <row r="39" spans="1:36" customFormat="1" ht="16.5" hidden="1" outlineLevel="1" thickBot="1">
      <c r="A39" s="2"/>
      <c r="B39" s="147"/>
      <c r="C39" s="227"/>
      <c r="D39" s="180" t="s">
        <v>348</v>
      </c>
      <c r="E39" s="414">
        <f>E38-E37</f>
        <v>2.8333333333333332E-2</v>
      </c>
      <c r="F39" s="415">
        <f t="shared" ref="F39:I39" si="13">F38-F37</f>
        <v>2.7777777777777748E-3</v>
      </c>
      <c r="G39" s="415">
        <f t="shared" si="13"/>
        <v>-2.944444444444444E-2</v>
      </c>
      <c r="H39" s="415">
        <f t="shared" si="13"/>
        <v>-4.7777777777777808E-2</v>
      </c>
      <c r="I39" s="415">
        <f t="shared" si="13"/>
        <v>-9.9999999999999534E-3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331"/>
      <c r="AD39" s="329"/>
      <c r="AE39" s="330"/>
      <c r="AF39" s="330"/>
      <c r="AG39" s="331"/>
      <c r="AH39" s="298"/>
      <c r="AI39" s="294"/>
      <c r="AJ39" s="299"/>
    </row>
    <row r="40" spans="1:36" customFormat="1">
      <c r="A40" s="2"/>
      <c r="B40" s="560" t="s">
        <v>362</v>
      </c>
      <c r="C40" s="453" t="str">
        <f>aurora_data!A1350</f>
        <v>08.00.00-08.11.30</v>
      </c>
      <c r="D40" s="34" t="s">
        <v>306</v>
      </c>
      <c r="E40" s="39">
        <f>IFERROR(aurora_data!D1350,0)</f>
        <v>0.5</v>
      </c>
      <c r="F40" s="40">
        <f>IFERROR(aurora_data!E1350,0)</f>
        <v>0.98</v>
      </c>
      <c r="G40" s="40">
        <f>IFERROR(aurora_data!F1350,0)</f>
        <v>3.56</v>
      </c>
      <c r="H40" s="40">
        <f>IFERROR(aurora_data!G1350,0)</f>
        <v>5.81</v>
      </c>
      <c r="I40" s="41">
        <f>IFERROR(aurora_data!H1350,0)</f>
        <v>7.16</v>
      </c>
      <c r="J40" s="39">
        <f>IFERROR(aurora_data!I1350,0)</f>
        <v>1</v>
      </c>
      <c r="K40" s="40">
        <f>IFERROR(aurora_data!J1350,0)</f>
        <v>1</v>
      </c>
      <c r="L40" s="40">
        <f>IFERROR(aurora_data!K1350,0)</f>
        <v>1</v>
      </c>
      <c r="M40" s="40">
        <f>IFERROR(aurora_data!L1350,0)</f>
        <v>1</v>
      </c>
      <c r="N40" s="41">
        <f>IFERROR(aurora_data!M1350,0)</f>
        <v>1</v>
      </c>
      <c r="O40" s="39">
        <f>IFERROR(aurora_data!N1350,0)</f>
        <v>1</v>
      </c>
      <c r="P40" s="40">
        <f>IFERROR(aurora_data!O1350,0)</f>
        <v>1</v>
      </c>
      <c r="Q40" s="40">
        <f>IFERROR(aurora_data!P1350,0)</f>
        <v>1</v>
      </c>
      <c r="R40" s="41">
        <f>IFERROR(aurora_data!Q1350,0)</f>
        <v>1</v>
      </c>
      <c r="S40" s="40">
        <f>IFERROR(aurora_data!R1350,0)</f>
        <v>1</v>
      </c>
      <c r="T40" s="40">
        <f>IFERROR(aurora_data!S1350,0)</f>
        <v>1</v>
      </c>
      <c r="U40" s="41">
        <f>IFERROR(aurora_data!T950,0)</f>
        <v>0</v>
      </c>
      <c r="V40" s="61" t="s">
        <v>354</v>
      </c>
      <c r="W40" s="39">
        <f>IFERROR(aurora_data!U1350,0)</f>
        <v>18</v>
      </c>
      <c r="X40" s="69">
        <f>IFERROR(W40/$W$40,0)</f>
        <v>1</v>
      </c>
      <c r="Y40" s="2"/>
      <c r="AA40" s="451" t="s">
        <v>338</v>
      </c>
      <c r="AB40" s="453" t="str">
        <f>aurora_data!A1350</f>
        <v>08.00.00-08.11.30</v>
      </c>
      <c r="AC40" s="34" t="s">
        <v>306</v>
      </c>
      <c r="AD40" s="39">
        <v>2</v>
      </c>
      <c r="AE40" s="40">
        <v>4</v>
      </c>
      <c r="AF40" s="40">
        <v>6</v>
      </c>
      <c r="AG40" s="41">
        <v>6</v>
      </c>
      <c r="AH40" s="61" t="s">
        <v>354</v>
      </c>
      <c r="AI40" s="39">
        <f>IFERROR(aurora_data!U1350,0)</f>
        <v>18</v>
      </c>
      <c r="AJ40" s="69">
        <f t="shared" ref="AJ40:AJ48" si="14">IFERROR(AI40/$AI$40,0)</f>
        <v>1</v>
      </c>
    </row>
    <row r="41" spans="1:36" customFormat="1">
      <c r="A41" s="2"/>
      <c r="B41" s="561"/>
      <c r="C41" s="454"/>
      <c r="D41" s="35" t="s">
        <v>339</v>
      </c>
      <c r="E41" s="113">
        <f>IFERROR(aurora_data!D1351,0)</f>
        <v>1</v>
      </c>
      <c r="F41" s="253">
        <f>IFERROR(aurora_data!E1351,0)</f>
        <v>1</v>
      </c>
      <c r="G41" s="253">
        <f>IFERROR(aurora_data!F1351,0)</f>
        <v>4</v>
      </c>
      <c r="H41" s="253">
        <f>IFERROR(aurora_data!G1351,0)</f>
        <v>5</v>
      </c>
      <c r="I41" s="254">
        <f>IFERROR(aurora_data!H1351,0)</f>
        <v>7</v>
      </c>
      <c r="J41" s="113">
        <f>IFERROR(aurora_data!I1351,0)</f>
        <v>1</v>
      </c>
      <c r="K41" s="253">
        <f>IFERROR(aurora_data!J1351,0)</f>
        <v>4</v>
      </c>
      <c r="L41" s="253">
        <f>IFERROR(aurora_data!K1351,0)</f>
        <v>3</v>
      </c>
      <c r="M41" s="253">
        <f>IFERROR(aurora_data!L1351,0)</f>
        <v>3</v>
      </c>
      <c r="N41" s="254">
        <f>IFERROR(aurora_data!M1351,0)</f>
        <v>7</v>
      </c>
      <c r="O41" s="113">
        <f>IFERROR(aurora_data!N1351,0)</f>
        <v>8</v>
      </c>
      <c r="P41" s="253">
        <f>IFERROR(aurora_data!O1351,0)</f>
        <v>4</v>
      </c>
      <c r="Q41" s="253">
        <f>IFERROR(aurora_data!P1351,0)</f>
        <v>5</v>
      </c>
      <c r="R41" s="254">
        <f>IFERROR(aurora_data!Q1351,0)</f>
        <v>1</v>
      </c>
      <c r="S41" s="253">
        <f>IFERROR(aurora_data!R1351,0)</f>
        <v>8</v>
      </c>
      <c r="T41" s="253">
        <f>IFERROR(aurora_data!S1351,0)</f>
        <v>10</v>
      </c>
      <c r="U41" s="254">
        <f>IFERROR(aurora_data!T951,0)</f>
        <v>0</v>
      </c>
      <c r="V41" s="61" t="s">
        <v>354</v>
      </c>
      <c r="W41" s="113">
        <f>IFERROR(aurora_data!U1351,0)</f>
        <v>18</v>
      </c>
      <c r="X41" s="255">
        <f t="shared" ref="X41:X48" si="15">IFERROR(W41/$W$40,0)</f>
        <v>1</v>
      </c>
      <c r="Y41" s="2"/>
      <c r="AA41" s="452"/>
      <c r="AB41" s="454"/>
      <c r="AC41" s="35" t="s">
        <v>339</v>
      </c>
      <c r="AD41" s="113">
        <f>IFERROR(aurora_data!D1351,0)+IFERROR(aurora_data!E1351,0)</f>
        <v>2</v>
      </c>
      <c r="AE41" s="253">
        <f>IFERROR(aurora_data!F1351,0)</f>
        <v>4</v>
      </c>
      <c r="AF41" s="253">
        <f>IFERROR(aurora_data!G1351,0)</f>
        <v>5</v>
      </c>
      <c r="AG41" s="254">
        <f>IFERROR(aurora_data!H1351,0)</f>
        <v>7</v>
      </c>
      <c r="AH41" s="61" t="s">
        <v>354</v>
      </c>
      <c r="AI41" s="113">
        <f>IFERROR(aurora_data!U1351,0)</f>
        <v>18</v>
      </c>
      <c r="AJ41" s="255">
        <f t="shared" si="14"/>
        <v>1</v>
      </c>
    </row>
    <row r="42" spans="1:36" customFormat="1">
      <c r="A42" s="2"/>
      <c r="B42" s="561"/>
      <c r="C42" s="454"/>
      <c r="D42" s="35" t="s">
        <v>291</v>
      </c>
      <c r="E42" s="113">
        <f>IFERROR(aurora_data!D1352,0)</f>
        <v>0</v>
      </c>
      <c r="F42" s="253">
        <f>IFERROR(aurora_data!E1352,0)</f>
        <v>0</v>
      </c>
      <c r="G42" s="253">
        <f>IFERROR(aurora_data!F1352,0)</f>
        <v>1</v>
      </c>
      <c r="H42" s="253">
        <f>IFERROR(aurora_data!G1352,0)</f>
        <v>0</v>
      </c>
      <c r="I42" s="254">
        <f>IFERROR(aurora_data!H1352,0)</f>
        <v>1</v>
      </c>
      <c r="J42" s="113">
        <f>IFERROR(aurora_data!I1352,0)</f>
        <v>0</v>
      </c>
      <c r="K42" s="253">
        <f>IFERROR(aurora_data!J1352,0)</f>
        <v>0</v>
      </c>
      <c r="L42" s="253">
        <f>IFERROR(aurora_data!K1352,0)</f>
        <v>1</v>
      </c>
      <c r="M42" s="253">
        <f>IFERROR(aurora_data!L1352,0)</f>
        <v>0</v>
      </c>
      <c r="N42" s="254">
        <f>IFERROR(aurora_data!M1352,0)</f>
        <v>1</v>
      </c>
      <c r="O42" s="113">
        <f>IFERROR(aurora_data!N1352,0)</f>
        <v>0</v>
      </c>
      <c r="P42" s="253">
        <f>IFERROR(aurora_data!O1352,0)</f>
        <v>0</v>
      </c>
      <c r="Q42" s="253">
        <f>IFERROR(aurora_data!P1352,0)</f>
        <v>2</v>
      </c>
      <c r="R42" s="254">
        <f>IFERROR(aurora_data!Q1352,0)</f>
        <v>0</v>
      </c>
      <c r="S42" s="253">
        <f>IFERROR(aurora_data!R1352,0)</f>
        <v>1</v>
      </c>
      <c r="T42" s="253">
        <f>IFERROR(aurora_data!S1352,0)</f>
        <v>1</v>
      </c>
      <c r="U42" s="254">
        <f>IFERROR(aurora_data!T952,0)</f>
        <v>0</v>
      </c>
      <c r="V42" s="61" t="s">
        <v>354</v>
      </c>
      <c r="W42" s="113">
        <f>IFERROR(aurora_data!U1352,0)</f>
        <v>2</v>
      </c>
      <c r="X42" s="255">
        <f t="shared" si="15"/>
        <v>0.1111111111111111</v>
      </c>
      <c r="Y42" s="2"/>
      <c r="AA42" s="452"/>
      <c r="AB42" s="454"/>
      <c r="AC42" s="35" t="s">
        <v>291</v>
      </c>
      <c r="AD42" s="113">
        <f>IFERROR(aurora_data!D1352,0)+IFERROR(aurora_data!E1352,0)</f>
        <v>0</v>
      </c>
      <c r="AE42" s="253">
        <f>IFERROR(aurora_data!F1352,0)</f>
        <v>1</v>
      </c>
      <c r="AF42" s="253">
        <f>IFERROR(aurora_data!G1352,0)</f>
        <v>0</v>
      </c>
      <c r="AG42" s="254">
        <f>IFERROR(aurora_data!H1352,0)</f>
        <v>1</v>
      </c>
      <c r="AH42" s="61" t="s">
        <v>354</v>
      </c>
      <c r="AI42" s="113">
        <f>IFERROR(aurora_data!U1352,0)</f>
        <v>2</v>
      </c>
      <c r="AJ42" s="255">
        <f t="shared" si="14"/>
        <v>0.1111111111111111</v>
      </c>
    </row>
    <row r="43" spans="1:36" customFormat="1">
      <c r="A43" s="2"/>
      <c r="B43" s="561"/>
      <c r="C43" s="454"/>
      <c r="D43" s="35" t="s">
        <v>340</v>
      </c>
      <c r="E43" s="113">
        <f>IFERROR(aurora_data!D1353,0)</f>
        <v>0</v>
      </c>
      <c r="F43" s="253">
        <f>IFERROR(aurora_data!E1353,0)</f>
        <v>0</v>
      </c>
      <c r="G43" s="253">
        <f>IFERROR(aurora_data!F1353,0)</f>
        <v>0</v>
      </c>
      <c r="H43" s="253">
        <f>IFERROR(aurora_data!G1353,0)</f>
        <v>0</v>
      </c>
      <c r="I43" s="254">
        <f>IFERROR(aurora_data!H1353,0)</f>
        <v>0</v>
      </c>
      <c r="J43" s="113">
        <f>IFERROR(aurora_data!I1353,0)</f>
        <v>0</v>
      </c>
      <c r="K43" s="253">
        <f>IFERROR(aurora_data!J1353,0)</f>
        <v>0</v>
      </c>
      <c r="L43" s="253">
        <f>IFERROR(aurora_data!K1353,0)</f>
        <v>0</v>
      </c>
      <c r="M43" s="253">
        <f>IFERROR(aurora_data!L1353,0)</f>
        <v>0</v>
      </c>
      <c r="N43" s="254">
        <f>IFERROR(aurora_data!M1353,0)</f>
        <v>0</v>
      </c>
      <c r="O43" s="113">
        <f>IFERROR(aurora_data!N1353,0)</f>
        <v>0</v>
      </c>
      <c r="P43" s="253">
        <f>IFERROR(aurora_data!O1353,0)</f>
        <v>0</v>
      </c>
      <c r="Q43" s="253">
        <f>IFERROR(aurora_data!P1353,0)</f>
        <v>0</v>
      </c>
      <c r="R43" s="254">
        <f>IFERROR(aurora_data!Q1353,0)</f>
        <v>0</v>
      </c>
      <c r="S43" s="253">
        <f>IFERROR(aurora_data!R1353,0)</f>
        <v>0</v>
      </c>
      <c r="T43" s="253">
        <f>IFERROR(aurora_data!S1353,0)</f>
        <v>0</v>
      </c>
      <c r="U43" s="254">
        <f>IFERROR(aurora_data!T953,0)</f>
        <v>0</v>
      </c>
      <c r="V43" s="61" t="s">
        <v>354</v>
      </c>
      <c r="W43" s="113">
        <f>IFERROR(aurora_data!U1353,0)</f>
        <v>0</v>
      </c>
      <c r="X43" s="255">
        <f t="shared" si="15"/>
        <v>0</v>
      </c>
      <c r="Y43" s="2"/>
      <c r="AA43" s="452"/>
      <c r="AB43" s="454"/>
      <c r="AC43" s="35" t="s">
        <v>340</v>
      </c>
      <c r="AD43" s="113">
        <f>IFERROR(aurora_data!D1353,0)+IFERROR(aurora_data!E1353,0)</f>
        <v>0</v>
      </c>
      <c r="AE43" s="253">
        <f>IFERROR(aurora_data!F1353,0)</f>
        <v>0</v>
      </c>
      <c r="AF43" s="253">
        <f>IFERROR(aurora_data!G1353,0)</f>
        <v>0</v>
      </c>
      <c r="AG43" s="254">
        <f>IFERROR(aurora_data!H1353,0)</f>
        <v>0</v>
      </c>
      <c r="AH43" s="61" t="s">
        <v>354</v>
      </c>
      <c r="AI43" s="113">
        <f>IFERROR(aurora_data!U1353,0)</f>
        <v>0</v>
      </c>
      <c r="AJ43" s="255">
        <f t="shared" si="14"/>
        <v>0</v>
      </c>
    </row>
    <row r="44" spans="1:36" customFormat="1">
      <c r="A44" s="2"/>
      <c r="B44" s="561"/>
      <c r="C44" s="454"/>
      <c r="D44" s="35" t="s">
        <v>298</v>
      </c>
      <c r="E44" s="113">
        <f>IFERROR(aurora_data!D1354,0)</f>
        <v>0</v>
      </c>
      <c r="F44" s="253">
        <f>IFERROR(aurora_data!E1354,0)</f>
        <v>0</v>
      </c>
      <c r="G44" s="253">
        <f>IFERROR(aurora_data!F1354,0)</f>
        <v>0</v>
      </c>
      <c r="H44" s="253">
        <f>IFERROR(aurora_data!G1354,0)</f>
        <v>0</v>
      </c>
      <c r="I44" s="254">
        <f>IFERROR(aurora_data!H1354,0)</f>
        <v>0</v>
      </c>
      <c r="J44" s="113">
        <f>IFERROR(aurora_data!I1354,0)</f>
        <v>0</v>
      </c>
      <c r="K44" s="253">
        <f>IFERROR(aurora_data!J1354,0)</f>
        <v>0</v>
      </c>
      <c r="L44" s="253">
        <f>IFERROR(aurora_data!K1354,0)</f>
        <v>0</v>
      </c>
      <c r="M44" s="253">
        <f>IFERROR(aurora_data!L1354,0)</f>
        <v>0</v>
      </c>
      <c r="N44" s="254">
        <f>IFERROR(aurora_data!M1354,0)</f>
        <v>0</v>
      </c>
      <c r="O44" s="113">
        <f>IFERROR(aurora_data!N1354,0)</f>
        <v>0</v>
      </c>
      <c r="P44" s="253">
        <f>IFERROR(aurora_data!O1354,0)</f>
        <v>0</v>
      </c>
      <c r="Q44" s="253">
        <f>IFERROR(aurora_data!P1354,0)</f>
        <v>0</v>
      </c>
      <c r="R44" s="254">
        <f>IFERROR(aurora_data!Q1354,0)</f>
        <v>0</v>
      </c>
      <c r="S44" s="253">
        <f>IFERROR(aurora_data!R1354,0)</f>
        <v>0</v>
      </c>
      <c r="T44" s="253">
        <f>IFERROR(aurora_data!S1354,0)</f>
        <v>0</v>
      </c>
      <c r="U44" s="254">
        <f>IFERROR(aurora_data!T954,0)</f>
        <v>0</v>
      </c>
      <c r="V44" s="61" t="s">
        <v>354</v>
      </c>
      <c r="W44" s="113">
        <f>IFERROR(aurora_data!U1354,0)</f>
        <v>0</v>
      </c>
      <c r="X44" s="255">
        <f t="shared" si="15"/>
        <v>0</v>
      </c>
      <c r="Y44" s="2"/>
      <c r="AA44" s="452"/>
      <c r="AB44" s="454"/>
      <c r="AC44" s="35" t="s">
        <v>298</v>
      </c>
      <c r="AD44" s="113">
        <f>IFERROR(aurora_data!D1354,0)+IFERROR(aurora_data!E1354,0)</f>
        <v>0</v>
      </c>
      <c r="AE44" s="253">
        <f>IFERROR(aurora_data!F1354,0)</f>
        <v>0</v>
      </c>
      <c r="AF44" s="253">
        <f>IFERROR(aurora_data!G1354,0)</f>
        <v>0</v>
      </c>
      <c r="AG44" s="254">
        <f>IFERROR(aurora_data!H1354,0)</f>
        <v>0</v>
      </c>
      <c r="AH44" s="61" t="s">
        <v>354</v>
      </c>
      <c r="AI44" s="113">
        <f>IFERROR(aurora_data!U1354,0)</f>
        <v>0</v>
      </c>
      <c r="AJ44" s="255">
        <f t="shared" si="14"/>
        <v>0</v>
      </c>
    </row>
    <row r="45" spans="1:36" customFormat="1">
      <c r="A45" s="2"/>
      <c r="B45" s="561"/>
      <c r="C45" s="454"/>
      <c r="D45" s="35" t="s">
        <v>341</v>
      </c>
      <c r="E45" s="113">
        <f>IFERROR(aurora_data!D1355,0)</f>
        <v>0</v>
      </c>
      <c r="F45" s="253">
        <f>IFERROR(aurora_data!E1355,0)</f>
        <v>1</v>
      </c>
      <c r="G45" s="253">
        <f>IFERROR(aurora_data!F1355,0)</f>
        <v>0</v>
      </c>
      <c r="H45" s="253">
        <f>IFERROR(aurora_data!G1355,0)</f>
        <v>0</v>
      </c>
      <c r="I45" s="254">
        <f>IFERROR(aurora_data!H1355,0)</f>
        <v>0</v>
      </c>
      <c r="J45" s="113">
        <f>IFERROR(aurora_data!I1355,0)</f>
        <v>0</v>
      </c>
      <c r="K45" s="253">
        <f>IFERROR(aurora_data!J1355,0)</f>
        <v>0</v>
      </c>
      <c r="L45" s="253">
        <f>IFERROR(aurora_data!K1355,0)</f>
        <v>0</v>
      </c>
      <c r="M45" s="253">
        <f>IFERROR(aurora_data!L1355,0)</f>
        <v>0</v>
      </c>
      <c r="N45" s="254">
        <f>IFERROR(aurora_data!M1355,0)</f>
        <v>1</v>
      </c>
      <c r="O45" s="113">
        <f>IFERROR(aurora_data!N1355,0)</f>
        <v>0</v>
      </c>
      <c r="P45" s="253">
        <f>IFERROR(aurora_data!O1355,0)</f>
        <v>0</v>
      </c>
      <c r="Q45" s="253">
        <f>IFERROR(aurora_data!P1355,0)</f>
        <v>1</v>
      </c>
      <c r="R45" s="254">
        <f>IFERROR(aurora_data!Q1355,0)</f>
        <v>0</v>
      </c>
      <c r="S45" s="253">
        <f>IFERROR(aurora_data!R1355,0)</f>
        <v>0</v>
      </c>
      <c r="T45" s="253">
        <f>IFERROR(aurora_data!S1355,0)</f>
        <v>1</v>
      </c>
      <c r="U45" s="254">
        <f>IFERROR(aurora_data!T955,0)</f>
        <v>0</v>
      </c>
      <c r="V45" s="61" t="s">
        <v>354</v>
      </c>
      <c r="W45" s="113">
        <f>IFERROR(aurora_data!U1355,0)</f>
        <v>1</v>
      </c>
      <c r="X45" s="255">
        <f t="shared" si="15"/>
        <v>5.5555555555555552E-2</v>
      </c>
      <c r="Y45" s="2"/>
      <c r="AA45" s="452"/>
      <c r="AB45" s="454"/>
      <c r="AC45" s="35" t="s">
        <v>341</v>
      </c>
      <c r="AD45" s="113">
        <f>IFERROR(aurora_data!D1355,0)+IFERROR(aurora_data!E1355,0)</f>
        <v>1</v>
      </c>
      <c r="AE45" s="253">
        <f>IFERROR(aurora_data!F1355,0)</f>
        <v>0</v>
      </c>
      <c r="AF45" s="253">
        <f>IFERROR(aurora_data!G1355,0)</f>
        <v>0</v>
      </c>
      <c r="AG45" s="254">
        <f>IFERROR(aurora_data!H1355,0)</f>
        <v>0</v>
      </c>
      <c r="AH45" s="61" t="s">
        <v>354</v>
      </c>
      <c r="AI45" s="113">
        <f>IFERROR(aurora_data!U1355,0)</f>
        <v>1</v>
      </c>
      <c r="AJ45" s="255">
        <f t="shared" si="14"/>
        <v>5.5555555555555552E-2</v>
      </c>
    </row>
    <row r="46" spans="1:36" customFormat="1" ht="16.5" thickBot="1">
      <c r="A46" s="2"/>
      <c r="B46" s="561"/>
      <c r="C46" s="454"/>
      <c r="D46" s="35" t="s">
        <v>342</v>
      </c>
      <c r="E46" s="113">
        <f>IFERROR(aurora_data!D1356,0)</f>
        <v>0</v>
      </c>
      <c r="F46" s="253">
        <f>IFERROR(aurora_data!E1356,0)</f>
        <v>0</v>
      </c>
      <c r="G46" s="253">
        <f>IFERROR(aurora_data!F1356,0)</f>
        <v>0</v>
      </c>
      <c r="H46" s="253">
        <f>IFERROR(aurora_data!G1356,0)</f>
        <v>0</v>
      </c>
      <c r="I46" s="254">
        <f>IFERROR(aurora_data!H1356,0)</f>
        <v>0</v>
      </c>
      <c r="J46" s="113">
        <f>IFERROR(aurora_data!I1356,0)</f>
        <v>0</v>
      </c>
      <c r="K46" s="253">
        <f>IFERROR(aurora_data!J1356,0)</f>
        <v>0</v>
      </c>
      <c r="L46" s="253">
        <f>IFERROR(aurora_data!K1356,0)</f>
        <v>0</v>
      </c>
      <c r="M46" s="253">
        <f>IFERROR(aurora_data!L1356,0)</f>
        <v>0</v>
      </c>
      <c r="N46" s="254">
        <f>IFERROR(aurora_data!M1356,0)</f>
        <v>0</v>
      </c>
      <c r="O46" s="113">
        <f>IFERROR(aurora_data!N1356,0)</f>
        <v>0</v>
      </c>
      <c r="P46" s="253">
        <f>IFERROR(aurora_data!O1356,0)</f>
        <v>0</v>
      </c>
      <c r="Q46" s="253">
        <f>IFERROR(aurora_data!P1356,0)</f>
        <v>0</v>
      </c>
      <c r="R46" s="254">
        <f>IFERROR(aurora_data!Q1356,0)</f>
        <v>0</v>
      </c>
      <c r="S46" s="253">
        <f>IFERROR(aurora_data!R1356,0)</f>
        <v>0</v>
      </c>
      <c r="T46" s="253">
        <f>IFERROR(aurora_data!S1356,0)</f>
        <v>0</v>
      </c>
      <c r="U46" s="254">
        <f>IFERROR(aurora_data!T956,0)</f>
        <v>0</v>
      </c>
      <c r="V46" s="61" t="s">
        <v>354</v>
      </c>
      <c r="W46" s="113">
        <f>IFERROR(aurora_data!U1356,0)</f>
        <v>0</v>
      </c>
      <c r="X46" s="255">
        <f t="shared" si="15"/>
        <v>0</v>
      </c>
      <c r="Y46" s="2"/>
      <c r="AA46" s="452"/>
      <c r="AB46" s="454"/>
      <c r="AC46" s="35" t="s">
        <v>342</v>
      </c>
      <c r="AD46" s="113">
        <f>IFERROR(aurora_data!D1356,0)+IFERROR(aurora_data!E1356,0)</f>
        <v>0</v>
      </c>
      <c r="AE46" s="253">
        <f>IFERROR(aurora_data!F1356,0)</f>
        <v>0</v>
      </c>
      <c r="AF46" s="253">
        <f>IFERROR(aurora_data!G1356,0)</f>
        <v>0</v>
      </c>
      <c r="AG46" s="254">
        <f>IFERROR(aurora_data!H1356,0)</f>
        <v>0</v>
      </c>
      <c r="AH46" s="61" t="s">
        <v>354</v>
      </c>
      <c r="AI46" s="113">
        <f>IFERROR(aurora_data!U1356,0)</f>
        <v>0</v>
      </c>
      <c r="AJ46" s="255">
        <f t="shared" si="14"/>
        <v>0</v>
      </c>
    </row>
    <row r="47" spans="1:36" customFormat="1" ht="16.5" thickBot="1">
      <c r="A47" s="2"/>
      <c r="B47" s="561"/>
      <c r="C47" s="454"/>
      <c r="D47" s="37" t="s">
        <v>17</v>
      </c>
      <c r="E47" s="59">
        <f>IFERROR(aurora_data!D1357,0)</f>
        <v>1</v>
      </c>
      <c r="F47" s="64">
        <f>IFERROR(aurora_data!E1357,0)</f>
        <v>2</v>
      </c>
      <c r="G47" s="64">
        <f>IFERROR(aurora_data!F1357,0)</f>
        <v>5</v>
      </c>
      <c r="H47" s="64">
        <f>IFERROR(aurora_data!G1357,0)</f>
        <v>5</v>
      </c>
      <c r="I47" s="65">
        <f>IFERROR(aurora_data!H1357,0)</f>
        <v>8</v>
      </c>
      <c r="J47" s="59">
        <f>IFERROR(aurora_data!I1357,0)</f>
        <v>1</v>
      </c>
      <c r="K47" s="64">
        <f>IFERROR(aurora_data!J1357,0)</f>
        <v>4</v>
      </c>
      <c r="L47" s="64">
        <f>IFERROR(aurora_data!K1357,0)</f>
        <v>4</v>
      </c>
      <c r="M47" s="64">
        <f>IFERROR(aurora_data!L1357,0)</f>
        <v>3</v>
      </c>
      <c r="N47" s="65">
        <f>IFERROR(aurora_data!M1357,0)</f>
        <v>9</v>
      </c>
      <c r="O47" s="59">
        <f>IFERROR(aurora_data!N1357,0)</f>
        <v>8</v>
      </c>
      <c r="P47" s="64">
        <f>IFERROR(aurora_data!O1357,0)</f>
        <v>4</v>
      </c>
      <c r="Q47" s="64">
        <f>IFERROR(aurora_data!P1357,0)</f>
        <v>8</v>
      </c>
      <c r="R47" s="65">
        <f>IFERROR(aurora_data!Q1357,0)</f>
        <v>1</v>
      </c>
      <c r="S47" s="64">
        <f>IFERROR(aurora_data!R1357,0)</f>
        <v>9</v>
      </c>
      <c r="T47" s="64">
        <f>IFERROR(aurora_data!S1357,0)</f>
        <v>12</v>
      </c>
      <c r="U47" s="65">
        <f>IFERROR(aurora_data!T957,0)</f>
        <v>0</v>
      </c>
      <c r="V47" s="66" t="s">
        <v>354</v>
      </c>
      <c r="W47" s="59">
        <f>IFERROR(aurora_data!U1357,0)</f>
        <v>21</v>
      </c>
      <c r="X47" s="70">
        <f t="shared" si="15"/>
        <v>1.1666666666666667</v>
      </c>
      <c r="Y47" s="2"/>
      <c r="AA47" s="452"/>
      <c r="AB47" s="454"/>
      <c r="AC47" s="360" t="s">
        <v>17</v>
      </c>
      <c r="AD47" s="59">
        <f>IFERROR(aurora_data!D1357,0)+IFERROR(aurora_data!E1357,0)</f>
        <v>3</v>
      </c>
      <c r="AE47" s="64">
        <f>IFERROR(aurora_data!F1357,0)</f>
        <v>5</v>
      </c>
      <c r="AF47" s="64">
        <f>IFERROR(aurora_data!G1357,0)</f>
        <v>5</v>
      </c>
      <c r="AG47" s="65">
        <f>IFERROR(aurora_data!H1357,0)</f>
        <v>8</v>
      </c>
      <c r="AH47" s="66" t="s">
        <v>354</v>
      </c>
      <c r="AI47" s="59">
        <f>IFERROR(aurora_data!U1357,0)</f>
        <v>21</v>
      </c>
      <c r="AJ47" s="70">
        <f t="shared" si="14"/>
        <v>1.1666666666666667</v>
      </c>
    </row>
    <row r="48" spans="1:36" customFormat="1" ht="16.5" thickBot="1">
      <c r="A48" s="2"/>
      <c r="B48" s="561"/>
      <c r="C48" s="454"/>
      <c r="D48" s="38" t="s">
        <v>343</v>
      </c>
      <c r="E48" s="256">
        <f>IFERROR(aurora_data!D1358,0)</f>
        <v>0</v>
      </c>
      <c r="F48" s="257">
        <f>IFERROR(aurora_data!E1358,0)</f>
        <v>0</v>
      </c>
      <c r="G48" s="257">
        <f>IFERROR(aurora_data!F1358,0)</f>
        <v>0</v>
      </c>
      <c r="H48" s="257">
        <f>IFERROR(aurora_data!G1358,0)</f>
        <v>0</v>
      </c>
      <c r="I48" s="258">
        <f>IFERROR(aurora_data!H1358,0)</f>
        <v>0</v>
      </c>
      <c r="J48" s="256">
        <f>IFERROR(aurora_data!I1358,0)</f>
        <v>0</v>
      </c>
      <c r="K48" s="257">
        <f>IFERROR(aurora_data!J1358,0)</f>
        <v>0</v>
      </c>
      <c r="L48" s="257">
        <f>IFERROR(aurora_data!K1358,0)</f>
        <v>0</v>
      </c>
      <c r="M48" s="257">
        <f>IFERROR(aurora_data!L1358,0)</f>
        <v>0</v>
      </c>
      <c r="N48" s="258">
        <f>IFERROR(aurora_data!M1358,0)</f>
        <v>0</v>
      </c>
      <c r="O48" s="256">
        <f>IFERROR(aurora_data!N1358,0)</f>
        <v>0</v>
      </c>
      <c r="P48" s="257">
        <f>IFERROR(aurora_data!O1358,0)</f>
        <v>0</v>
      </c>
      <c r="Q48" s="257">
        <f>IFERROR(aurora_data!P1358,0)</f>
        <v>0</v>
      </c>
      <c r="R48" s="258">
        <f>IFERROR(aurora_data!Q1358,0)</f>
        <v>0</v>
      </c>
      <c r="S48" s="257">
        <f>IFERROR(aurora_data!R1358,0)</f>
        <v>0</v>
      </c>
      <c r="T48" s="257">
        <f>IFERROR(aurora_data!S1358,0)</f>
        <v>0</v>
      </c>
      <c r="U48" s="259">
        <f>IFERROR(aurora_data!T958,0)</f>
        <v>0</v>
      </c>
      <c r="V48" s="260" t="s">
        <v>354</v>
      </c>
      <c r="W48" s="256">
        <f>IFERROR(aurora_data!U1358,0)</f>
        <v>0</v>
      </c>
      <c r="X48" s="261">
        <f t="shared" si="15"/>
        <v>0</v>
      </c>
      <c r="Y48" s="2"/>
      <c r="AA48" s="452"/>
      <c r="AB48" s="454"/>
      <c r="AC48" s="38" t="s">
        <v>343</v>
      </c>
      <c r="AD48" s="256">
        <f>IFERROR(aurora_data!D1358,0)+IFERROR(aurora_data!E1358,0)</f>
        <v>0</v>
      </c>
      <c r="AE48" s="257">
        <f>IFERROR(aurora_data!F1358,0)</f>
        <v>0</v>
      </c>
      <c r="AF48" s="257">
        <f>IFERROR(aurora_data!G1358,0)</f>
        <v>0</v>
      </c>
      <c r="AG48" s="258">
        <f>IFERROR(aurora_data!H1358,0)</f>
        <v>0</v>
      </c>
      <c r="AH48" s="260" t="s">
        <v>354</v>
      </c>
      <c r="AI48" s="256">
        <f>IFERROR(aurora_data!U1358,0)</f>
        <v>0</v>
      </c>
      <c r="AJ48" s="261">
        <f t="shared" si="14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6">
        <f>(E51+$E$9)*($W40)</f>
        <v>0.8600000000000001</v>
      </c>
      <c r="F49" s="277">
        <f>(F51+$E$9)*($W40)</f>
        <v>1.3399999999999999</v>
      </c>
      <c r="G49" s="277">
        <f>(G51+$E$9)*($W40)</f>
        <v>3.92</v>
      </c>
      <c r="H49" s="277">
        <f>(H51+$E$9)*($W40)</f>
        <v>6.17</v>
      </c>
      <c r="I49" s="277">
        <f>(I51+$E$9)*($W40)</f>
        <v>7.5200000000000005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297"/>
      <c r="AD49" s="327"/>
      <c r="AE49" s="328"/>
      <c r="AF49" s="328"/>
      <c r="AG49" s="297"/>
      <c r="AH49" s="298"/>
      <c r="AI49" s="294"/>
      <c r="AJ49" s="299"/>
    </row>
    <row r="50" spans="1:36" customFormat="1" ht="16.5" outlineLevel="1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0.87</v>
      </c>
      <c r="G50" s="277">
        <f t="shared" ref="G50:I50" si="16">IF(ROUND(((G51-$E$9)*($W40))+0.25,0) &lt;=0,1,((G51-$E$9)*($W40))+0.25)</f>
        <v>3.45</v>
      </c>
      <c r="H50" s="277">
        <f t="shared" si="16"/>
        <v>5.6999999999999993</v>
      </c>
      <c r="I50" s="277">
        <f t="shared" si="16"/>
        <v>7.05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296"/>
      <c r="AD50" s="294"/>
      <c r="AE50" s="295"/>
      <c r="AF50" s="295"/>
      <c r="AG50" s="296"/>
      <c r="AH50" s="298"/>
      <c r="AI50" s="294"/>
      <c r="AJ50" s="299"/>
    </row>
    <row r="51" spans="1:36" customFormat="1" ht="16.5" hidden="1" outlineLevel="1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7">IFERROR(F40/$W40,0)</f>
        <v>5.4444444444444441E-2</v>
      </c>
      <c r="G51" s="415">
        <f>IFERROR(G40/$W40,0)</f>
        <v>0.19777777777777777</v>
      </c>
      <c r="H51" s="415">
        <f t="shared" ref="H51" si="18">IFERROR(H40/$W40,0)</f>
        <v>0.32277777777777777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296"/>
      <c r="AD51" s="294"/>
      <c r="AE51" s="295"/>
      <c r="AF51" s="295"/>
      <c r="AG51" s="296"/>
      <c r="AH51" s="298"/>
      <c r="AI51" s="294"/>
      <c r="AJ51" s="299"/>
    </row>
    <row r="52" spans="1:36" customFormat="1" ht="16.5" hidden="1" outlineLevel="1" thickBot="1">
      <c r="A52" s="2"/>
      <c r="B52" s="147"/>
      <c r="C52" s="227"/>
      <c r="D52" s="180" t="s">
        <v>347</v>
      </c>
      <c r="E52" s="414">
        <f>IFERROR(E41/$W40,0)</f>
        <v>5.5555555555555552E-2</v>
      </c>
      <c r="F52" s="415">
        <f t="shared" ref="F52:I52" si="19">IFERROR(F41/$W40,0)</f>
        <v>5.5555555555555552E-2</v>
      </c>
      <c r="G52" s="415">
        <f t="shared" si="19"/>
        <v>0.22222222222222221</v>
      </c>
      <c r="H52" s="415">
        <f t="shared" si="19"/>
        <v>0.27777777777777779</v>
      </c>
      <c r="I52" s="415">
        <f t="shared" si="19"/>
        <v>0.3888888888888889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296"/>
      <c r="AD52" s="294"/>
      <c r="AE52" s="295"/>
      <c r="AF52" s="295"/>
      <c r="AG52" s="296"/>
      <c r="AH52" s="298"/>
      <c r="AI52" s="294"/>
      <c r="AJ52" s="299"/>
    </row>
    <row r="53" spans="1:36" customFormat="1" ht="16.5" hidden="1" outlineLevel="1" thickBot="1">
      <c r="A53" s="2"/>
      <c r="B53" s="147"/>
      <c r="C53" s="227"/>
      <c r="D53" s="180" t="s">
        <v>348</v>
      </c>
      <c r="E53" s="414">
        <f>E52-E51</f>
        <v>2.7777777777777776E-2</v>
      </c>
      <c r="F53" s="415">
        <f t="shared" ref="F53:I53" si="20">F52-F51</f>
        <v>1.1111111111111113E-3</v>
      </c>
      <c r="G53" s="415">
        <f t="shared" si="20"/>
        <v>2.4444444444444435E-2</v>
      </c>
      <c r="H53" s="415">
        <f t="shared" si="20"/>
        <v>-4.4999999999999984E-2</v>
      </c>
      <c r="I53" s="415">
        <f t="shared" si="20"/>
        <v>-8.8888888888888906E-3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A53" s="147"/>
      <c r="AB53" s="227"/>
      <c r="AC53" s="331"/>
      <c r="AD53" s="329"/>
      <c r="AE53" s="330"/>
      <c r="AF53" s="330"/>
      <c r="AG53" s="331"/>
      <c r="AH53" s="298"/>
      <c r="AI53" s="294"/>
      <c r="AJ53" s="299"/>
    </row>
    <row r="54" spans="1:36" customFormat="1">
      <c r="A54" s="2"/>
      <c r="B54" s="560" t="s">
        <v>362</v>
      </c>
      <c r="C54" s="453" t="str">
        <f>aurora_data!A1359</f>
        <v>09.00.00-09.11.30</v>
      </c>
      <c r="D54" s="34" t="s">
        <v>306</v>
      </c>
      <c r="E54" s="39">
        <f>IFERROR(aurora_data!D1359,0)</f>
        <v>0.49</v>
      </c>
      <c r="F54" s="40">
        <f>IFERROR(aurora_data!E1359,0)</f>
        <v>1</v>
      </c>
      <c r="G54" s="40">
        <f>IFERROR(aurora_data!F1359,0)</f>
        <v>3.63</v>
      </c>
      <c r="H54" s="40">
        <f>IFERROR(aurora_data!G1359,0)</f>
        <v>5.75</v>
      </c>
      <c r="I54" s="41">
        <f>IFERROR(aurora_data!H1359,0)</f>
        <v>7.13</v>
      </c>
      <c r="J54" s="39">
        <f>IFERROR(aurora_data!I1359,0)</f>
        <v>1</v>
      </c>
      <c r="K54" s="40">
        <f>IFERROR(aurora_data!J1359,0)</f>
        <v>1</v>
      </c>
      <c r="L54" s="40">
        <f>IFERROR(aurora_data!K1359,0)</f>
        <v>1</v>
      </c>
      <c r="M54" s="40">
        <f>IFERROR(aurora_data!L1359,0)</f>
        <v>1</v>
      </c>
      <c r="N54" s="41">
        <f>IFERROR(aurora_data!M1359,0)</f>
        <v>1</v>
      </c>
      <c r="O54" s="39">
        <f>IFERROR(aurora_data!N1359,0)</f>
        <v>1</v>
      </c>
      <c r="P54" s="40">
        <f>IFERROR(aurora_data!O1359,0)</f>
        <v>1</v>
      </c>
      <c r="Q54" s="40">
        <f>IFERROR(aurora_data!P1359,0)</f>
        <v>1</v>
      </c>
      <c r="R54" s="41">
        <f>IFERROR(aurora_data!Q1359,0)</f>
        <v>1</v>
      </c>
      <c r="S54" s="40">
        <f>IFERROR(aurora_data!R1359,0)</f>
        <v>1</v>
      </c>
      <c r="T54" s="40">
        <f>IFERROR(aurora_data!S1359,0)</f>
        <v>1</v>
      </c>
      <c r="U54" s="41">
        <f>IFERROR(aurora_data!T959,0)</f>
        <v>0</v>
      </c>
      <c r="V54" s="61" t="s">
        <v>354</v>
      </c>
      <c r="W54" s="39">
        <f>IFERROR(aurora_data!U1359,0)</f>
        <v>18</v>
      </c>
      <c r="X54" s="69">
        <f>IFERROR(W54/$W$54,0)</f>
        <v>1</v>
      </c>
      <c r="Y54" s="2"/>
      <c r="AA54" s="451" t="s">
        <v>338</v>
      </c>
      <c r="AB54" s="453" t="str">
        <f>aurora_data!A1359</f>
        <v>09.00.00-09.11.30</v>
      </c>
      <c r="AC54" s="34" t="s">
        <v>306</v>
      </c>
      <c r="AD54" s="332">
        <v>2</v>
      </c>
      <c r="AE54" s="40">
        <v>4</v>
      </c>
      <c r="AF54" s="40">
        <v>6</v>
      </c>
      <c r="AG54" s="333">
        <v>6</v>
      </c>
      <c r="AH54" s="61" t="s">
        <v>354</v>
      </c>
      <c r="AI54" s="39">
        <f>IFERROR(aurora_data!U1359,0)</f>
        <v>18</v>
      </c>
      <c r="AJ54" s="69">
        <f t="shared" ref="AJ54:AJ62" si="21">IFERROR(AI54/$AI$54,0)</f>
        <v>1</v>
      </c>
    </row>
    <row r="55" spans="1:36" customFormat="1">
      <c r="A55" s="2"/>
      <c r="B55" s="561"/>
      <c r="C55" s="454"/>
      <c r="D55" s="35" t="s">
        <v>339</v>
      </c>
      <c r="E55" s="113">
        <f>IFERROR(aurora_data!D1360,0)</f>
        <v>0</v>
      </c>
      <c r="F55" s="253">
        <f>IFERROR(aurora_data!E1360,0)</f>
        <v>2</v>
      </c>
      <c r="G55" s="253">
        <f>IFERROR(aurora_data!F1360,0)</f>
        <v>4</v>
      </c>
      <c r="H55" s="253">
        <f>IFERROR(aurora_data!G1360,0)</f>
        <v>6</v>
      </c>
      <c r="I55" s="254">
        <f>IFERROR(aurora_data!H1360,0)</f>
        <v>6</v>
      </c>
      <c r="J55" s="113">
        <f>IFERROR(aurora_data!I1360,0)</f>
        <v>1</v>
      </c>
      <c r="K55" s="253">
        <f>IFERROR(aurora_data!J1360,0)</f>
        <v>4</v>
      </c>
      <c r="L55" s="253">
        <f>IFERROR(aurora_data!K1360,0)</f>
        <v>1</v>
      </c>
      <c r="M55" s="253">
        <f>IFERROR(aurora_data!L1360,0)</f>
        <v>2</v>
      </c>
      <c r="N55" s="254">
        <f>IFERROR(aurora_data!M1360,0)</f>
        <v>10</v>
      </c>
      <c r="O55" s="113">
        <f>IFERROR(aurora_data!N1360,0)</f>
        <v>4</v>
      </c>
      <c r="P55" s="253">
        <f>IFERROR(aurora_data!O1360,0)</f>
        <v>6</v>
      </c>
      <c r="Q55" s="253">
        <f>IFERROR(aurora_data!P1360,0)</f>
        <v>7</v>
      </c>
      <c r="R55" s="254">
        <f>IFERROR(aurora_data!Q1360,0)</f>
        <v>1</v>
      </c>
      <c r="S55" s="253">
        <f>IFERROR(aurora_data!R1360,0)</f>
        <v>10</v>
      </c>
      <c r="T55" s="253">
        <f>IFERROR(aurora_data!S1360,0)</f>
        <v>8</v>
      </c>
      <c r="U55" s="254">
        <f>IFERROR(aurora_data!T960,0)</f>
        <v>0</v>
      </c>
      <c r="V55" s="61" t="s">
        <v>354</v>
      </c>
      <c r="W55" s="113">
        <f>IFERROR(aurora_data!U1360,0)</f>
        <v>18</v>
      </c>
      <c r="X55" s="255">
        <f t="shared" ref="X55:X62" si="22">IFERROR(W55/$W$54,0)</f>
        <v>1</v>
      </c>
      <c r="Y55" s="2"/>
      <c r="AA55" s="452"/>
      <c r="AB55" s="454"/>
      <c r="AC55" s="35" t="s">
        <v>339</v>
      </c>
      <c r="AD55" s="113">
        <f>IFERROR(aurora_data!D1360,0)+IFERROR(aurora_data!E1360,0)</f>
        <v>2</v>
      </c>
      <c r="AE55" s="253">
        <f>IFERROR(aurora_data!F1360,0)</f>
        <v>4</v>
      </c>
      <c r="AF55" s="253">
        <f>IFERROR(aurora_data!G1360,0)</f>
        <v>6</v>
      </c>
      <c r="AG55" s="254">
        <f>IFERROR(aurora_data!H1360,0)</f>
        <v>6</v>
      </c>
      <c r="AH55" s="61" t="s">
        <v>354</v>
      </c>
      <c r="AI55" s="113">
        <f>IFERROR(aurora_data!U1360,0)</f>
        <v>18</v>
      </c>
      <c r="AJ55" s="255">
        <f t="shared" si="21"/>
        <v>1</v>
      </c>
    </row>
    <row r="56" spans="1:36" customFormat="1">
      <c r="A56" s="2"/>
      <c r="B56" s="561"/>
      <c r="C56" s="454"/>
      <c r="D56" s="35" t="s">
        <v>291</v>
      </c>
      <c r="E56" s="113">
        <f>IFERROR(aurora_data!D1361,0)</f>
        <v>0</v>
      </c>
      <c r="F56" s="253">
        <f>IFERROR(aurora_data!E1361,0)</f>
        <v>0</v>
      </c>
      <c r="G56" s="253">
        <f>IFERROR(aurora_data!F1361,0)</f>
        <v>2</v>
      </c>
      <c r="H56" s="253">
        <f>IFERROR(aurora_data!G1361,0)</f>
        <v>0</v>
      </c>
      <c r="I56" s="254">
        <f>IFERROR(aurora_data!H1361,0)</f>
        <v>2</v>
      </c>
      <c r="J56" s="113">
        <f>IFERROR(aurora_data!I1361,0)</f>
        <v>0</v>
      </c>
      <c r="K56" s="253">
        <f>IFERROR(aurora_data!J1361,0)</f>
        <v>0</v>
      </c>
      <c r="L56" s="253">
        <f>IFERROR(aurora_data!K1361,0)</f>
        <v>0</v>
      </c>
      <c r="M56" s="253">
        <f>IFERROR(aurora_data!L1361,0)</f>
        <v>0</v>
      </c>
      <c r="N56" s="254">
        <f>IFERROR(aurora_data!M1361,0)</f>
        <v>4</v>
      </c>
      <c r="O56" s="113">
        <f>IFERROR(aurora_data!N1361,0)</f>
        <v>0</v>
      </c>
      <c r="P56" s="253">
        <f>IFERROR(aurora_data!O1361,0)</f>
        <v>2</v>
      </c>
      <c r="Q56" s="253">
        <f>IFERROR(aurora_data!P1361,0)</f>
        <v>1</v>
      </c>
      <c r="R56" s="254">
        <f>IFERROR(aurora_data!Q1361,0)</f>
        <v>1</v>
      </c>
      <c r="S56" s="253">
        <f>IFERROR(aurora_data!R1361,0)</f>
        <v>3</v>
      </c>
      <c r="T56" s="253">
        <f>IFERROR(aurora_data!S1361,0)</f>
        <v>1</v>
      </c>
      <c r="U56" s="254">
        <f>IFERROR(aurora_data!T961,0)</f>
        <v>0</v>
      </c>
      <c r="V56" s="61" t="s">
        <v>354</v>
      </c>
      <c r="W56" s="113">
        <f>IFERROR(aurora_data!U1361,0)</f>
        <v>4</v>
      </c>
      <c r="X56" s="255">
        <f t="shared" si="22"/>
        <v>0.22222222222222221</v>
      </c>
      <c r="Y56" s="2"/>
      <c r="AA56" s="452"/>
      <c r="AB56" s="454"/>
      <c r="AC56" s="35" t="s">
        <v>291</v>
      </c>
      <c r="AD56" s="113">
        <f>IFERROR(aurora_data!D1361,0)+IFERROR(aurora_data!E1361,0)</f>
        <v>0</v>
      </c>
      <c r="AE56" s="253">
        <f>IFERROR(aurora_data!F1361,0)</f>
        <v>2</v>
      </c>
      <c r="AF56" s="253">
        <f>IFERROR(aurora_data!G1361,0)</f>
        <v>0</v>
      </c>
      <c r="AG56" s="254">
        <f>IFERROR(aurora_data!H1361,0)</f>
        <v>2</v>
      </c>
      <c r="AH56" s="61" t="s">
        <v>354</v>
      </c>
      <c r="AI56" s="113">
        <f>IFERROR(aurora_data!U1361,0)</f>
        <v>4</v>
      </c>
      <c r="AJ56" s="255">
        <f t="shared" si="21"/>
        <v>0.22222222222222221</v>
      </c>
    </row>
    <row r="57" spans="1:36" customFormat="1">
      <c r="A57" s="2"/>
      <c r="B57" s="561"/>
      <c r="C57" s="454"/>
      <c r="D57" s="35" t="s">
        <v>340</v>
      </c>
      <c r="E57" s="113">
        <f>IFERROR(aurora_data!D1362,0)</f>
        <v>0</v>
      </c>
      <c r="F57" s="253">
        <f>IFERROR(aurora_data!E1362,0)</f>
        <v>0</v>
      </c>
      <c r="G57" s="253">
        <f>IFERROR(aurora_data!F1362,0)</f>
        <v>0</v>
      </c>
      <c r="H57" s="253">
        <f>IFERROR(aurora_data!G1362,0)</f>
        <v>0</v>
      </c>
      <c r="I57" s="254">
        <f>IFERROR(aurora_data!H1362,0)</f>
        <v>0</v>
      </c>
      <c r="J57" s="113">
        <f>IFERROR(aurora_data!I1362,0)</f>
        <v>0</v>
      </c>
      <c r="K57" s="253">
        <f>IFERROR(aurora_data!J1362,0)</f>
        <v>0</v>
      </c>
      <c r="L57" s="253">
        <f>IFERROR(aurora_data!K1362,0)</f>
        <v>0</v>
      </c>
      <c r="M57" s="253">
        <f>IFERROR(aurora_data!L1362,0)</f>
        <v>0</v>
      </c>
      <c r="N57" s="254">
        <f>IFERROR(aurora_data!M1362,0)</f>
        <v>0</v>
      </c>
      <c r="O57" s="113">
        <f>IFERROR(aurora_data!N1362,0)</f>
        <v>0</v>
      </c>
      <c r="P57" s="253">
        <f>IFERROR(aurora_data!O1362,0)</f>
        <v>0</v>
      </c>
      <c r="Q57" s="253">
        <f>IFERROR(aurora_data!P1362,0)</f>
        <v>0</v>
      </c>
      <c r="R57" s="254">
        <f>IFERROR(aurora_data!Q1362,0)</f>
        <v>0</v>
      </c>
      <c r="S57" s="253">
        <f>IFERROR(aurora_data!R1362,0)</f>
        <v>0</v>
      </c>
      <c r="T57" s="253">
        <f>IFERROR(aurora_data!S1362,0)</f>
        <v>0</v>
      </c>
      <c r="U57" s="254">
        <f>IFERROR(aurora_data!T962,0)</f>
        <v>0</v>
      </c>
      <c r="V57" s="61" t="s">
        <v>354</v>
      </c>
      <c r="W57" s="113">
        <f>IFERROR(aurora_data!U1362,0)</f>
        <v>0</v>
      </c>
      <c r="X57" s="255">
        <f t="shared" si="22"/>
        <v>0</v>
      </c>
      <c r="Y57" s="2"/>
      <c r="AA57" s="452"/>
      <c r="AB57" s="454"/>
      <c r="AC57" s="35" t="s">
        <v>340</v>
      </c>
      <c r="AD57" s="113">
        <f>IFERROR(aurora_data!D1362,0)+IFERROR(aurora_data!E1362,0)</f>
        <v>0</v>
      </c>
      <c r="AE57" s="253">
        <f>IFERROR(aurora_data!F1362,0)</f>
        <v>0</v>
      </c>
      <c r="AF57" s="253">
        <f>IFERROR(aurora_data!G1362,0)</f>
        <v>0</v>
      </c>
      <c r="AG57" s="254">
        <f>IFERROR(aurora_data!H1362,0)</f>
        <v>0</v>
      </c>
      <c r="AH57" s="61" t="s">
        <v>354</v>
      </c>
      <c r="AI57" s="113">
        <f>IFERROR(aurora_data!U1362,0)</f>
        <v>0</v>
      </c>
      <c r="AJ57" s="255">
        <f t="shared" si="21"/>
        <v>0</v>
      </c>
    </row>
    <row r="58" spans="1:36" customFormat="1">
      <c r="A58" s="2"/>
      <c r="B58" s="561"/>
      <c r="C58" s="454"/>
      <c r="D58" s="35" t="s">
        <v>298</v>
      </c>
      <c r="E58" s="113">
        <f>IFERROR(aurora_data!D1363,0)</f>
        <v>0</v>
      </c>
      <c r="F58" s="253">
        <f>IFERROR(aurora_data!E1363,0)</f>
        <v>0</v>
      </c>
      <c r="G58" s="253">
        <f>IFERROR(aurora_data!F1363,0)</f>
        <v>0</v>
      </c>
      <c r="H58" s="253">
        <f>IFERROR(aurora_data!G1363,0)</f>
        <v>0</v>
      </c>
      <c r="I58" s="254">
        <f>IFERROR(aurora_data!H1363,0)</f>
        <v>0</v>
      </c>
      <c r="J58" s="113">
        <f>IFERROR(aurora_data!I1363,0)</f>
        <v>0</v>
      </c>
      <c r="K58" s="253">
        <f>IFERROR(aurora_data!J1363,0)</f>
        <v>0</v>
      </c>
      <c r="L58" s="253">
        <f>IFERROR(aurora_data!K1363,0)</f>
        <v>0</v>
      </c>
      <c r="M58" s="253">
        <f>IFERROR(aurora_data!L1363,0)</f>
        <v>0</v>
      </c>
      <c r="N58" s="254">
        <f>IFERROR(aurora_data!M1363,0)</f>
        <v>0</v>
      </c>
      <c r="O58" s="113">
        <f>IFERROR(aurora_data!N1363,0)</f>
        <v>0</v>
      </c>
      <c r="P58" s="253">
        <f>IFERROR(aurora_data!O1363,0)</f>
        <v>0</v>
      </c>
      <c r="Q58" s="253">
        <f>IFERROR(aurora_data!P1363,0)</f>
        <v>0</v>
      </c>
      <c r="R58" s="254">
        <f>IFERROR(aurora_data!Q1363,0)</f>
        <v>0</v>
      </c>
      <c r="S58" s="253">
        <f>IFERROR(aurora_data!R1363,0)</f>
        <v>0</v>
      </c>
      <c r="T58" s="253">
        <f>IFERROR(aurora_data!S1363,0)</f>
        <v>0</v>
      </c>
      <c r="U58" s="254">
        <f>IFERROR(aurora_data!T963,0)</f>
        <v>0</v>
      </c>
      <c r="V58" s="61" t="s">
        <v>354</v>
      </c>
      <c r="W58" s="113">
        <f>IFERROR(aurora_data!U1363,0)</f>
        <v>0</v>
      </c>
      <c r="X58" s="255">
        <f t="shared" si="22"/>
        <v>0</v>
      </c>
      <c r="Y58" s="2"/>
      <c r="AA58" s="452"/>
      <c r="AB58" s="454"/>
      <c r="AC58" s="35" t="s">
        <v>298</v>
      </c>
      <c r="AD58" s="113">
        <f>IFERROR(aurora_data!D1363,0)+IFERROR(aurora_data!E1363,0)</f>
        <v>0</v>
      </c>
      <c r="AE58" s="253">
        <f>IFERROR(aurora_data!F1363,0)</f>
        <v>0</v>
      </c>
      <c r="AF58" s="253">
        <f>IFERROR(aurora_data!G1363,0)</f>
        <v>0</v>
      </c>
      <c r="AG58" s="254">
        <f>IFERROR(aurora_data!H1363,0)</f>
        <v>0</v>
      </c>
      <c r="AH58" s="61" t="s">
        <v>354</v>
      </c>
      <c r="AI58" s="113">
        <f>IFERROR(aurora_data!U1363,0)</f>
        <v>0</v>
      </c>
      <c r="AJ58" s="255">
        <f t="shared" si="21"/>
        <v>0</v>
      </c>
    </row>
    <row r="59" spans="1:36" customFormat="1">
      <c r="A59" s="2"/>
      <c r="B59" s="561"/>
      <c r="C59" s="454"/>
      <c r="D59" s="35" t="s">
        <v>341</v>
      </c>
      <c r="E59" s="113">
        <f>IFERROR(aurora_data!D1364,0)</f>
        <v>0</v>
      </c>
      <c r="F59" s="253">
        <f>IFERROR(aurora_data!E1364,0)</f>
        <v>0</v>
      </c>
      <c r="G59" s="253">
        <f>IFERROR(aurora_data!F1364,0)</f>
        <v>0</v>
      </c>
      <c r="H59" s="253">
        <f>IFERROR(aurora_data!G1364,0)</f>
        <v>0</v>
      </c>
      <c r="I59" s="254">
        <f>IFERROR(aurora_data!H1364,0)</f>
        <v>0</v>
      </c>
      <c r="J59" s="113">
        <f>IFERROR(aurora_data!I1364,0)</f>
        <v>0</v>
      </c>
      <c r="K59" s="253">
        <f>IFERROR(aurora_data!J1364,0)</f>
        <v>0</v>
      </c>
      <c r="L59" s="253">
        <f>IFERROR(aurora_data!K1364,0)</f>
        <v>0</v>
      </c>
      <c r="M59" s="253">
        <f>IFERROR(aurora_data!L1364,0)</f>
        <v>0</v>
      </c>
      <c r="N59" s="254">
        <f>IFERROR(aurora_data!M1364,0)</f>
        <v>0</v>
      </c>
      <c r="O59" s="113">
        <f>IFERROR(aurora_data!N1364,0)</f>
        <v>0</v>
      </c>
      <c r="P59" s="253">
        <f>IFERROR(aurora_data!O1364,0)</f>
        <v>0</v>
      </c>
      <c r="Q59" s="253">
        <f>IFERROR(aurora_data!P1364,0)</f>
        <v>0</v>
      </c>
      <c r="R59" s="254">
        <f>IFERROR(aurora_data!Q1364,0)</f>
        <v>0</v>
      </c>
      <c r="S59" s="253">
        <f>IFERROR(aurora_data!R1364,0)</f>
        <v>0</v>
      </c>
      <c r="T59" s="253">
        <f>IFERROR(aurora_data!S1364,0)</f>
        <v>0</v>
      </c>
      <c r="U59" s="254">
        <f>IFERROR(aurora_data!T964,0)</f>
        <v>0</v>
      </c>
      <c r="V59" s="61" t="s">
        <v>354</v>
      </c>
      <c r="W59" s="113">
        <f>IFERROR(aurora_data!U1364,0)</f>
        <v>0</v>
      </c>
      <c r="X59" s="255">
        <f t="shared" si="22"/>
        <v>0</v>
      </c>
      <c r="Y59" s="2"/>
      <c r="AA59" s="452"/>
      <c r="AB59" s="454"/>
      <c r="AC59" s="35" t="s">
        <v>341</v>
      </c>
      <c r="AD59" s="113">
        <f>IFERROR(aurora_data!D1364,0)+IFERROR(aurora_data!E1364,0)</f>
        <v>0</v>
      </c>
      <c r="AE59" s="253">
        <f>IFERROR(aurora_data!F1364,0)</f>
        <v>0</v>
      </c>
      <c r="AF59" s="253">
        <f>IFERROR(aurora_data!G1364,0)</f>
        <v>0</v>
      </c>
      <c r="AG59" s="254">
        <f>IFERROR(aurora_data!H1364,0)</f>
        <v>0</v>
      </c>
      <c r="AH59" s="61" t="s">
        <v>354</v>
      </c>
      <c r="AI59" s="113">
        <f>IFERROR(aurora_data!U1364,0)</f>
        <v>0</v>
      </c>
      <c r="AJ59" s="255">
        <f t="shared" si="21"/>
        <v>0</v>
      </c>
    </row>
    <row r="60" spans="1:36" customFormat="1" ht="16.5" thickBot="1">
      <c r="A60" s="2"/>
      <c r="B60" s="561"/>
      <c r="C60" s="454"/>
      <c r="D60" s="35" t="s">
        <v>342</v>
      </c>
      <c r="E60" s="113">
        <f>IFERROR(aurora_data!D1365,0)</f>
        <v>0</v>
      </c>
      <c r="F60" s="253">
        <f>IFERROR(aurora_data!E1365,0)</f>
        <v>0</v>
      </c>
      <c r="G60" s="253">
        <f>IFERROR(aurora_data!F1365,0)</f>
        <v>0</v>
      </c>
      <c r="H60" s="253">
        <f>IFERROR(aurora_data!G1365,0)</f>
        <v>0</v>
      </c>
      <c r="I60" s="254">
        <f>IFERROR(aurora_data!H1365,0)</f>
        <v>0</v>
      </c>
      <c r="J60" s="113">
        <f>IFERROR(aurora_data!I1365,0)</f>
        <v>0</v>
      </c>
      <c r="K60" s="253">
        <f>IFERROR(aurora_data!J1365,0)</f>
        <v>0</v>
      </c>
      <c r="L60" s="253">
        <f>IFERROR(aurora_data!K1365,0)</f>
        <v>0</v>
      </c>
      <c r="M60" s="253">
        <f>IFERROR(aurora_data!L1365,0)</f>
        <v>0</v>
      </c>
      <c r="N60" s="254">
        <f>IFERROR(aurora_data!M1365,0)</f>
        <v>0</v>
      </c>
      <c r="O60" s="113">
        <f>IFERROR(aurora_data!N1365,0)</f>
        <v>0</v>
      </c>
      <c r="P60" s="253">
        <f>IFERROR(aurora_data!O1365,0)</f>
        <v>0</v>
      </c>
      <c r="Q60" s="253">
        <f>IFERROR(aurora_data!P1365,0)</f>
        <v>0</v>
      </c>
      <c r="R60" s="254">
        <f>IFERROR(aurora_data!Q1365,0)</f>
        <v>0</v>
      </c>
      <c r="S60" s="253">
        <f>IFERROR(aurora_data!R1365,0)</f>
        <v>0</v>
      </c>
      <c r="T60" s="253">
        <f>IFERROR(aurora_data!S1365,0)</f>
        <v>0</v>
      </c>
      <c r="U60" s="254">
        <f>IFERROR(aurora_data!T965,0)</f>
        <v>0</v>
      </c>
      <c r="V60" s="61" t="s">
        <v>354</v>
      </c>
      <c r="W60" s="113">
        <f>IFERROR(aurora_data!U1365,0)</f>
        <v>0</v>
      </c>
      <c r="X60" s="255">
        <f t="shared" si="22"/>
        <v>0</v>
      </c>
      <c r="Y60" s="2"/>
      <c r="AA60" s="452"/>
      <c r="AB60" s="454"/>
      <c r="AC60" s="35" t="s">
        <v>342</v>
      </c>
      <c r="AD60" s="113">
        <f>IFERROR(aurora_data!D1365,0)+IFERROR(aurora_data!E1365,0)</f>
        <v>0</v>
      </c>
      <c r="AE60" s="253">
        <f>IFERROR(aurora_data!F1365,0)</f>
        <v>0</v>
      </c>
      <c r="AF60" s="253">
        <f>IFERROR(aurora_data!G1365,0)</f>
        <v>0</v>
      </c>
      <c r="AG60" s="254">
        <f>IFERROR(aurora_data!H1365,0)</f>
        <v>0</v>
      </c>
      <c r="AH60" s="61" t="s">
        <v>354</v>
      </c>
      <c r="AI60" s="113">
        <f>IFERROR(aurora_data!U1365,0)</f>
        <v>0</v>
      </c>
      <c r="AJ60" s="255">
        <f t="shared" si="21"/>
        <v>0</v>
      </c>
    </row>
    <row r="61" spans="1:36" customFormat="1" ht="16.5" thickBot="1">
      <c r="A61" s="2"/>
      <c r="B61" s="561"/>
      <c r="C61" s="454"/>
      <c r="D61" s="37" t="s">
        <v>17</v>
      </c>
      <c r="E61" s="59">
        <f>IFERROR(aurora_data!D1366,0)</f>
        <v>0</v>
      </c>
      <c r="F61" s="64">
        <f>IFERROR(aurora_data!E1366,0)</f>
        <v>2</v>
      </c>
      <c r="G61" s="64">
        <f>IFERROR(aurora_data!F1366,0)</f>
        <v>6</v>
      </c>
      <c r="H61" s="64">
        <f>IFERROR(aurora_data!G1366,0)</f>
        <v>6</v>
      </c>
      <c r="I61" s="65">
        <f>IFERROR(aurora_data!H1366,0)</f>
        <v>8</v>
      </c>
      <c r="J61" s="59">
        <f>IFERROR(aurora_data!I1366,0)</f>
        <v>1</v>
      </c>
      <c r="K61" s="64">
        <f>IFERROR(aurora_data!J1366,0)</f>
        <v>4</v>
      </c>
      <c r="L61" s="64">
        <f>IFERROR(aurora_data!K1366,0)</f>
        <v>1</v>
      </c>
      <c r="M61" s="64">
        <f>IFERROR(aurora_data!L1366,0)</f>
        <v>2</v>
      </c>
      <c r="N61" s="65">
        <f>IFERROR(aurora_data!M1366,0)</f>
        <v>14</v>
      </c>
      <c r="O61" s="59">
        <f>IFERROR(aurora_data!N1366,0)</f>
        <v>4</v>
      </c>
      <c r="P61" s="64">
        <f>IFERROR(aurora_data!O1366,0)</f>
        <v>8</v>
      </c>
      <c r="Q61" s="64">
        <f>IFERROR(aurora_data!P1366,0)</f>
        <v>8</v>
      </c>
      <c r="R61" s="65">
        <f>IFERROR(aurora_data!Q1366,0)</f>
        <v>2</v>
      </c>
      <c r="S61" s="64">
        <f>IFERROR(aurora_data!R1366,0)</f>
        <v>13</v>
      </c>
      <c r="T61" s="64">
        <f>IFERROR(aurora_data!S1366,0)</f>
        <v>9</v>
      </c>
      <c r="U61" s="65">
        <f>IFERROR(aurora_data!T966,0)</f>
        <v>0</v>
      </c>
      <c r="V61" s="66" t="s">
        <v>354</v>
      </c>
      <c r="W61" s="59">
        <f>IFERROR(aurora_data!U1366,0)</f>
        <v>22</v>
      </c>
      <c r="X61" s="70">
        <f t="shared" si="22"/>
        <v>1.2222222222222223</v>
      </c>
      <c r="Y61" s="2"/>
      <c r="AA61" s="452"/>
      <c r="AB61" s="454"/>
      <c r="AC61" s="360" t="s">
        <v>17</v>
      </c>
      <c r="AD61" s="59">
        <f>IFERROR(aurora_data!D1366,0)+IFERROR(aurora_data!E1366,0)</f>
        <v>2</v>
      </c>
      <c r="AE61" s="64">
        <f>IFERROR(aurora_data!F1366,0)</f>
        <v>6</v>
      </c>
      <c r="AF61" s="64">
        <f>IFERROR(aurora_data!G1366,0)</f>
        <v>6</v>
      </c>
      <c r="AG61" s="65">
        <f>IFERROR(aurora_data!H1366,0)</f>
        <v>8</v>
      </c>
      <c r="AH61" s="66" t="s">
        <v>354</v>
      </c>
      <c r="AI61" s="59">
        <f>IFERROR(aurora_data!U1366,0)</f>
        <v>22</v>
      </c>
      <c r="AJ61" s="70">
        <f t="shared" si="21"/>
        <v>1.2222222222222223</v>
      </c>
    </row>
    <row r="62" spans="1:36" customFormat="1" ht="16.5" thickBot="1">
      <c r="A62" s="2"/>
      <c r="B62" s="561"/>
      <c r="C62" s="454"/>
      <c r="D62" s="38" t="s">
        <v>343</v>
      </c>
      <c r="E62" s="256">
        <f>IFERROR(aurora_data!D1367,0)</f>
        <v>0</v>
      </c>
      <c r="F62" s="257">
        <f>IFERROR(aurora_data!E1367,0)</f>
        <v>0</v>
      </c>
      <c r="G62" s="257">
        <f>IFERROR(aurora_data!F1367,0)</f>
        <v>0</v>
      </c>
      <c r="H62" s="257">
        <f>IFERROR(aurora_data!G1367,0)</f>
        <v>0</v>
      </c>
      <c r="I62" s="258">
        <f>IFERROR(aurora_data!H1367,0)</f>
        <v>0</v>
      </c>
      <c r="J62" s="256">
        <f>IFERROR(aurora_data!I1367,0)</f>
        <v>0</v>
      </c>
      <c r="K62" s="257">
        <f>IFERROR(aurora_data!J1367,0)</f>
        <v>0</v>
      </c>
      <c r="L62" s="257">
        <f>IFERROR(aurora_data!K1367,0)</f>
        <v>0</v>
      </c>
      <c r="M62" s="257">
        <f>IFERROR(aurora_data!L1367,0)</f>
        <v>0</v>
      </c>
      <c r="N62" s="258">
        <f>IFERROR(aurora_data!M1367,0)</f>
        <v>0</v>
      </c>
      <c r="O62" s="256">
        <f>IFERROR(aurora_data!N1367,0)</f>
        <v>0</v>
      </c>
      <c r="P62" s="257">
        <f>IFERROR(aurora_data!O1367,0)</f>
        <v>0</v>
      </c>
      <c r="Q62" s="257">
        <f>IFERROR(aurora_data!P1367,0)</f>
        <v>0</v>
      </c>
      <c r="R62" s="258">
        <f>IFERROR(aurora_data!Q1367,0)</f>
        <v>0</v>
      </c>
      <c r="S62" s="257">
        <f>IFERROR(aurora_data!R1367,0)</f>
        <v>0</v>
      </c>
      <c r="T62" s="257">
        <f>IFERROR(aurora_data!S1367,0)</f>
        <v>0</v>
      </c>
      <c r="U62" s="259">
        <f>IFERROR(aurora_data!T967,0)</f>
        <v>0</v>
      </c>
      <c r="V62" s="260" t="s">
        <v>354</v>
      </c>
      <c r="W62" s="256">
        <f>IFERROR(aurora_data!U1367,0)</f>
        <v>0</v>
      </c>
      <c r="X62" s="261">
        <f t="shared" si="22"/>
        <v>0</v>
      </c>
      <c r="Y62" s="2"/>
      <c r="AA62" s="452"/>
      <c r="AB62" s="454"/>
      <c r="AC62" s="38" t="s">
        <v>343</v>
      </c>
      <c r="AD62" s="256">
        <f>IFERROR(aurora_data!D1367,0)+IFERROR(aurora_data!E1367,0)</f>
        <v>0</v>
      </c>
      <c r="AE62" s="257">
        <f>IFERROR(aurora_data!F1367,0)</f>
        <v>0</v>
      </c>
      <c r="AF62" s="257">
        <f>IFERROR(aurora_data!G1367,0)</f>
        <v>0</v>
      </c>
      <c r="AG62" s="258">
        <f>IFERROR(aurora_data!H1367,0)</f>
        <v>0</v>
      </c>
      <c r="AH62" s="260" t="s">
        <v>354</v>
      </c>
      <c r="AI62" s="256">
        <f>IFERROR(aurora_data!U1367,0)</f>
        <v>0</v>
      </c>
      <c r="AJ62" s="261">
        <f t="shared" si="21"/>
        <v>0</v>
      </c>
    </row>
    <row r="63" spans="1:36" customFormat="1" ht="16.5" outlineLevel="1" thickBot="1">
      <c r="A63" s="2"/>
      <c r="B63" s="147"/>
      <c r="C63" s="227"/>
      <c r="D63" s="199" t="s">
        <v>344</v>
      </c>
      <c r="E63" s="276">
        <f>(E65+$E$9)*($W54)</f>
        <v>0.85</v>
      </c>
      <c r="F63" s="277">
        <f>(F65+$E$9)*($W54)</f>
        <v>1.36</v>
      </c>
      <c r="G63" s="277">
        <f>(G65+$E$9)*($W54)</f>
        <v>3.9899999999999998</v>
      </c>
      <c r="H63" s="277">
        <f>(H65+$E$9)*($W54)</f>
        <v>6.1099999999999994</v>
      </c>
      <c r="I63" s="277">
        <f>(I65+$E$9)*($W54)</f>
        <v>7.49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A63" s="147"/>
      <c r="AB63" s="227"/>
      <c r="AC63" s="297"/>
      <c r="AD63" s="327"/>
      <c r="AE63" s="328"/>
      <c r="AF63" s="328"/>
      <c r="AG63" s="297"/>
      <c r="AH63" s="298"/>
      <c r="AI63" s="294"/>
      <c r="AJ63" s="299"/>
    </row>
    <row r="64" spans="1:36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0.8899999999999999</v>
      </c>
      <c r="G64" s="277">
        <f t="shared" ref="G64:I64" si="23">IF(ROUND(((G65-$E$9)*($W54))+0.25,0) &lt;=0,1,((G65-$E$9)*($W54))+0.25)</f>
        <v>3.52</v>
      </c>
      <c r="H64" s="277">
        <f t="shared" si="23"/>
        <v>5.6399999999999988</v>
      </c>
      <c r="I64" s="277">
        <f t="shared" si="23"/>
        <v>7.02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A64" s="147"/>
      <c r="AB64" s="227"/>
      <c r="AC64" s="296"/>
      <c r="AD64" s="294"/>
      <c r="AE64" s="295"/>
      <c r="AF64" s="295"/>
      <c r="AG64" s="296"/>
      <c r="AH64" s="298"/>
      <c r="AI64" s="294"/>
      <c r="AJ64" s="299"/>
    </row>
    <row r="65" spans="1:36" customFormat="1" ht="16.5" hidden="1" outlineLevel="1" thickBot="1">
      <c r="A65" s="2"/>
      <c r="B65" s="147"/>
      <c r="C65" s="227"/>
      <c r="D65" s="95" t="s">
        <v>346</v>
      </c>
      <c r="E65" s="414">
        <f>IFERROR(E54/$W54,0)</f>
        <v>2.7222222222222221E-2</v>
      </c>
      <c r="F65" s="415">
        <f t="shared" ref="F65" si="24">IFERROR(F54/$W54,0)</f>
        <v>5.5555555555555552E-2</v>
      </c>
      <c r="G65" s="415">
        <f>IFERROR(G54/$W54,0)</f>
        <v>0.20166666666666666</v>
      </c>
      <c r="H65" s="415">
        <f t="shared" ref="H65" si="25">IFERROR(H54/$W54,0)</f>
        <v>0.31944444444444442</v>
      </c>
      <c r="I65" s="415">
        <f>IFERROR(I54/$W54,0)</f>
        <v>0.39611111111111108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A65" s="147"/>
      <c r="AB65" s="227"/>
      <c r="AC65" s="296"/>
      <c r="AD65" s="294"/>
      <c r="AE65" s="295"/>
      <c r="AF65" s="295"/>
      <c r="AG65" s="296"/>
      <c r="AH65" s="298"/>
      <c r="AI65" s="294"/>
      <c r="AJ65" s="299"/>
    </row>
    <row r="66" spans="1:36" customFormat="1" ht="16.5" hidden="1" outlineLevel="1" thickBot="1">
      <c r="A66" s="2"/>
      <c r="B66" s="147"/>
      <c r="C66" s="227"/>
      <c r="D66" s="180" t="s">
        <v>347</v>
      </c>
      <c r="E66" s="414">
        <f>IFERROR(E55/$W54,0)</f>
        <v>0</v>
      </c>
      <c r="F66" s="415">
        <f t="shared" ref="F66:I66" si="26">IFERROR(F55/$W54,0)</f>
        <v>0.1111111111111111</v>
      </c>
      <c r="G66" s="415">
        <f t="shared" si="26"/>
        <v>0.22222222222222221</v>
      </c>
      <c r="H66" s="415">
        <f t="shared" si="26"/>
        <v>0.33333333333333331</v>
      </c>
      <c r="I66" s="415">
        <f t="shared" si="26"/>
        <v>0.33333333333333331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A66" s="147"/>
      <c r="AB66" s="227"/>
      <c r="AC66" s="296"/>
      <c r="AD66" s="294"/>
      <c r="AE66" s="295"/>
      <c r="AF66" s="295"/>
      <c r="AG66" s="296"/>
      <c r="AH66" s="298"/>
      <c r="AI66" s="294"/>
      <c r="AJ66" s="299"/>
    </row>
    <row r="67" spans="1:36" customFormat="1" ht="16.5" hidden="1" outlineLevel="1" thickBot="1">
      <c r="A67" s="2"/>
      <c r="B67" s="147"/>
      <c r="C67" s="227"/>
      <c r="D67" s="180" t="s">
        <v>348</v>
      </c>
      <c r="E67" s="414">
        <f>E66-E65</f>
        <v>-2.7222222222222221E-2</v>
      </c>
      <c r="F67" s="415">
        <f t="shared" ref="F67:I67" si="27">F66-F65</f>
        <v>5.5555555555555552E-2</v>
      </c>
      <c r="G67" s="415">
        <f t="shared" si="27"/>
        <v>2.0555555555555549E-2</v>
      </c>
      <c r="H67" s="415">
        <f t="shared" si="27"/>
        <v>1.3888888888888895E-2</v>
      </c>
      <c r="I67" s="415">
        <f t="shared" si="27"/>
        <v>-6.2777777777777766E-2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A67" s="147"/>
      <c r="AB67" s="227"/>
      <c r="AC67" s="331"/>
      <c r="AD67" s="329"/>
      <c r="AE67" s="330"/>
      <c r="AF67" s="330"/>
      <c r="AG67" s="331"/>
      <c r="AH67" s="298"/>
      <c r="AI67" s="294"/>
      <c r="AJ67" s="299"/>
    </row>
    <row r="68" spans="1:36" customFormat="1">
      <c r="A68" s="2"/>
      <c r="B68" s="560" t="s">
        <v>362</v>
      </c>
      <c r="C68" s="453" t="str">
        <f>aurora_data!A1368</f>
        <v>10.00.00-10.11.30</v>
      </c>
      <c r="D68" s="34" t="s">
        <v>306</v>
      </c>
      <c r="E68" s="39">
        <f>IFERROR(aurora_data!D1368,0)</f>
        <v>0.55000000000000004</v>
      </c>
      <c r="F68" s="40">
        <f>IFERROR(aurora_data!E1368,0)</f>
        <v>1.04</v>
      </c>
      <c r="G68" s="40">
        <f>IFERROR(aurora_data!F1368,0)</f>
        <v>3.62</v>
      </c>
      <c r="H68" s="40">
        <f>IFERROR(aurora_data!G1368,0)</f>
        <v>5.76</v>
      </c>
      <c r="I68" s="41">
        <f>IFERROR(aurora_data!H1368,0)</f>
        <v>7.03</v>
      </c>
      <c r="J68" s="39">
        <f>IFERROR(aurora_data!I1368,0)</f>
        <v>1</v>
      </c>
      <c r="K68" s="40">
        <f>IFERROR(aurora_data!J1368,0)</f>
        <v>1</v>
      </c>
      <c r="L68" s="40">
        <f>IFERROR(aurora_data!K1368,0)</f>
        <v>1</v>
      </c>
      <c r="M68" s="40">
        <f>IFERROR(aurora_data!L1368,0)</f>
        <v>1</v>
      </c>
      <c r="N68" s="41">
        <f>IFERROR(aurora_data!M1368,0)</f>
        <v>1</v>
      </c>
      <c r="O68" s="39">
        <f>IFERROR(aurora_data!N1368,0)</f>
        <v>1</v>
      </c>
      <c r="P68" s="40">
        <f>IFERROR(aurora_data!O1368,0)</f>
        <v>1</v>
      </c>
      <c r="Q68" s="40">
        <f>IFERROR(aurora_data!P1368,0)</f>
        <v>1</v>
      </c>
      <c r="R68" s="41">
        <f>IFERROR(aurora_data!Q1368,0)</f>
        <v>1</v>
      </c>
      <c r="S68" s="40">
        <f>IFERROR(aurora_data!R1368,0)</f>
        <v>1</v>
      </c>
      <c r="T68" s="40">
        <f>IFERROR(aurora_data!S1368,0)</f>
        <v>1</v>
      </c>
      <c r="U68" s="41">
        <f>IFERROR(aurora_data!T968,0)</f>
        <v>0</v>
      </c>
      <c r="V68" s="61" t="s">
        <v>354</v>
      </c>
      <c r="W68" s="39">
        <f>IFERROR(aurora_data!U1368,0)</f>
        <v>18</v>
      </c>
      <c r="X68" s="69">
        <f>IFERROR(W68/$W$68,0)</f>
        <v>1</v>
      </c>
      <c r="Y68" s="2"/>
      <c r="AA68" s="451" t="s">
        <v>338</v>
      </c>
      <c r="AB68" s="453" t="str">
        <f>aurora_data!A1368</f>
        <v>10.00.00-10.11.30</v>
      </c>
      <c r="AC68" s="34" t="s">
        <v>306</v>
      </c>
      <c r="AD68" s="39">
        <v>2</v>
      </c>
      <c r="AE68" s="40">
        <v>4</v>
      </c>
      <c r="AF68" s="40">
        <v>6</v>
      </c>
      <c r="AG68" s="333">
        <v>6</v>
      </c>
      <c r="AH68" s="61" t="s">
        <v>354</v>
      </c>
      <c r="AI68" s="39">
        <f>IFERROR(aurora_data!U1368,0)</f>
        <v>18</v>
      </c>
      <c r="AJ68" s="69">
        <f t="shared" ref="AJ68:AJ76" si="28">IFERROR(AI68/$AI$68,0)</f>
        <v>1</v>
      </c>
    </row>
    <row r="69" spans="1:36" customFormat="1">
      <c r="A69" s="2"/>
      <c r="B69" s="561"/>
      <c r="C69" s="454"/>
      <c r="D69" s="35" t="s">
        <v>339</v>
      </c>
      <c r="E69" s="113">
        <f>IFERROR(aurora_data!D1369,0)</f>
        <v>1</v>
      </c>
      <c r="F69" s="253">
        <f>IFERROR(aurora_data!E1369,0)</f>
        <v>2</v>
      </c>
      <c r="G69" s="253">
        <f>IFERROR(aurora_data!F1369,0)</f>
        <v>4</v>
      </c>
      <c r="H69" s="253">
        <f>IFERROR(aurora_data!G1369,0)</f>
        <v>5</v>
      </c>
      <c r="I69" s="254">
        <f>IFERROR(aurora_data!H1369,0)</f>
        <v>6</v>
      </c>
      <c r="J69" s="113">
        <f>IFERROR(aurora_data!I1369,0)</f>
        <v>1</v>
      </c>
      <c r="K69" s="253">
        <f>IFERROR(aurora_data!J1369,0)</f>
        <v>1</v>
      </c>
      <c r="L69" s="253">
        <f>IFERROR(aurora_data!K1369,0)</f>
        <v>5</v>
      </c>
      <c r="M69" s="253">
        <f>IFERROR(aurora_data!L1369,0)</f>
        <v>1</v>
      </c>
      <c r="N69" s="254">
        <f>IFERROR(aurora_data!M1369,0)</f>
        <v>10</v>
      </c>
      <c r="O69" s="113">
        <f>IFERROR(aurora_data!N1369,0)</f>
        <v>8</v>
      </c>
      <c r="P69" s="253">
        <f>IFERROR(aurora_data!O1369,0)</f>
        <v>3</v>
      </c>
      <c r="Q69" s="253">
        <f>IFERROR(aurora_data!P1369,0)</f>
        <v>6</v>
      </c>
      <c r="R69" s="254">
        <f>IFERROR(aurora_data!Q1369,0)</f>
        <v>1</v>
      </c>
      <c r="S69" s="253">
        <f>IFERROR(aurora_data!R1369,0)</f>
        <v>12</v>
      </c>
      <c r="T69" s="253">
        <f>IFERROR(aurora_data!S1369,0)</f>
        <v>6</v>
      </c>
      <c r="U69" s="254">
        <f>IFERROR(aurora_data!T969,0)</f>
        <v>0</v>
      </c>
      <c r="V69" s="61" t="s">
        <v>354</v>
      </c>
      <c r="W69" s="113">
        <f>IFERROR(aurora_data!U1369,0)</f>
        <v>18</v>
      </c>
      <c r="X69" s="255">
        <f t="shared" ref="X69:X76" si="29">IFERROR(W69/$W$68,0)</f>
        <v>1</v>
      </c>
      <c r="Y69" s="2"/>
      <c r="AA69" s="452"/>
      <c r="AB69" s="454"/>
      <c r="AC69" s="35" t="s">
        <v>339</v>
      </c>
      <c r="AD69" s="113">
        <f>IFERROR(aurora_data!D1369,0)+IFERROR(aurora_data!E1369,0)</f>
        <v>3</v>
      </c>
      <c r="AE69" s="253">
        <f>IFERROR(aurora_data!F1369,0)</f>
        <v>4</v>
      </c>
      <c r="AF69" s="253">
        <f>IFERROR(aurora_data!G1369,0)</f>
        <v>5</v>
      </c>
      <c r="AG69" s="254">
        <f>IFERROR(aurora_data!H1369,0)</f>
        <v>6</v>
      </c>
      <c r="AH69" s="61" t="s">
        <v>354</v>
      </c>
      <c r="AI69" s="113">
        <f>IFERROR(aurora_data!U1369,0)</f>
        <v>18</v>
      </c>
      <c r="AJ69" s="255">
        <f t="shared" si="28"/>
        <v>1</v>
      </c>
    </row>
    <row r="70" spans="1:36" customFormat="1">
      <c r="A70" s="2"/>
      <c r="B70" s="561"/>
      <c r="C70" s="454"/>
      <c r="D70" s="35" t="s">
        <v>291</v>
      </c>
      <c r="E70" s="113">
        <f>IFERROR(aurora_data!D1370,0)</f>
        <v>0</v>
      </c>
      <c r="F70" s="253">
        <f>IFERROR(aurora_data!E1370,0)</f>
        <v>0</v>
      </c>
      <c r="G70" s="253">
        <f>IFERROR(aurora_data!F1370,0)</f>
        <v>0</v>
      </c>
      <c r="H70" s="253">
        <f>IFERROR(aurora_data!G1370,0)</f>
        <v>0</v>
      </c>
      <c r="I70" s="254">
        <f>IFERROR(aurora_data!H1370,0)</f>
        <v>1</v>
      </c>
      <c r="J70" s="113">
        <f>IFERROR(aurora_data!I1370,0)</f>
        <v>0</v>
      </c>
      <c r="K70" s="253">
        <f>IFERROR(aurora_data!J1370,0)</f>
        <v>0</v>
      </c>
      <c r="L70" s="253">
        <f>IFERROR(aurora_data!K1370,0)</f>
        <v>0</v>
      </c>
      <c r="M70" s="253">
        <f>IFERROR(aurora_data!L1370,0)</f>
        <v>0</v>
      </c>
      <c r="N70" s="254">
        <f>IFERROR(aurora_data!M1370,0)</f>
        <v>1</v>
      </c>
      <c r="O70" s="113">
        <f>IFERROR(aurora_data!N1370,0)</f>
        <v>1</v>
      </c>
      <c r="P70" s="253">
        <f>IFERROR(aurora_data!O1370,0)</f>
        <v>0</v>
      </c>
      <c r="Q70" s="253">
        <f>IFERROR(aurora_data!P1370,0)</f>
        <v>0</v>
      </c>
      <c r="R70" s="254">
        <f>IFERROR(aurora_data!Q1370,0)</f>
        <v>0</v>
      </c>
      <c r="S70" s="253">
        <f>IFERROR(aurora_data!R1370,0)</f>
        <v>1</v>
      </c>
      <c r="T70" s="253">
        <f>IFERROR(aurora_data!S1370,0)</f>
        <v>0</v>
      </c>
      <c r="U70" s="254">
        <f>IFERROR(aurora_data!T970,0)</f>
        <v>0</v>
      </c>
      <c r="V70" s="61" t="s">
        <v>354</v>
      </c>
      <c r="W70" s="113">
        <f>IFERROR(aurora_data!U1370,0)</f>
        <v>1</v>
      </c>
      <c r="X70" s="255">
        <f t="shared" si="29"/>
        <v>5.5555555555555552E-2</v>
      </c>
      <c r="Y70" s="2"/>
      <c r="AA70" s="452"/>
      <c r="AB70" s="454"/>
      <c r="AC70" s="35" t="s">
        <v>291</v>
      </c>
      <c r="AD70" s="113">
        <f>IFERROR(aurora_data!D1370,0)+IFERROR(aurora_data!E1370,0)</f>
        <v>0</v>
      </c>
      <c r="AE70" s="253">
        <f>IFERROR(aurora_data!F1370,0)</f>
        <v>0</v>
      </c>
      <c r="AF70" s="253">
        <f>IFERROR(aurora_data!G1370,0)</f>
        <v>0</v>
      </c>
      <c r="AG70" s="254">
        <f>IFERROR(aurora_data!H1370,0)</f>
        <v>1</v>
      </c>
      <c r="AH70" s="61" t="s">
        <v>354</v>
      </c>
      <c r="AI70" s="113">
        <f>IFERROR(aurora_data!U1370,0)</f>
        <v>1</v>
      </c>
      <c r="AJ70" s="255">
        <f t="shared" si="28"/>
        <v>5.5555555555555552E-2</v>
      </c>
    </row>
    <row r="71" spans="1:36" customFormat="1">
      <c r="A71" s="2"/>
      <c r="B71" s="561"/>
      <c r="C71" s="454"/>
      <c r="D71" s="35" t="s">
        <v>340</v>
      </c>
      <c r="E71" s="113">
        <f>IFERROR(aurora_data!D1371,0)</f>
        <v>0</v>
      </c>
      <c r="F71" s="253">
        <f>IFERROR(aurora_data!E1371,0)</f>
        <v>0</v>
      </c>
      <c r="G71" s="253">
        <f>IFERROR(aurora_data!F1371,0)</f>
        <v>0</v>
      </c>
      <c r="H71" s="253">
        <f>IFERROR(aurora_data!G1371,0)</f>
        <v>1</v>
      </c>
      <c r="I71" s="254">
        <f>IFERROR(aurora_data!H1371,0)</f>
        <v>0</v>
      </c>
      <c r="J71" s="113">
        <f>IFERROR(aurora_data!I1371,0)</f>
        <v>0</v>
      </c>
      <c r="K71" s="253">
        <f>IFERROR(aurora_data!J1371,0)</f>
        <v>0</v>
      </c>
      <c r="L71" s="253">
        <f>IFERROR(aurora_data!K1371,0)</f>
        <v>0</v>
      </c>
      <c r="M71" s="253">
        <f>IFERROR(aurora_data!L1371,0)</f>
        <v>0</v>
      </c>
      <c r="N71" s="254">
        <f>IFERROR(aurora_data!M1371,0)</f>
        <v>1</v>
      </c>
      <c r="O71" s="113">
        <f>IFERROR(aurora_data!N1371,0)</f>
        <v>0</v>
      </c>
      <c r="P71" s="253">
        <f>IFERROR(aurora_data!O1371,0)</f>
        <v>1</v>
      </c>
      <c r="Q71" s="253">
        <f>IFERROR(aurora_data!P1371,0)</f>
        <v>0</v>
      </c>
      <c r="R71" s="254">
        <f>IFERROR(aurora_data!Q1371,0)</f>
        <v>0</v>
      </c>
      <c r="S71" s="253">
        <f>IFERROR(aurora_data!R1371,0)</f>
        <v>0</v>
      </c>
      <c r="T71" s="253">
        <f>IFERROR(aurora_data!S1371,0)</f>
        <v>1</v>
      </c>
      <c r="U71" s="254">
        <f>IFERROR(aurora_data!T971,0)</f>
        <v>0</v>
      </c>
      <c r="V71" s="61" t="s">
        <v>354</v>
      </c>
      <c r="W71" s="113">
        <f>IFERROR(aurora_data!U1371,0)</f>
        <v>1</v>
      </c>
      <c r="X71" s="255">
        <f t="shared" si="29"/>
        <v>5.5555555555555552E-2</v>
      </c>
      <c r="Y71" s="2"/>
      <c r="AA71" s="452"/>
      <c r="AB71" s="454"/>
      <c r="AC71" s="35" t="s">
        <v>340</v>
      </c>
      <c r="AD71" s="113">
        <f>IFERROR(aurora_data!D1371,0)+IFERROR(aurora_data!E1371,0)</f>
        <v>0</v>
      </c>
      <c r="AE71" s="253">
        <f>IFERROR(aurora_data!F1371,0)</f>
        <v>0</v>
      </c>
      <c r="AF71" s="253">
        <f>IFERROR(aurora_data!G1371,0)</f>
        <v>1</v>
      </c>
      <c r="AG71" s="254">
        <f>IFERROR(aurora_data!H1371,0)</f>
        <v>0</v>
      </c>
      <c r="AH71" s="61" t="s">
        <v>354</v>
      </c>
      <c r="AI71" s="113">
        <f>IFERROR(aurora_data!U1371,0)</f>
        <v>1</v>
      </c>
      <c r="AJ71" s="255">
        <f t="shared" si="28"/>
        <v>5.5555555555555552E-2</v>
      </c>
    </row>
    <row r="72" spans="1:36" customFormat="1">
      <c r="A72" s="2"/>
      <c r="B72" s="561"/>
      <c r="C72" s="454"/>
      <c r="D72" s="35" t="s">
        <v>298</v>
      </c>
      <c r="E72" s="113">
        <f>IFERROR(aurora_data!D1372,0)</f>
        <v>0</v>
      </c>
      <c r="F72" s="253">
        <f>IFERROR(aurora_data!E1372,0)</f>
        <v>0</v>
      </c>
      <c r="G72" s="253">
        <f>IFERROR(aurora_data!F1372,0)</f>
        <v>0</v>
      </c>
      <c r="H72" s="253">
        <f>IFERROR(aurora_data!G1372,0)</f>
        <v>0</v>
      </c>
      <c r="I72" s="254">
        <f>IFERROR(aurora_data!H1372,0)</f>
        <v>0</v>
      </c>
      <c r="J72" s="113">
        <f>IFERROR(aurora_data!I1372,0)</f>
        <v>0</v>
      </c>
      <c r="K72" s="253">
        <f>IFERROR(aurora_data!J1372,0)</f>
        <v>0</v>
      </c>
      <c r="L72" s="253">
        <f>IFERROR(aurora_data!K1372,0)</f>
        <v>0</v>
      </c>
      <c r="M72" s="253">
        <f>IFERROR(aurora_data!L1372,0)</f>
        <v>0</v>
      </c>
      <c r="N72" s="254">
        <f>IFERROR(aurora_data!M1372,0)</f>
        <v>0</v>
      </c>
      <c r="O72" s="113">
        <f>IFERROR(aurora_data!N1372,0)</f>
        <v>0</v>
      </c>
      <c r="P72" s="253">
        <f>IFERROR(aurora_data!O1372,0)</f>
        <v>0</v>
      </c>
      <c r="Q72" s="253">
        <f>IFERROR(aurora_data!P1372,0)</f>
        <v>0</v>
      </c>
      <c r="R72" s="254">
        <f>IFERROR(aurora_data!Q1372,0)</f>
        <v>0</v>
      </c>
      <c r="S72" s="253">
        <f>IFERROR(aurora_data!R1372,0)</f>
        <v>0</v>
      </c>
      <c r="T72" s="253">
        <f>IFERROR(aurora_data!S1372,0)</f>
        <v>0</v>
      </c>
      <c r="U72" s="254">
        <f>IFERROR(aurora_data!T972,0)</f>
        <v>0</v>
      </c>
      <c r="V72" s="61" t="s">
        <v>354</v>
      </c>
      <c r="W72" s="113">
        <f>IFERROR(aurora_data!U1372,0)</f>
        <v>0</v>
      </c>
      <c r="X72" s="255">
        <f t="shared" si="29"/>
        <v>0</v>
      </c>
      <c r="Y72" s="2"/>
      <c r="AA72" s="452"/>
      <c r="AB72" s="454"/>
      <c r="AC72" s="35" t="s">
        <v>298</v>
      </c>
      <c r="AD72" s="113">
        <f>IFERROR(aurora_data!D1372,0)+IFERROR(aurora_data!E1372,0)</f>
        <v>0</v>
      </c>
      <c r="AE72" s="253">
        <f>IFERROR(aurora_data!F1372,0)</f>
        <v>0</v>
      </c>
      <c r="AF72" s="253">
        <f>IFERROR(aurora_data!G1372,0)</f>
        <v>0</v>
      </c>
      <c r="AG72" s="254">
        <f>IFERROR(aurora_data!H1372,0)</f>
        <v>0</v>
      </c>
      <c r="AH72" s="61" t="s">
        <v>354</v>
      </c>
      <c r="AI72" s="113">
        <f>IFERROR(aurora_data!U1372,0)</f>
        <v>0</v>
      </c>
      <c r="AJ72" s="255">
        <f t="shared" si="28"/>
        <v>0</v>
      </c>
    </row>
    <row r="73" spans="1:36" customFormat="1">
      <c r="A73" s="2"/>
      <c r="B73" s="561"/>
      <c r="C73" s="454"/>
      <c r="D73" s="35" t="s">
        <v>341</v>
      </c>
      <c r="E73" s="113">
        <f>IFERROR(aurora_data!D1373,0)</f>
        <v>0</v>
      </c>
      <c r="F73" s="253">
        <f>IFERROR(aurora_data!E1373,0)</f>
        <v>0</v>
      </c>
      <c r="G73" s="253">
        <f>IFERROR(aurora_data!F1373,0)</f>
        <v>0</v>
      </c>
      <c r="H73" s="253">
        <f>IFERROR(aurora_data!G1373,0)</f>
        <v>0</v>
      </c>
      <c r="I73" s="254">
        <f>IFERROR(aurora_data!H1373,0)</f>
        <v>0</v>
      </c>
      <c r="J73" s="113">
        <f>IFERROR(aurora_data!I1373,0)</f>
        <v>0</v>
      </c>
      <c r="K73" s="253">
        <f>IFERROR(aurora_data!J1373,0)</f>
        <v>0</v>
      </c>
      <c r="L73" s="253">
        <f>IFERROR(aurora_data!K1373,0)</f>
        <v>0</v>
      </c>
      <c r="M73" s="253">
        <f>IFERROR(aurora_data!L1373,0)</f>
        <v>0</v>
      </c>
      <c r="N73" s="254">
        <f>IFERROR(aurora_data!M1373,0)</f>
        <v>0</v>
      </c>
      <c r="O73" s="113">
        <f>IFERROR(aurora_data!N1373,0)</f>
        <v>0</v>
      </c>
      <c r="P73" s="253">
        <f>IFERROR(aurora_data!O1373,0)</f>
        <v>0</v>
      </c>
      <c r="Q73" s="253">
        <f>IFERROR(aurora_data!P1373,0)</f>
        <v>0</v>
      </c>
      <c r="R73" s="254">
        <f>IFERROR(aurora_data!Q1373,0)</f>
        <v>0</v>
      </c>
      <c r="S73" s="253">
        <f>IFERROR(aurora_data!R1373,0)</f>
        <v>0</v>
      </c>
      <c r="T73" s="253">
        <f>IFERROR(aurora_data!S1373,0)</f>
        <v>0</v>
      </c>
      <c r="U73" s="254">
        <f>IFERROR(aurora_data!T973,0)</f>
        <v>0</v>
      </c>
      <c r="V73" s="61" t="s">
        <v>354</v>
      </c>
      <c r="W73" s="113">
        <f>IFERROR(aurora_data!U1373,0)</f>
        <v>0</v>
      </c>
      <c r="X73" s="255">
        <f t="shared" si="29"/>
        <v>0</v>
      </c>
      <c r="Y73" s="2"/>
      <c r="AA73" s="452"/>
      <c r="AB73" s="454"/>
      <c r="AC73" s="35" t="s">
        <v>341</v>
      </c>
      <c r="AD73" s="113">
        <f>IFERROR(aurora_data!D1373,0)+IFERROR(aurora_data!E1373,0)</f>
        <v>0</v>
      </c>
      <c r="AE73" s="253">
        <f>IFERROR(aurora_data!F1373,0)</f>
        <v>0</v>
      </c>
      <c r="AF73" s="253">
        <f>IFERROR(aurora_data!G1373,0)</f>
        <v>0</v>
      </c>
      <c r="AG73" s="254">
        <f>IFERROR(aurora_data!H1373,0)</f>
        <v>0</v>
      </c>
      <c r="AH73" s="61" t="s">
        <v>354</v>
      </c>
      <c r="AI73" s="113">
        <f>IFERROR(aurora_data!U1373,0)</f>
        <v>0</v>
      </c>
      <c r="AJ73" s="255">
        <f t="shared" si="28"/>
        <v>0</v>
      </c>
    </row>
    <row r="74" spans="1:36" customFormat="1" ht="16.5" thickBot="1">
      <c r="A74" s="2"/>
      <c r="B74" s="561"/>
      <c r="C74" s="454"/>
      <c r="D74" s="35" t="s">
        <v>342</v>
      </c>
      <c r="E74" s="113">
        <f>IFERROR(aurora_data!D1374,0)</f>
        <v>0</v>
      </c>
      <c r="F74" s="253">
        <f>IFERROR(aurora_data!E1374,0)</f>
        <v>0</v>
      </c>
      <c r="G74" s="253">
        <f>IFERROR(aurora_data!F1374,0)</f>
        <v>0</v>
      </c>
      <c r="H74" s="253">
        <f>IFERROR(aurora_data!G1374,0)</f>
        <v>0</v>
      </c>
      <c r="I74" s="254">
        <f>IFERROR(aurora_data!H1374,0)</f>
        <v>0</v>
      </c>
      <c r="J74" s="113">
        <f>IFERROR(aurora_data!I1374,0)</f>
        <v>0</v>
      </c>
      <c r="K74" s="253">
        <f>IFERROR(aurora_data!J1374,0)</f>
        <v>0</v>
      </c>
      <c r="L74" s="253">
        <f>IFERROR(aurora_data!K1374,0)</f>
        <v>0</v>
      </c>
      <c r="M74" s="253">
        <f>IFERROR(aurora_data!L1374,0)</f>
        <v>0</v>
      </c>
      <c r="N74" s="254">
        <f>IFERROR(aurora_data!M1374,0)</f>
        <v>0</v>
      </c>
      <c r="O74" s="113">
        <f>IFERROR(aurora_data!N1374,0)</f>
        <v>0</v>
      </c>
      <c r="P74" s="253">
        <f>IFERROR(aurora_data!O1374,0)</f>
        <v>0</v>
      </c>
      <c r="Q74" s="253">
        <f>IFERROR(aurora_data!P1374,0)</f>
        <v>0</v>
      </c>
      <c r="R74" s="254">
        <f>IFERROR(aurora_data!Q1374,0)</f>
        <v>0</v>
      </c>
      <c r="S74" s="253">
        <f>IFERROR(aurora_data!R1374,0)</f>
        <v>0</v>
      </c>
      <c r="T74" s="253">
        <f>IFERROR(aurora_data!S1374,0)</f>
        <v>0</v>
      </c>
      <c r="U74" s="254">
        <f>IFERROR(aurora_data!T974,0)</f>
        <v>0</v>
      </c>
      <c r="V74" s="61" t="s">
        <v>354</v>
      </c>
      <c r="W74" s="113">
        <f>IFERROR(aurora_data!U1374,0)</f>
        <v>0</v>
      </c>
      <c r="X74" s="255">
        <f t="shared" si="29"/>
        <v>0</v>
      </c>
      <c r="Y74" s="2"/>
      <c r="AA74" s="452"/>
      <c r="AB74" s="454"/>
      <c r="AC74" s="35" t="s">
        <v>342</v>
      </c>
      <c r="AD74" s="113">
        <f>IFERROR(aurora_data!D1374,0)+IFERROR(aurora_data!E1374,0)</f>
        <v>0</v>
      </c>
      <c r="AE74" s="253">
        <f>IFERROR(aurora_data!F1374,0)</f>
        <v>0</v>
      </c>
      <c r="AF74" s="253">
        <f>IFERROR(aurora_data!G1374,0)</f>
        <v>0</v>
      </c>
      <c r="AG74" s="254">
        <f>IFERROR(aurora_data!H1374,0)</f>
        <v>0</v>
      </c>
      <c r="AH74" s="61" t="s">
        <v>354</v>
      </c>
      <c r="AI74" s="113">
        <f>IFERROR(aurora_data!U1374,0)</f>
        <v>0</v>
      </c>
      <c r="AJ74" s="255">
        <f t="shared" si="28"/>
        <v>0</v>
      </c>
    </row>
    <row r="75" spans="1:36" customFormat="1" ht="16.5" thickBot="1">
      <c r="A75" s="2"/>
      <c r="B75" s="561"/>
      <c r="C75" s="454"/>
      <c r="D75" s="37" t="s">
        <v>17</v>
      </c>
      <c r="E75" s="59">
        <f>IFERROR(aurora_data!D1375,0)</f>
        <v>1</v>
      </c>
      <c r="F75" s="64">
        <f>IFERROR(aurora_data!E1375,0)</f>
        <v>2</v>
      </c>
      <c r="G75" s="64">
        <f>IFERROR(aurora_data!F1375,0)</f>
        <v>4</v>
      </c>
      <c r="H75" s="64">
        <f>IFERROR(aurora_data!G1375,0)</f>
        <v>6</v>
      </c>
      <c r="I75" s="65">
        <f>IFERROR(aurora_data!H1375,0)</f>
        <v>7</v>
      </c>
      <c r="J75" s="59">
        <f>IFERROR(aurora_data!I1375,0)</f>
        <v>1</v>
      </c>
      <c r="K75" s="64">
        <f>IFERROR(aurora_data!J1375,0)</f>
        <v>1</v>
      </c>
      <c r="L75" s="64">
        <f>IFERROR(aurora_data!K1375,0)</f>
        <v>5</v>
      </c>
      <c r="M75" s="64">
        <f>IFERROR(aurora_data!L1375,0)</f>
        <v>1</v>
      </c>
      <c r="N75" s="65">
        <f>IFERROR(aurora_data!M1375,0)</f>
        <v>12</v>
      </c>
      <c r="O75" s="59">
        <f>IFERROR(aurora_data!N1375,0)</f>
        <v>9</v>
      </c>
      <c r="P75" s="64">
        <f>IFERROR(aurora_data!O1375,0)</f>
        <v>4</v>
      </c>
      <c r="Q75" s="64">
        <f>IFERROR(aurora_data!P1375,0)</f>
        <v>6</v>
      </c>
      <c r="R75" s="65">
        <f>IFERROR(aurora_data!Q1375,0)</f>
        <v>1</v>
      </c>
      <c r="S75" s="64">
        <f>IFERROR(aurora_data!R1375,0)</f>
        <v>13</v>
      </c>
      <c r="T75" s="64">
        <f>IFERROR(aurora_data!S1375,0)</f>
        <v>7</v>
      </c>
      <c r="U75" s="65">
        <f>IFERROR(aurora_data!T975,0)</f>
        <v>0</v>
      </c>
      <c r="V75" s="66" t="s">
        <v>354</v>
      </c>
      <c r="W75" s="59">
        <f>IFERROR(aurora_data!U1375,0)</f>
        <v>20</v>
      </c>
      <c r="X75" s="70">
        <f t="shared" si="29"/>
        <v>1.1111111111111112</v>
      </c>
      <c r="Y75" s="2"/>
      <c r="AA75" s="452"/>
      <c r="AB75" s="454"/>
      <c r="AC75" s="360" t="s">
        <v>17</v>
      </c>
      <c r="AD75" s="59">
        <f>IFERROR(aurora_data!D1375,0)+IFERROR(aurora_data!E1375,0)</f>
        <v>3</v>
      </c>
      <c r="AE75" s="64">
        <f>IFERROR(aurora_data!F1375,0)</f>
        <v>4</v>
      </c>
      <c r="AF75" s="64">
        <f>IFERROR(aurora_data!G1375,0)</f>
        <v>6</v>
      </c>
      <c r="AG75" s="65">
        <f>IFERROR(aurora_data!H1375,0)</f>
        <v>7</v>
      </c>
      <c r="AH75" s="66" t="s">
        <v>354</v>
      </c>
      <c r="AI75" s="59">
        <f>IFERROR(aurora_data!U1375,0)</f>
        <v>20</v>
      </c>
      <c r="AJ75" s="70">
        <f t="shared" si="28"/>
        <v>1.1111111111111112</v>
      </c>
    </row>
    <row r="76" spans="1:36" customFormat="1" ht="16.5" thickBot="1">
      <c r="A76" s="2"/>
      <c r="B76" s="561"/>
      <c r="C76" s="454"/>
      <c r="D76" s="38" t="s">
        <v>343</v>
      </c>
      <c r="E76" s="256">
        <f>IFERROR(aurora_data!D1376,0)</f>
        <v>0</v>
      </c>
      <c r="F76" s="257">
        <f>IFERROR(aurora_data!E1376,0)</f>
        <v>0</v>
      </c>
      <c r="G76" s="257">
        <f>IFERROR(aurora_data!F1376,0)</f>
        <v>0</v>
      </c>
      <c r="H76" s="257">
        <f>IFERROR(aurora_data!G1376,0)</f>
        <v>0</v>
      </c>
      <c r="I76" s="258">
        <f>IFERROR(aurora_data!H1376,0)</f>
        <v>0</v>
      </c>
      <c r="J76" s="256">
        <f>IFERROR(aurora_data!I1376,0)</f>
        <v>0</v>
      </c>
      <c r="K76" s="257">
        <f>IFERROR(aurora_data!J1376,0)</f>
        <v>0</v>
      </c>
      <c r="L76" s="257">
        <f>IFERROR(aurora_data!K1376,0)</f>
        <v>0</v>
      </c>
      <c r="M76" s="257">
        <f>IFERROR(aurora_data!L1376,0)</f>
        <v>0</v>
      </c>
      <c r="N76" s="258">
        <f>IFERROR(aurora_data!M1376,0)</f>
        <v>0</v>
      </c>
      <c r="O76" s="256">
        <f>IFERROR(aurora_data!N1376,0)</f>
        <v>0</v>
      </c>
      <c r="P76" s="257">
        <f>IFERROR(aurora_data!O1376,0)</f>
        <v>0</v>
      </c>
      <c r="Q76" s="257">
        <f>IFERROR(aurora_data!P1376,0)</f>
        <v>0</v>
      </c>
      <c r="R76" s="258">
        <f>IFERROR(aurora_data!Q1376,0)</f>
        <v>0</v>
      </c>
      <c r="S76" s="257">
        <f>IFERROR(aurora_data!R1376,0)</f>
        <v>0</v>
      </c>
      <c r="T76" s="257">
        <f>IFERROR(aurora_data!S1376,0)</f>
        <v>0</v>
      </c>
      <c r="U76" s="259">
        <f>IFERROR(aurora_data!T976,0)</f>
        <v>0</v>
      </c>
      <c r="V76" s="260" t="s">
        <v>354</v>
      </c>
      <c r="W76" s="256">
        <f>IFERROR(aurora_data!U1376,0)</f>
        <v>0</v>
      </c>
      <c r="X76" s="261">
        <f t="shared" si="29"/>
        <v>0</v>
      </c>
      <c r="Y76" s="2"/>
      <c r="AA76" s="452"/>
      <c r="AB76" s="454"/>
      <c r="AC76" s="38" t="s">
        <v>343</v>
      </c>
      <c r="AD76" s="256">
        <f>IFERROR(aurora_data!D1376,0)+IFERROR(aurora_data!E1376,0)</f>
        <v>0</v>
      </c>
      <c r="AE76" s="257">
        <f>IFERROR(aurora_data!F1376,0)</f>
        <v>0</v>
      </c>
      <c r="AF76" s="257">
        <f>IFERROR(aurora_data!G1376,0)</f>
        <v>0</v>
      </c>
      <c r="AG76" s="258">
        <f>IFERROR(aurora_data!H1376,0)</f>
        <v>0</v>
      </c>
      <c r="AH76" s="260" t="s">
        <v>354</v>
      </c>
      <c r="AI76" s="256">
        <f>IFERROR(aurora_data!U1376,0)</f>
        <v>0</v>
      </c>
      <c r="AJ76" s="261">
        <f t="shared" si="28"/>
        <v>0</v>
      </c>
    </row>
    <row r="77" spans="1:36" customFormat="1" ht="16.5" outlineLevel="1" thickBot="1">
      <c r="A77" s="2"/>
      <c r="B77" s="147"/>
      <c r="C77" s="227"/>
      <c r="D77" s="199" t="s">
        <v>344</v>
      </c>
      <c r="E77" s="276">
        <f>(E79+$E$9)*($W68)</f>
        <v>0.91000000000000014</v>
      </c>
      <c r="F77" s="277">
        <f>(F79+$E$9)*($W68)</f>
        <v>1.4</v>
      </c>
      <c r="G77" s="277">
        <f>(G79+$E$9)*($W68)</f>
        <v>3.98</v>
      </c>
      <c r="H77" s="277">
        <f>(H79+$E$9)*($W68)</f>
        <v>6.12</v>
      </c>
      <c r="I77" s="277">
        <f>(I79+$E$9)*($W68)</f>
        <v>7.3900000000000006</v>
      </c>
      <c r="J77" s="294"/>
      <c r="K77" s="295"/>
      <c r="L77" s="295"/>
      <c r="M77" s="295"/>
      <c r="N77" s="296"/>
      <c r="O77" s="294"/>
      <c r="P77" s="295"/>
      <c r="Q77" s="295"/>
      <c r="R77" s="296"/>
      <c r="S77" s="295"/>
      <c r="T77" s="295"/>
      <c r="U77" s="297"/>
      <c r="V77" s="298"/>
      <c r="W77" s="294"/>
      <c r="X77" s="299"/>
      <c r="Y77" s="2"/>
      <c r="AA77" s="147"/>
      <c r="AB77" s="227"/>
      <c r="AC77" s="297"/>
      <c r="AD77" s="327"/>
      <c r="AE77" s="328"/>
      <c r="AF77" s="328"/>
      <c r="AG77" s="297"/>
      <c r="AH77" s="298"/>
      <c r="AI77" s="294"/>
      <c r="AJ77" s="299"/>
    </row>
    <row r="78" spans="1:36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0.93000000000000016</v>
      </c>
      <c r="G78" s="277">
        <f>IF(ROUND(((G79-$E$9)*($W68))+0.25,0) &lt;=0,1,((G79-$E$9)*($W68))+0.25)</f>
        <v>3.5100000000000007</v>
      </c>
      <c r="H78" s="277">
        <f t="shared" ref="H78:I78" si="30">IF(ROUND(((H79-$E$9)*($W68))+0.25,0) &lt;=0,1,((H79-$E$9)*($W68))+0.25)</f>
        <v>5.6499999999999995</v>
      </c>
      <c r="I78" s="277">
        <f t="shared" si="30"/>
        <v>6.92</v>
      </c>
      <c r="J78" s="294"/>
      <c r="K78" s="295"/>
      <c r="L78" s="295"/>
      <c r="M78" s="295"/>
      <c r="N78" s="296"/>
      <c r="O78" s="294"/>
      <c r="P78" s="295"/>
      <c r="Q78" s="295"/>
      <c r="R78" s="296"/>
      <c r="S78" s="295"/>
      <c r="T78" s="295"/>
      <c r="U78" s="297"/>
      <c r="V78" s="298"/>
      <c r="W78" s="294"/>
      <c r="X78" s="299"/>
      <c r="Y78" s="2"/>
      <c r="AA78" s="147"/>
      <c r="AB78" s="227"/>
      <c r="AC78" s="296"/>
      <c r="AD78" s="294"/>
      <c r="AE78" s="295"/>
      <c r="AF78" s="295"/>
      <c r="AG78" s="296"/>
      <c r="AH78" s="298"/>
      <c r="AI78" s="294"/>
      <c r="AJ78" s="299"/>
    </row>
    <row r="79" spans="1:36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3.0555555555555558E-2</v>
      </c>
      <c r="F79" s="415">
        <f t="shared" ref="F79" si="31">IFERROR(F68/$W68,0)</f>
        <v>5.7777777777777782E-2</v>
      </c>
      <c r="G79" s="415">
        <f>IFERROR(G68/$W68,0)</f>
        <v>0.20111111111111113</v>
      </c>
      <c r="H79" s="415">
        <f t="shared" ref="H79" si="32">IFERROR(H68/$W68,0)</f>
        <v>0.32</v>
      </c>
      <c r="I79" s="415">
        <f>IFERROR(I68/$W68,0)</f>
        <v>0.39055555555555554</v>
      </c>
      <c r="J79" s="294"/>
      <c r="K79" s="295"/>
      <c r="L79" s="295"/>
      <c r="M79" s="295"/>
      <c r="N79" s="296"/>
      <c r="O79" s="294"/>
      <c r="P79" s="295"/>
      <c r="Q79" s="295"/>
      <c r="R79" s="296"/>
      <c r="S79" s="295"/>
      <c r="T79" s="295"/>
      <c r="U79" s="297"/>
      <c r="V79" s="298"/>
      <c r="W79" s="294"/>
      <c r="X79" s="299"/>
      <c r="Y79" s="2"/>
      <c r="AA79" s="147"/>
      <c r="AB79" s="227"/>
      <c r="AC79" s="296"/>
      <c r="AD79" s="294"/>
      <c r="AE79" s="295"/>
      <c r="AF79" s="295"/>
      <c r="AG79" s="296"/>
      <c r="AH79" s="298"/>
      <c r="AI79" s="294"/>
      <c r="AJ79" s="299"/>
    </row>
    <row r="80" spans="1:36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5.5555555555555552E-2</v>
      </c>
      <c r="F80" s="415">
        <f t="shared" ref="F80:I80" si="33">IFERROR(F69/$W68,0)</f>
        <v>0.1111111111111111</v>
      </c>
      <c r="G80" s="415">
        <f t="shared" si="33"/>
        <v>0.22222222222222221</v>
      </c>
      <c r="H80" s="415">
        <f t="shared" si="33"/>
        <v>0.27777777777777779</v>
      </c>
      <c r="I80" s="415">
        <f t="shared" si="33"/>
        <v>0.33333333333333331</v>
      </c>
      <c r="J80" s="294"/>
      <c r="K80" s="295"/>
      <c r="L80" s="295"/>
      <c r="M80" s="295"/>
      <c r="N80" s="296"/>
      <c r="O80" s="294"/>
      <c r="P80" s="295"/>
      <c r="Q80" s="295"/>
      <c r="R80" s="296"/>
      <c r="S80" s="295"/>
      <c r="T80" s="295"/>
      <c r="U80" s="297"/>
      <c r="V80" s="298"/>
      <c r="W80" s="294"/>
      <c r="X80" s="299"/>
      <c r="Y80" s="2"/>
      <c r="AA80" s="147"/>
      <c r="AB80" s="227"/>
      <c r="AC80" s="296"/>
      <c r="AD80" s="294"/>
      <c r="AE80" s="295"/>
      <c r="AF80" s="295"/>
      <c r="AG80" s="296"/>
      <c r="AH80" s="298"/>
      <c r="AI80" s="294"/>
      <c r="AJ80" s="299"/>
    </row>
    <row r="81" spans="1:36" customFormat="1" ht="16.5" hidden="1" outlineLevel="1" thickBot="1">
      <c r="A81" s="2"/>
      <c r="B81" s="147"/>
      <c r="C81" s="227"/>
      <c r="D81" s="180" t="s">
        <v>348</v>
      </c>
      <c r="E81" s="414">
        <f>E80-E79</f>
        <v>2.4999999999999994E-2</v>
      </c>
      <c r="F81" s="415">
        <f t="shared" ref="F81:I81" si="34">F80-F79</f>
        <v>5.3333333333333323E-2</v>
      </c>
      <c r="G81" s="415">
        <f t="shared" si="34"/>
        <v>2.1111111111111081E-2</v>
      </c>
      <c r="H81" s="415">
        <f t="shared" si="34"/>
        <v>-4.2222222222222217E-2</v>
      </c>
      <c r="I81" s="415">
        <f t="shared" si="34"/>
        <v>-5.722222222222223E-2</v>
      </c>
      <c r="J81" s="294"/>
      <c r="K81" s="295"/>
      <c r="L81" s="295"/>
      <c r="M81" s="295"/>
      <c r="N81" s="296"/>
      <c r="O81" s="294"/>
      <c r="P81" s="295"/>
      <c r="Q81" s="295"/>
      <c r="R81" s="296"/>
      <c r="S81" s="295"/>
      <c r="T81" s="295"/>
      <c r="U81" s="297"/>
      <c r="V81" s="298"/>
      <c r="W81" s="294"/>
      <c r="X81" s="299"/>
      <c r="Y81" s="2"/>
      <c r="AA81" s="147"/>
      <c r="AB81" s="227"/>
      <c r="AC81" s="331"/>
      <c r="AD81" s="329"/>
      <c r="AE81" s="330"/>
      <c r="AF81" s="330"/>
      <c r="AG81" s="331"/>
      <c r="AH81" s="298"/>
      <c r="AI81" s="294"/>
      <c r="AJ81" s="299"/>
    </row>
    <row r="82" spans="1:36" customFormat="1">
      <c r="A82" s="2"/>
      <c r="B82" s="560" t="s">
        <v>362</v>
      </c>
      <c r="C82" s="453" t="str">
        <f>aurora_data!A1377</f>
        <v>11.00.00-11.11.30</v>
      </c>
      <c r="D82" s="34" t="s">
        <v>306</v>
      </c>
      <c r="E82" s="39">
        <f>IFERROR(aurora_data!D1377,0)</f>
        <v>0.61</v>
      </c>
      <c r="F82" s="40">
        <f>IFERROR(aurora_data!E1377,0)</f>
        <v>1.04</v>
      </c>
      <c r="G82" s="40">
        <f>IFERROR(aurora_data!F1377,0)</f>
        <v>3.56</v>
      </c>
      <c r="H82" s="40">
        <f>IFERROR(aurora_data!G1377,0)</f>
        <v>5.75</v>
      </c>
      <c r="I82" s="41">
        <f>IFERROR(aurora_data!H1377,0)</f>
        <v>7.04</v>
      </c>
      <c r="J82" s="39">
        <f>IFERROR(aurora_data!I1377,0)</f>
        <v>1</v>
      </c>
      <c r="K82" s="40">
        <f>IFERROR(aurora_data!J1377,0)</f>
        <v>1</v>
      </c>
      <c r="L82" s="40">
        <f>IFERROR(aurora_data!K1377,0)</f>
        <v>1</v>
      </c>
      <c r="M82" s="40">
        <f>IFERROR(aurora_data!L1377,0)</f>
        <v>1</v>
      </c>
      <c r="N82" s="41">
        <f>IFERROR(aurora_data!M1377,0)</f>
        <v>1</v>
      </c>
      <c r="O82" s="39">
        <f>IFERROR(aurora_data!N1377,0)</f>
        <v>1</v>
      </c>
      <c r="P82" s="40">
        <f>IFERROR(aurora_data!O1377,0)</f>
        <v>1</v>
      </c>
      <c r="Q82" s="40">
        <f>IFERROR(aurora_data!P1377,0)</f>
        <v>1</v>
      </c>
      <c r="R82" s="41">
        <f>IFERROR(aurora_data!Q1377,0)</f>
        <v>1</v>
      </c>
      <c r="S82" s="40">
        <f>IFERROR(aurora_data!R1377,0)</f>
        <v>1</v>
      </c>
      <c r="T82" s="40">
        <f>IFERROR(aurora_data!S1377,0)</f>
        <v>1</v>
      </c>
      <c r="U82" s="41">
        <f>IFERROR(aurora_data!T977,0)</f>
        <v>0</v>
      </c>
      <c r="V82" s="61" t="s">
        <v>354</v>
      </c>
      <c r="W82" s="39">
        <f>IFERROR(aurora_data!U1377,0)</f>
        <v>18</v>
      </c>
      <c r="X82" s="69">
        <f>IFERROR(W82/$W$82,0)</f>
        <v>1</v>
      </c>
      <c r="Y82" s="2"/>
      <c r="AA82" s="451" t="s">
        <v>338</v>
      </c>
      <c r="AB82" s="453" t="str">
        <f>aurora_data!A1377</f>
        <v>11.00.00-11.11.30</v>
      </c>
      <c r="AC82" s="34" t="s">
        <v>306</v>
      </c>
      <c r="AD82" s="39">
        <v>2</v>
      </c>
      <c r="AE82" s="40">
        <v>4</v>
      </c>
      <c r="AF82" s="40">
        <v>6</v>
      </c>
      <c r="AG82" s="333">
        <v>6</v>
      </c>
      <c r="AH82" s="61" t="s">
        <v>354</v>
      </c>
      <c r="AI82" s="39">
        <f>IFERROR(aurora_data!U1377,0)</f>
        <v>18</v>
      </c>
      <c r="AJ82" s="69">
        <f t="shared" ref="AJ82:AJ90" si="35">IFERROR(AI82/$AI$82,0)</f>
        <v>1</v>
      </c>
    </row>
    <row r="83" spans="1:36" customFormat="1">
      <c r="A83" s="2"/>
      <c r="B83" s="561"/>
      <c r="C83" s="454"/>
      <c r="D83" s="35" t="s">
        <v>339</v>
      </c>
      <c r="E83" s="113">
        <f>IFERROR(aurora_data!D1378,0)</f>
        <v>1</v>
      </c>
      <c r="F83" s="253">
        <f>IFERROR(aurora_data!E1378,0)</f>
        <v>1</v>
      </c>
      <c r="G83" s="253">
        <f>IFERROR(aurora_data!F1378,0)</f>
        <v>4</v>
      </c>
      <c r="H83" s="253">
        <f>IFERROR(aurora_data!G1378,0)</f>
        <v>6</v>
      </c>
      <c r="I83" s="254">
        <f>IFERROR(aurora_data!H1378,0)</f>
        <v>6</v>
      </c>
      <c r="J83" s="113">
        <f>IFERROR(aurora_data!I1378,0)</f>
        <v>1</v>
      </c>
      <c r="K83" s="253">
        <f>IFERROR(aurora_data!J1378,0)</f>
        <v>3</v>
      </c>
      <c r="L83" s="253">
        <f>IFERROR(aurora_data!K1378,0)</f>
        <v>5</v>
      </c>
      <c r="M83" s="253">
        <f>IFERROR(aurora_data!L1378,0)</f>
        <v>2</v>
      </c>
      <c r="N83" s="254">
        <f>IFERROR(aurora_data!M1378,0)</f>
        <v>7</v>
      </c>
      <c r="O83" s="113">
        <f>IFERROR(aurora_data!N1378,0)</f>
        <v>5</v>
      </c>
      <c r="P83" s="253">
        <f>IFERROR(aurora_data!O1378,0)</f>
        <v>4</v>
      </c>
      <c r="Q83" s="253">
        <f>IFERROR(aurora_data!P1378,0)</f>
        <v>4</v>
      </c>
      <c r="R83" s="254">
        <f>IFERROR(aurora_data!Q1378,0)</f>
        <v>5</v>
      </c>
      <c r="S83" s="253">
        <f>IFERROR(aurora_data!R1378,0)</f>
        <v>7</v>
      </c>
      <c r="T83" s="253">
        <f>IFERROR(aurora_data!S1378,0)</f>
        <v>11</v>
      </c>
      <c r="U83" s="254">
        <f>IFERROR(aurora_data!T978,0)</f>
        <v>0</v>
      </c>
      <c r="V83" s="61" t="s">
        <v>354</v>
      </c>
      <c r="W83" s="113">
        <f>IFERROR(aurora_data!U1378,0)</f>
        <v>18</v>
      </c>
      <c r="X83" s="255">
        <f t="shared" ref="X83:X90" si="36">IFERROR(W83/$W$82,0)</f>
        <v>1</v>
      </c>
      <c r="Y83" s="2"/>
      <c r="AA83" s="452"/>
      <c r="AB83" s="454"/>
      <c r="AC83" s="35" t="s">
        <v>339</v>
      </c>
      <c r="AD83" s="113">
        <f>IFERROR(aurora_data!D1378,0)+IFERROR(aurora_data!E1378,0)</f>
        <v>2</v>
      </c>
      <c r="AE83" s="253">
        <f>IFERROR(aurora_data!F1378,0)</f>
        <v>4</v>
      </c>
      <c r="AF83" s="253">
        <f>IFERROR(aurora_data!G1378,0)</f>
        <v>6</v>
      </c>
      <c r="AG83" s="254">
        <f>IFERROR(aurora_data!H1378,0)</f>
        <v>6</v>
      </c>
      <c r="AH83" s="61" t="s">
        <v>354</v>
      </c>
      <c r="AI83" s="113">
        <f>IFERROR(aurora_data!U1378,0)</f>
        <v>18</v>
      </c>
      <c r="AJ83" s="255">
        <f t="shared" si="35"/>
        <v>1</v>
      </c>
    </row>
    <row r="84" spans="1:36" customFormat="1">
      <c r="A84" s="2"/>
      <c r="B84" s="561"/>
      <c r="C84" s="454"/>
      <c r="D84" s="35" t="s">
        <v>291</v>
      </c>
      <c r="E84" s="113">
        <f>IFERROR(aurora_data!D1379,0)</f>
        <v>0</v>
      </c>
      <c r="F84" s="253">
        <f>IFERROR(aurora_data!E1379,0)</f>
        <v>0</v>
      </c>
      <c r="G84" s="253">
        <f>IFERROR(aurora_data!F1379,0)</f>
        <v>0</v>
      </c>
      <c r="H84" s="253">
        <f>IFERROR(aurora_data!G1379,0)</f>
        <v>0</v>
      </c>
      <c r="I84" s="254">
        <f>IFERROR(aurora_data!H1379,0)</f>
        <v>1</v>
      </c>
      <c r="J84" s="113">
        <f>IFERROR(aurora_data!I1379,0)</f>
        <v>0</v>
      </c>
      <c r="K84" s="253">
        <f>IFERROR(aurora_data!J1379,0)</f>
        <v>0</v>
      </c>
      <c r="L84" s="253">
        <f>IFERROR(aurora_data!K1379,0)</f>
        <v>0</v>
      </c>
      <c r="M84" s="253">
        <f>IFERROR(aurora_data!L1379,0)</f>
        <v>0</v>
      </c>
      <c r="N84" s="254">
        <f>IFERROR(aurora_data!M1379,0)</f>
        <v>1</v>
      </c>
      <c r="O84" s="113">
        <f>IFERROR(aurora_data!N1379,0)</f>
        <v>1</v>
      </c>
      <c r="P84" s="253">
        <f>IFERROR(aurora_data!O1379,0)</f>
        <v>0</v>
      </c>
      <c r="Q84" s="253">
        <f>IFERROR(aurora_data!P1379,0)</f>
        <v>0</v>
      </c>
      <c r="R84" s="254">
        <f>IFERROR(aurora_data!Q1379,0)</f>
        <v>0</v>
      </c>
      <c r="S84" s="253">
        <f>IFERROR(aurora_data!R1379,0)</f>
        <v>0</v>
      </c>
      <c r="T84" s="253">
        <f>IFERROR(aurora_data!S1379,0)</f>
        <v>1</v>
      </c>
      <c r="U84" s="254">
        <f>IFERROR(aurora_data!T979,0)</f>
        <v>0</v>
      </c>
      <c r="V84" s="61" t="s">
        <v>354</v>
      </c>
      <c r="W84" s="113">
        <f>IFERROR(aurora_data!U1379,0)</f>
        <v>1</v>
      </c>
      <c r="X84" s="255">
        <f t="shared" si="36"/>
        <v>5.5555555555555552E-2</v>
      </c>
      <c r="Y84" s="2"/>
      <c r="AA84" s="452"/>
      <c r="AB84" s="454"/>
      <c r="AC84" s="35" t="s">
        <v>291</v>
      </c>
      <c r="AD84" s="113">
        <f>IFERROR(aurora_data!D1379,0)+IFERROR(aurora_data!E1379,0)</f>
        <v>0</v>
      </c>
      <c r="AE84" s="253">
        <f>IFERROR(aurora_data!F1379,0)</f>
        <v>0</v>
      </c>
      <c r="AF84" s="253">
        <f>IFERROR(aurora_data!G1379,0)</f>
        <v>0</v>
      </c>
      <c r="AG84" s="254">
        <f>IFERROR(aurora_data!H1379,0)</f>
        <v>1</v>
      </c>
      <c r="AH84" s="61" t="s">
        <v>354</v>
      </c>
      <c r="AI84" s="113">
        <f>IFERROR(aurora_data!U1379,0)</f>
        <v>1</v>
      </c>
      <c r="AJ84" s="255">
        <f t="shared" si="35"/>
        <v>5.5555555555555552E-2</v>
      </c>
    </row>
    <row r="85" spans="1:36" customFormat="1">
      <c r="A85" s="2"/>
      <c r="B85" s="561"/>
      <c r="C85" s="454"/>
      <c r="D85" s="35" t="s">
        <v>340</v>
      </c>
      <c r="E85" s="113">
        <f>IFERROR(aurora_data!D1380,0)</f>
        <v>0</v>
      </c>
      <c r="F85" s="253">
        <f>IFERROR(aurora_data!E1380,0)</f>
        <v>0</v>
      </c>
      <c r="G85" s="253">
        <f>IFERROR(aurora_data!F1380,0)</f>
        <v>0</v>
      </c>
      <c r="H85" s="253">
        <f>IFERROR(aurora_data!G1380,0)</f>
        <v>0</v>
      </c>
      <c r="I85" s="254">
        <f>IFERROR(aurora_data!H1380,0)</f>
        <v>0</v>
      </c>
      <c r="J85" s="113">
        <f>IFERROR(aurora_data!I1380,0)</f>
        <v>0</v>
      </c>
      <c r="K85" s="253">
        <f>IFERROR(aurora_data!J1380,0)</f>
        <v>0</v>
      </c>
      <c r="L85" s="253">
        <f>IFERROR(aurora_data!K1380,0)</f>
        <v>0</v>
      </c>
      <c r="M85" s="253">
        <f>IFERROR(aurora_data!L1380,0)</f>
        <v>0</v>
      </c>
      <c r="N85" s="254">
        <f>IFERROR(aurora_data!M1380,0)</f>
        <v>0</v>
      </c>
      <c r="O85" s="113">
        <f>IFERROR(aurora_data!N1380,0)</f>
        <v>0</v>
      </c>
      <c r="P85" s="253">
        <f>IFERROR(aurora_data!O1380,0)</f>
        <v>0</v>
      </c>
      <c r="Q85" s="253">
        <f>IFERROR(aurora_data!P1380,0)</f>
        <v>0</v>
      </c>
      <c r="R85" s="254">
        <f>IFERROR(aurora_data!Q1380,0)</f>
        <v>0</v>
      </c>
      <c r="S85" s="253">
        <f>IFERROR(aurora_data!R1380,0)</f>
        <v>0</v>
      </c>
      <c r="T85" s="253">
        <f>IFERROR(aurora_data!S1380,0)</f>
        <v>0</v>
      </c>
      <c r="U85" s="254">
        <f>IFERROR(aurora_data!T980,0)</f>
        <v>0</v>
      </c>
      <c r="V85" s="61" t="s">
        <v>354</v>
      </c>
      <c r="W85" s="113">
        <f>IFERROR(aurora_data!U1380,0)</f>
        <v>0</v>
      </c>
      <c r="X85" s="255">
        <f t="shared" si="36"/>
        <v>0</v>
      </c>
      <c r="Y85" s="2"/>
      <c r="AA85" s="452"/>
      <c r="AB85" s="454"/>
      <c r="AC85" s="35" t="s">
        <v>340</v>
      </c>
      <c r="AD85" s="113">
        <f>IFERROR(aurora_data!D1380,0)+IFERROR(aurora_data!E1380,0)</f>
        <v>0</v>
      </c>
      <c r="AE85" s="253">
        <f>IFERROR(aurora_data!F1380,0)</f>
        <v>0</v>
      </c>
      <c r="AF85" s="253">
        <f>IFERROR(aurora_data!G1380,0)</f>
        <v>0</v>
      </c>
      <c r="AG85" s="254">
        <f>IFERROR(aurora_data!H1380,0)</f>
        <v>0</v>
      </c>
      <c r="AH85" s="61" t="s">
        <v>354</v>
      </c>
      <c r="AI85" s="113">
        <f>IFERROR(aurora_data!U1380,0)</f>
        <v>0</v>
      </c>
      <c r="AJ85" s="255">
        <f t="shared" si="35"/>
        <v>0</v>
      </c>
    </row>
    <row r="86" spans="1:36" customFormat="1">
      <c r="A86" s="2"/>
      <c r="B86" s="561"/>
      <c r="C86" s="454"/>
      <c r="D86" s="35" t="s">
        <v>298</v>
      </c>
      <c r="E86" s="113">
        <f>IFERROR(aurora_data!D1381,0)</f>
        <v>0</v>
      </c>
      <c r="F86" s="253">
        <f>IFERROR(aurora_data!E1381,0)</f>
        <v>0</v>
      </c>
      <c r="G86" s="253">
        <f>IFERROR(aurora_data!F1381,0)</f>
        <v>0</v>
      </c>
      <c r="H86" s="253">
        <f>IFERROR(aurora_data!G1381,0)</f>
        <v>0</v>
      </c>
      <c r="I86" s="254">
        <f>IFERROR(aurora_data!H1381,0)</f>
        <v>0</v>
      </c>
      <c r="J86" s="113">
        <f>IFERROR(aurora_data!I1381,0)</f>
        <v>0</v>
      </c>
      <c r="K86" s="253">
        <f>IFERROR(aurora_data!J1381,0)</f>
        <v>0</v>
      </c>
      <c r="L86" s="253">
        <f>IFERROR(aurora_data!K1381,0)</f>
        <v>0</v>
      </c>
      <c r="M86" s="253">
        <f>IFERROR(aurora_data!L1381,0)</f>
        <v>0</v>
      </c>
      <c r="N86" s="254">
        <f>IFERROR(aurora_data!M1381,0)</f>
        <v>0</v>
      </c>
      <c r="O86" s="113">
        <f>IFERROR(aurora_data!N1381,0)</f>
        <v>0</v>
      </c>
      <c r="P86" s="253">
        <f>IFERROR(aurora_data!O1381,0)</f>
        <v>0</v>
      </c>
      <c r="Q86" s="253">
        <f>IFERROR(aurora_data!P1381,0)</f>
        <v>0</v>
      </c>
      <c r="R86" s="254">
        <f>IFERROR(aurora_data!Q1381,0)</f>
        <v>0</v>
      </c>
      <c r="S86" s="253">
        <f>IFERROR(aurora_data!R1381,0)</f>
        <v>0</v>
      </c>
      <c r="T86" s="253">
        <f>IFERROR(aurora_data!S1381,0)</f>
        <v>0</v>
      </c>
      <c r="U86" s="254">
        <f>IFERROR(aurora_data!T981,0)</f>
        <v>0</v>
      </c>
      <c r="V86" s="61" t="s">
        <v>354</v>
      </c>
      <c r="W86" s="113">
        <f>IFERROR(aurora_data!U1381,0)</f>
        <v>0</v>
      </c>
      <c r="X86" s="255">
        <f t="shared" si="36"/>
        <v>0</v>
      </c>
      <c r="Y86" s="2"/>
      <c r="AA86" s="452"/>
      <c r="AB86" s="454"/>
      <c r="AC86" s="35" t="s">
        <v>298</v>
      </c>
      <c r="AD86" s="113">
        <f>IFERROR(aurora_data!D1381,0)+IFERROR(aurora_data!E1381,0)</f>
        <v>0</v>
      </c>
      <c r="AE86" s="253">
        <f>IFERROR(aurora_data!F1381,0)</f>
        <v>0</v>
      </c>
      <c r="AF86" s="253">
        <f>IFERROR(aurora_data!G1381,0)</f>
        <v>0</v>
      </c>
      <c r="AG86" s="254">
        <f>IFERROR(aurora_data!H1381,0)</f>
        <v>0</v>
      </c>
      <c r="AH86" s="61" t="s">
        <v>354</v>
      </c>
      <c r="AI86" s="113">
        <f>IFERROR(aurora_data!U1381,0)</f>
        <v>0</v>
      </c>
      <c r="AJ86" s="255">
        <f t="shared" si="35"/>
        <v>0</v>
      </c>
    </row>
    <row r="87" spans="1:36" customFormat="1">
      <c r="A87" s="2"/>
      <c r="B87" s="561"/>
      <c r="C87" s="454"/>
      <c r="D87" s="35" t="s">
        <v>341</v>
      </c>
      <c r="E87" s="113">
        <f>IFERROR(aurora_data!D1382,0)</f>
        <v>0</v>
      </c>
      <c r="F87" s="253">
        <f>IFERROR(aurora_data!E1382,0)</f>
        <v>0</v>
      </c>
      <c r="G87" s="253">
        <f>IFERROR(aurora_data!F1382,0)</f>
        <v>0</v>
      </c>
      <c r="H87" s="253">
        <f>IFERROR(aurora_data!G1382,0)</f>
        <v>0</v>
      </c>
      <c r="I87" s="254">
        <f>IFERROR(aurora_data!H1382,0)</f>
        <v>0</v>
      </c>
      <c r="J87" s="113">
        <f>IFERROR(aurora_data!I1382,0)</f>
        <v>0</v>
      </c>
      <c r="K87" s="253">
        <f>IFERROR(aurora_data!J1382,0)</f>
        <v>0</v>
      </c>
      <c r="L87" s="253">
        <f>IFERROR(aurora_data!K1382,0)</f>
        <v>0</v>
      </c>
      <c r="M87" s="253">
        <f>IFERROR(aurora_data!L1382,0)</f>
        <v>0</v>
      </c>
      <c r="N87" s="254">
        <f>IFERROR(aurora_data!M1382,0)</f>
        <v>0</v>
      </c>
      <c r="O87" s="113">
        <f>IFERROR(aurora_data!N1382,0)</f>
        <v>0</v>
      </c>
      <c r="P87" s="253">
        <f>IFERROR(aurora_data!O1382,0)</f>
        <v>0</v>
      </c>
      <c r="Q87" s="253">
        <f>IFERROR(aurora_data!P1382,0)</f>
        <v>0</v>
      </c>
      <c r="R87" s="254">
        <f>IFERROR(aurora_data!Q1382,0)</f>
        <v>0</v>
      </c>
      <c r="S87" s="253">
        <f>IFERROR(aurora_data!R1382,0)</f>
        <v>0</v>
      </c>
      <c r="T87" s="253">
        <f>IFERROR(aurora_data!S1382,0)</f>
        <v>0</v>
      </c>
      <c r="U87" s="254">
        <f>IFERROR(aurora_data!T982,0)</f>
        <v>0</v>
      </c>
      <c r="V87" s="61" t="s">
        <v>354</v>
      </c>
      <c r="W87" s="113">
        <f>IFERROR(aurora_data!U1382,0)</f>
        <v>0</v>
      </c>
      <c r="X87" s="255">
        <f t="shared" si="36"/>
        <v>0</v>
      </c>
      <c r="Y87" s="2"/>
      <c r="AA87" s="452"/>
      <c r="AB87" s="454"/>
      <c r="AC87" s="35" t="s">
        <v>341</v>
      </c>
      <c r="AD87" s="113">
        <f>IFERROR(aurora_data!D1382,0)+IFERROR(aurora_data!E1382,0)</f>
        <v>0</v>
      </c>
      <c r="AE87" s="253">
        <f>IFERROR(aurora_data!F1382,0)</f>
        <v>0</v>
      </c>
      <c r="AF87" s="253">
        <f>IFERROR(aurora_data!G1382,0)</f>
        <v>0</v>
      </c>
      <c r="AG87" s="254">
        <f>IFERROR(aurora_data!H1382,0)</f>
        <v>0</v>
      </c>
      <c r="AH87" s="61" t="s">
        <v>354</v>
      </c>
      <c r="AI87" s="113">
        <f>IFERROR(aurora_data!U1382,0)</f>
        <v>0</v>
      </c>
      <c r="AJ87" s="255">
        <f t="shared" si="35"/>
        <v>0</v>
      </c>
    </row>
    <row r="88" spans="1:36" customFormat="1" ht="16.5" thickBot="1">
      <c r="A88" s="2"/>
      <c r="B88" s="561"/>
      <c r="C88" s="454"/>
      <c r="D88" s="35" t="s">
        <v>342</v>
      </c>
      <c r="E88" s="113">
        <f>IFERROR(aurora_data!D1383,0)</f>
        <v>0</v>
      </c>
      <c r="F88" s="253">
        <f>IFERROR(aurora_data!E1383,0)</f>
        <v>0</v>
      </c>
      <c r="G88" s="253">
        <f>IFERROR(aurora_data!F1383,0)</f>
        <v>0</v>
      </c>
      <c r="H88" s="253">
        <f>IFERROR(aurora_data!G1383,0)</f>
        <v>0</v>
      </c>
      <c r="I88" s="254">
        <f>IFERROR(aurora_data!H1383,0)</f>
        <v>0</v>
      </c>
      <c r="J88" s="113">
        <f>IFERROR(aurora_data!I1383,0)</f>
        <v>0</v>
      </c>
      <c r="K88" s="253">
        <f>IFERROR(aurora_data!J1383,0)</f>
        <v>0</v>
      </c>
      <c r="L88" s="253">
        <f>IFERROR(aurora_data!K1383,0)</f>
        <v>0</v>
      </c>
      <c r="M88" s="253">
        <f>IFERROR(aurora_data!L1383,0)</f>
        <v>0</v>
      </c>
      <c r="N88" s="254">
        <f>IFERROR(aurora_data!M1383,0)</f>
        <v>0</v>
      </c>
      <c r="O88" s="113">
        <f>IFERROR(aurora_data!N1383,0)</f>
        <v>0</v>
      </c>
      <c r="P88" s="253">
        <f>IFERROR(aurora_data!O1383,0)</f>
        <v>0</v>
      </c>
      <c r="Q88" s="253">
        <f>IFERROR(aurora_data!P1383,0)</f>
        <v>0</v>
      </c>
      <c r="R88" s="254">
        <f>IFERROR(aurora_data!Q1383,0)</f>
        <v>0</v>
      </c>
      <c r="S88" s="253">
        <f>IFERROR(aurora_data!R1383,0)</f>
        <v>0</v>
      </c>
      <c r="T88" s="253">
        <f>IFERROR(aurora_data!S1383,0)</f>
        <v>0</v>
      </c>
      <c r="U88" s="254">
        <f>IFERROR(aurora_data!T983,0)</f>
        <v>0</v>
      </c>
      <c r="V88" s="61" t="s">
        <v>354</v>
      </c>
      <c r="W88" s="113">
        <f>IFERROR(aurora_data!U1383,0)</f>
        <v>0</v>
      </c>
      <c r="X88" s="255">
        <f t="shared" si="36"/>
        <v>0</v>
      </c>
      <c r="Y88" s="2"/>
      <c r="AA88" s="452"/>
      <c r="AB88" s="454"/>
      <c r="AC88" s="35" t="s">
        <v>342</v>
      </c>
      <c r="AD88" s="113">
        <f>IFERROR(aurora_data!D1383,0)+IFERROR(aurora_data!E1383,0)</f>
        <v>0</v>
      </c>
      <c r="AE88" s="253">
        <f>IFERROR(aurora_data!F1383,0)</f>
        <v>0</v>
      </c>
      <c r="AF88" s="253">
        <f>IFERROR(aurora_data!G1383,0)</f>
        <v>0</v>
      </c>
      <c r="AG88" s="254">
        <f>IFERROR(aurora_data!H1383,0)</f>
        <v>0</v>
      </c>
      <c r="AH88" s="61" t="s">
        <v>354</v>
      </c>
      <c r="AI88" s="113">
        <f>IFERROR(aurora_data!U1383,0)</f>
        <v>0</v>
      </c>
      <c r="AJ88" s="255">
        <f t="shared" si="35"/>
        <v>0</v>
      </c>
    </row>
    <row r="89" spans="1:36" customFormat="1" ht="16.5" thickBot="1">
      <c r="A89" s="2"/>
      <c r="B89" s="561"/>
      <c r="C89" s="454"/>
      <c r="D89" s="37" t="s">
        <v>17</v>
      </c>
      <c r="E89" s="59">
        <f>IFERROR(aurora_data!D1384,0)</f>
        <v>1</v>
      </c>
      <c r="F89" s="64">
        <f>IFERROR(aurora_data!E1384,0)</f>
        <v>1</v>
      </c>
      <c r="G89" s="64">
        <f>IFERROR(aurora_data!F1384,0)</f>
        <v>4</v>
      </c>
      <c r="H89" s="64">
        <f>IFERROR(aurora_data!G1384,0)</f>
        <v>6</v>
      </c>
      <c r="I89" s="65">
        <f>IFERROR(aurora_data!H1384,0)</f>
        <v>7</v>
      </c>
      <c r="J89" s="59">
        <f>IFERROR(aurora_data!I1384,0)</f>
        <v>1</v>
      </c>
      <c r="K89" s="64">
        <f>IFERROR(aurora_data!J1384,0)</f>
        <v>3</v>
      </c>
      <c r="L89" s="64">
        <f>IFERROR(aurora_data!K1384,0)</f>
        <v>5</v>
      </c>
      <c r="M89" s="64">
        <f>IFERROR(aurora_data!L1384,0)</f>
        <v>2</v>
      </c>
      <c r="N89" s="65">
        <f>IFERROR(aurora_data!M1384,0)</f>
        <v>8</v>
      </c>
      <c r="O89" s="59">
        <f>IFERROR(aurora_data!N1384,0)</f>
        <v>6</v>
      </c>
      <c r="P89" s="64">
        <f>IFERROR(aurora_data!O1384,0)</f>
        <v>4</v>
      </c>
      <c r="Q89" s="64">
        <f>IFERROR(aurora_data!P1384,0)</f>
        <v>4</v>
      </c>
      <c r="R89" s="65">
        <f>IFERROR(aurora_data!Q1384,0)</f>
        <v>5</v>
      </c>
      <c r="S89" s="64">
        <f>IFERROR(aurora_data!R1384,0)</f>
        <v>7</v>
      </c>
      <c r="T89" s="64">
        <f>IFERROR(aurora_data!S1384,0)</f>
        <v>12</v>
      </c>
      <c r="U89" s="65">
        <f>IFERROR(aurora_data!T984,0)</f>
        <v>0</v>
      </c>
      <c r="V89" s="66" t="s">
        <v>354</v>
      </c>
      <c r="W89" s="59">
        <f>IFERROR(aurora_data!U1384,0)</f>
        <v>19</v>
      </c>
      <c r="X89" s="70">
        <f t="shared" si="36"/>
        <v>1.0555555555555556</v>
      </c>
      <c r="Y89" s="2"/>
      <c r="AA89" s="452"/>
      <c r="AB89" s="454"/>
      <c r="AC89" s="360" t="s">
        <v>17</v>
      </c>
      <c r="AD89" s="59">
        <f>IFERROR(aurora_data!D1384,0)+IFERROR(aurora_data!E1384,0)</f>
        <v>2</v>
      </c>
      <c r="AE89" s="64">
        <f>IFERROR(aurora_data!F1384,0)</f>
        <v>4</v>
      </c>
      <c r="AF89" s="64">
        <f>IFERROR(aurora_data!G1384,0)</f>
        <v>6</v>
      </c>
      <c r="AG89" s="65">
        <f>IFERROR(aurora_data!H1384,0)</f>
        <v>7</v>
      </c>
      <c r="AH89" s="66" t="s">
        <v>354</v>
      </c>
      <c r="AI89" s="59">
        <f>IFERROR(aurora_data!U1384,0)</f>
        <v>19</v>
      </c>
      <c r="AJ89" s="70">
        <f t="shared" si="35"/>
        <v>1.0555555555555556</v>
      </c>
    </row>
    <row r="90" spans="1:36" customFormat="1" ht="16.5" thickBot="1">
      <c r="A90" s="2"/>
      <c r="B90" s="561"/>
      <c r="C90" s="454"/>
      <c r="D90" s="38" t="s">
        <v>343</v>
      </c>
      <c r="E90" s="256">
        <f>IFERROR(aurora_data!D1385,0)</f>
        <v>0</v>
      </c>
      <c r="F90" s="257">
        <f>IFERROR(aurora_data!E1385,0)</f>
        <v>0</v>
      </c>
      <c r="G90" s="257">
        <f>IFERROR(aurora_data!F1385,0)</f>
        <v>0</v>
      </c>
      <c r="H90" s="257">
        <f>IFERROR(aurora_data!G1385,0)</f>
        <v>0</v>
      </c>
      <c r="I90" s="258">
        <f>IFERROR(aurora_data!H1385,0)</f>
        <v>0</v>
      </c>
      <c r="J90" s="256">
        <f>IFERROR(aurora_data!I1385,0)</f>
        <v>0</v>
      </c>
      <c r="K90" s="257">
        <f>IFERROR(aurora_data!J1385,0)</f>
        <v>0</v>
      </c>
      <c r="L90" s="257">
        <f>IFERROR(aurora_data!K1385,0)</f>
        <v>0</v>
      </c>
      <c r="M90" s="257">
        <f>IFERROR(aurora_data!L1385,0)</f>
        <v>0</v>
      </c>
      <c r="N90" s="258">
        <f>IFERROR(aurora_data!M1385,0)</f>
        <v>0</v>
      </c>
      <c r="O90" s="256">
        <f>IFERROR(aurora_data!N1385,0)</f>
        <v>0</v>
      </c>
      <c r="P90" s="257">
        <f>IFERROR(aurora_data!O1385,0)</f>
        <v>0</v>
      </c>
      <c r="Q90" s="257">
        <f>IFERROR(aurora_data!P1385,0)</f>
        <v>0</v>
      </c>
      <c r="R90" s="258">
        <f>IFERROR(aurora_data!Q1385,0)</f>
        <v>0</v>
      </c>
      <c r="S90" s="257">
        <f>IFERROR(aurora_data!R1385,0)</f>
        <v>0</v>
      </c>
      <c r="T90" s="257">
        <f>IFERROR(aurora_data!S1385,0)</f>
        <v>0</v>
      </c>
      <c r="U90" s="259">
        <f>IFERROR(aurora_data!T985,0)</f>
        <v>0</v>
      </c>
      <c r="V90" s="260" t="s">
        <v>354</v>
      </c>
      <c r="W90" s="256">
        <f>IFERROR(aurora_data!U1385,0)</f>
        <v>0</v>
      </c>
      <c r="X90" s="261">
        <f t="shared" si="36"/>
        <v>0</v>
      </c>
      <c r="Y90" s="2"/>
      <c r="AA90" s="452"/>
      <c r="AB90" s="454"/>
      <c r="AC90" s="38" t="s">
        <v>343</v>
      </c>
      <c r="AD90" s="256">
        <f>IFERROR(aurora_data!D1385,0)+IFERROR(aurora_data!E1385,0)</f>
        <v>0</v>
      </c>
      <c r="AE90" s="257">
        <f>IFERROR(aurora_data!F1385,0)</f>
        <v>0</v>
      </c>
      <c r="AF90" s="257">
        <f>IFERROR(aurora_data!G1385,0)</f>
        <v>0</v>
      </c>
      <c r="AG90" s="258">
        <f>IFERROR(aurora_data!H1385,0)</f>
        <v>0</v>
      </c>
      <c r="AH90" s="260" t="s">
        <v>354</v>
      </c>
      <c r="AI90" s="256">
        <f>IFERROR(aurora_data!U1385,0)</f>
        <v>0</v>
      </c>
      <c r="AJ90" s="261">
        <f t="shared" si="35"/>
        <v>0</v>
      </c>
    </row>
    <row r="91" spans="1:36" customFormat="1" ht="16.5" outlineLevel="1" thickBot="1">
      <c r="A91" s="2"/>
      <c r="B91" s="147"/>
      <c r="C91" s="227"/>
      <c r="D91" s="199" t="s">
        <v>344</v>
      </c>
      <c r="E91" s="276">
        <f>(E93+$E$9)*($W82)</f>
        <v>0.97</v>
      </c>
      <c r="F91" s="277">
        <f>(F93+$E$9)*($W82)</f>
        <v>1.4</v>
      </c>
      <c r="G91" s="277">
        <f>(G93+$E$9)*($W82)</f>
        <v>3.92</v>
      </c>
      <c r="H91" s="277">
        <f>(H93+$E$9)*($W82)</f>
        <v>6.1099999999999994</v>
      </c>
      <c r="I91" s="277">
        <f>(I93+$E$9)*($W82)</f>
        <v>7.4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A91" s="147"/>
      <c r="AB91" s="227"/>
      <c r="AC91" s="297"/>
      <c r="AD91" s="327"/>
      <c r="AE91" s="328"/>
      <c r="AF91" s="328"/>
      <c r="AG91" s="297"/>
      <c r="AH91" s="298"/>
      <c r="AI91" s="294"/>
      <c r="AJ91" s="299"/>
    </row>
    <row r="92" spans="1:36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0.49999999999999989</v>
      </c>
      <c r="F92" s="277">
        <f>IF(ROUND(((F93-$E$9)*($W82))+0.25,0) &lt;=0,1,((F93-$E$9)*($W82))+0.25)</f>
        <v>0.93000000000000016</v>
      </c>
      <c r="G92" s="277">
        <f t="shared" ref="G92:I92" si="37">IF(ROUND(((G93-$E$9)*($W82))+0.25,0) &lt;=0,1,((G93-$E$9)*($W82))+0.25)</f>
        <v>3.45</v>
      </c>
      <c r="H92" s="277">
        <f t="shared" si="37"/>
        <v>5.6399999999999988</v>
      </c>
      <c r="I92" s="277">
        <f t="shared" si="37"/>
        <v>6.93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A92" s="147"/>
      <c r="AB92" s="227"/>
      <c r="AC92" s="296"/>
      <c r="AD92" s="294"/>
      <c r="AE92" s="295"/>
      <c r="AF92" s="295"/>
      <c r="AG92" s="296"/>
      <c r="AH92" s="298"/>
      <c r="AI92" s="294"/>
      <c r="AJ92" s="299"/>
    </row>
    <row r="93" spans="1:36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3.3888888888888885E-2</v>
      </c>
      <c r="F93" s="415">
        <f t="shared" ref="F93" si="38">IFERROR(F82/$W82,0)</f>
        <v>5.7777777777777782E-2</v>
      </c>
      <c r="G93" s="415">
        <f>IFERROR(G82/$W82,0)</f>
        <v>0.19777777777777777</v>
      </c>
      <c r="H93" s="415">
        <f t="shared" ref="H93" si="39">IFERROR(H82/$W82,0)</f>
        <v>0.31944444444444442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A93" s="147"/>
      <c r="AB93" s="227"/>
      <c r="AC93" s="296"/>
      <c r="AD93" s="294"/>
      <c r="AE93" s="295"/>
      <c r="AF93" s="295"/>
      <c r="AG93" s="296"/>
      <c r="AH93" s="298"/>
      <c r="AI93" s="294"/>
      <c r="AJ93" s="299"/>
    </row>
    <row r="94" spans="1:36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5.5555555555555552E-2</v>
      </c>
      <c r="F94" s="415">
        <f t="shared" ref="F94:I94" si="40">IFERROR(F83/$W82,0)</f>
        <v>5.5555555555555552E-2</v>
      </c>
      <c r="G94" s="415">
        <f t="shared" si="40"/>
        <v>0.22222222222222221</v>
      </c>
      <c r="H94" s="415">
        <f t="shared" si="40"/>
        <v>0.33333333333333331</v>
      </c>
      <c r="I94" s="415">
        <f t="shared" si="40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A94" s="147"/>
      <c r="AB94" s="227"/>
      <c r="AC94" s="296"/>
      <c r="AD94" s="294"/>
      <c r="AE94" s="295"/>
      <c r="AF94" s="295"/>
      <c r="AG94" s="296"/>
      <c r="AH94" s="298"/>
      <c r="AI94" s="294"/>
      <c r="AJ94" s="299"/>
    </row>
    <row r="95" spans="1:36" customFormat="1" ht="16.5" hidden="1" outlineLevel="1" thickBot="1">
      <c r="A95" s="2"/>
      <c r="B95" s="147"/>
      <c r="C95" s="227"/>
      <c r="D95" s="180" t="s">
        <v>348</v>
      </c>
      <c r="E95" s="414">
        <f>E94-E93</f>
        <v>2.1666666666666667E-2</v>
      </c>
      <c r="F95" s="415">
        <f t="shared" ref="F95:I95" si="41">F94-F93</f>
        <v>-2.2222222222222296E-3</v>
      </c>
      <c r="G95" s="415">
        <f t="shared" si="41"/>
        <v>2.4444444444444435E-2</v>
      </c>
      <c r="H95" s="415">
        <f t="shared" si="41"/>
        <v>1.3888888888888895E-2</v>
      </c>
      <c r="I95" s="415">
        <f t="shared" si="41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A95" s="147"/>
      <c r="AB95" s="227"/>
      <c r="AC95" s="331"/>
      <c r="AD95" s="329"/>
      <c r="AE95" s="330"/>
      <c r="AF95" s="330"/>
      <c r="AG95" s="331"/>
      <c r="AH95" s="298"/>
      <c r="AI95" s="294"/>
      <c r="AJ95" s="299"/>
    </row>
    <row r="96" spans="1:36" customFormat="1">
      <c r="A96" s="2"/>
      <c r="B96" s="560" t="s">
        <v>362</v>
      </c>
      <c r="C96" s="453" t="str">
        <f>aurora_data!A1386</f>
        <v>12.00.00-12.11.30</v>
      </c>
      <c r="D96" s="34" t="s">
        <v>306</v>
      </c>
      <c r="E96" s="39">
        <f>IFERROR(aurora_data!D1386,0)</f>
        <v>0.66</v>
      </c>
      <c r="F96" s="40">
        <f>IFERROR(aurora_data!E1386,0)</f>
        <v>1.06</v>
      </c>
      <c r="G96" s="40">
        <f>IFERROR(aurora_data!F1386,0)</f>
        <v>3.59</v>
      </c>
      <c r="H96" s="40">
        <f>IFERROR(aurora_data!G1386,0)</f>
        <v>5.82</v>
      </c>
      <c r="I96" s="41">
        <f>IFERROR(aurora_data!H1386,0)</f>
        <v>6.88</v>
      </c>
      <c r="J96" s="39">
        <f>IFERROR(aurora_data!I1386,0)</f>
        <v>1</v>
      </c>
      <c r="K96" s="40">
        <f>IFERROR(aurora_data!J1386,0)</f>
        <v>1</v>
      </c>
      <c r="L96" s="40">
        <f>IFERROR(aurora_data!K1386,0)</f>
        <v>1</v>
      </c>
      <c r="M96" s="40">
        <f>IFERROR(aurora_data!L1386,0)</f>
        <v>1</v>
      </c>
      <c r="N96" s="41">
        <f>IFERROR(aurora_data!M1386,0)</f>
        <v>1</v>
      </c>
      <c r="O96" s="39">
        <f>IFERROR(aurora_data!N1386,0)</f>
        <v>1</v>
      </c>
      <c r="P96" s="40">
        <f>IFERROR(aurora_data!O1386,0)</f>
        <v>1</v>
      </c>
      <c r="Q96" s="40">
        <f>IFERROR(aurora_data!P1386,0)</f>
        <v>1</v>
      </c>
      <c r="R96" s="41">
        <f>IFERROR(aurora_data!Q1386,0)</f>
        <v>1</v>
      </c>
      <c r="S96" s="40">
        <f>IFERROR(aurora_data!R1386,0)</f>
        <v>1</v>
      </c>
      <c r="T96" s="40">
        <f>IFERROR(aurora_data!S1386,0)</f>
        <v>1</v>
      </c>
      <c r="U96" s="41">
        <f>IFERROR(aurora_data!T986,0)</f>
        <v>0</v>
      </c>
      <c r="V96" s="61" t="s">
        <v>354</v>
      </c>
      <c r="W96" s="39">
        <f>IFERROR(aurora_data!U1386,0)</f>
        <v>18</v>
      </c>
      <c r="X96" s="69">
        <f>IFERROR(W96/$W$96,0)</f>
        <v>1</v>
      </c>
      <c r="Y96" s="2"/>
      <c r="AA96" s="451" t="s">
        <v>338</v>
      </c>
      <c r="AB96" s="453" t="str">
        <f>aurora_data!A1386</f>
        <v>12.00.00-12.11.30</v>
      </c>
      <c r="AC96" s="34" t="s">
        <v>306</v>
      </c>
      <c r="AD96" s="332">
        <v>2</v>
      </c>
      <c r="AE96" s="40">
        <v>4</v>
      </c>
      <c r="AF96" s="40">
        <v>6</v>
      </c>
      <c r="AG96" s="333">
        <v>6</v>
      </c>
      <c r="AH96" s="61" t="s">
        <v>354</v>
      </c>
      <c r="AI96" s="39">
        <f>IFERROR(aurora_data!U1386,0)</f>
        <v>18</v>
      </c>
      <c r="AJ96" s="69">
        <f t="shared" ref="AJ96:AJ104" si="42">IFERROR(AI96/$AI$96,0)</f>
        <v>1</v>
      </c>
    </row>
    <row r="97" spans="1:36" customFormat="1">
      <c r="A97" s="2"/>
      <c r="B97" s="561"/>
      <c r="C97" s="454"/>
      <c r="D97" s="35" t="s">
        <v>339</v>
      </c>
      <c r="E97" s="113">
        <f>IFERROR(aurora_data!D1387,0)</f>
        <v>1</v>
      </c>
      <c r="F97" s="253">
        <f>IFERROR(aurora_data!E1387,0)</f>
        <v>1</v>
      </c>
      <c r="G97" s="253">
        <f>IFERROR(aurora_data!F1387,0)</f>
        <v>4</v>
      </c>
      <c r="H97" s="253">
        <f>IFERROR(aurora_data!G1387,0)</f>
        <v>6</v>
      </c>
      <c r="I97" s="254">
        <f>IFERROR(aurora_data!H1387,0)</f>
        <v>6</v>
      </c>
      <c r="J97" s="113">
        <f>IFERROR(aurora_data!I1387,0)</f>
        <v>0</v>
      </c>
      <c r="K97" s="253">
        <f>IFERROR(aurora_data!J1387,0)</f>
        <v>2</v>
      </c>
      <c r="L97" s="253">
        <f>IFERROR(aurora_data!K1387,0)</f>
        <v>5</v>
      </c>
      <c r="M97" s="253">
        <f>IFERROR(aurora_data!L1387,0)</f>
        <v>1</v>
      </c>
      <c r="N97" s="254">
        <f>IFERROR(aurora_data!M1387,0)</f>
        <v>10</v>
      </c>
      <c r="O97" s="113">
        <f>IFERROR(aurora_data!N1387,0)</f>
        <v>5</v>
      </c>
      <c r="P97" s="253">
        <f>IFERROR(aurora_data!O1387,0)</f>
        <v>4</v>
      </c>
      <c r="Q97" s="253">
        <f>IFERROR(aurora_data!P1387,0)</f>
        <v>4</v>
      </c>
      <c r="R97" s="254">
        <f>IFERROR(aurora_data!Q1387,0)</f>
        <v>5</v>
      </c>
      <c r="S97" s="253">
        <f>IFERROR(aurora_data!R1387,0)</f>
        <v>7</v>
      </c>
      <c r="T97" s="253">
        <f>IFERROR(aurora_data!S1387,0)</f>
        <v>11</v>
      </c>
      <c r="U97" s="254">
        <f>IFERROR(aurora_data!T987,0)</f>
        <v>0</v>
      </c>
      <c r="V97" s="61" t="s">
        <v>354</v>
      </c>
      <c r="W97" s="113">
        <f>IFERROR(aurora_data!U1387,0)</f>
        <v>18</v>
      </c>
      <c r="X97" s="255">
        <f t="shared" ref="X97:X104" si="43">IFERROR(W97/$W$96,0)</f>
        <v>1</v>
      </c>
      <c r="Y97" s="2"/>
      <c r="AA97" s="452"/>
      <c r="AB97" s="454"/>
      <c r="AC97" s="35" t="s">
        <v>339</v>
      </c>
      <c r="AD97" s="113">
        <f>IFERROR(aurora_data!D1387,0)+IFERROR(aurora_data!E1387,0)</f>
        <v>2</v>
      </c>
      <c r="AE97" s="253">
        <f>IFERROR(aurora_data!F1387,0)</f>
        <v>4</v>
      </c>
      <c r="AF97" s="253">
        <f>IFERROR(aurora_data!G1387,0)</f>
        <v>6</v>
      </c>
      <c r="AG97" s="254">
        <f>IFERROR(aurora_data!H1387,0)</f>
        <v>6</v>
      </c>
      <c r="AH97" s="61" t="s">
        <v>354</v>
      </c>
      <c r="AI97" s="113">
        <f>IFERROR(aurora_data!U1387,0)</f>
        <v>18</v>
      </c>
      <c r="AJ97" s="255">
        <f t="shared" si="42"/>
        <v>1</v>
      </c>
    </row>
    <row r="98" spans="1:36" customFormat="1">
      <c r="A98" s="2"/>
      <c r="B98" s="561"/>
      <c r="C98" s="454"/>
      <c r="D98" s="35" t="s">
        <v>291</v>
      </c>
      <c r="E98" s="113">
        <f>IFERROR(aurora_data!D1388,0)</f>
        <v>0</v>
      </c>
      <c r="F98" s="253">
        <f>IFERROR(aurora_data!E1388,0)</f>
        <v>0</v>
      </c>
      <c r="G98" s="253">
        <f>IFERROR(aurora_data!F1388,0)</f>
        <v>0</v>
      </c>
      <c r="H98" s="253">
        <f>IFERROR(aurora_data!G1388,0)</f>
        <v>2</v>
      </c>
      <c r="I98" s="254">
        <f>IFERROR(aurora_data!H1388,0)</f>
        <v>0</v>
      </c>
      <c r="J98" s="113">
        <f>IFERROR(aurora_data!I1388,0)</f>
        <v>0</v>
      </c>
      <c r="K98" s="253">
        <f>IFERROR(aurora_data!J1388,0)</f>
        <v>1</v>
      </c>
      <c r="L98" s="253">
        <f>IFERROR(aurora_data!K1388,0)</f>
        <v>0</v>
      </c>
      <c r="M98" s="253">
        <f>IFERROR(aurora_data!L1388,0)</f>
        <v>0</v>
      </c>
      <c r="N98" s="254">
        <f>IFERROR(aurora_data!M1388,0)</f>
        <v>1</v>
      </c>
      <c r="O98" s="113">
        <f>IFERROR(aurora_data!N1388,0)</f>
        <v>0</v>
      </c>
      <c r="P98" s="253">
        <f>IFERROR(aurora_data!O1388,0)</f>
        <v>1</v>
      </c>
      <c r="Q98" s="253">
        <f>IFERROR(aurora_data!P1388,0)</f>
        <v>1</v>
      </c>
      <c r="R98" s="254">
        <f>IFERROR(aurora_data!Q1388,0)</f>
        <v>0</v>
      </c>
      <c r="S98" s="253">
        <f>IFERROR(aurora_data!R1388,0)</f>
        <v>1</v>
      </c>
      <c r="T98" s="253">
        <f>IFERROR(aurora_data!S1388,0)</f>
        <v>1</v>
      </c>
      <c r="U98" s="254">
        <f>IFERROR(aurora_data!T988,0)</f>
        <v>0</v>
      </c>
      <c r="V98" s="61" t="s">
        <v>354</v>
      </c>
      <c r="W98" s="113">
        <f>IFERROR(aurora_data!U1388,0)</f>
        <v>2</v>
      </c>
      <c r="X98" s="255">
        <f t="shared" si="43"/>
        <v>0.1111111111111111</v>
      </c>
      <c r="Y98" s="2"/>
      <c r="AA98" s="452"/>
      <c r="AB98" s="454"/>
      <c r="AC98" s="35" t="s">
        <v>291</v>
      </c>
      <c r="AD98" s="113">
        <f>IFERROR(aurora_data!D1388,0)+IFERROR(aurora_data!E1388,0)</f>
        <v>0</v>
      </c>
      <c r="AE98" s="253">
        <f>IFERROR(aurora_data!F1388,0)</f>
        <v>0</v>
      </c>
      <c r="AF98" s="253">
        <f>IFERROR(aurora_data!G1388,0)</f>
        <v>2</v>
      </c>
      <c r="AG98" s="254">
        <f>IFERROR(aurora_data!H1388,0)</f>
        <v>0</v>
      </c>
      <c r="AH98" s="61" t="s">
        <v>354</v>
      </c>
      <c r="AI98" s="113">
        <f>IFERROR(aurora_data!U1388,0)</f>
        <v>2</v>
      </c>
      <c r="AJ98" s="335" t="s">
        <v>380</v>
      </c>
    </row>
    <row r="99" spans="1:36" customFormat="1">
      <c r="A99" s="2"/>
      <c r="B99" s="561"/>
      <c r="C99" s="454"/>
      <c r="D99" s="35" t="s">
        <v>340</v>
      </c>
      <c r="E99" s="113">
        <f>IFERROR(aurora_data!D1389,0)</f>
        <v>0</v>
      </c>
      <c r="F99" s="253">
        <f>IFERROR(aurora_data!E1389,0)</f>
        <v>0</v>
      </c>
      <c r="G99" s="253">
        <f>IFERROR(aurora_data!F1389,0)</f>
        <v>0</v>
      </c>
      <c r="H99" s="253">
        <f>IFERROR(aurora_data!G1389,0)</f>
        <v>0</v>
      </c>
      <c r="I99" s="254">
        <f>IFERROR(aurora_data!H1389,0)</f>
        <v>0</v>
      </c>
      <c r="J99" s="113">
        <f>IFERROR(aurora_data!I1389,0)</f>
        <v>0</v>
      </c>
      <c r="K99" s="253">
        <f>IFERROR(aurora_data!J1389,0)</f>
        <v>0</v>
      </c>
      <c r="L99" s="253">
        <f>IFERROR(aurora_data!K1389,0)</f>
        <v>0</v>
      </c>
      <c r="M99" s="253">
        <f>IFERROR(aurora_data!L1389,0)</f>
        <v>0</v>
      </c>
      <c r="N99" s="254">
        <f>IFERROR(aurora_data!M1389,0)</f>
        <v>0</v>
      </c>
      <c r="O99" s="113">
        <f>IFERROR(aurora_data!N1389,0)</f>
        <v>0</v>
      </c>
      <c r="P99" s="253">
        <f>IFERROR(aurora_data!O1389,0)</f>
        <v>0</v>
      </c>
      <c r="Q99" s="253">
        <f>IFERROR(aurora_data!P1389,0)</f>
        <v>0</v>
      </c>
      <c r="R99" s="254">
        <f>IFERROR(aurora_data!Q1389,0)</f>
        <v>0</v>
      </c>
      <c r="S99" s="253">
        <f>IFERROR(aurora_data!R1389,0)</f>
        <v>0</v>
      </c>
      <c r="T99" s="253">
        <f>IFERROR(aurora_data!S1389,0)</f>
        <v>0</v>
      </c>
      <c r="U99" s="254">
        <f>IFERROR(aurora_data!T989,0)</f>
        <v>0</v>
      </c>
      <c r="V99" s="61" t="s">
        <v>354</v>
      </c>
      <c r="W99" s="113">
        <f>IFERROR(aurora_data!U1389,0)</f>
        <v>0</v>
      </c>
      <c r="X99" s="255">
        <f t="shared" si="43"/>
        <v>0</v>
      </c>
      <c r="Y99" s="2"/>
      <c r="AA99" s="452"/>
      <c r="AB99" s="454"/>
      <c r="AC99" s="35" t="s">
        <v>340</v>
      </c>
      <c r="AD99" s="113">
        <f>IFERROR(aurora_data!D1389,0)+IFERROR(aurora_data!E1389,0)</f>
        <v>0</v>
      </c>
      <c r="AE99" s="253">
        <f>IFERROR(aurora_data!F1389,0)</f>
        <v>0</v>
      </c>
      <c r="AF99" s="253">
        <f>IFERROR(aurora_data!G1389,0)</f>
        <v>0</v>
      </c>
      <c r="AG99" s="254">
        <f>IFERROR(aurora_data!H1389,0)</f>
        <v>0</v>
      </c>
      <c r="AH99" s="61" t="s">
        <v>354</v>
      </c>
      <c r="AI99" s="113">
        <f>IFERROR(aurora_data!U1389,0)</f>
        <v>0</v>
      </c>
      <c r="AJ99" s="255">
        <f t="shared" si="42"/>
        <v>0</v>
      </c>
    </row>
    <row r="100" spans="1:36" customFormat="1">
      <c r="A100" s="2"/>
      <c r="B100" s="561"/>
      <c r="C100" s="454"/>
      <c r="D100" s="35" t="s">
        <v>298</v>
      </c>
      <c r="E100" s="113">
        <f>IFERROR(aurora_data!D1390,0)</f>
        <v>0</v>
      </c>
      <c r="F100" s="253">
        <f>IFERROR(aurora_data!E1390,0)</f>
        <v>0</v>
      </c>
      <c r="G100" s="253">
        <f>IFERROR(aurora_data!F1390,0)</f>
        <v>0</v>
      </c>
      <c r="H100" s="253">
        <f>IFERROR(aurora_data!G1390,0)</f>
        <v>0</v>
      </c>
      <c r="I100" s="254">
        <f>IFERROR(aurora_data!H1390,0)</f>
        <v>0</v>
      </c>
      <c r="J100" s="113">
        <f>IFERROR(aurora_data!I1390,0)</f>
        <v>0</v>
      </c>
      <c r="K100" s="253">
        <f>IFERROR(aurora_data!J1390,0)</f>
        <v>0</v>
      </c>
      <c r="L100" s="253">
        <f>IFERROR(aurora_data!K1390,0)</f>
        <v>0</v>
      </c>
      <c r="M100" s="253">
        <f>IFERROR(aurora_data!L1390,0)</f>
        <v>0</v>
      </c>
      <c r="N100" s="254">
        <f>IFERROR(aurora_data!M1390,0)</f>
        <v>0</v>
      </c>
      <c r="O100" s="113">
        <f>IFERROR(aurora_data!N1390,0)</f>
        <v>0</v>
      </c>
      <c r="P100" s="253">
        <f>IFERROR(aurora_data!O1390,0)</f>
        <v>0</v>
      </c>
      <c r="Q100" s="253">
        <f>IFERROR(aurora_data!P1390,0)</f>
        <v>0</v>
      </c>
      <c r="R100" s="254">
        <f>IFERROR(aurora_data!Q1390,0)</f>
        <v>0</v>
      </c>
      <c r="S100" s="253">
        <f>IFERROR(aurora_data!R1390,0)</f>
        <v>0</v>
      </c>
      <c r="T100" s="253">
        <f>IFERROR(aurora_data!S1390,0)</f>
        <v>0</v>
      </c>
      <c r="U100" s="254">
        <f>IFERROR(aurora_data!T990,0)</f>
        <v>0</v>
      </c>
      <c r="V100" s="61" t="s">
        <v>354</v>
      </c>
      <c r="W100" s="113">
        <f>IFERROR(aurora_data!U1390,0)</f>
        <v>0</v>
      </c>
      <c r="X100" s="255">
        <f t="shared" si="43"/>
        <v>0</v>
      </c>
      <c r="Y100" s="2"/>
      <c r="AA100" s="452"/>
      <c r="AB100" s="454"/>
      <c r="AC100" s="35" t="s">
        <v>298</v>
      </c>
      <c r="AD100" s="113">
        <f>IFERROR(aurora_data!D1390,0)+IFERROR(aurora_data!E1390,0)</f>
        <v>0</v>
      </c>
      <c r="AE100" s="253">
        <f>IFERROR(aurora_data!F1390,0)</f>
        <v>0</v>
      </c>
      <c r="AF100" s="253">
        <f>IFERROR(aurora_data!G1390,0)</f>
        <v>0</v>
      </c>
      <c r="AG100" s="254">
        <f>IFERROR(aurora_data!H1390,0)</f>
        <v>0</v>
      </c>
      <c r="AH100" s="61" t="s">
        <v>354</v>
      </c>
      <c r="AI100" s="113">
        <f>IFERROR(aurora_data!U1390,0)</f>
        <v>0</v>
      </c>
      <c r="AJ100" s="255">
        <f t="shared" si="42"/>
        <v>0</v>
      </c>
    </row>
    <row r="101" spans="1:36" customFormat="1">
      <c r="A101" s="2"/>
      <c r="B101" s="561"/>
      <c r="C101" s="454"/>
      <c r="D101" s="35" t="s">
        <v>341</v>
      </c>
      <c r="E101" s="113">
        <f>IFERROR(aurora_data!D1391,0)</f>
        <v>0</v>
      </c>
      <c r="F101" s="253">
        <f>IFERROR(aurora_data!E1391,0)</f>
        <v>0</v>
      </c>
      <c r="G101" s="253">
        <f>IFERROR(aurora_data!F1391,0)</f>
        <v>0</v>
      </c>
      <c r="H101" s="253">
        <f>IFERROR(aurora_data!G1391,0)</f>
        <v>0</v>
      </c>
      <c r="I101" s="254">
        <f>IFERROR(aurora_data!H1391,0)</f>
        <v>0</v>
      </c>
      <c r="J101" s="113">
        <f>IFERROR(aurora_data!I1391,0)</f>
        <v>0</v>
      </c>
      <c r="K101" s="253">
        <f>IFERROR(aurora_data!J1391,0)</f>
        <v>0</v>
      </c>
      <c r="L101" s="253">
        <f>IFERROR(aurora_data!K1391,0)</f>
        <v>0</v>
      </c>
      <c r="M101" s="253">
        <f>IFERROR(aurora_data!L1391,0)</f>
        <v>0</v>
      </c>
      <c r="N101" s="254">
        <f>IFERROR(aurora_data!M1391,0)</f>
        <v>0</v>
      </c>
      <c r="O101" s="113">
        <f>IFERROR(aurora_data!N1391,0)</f>
        <v>0</v>
      </c>
      <c r="P101" s="253">
        <f>IFERROR(aurora_data!O1391,0)</f>
        <v>0</v>
      </c>
      <c r="Q101" s="253">
        <f>IFERROR(aurora_data!P1391,0)</f>
        <v>0</v>
      </c>
      <c r="R101" s="254">
        <f>IFERROR(aurora_data!Q1391,0)</f>
        <v>0</v>
      </c>
      <c r="S101" s="253">
        <f>IFERROR(aurora_data!R1391,0)</f>
        <v>0</v>
      </c>
      <c r="T101" s="253">
        <f>IFERROR(aurora_data!S1391,0)</f>
        <v>0</v>
      </c>
      <c r="U101" s="254">
        <f>IFERROR(aurora_data!T991,0)</f>
        <v>0</v>
      </c>
      <c r="V101" s="61" t="s">
        <v>354</v>
      </c>
      <c r="W101" s="113">
        <f>IFERROR(aurora_data!U1391,0)</f>
        <v>0</v>
      </c>
      <c r="X101" s="255">
        <f t="shared" si="43"/>
        <v>0</v>
      </c>
      <c r="Y101" s="2"/>
      <c r="AA101" s="452"/>
      <c r="AB101" s="454"/>
      <c r="AC101" s="35" t="s">
        <v>341</v>
      </c>
      <c r="AD101" s="113">
        <f>IFERROR(aurora_data!D1391,0)+IFERROR(aurora_data!E1391,0)</f>
        <v>0</v>
      </c>
      <c r="AE101" s="253">
        <f>IFERROR(aurora_data!F1391,0)</f>
        <v>0</v>
      </c>
      <c r="AF101" s="253">
        <f>IFERROR(aurora_data!G1391,0)</f>
        <v>0</v>
      </c>
      <c r="AG101" s="254">
        <f>IFERROR(aurora_data!H1391,0)</f>
        <v>0</v>
      </c>
      <c r="AH101" s="61" t="s">
        <v>354</v>
      </c>
      <c r="AI101" s="113">
        <f>IFERROR(aurora_data!U1391,0)</f>
        <v>0</v>
      </c>
      <c r="AJ101" s="255">
        <f t="shared" si="42"/>
        <v>0</v>
      </c>
    </row>
    <row r="102" spans="1:36" customFormat="1" ht="16.5" thickBot="1">
      <c r="A102" s="2"/>
      <c r="B102" s="561"/>
      <c r="C102" s="454"/>
      <c r="D102" s="35" t="s">
        <v>342</v>
      </c>
      <c r="E102" s="113">
        <f>IFERROR(aurora_data!D1392,0)</f>
        <v>0</v>
      </c>
      <c r="F102" s="253">
        <f>IFERROR(aurora_data!E1392,0)</f>
        <v>0</v>
      </c>
      <c r="G102" s="253">
        <f>IFERROR(aurora_data!F1392,0)</f>
        <v>0</v>
      </c>
      <c r="H102" s="253">
        <f>IFERROR(aurora_data!G1392,0)</f>
        <v>0</v>
      </c>
      <c r="I102" s="254">
        <f>IFERROR(aurora_data!H1392,0)</f>
        <v>0</v>
      </c>
      <c r="J102" s="113">
        <f>IFERROR(aurora_data!I1392,0)</f>
        <v>0</v>
      </c>
      <c r="K102" s="253">
        <f>IFERROR(aurora_data!J1392,0)</f>
        <v>0</v>
      </c>
      <c r="L102" s="253">
        <f>IFERROR(aurora_data!K1392,0)</f>
        <v>0</v>
      </c>
      <c r="M102" s="253">
        <f>IFERROR(aurora_data!L1392,0)</f>
        <v>0</v>
      </c>
      <c r="N102" s="254">
        <f>IFERROR(aurora_data!M1392,0)</f>
        <v>0</v>
      </c>
      <c r="O102" s="113">
        <f>IFERROR(aurora_data!N1392,0)</f>
        <v>0</v>
      </c>
      <c r="P102" s="253">
        <f>IFERROR(aurora_data!O1392,0)</f>
        <v>0</v>
      </c>
      <c r="Q102" s="253">
        <f>IFERROR(aurora_data!P1392,0)</f>
        <v>0</v>
      </c>
      <c r="R102" s="254">
        <f>IFERROR(aurora_data!Q1392,0)</f>
        <v>0</v>
      </c>
      <c r="S102" s="253">
        <f>IFERROR(aurora_data!R1392,0)</f>
        <v>0</v>
      </c>
      <c r="T102" s="253">
        <f>IFERROR(aurora_data!S1392,0)</f>
        <v>0</v>
      </c>
      <c r="U102" s="254">
        <f>IFERROR(aurora_data!T992,0)</f>
        <v>0</v>
      </c>
      <c r="V102" s="61" t="s">
        <v>354</v>
      </c>
      <c r="W102" s="113">
        <f>IFERROR(aurora_data!U1392,0)</f>
        <v>0</v>
      </c>
      <c r="X102" s="255">
        <f t="shared" si="43"/>
        <v>0</v>
      </c>
      <c r="Y102" s="2"/>
      <c r="AA102" s="452"/>
      <c r="AB102" s="454"/>
      <c r="AC102" s="35" t="s">
        <v>342</v>
      </c>
      <c r="AD102" s="113">
        <f>IFERROR(aurora_data!D1392,0)+IFERROR(aurora_data!E1392,0)</f>
        <v>0</v>
      </c>
      <c r="AE102" s="253">
        <f>IFERROR(aurora_data!F1392,0)</f>
        <v>0</v>
      </c>
      <c r="AF102" s="253">
        <f>IFERROR(aurora_data!G1392,0)</f>
        <v>0</v>
      </c>
      <c r="AG102" s="254">
        <f>IFERROR(aurora_data!H1392,0)</f>
        <v>0</v>
      </c>
      <c r="AH102" s="61" t="s">
        <v>354</v>
      </c>
      <c r="AI102" s="113">
        <f>IFERROR(aurora_data!U1392,0)</f>
        <v>0</v>
      </c>
      <c r="AJ102" s="255">
        <f t="shared" si="42"/>
        <v>0</v>
      </c>
    </row>
    <row r="103" spans="1:36" customFormat="1" ht="16.5" thickBot="1">
      <c r="A103" s="2"/>
      <c r="B103" s="561"/>
      <c r="C103" s="454"/>
      <c r="D103" s="37" t="s">
        <v>17</v>
      </c>
      <c r="E103" s="59">
        <f>IFERROR(aurora_data!D1393,0)</f>
        <v>1</v>
      </c>
      <c r="F103" s="64">
        <f>IFERROR(aurora_data!E1393,0)</f>
        <v>1</v>
      </c>
      <c r="G103" s="64">
        <f>IFERROR(aurora_data!F1393,0)</f>
        <v>4</v>
      </c>
      <c r="H103" s="64">
        <f>IFERROR(aurora_data!G1393,0)</f>
        <v>8</v>
      </c>
      <c r="I103" s="65">
        <f>IFERROR(aurora_data!H1393,0)</f>
        <v>6</v>
      </c>
      <c r="J103" s="59">
        <f>IFERROR(aurora_data!I1393,0)</f>
        <v>0</v>
      </c>
      <c r="K103" s="64">
        <f>IFERROR(aurora_data!J1393,0)</f>
        <v>3</v>
      </c>
      <c r="L103" s="64">
        <f>IFERROR(aurora_data!K1393,0)</f>
        <v>5</v>
      </c>
      <c r="M103" s="64">
        <f>IFERROR(aurora_data!L1393,0)</f>
        <v>1</v>
      </c>
      <c r="N103" s="65">
        <f>IFERROR(aurora_data!M1393,0)</f>
        <v>11</v>
      </c>
      <c r="O103" s="59">
        <f>IFERROR(aurora_data!N1393,0)</f>
        <v>5</v>
      </c>
      <c r="P103" s="64">
        <f>IFERROR(aurora_data!O1393,0)</f>
        <v>5</v>
      </c>
      <c r="Q103" s="64">
        <f>IFERROR(aurora_data!P1393,0)</f>
        <v>5</v>
      </c>
      <c r="R103" s="65">
        <f>IFERROR(aurora_data!Q1393,0)</f>
        <v>5</v>
      </c>
      <c r="S103" s="64">
        <f>IFERROR(aurora_data!R1393,0)</f>
        <v>8</v>
      </c>
      <c r="T103" s="64">
        <f>IFERROR(aurora_data!S1393,0)</f>
        <v>12</v>
      </c>
      <c r="U103" s="65">
        <f>IFERROR(aurora_data!T993,0)</f>
        <v>0</v>
      </c>
      <c r="V103" s="66" t="s">
        <v>354</v>
      </c>
      <c r="W103" s="59">
        <f>IFERROR(aurora_data!U1393,0)</f>
        <v>20</v>
      </c>
      <c r="X103" s="70">
        <f t="shared" si="43"/>
        <v>1.1111111111111112</v>
      </c>
      <c r="Y103" s="2"/>
      <c r="AA103" s="452"/>
      <c r="AB103" s="454"/>
      <c r="AC103" s="360" t="s">
        <v>17</v>
      </c>
      <c r="AD103" s="59">
        <f>IFERROR(aurora_data!D1393,0)+IFERROR(aurora_data!E1393,0)</f>
        <v>2</v>
      </c>
      <c r="AE103" s="64">
        <f>IFERROR(aurora_data!F1393,0)</f>
        <v>4</v>
      </c>
      <c r="AF103" s="64">
        <f>IFERROR(aurora_data!G1393,0)</f>
        <v>8</v>
      </c>
      <c r="AG103" s="65">
        <f>IFERROR(aurora_data!H1393,0)</f>
        <v>6</v>
      </c>
      <c r="AH103" s="66" t="s">
        <v>354</v>
      </c>
      <c r="AI103" s="59">
        <f>IFERROR(aurora_data!U1393,0)</f>
        <v>20</v>
      </c>
      <c r="AJ103" s="70">
        <f t="shared" si="42"/>
        <v>1.1111111111111112</v>
      </c>
    </row>
    <row r="104" spans="1:36" customFormat="1" ht="16.5" thickBot="1">
      <c r="A104" s="2"/>
      <c r="B104" s="561"/>
      <c r="C104" s="454"/>
      <c r="D104" s="38" t="s">
        <v>343</v>
      </c>
      <c r="E104" s="256">
        <f>IFERROR(aurora_data!D1394,0)</f>
        <v>0</v>
      </c>
      <c r="F104" s="257">
        <f>IFERROR(aurora_data!E1394,0)</f>
        <v>0</v>
      </c>
      <c r="G104" s="257">
        <f>IFERROR(aurora_data!F1394,0)</f>
        <v>0</v>
      </c>
      <c r="H104" s="257">
        <f>IFERROR(aurora_data!G1394,0)</f>
        <v>0</v>
      </c>
      <c r="I104" s="258">
        <f>IFERROR(aurora_data!H1394,0)</f>
        <v>0</v>
      </c>
      <c r="J104" s="256">
        <f>IFERROR(aurora_data!I1394,0)</f>
        <v>0</v>
      </c>
      <c r="K104" s="257">
        <f>IFERROR(aurora_data!J1394,0)</f>
        <v>0</v>
      </c>
      <c r="L104" s="257">
        <f>IFERROR(aurora_data!K1394,0)</f>
        <v>0</v>
      </c>
      <c r="M104" s="257">
        <f>IFERROR(aurora_data!L1394,0)</f>
        <v>0</v>
      </c>
      <c r="N104" s="258">
        <f>IFERROR(aurora_data!M1394,0)</f>
        <v>0</v>
      </c>
      <c r="O104" s="256">
        <f>IFERROR(aurora_data!N1394,0)</f>
        <v>0</v>
      </c>
      <c r="P104" s="257">
        <f>IFERROR(aurora_data!O1394,0)</f>
        <v>0</v>
      </c>
      <c r="Q104" s="257">
        <f>IFERROR(aurora_data!P1394,0)</f>
        <v>0</v>
      </c>
      <c r="R104" s="258">
        <f>IFERROR(aurora_data!Q1394,0)</f>
        <v>0</v>
      </c>
      <c r="S104" s="257">
        <f>IFERROR(aurora_data!R1394,0)</f>
        <v>0</v>
      </c>
      <c r="T104" s="257">
        <f>IFERROR(aurora_data!S1394,0)</f>
        <v>0</v>
      </c>
      <c r="U104" s="259">
        <f>IFERROR(aurora_data!T994,0)</f>
        <v>0</v>
      </c>
      <c r="V104" s="260" t="s">
        <v>354</v>
      </c>
      <c r="W104" s="256">
        <f>IFERROR(aurora_data!U1394,0)</f>
        <v>0</v>
      </c>
      <c r="X104" s="261">
        <f t="shared" si="43"/>
        <v>0</v>
      </c>
      <c r="Y104" s="2"/>
      <c r="AA104" s="452"/>
      <c r="AB104" s="454"/>
      <c r="AC104" s="38" t="s">
        <v>343</v>
      </c>
      <c r="AD104" s="256">
        <f>IFERROR(aurora_data!D1394,0)+IFERROR(aurora_data!E1394,0)</f>
        <v>0</v>
      </c>
      <c r="AE104" s="257">
        <f>IFERROR(aurora_data!F1394,0)</f>
        <v>0</v>
      </c>
      <c r="AF104" s="257">
        <f>IFERROR(aurora_data!G1394,0)</f>
        <v>0</v>
      </c>
      <c r="AG104" s="258">
        <f>IFERROR(aurora_data!H1394,0)</f>
        <v>0</v>
      </c>
      <c r="AH104" s="260" t="s">
        <v>354</v>
      </c>
      <c r="AI104" s="256">
        <f>IFERROR(aurora_data!U1394,0)</f>
        <v>0</v>
      </c>
      <c r="AJ104" s="261">
        <f t="shared" si="42"/>
        <v>0</v>
      </c>
    </row>
    <row r="105" spans="1:36" customFormat="1" ht="16.5" outlineLevel="1" thickBot="1">
      <c r="A105" s="2"/>
      <c r="B105" s="147"/>
      <c r="C105" s="227"/>
      <c r="D105" s="199" t="s">
        <v>344</v>
      </c>
      <c r="E105" s="276">
        <f>(E107+$E$9)*($W96)</f>
        <v>1.02</v>
      </c>
      <c r="F105" s="277">
        <f>(F107+$E$9)*($W96)</f>
        <v>1.4200000000000002</v>
      </c>
      <c r="G105" s="277">
        <f>(G107+$E$9)*($W96)</f>
        <v>3.9499999999999993</v>
      </c>
      <c r="H105" s="277">
        <f>(H107+$E$9)*($W96)</f>
        <v>6.1800000000000006</v>
      </c>
      <c r="I105" s="277">
        <f>(I107+$E$9)*($W96)</f>
        <v>7.24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A105" s="147"/>
      <c r="AB105" s="227"/>
      <c r="AC105" s="297"/>
      <c r="AD105" s="327"/>
      <c r="AE105" s="328"/>
      <c r="AF105" s="328"/>
      <c r="AG105" s="297"/>
      <c r="AH105" s="298"/>
      <c r="AI105" s="294"/>
      <c r="AJ105" s="299"/>
    </row>
    <row r="106" spans="1:36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0.55000000000000004</v>
      </c>
      <c r="F106" s="277">
        <f>IF(ROUND(((F107-$E$9)*($W96))+0.25,0) &lt;=0,1,((F107-$E$9)*($W96))+0.25)</f>
        <v>0.95</v>
      </c>
      <c r="G106" s="277">
        <f t="shared" ref="G106:I106" si="44">IF(ROUND(((G107-$E$9)*($W96))+0.25,0) &lt;=0,1,((G107-$E$9)*($W96))+0.25)</f>
        <v>3.48</v>
      </c>
      <c r="H106" s="277">
        <f t="shared" si="44"/>
        <v>5.71</v>
      </c>
      <c r="I106" s="277">
        <f t="shared" si="44"/>
        <v>6.77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A106" s="147"/>
      <c r="AB106" s="227"/>
      <c r="AC106" s="296"/>
      <c r="AD106" s="294"/>
      <c r="AE106" s="295"/>
      <c r="AF106" s="295"/>
      <c r="AG106" s="296"/>
      <c r="AH106" s="298"/>
      <c r="AI106" s="294"/>
      <c r="AJ106" s="299"/>
    </row>
    <row r="107" spans="1:36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 t="shared" ref="F107" si="45">IFERROR(F96/$W96,0)</f>
        <v>5.8888888888888893E-2</v>
      </c>
      <c r="G107" s="415">
        <f>IFERROR(G96/$W96,0)</f>
        <v>0.19944444444444442</v>
      </c>
      <c r="H107" s="415">
        <f t="shared" ref="H107" si="46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A107" s="147"/>
      <c r="AB107" s="227"/>
      <c r="AC107" s="296"/>
      <c r="AD107" s="294"/>
      <c r="AE107" s="295"/>
      <c r="AF107" s="295"/>
      <c r="AG107" s="296"/>
      <c r="AH107" s="298"/>
      <c r="AI107" s="294"/>
      <c r="AJ107" s="299"/>
    </row>
    <row r="108" spans="1:36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5.5555555555555552E-2</v>
      </c>
      <c r="F108" s="415">
        <f t="shared" ref="F108:I108" si="47">IFERROR(F97/$W96,0)</f>
        <v>5.5555555555555552E-2</v>
      </c>
      <c r="G108" s="415">
        <f t="shared" si="47"/>
        <v>0.22222222222222221</v>
      </c>
      <c r="H108" s="415">
        <f t="shared" si="47"/>
        <v>0.33333333333333331</v>
      </c>
      <c r="I108" s="415">
        <f t="shared" si="47"/>
        <v>0.33333333333333331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A108" s="147"/>
      <c r="AB108" s="227"/>
      <c r="AC108" s="296"/>
      <c r="AD108" s="294"/>
      <c r="AE108" s="295"/>
      <c r="AF108" s="295"/>
      <c r="AG108" s="296"/>
      <c r="AH108" s="298"/>
      <c r="AI108" s="294"/>
      <c r="AJ108" s="299"/>
    </row>
    <row r="109" spans="1:36" customFormat="1" ht="16.5" hidden="1" outlineLevel="1" thickBot="1">
      <c r="A109" s="2"/>
      <c r="B109" s="147"/>
      <c r="C109" s="227"/>
      <c r="D109" s="180" t="s">
        <v>348</v>
      </c>
      <c r="E109" s="414">
        <f>E108-E107</f>
        <v>1.8888888888888886E-2</v>
      </c>
      <c r="F109" s="415">
        <f t="shared" ref="F109:I109" si="48">F108-F107</f>
        <v>-3.3333333333333409E-3</v>
      </c>
      <c r="G109" s="415">
        <f t="shared" si="48"/>
        <v>2.2777777777777786E-2</v>
      </c>
      <c r="H109" s="415">
        <f t="shared" si="48"/>
        <v>9.9999999999999534E-3</v>
      </c>
      <c r="I109" s="415">
        <f t="shared" si="48"/>
        <v>-4.8888888888888926E-2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A109" s="147"/>
      <c r="AB109" s="227"/>
      <c r="AC109" s="331"/>
      <c r="AD109" s="329"/>
      <c r="AE109" s="330"/>
      <c r="AF109" s="330"/>
      <c r="AG109" s="331"/>
      <c r="AH109" s="298"/>
      <c r="AI109" s="294"/>
      <c r="AJ109" s="299"/>
    </row>
    <row r="110" spans="1:36" customFormat="1">
      <c r="A110" s="2"/>
      <c r="B110" s="560" t="s">
        <v>362</v>
      </c>
      <c r="C110" s="453" t="str">
        <f>aurora_data!A1395</f>
        <v>13.00.00-13.11.30</v>
      </c>
      <c r="D110" s="34" t="s">
        <v>306</v>
      </c>
      <c r="E110" s="39">
        <f>IFERROR(aurora_data!D1395,0)</f>
        <v>0.69</v>
      </c>
      <c r="F110" s="40">
        <f>IFERROR(aurora_data!E1395,0)</f>
        <v>1.1299999999999999</v>
      </c>
      <c r="G110" s="40">
        <f>IFERROR(aurora_data!F1395,0)</f>
        <v>3.61</v>
      </c>
      <c r="H110" s="40">
        <f>IFERROR(aurora_data!G1395,0)</f>
        <v>5.69</v>
      </c>
      <c r="I110" s="41">
        <f>IFERROR(aurora_data!H1395,0)</f>
        <v>6.89</v>
      </c>
      <c r="J110" s="39">
        <f>IFERROR(aurora_data!I1395,0)</f>
        <v>1</v>
      </c>
      <c r="K110" s="40">
        <f>IFERROR(aurora_data!J1395,0)</f>
        <v>1</v>
      </c>
      <c r="L110" s="40">
        <f>IFERROR(aurora_data!K1395,0)</f>
        <v>1</v>
      </c>
      <c r="M110" s="40">
        <f>IFERROR(aurora_data!L1395,0)</f>
        <v>1</v>
      </c>
      <c r="N110" s="41">
        <f>IFERROR(aurora_data!M1395,0)</f>
        <v>1</v>
      </c>
      <c r="O110" s="39">
        <f>IFERROR(aurora_data!N1395,0)</f>
        <v>1</v>
      </c>
      <c r="P110" s="40">
        <f>IFERROR(aurora_data!O1395,0)</f>
        <v>1</v>
      </c>
      <c r="Q110" s="40">
        <f>IFERROR(aurora_data!P1395,0)</f>
        <v>1</v>
      </c>
      <c r="R110" s="41">
        <f>IFERROR(aurora_data!Q1395,0)</f>
        <v>1</v>
      </c>
      <c r="S110" s="40">
        <f>IFERROR(aurora_data!R1395,0)</f>
        <v>1</v>
      </c>
      <c r="T110" s="40">
        <f>IFERROR(aurora_data!S1395,0)</f>
        <v>1</v>
      </c>
      <c r="U110" s="41">
        <f>IFERROR(aurora_data!T995,0)</f>
        <v>0</v>
      </c>
      <c r="V110" s="61" t="s">
        <v>354</v>
      </c>
      <c r="W110" s="39">
        <f>IFERROR(aurora_data!U1395,0)</f>
        <v>18</v>
      </c>
      <c r="X110" s="69">
        <f>IFERROR(W110/$W$110,0)</f>
        <v>1</v>
      </c>
      <c r="Y110" s="2"/>
      <c r="AA110" s="451" t="s">
        <v>338</v>
      </c>
      <c r="AB110" s="453" t="str">
        <f>aurora_data!A1395</f>
        <v>13.00.00-13.11.30</v>
      </c>
      <c r="AC110" s="34" t="s">
        <v>306</v>
      </c>
      <c r="AD110" s="39">
        <v>1.8199999999999998</v>
      </c>
      <c r="AE110" s="40">
        <v>3.61</v>
      </c>
      <c r="AF110" s="40">
        <v>5.69</v>
      </c>
      <c r="AG110" s="333">
        <v>6</v>
      </c>
      <c r="AH110" s="61" t="s">
        <v>354</v>
      </c>
      <c r="AI110" s="39">
        <f>IFERROR(aurora_data!U1395,0)</f>
        <v>18</v>
      </c>
      <c r="AJ110" s="69">
        <f t="shared" ref="AJ110:AJ118" si="49">IFERROR(AI110/$AI$110,0)</f>
        <v>1</v>
      </c>
    </row>
    <row r="111" spans="1:36" customFormat="1">
      <c r="A111" s="2"/>
      <c r="B111" s="561"/>
      <c r="C111" s="454"/>
      <c r="D111" s="35" t="s">
        <v>339</v>
      </c>
      <c r="E111" s="113">
        <f>IFERROR(aurora_data!D1396,0)</f>
        <v>1</v>
      </c>
      <c r="F111" s="253">
        <f>IFERROR(aurora_data!E1396,0)</f>
        <v>1</v>
      </c>
      <c r="G111" s="253">
        <f>IFERROR(aurora_data!F1396,0)</f>
        <v>4</v>
      </c>
      <c r="H111" s="253">
        <f>IFERROR(aurora_data!G1396,0)</f>
        <v>6</v>
      </c>
      <c r="I111" s="254">
        <f>IFERROR(aurora_data!H1396,0)</f>
        <v>6</v>
      </c>
      <c r="J111" s="113">
        <f>IFERROR(aurora_data!I1396,0)</f>
        <v>2</v>
      </c>
      <c r="K111" s="253">
        <f>IFERROR(aurora_data!J1396,0)</f>
        <v>2</v>
      </c>
      <c r="L111" s="253">
        <f>IFERROR(aurora_data!K1396,0)</f>
        <v>5</v>
      </c>
      <c r="M111" s="253">
        <f>IFERROR(aurora_data!L1396,0)</f>
        <v>0</v>
      </c>
      <c r="N111" s="254">
        <f>IFERROR(aurora_data!M1396,0)</f>
        <v>9</v>
      </c>
      <c r="O111" s="113">
        <f>IFERROR(aurora_data!N1396,0)</f>
        <v>4</v>
      </c>
      <c r="P111" s="253">
        <f>IFERROR(aurora_data!O1396,0)</f>
        <v>4</v>
      </c>
      <c r="Q111" s="253">
        <f>IFERROR(aurora_data!P1396,0)</f>
        <v>7</v>
      </c>
      <c r="R111" s="254">
        <f>IFERROR(aurora_data!Q1396,0)</f>
        <v>3</v>
      </c>
      <c r="S111" s="253">
        <f>IFERROR(aurora_data!R1396,0)</f>
        <v>9</v>
      </c>
      <c r="T111" s="253">
        <f>IFERROR(aurora_data!S1396,0)</f>
        <v>9</v>
      </c>
      <c r="U111" s="254">
        <f>IFERROR(aurora_data!T996,0)</f>
        <v>0</v>
      </c>
      <c r="V111" s="61" t="s">
        <v>354</v>
      </c>
      <c r="W111" s="113">
        <f>IFERROR(aurora_data!U1396,0)</f>
        <v>18</v>
      </c>
      <c r="X111" s="255">
        <f t="shared" ref="X111:X118" si="50">IFERROR(W111/$W$110,0)</f>
        <v>1</v>
      </c>
      <c r="Y111" s="2"/>
      <c r="AA111" s="452"/>
      <c r="AB111" s="454"/>
      <c r="AC111" s="35" t="s">
        <v>339</v>
      </c>
      <c r="AD111" s="113">
        <f>IFERROR(aurora_data!D1396,0)+IFERROR(aurora_data!E1396,0)</f>
        <v>2</v>
      </c>
      <c r="AE111" s="253">
        <f>IFERROR(aurora_data!F1396,0)</f>
        <v>4</v>
      </c>
      <c r="AF111" s="253">
        <f>IFERROR(aurora_data!G1396,0)</f>
        <v>6</v>
      </c>
      <c r="AG111" s="254">
        <f>IFERROR(aurora_data!H1396,0)</f>
        <v>6</v>
      </c>
      <c r="AH111" s="61" t="s">
        <v>354</v>
      </c>
      <c r="AI111" s="113">
        <f>IFERROR(aurora_data!U1396,0)</f>
        <v>18</v>
      </c>
      <c r="AJ111" s="255">
        <f t="shared" si="49"/>
        <v>1</v>
      </c>
    </row>
    <row r="112" spans="1:36" customFormat="1">
      <c r="A112" s="2"/>
      <c r="B112" s="561"/>
      <c r="C112" s="454"/>
      <c r="D112" s="35" t="s">
        <v>291</v>
      </c>
      <c r="E112" s="113">
        <f>IFERROR(aurora_data!D1397,0)</f>
        <v>0</v>
      </c>
      <c r="F112" s="253">
        <f>IFERROR(aurora_data!E1397,0)</f>
        <v>0</v>
      </c>
      <c r="G112" s="253">
        <f>IFERROR(aurora_data!F1397,0)</f>
        <v>0</v>
      </c>
      <c r="H112" s="253">
        <f>IFERROR(aurora_data!G1397,0)</f>
        <v>1</v>
      </c>
      <c r="I112" s="254">
        <f>IFERROR(aurora_data!H1397,0)</f>
        <v>1</v>
      </c>
      <c r="J112" s="113">
        <f>IFERROR(aurora_data!I1397,0)</f>
        <v>0</v>
      </c>
      <c r="K112" s="253">
        <f>IFERROR(aurora_data!J1397,0)</f>
        <v>0</v>
      </c>
      <c r="L112" s="253">
        <f>IFERROR(aurora_data!K1397,0)</f>
        <v>0</v>
      </c>
      <c r="M112" s="253">
        <f>IFERROR(aurora_data!L1397,0)</f>
        <v>0</v>
      </c>
      <c r="N112" s="254">
        <f>IFERROR(aurora_data!M1397,0)</f>
        <v>2</v>
      </c>
      <c r="O112" s="113">
        <f>IFERROR(aurora_data!N1397,0)</f>
        <v>1</v>
      </c>
      <c r="P112" s="253">
        <f>IFERROR(aurora_data!O1397,0)</f>
        <v>1</v>
      </c>
      <c r="Q112" s="253">
        <f>IFERROR(aurora_data!P1397,0)</f>
        <v>0</v>
      </c>
      <c r="R112" s="254">
        <f>IFERROR(aurora_data!Q1397,0)</f>
        <v>0</v>
      </c>
      <c r="S112" s="253">
        <f>IFERROR(aurora_data!R1397,0)</f>
        <v>2</v>
      </c>
      <c r="T112" s="253">
        <f>IFERROR(aurora_data!S1397,0)</f>
        <v>0</v>
      </c>
      <c r="U112" s="254">
        <f>IFERROR(aurora_data!T997,0)</f>
        <v>0</v>
      </c>
      <c r="V112" s="61" t="s">
        <v>354</v>
      </c>
      <c r="W112" s="113">
        <f>IFERROR(aurora_data!U1397,0)</f>
        <v>2</v>
      </c>
      <c r="X112" s="255">
        <f t="shared" si="50"/>
        <v>0.1111111111111111</v>
      </c>
      <c r="Y112" s="2"/>
      <c r="AA112" s="452"/>
      <c r="AB112" s="454"/>
      <c r="AC112" s="35" t="s">
        <v>291</v>
      </c>
      <c r="AD112" s="113">
        <f>IFERROR(aurora_data!D1397,0)+IFERROR(aurora_data!E1397,0)</f>
        <v>0</v>
      </c>
      <c r="AE112" s="253">
        <f>IFERROR(aurora_data!F1397,0)</f>
        <v>0</v>
      </c>
      <c r="AF112" s="253">
        <f>IFERROR(aurora_data!G1397,0)</f>
        <v>1</v>
      </c>
      <c r="AG112" s="254">
        <f>IFERROR(aurora_data!H1397,0)</f>
        <v>1</v>
      </c>
      <c r="AH112" s="61" t="s">
        <v>354</v>
      </c>
      <c r="AI112" s="113">
        <f>IFERROR(aurora_data!U1397,0)</f>
        <v>2</v>
      </c>
      <c r="AJ112" s="255">
        <f t="shared" si="49"/>
        <v>0.1111111111111111</v>
      </c>
    </row>
    <row r="113" spans="1:36" customFormat="1">
      <c r="A113" s="2"/>
      <c r="B113" s="561"/>
      <c r="C113" s="454"/>
      <c r="D113" s="35" t="s">
        <v>340</v>
      </c>
      <c r="E113" s="113">
        <f>IFERROR(aurora_data!D1398,0)</f>
        <v>0</v>
      </c>
      <c r="F113" s="253">
        <f>IFERROR(aurora_data!E1398,0)</f>
        <v>0</v>
      </c>
      <c r="G113" s="253">
        <f>IFERROR(aurora_data!F1398,0)</f>
        <v>0</v>
      </c>
      <c r="H113" s="253">
        <f>IFERROR(aurora_data!G1398,0)</f>
        <v>0</v>
      </c>
      <c r="I113" s="254">
        <f>IFERROR(aurora_data!H1398,0)</f>
        <v>0</v>
      </c>
      <c r="J113" s="113">
        <f>IFERROR(aurora_data!I1398,0)</f>
        <v>0</v>
      </c>
      <c r="K113" s="253">
        <f>IFERROR(aurora_data!J1398,0)</f>
        <v>0</v>
      </c>
      <c r="L113" s="253">
        <f>IFERROR(aurora_data!K1398,0)</f>
        <v>0</v>
      </c>
      <c r="M113" s="253">
        <f>IFERROR(aurora_data!L1398,0)</f>
        <v>0</v>
      </c>
      <c r="N113" s="254">
        <f>IFERROR(aurora_data!M1398,0)</f>
        <v>0</v>
      </c>
      <c r="O113" s="113">
        <f>IFERROR(aurora_data!N1398,0)</f>
        <v>0</v>
      </c>
      <c r="P113" s="253">
        <f>IFERROR(aurora_data!O1398,0)</f>
        <v>0</v>
      </c>
      <c r="Q113" s="253">
        <f>IFERROR(aurora_data!P1398,0)</f>
        <v>0</v>
      </c>
      <c r="R113" s="254">
        <f>IFERROR(aurora_data!Q1398,0)</f>
        <v>0</v>
      </c>
      <c r="S113" s="253">
        <f>IFERROR(aurora_data!R1398,0)</f>
        <v>0</v>
      </c>
      <c r="T113" s="253">
        <f>IFERROR(aurora_data!S1398,0)</f>
        <v>0</v>
      </c>
      <c r="U113" s="254">
        <f>IFERROR(aurora_data!T998,0)</f>
        <v>0</v>
      </c>
      <c r="V113" s="61" t="s">
        <v>354</v>
      </c>
      <c r="W113" s="113">
        <f>IFERROR(aurora_data!U1398,0)</f>
        <v>0</v>
      </c>
      <c r="X113" s="255">
        <f t="shared" si="50"/>
        <v>0</v>
      </c>
      <c r="Y113" s="2"/>
      <c r="AA113" s="452"/>
      <c r="AB113" s="454"/>
      <c r="AC113" s="35" t="s">
        <v>340</v>
      </c>
      <c r="AD113" s="113">
        <f>IFERROR(aurora_data!D1398,0)+IFERROR(aurora_data!E1398,0)</f>
        <v>0</v>
      </c>
      <c r="AE113" s="253">
        <f>IFERROR(aurora_data!F1398,0)</f>
        <v>0</v>
      </c>
      <c r="AF113" s="253">
        <f>IFERROR(aurora_data!G1398,0)</f>
        <v>0</v>
      </c>
      <c r="AG113" s="254">
        <f>IFERROR(aurora_data!H1398,0)</f>
        <v>0</v>
      </c>
      <c r="AH113" s="61" t="s">
        <v>354</v>
      </c>
      <c r="AI113" s="113">
        <f>IFERROR(aurora_data!U1398,0)</f>
        <v>0</v>
      </c>
      <c r="AJ113" s="255">
        <f t="shared" si="49"/>
        <v>0</v>
      </c>
    </row>
    <row r="114" spans="1:36" customFormat="1">
      <c r="A114" s="2"/>
      <c r="B114" s="561"/>
      <c r="C114" s="454"/>
      <c r="D114" s="35" t="s">
        <v>298</v>
      </c>
      <c r="E114" s="113">
        <f>IFERROR(aurora_data!D1399,0)</f>
        <v>0</v>
      </c>
      <c r="F114" s="253">
        <f>IFERROR(aurora_data!E1399,0)</f>
        <v>0</v>
      </c>
      <c r="G114" s="253">
        <f>IFERROR(aurora_data!F1399,0)</f>
        <v>0</v>
      </c>
      <c r="H114" s="253">
        <f>IFERROR(aurora_data!G1399,0)</f>
        <v>0</v>
      </c>
      <c r="I114" s="254">
        <f>IFERROR(aurora_data!H1399,0)</f>
        <v>0</v>
      </c>
      <c r="J114" s="113">
        <f>IFERROR(aurora_data!I1399,0)</f>
        <v>0</v>
      </c>
      <c r="K114" s="253">
        <f>IFERROR(aurora_data!J1399,0)</f>
        <v>0</v>
      </c>
      <c r="L114" s="253">
        <f>IFERROR(aurora_data!K1399,0)</f>
        <v>0</v>
      </c>
      <c r="M114" s="253">
        <f>IFERROR(aurora_data!L1399,0)</f>
        <v>0</v>
      </c>
      <c r="N114" s="254">
        <f>IFERROR(aurora_data!M1399,0)</f>
        <v>0</v>
      </c>
      <c r="O114" s="113">
        <f>IFERROR(aurora_data!N1399,0)</f>
        <v>0</v>
      </c>
      <c r="P114" s="253">
        <f>IFERROR(aurora_data!O1399,0)</f>
        <v>0</v>
      </c>
      <c r="Q114" s="253">
        <f>IFERROR(aurora_data!P1399,0)</f>
        <v>0</v>
      </c>
      <c r="R114" s="254">
        <f>IFERROR(aurora_data!Q1399,0)</f>
        <v>0</v>
      </c>
      <c r="S114" s="253">
        <f>IFERROR(aurora_data!R1399,0)</f>
        <v>0</v>
      </c>
      <c r="T114" s="253">
        <f>IFERROR(aurora_data!S1399,0)</f>
        <v>0</v>
      </c>
      <c r="U114" s="254">
        <f>IFERROR(aurora_data!T999,0)</f>
        <v>0</v>
      </c>
      <c r="V114" s="61" t="s">
        <v>354</v>
      </c>
      <c r="W114" s="113">
        <f>IFERROR(aurora_data!U1399,0)</f>
        <v>0</v>
      </c>
      <c r="X114" s="255">
        <f t="shared" si="50"/>
        <v>0</v>
      </c>
      <c r="Y114" s="2"/>
      <c r="AA114" s="452"/>
      <c r="AB114" s="454"/>
      <c r="AC114" s="35" t="s">
        <v>298</v>
      </c>
      <c r="AD114" s="113">
        <f>IFERROR(aurora_data!D1399,0)+IFERROR(aurora_data!E1399,0)</f>
        <v>0</v>
      </c>
      <c r="AE114" s="253">
        <f>IFERROR(aurora_data!F1399,0)</f>
        <v>0</v>
      </c>
      <c r="AF114" s="253">
        <f>IFERROR(aurora_data!G1399,0)</f>
        <v>0</v>
      </c>
      <c r="AG114" s="254">
        <f>IFERROR(aurora_data!H1399,0)</f>
        <v>0</v>
      </c>
      <c r="AH114" s="61" t="s">
        <v>354</v>
      </c>
      <c r="AI114" s="113">
        <f>IFERROR(aurora_data!U1399,0)</f>
        <v>0</v>
      </c>
      <c r="AJ114" s="255">
        <f t="shared" si="49"/>
        <v>0</v>
      </c>
    </row>
    <row r="115" spans="1:36" customFormat="1">
      <c r="A115" s="2"/>
      <c r="B115" s="561"/>
      <c r="C115" s="454"/>
      <c r="D115" s="35" t="s">
        <v>341</v>
      </c>
      <c r="E115" s="113">
        <f>IFERROR(aurora_data!D1400,0)</f>
        <v>0</v>
      </c>
      <c r="F115" s="253">
        <f>IFERROR(aurora_data!E1400,0)</f>
        <v>0</v>
      </c>
      <c r="G115" s="253">
        <f>IFERROR(aurora_data!F1400,0)</f>
        <v>0</v>
      </c>
      <c r="H115" s="253">
        <f>IFERROR(aurora_data!G1400,0)</f>
        <v>0</v>
      </c>
      <c r="I115" s="254">
        <f>IFERROR(aurora_data!H1400,0)</f>
        <v>0</v>
      </c>
      <c r="J115" s="113">
        <f>IFERROR(aurora_data!I1400,0)</f>
        <v>0</v>
      </c>
      <c r="K115" s="253">
        <f>IFERROR(aurora_data!J1400,0)</f>
        <v>0</v>
      </c>
      <c r="L115" s="253">
        <f>IFERROR(aurora_data!K1400,0)</f>
        <v>0</v>
      </c>
      <c r="M115" s="253">
        <f>IFERROR(aurora_data!L1400,0)</f>
        <v>0</v>
      </c>
      <c r="N115" s="254">
        <f>IFERROR(aurora_data!M1400,0)</f>
        <v>0</v>
      </c>
      <c r="O115" s="113">
        <f>IFERROR(aurora_data!N1400,0)</f>
        <v>0</v>
      </c>
      <c r="P115" s="253">
        <f>IFERROR(aurora_data!O1400,0)</f>
        <v>0</v>
      </c>
      <c r="Q115" s="253">
        <f>IFERROR(aurora_data!P1400,0)</f>
        <v>0</v>
      </c>
      <c r="R115" s="254">
        <f>IFERROR(aurora_data!Q1400,0)</f>
        <v>0</v>
      </c>
      <c r="S115" s="253">
        <f>IFERROR(aurora_data!R1400,0)</f>
        <v>0</v>
      </c>
      <c r="T115" s="253">
        <f>IFERROR(aurora_data!S1400,0)</f>
        <v>0</v>
      </c>
      <c r="U115" s="254">
        <f>IFERROR(aurora_data!T1000,0)</f>
        <v>0</v>
      </c>
      <c r="V115" s="61" t="s">
        <v>354</v>
      </c>
      <c r="W115" s="113">
        <f>IFERROR(aurora_data!U1400,0)</f>
        <v>0</v>
      </c>
      <c r="X115" s="255">
        <f t="shared" si="50"/>
        <v>0</v>
      </c>
      <c r="Y115" s="2"/>
      <c r="AA115" s="452"/>
      <c r="AB115" s="454"/>
      <c r="AC115" s="35" t="s">
        <v>341</v>
      </c>
      <c r="AD115" s="113">
        <f>IFERROR(aurora_data!D1400,0)+IFERROR(aurora_data!E1400,0)</f>
        <v>0</v>
      </c>
      <c r="AE115" s="253">
        <f>IFERROR(aurora_data!F1400,0)</f>
        <v>0</v>
      </c>
      <c r="AF115" s="253">
        <f>IFERROR(aurora_data!G1400,0)</f>
        <v>0</v>
      </c>
      <c r="AG115" s="254">
        <f>IFERROR(aurora_data!H1400,0)</f>
        <v>0</v>
      </c>
      <c r="AH115" s="61" t="s">
        <v>354</v>
      </c>
      <c r="AI115" s="113">
        <f>IFERROR(aurora_data!U1400,0)</f>
        <v>0</v>
      </c>
      <c r="AJ115" s="255">
        <f t="shared" si="49"/>
        <v>0</v>
      </c>
    </row>
    <row r="116" spans="1:36" customFormat="1" ht="16.5" thickBot="1">
      <c r="A116" s="2"/>
      <c r="B116" s="561"/>
      <c r="C116" s="454"/>
      <c r="D116" s="35" t="s">
        <v>342</v>
      </c>
      <c r="E116" s="113">
        <f>IFERROR(aurora_data!D1401,0)</f>
        <v>0</v>
      </c>
      <c r="F116" s="253">
        <f>IFERROR(aurora_data!E1401,0)</f>
        <v>0</v>
      </c>
      <c r="G116" s="253">
        <f>IFERROR(aurora_data!F1401,0)</f>
        <v>0</v>
      </c>
      <c r="H116" s="253">
        <f>IFERROR(aurora_data!G1401,0)</f>
        <v>0</v>
      </c>
      <c r="I116" s="254">
        <f>IFERROR(aurora_data!H1401,0)</f>
        <v>0</v>
      </c>
      <c r="J116" s="113">
        <f>IFERROR(aurora_data!I1401,0)</f>
        <v>0</v>
      </c>
      <c r="K116" s="253">
        <f>IFERROR(aurora_data!J1401,0)</f>
        <v>0</v>
      </c>
      <c r="L116" s="253">
        <f>IFERROR(aurora_data!K1401,0)</f>
        <v>0</v>
      </c>
      <c r="M116" s="253">
        <f>IFERROR(aurora_data!L1401,0)</f>
        <v>0</v>
      </c>
      <c r="N116" s="254">
        <f>IFERROR(aurora_data!M1401,0)</f>
        <v>0</v>
      </c>
      <c r="O116" s="113">
        <f>IFERROR(aurora_data!N1401,0)</f>
        <v>0</v>
      </c>
      <c r="P116" s="253">
        <f>IFERROR(aurora_data!O1401,0)</f>
        <v>0</v>
      </c>
      <c r="Q116" s="253">
        <f>IFERROR(aurora_data!P1401,0)</f>
        <v>0</v>
      </c>
      <c r="R116" s="254">
        <f>IFERROR(aurora_data!Q1401,0)</f>
        <v>0</v>
      </c>
      <c r="S116" s="253">
        <f>IFERROR(aurora_data!R1401,0)</f>
        <v>0</v>
      </c>
      <c r="T116" s="253">
        <f>IFERROR(aurora_data!S1401,0)</f>
        <v>0</v>
      </c>
      <c r="U116" s="254">
        <f>IFERROR(aurora_data!T1001,0)</f>
        <v>0</v>
      </c>
      <c r="V116" s="61" t="s">
        <v>354</v>
      </c>
      <c r="W116" s="113">
        <f>IFERROR(aurora_data!U1401,0)</f>
        <v>0</v>
      </c>
      <c r="X116" s="255">
        <f t="shared" si="50"/>
        <v>0</v>
      </c>
      <c r="Y116" s="2"/>
      <c r="AA116" s="452"/>
      <c r="AB116" s="454"/>
      <c r="AC116" s="35" t="s">
        <v>342</v>
      </c>
      <c r="AD116" s="113">
        <f>IFERROR(aurora_data!D1401,0)+IFERROR(aurora_data!E1401,0)</f>
        <v>0</v>
      </c>
      <c r="AE116" s="253">
        <f>IFERROR(aurora_data!F1401,0)</f>
        <v>0</v>
      </c>
      <c r="AF116" s="253">
        <f>IFERROR(aurora_data!G1401,0)</f>
        <v>0</v>
      </c>
      <c r="AG116" s="254">
        <f>IFERROR(aurora_data!H1401,0)</f>
        <v>0</v>
      </c>
      <c r="AH116" s="61" t="s">
        <v>354</v>
      </c>
      <c r="AI116" s="113">
        <f>IFERROR(aurora_data!U1401,0)</f>
        <v>0</v>
      </c>
      <c r="AJ116" s="255">
        <f t="shared" si="49"/>
        <v>0</v>
      </c>
    </row>
    <row r="117" spans="1:36" customFormat="1" ht="16.5" thickBot="1">
      <c r="A117" s="2"/>
      <c r="B117" s="561"/>
      <c r="C117" s="454"/>
      <c r="D117" s="37" t="s">
        <v>17</v>
      </c>
      <c r="E117" s="59">
        <f>IFERROR(aurora_data!D1402,0)</f>
        <v>1</v>
      </c>
      <c r="F117" s="64">
        <f>IFERROR(aurora_data!E1402,0)</f>
        <v>1</v>
      </c>
      <c r="G117" s="64">
        <f>IFERROR(aurora_data!F1402,0)</f>
        <v>4</v>
      </c>
      <c r="H117" s="64">
        <f>IFERROR(aurora_data!G1402,0)</f>
        <v>7</v>
      </c>
      <c r="I117" s="65">
        <f>IFERROR(aurora_data!H1402,0)</f>
        <v>7</v>
      </c>
      <c r="J117" s="59">
        <f>IFERROR(aurora_data!I1402,0)</f>
        <v>2</v>
      </c>
      <c r="K117" s="64">
        <f>IFERROR(aurora_data!J1402,0)</f>
        <v>2</v>
      </c>
      <c r="L117" s="64">
        <f>IFERROR(aurora_data!K1402,0)</f>
        <v>5</v>
      </c>
      <c r="M117" s="64">
        <f>IFERROR(aurora_data!L1402,0)</f>
        <v>0</v>
      </c>
      <c r="N117" s="65">
        <f>IFERROR(aurora_data!M1402,0)</f>
        <v>11</v>
      </c>
      <c r="O117" s="59">
        <f>IFERROR(aurora_data!N1402,0)</f>
        <v>5</v>
      </c>
      <c r="P117" s="64">
        <f>IFERROR(aurora_data!O1402,0)</f>
        <v>5</v>
      </c>
      <c r="Q117" s="64">
        <f>IFERROR(aurora_data!P1402,0)</f>
        <v>7</v>
      </c>
      <c r="R117" s="65">
        <f>IFERROR(aurora_data!Q1402,0)</f>
        <v>3</v>
      </c>
      <c r="S117" s="64">
        <f>IFERROR(aurora_data!R1402,0)</f>
        <v>11</v>
      </c>
      <c r="T117" s="64">
        <f>IFERROR(aurora_data!S1402,0)</f>
        <v>9</v>
      </c>
      <c r="U117" s="65">
        <f>IFERROR(aurora_data!T1002,0)</f>
        <v>0</v>
      </c>
      <c r="V117" s="66" t="s">
        <v>354</v>
      </c>
      <c r="W117" s="59">
        <f>IFERROR(aurora_data!U1402,0)</f>
        <v>20</v>
      </c>
      <c r="X117" s="70">
        <f t="shared" si="50"/>
        <v>1.1111111111111112</v>
      </c>
      <c r="Y117" s="2"/>
      <c r="AA117" s="452"/>
      <c r="AB117" s="454"/>
      <c r="AC117" s="360" t="s">
        <v>17</v>
      </c>
      <c r="AD117" s="59">
        <f>IFERROR(aurora_data!D1402,0)+IFERROR(aurora_data!E1402,0)</f>
        <v>2</v>
      </c>
      <c r="AE117" s="64">
        <f>IFERROR(aurora_data!F1402,0)</f>
        <v>4</v>
      </c>
      <c r="AF117" s="64">
        <f>IFERROR(aurora_data!G1402,0)</f>
        <v>7</v>
      </c>
      <c r="AG117" s="65">
        <f>IFERROR(aurora_data!H1402,0)</f>
        <v>7</v>
      </c>
      <c r="AH117" s="66" t="s">
        <v>354</v>
      </c>
      <c r="AI117" s="59">
        <f>IFERROR(aurora_data!U1402,0)</f>
        <v>20</v>
      </c>
      <c r="AJ117" s="70">
        <f t="shared" si="49"/>
        <v>1.1111111111111112</v>
      </c>
    </row>
    <row r="118" spans="1:36" customFormat="1" ht="16.5" thickBot="1">
      <c r="A118" s="2"/>
      <c r="B118" s="561"/>
      <c r="C118" s="454"/>
      <c r="D118" s="38" t="s">
        <v>343</v>
      </c>
      <c r="E118" s="256">
        <f>IFERROR(aurora_data!D1403,0)</f>
        <v>0</v>
      </c>
      <c r="F118" s="257">
        <f>IFERROR(aurora_data!E1403,0)</f>
        <v>0</v>
      </c>
      <c r="G118" s="257">
        <f>IFERROR(aurora_data!F1403,0)</f>
        <v>0</v>
      </c>
      <c r="H118" s="257">
        <f>IFERROR(aurora_data!G1403,0)</f>
        <v>0</v>
      </c>
      <c r="I118" s="258">
        <f>IFERROR(aurora_data!H1403,0)</f>
        <v>0</v>
      </c>
      <c r="J118" s="256">
        <f>IFERROR(aurora_data!I1403,0)</f>
        <v>0</v>
      </c>
      <c r="K118" s="257">
        <f>IFERROR(aurora_data!J1403,0)</f>
        <v>0</v>
      </c>
      <c r="L118" s="257">
        <f>IFERROR(aurora_data!K1403,0)</f>
        <v>0</v>
      </c>
      <c r="M118" s="257">
        <f>IFERROR(aurora_data!L1403,0)</f>
        <v>0</v>
      </c>
      <c r="N118" s="258">
        <f>IFERROR(aurora_data!M1403,0)</f>
        <v>0</v>
      </c>
      <c r="O118" s="256">
        <f>IFERROR(aurora_data!N1403,0)</f>
        <v>0</v>
      </c>
      <c r="P118" s="257">
        <f>IFERROR(aurora_data!O1403,0)</f>
        <v>0</v>
      </c>
      <c r="Q118" s="257">
        <f>IFERROR(aurora_data!P1403,0)</f>
        <v>0</v>
      </c>
      <c r="R118" s="258">
        <f>IFERROR(aurora_data!Q1403,0)</f>
        <v>0</v>
      </c>
      <c r="S118" s="257">
        <f>IFERROR(aurora_data!R1403,0)</f>
        <v>0</v>
      </c>
      <c r="T118" s="257">
        <f>IFERROR(aurora_data!S1403,0)</f>
        <v>0</v>
      </c>
      <c r="U118" s="259">
        <f>IFERROR(aurora_data!T1003,0)</f>
        <v>0</v>
      </c>
      <c r="V118" s="260" t="s">
        <v>354</v>
      </c>
      <c r="W118" s="256">
        <f>IFERROR(aurora_data!U1403,0)</f>
        <v>0</v>
      </c>
      <c r="X118" s="261">
        <f t="shared" si="50"/>
        <v>0</v>
      </c>
      <c r="Y118" s="2"/>
      <c r="AA118" s="452"/>
      <c r="AB118" s="454"/>
      <c r="AC118" s="38" t="s">
        <v>343</v>
      </c>
      <c r="AD118" s="256">
        <f>IFERROR(aurora_data!D1403,0)+IFERROR(aurora_data!E1403,0)</f>
        <v>0</v>
      </c>
      <c r="AE118" s="257">
        <f>IFERROR(aurora_data!F1403,0)</f>
        <v>0</v>
      </c>
      <c r="AF118" s="257">
        <f>IFERROR(aurora_data!G1403,0)</f>
        <v>0</v>
      </c>
      <c r="AG118" s="258">
        <f>IFERROR(aurora_data!H1403,0)</f>
        <v>0</v>
      </c>
      <c r="AH118" s="260" t="s">
        <v>354</v>
      </c>
      <c r="AI118" s="256">
        <f>IFERROR(aurora_data!U1403,0)</f>
        <v>0</v>
      </c>
      <c r="AJ118" s="261">
        <f t="shared" si="49"/>
        <v>0</v>
      </c>
    </row>
    <row r="119" spans="1:36" customFormat="1" ht="16.5" outlineLevel="1" thickBot="1">
      <c r="A119" s="2"/>
      <c r="B119" s="147"/>
      <c r="C119" s="227"/>
      <c r="D119" s="199" t="s">
        <v>344</v>
      </c>
      <c r="E119" s="276">
        <f>(E121+$E$9)*($W110)</f>
        <v>1.05</v>
      </c>
      <c r="F119" s="277">
        <f>(F121+$E$9)*($W110)</f>
        <v>1.4899999999999998</v>
      </c>
      <c r="G119" s="277">
        <f>(G121+$E$9)*($W110)</f>
        <v>3.9699999999999998</v>
      </c>
      <c r="H119" s="277">
        <f>(H121+$E$9)*($W110)</f>
        <v>6.0500000000000007</v>
      </c>
      <c r="I119" s="277">
        <f>(I121+$E$9)*($W110)</f>
        <v>7.25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A119" s="147"/>
      <c r="AB119" s="227"/>
      <c r="AC119" s="297"/>
      <c r="AD119" s="327"/>
      <c r="AE119" s="328"/>
      <c r="AF119" s="328"/>
      <c r="AG119" s="297"/>
      <c r="AH119" s="298"/>
      <c r="AI119" s="294"/>
      <c r="AJ119" s="299"/>
    </row>
    <row r="120" spans="1:36" customFormat="1" ht="16.5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0.57999999999999996</v>
      </c>
      <c r="F120" s="277">
        <f>IF(ROUND(((F121-$E$9)*($W110))+0.25,0) &lt;=0,1,((F121-$E$9)*($W110))+0.25)</f>
        <v>1.0199999999999996</v>
      </c>
      <c r="G120" s="277">
        <f t="shared" ref="G120:I120" si="51">IF(ROUND(((G121-$E$9)*($W110))+0.25,0) &lt;=0,1,((G121-$E$9)*($W110))+0.25)</f>
        <v>3.5</v>
      </c>
      <c r="H120" s="277">
        <f t="shared" si="51"/>
        <v>5.58</v>
      </c>
      <c r="I120" s="277">
        <f t="shared" si="51"/>
        <v>6.7799999999999994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A120" s="147"/>
      <c r="AB120" s="227"/>
      <c r="AC120" s="296"/>
      <c r="AD120" s="294"/>
      <c r="AE120" s="295"/>
      <c r="AF120" s="295"/>
      <c r="AG120" s="296"/>
      <c r="AH120" s="298"/>
      <c r="AI120" s="294"/>
      <c r="AJ120" s="299"/>
    </row>
    <row r="121" spans="1:36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3.833333333333333E-2</v>
      </c>
      <c r="F121" s="415">
        <f t="shared" ref="F121" si="52">IFERROR(F110/$W110,0)</f>
        <v>6.2777777777777766E-2</v>
      </c>
      <c r="G121" s="415">
        <f>IFERROR(G110/$W110,0)</f>
        <v>0.20055555555555554</v>
      </c>
      <c r="H121" s="415">
        <f t="shared" ref="H121" si="53">IFERROR(H110/$W110,0)</f>
        <v>0.31611111111111112</v>
      </c>
      <c r="I121" s="415">
        <f>IFERROR(I110/$W110,0)</f>
        <v>0.38277777777777777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A121" s="147"/>
      <c r="AB121" s="227"/>
      <c r="AC121" s="296"/>
      <c r="AD121" s="294"/>
      <c r="AE121" s="295"/>
      <c r="AF121" s="295"/>
      <c r="AG121" s="296"/>
      <c r="AH121" s="298"/>
      <c r="AI121" s="294"/>
      <c r="AJ121" s="299"/>
    </row>
    <row r="122" spans="1:36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5.5555555555555552E-2</v>
      </c>
      <c r="F122" s="415">
        <f t="shared" ref="F122:I122" si="54">IFERROR(F111/$W110,0)</f>
        <v>5.5555555555555552E-2</v>
      </c>
      <c r="G122" s="415">
        <f t="shared" si="54"/>
        <v>0.22222222222222221</v>
      </c>
      <c r="H122" s="415">
        <f t="shared" si="54"/>
        <v>0.33333333333333331</v>
      </c>
      <c r="I122" s="415">
        <f t="shared" si="54"/>
        <v>0.33333333333333331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A122" s="147"/>
      <c r="AB122" s="227"/>
      <c r="AC122" s="296"/>
      <c r="AD122" s="294"/>
      <c r="AE122" s="295"/>
      <c r="AF122" s="295"/>
      <c r="AG122" s="296"/>
      <c r="AH122" s="298"/>
      <c r="AI122" s="294"/>
      <c r="AJ122" s="299"/>
    </row>
    <row r="123" spans="1:36" customFormat="1" ht="16.5" hidden="1" outlineLevel="1" thickBot="1">
      <c r="A123" s="2"/>
      <c r="B123" s="147"/>
      <c r="C123" s="227"/>
      <c r="D123" s="180" t="s">
        <v>348</v>
      </c>
      <c r="E123" s="414">
        <f>E122-E121</f>
        <v>1.7222222222222222E-2</v>
      </c>
      <c r="F123" s="415">
        <f t="shared" ref="F123:I123" si="55">F122-F121</f>
        <v>-7.2222222222222132E-3</v>
      </c>
      <c r="G123" s="415">
        <f t="shared" si="55"/>
        <v>2.1666666666666667E-2</v>
      </c>
      <c r="H123" s="415">
        <f t="shared" si="55"/>
        <v>1.7222222222222194E-2</v>
      </c>
      <c r="I123" s="415">
        <f t="shared" si="55"/>
        <v>-4.9444444444444458E-2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A123" s="147"/>
      <c r="AB123" s="227"/>
      <c r="AC123" s="331"/>
      <c r="AD123" s="329"/>
      <c r="AE123" s="330"/>
      <c r="AF123" s="330"/>
      <c r="AG123" s="331"/>
      <c r="AH123" s="298"/>
      <c r="AI123" s="294"/>
      <c r="AJ123" s="299"/>
    </row>
    <row r="124" spans="1:36" customFormat="1">
      <c r="A124" s="2"/>
      <c r="B124" s="560" t="s">
        <v>362</v>
      </c>
      <c r="C124" s="453" t="str">
        <f>aurora_data!A1404</f>
        <v>14.00.00-14.11.30</v>
      </c>
      <c r="D124" s="34" t="s">
        <v>306</v>
      </c>
      <c r="E124" s="39">
        <f>IFERROR(aurora_data!D1404,0)</f>
        <v>0.73</v>
      </c>
      <c r="F124" s="40">
        <f>IFERROR(aurora_data!E1404,0)</f>
        <v>1.22</v>
      </c>
      <c r="G124" s="40">
        <f>IFERROR(aurora_data!F1404,0)</f>
        <v>3.62</v>
      </c>
      <c r="H124" s="40">
        <f>IFERROR(aurora_data!G1404,0)</f>
        <v>5.68</v>
      </c>
      <c r="I124" s="41">
        <f>IFERROR(aurora_data!H1404,0)</f>
        <v>6.75</v>
      </c>
      <c r="J124" s="39">
        <f>IFERROR(aurora_data!I1404,0)</f>
        <v>1</v>
      </c>
      <c r="K124" s="40">
        <f>IFERROR(aurora_data!J1404,0)</f>
        <v>1</v>
      </c>
      <c r="L124" s="40">
        <f>IFERROR(aurora_data!K1404,0)</f>
        <v>1</v>
      </c>
      <c r="M124" s="40">
        <f>IFERROR(aurora_data!L1404,0)</f>
        <v>1</v>
      </c>
      <c r="N124" s="41">
        <f>IFERROR(aurora_data!M1404,0)</f>
        <v>1</v>
      </c>
      <c r="O124" s="39">
        <f>IFERROR(aurora_data!N1404,0)</f>
        <v>1</v>
      </c>
      <c r="P124" s="40">
        <f>IFERROR(aurora_data!O1404,0)</f>
        <v>1</v>
      </c>
      <c r="Q124" s="40">
        <f>IFERROR(aurora_data!P1404,0)</f>
        <v>1</v>
      </c>
      <c r="R124" s="41">
        <f>IFERROR(aurora_data!Q1404,0)</f>
        <v>1</v>
      </c>
      <c r="S124" s="40">
        <f>IFERROR(aurora_data!R1404,0)</f>
        <v>1</v>
      </c>
      <c r="T124" s="40">
        <f>IFERROR(aurora_data!S1404,0)</f>
        <v>1</v>
      </c>
      <c r="U124" s="41">
        <f>IFERROR(aurora_data!T1004,0)</f>
        <v>0</v>
      </c>
      <c r="V124" s="61" t="s">
        <v>354</v>
      </c>
      <c r="W124" s="39">
        <f>IFERROR(aurora_data!U1404,0)</f>
        <v>18</v>
      </c>
      <c r="X124" s="69">
        <f>IFERROR(W124/$W$124,0)</f>
        <v>1</v>
      </c>
      <c r="Y124" s="2"/>
      <c r="AA124" s="451" t="s">
        <v>338</v>
      </c>
      <c r="AB124" s="453" t="str">
        <f>aurora_data!A1404</f>
        <v>14.00.00-14.11.30</v>
      </c>
      <c r="AC124" s="34" t="s">
        <v>306</v>
      </c>
      <c r="AD124" s="39">
        <v>2</v>
      </c>
      <c r="AE124" s="40">
        <v>4</v>
      </c>
      <c r="AF124" s="40">
        <v>6</v>
      </c>
      <c r="AG124" s="333">
        <v>6</v>
      </c>
      <c r="AH124" s="61" t="s">
        <v>354</v>
      </c>
      <c r="AI124" s="39">
        <f>IFERROR(aurora_data!U1404,0)</f>
        <v>18</v>
      </c>
      <c r="AJ124" s="69">
        <f t="shared" ref="AJ124:AJ132" si="56">IFERROR(AI124/$AI$124,0)</f>
        <v>1</v>
      </c>
    </row>
    <row r="125" spans="1:36" customFormat="1">
      <c r="A125" s="2"/>
      <c r="B125" s="561"/>
      <c r="C125" s="454"/>
      <c r="D125" s="35" t="s">
        <v>339</v>
      </c>
      <c r="E125" s="113">
        <f>IFERROR(aurora_data!D1405,0)</f>
        <v>1</v>
      </c>
      <c r="F125" s="253">
        <f>IFERROR(aurora_data!E1405,0)</f>
        <v>1</v>
      </c>
      <c r="G125" s="253">
        <f>IFERROR(aurora_data!F1405,0)</f>
        <v>4</v>
      </c>
      <c r="H125" s="253">
        <f>IFERROR(aurora_data!G1405,0)</f>
        <v>6</v>
      </c>
      <c r="I125" s="254">
        <f>IFERROR(aurora_data!H1405,0)</f>
        <v>6</v>
      </c>
      <c r="J125" s="113">
        <f>IFERROR(aurora_data!I1405,0)</f>
        <v>3</v>
      </c>
      <c r="K125" s="253">
        <f>IFERROR(aurora_data!J1405,0)</f>
        <v>2</v>
      </c>
      <c r="L125" s="253">
        <f>IFERROR(aurora_data!K1405,0)</f>
        <v>4</v>
      </c>
      <c r="M125" s="253">
        <f>IFERROR(aurora_data!L1405,0)</f>
        <v>1</v>
      </c>
      <c r="N125" s="254">
        <f>IFERROR(aurora_data!M1405,0)</f>
        <v>8</v>
      </c>
      <c r="O125" s="113">
        <f>IFERROR(aurora_data!N1405,0)</f>
        <v>5</v>
      </c>
      <c r="P125" s="253">
        <f>IFERROR(aurora_data!O1405,0)</f>
        <v>3</v>
      </c>
      <c r="Q125" s="253">
        <f>IFERROR(aurora_data!P1405,0)</f>
        <v>4</v>
      </c>
      <c r="R125" s="254">
        <f>IFERROR(aurora_data!Q1405,0)</f>
        <v>6</v>
      </c>
      <c r="S125" s="253">
        <f>IFERROR(aurora_data!R1405,0)</f>
        <v>11</v>
      </c>
      <c r="T125" s="253">
        <f>IFERROR(aurora_data!S1405,0)</f>
        <v>7</v>
      </c>
      <c r="U125" s="254">
        <f>IFERROR(aurora_data!T1005,0)</f>
        <v>0</v>
      </c>
      <c r="V125" s="61" t="s">
        <v>354</v>
      </c>
      <c r="W125" s="113">
        <f>IFERROR(aurora_data!U1405,0)</f>
        <v>18</v>
      </c>
      <c r="X125" s="255">
        <f t="shared" ref="X125:X132" si="57">IFERROR(W125/$W$124,0)</f>
        <v>1</v>
      </c>
      <c r="Y125" s="2"/>
      <c r="AA125" s="452"/>
      <c r="AB125" s="454"/>
      <c r="AC125" s="35" t="s">
        <v>339</v>
      </c>
      <c r="AD125" s="113">
        <f>IFERROR(aurora_data!D1405,0)+IFERROR(aurora_data!E1405,0)</f>
        <v>2</v>
      </c>
      <c r="AE125" s="253">
        <f>IFERROR(aurora_data!F1405,0)</f>
        <v>4</v>
      </c>
      <c r="AF125" s="253">
        <f>IFERROR(aurora_data!G1405,0)</f>
        <v>6</v>
      </c>
      <c r="AG125" s="254">
        <f>IFERROR(aurora_data!H1405,0)</f>
        <v>6</v>
      </c>
      <c r="AH125" s="61" t="s">
        <v>354</v>
      </c>
      <c r="AI125" s="113">
        <f>IFERROR(aurora_data!U1405,0)</f>
        <v>18</v>
      </c>
      <c r="AJ125" s="255">
        <f t="shared" si="56"/>
        <v>1</v>
      </c>
    </row>
    <row r="126" spans="1:36" customFormat="1">
      <c r="A126" s="2"/>
      <c r="B126" s="561"/>
      <c r="C126" s="454"/>
      <c r="D126" s="35" t="s">
        <v>291</v>
      </c>
      <c r="E126" s="113">
        <f>IFERROR(aurora_data!D1406,0)</f>
        <v>1</v>
      </c>
      <c r="F126" s="253">
        <f>IFERROR(aurora_data!E1406,0)</f>
        <v>0</v>
      </c>
      <c r="G126" s="253">
        <f>IFERROR(aurora_data!F1406,0)</f>
        <v>0</v>
      </c>
      <c r="H126" s="253">
        <f>IFERROR(aurora_data!G1406,0)</f>
        <v>0</v>
      </c>
      <c r="I126" s="254">
        <f>IFERROR(aurora_data!H1406,0)</f>
        <v>1</v>
      </c>
      <c r="J126" s="113">
        <f>IFERROR(aurora_data!I1406,0)</f>
        <v>0</v>
      </c>
      <c r="K126" s="253">
        <f>IFERROR(aurora_data!J1406,0)</f>
        <v>0</v>
      </c>
      <c r="L126" s="253">
        <f>IFERROR(aurora_data!K1406,0)</f>
        <v>1</v>
      </c>
      <c r="M126" s="253">
        <f>IFERROR(aurora_data!L1406,0)</f>
        <v>0</v>
      </c>
      <c r="N126" s="254">
        <f>IFERROR(aurora_data!M1406,0)</f>
        <v>1</v>
      </c>
      <c r="O126" s="113">
        <f>IFERROR(aurora_data!N1406,0)</f>
        <v>1</v>
      </c>
      <c r="P126" s="253">
        <f>IFERROR(aurora_data!O1406,0)</f>
        <v>0</v>
      </c>
      <c r="Q126" s="253">
        <f>IFERROR(aurora_data!P1406,0)</f>
        <v>1</v>
      </c>
      <c r="R126" s="254">
        <f>IFERROR(aurora_data!Q1406,0)</f>
        <v>0</v>
      </c>
      <c r="S126" s="253">
        <f>IFERROR(aurora_data!R1406,0)</f>
        <v>2</v>
      </c>
      <c r="T126" s="253">
        <f>IFERROR(aurora_data!S1406,0)</f>
        <v>0</v>
      </c>
      <c r="U126" s="254">
        <f>IFERROR(aurora_data!T1006,0)</f>
        <v>0</v>
      </c>
      <c r="V126" s="61" t="s">
        <v>354</v>
      </c>
      <c r="W126" s="113">
        <f>IFERROR(aurora_data!U1406,0)</f>
        <v>2</v>
      </c>
      <c r="X126" s="255">
        <f t="shared" si="57"/>
        <v>0.1111111111111111</v>
      </c>
      <c r="Y126" s="2"/>
      <c r="AA126" s="452"/>
      <c r="AB126" s="454"/>
      <c r="AC126" s="35" t="s">
        <v>291</v>
      </c>
      <c r="AD126" s="113">
        <f>IFERROR(aurora_data!D1406,0)+IFERROR(aurora_data!E1406,0)</f>
        <v>1</v>
      </c>
      <c r="AE126" s="253">
        <f>IFERROR(aurora_data!F1406,0)</f>
        <v>0</v>
      </c>
      <c r="AF126" s="253">
        <f>IFERROR(aurora_data!G1406,0)</f>
        <v>0</v>
      </c>
      <c r="AG126" s="254">
        <f>IFERROR(aurora_data!H1406,0)</f>
        <v>1</v>
      </c>
      <c r="AH126" s="61" t="s">
        <v>354</v>
      </c>
      <c r="AI126" s="113">
        <f>IFERROR(aurora_data!U1406,0)</f>
        <v>2</v>
      </c>
      <c r="AJ126" s="255">
        <f t="shared" si="56"/>
        <v>0.1111111111111111</v>
      </c>
    </row>
    <row r="127" spans="1:36" customFormat="1">
      <c r="A127" s="2"/>
      <c r="B127" s="561"/>
      <c r="C127" s="454"/>
      <c r="D127" s="35" t="s">
        <v>340</v>
      </c>
      <c r="E127" s="113">
        <f>IFERROR(aurora_data!D1407,0)</f>
        <v>0</v>
      </c>
      <c r="F127" s="253">
        <f>IFERROR(aurora_data!E1407,0)</f>
        <v>0</v>
      </c>
      <c r="G127" s="253">
        <f>IFERROR(aurora_data!F1407,0)</f>
        <v>0</v>
      </c>
      <c r="H127" s="253">
        <f>IFERROR(aurora_data!G1407,0)</f>
        <v>0</v>
      </c>
      <c r="I127" s="254">
        <f>IFERROR(aurora_data!H1407,0)</f>
        <v>0</v>
      </c>
      <c r="J127" s="113">
        <f>IFERROR(aurora_data!I1407,0)</f>
        <v>0</v>
      </c>
      <c r="K127" s="253">
        <f>IFERROR(aurora_data!J1407,0)</f>
        <v>0</v>
      </c>
      <c r="L127" s="253">
        <f>IFERROR(aurora_data!K1407,0)</f>
        <v>0</v>
      </c>
      <c r="M127" s="253">
        <f>IFERROR(aurora_data!L1407,0)</f>
        <v>0</v>
      </c>
      <c r="N127" s="254">
        <f>IFERROR(aurora_data!M1407,0)</f>
        <v>0</v>
      </c>
      <c r="O127" s="113">
        <f>IFERROR(aurora_data!N1407,0)</f>
        <v>0</v>
      </c>
      <c r="P127" s="253">
        <f>IFERROR(aurora_data!O1407,0)</f>
        <v>0</v>
      </c>
      <c r="Q127" s="253">
        <f>IFERROR(aurora_data!P1407,0)</f>
        <v>0</v>
      </c>
      <c r="R127" s="254">
        <f>IFERROR(aurora_data!Q1407,0)</f>
        <v>0</v>
      </c>
      <c r="S127" s="253">
        <f>IFERROR(aurora_data!R1407,0)</f>
        <v>0</v>
      </c>
      <c r="T127" s="253">
        <f>IFERROR(aurora_data!S1407,0)</f>
        <v>0</v>
      </c>
      <c r="U127" s="254">
        <f>IFERROR(aurora_data!T1007,0)</f>
        <v>0</v>
      </c>
      <c r="V127" s="61" t="s">
        <v>354</v>
      </c>
      <c r="W127" s="113">
        <f>IFERROR(aurora_data!U1407,0)</f>
        <v>0</v>
      </c>
      <c r="X127" s="255">
        <f t="shared" si="57"/>
        <v>0</v>
      </c>
      <c r="Y127" s="2"/>
      <c r="AA127" s="452"/>
      <c r="AB127" s="454"/>
      <c r="AC127" s="35" t="s">
        <v>340</v>
      </c>
      <c r="AD127" s="113">
        <f>IFERROR(aurora_data!D1407,0)+IFERROR(aurora_data!E1407,0)</f>
        <v>0</v>
      </c>
      <c r="AE127" s="253">
        <f>IFERROR(aurora_data!F1407,0)</f>
        <v>0</v>
      </c>
      <c r="AF127" s="253">
        <f>IFERROR(aurora_data!G1407,0)</f>
        <v>0</v>
      </c>
      <c r="AG127" s="254">
        <f>IFERROR(aurora_data!H1407,0)</f>
        <v>0</v>
      </c>
      <c r="AH127" s="61" t="s">
        <v>354</v>
      </c>
      <c r="AI127" s="113">
        <f>IFERROR(aurora_data!U1407,0)</f>
        <v>0</v>
      </c>
      <c r="AJ127" s="255">
        <f t="shared" si="56"/>
        <v>0</v>
      </c>
    </row>
    <row r="128" spans="1:36" customFormat="1">
      <c r="A128" s="2"/>
      <c r="B128" s="561"/>
      <c r="C128" s="454"/>
      <c r="D128" s="35" t="s">
        <v>298</v>
      </c>
      <c r="E128" s="113">
        <f>IFERROR(aurora_data!D1408,0)</f>
        <v>0</v>
      </c>
      <c r="F128" s="253">
        <f>IFERROR(aurora_data!E1408,0)</f>
        <v>0</v>
      </c>
      <c r="G128" s="253">
        <f>IFERROR(aurora_data!F1408,0)</f>
        <v>0</v>
      </c>
      <c r="H128" s="253">
        <f>IFERROR(aurora_data!G1408,0)</f>
        <v>0</v>
      </c>
      <c r="I128" s="254">
        <f>IFERROR(aurora_data!H1408,0)</f>
        <v>0</v>
      </c>
      <c r="J128" s="113">
        <f>IFERROR(aurora_data!I1408,0)</f>
        <v>0</v>
      </c>
      <c r="K128" s="253">
        <f>IFERROR(aurora_data!J1408,0)</f>
        <v>0</v>
      </c>
      <c r="L128" s="253">
        <f>IFERROR(aurora_data!K1408,0)</f>
        <v>0</v>
      </c>
      <c r="M128" s="253">
        <f>IFERROR(aurora_data!L1408,0)</f>
        <v>0</v>
      </c>
      <c r="N128" s="254">
        <f>IFERROR(aurora_data!M1408,0)</f>
        <v>0</v>
      </c>
      <c r="O128" s="113">
        <f>IFERROR(aurora_data!N1408,0)</f>
        <v>0</v>
      </c>
      <c r="P128" s="253">
        <f>IFERROR(aurora_data!O1408,0)</f>
        <v>0</v>
      </c>
      <c r="Q128" s="253">
        <f>IFERROR(aurora_data!P1408,0)</f>
        <v>0</v>
      </c>
      <c r="R128" s="254">
        <f>IFERROR(aurora_data!Q1408,0)</f>
        <v>0</v>
      </c>
      <c r="S128" s="253">
        <f>IFERROR(aurora_data!R1408,0)</f>
        <v>0</v>
      </c>
      <c r="T128" s="253">
        <f>IFERROR(aurora_data!S1408,0)</f>
        <v>0</v>
      </c>
      <c r="U128" s="254">
        <f>IFERROR(aurora_data!T1008,0)</f>
        <v>0</v>
      </c>
      <c r="V128" s="61" t="s">
        <v>354</v>
      </c>
      <c r="W128" s="113">
        <f>IFERROR(aurora_data!U1408,0)</f>
        <v>0</v>
      </c>
      <c r="X128" s="255">
        <f t="shared" si="57"/>
        <v>0</v>
      </c>
      <c r="Y128" s="2"/>
      <c r="AA128" s="452"/>
      <c r="AB128" s="454"/>
      <c r="AC128" s="35" t="s">
        <v>298</v>
      </c>
      <c r="AD128" s="113">
        <f>IFERROR(aurora_data!D1408,0)+IFERROR(aurora_data!E1408,0)</f>
        <v>0</v>
      </c>
      <c r="AE128" s="253">
        <f>IFERROR(aurora_data!F1408,0)</f>
        <v>0</v>
      </c>
      <c r="AF128" s="253">
        <f>IFERROR(aurora_data!G1408,0)</f>
        <v>0</v>
      </c>
      <c r="AG128" s="254">
        <f>IFERROR(aurora_data!H1408,0)</f>
        <v>0</v>
      </c>
      <c r="AH128" s="61" t="s">
        <v>354</v>
      </c>
      <c r="AI128" s="113">
        <f>IFERROR(aurora_data!U1408,0)</f>
        <v>0</v>
      </c>
      <c r="AJ128" s="255">
        <f t="shared" si="56"/>
        <v>0</v>
      </c>
    </row>
    <row r="129" spans="1:36" customFormat="1">
      <c r="A129" s="2"/>
      <c r="B129" s="561"/>
      <c r="C129" s="454"/>
      <c r="D129" s="35" t="s">
        <v>341</v>
      </c>
      <c r="E129" s="113">
        <f>IFERROR(aurora_data!D1409,0)</f>
        <v>0</v>
      </c>
      <c r="F129" s="253">
        <f>IFERROR(aurora_data!E1409,0)</f>
        <v>0</v>
      </c>
      <c r="G129" s="253">
        <f>IFERROR(aurora_data!F1409,0)</f>
        <v>0</v>
      </c>
      <c r="H129" s="253">
        <f>IFERROR(aurora_data!G1409,0)</f>
        <v>0</v>
      </c>
      <c r="I129" s="254">
        <f>IFERROR(aurora_data!H1409,0)</f>
        <v>0</v>
      </c>
      <c r="J129" s="113">
        <f>IFERROR(aurora_data!I1409,0)</f>
        <v>0</v>
      </c>
      <c r="K129" s="253">
        <f>IFERROR(aurora_data!J1409,0)</f>
        <v>0</v>
      </c>
      <c r="L129" s="253">
        <f>IFERROR(aurora_data!K1409,0)</f>
        <v>0</v>
      </c>
      <c r="M129" s="253">
        <f>IFERROR(aurora_data!L1409,0)</f>
        <v>0</v>
      </c>
      <c r="N129" s="254">
        <f>IFERROR(aurora_data!M1409,0)</f>
        <v>0</v>
      </c>
      <c r="O129" s="113">
        <f>IFERROR(aurora_data!N1409,0)</f>
        <v>0</v>
      </c>
      <c r="P129" s="253">
        <f>IFERROR(aurora_data!O1409,0)</f>
        <v>0</v>
      </c>
      <c r="Q129" s="253">
        <f>IFERROR(aurora_data!P1409,0)</f>
        <v>0</v>
      </c>
      <c r="R129" s="254">
        <f>IFERROR(aurora_data!Q1409,0)</f>
        <v>0</v>
      </c>
      <c r="S129" s="253">
        <f>IFERROR(aurora_data!R1409,0)</f>
        <v>0</v>
      </c>
      <c r="T129" s="253">
        <f>IFERROR(aurora_data!S1409,0)</f>
        <v>0</v>
      </c>
      <c r="U129" s="254">
        <f>IFERROR(aurora_data!T1009,0)</f>
        <v>0</v>
      </c>
      <c r="V129" s="61" t="s">
        <v>354</v>
      </c>
      <c r="W129" s="113">
        <f>IFERROR(aurora_data!U1409,0)</f>
        <v>0</v>
      </c>
      <c r="X129" s="255">
        <f t="shared" si="57"/>
        <v>0</v>
      </c>
      <c r="Y129" s="2"/>
      <c r="AA129" s="452"/>
      <c r="AB129" s="454"/>
      <c r="AC129" s="35" t="s">
        <v>341</v>
      </c>
      <c r="AD129" s="113">
        <f>IFERROR(aurora_data!D1409,0)+IFERROR(aurora_data!E1409,0)</f>
        <v>0</v>
      </c>
      <c r="AE129" s="253">
        <f>IFERROR(aurora_data!F1409,0)</f>
        <v>0</v>
      </c>
      <c r="AF129" s="253">
        <f>IFERROR(aurora_data!G1409,0)</f>
        <v>0</v>
      </c>
      <c r="AG129" s="254">
        <f>IFERROR(aurora_data!H1409,0)</f>
        <v>0</v>
      </c>
      <c r="AH129" s="61" t="s">
        <v>354</v>
      </c>
      <c r="AI129" s="113">
        <f>IFERROR(aurora_data!U1409,0)</f>
        <v>0</v>
      </c>
      <c r="AJ129" s="255">
        <f t="shared" si="56"/>
        <v>0</v>
      </c>
    </row>
    <row r="130" spans="1:36" customFormat="1" ht="16.5" thickBot="1">
      <c r="A130" s="2"/>
      <c r="B130" s="561"/>
      <c r="C130" s="454"/>
      <c r="D130" s="35" t="s">
        <v>342</v>
      </c>
      <c r="E130" s="113">
        <f>IFERROR(aurora_data!D1410,0)</f>
        <v>0</v>
      </c>
      <c r="F130" s="253">
        <f>IFERROR(aurora_data!E1410,0)</f>
        <v>0</v>
      </c>
      <c r="G130" s="253">
        <f>IFERROR(aurora_data!F1410,0)</f>
        <v>0</v>
      </c>
      <c r="H130" s="253">
        <f>IFERROR(aurora_data!G1410,0)</f>
        <v>0</v>
      </c>
      <c r="I130" s="254">
        <f>IFERROR(aurora_data!H1410,0)</f>
        <v>0</v>
      </c>
      <c r="J130" s="113">
        <f>IFERROR(aurora_data!I1410,0)</f>
        <v>0</v>
      </c>
      <c r="K130" s="253">
        <f>IFERROR(aurora_data!J1410,0)</f>
        <v>0</v>
      </c>
      <c r="L130" s="253">
        <f>IFERROR(aurora_data!K1410,0)</f>
        <v>0</v>
      </c>
      <c r="M130" s="253">
        <f>IFERROR(aurora_data!L1410,0)</f>
        <v>0</v>
      </c>
      <c r="N130" s="254">
        <f>IFERROR(aurora_data!M1410,0)</f>
        <v>0</v>
      </c>
      <c r="O130" s="113">
        <f>IFERROR(aurora_data!N1410,0)</f>
        <v>0</v>
      </c>
      <c r="P130" s="253">
        <f>IFERROR(aurora_data!O1410,0)</f>
        <v>0</v>
      </c>
      <c r="Q130" s="253">
        <f>IFERROR(aurora_data!P1410,0)</f>
        <v>0</v>
      </c>
      <c r="R130" s="254">
        <f>IFERROR(aurora_data!Q1410,0)</f>
        <v>0</v>
      </c>
      <c r="S130" s="253">
        <f>IFERROR(aurora_data!R1410,0)</f>
        <v>0</v>
      </c>
      <c r="T130" s="253">
        <f>IFERROR(aurora_data!S1410,0)</f>
        <v>0</v>
      </c>
      <c r="U130" s="254">
        <f>IFERROR(aurora_data!T1010,0)</f>
        <v>0</v>
      </c>
      <c r="V130" s="61" t="s">
        <v>354</v>
      </c>
      <c r="W130" s="113">
        <f>IFERROR(aurora_data!U1410,0)</f>
        <v>0</v>
      </c>
      <c r="X130" s="255">
        <f t="shared" si="57"/>
        <v>0</v>
      </c>
      <c r="Y130" s="2"/>
      <c r="AA130" s="452"/>
      <c r="AB130" s="454"/>
      <c r="AC130" s="35" t="s">
        <v>342</v>
      </c>
      <c r="AD130" s="113">
        <f>IFERROR(aurora_data!D1410,0)+IFERROR(aurora_data!E1410,0)</f>
        <v>0</v>
      </c>
      <c r="AE130" s="253">
        <f>IFERROR(aurora_data!F1410,0)</f>
        <v>0</v>
      </c>
      <c r="AF130" s="253">
        <f>IFERROR(aurora_data!G1410,0)</f>
        <v>0</v>
      </c>
      <c r="AG130" s="254">
        <f>IFERROR(aurora_data!H1410,0)</f>
        <v>0</v>
      </c>
      <c r="AH130" s="61" t="s">
        <v>354</v>
      </c>
      <c r="AI130" s="113">
        <f>IFERROR(aurora_data!U1410,0)</f>
        <v>0</v>
      </c>
      <c r="AJ130" s="255">
        <f t="shared" si="56"/>
        <v>0</v>
      </c>
    </row>
    <row r="131" spans="1:36" customFormat="1" ht="16.5" thickBot="1">
      <c r="A131" s="2"/>
      <c r="B131" s="561"/>
      <c r="C131" s="454"/>
      <c r="D131" s="37" t="s">
        <v>17</v>
      </c>
      <c r="E131" s="59">
        <f>IFERROR(aurora_data!D1411,0)</f>
        <v>2</v>
      </c>
      <c r="F131" s="64">
        <f>IFERROR(aurora_data!E1411,0)</f>
        <v>1</v>
      </c>
      <c r="G131" s="64">
        <f>IFERROR(aurora_data!F1411,0)</f>
        <v>4</v>
      </c>
      <c r="H131" s="64">
        <f>IFERROR(aurora_data!G1411,0)</f>
        <v>6</v>
      </c>
      <c r="I131" s="65">
        <f>IFERROR(aurora_data!H1411,0)</f>
        <v>7</v>
      </c>
      <c r="J131" s="59">
        <f>IFERROR(aurora_data!I1411,0)</f>
        <v>3</v>
      </c>
      <c r="K131" s="64">
        <f>IFERROR(aurora_data!J1411,0)</f>
        <v>2</v>
      </c>
      <c r="L131" s="64">
        <f>IFERROR(aurora_data!K1411,0)</f>
        <v>5</v>
      </c>
      <c r="M131" s="64">
        <f>IFERROR(aurora_data!L1411,0)</f>
        <v>1</v>
      </c>
      <c r="N131" s="65">
        <f>IFERROR(aurora_data!M1411,0)</f>
        <v>9</v>
      </c>
      <c r="O131" s="59">
        <f>IFERROR(aurora_data!N1411,0)</f>
        <v>6</v>
      </c>
      <c r="P131" s="64">
        <f>IFERROR(aurora_data!O1411,0)</f>
        <v>3</v>
      </c>
      <c r="Q131" s="64">
        <f>IFERROR(aurora_data!P1411,0)</f>
        <v>5</v>
      </c>
      <c r="R131" s="65">
        <f>IFERROR(aurora_data!Q1411,0)</f>
        <v>6</v>
      </c>
      <c r="S131" s="64">
        <f>IFERROR(aurora_data!R1411,0)</f>
        <v>13</v>
      </c>
      <c r="T131" s="64">
        <f>IFERROR(aurora_data!S1411,0)</f>
        <v>7</v>
      </c>
      <c r="U131" s="65">
        <f>IFERROR(aurora_data!T1011,0)</f>
        <v>0</v>
      </c>
      <c r="V131" s="66" t="s">
        <v>354</v>
      </c>
      <c r="W131" s="59">
        <f>IFERROR(aurora_data!U1411,0)</f>
        <v>20</v>
      </c>
      <c r="X131" s="70">
        <f t="shared" si="57"/>
        <v>1.1111111111111112</v>
      </c>
      <c r="Y131" s="2"/>
      <c r="AA131" s="452"/>
      <c r="AB131" s="454"/>
      <c r="AC131" s="360" t="s">
        <v>17</v>
      </c>
      <c r="AD131" s="59">
        <f>IFERROR(aurora_data!D1411,0)+IFERROR(aurora_data!E1411,0)</f>
        <v>3</v>
      </c>
      <c r="AE131" s="64">
        <f>IFERROR(aurora_data!F1411,0)</f>
        <v>4</v>
      </c>
      <c r="AF131" s="64">
        <f>IFERROR(aurora_data!G1411,0)</f>
        <v>6</v>
      </c>
      <c r="AG131" s="65">
        <f>IFERROR(aurora_data!H1411,0)</f>
        <v>7</v>
      </c>
      <c r="AH131" s="66" t="s">
        <v>354</v>
      </c>
      <c r="AI131" s="59">
        <f>IFERROR(aurora_data!U1411,0)</f>
        <v>20</v>
      </c>
      <c r="AJ131" s="70">
        <f t="shared" si="56"/>
        <v>1.1111111111111112</v>
      </c>
    </row>
    <row r="132" spans="1:36" customFormat="1" ht="16.5" thickBot="1">
      <c r="A132" s="2"/>
      <c r="B132" s="561"/>
      <c r="C132" s="454"/>
      <c r="D132" s="38" t="s">
        <v>343</v>
      </c>
      <c r="E132" s="256">
        <f>IFERROR(aurora_data!D1412,0)</f>
        <v>0</v>
      </c>
      <c r="F132" s="257">
        <f>IFERROR(aurora_data!E1412,0)</f>
        <v>0</v>
      </c>
      <c r="G132" s="257">
        <f>IFERROR(aurora_data!F1412,0)</f>
        <v>0</v>
      </c>
      <c r="H132" s="257">
        <f>IFERROR(aurora_data!G1412,0)</f>
        <v>0</v>
      </c>
      <c r="I132" s="258">
        <f>IFERROR(aurora_data!H1412,0)</f>
        <v>0</v>
      </c>
      <c r="J132" s="256">
        <f>IFERROR(aurora_data!I1412,0)</f>
        <v>0</v>
      </c>
      <c r="K132" s="257">
        <f>IFERROR(aurora_data!J1412,0)</f>
        <v>0</v>
      </c>
      <c r="L132" s="257">
        <f>IFERROR(aurora_data!K1412,0)</f>
        <v>0</v>
      </c>
      <c r="M132" s="257">
        <f>IFERROR(aurora_data!L1412,0)</f>
        <v>0</v>
      </c>
      <c r="N132" s="258">
        <f>IFERROR(aurora_data!M1412,0)</f>
        <v>0</v>
      </c>
      <c r="O132" s="256">
        <f>IFERROR(aurora_data!N1412,0)</f>
        <v>0</v>
      </c>
      <c r="P132" s="257">
        <f>IFERROR(aurora_data!O1412,0)</f>
        <v>0</v>
      </c>
      <c r="Q132" s="257">
        <f>IFERROR(aurora_data!P1412,0)</f>
        <v>0</v>
      </c>
      <c r="R132" s="258">
        <f>IFERROR(aurora_data!Q1412,0)</f>
        <v>0</v>
      </c>
      <c r="S132" s="257">
        <f>IFERROR(aurora_data!R1412,0)</f>
        <v>0</v>
      </c>
      <c r="T132" s="257">
        <f>IFERROR(aurora_data!S1412,0)</f>
        <v>0</v>
      </c>
      <c r="U132" s="259">
        <f>IFERROR(aurora_data!T1012,0)</f>
        <v>0</v>
      </c>
      <c r="V132" s="260" t="s">
        <v>354</v>
      </c>
      <c r="W132" s="256">
        <f>IFERROR(aurora_data!U1412,0)</f>
        <v>0</v>
      </c>
      <c r="X132" s="261">
        <f t="shared" si="57"/>
        <v>0</v>
      </c>
      <c r="Y132" s="2"/>
      <c r="AA132" s="452"/>
      <c r="AB132" s="454"/>
      <c r="AC132" s="38" t="s">
        <v>343</v>
      </c>
      <c r="AD132" s="256">
        <f>IFERROR(aurora_data!D1412,0)+IFERROR(aurora_data!E1412,0)</f>
        <v>0</v>
      </c>
      <c r="AE132" s="257">
        <f>IFERROR(aurora_data!F1412,0)</f>
        <v>0</v>
      </c>
      <c r="AF132" s="257">
        <f>IFERROR(aurora_data!G1412,0)</f>
        <v>0</v>
      </c>
      <c r="AG132" s="258">
        <f>IFERROR(aurora_data!H1412,0)</f>
        <v>0</v>
      </c>
      <c r="AH132" s="260" t="s">
        <v>354</v>
      </c>
      <c r="AI132" s="256">
        <f>IFERROR(aurora_data!U1412,0)</f>
        <v>0</v>
      </c>
      <c r="AJ132" s="261">
        <f t="shared" si="56"/>
        <v>0</v>
      </c>
    </row>
    <row r="133" spans="1:36" customFormat="1" ht="16.5" outlineLevel="1" thickBot="1">
      <c r="A133" s="2"/>
      <c r="B133" s="147"/>
      <c r="C133" s="227"/>
      <c r="D133" s="199" t="s">
        <v>344</v>
      </c>
      <c r="E133" s="276">
        <f>(E135+$E$9)*($W124)</f>
        <v>1.0900000000000001</v>
      </c>
      <c r="F133" s="277">
        <f>(F135+$E$9)*($W124)</f>
        <v>1.5799999999999998</v>
      </c>
      <c r="G133" s="277">
        <f>(G135+$E$9)*($W124)</f>
        <v>3.98</v>
      </c>
      <c r="H133" s="277">
        <f>(H135+$E$9)*($W124)</f>
        <v>6.04</v>
      </c>
      <c r="I133" s="277">
        <f>(I135+$E$9)*($W124)</f>
        <v>7.11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A133" s="147"/>
      <c r="AB133" s="227"/>
      <c r="AC133" s="297"/>
      <c r="AD133" s="327"/>
      <c r="AE133" s="328"/>
      <c r="AF133" s="328"/>
      <c r="AG133" s="297"/>
      <c r="AH133" s="298"/>
      <c r="AI133" s="294"/>
      <c r="AJ133" s="299"/>
    </row>
    <row r="134" spans="1:36" customFormat="1" ht="16.5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0.61999999999999988</v>
      </c>
      <c r="F134" s="277">
        <f>IF(ROUND(((F135-$E$9)*($W124))+0.25,0) &lt;=0,1,((F135-$E$9)*($W124))+0.25)</f>
        <v>1.1099999999999999</v>
      </c>
      <c r="G134" s="277">
        <f t="shared" ref="G134:I134" si="58">IF(ROUND(((G135-$E$9)*($W124))+0.25,0) &lt;=0,1,((G135-$E$9)*($W124))+0.25)</f>
        <v>3.5100000000000007</v>
      </c>
      <c r="H134" s="277">
        <f t="shared" si="58"/>
        <v>5.5699999999999994</v>
      </c>
      <c r="I134" s="277">
        <f t="shared" si="58"/>
        <v>6.64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A134" s="147"/>
      <c r="AB134" s="227"/>
      <c r="AC134" s="296"/>
      <c r="AD134" s="294"/>
      <c r="AE134" s="295"/>
      <c r="AF134" s="295"/>
      <c r="AG134" s="296"/>
      <c r="AH134" s="298"/>
      <c r="AI134" s="294"/>
      <c r="AJ134" s="299"/>
    </row>
    <row r="135" spans="1:36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4.0555555555555553E-2</v>
      </c>
      <c r="F135" s="415">
        <f t="shared" ref="F135" si="59">IFERROR(F124/$W124,0)</f>
        <v>6.777777777777777E-2</v>
      </c>
      <c r="G135" s="415">
        <f>IFERROR(G124/$W124,0)</f>
        <v>0.20111111111111113</v>
      </c>
      <c r="H135" s="415">
        <f t="shared" ref="H135" si="60">IFERROR(H124/$W124,0)</f>
        <v>0.31555555555555553</v>
      </c>
      <c r="I135" s="415">
        <f>IFERROR(I124/$W124,0)</f>
        <v>0.375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A135" s="147"/>
      <c r="AB135" s="227"/>
      <c r="AC135" s="296"/>
      <c r="AD135" s="294"/>
      <c r="AE135" s="295"/>
      <c r="AF135" s="295"/>
      <c r="AG135" s="296"/>
      <c r="AH135" s="298"/>
      <c r="AI135" s="294"/>
      <c r="AJ135" s="299"/>
    </row>
    <row r="136" spans="1:36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5.5555555555555552E-2</v>
      </c>
      <c r="F136" s="415">
        <f t="shared" ref="F136:I136" si="61">IFERROR(F125/$W124,0)</f>
        <v>5.5555555555555552E-2</v>
      </c>
      <c r="G136" s="415">
        <f t="shared" si="61"/>
        <v>0.22222222222222221</v>
      </c>
      <c r="H136" s="415">
        <f t="shared" si="61"/>
        <v>0.33333333333333331</v>
      </c>
      <c r="I136" s="415">
        <f t="shared" si="61"/>
        <v>0.33333333333333331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A136" s="147"/>
      <c r="AB136" s="227"/>
      <c r="AC136" s="296"/>
      <c r="AD136" s="294"/>
      <c r="AE136" s="295"/>
      <c r="AF136" s="295"/>
      <c r="AG136" s="296"/>
      <c r="AH136" s="298"/>
      <c r="AI136" s="294"/>
      <c r="AJ136" s="299"/>
    </row>
    <row r="137" spans="1:36" customFormat="1" ht="16.5" hidden="1" outlineLevel="1" thickBot="1">
      <c r="A137" s="2"/>
      <c r="B137" s="147"/>
      <c r="C137" s="227"/>
      <c r="D137" s="180" t="s">
        <v>348</v>
      </c>
      <c r="E137" s="414">
        <f>E136-E135</f>
        <v>1.4999999999999999E-2</v>
      </c>
      <c r="F137" s="415">
        <f t="shared" ref="F137:I137" si="62">F136-F135</f>
        <v>-1.2222222222222218E-2</v>
      </c>
      <c r="G137" s="415">
        <f t="shared" si="62"/>
        <v>2.1111111111111081E-2</v>
      </c>
      <c r="H137" s="415">
        <f t="shared" si="62"/>
        <v>1.7777777777777781E-2</v>
      </c>
      <c r="I137" s="415">
        <f t="shared" si="62"/>
        <v>-4.1666666666666685E-2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A137" s="147"/>
      <c r="AB137" s="227"/>
      <c r="AC137" s="331"/>
      <c r="AD137" s="329"/>
      <c r="AE137" s="330"/>
      <c r="AF137" s="330"/>
      <c r="AG137" s="331"/>
      <c r="AH137" s="298"/>
      <c r="AI137" s="294"/>
      <c r="AJ137" s="299"/>
    </row>
    <row r="138" spans="1:36" customFormat="1">
      <c r="A138" s="2"/>
      <c r="B138" s="560" t="s">
        <v>362</v>
      </c>
      <c r="C138" s="453" t="str">
        <f>aurora_data!A1413</f>
        <v>15.00.00-15.11.30</v>
      </c>
      <c r="D138" s="34" t="s">
        <v>306</v>
      </c>
      <c r="E138" s="39">
        <f>IFERROR(aurora_data!D1413,0)</f>
        <v>0.71</v>
      </c>
      <c r="F138" s="40">
        <f>IFERROR(aurora_data!E1413,0)</f>
        <v>1.21</v>
      </c>
      <c r="G138" s="40">
        <f>IFERROR(aurora_data!F1413,0)</f>
        <v>3.58</v>
      </c>
      <c r="H138" s="40">
        <f>IFERROR(aurora_data!G1413,0)</f>
        <v>5.64</v>
      </c>
      <c r="I138" s="41">
        <f>IFERROR(aurora_data!H1413,0)</f>
        <v>6.85</v>
      </c>
      <c r="J138" s="39">
        <f>IFERROR(aurora_data!I1413,0)</f>
        <v>1</v>
      </c>
      <c r="K138" s="40">
        <f>IFERROR(aurora_data!J1413,0)</f>
        <v>1</v>
      </c>
      <c r="L138" s="40">
        <f>IFERROR(aurora_data!K1413,0)</f>
        <v>1</v>
      </c>
      <c r="M138" s="40">
        <f>IFERROR(aurora_data!L1413,0)</f>
        <v>1</v>
      </c>
      <c r="N138" s="41">
        <f>IFERROR(aurora_data!M1413,0)</f>
        <v>1</v>
      </c>
      <c r="O138" s="39">
        <f>IFERROR(aurora_data!N1413,0)</f>
        <v>1</v>
      </c>
      <c r="P138" s="40">
        <f>IFERROR(aurora_data!O1413,0)</f>
        <v>1</v>
      </c>
      <c r="Q138" s="40">
        <f>IFERROR(aurora_data!P1413,0)</f>
        <v>1</v>
      </c>
      <c r="R138" s="41">
        <f>IFERROR(aurora_data!Q1413,0)</f>
        <v>1</v>
      </c>
      <c r="S138" s="40">
        <f>IFERROR(aurora_data!R1413,0)</f>
        <v>1</v>
      </c>
      <c r="T138" s="40">
        <f>IFERROR(aurora_data!S1413,0)</f>
        <v>1</v>
      </c>
      <c r="U138" s="41">
        <f>IFERROR(aurora_data!T1013,0)</f>
        <v>0</v>
      </c>
      <c r="V138" s="61" t="s">
        <v>354</v>
      </c>
      <c r="W138" s="39">
        <f>IFERROR(aurora_data!U1413,0)</f>
        <v>18</v>
      </c>
      <c r="X138" s="69">
        <f>IFERROR(W138/$W$138,0)</f>
        <v>1</v>
      </c>
      <c r="Y138" s="2"/>
      <c r="AA138" s="451" t="s">
        <v>338</v>
      </c>
      <c r="AB138" s="453" t="str">
        <f>aurora_data!A1413</f>
        <v>15.00.00-15.11.30</v>
      </c>
      <c r="AC138" s="34" t="s">
        <v>306</v>
      </c>
      <c r="AD138" s="39">
        <v>2</v>
      </c>
      <c r="AE138" s="40">
        <v>4</v>
      </c>
      <c r="AF138" s="40">
        <v>6</v>
      </c>
      <c r="AG138" s="333">
        <v>6</v>
      </c>
      <c r="AH138" s="61" t="s">
        <v>354</v>
      </c>
      <c r="AI138" s="39">
        <f>IFERROR(aurora_data!U1413,0)</f>
        <v>18</v>
      </c>
      <c r="AJ138" s="69">
        <f t="shared" ref="AJ138:AJ146" si="63">IFERROR(AI138/$AI$138,0)</f>
        <v>1</v>
      </c>
    </row>
    <row r="139" spans="1:36" customFormat="1">
      <c r="A139" s="2"/>
      <c r="B139" s="561"/>
      <c r="C139" s="454"/>
      <c r="D139" s="35" t="s">
        <v>339</v>
      </c>
      <c r="E139" s="113">
        <f>IFERROR(aurora_data!D1414,0)</f>
        <v>1</v>
      </c>
      <c r="F139" s="253">
        <f>IFERROR(aurora_data!E1414,0)</f>
        <v>1</v>
      </c>
      <c r="G139" s="253">
        <f>IFERROR(aurora_data!F1414,0)</f>
        <v>4</v>
      </c>
      <c r="H139" s="253">
        <f>IFERROR(aurora_data!G1414,0)</f>
        <v>6</v>
      </c>
      <c r="I139" s="254">
        <f>IFERROR(aurora_data!H1414,0)</f>
        <v>6</v>
      </c>
      <c r="J139" s="113">
        <f>IFERROR(aurora_data!I1414,0)</f>
        <v>1</v>
      </c>
      <c r="K139" s="253">
        <f>IFERROR(aurora_data!J1414,0)</f>
        <v>3</v>
      </c>
      <c r="L139" s="253">
        <f>IFERROR(aurora_data!K1414,0)</f>
        <v>3</v>
      </c>
      <c r="M139" s="253">
        <f>IFERROR(aurora_data!L1414,0)</f>
        <v>2</v>
      </c>
      <c r="N139" s="254">
        <f>IFERROR(aurora_data!M1414,0)</f>
        <v>9</v>
      </c>
      <c r="O139" s="113">
        <f>IFERROR(aurora_data!N1414,0)</f>
        <v>7</v>
      </c>
      <c r="P139" s="253">
        <f>IFERROR(aurora_data!O1414,0)</f>
        <v>3</v>
      </c>
      <c r="Q139" s="253">
        <f>IFERROR(aurora_data!P1414,0)</f>
        <v>7</v>
      </c>
      <c r="R139" s="254">
        <f>IFERROR(aurora_data!Q1414,0)</f>
        <v>1</v>
      </c>
      <c r="S139" s="253">
        <f>IFERROR(aurora_data!R1414,0)</f>
        <v>11</v>
      </c>
      <c r="T139" s="253">
        <f>IFERROR(aurora_data!S1414,0)</f>
        <v>7</v>
      </c>
      <c r="U139" s="254">
        <f>IFERROR(aurora_data!T1014,0)</f>
        <v>0</v>
      </c>
      <c r="V139" s="61" t="s">
        <v>354</v>
      </c>
      <c r="W139" s="113">
        <f>IFERROR(aurora_data!U1414,0)</f>
        <v>18</v>
      </c>
      <c r="X139" s="255">
        <f t="shared" ref="X139:X146" si="64">IFERROR(W139/$W$138,0)</f>
        <v>1</v>
      </c>
      <c r="Y139" s="2"/>
      <c r="AA139" s="452"/>
      <c r="AB139" s="454"/>
      <c r="AC139" s="35" t="s">
        <v>339</v>
      </c>
      <c r="AD139" s="113">
        <f>IFERROR(aurora_data!D1414,0)+IFERROR(aurora_data!E1414,0)</f>
        <v>2</v>
      </c>
      <c r="AE139" s="253">
        <f>IFERROR(aurora_data!F1414,0)</f>
        <v>4</v>
      </c>
      <c r="AF139" s="253">
        <f>IFERROR(aurora_data!G1414,0)</f>
        <v>6</v>
      </c>
      <c r="AG139" s="254">
        <f>IFERROR(aurora_data!H1414,0)</f>
        <v>6</v>
      </c>
      <c r="AH139" s="61" t="s">
        <v>354</v>
      </c>
      <c r="AI139" s="113">
        <f>IFERROR(aurora_data!U1414,0)</f>
        <v>18</v>
      </c>
      <c r="AJ139" s="255">
        <f t="shared" si="63"/>
        <v>1</v>
      </c>
    </row>
    <row r="140" spans="1:36" customFormat="1">
      <c r="A140" s="2"/>
      <c r="B140" s="561"/>
      <c r="C140" s="454"/>
      <c r="D140" s="35" t="s">
        <v>291</v>
      </c>
      <c r="E140" s="113">
        <f>IFERROR(aurora_data!D1415,0)</f>
        <v>0</v>
      </c>
      <c r="F140" s="253">
        <f>IFERROR(aurora_data!E1415,0)</f>
        <v>1</v>
      </c>
      <c r="G140" s="253">
        <f>IFERROR(aurora_data!F1415,0)</f>
        <v>0</v>
      </c>
      <c r="H140" s="253">
        <f>IFERROR(aurora_data!G1415,0)</f>
        <v>0</v>
      </c>
      <c r="I140" s="254">
        <f>IFERROR(aurora_data!H1415,0)</f>
        <v>1</v>
      </c>
      <c r="J140" s="113">
        <f>IFERROR(aurora_data!I1415,0)</f>
        <v>0</v>
      </c>
      <c r="K140" s="253">
        <f>IFERROR(aurora_data!J1415,0)</f>
        <v>0</v>
      </c>
      <c r="L140" s="253">
        <f>IFERROR(aurora_data!K1415,0)</f>
        <v>1</v>
      </c>
      <c r="M140" s="253">
        <f>IFERROR(aurora_data!L1415,0)</f>
        <v>0</v>
      </c>
      <c r="N140" s="254">
        <f>IFERROR(aurora_data!M1415,0)</f>
        <v>1</v>
      </c>
      <c r="O140" s="113">
        <f>IFERROR(aurora_data!N1415,0)</f>
        <v>0</v>
      </c>
      <c r="P140" s="253">
        <f>IFERROR(aurora_data!O1415,0)</f>
        <v>0</v>
      </c>
      <c r="Q140" s="253">
        <f>IFERROR(aurora_data!P1415,0)</f>
        <v>2</v>
      </c>
      <c r="R140" s="254">
        <f>IFERROR(aurora_data!Q1415,0)</f>
        <v>0</v>
      </c>
      <c r="S140" s="253">
        <f>IFERROR(aurora_data!R1415,0)</f>
        <v>2</v>
      </c>
      <c r="T140" s="253">
        <f>IFERROR(aurora_data!S1415,0)</f>
        <v>0</v>
      </c>
      <c r="U140" s="254">
        <f>IFERROR(aurora_data!T1015,0)</f>
        <v>0</v>
      </c>
      <c r="V140" s="61" t="s">
        <v>354</v>
      </c>
      <c r="W140" s="113">
        <f>IFERROR(aurora_data!U1415,0)</f>
        <v>2</v>
      </c>
      <c r="X140" s="255">
        <f t="shared" si="64"/>
        <v>0.1111111111111111</v>
      </c>
      <c r="Y140" s="2"/>
      <c r="AA140" s="452"/>
      <c r="AB140" s="454"/>
      <c r="AC140" s="35" t="s">
        <v>291</v>
      </c>
      <c r="AD140" s="113">
        <f>IFERROR(aurora_data!D1415,0)+IFERROR(aurora_data!E1415,0)</f>
        <v>1</v>
      </c>
      <c r="AE140" s="253">
        <f>IFERROR(aurora_data!F1415,0)</f>
        <v>0</v>
      </c>
      <c r="AF140" s="253">
        <f>IFERROR(aurora_data!G1415,0)</f>
        <v>0</v>
      </c>
      <c r="AG140" s="254">
        <f>IFERROR(aurora_data!H1415,0)</f>
        <v>1</v>
      </c>
      <c r="AH140" s="61" t="s">
        <v>354</v>
      </c>
      <c r="AI140" s="113">
        <f>IFERROR(aurora_data!U1415,0)</f>
        <v>2</v>
      </c>
      <c r="AJ140" s="255">
        <f t="shared" si="63"/>
        <v>0.1111111111111111</v>
      </c>
    </row>
    <row r="141" spans="1:36" customFormat="1">
      <c r="A141" s="2"/>
      <c r="B141" s="561"/>
      <c r="C141" s="454"/>
      <c r="D141" s="35" t="s">
        <v>340</v>
      </c>
      <c r="E141" s="113">
        <f>IFERROR(aurora_data!D1416,0)</f>
        <v>0</v>
      </c>
      <c r="F141" s="253">
        <f>IFERROR(aurora_data!E1416,0)</f>
        <v>0</v>
      </c>
      <c r="G141" s="253">
        <f>IFERROR(aurora_data!F1416,0)</f>
        <v>0</v>
      </c>
      <c r="H141" s="253">
        <f>IFERROR(aurora_data!G1416,0)</f>
        <v>0</v>
      </c>
      <c r="I141" s="254">
        <f>IFERROR(aurora_data!H1416,0)</f>
        <v>0</v>
      </c>
      <c r="J141" s="113">
        <f>IFERROR(aurora_data!I1416,0)</f>
        <v>0</v>
      </c>
      <c r="K141" s="253">
        <f>IFERROR(aurora_data!J1416,0)</f>
        <v>0</v>
      </c>
      <c r="L141" s="253">
        <f>IFERROR(aurora_data!K1416,0)</f>
        <v>0</v>
      </c>
      <c r="M141" s="253">
        <f>IFERROR(aurora_data!L1416,0)</f>
        <v>0</v>
      </c>
      <c r="N141" s="254">
        <f>IFERROR(aurora_data!M1416,0)</f>
        <v>0</v>
      </c>
      <c r="O141" s="113">
        <f>IFERROR(aurora_data!N1416,0)</f>
        <v>0</v>
      </c>
      <c r="P141" s="253">
        <f>IFERROR(aurora_data!O1416,0)</f>
        <v>0</v>
      </c>
      <c r="Q141" s="253">
        <f>IFERROR(aurora_data!P1416,0)</f>
        <v>0</v>
      </c>
      <c r="R141" s="254">
        <f>IFERROR(aurora_data!Q1416,0)</f>
        <v>0</v>
      </c>
      <c r="S141" s="253">
        <f>IFERROR(aurora_data!R1416,0)</f>
        <v>0</v>
      </c>
      <c r="T141" s="253">
        <f>IFERROR(aurora_data!S1416,0)</f>
        <v>0</v>
      </c>
      <c r="U141" s="254">
        <f>IFERROR(aurora_data!T1016,0)</f>
        <v>0</v>
      </c>
      <c r="V141" s="61" t="s">
        <v>354</v>
      </c>
      <c r="W141" s="113">
        <f>IFERROR(aurora_data!U1416,0)</f>
        <v>0</v>
      </c>
      <c r="X141" s="255">
        <f t="shared" si="64"/>
        <v>0</v>
      </c>
      <c r="Y141" s="2"/>
      <c r="AA141" s="452"/>
      <c r="AB141" s="454"/>
      <c r="AC141" s="35" t="s">
        <v>340</v>
      </c>
      <c r="AD141" s="113">
        <f>IFERROR(aurora_data!D1416,0)+IFERROR(aurora_data!E1416,0)</f>
        <v>0</v>
      </c>
      <c r="AE141" s="253">
        <f>IFERROR(aurora_data!F1416,0)</f>
        <v>0</v>
      </c>
      <c r="AF141" s="253">
        <f>IFERROR(aurora_data!G1416,0)</f>
        <v>0</v>
      </c>
      <c r="AG141" s="254">
        <f>IFERROR(aurora_data!H1416,0)</f>
        <v>0</v>
      </c>
      <c r="AH141" s="61" t="s">
        <v>354</v>
      </c>
      <c r="AI141" s="113">
        <f>IFERROR(aurora_data!U1416,0)</f>
        <v>0</v>
      </c>
      <c r="AJ141" s="255">
        <f t="shared" si="63"/>
        <v>0</v>
      </c>
    </row>
    <row r="142" spans="1:36" customFormat="1">
      <c r="A142" s="2"/>
      <c r="B142" s="561"/>
      <c r="C142" s="454"/>
      <c r="D142" s="35" t="s">
        <v>298</v>
      </c>
      <c r="E142" s="113">
        <f>IFERROR(aurora_data!D1417,0)</f>
        <v>0</v>
      </c>
      <c r="F142" s="253">
        <f>IFERROR(aurora_data!E1417,0)</f>
        <v>0</v>
      </c>
      <c r="G142" s="253">
        <f>IFERROR(aurora_data!F1417,0)</f>
        <v>0</v>
      </c>
      <c r="H142" s="253">
        <f>IFERROR(aurora_data!G1417,0)</f>
        <v>0</v>
      </c>
      <c r="I142" s="254">
        <f>IFERROR(aurora_data!H1417,0)</f>
        <v>0</v>
      </c>
      <c r="J142" s="113">
        <f>IFERROR(aurora_data!I1417,0)</f>
        <v>0</v>
      </c>
      <c r="K142" s="253">
        <f>IFERROR(aurora_data!J1417,0)</f>
        <v>0</v>
      </c>
      <c r="L142" s="253">
        <f>IFERROR(aurora_data!K1417,0)</f>
        <v>0</v>
      </c>
      <c r="M142" s="253">
        <f>IFERROR(aurora_data!L1417,0)</f>
        <v>0</v>
      </c>
      <c r="N142" s="254">
        <f>IFERROR(aurora_data!M1417,0)</f>
        <v>0</v>
      </c>
      <c r="O142" s="113">
        <f>IFERROR(aurora_data!N1417,0)</f>
        <v>0</v>
      </c>
      <c r="P142" s="253">
        <f>IFERROR(aurora_data!O1417,0)</f>
        <v>0</v>
      </c>
      <c r="Q142" s="253">
        <f>IFERROR(aurora_data!P1417,0)</f>
        <v>0</v>
      </c>
      <c r="R142" s="254">
        <f>IFERROR(aurora_data!Q1417,0)</f>
        <v>0</v>
      </c>
      <c r="S142" s="253">
        <f>IFERROR(aurora_data!R1417,0)</f>
        <v>0</v>
      </c>
      <c r="T142" s="253">
        <f>IFERROR(aurora_data!S1417,0)</f>
        <v>0</v>
      </c>
      <c r="U142" s="254">
        <f>IFERROR(aurora_data!T1017,0)</f>
        <v>0</v>
      </c>
      <c r="V142" s="61" t="s">
        <v>354</v>
      </c>
      <c r="W142" s="113">
        <f>IFERROR(aurora_data!U1417,0)</f>
        <v>0</v>
      </c>
      <c r="X142" s="255">
        <f t="shared" si="64"/>
        <v>0</v>
      </c>
      <c r="Y142" s="2"/>
      <c r="AA142" s="452"/>
      <c r="AB142" s="454"/>
      <c r="AC142" s="35" t="s">
        <v>298</v>
      </c>
      <c r="AD142" s="113">
        <f>IFERROR(aurora_data!D1417,0)+IFERROR(aurora_data!E1417,0)</f>
        <v>0</v>
      </c>
      <c r="AE142" s="253">
        <f>IFERROR(aurora_data!F1417,0)</f>
        <v>0</v>
      </c>
      <c r="AF142" s="253">
        <f>IFERROR(aurora_data!G1417,0)</f>
        <v>0</v>
      </c>
      <c r="AG142" s="254">
        <f>IFERROR(aurora_data!H1417,0)</f>
        <v>0</v>
      </c>
      <c r="AH142" s="61" t="s">
        <v>354</v>
      </c>
      <c r="AI142" s="113">
        <f>IFERROR(aurora_data!U1417,0)</f>
        <v>0</v>
      </c>
      <c r="AJ142" s="255">
        <f t="shared" si="63"/>
        <v>0</v>
      </c>
    </row>
    <row r="143" spans="1:36" customFormat="1">
      <c r="A143" s="2"/>
      <c r="B143" s="561"/>
      <c r="C143" s="454"/>
      <c r="D143" s="35" t="s">
        <v>341</v>
      </c>
      <c r="E143" s="113">
        <f>IFERROR(aurora_data!D1418,0)</f>
        <v>0</v>
      </c>
      <c r="F143" s="253">
        <f>IFERROR(aurora_data!E1418,0)</f>
        <v>0</v>
      </c>
      <c r="G143" s="253">
        <f>IFERROR(aurora_data!F1418,0)</f>
        <v>0</v>
      </c>
      <c r="H143" s="253">
        <f>IFERROR(aurora_data!G1418,0)</f>
        <v>0</v>
      </c>
      <c r="I143" s="254">
        <f>IFERROR(aurora_data!H1418,0)</f>
        <v>0</v>
      </c>
      <c r="J143" s="113">
        <f>IFERROR(aurora_data!I1418,0)</f>
        <v>0</v>
      </c>
      <c r="K143" s="253">
        <f>IFERROR(aurora_data!J1418,0)</f>
        <v>0</v>
      </c>
      <c r="L143" s="253">
        <f>IFERROR(aurora_data!K1418,0)</f>
        <v>0</v>
      </c>
      <c r="M143" s="253">
        <f>IFERROR(aurora_data!L1418,0)</f>
        <v>0</v>
      </c>
      <c r="N143" s="254">
        <f>IFERROR(aurora_data!M1418,0)</f>
        <v>0</v>
      </c>
      <c r="O143" s="113">
        <f>IFERROR(aurora_data!N1418,0)</f>
        <v>0</v>
      </c>
      <c r="P143" s="253">
        <f>IFERROR(aurora_data!O1418,0)</f>
        <v>0</v>
      </c>
      <c r="Q143" s="253">
        <f>IFERROR(aurora_data!P1418,0)</f>
        <v>0</v>
      </c>
      <c r="R143" s="254">
        <f>IFERROR(aurora_data!Q1418,0)</f>
        <v>0</v>
      </c>
      <c r="S143" s="253">
        <f>IFERROR(aurora_data!R1418,0)</f>
        <v>0</v>
      </c>
      <c r="T143" s="253">
        <f>IFERROR(aurora_data!S1418,0)</f>
        <v>0</v>
      </c>
      <c r="U143" s="254">
        <f>IFERROR(aurora_data!T1018,0)</f>
        <v>0</v>
      </c>
      <c r="V143" s="61" t="s">
        <v>354</v>
      </c>
      <c r="W143" s="113">
        <f>IFERROR(aurora_data!U1418,0)</f>
        <v>0</v>
      </c>
      <c r="X143" s="255">
        <f t="shared" si="64"/>
        <v>0</v>
      </c>
      <c r="Y143" s="2"/>
      <c r="AA143" s="452"/>
      <c r="AB143" s="454"/>
      <c r="AC143" s="35" t="s">
        <v>341</v>
      </c>
      <c r="AD143" s="113">
        <f>IFERROR(aurora_data!D1418,0)+IFERROR(aurora_data!E1418,0)</f>
        <v>0</v>
      </c>
      <c r="AE143" s="253">
        <f>IFERROR(aurora_data!F1418,0)</f>
        <v>0</v>
      </c>
      <c r="AF143" s="253">
        <f>IFERROR(aurora_data!G1418,0)</f>
        <v>0</v>
      </c>
      <c r="AG143" s="254">
        <f>IFERROR(aurora_data!H1418,0)</f>
        <v>0</v>
      </c>
      <c r="AH143" s="61" t="s">
        <v>354</v>
      </c>
      <c r="AI143" s="113">
        <f>IFERROR(aurora_data!U1418,0)</f>
        <v>0</v>
      </c>
      <c r="AJ143" s="255">
        <f t="shared" si="63"/>
        <v>0</v>
      </c>
    </row>
    <row r="144" spans="1:36" customFormat="1" ht="16.5" thickBot="1">
      <c r="A144" s="2"/>
      <c r="B144" s="561"/>
      <c r="C144" s="454"/>
      <c r="D144" s="35" t="s">
        <v>342</v>
      </c>
      <c r="E144" s="113">
        <f>IFERROR(aurora_data!D1419,0)</f>
        <v>0</v>
      </c>
      <c r="F144" s="253">
        <f>IFERROR(aurora_data!E1419,0)</f>
        <v>0</v>
      </c>
      <c r="G144" s="253">
        <f>IFERROR(aurora_data!F1419,0)</f>
        <v>0</v>
      </c>
      <c r="H144" s="253">
        <f>IFERROR(aurora_data!G1419,0)</f>
        <v>0</v>
      </c>
      <c r="I144" s="254">
        <f>IFERROR(aurora_data!H1419,0)</f>
        <v>0</v>
      </c>
      <c r="J144" s="113">
        <f>IFERROR(aurora_data!I1419,0)</f>
        <v>0</v>
      </c>
      <c r="K144" s="253">
        <f>IFERROR(aurora_data!J1419,0)</f>
        <v>0</v>
      </c>
      <c r="L144" s="253">
        <f>IFERROR(aurora_data!K1419,0)</f>
        <v>0</v>
      </c>
      <c r="M144" s="253">
        <f>IFERROR(aurora_data!L1419,0)</f>
        <v>0</v>
      </c>
      <c r="N144" s="254">
        <f>IFERROR(aurora_data!M1419,0)</f>
        <v>0</v>
      </c>
      <c r="O144" s="113">
        <f>IFERROR(aurora_data!N1419,0)</f>
        <v>0</v>
      </c>
      <c r="P144" s="253">
        <f>IFERROR(aurora_data!O1419,0)</f>
        <v>0</v>
      </c>
      <c r="Q144" s="253">
        <f>IFERROR(aurora_data!P1419,0)</f>
        <v>0</v>
      </c>
      <c r="R144" s="254">
        <f>IFERROR(aurora_data!Q1419,0)</f>
        <v>0</v>
      </c>
      <c r="S144" s="253">
        <f>IFERROR(aurora_data!R1419,0)</f>
        <v>0</v>
      </c>
      <c r="T144" s="253">
        <f>IFERROR(aurora_data!S1419,0)</f>
        <v>0</v>
      </c>
      <c r="U144" s="254">
        <f>IFERROR(aurora_data!T1019,0)</f>
        <v>0</v>
      </c>
      <c r="V144" s="61" t="s">
        <v>354</v>
      </c>
      <c r="W144" s="113">
        <f>IFERROR(aurora_data!U1419,0)</f>
        <v>0</v>
      </c>
      <c r="X144" s="255">
        <f t="shared" si="64"/>
        <v>0</v>
      </c>
      <c r="Y144" s="2"/>
      <c r="AA144" s="452"/>
      <c r="AB144" s="454"/>
      <c r="AC144" s="35" t="s">
        <v>342</v>
      </c>
      <c r="AD144" s="113">
        <f>IFERROR(aurora_data!D1419,0)+IFERROR(aurora_data!E1419,0)</f>
        <v>0</v>
      </c>
      <c r="AE144" s="253">
        <f>IFERROR(aurora_data!F1419,0)</f>
        <v>0</v>
      </c>
      <c r="AF144" s="253">
        <f>IFERROR(aurora_data!G1419,0)</f>
        <v>0</v>
      </c>
      <c r="AG144" s="254">
        <f>IFERROR(aurora_data!H1419,0)</f>
        <v>0</v>
      </c>
      <c r="AH144" s="61" t="s">
        <v>354</v>
      </c>
      <c r="AI144" s="113">
        <f>IFERROR(aurora_data!U1419,0)</f>
        <v>0</v>
      </c>
      <c r="AJ144" s="255">
        <f t="shared" si="63"/>
        <v>0</v>
      </c>
    </row>
    <row r="145" spans="1:36" customFormat="1" ht="16.5" thickBot="1">
      <c r="A145" s="2"/>
      <c r="B145" s="561"/>
      <c r="C145" s="454"/>
      <c r="D145" s="37" t="s">
        <v>17</v>
      </c>
      <c r="E145" s="59">
        <f>IFERROR(aurora_data!D1420,0)</f>
        <v>1</v>
      </c>
      <c r="F145" s="64">
        <f>IFERROR(aurora_data!E1420,0)</f>
        <v>2</v>
      </c>
      <c r="G145" s="64">
        <f>IFERROR(aurora_data!F1420,0)</f>
        <v>4</v>
      </c>
      <c r="H145" s="64">
        <f>IFERROR(aurora_data!G1420,0)</f>
        <v>6</v>
      </c>
      <c r="I145" s="65">
        <f>IFERROR(aurora_data!H1420,0)</f>
        <v>7</v>
      </c>
      <c r="J145" s="59">
        <f>IFERROR(aurora_data!I1420,0)</f>
        <v>1</v>
      </c>
      <c r="K145" s="64">
        <f>IFERROR(aurora_data!J1420,0)</f>
        <v>3</v>
      </c>
      <c r="L145" s="64">
        <f>IFERROR(aurora_data!K1420,0)</f>
        <v>4</v>
      </c>
      <c r="M145" s="64">
        <f>IFERROR(aurora_data!L1420,0)</f>
        <v>2</v>
      </c>
      <c r="N145" s="65">
        <f>IFERROR(aurora_data!M1420,0)</f>
        <v>10</v>
      </c>
      <c r="O145" s="59">
        <f>IFERROR(aurora_data!N1420,0)</f>
        <v>7</v>
      </c>
      <c r="P145" s="64">
        <f>IFERROR(aurora_data!O1420,0)</f>
        <v>3</v>
      </c>
      <c r="Q145" s="64">
        <f>IFERROR(aurora_data!P1420,0)</f>
        <v>9</v>
      </c>
      <c r="R145" s="65">
        <f>IFERROR(aurora_data!Q1420,0)</f>
        <v>1</v>
      </c>
      <c r="S145" s="64">
        <f>IFERROR(aurora_data!R1420,0)</f>
        <v>13</v>
      </c>
      <c r="T145" s="64">
        <f>IFERROR(aurora_data!S1420,0)</f>
        <v>7</v>
      </c>
      <c r="U145" s="65">
        <f>IFERROR(aurora_data!T1020,0)</f>
        <v>0</v>
      </c>
      <c r="V145" s="66" t="s">
        <v>354</v>
      </c>
      <c r="W145" s="59">
        <f>IFERROR(aurora_data!U1420,0)</f>
        <v>20</v>
      </c>
      <c r="X145" s="70">
        <f t="shared" si="64"/>
        <v>1.1111111111111112</v>
      </c>
      <c r="Y145" s="2"/>
      <c r="AA145" s="452"/>
      <c r="AB145" s="454"/>
      <c r="AC145" s="360" t="s">
        <v>17</v>
      </c>
      <c r="AD145" s="59">
        <f>IFERROR(aurora_data!D1420,0)+IFERROR(aurora_data!E1420,0)</f>
        <v>3</v>
      </c>
      <c r="AE145" s="64">
        <f>IFERROR(aurora_data!F1420,0)</f>
        <v>4</v>
      </c>
      <c r="AF145" s="64">
        <f>IFERROR(aurora_data!G1420,0)</f>
        <v>6</v>
      </c>
      <c r="AG145" s="65">
        <f>IFERROR(aurora_data!H1420,0)</f>
        <v>7</v>
      </c>
      <c r="AH145" s="66" t="s">
        <v>354</v>
      </c>
      <c r="AI145" s="59">
        <f>IFERROR(aurora_data!U1420,0)</f>
        <v>20</v>
      </c>
      <c r="AJ145" s="70">
        <f t="shared" si="63"/>
        <v>1.1111111111111112</v>
      </c>
    </row>
    <row r="146" spans="1:36" customFormat="1" ht="16.5" thickBot="1">
      <c r="A146" s="2"/>
      <c r="B146" s="561"/>
      <c r="C146" s="454"/>
      <c r="D146" s="38" t="s">
        <v>343</v>
      </c>
      <c r="E146" s="256">
        <f>IFERROR(aurora_data!D1421,0)</f>
        <v>0</v>
      </c>
      <c r="F146" s="257">
        <f>IFERROR(aurora_data!E1421,0)</f>
        <v>0</v>
      </c>
      <c r="G146" s="257">
        <f>IFERROR(aurora_data!F1421,0)</f>
        <v>0</v>
      </c>
      <c r="H146" s="257">
        <f>IFERROR(aurora_data!G1421,0)</f>
        <v>0</v>
      </c>
      <c r="I146" s="258">
        <f>IFERROR(aurora_data!H1421,0)</f>
        <v>0</v>
      </c>
      <c r="J146" s="256">
        <f>IFERROR(aurora_data!I1421,0)</f>
        <v>0</v>
      </c>
      <c r="K146" s="257">
        <f>IFERROR(aurora_data!J1421,0)</f>
        <v>0</v>
      </c>
      <c r="L146" s="257">
        <f>IFERROR(aurora_data!K1421,0)</f>
        <v>0</v>
      </c>
      <c r="M146" s="257">
        <f>IFERROR(aurora_data!L1421,0)</f>
        <v>0</v>
      </c>
      <c r="N146" s="258">
        <f>IFERROR(aurora_data!M1421,0)</f>
        <v>0</v>
      </c>
      <c r="O146" s="256">
        <f>IFERROR(aurora_data!N1421,0)</f>
        <v>0</v>
      </c>
      <c r="P146" s="257">
        <f>IFERROR(aurora_data!O1421,0)</f>
        <v>0</v>
      </c>
      <c r="Q146" s="257">
        <f>IFERROR(aurora_data!P1421,0)</f>
        <v>0</v>
      </c>
      <c r="R146" s="258">
        <f>IFERROR(aurora_data!Q1421,0)</f>
        <v>0</v>
      </c>
      <c r="S146" s="257">
        <f>IFERROR(aurora_data!R1421,0)</f>
        <v>0</v>
      </c>
      <c r="T146" s="257">
        <f>IFERROR(aurora_data!S1421,0)</f>
        <v>0</v>
      </c>
      <c r="U146" s="259">
        <f>IFERROR(aurora_data!T1021,0)</f>
        <v>0</v>
      </c>
      <c r="V146" s="260" t="s">
        <v>354</v>
      </c>
      <c r="W146" s="256">
        <f>IFERROR(aurora_data!U1421,0)</f>
        <v>0</v>
      </c>
      <c r="X146" s="261">
        <f t="shared" si="64"/>
        <v>0</v>
      </c>
      <c r="Y146" s="2"/>
      <c r="AA146" s="452"/>
      <c r="AB146" s="454"/>
      <c r="AC146" s="38" t="s">
        <v>343</v>
      </c>
      <c r="AD146" s="256">
        <f>IFERROR(aurora_data!D1421,0)+IFERROR(aurora_data!E1421,0)</f>
        <v>0</v>
      </c>
      <c r="AE146" s="257">
        <f>IFERROR(aurora_data!F1421,0)</f>
        <v>0</v>
      </c>
      <c r="AF146" s="257">
        <f>IFERROR(aurora_data!G1421,0)</f>
        <v>0</v>
      </c>
      <c r="AG146" s="258">
        <f>IFERROR(aurora_data!H1421,0)</f>
        <v>0</v>
      </c>
      <c r="AH146" s="260" t="s">
        <v>354</v>
      </c>
      <c r="AI146" s="256">
        <f>IFERROR(aurora_data!U1421,0)</f>
        <v>0</v>
      </c>
      <c r="AJ146" s="261">
        <f t="shared" si="63"/>
        <v>0</v>
      </c>
    </row>
    <row r="147" spans="1:36" customFormat="1" ht="16.5" outlineLevel="1" thickBot="1">
      <c r="A147" s="2"/>
      <c r="B147" s="147"/>
      <c r="C147" s="227"/>
      <c r="D147" s="199" t="s">
        <v>344</v>
      </c>
      <c r="E147" s="276">
        <f>(E149+$E$9)*($W138)</f>
        <v>1.0699999999999998</v>
      </c>
      <c r="F147" s="277">
        <f>(F149+$E$9)*($W138)</f>
        <v>1.57</v>
      </c>
      <c r="G147" s="277">
        <f>(G149+$E$9)*($W138)</f>
        <v>3.94</v>
      </c>
      <c r="H147" s="277">
        <f>(H149+$E$9)*($W138)</f>
        <v>6</v>
      </c>
      <c r="I147" s="277">
        <f>(I149+$E$9)*($W138)</f>
        <v>7.21</v>
      </c>
      <c r="J147" s="294">
        <f>IFERROR(aurora_data!I1422,0)</f>
        <v>1</v>
      </c>
      <c r="K147" s="295">
        <f>IFERROR(aurora_data!J1422,0)</f>
        <v>1</v>
      </c>
      <c r="L147" s="295">
        <f>IFERROR(aurora_data!K1422,0)</f>
        <v>1</v>
      </c>
      <c r="M147" s="295">
        <f>IFERROR(aurora_data!L1422,0)</f>
        <v>1</v>
      </c>
      <c r="N147" s="296">
        <f>IFERROR(aurora_data!M1422,0)</f>
        <v>1</v>
      </c>
      <c r="O147" s="294">
        <f>IFERROR(aurora_data!N1422,0)</f>
        <v>1</v>
      </c>
      <c r="P147" s="295">
        <f>IFERROR(aurora_data!O1422,0)</f>
        <v>1</v>
      </c>
      <c r="Q147" s="295">
        <f>IFERROR(aurora_data!P1422,0)</f>
        <v>1</v>
      </c>
      <c r="R147" s="296">
        <f>IFERROR(aurora_data!Q1422,0)</f>
        <v>1</v>
      </c>
      <c r="S147" s="295">
        <f>IFERROR(aurora_data!R1422,0)</f>
        <v>1</v>
      </c>
      <c r="T147" s="295">
        <f>IFERROR(aurora_data!S1422,0)</f>
        <v>1</v>
      </c>
      <c r="U147" s="297">
        <f>IFERROR(aurora_data!T1022,0)</f>
        <v>0</v>
      </c>
      <c r="V147" s="298" t="s">
        <v>354</v>
      </c>
      <c r="W147" s="294">
        <f>IFERROR(aurora_data!U1422,0)</f>
        <v>18</v>
      </c>
      <c r="X147" s="299"/>
      <c r="Y147" s="2"/>
      <c r="AA147" s="147"/>
      <c r="AB147" s="227"/>
      <c r="AC147" s="297"/>
      <c r="AD147" s="327"/>
      <c r="AE147" s="328"/>
      <c r="AF147" s="328"/>
      <c r="AG147" s="297"/>
      <c r="AH147" s="298" t="s">
        <v>354</v>
      </c>
      <c r="AI147" s="294"/>
      <c r="AJ147" s="299"/>
    </row>
    <row r="148" spans="1:36" customFormat="1" ht="16.5" outlineLevel="1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0.59999999999999987</v>
      </c>
      <c r="F148" s="277">
        <f>IF(ROUND(((F149-$E$9)*($W138))+0.25,0) &lt;=0,1,((F149-$E$9)*($W138))+0.25)</f>
        <v>1.1000000000000001</v>
      </c>
      <c r="G148" s="277">
        <f t="shared" ref="G148:I148" si="65">IF(ROUND(((G149-$E$9)*($W138))+0.25,0) &lt;=0,1,((G149-$E$9)*($W138))+0.25)</f>
        <v>3.47</v>
      </c>
      <c r="H148" s="277">
        <f t="shared" si="65"/>
        <v>5.5299999999999994</v>
      </c>
      <c r="I148" s="277">
        <f t="shared" si="65"/>
        <v>6.7399999999999993</v>
      </c>
      <c r="J148" s="294">
        <f>IFERROR(aurora_data!I1423,0)</f>
        <v>3</v>
      </c>
      <c r="K148" s="295">
        <f>IFERROR(aurora_data!J1423,0)</f>
        <v>2</v>
      </c>
      <c r="L148" s="295">
        <f>IFERROR(aurora_data!K1423,0)</f>
        <v>3</v>
      </c>
      <c r="M148" s="295">
        <f>IFERROR(aurora_data!L1423,0)</f>
        <v>3</v>
      </c>
      <c r="N148" s="296">
        <f>IFERROR(aurora_data!M1423,0)</f>
        <v>5</v>
      </c>
      <c r="O148" s="294">
        <f>IFERROR(aurora_data!N1423,0)</f>
        <v>3</v>
      </c>
      <c r="P148" s="295">
        <f>IFERROR(aurora_data!O1423,0)</f>
        <v>4</v>
      </c>
      <c r="Q148" s="295">
        <f>IFERROR(aurora_data!P1423,0)</f>
        <v>4</v>
      </c>
      <c r="R148" s="296">
        <f>IFERROR(aurora_data!Q1423,0)</f>
        <v>5</v>
      </c>
      <c r="S148" s="295">
        <f>IFERROR(aurora_data!R1423,0)</f>
        <v>7</v>
      </c>
      <c r="T148" s="295">
        <f>IFERROR(aurora_data!S1423,0)</f>
        <v>9</v>
      </c>
      <c r="U148" s="297">
        <f>IFERROR(aurora_data!T1023,0)</f>
        <v>0</v>
      </c>
      <c r="V148" s="298" t="s">
        <v>354</v>
      </c>
      <c r="W148" s="294">
        <f>IFERROR(aurora_data!U1423,0)</f>
        <v>16</v>
      </c>
      <c r="X148" s="299"/>
      <c r="Y148" s="2"/>
      <c r="AA148" s="147"/>
      <c r="AB148" s="227"/>
      <c r="AC148" s="296"/>
      <c r="AD148" s="294"/>
      <c r="AE148" s="295"/>
      <c r="AF148" s="295"/>
      <c r="AG148" s="296"/>
      <c r="AH148" s="298" t="s">
        <v>354</v>
      </c>
      <c r="AI148" s="294"/>
      <c r="AJ148" s="299"/>
    </row>
    <row r="149" spans="1:36" customFormat="1" ht="16.5" hidden="1" outlineLevel="1" thickBot="1">
      <c r="A149" s="2"/>
      <c r="B149" s="147"/>
      <c r="C149" s="227"/>
      <c r="D149" s="95" t="s">
        <v>346</v>
      </c>
      <c r="E149" s="414">
        <f>IFERROR(E138/$W138,0)</f>
        <v>3.9444444444444442E-2</v>
      </c>
      <c r="F149" s="415">
        <f t="shared" ref="F149" si="66">IFERROR(F138/$W138,0)</f>
        <v>6.7222222222222225E-2</v>
      </c>
      <c r="G149" s="415">
        <f>IFERROR(G138/$W138,0)</f>
        <v>0.19888888888888889</v>
      </c>
      <c r="H149" s="415">
        <f t="shared" ref="H149" si="67">IFERROR(H138/$W138,0)</f>
        <v>0.3133333333333333</v>
      </c>
      <c r="I149" s="415">
        <f>IFERROR(I138/$W138,0)</f>
        <v>0.38055555555555554</v>
      </c>
      <c r="J149" s="294">
        <f>IFERROR(aurora_data!I1424,0)</f>
        <v>0</v>
      </c>
      <c r="K149" s="295">
        <f>IFERROR(aurora_data!J1424,0)</f>
        <v>0</v>
      </c>
      <c r="L149" s="295">
        <f>IFERROR(aurora_data!K1424,0)</f>
        <v>0</v>
      </c>
      <c r="M149" s="295">
        <f>IFERROR(aurora_data!L1424,0)</f>
        <v>0</v>
      </c>
      <c r="N149" s="296">
        <f>IFERROR(aurora_data!M1424,0)</f>
        <v>2</v>
      </c>
      <c r="O149" s="294">
        <f>IFERROR(aurora_data!N1424,0)</f>
        <v>0</v>
      </c>
      <c r="P149" s="295">
        <f>IFERROR(aurora_data!O1424,0)</f>
        <v>0</v>
      </c>
      <c r="Q149" s="295">
        <f>IFERROR(aurora_data!P1424,0)</f>
        <v>1</v>
      </c>
      <c r="R149" s="296">
        <f>IFERROR(aurora_data!Q1424,0)</f>
        <v>1</v>
      </c>
      <c r="S149" s="295">
        <f>IFERROR(aurora_data!R1424,0)</f>
        <v>1</v>
      </c>
      <c r="T149" s="295">
        <f>IFERROR(aurora_data!S1424,0)</f>
        <v>1</v>
      </c>
      <c r="U149" s="297">
        <f>IFERROR(aurora_data!T1024,0)</f>
        <v>0</v>
      </c>
      <c r="V149" s="298" t="s">
        <v>354</v>
      </c>
      <c r="W149" s="294">
        <f>IFERROR(aurora_data!U1424,0)</f>
        <v>2</v>
      </c>
      <c r="X149" s="299"/>
      <c r="Y149" s="2"/>
      <c r="AA149" s="147"/>
      <c r="AB149" s="227"/>
      <c r="AC149" s="296"/>
      <c r="AD149" s="294"/>
      <c r="AE149" s="295"/>
      <c r="AF149" s="295"/>
      <c r="AG149" s="296"/>
      <c r="AH149" s="298" t="s">
        <v>354</v>
      </c>
      <c r="AI149" s="294"/>
      <c r="AJ149" s="299"/>
    </row>
    <row r="150" spans="1:36" customFormat="1" ht="16.5" hidden="1" outlineLevel="1" thickBot="1">
      <c r="A150" s="2"/>
      <c r="B150" s="147"/>
      <c r="C150" s="227"/>
      <c r="D150" s="180" t="s">
        <v>347</v>
      </c>
      <c r="E150" s="414">
        <f>IFERROR(E139/$W138,0)</f>
        <v>5.5555555555555552E-2</v>
      </c>
      <c r="F150" s="415">
        <f t="shared" ref="F150:I150" si="68">IFERROR(F139/$W138,0)</f>
        <v>5.5555555555555552E-2</v>
      </c>
      <c r="G150" s="415">
        <f t="shared" si="68"/>
        <v>0.22222222222222221</v>
      </c>
      <c r="H150" s="415">
        <f t="shared" si="68"/>
        <v>0.33333333333333331</v>
      </c>
      <c r="I150" s="415">
        <f t="shared" si="68"/>
        <v>0.33333333333333331</v>
      </c>
      <c r="J150" s="294">
        <f>IFERROR(aurora_data!I1425,0)</f>
        <v>0</v>
      </c>
      <c r="K150" s="295">
        <f>IFERROR(aurora_data!J1425,0)</f>
        <v>0</v>
      </c>
      <c r="L150" s="295">
        <f>IFERROR(aurora_data!K1425,0)</f>
        <v>0</v>
      </c>
      <c r="M150" s="295">
        <f>IFERROR(aurora_data!L1425,0)</f>
        <v>0</v>
      </c>
      <c r="N150" s="296">
        <f>IFERROR(aurora_data!M1425,0)</f>
        <v>0</v>
      </c>
      <c r="O150" s="294">
        <f>IFERROR(aurora_data!N1425,0)</f>
        <v>0</v>
      </c>
      <c r="P150" s="295">
        <f>IFERROR(aurora_data!O1425,0)</f>
        <v>0</v>
      </c>
      <c r="Q150" s="295">
        <f>IFERROR(aurora_data!P1425,0)</f>
        <v>0</v>
      </c>
      <c r="R150" s="296">
        <f>IFERROR(aurora_data!Q1425,0)</f>
        <v>0</v>
      </c>
      <c r="S150" s="295">
        <f>IFERROR(aurora_data!R1425,0)</f>
        <v>0</v>
      </c>
      <c r="T150" s="295">
        <f>IFERROR(aurora_data!S1425,0)</f>
        <v>0</v>
      </c>
      <c r="U150" s="297">
        <f>IFERROR(aurora_data!T1025,0)</f>
        <v>0</v>
      </c>
      <c r="V150" s="298" t="s">
        <v>354</v>
      </c>
      <c r="W150" s="294">
        <f>IFERROR(aurora_data!U1425,0)</f>
        <v>0</v>
      </c>
      <c r="X150" s="299"/>
      <c r="Y150" s="2"/>
      <c r="AA150" s="147"/>
      <c r="AB150" s="227"/>
      <c r="AC150" s="296"/>
      <c r="AD150" s="294"/>
      <c r="AE150" s="295"/>
      <c r="AF150" s="295"/>
      <c r="AG150" s="296"/>
      <c r="AH150" s="298" t="s">
        <v>354</v>
      </c>
      <c r="AI150" s="294"/>
      <c r="AJ150" s="299"/>
    </row>
    <row r="151" spans="1:36" customFormat="1" ht="16.5" hidden="1" outlineLevel="1" thickBot="1">
      <c r="A151" s="2"/>
      <c r="B151" s="147"/>
      <c r="C151" s="227"/>
      <c r="D151" s="180" t="s">
        <v>348</v>
      </c>
      <c r="E151" s="414">
        <f>E150-E149</f>
        <v>1.6111111111111111E-2</v>
      </c>
      <c r="F151" s="415">
        <f t="shared" ref="F151:I151" si="69">F150-F149</f>
        <v>-1.1666666666666672E-2</v>
      </c>
      <c r="G151" s="415">
        <f t="shared" si="69"/>
        <v>2.3333333333333317E-2</v>
      </c>
      <c r="H151" s="415">
        <f t="shared" si="69"/>
        <v>2.0000000000000018E-2</v>
      </c>
      <c r="I151" s="415">
        <f t="shared" si="69"/>
        <v>-4.7222222222222221E-2</v>
      </c>
      <c r="J151" s="294">
        <f>IFERROR(aurora_data!I1426,0)</f>
        <v>0</v>
      </c>
      <c r="K151" s="295">
        <f>IFERROR(aurora_data!J1426,0)</f>
        <v>0</v>
      </c>
      <c r="L151" s="295">
        <f>IFERROR(aurora_data!K1426,0)</f>
        <v>0</v>
      </c>
      <c r="M151" s="295">
        <f>IFERROR(aurora_data!L1426,0)</f>
        <v>0</v>
      </c>
      <c r="N151" s="296">
        <f>IFERROR(aurora_data!M1426,0)</f>
        <v>0</v>
      </c>
      <c r="O151" s="294">
        <f>IFERROR(aurora_data!N1426,0)</f>
        <v>0</v>
      </c>
      <c r="P151" s="295">
        <f>IFERROR(aurora_data!O1426,0)</f>
        <v>0</v>
      </c>
      <c r="Q151" s="295">
        <f>IFERROR(aurora_data!P1426,0)</f>
        <v>0</v>
      </c>
      <c r="R151" s="296">
        <f>IFERROR(aurora_data!Q1426,0)</f>
        <v>0</v>
      </c>
      <c r="S151" s="295">
        <f>IFERROR(aurora_data!R1426,0)</f>
        <v>0</v>
      </c>
      <c r="T151" s="295">
        <f>IFERROR(aurora_data!S1426,0)</f>
        <v>0</v>
      </c>
      <c r="U151" s="297">
        <f>IFERROR(aurora_data!T1026,0)</f>
        <v>0</v>
      </c>
      <c r="V151" s="298" t="s">
        <v>354</v>
      </c>
      <c r="W151" s="294">
        <f>IFERROR(aurora_data!U1426,0)</f>
        <v>0</v>
      </c>
      <c r="X151" s="299"/>
      <c r="Y151" s="2"/>
      <c r="AA151" s="147"/>
      <c r="AB151" s="227"/>
      <c r="AC151" s="331"/>
      <c r="AD151" s="329"/>
      <c r="AE151" s="330"/>
      <c r="AF151" s="330"/>
      <c r="AG151" s="331"/>
      <c r="AH151" s="298" t="s">
        <v>354</v>
      </c>
      <c r="AI151" s="294"/>
      <c r="AJ151" s="299"/>
    </row>
    <row r="152" spans="1:36" customFormat="1">
      <c r="A152" s="2"/>
      <c r="B152" s="451" t="s">
        <v>338</v>
      </c>
      <c r="C152" s="453" t="str">
        <f>aurora_data!A1422</f>
        <v>16.00.00-16.11.30</v>
      </c>
      <c r="D152" s="34" t="s">
        <v>306</v>
      </c>
      <c r="E152" s="39">
        <f>IFERROR(aurora_data!D1422,0)</f>
        <v>0.72</v>
      </c>
      <c r="F152" s="40">
        <f>IFERROR(aurora_data!E1422,0)</f>
        <v>1.1499999999999999</v>
      </c>
      <c r="G152" s="40">
        <f>IFERROR(aurora_data!F1422,0)</f>
        <v>3.64</v>
      </c>
      <c r="H152" s="40">
        <f>IFERROR(aurora_data!G1422,0)</f>
        <v>5.68</v>
      </c>
      <c r="I152" s="41">
        <f>IFERROR(aurora_data!H1422,0)</f>
        <v>6.8</v>
      </c>
      <c r="J152" s="39">
        <f>IFERROR(aurora_data!I1422,0)</f>
        <v>1</v>
      </c>
      <c r="K152" s="40">
        <f>IFERROR(aurora_data!J1422,0)</f>
        <v>1</v>
      </c>
      <c r="L152" s="40">
        <f>IFERROR(aurora_data!K1422,0)</f>
        <v>1</v>
      </c>
      <c r="M152" s="40">
        <f>IFERROR(aurora_data!L1422,0)</f>
        <v>1</v>
      </c>
      <c r="N152" s="41">
        <f>IFERROR(aurora_data!M1422,0)</f>
        <v>1</v>
      </c>
      <c r="O152" s="39">
        <f>IFERROR(aurora_data!N1422,0)</f>
        <v>1</v>
      </c>
      <c r="P152" s="40">
        <f>IFERROR(aurora_data!O1422,0)</f>
        <v>1</v>
      </c>
      <c r="Q152" s="40">
        <f>IFERROR(aurora_data!P1422,0)</f>
        <v>1</v>
      </c>
      <c r="R152" s="41">
        <f>IFERROR(aurora_data!Q1422,0)</f>
        <v>1</v>
      </c>
      <c r="S152" s="40">
        <f>IFERROR(aurora_data!R1422,0)</f>
        <v>1</v>
      </c>
      <c r="T152" s="40">
        <f>IFERROR(aurora_data!S1422,0)</f>
        <v>1</v>
      </c>
      <c r="U152" s="41">
        <f>IFERROR(aurora_data!T1022,0)</f>
        <v>0</v>
      </c>
      <c r="V152" s="61" t="s">
        <v>354</v>
      </c>
      <c r="W152" s="39">
        <f>IFERROR(aurora_data!U1422,0)</f>
        <v>18</v>
      </c>
      <c r="X152" s="69">
        <f>IFERROR(W152/$W$152,0)</f>
        <v>1</v>
      </c>
      <c r="Y152" s="2"/>
      <c r="AA152" s="451" t="s">
        <v>338</v>
      </c>
      <c r="AB152" s="453" t="str">
        <f>aurora_data!A1422</f>
        <v>16.00.00-16.11.30</v>
      </c>
      <c r="AC152" s="34" t="s">
        <v>306</v>
      </c>
      <c r="AD152" s="39">
        <v>2</v>
      </c>
      <c r="AE152" s="40">
        <v>4</v>
      </c>
      <c r="AF152" s="40">
        <v>6</v>
      </c>
      <c r="AG152" s="333">
        <v>6</v>
      </c>
      <c r="AH152" s="61" t="s">
        <v>354</v>
      </c>
      <c r="AI152" s="39">
        <f>IFERROR(aurora_data!U1422,0)</f>
        <v>18</v>
      </c>
      <c r="AJ152" s="69">
        <f t="shared" ref="AJ152:AJ160" si="70">IFERROR(AI152/$AI$152,0)</f>
        <v>1</v>
      </c>
    </row>
    <row r="153" spans="1:36" customFormat="1">
      <c r="A153" s="2"/>
      <c r="B153" s="452"/>
      <c r="C153" s="454"/>
      <c r="D153" s="35" t="s">
        <v>339</v>
      </c>
      <c r="E153" s="113">
        <f>IFERROR(aurora_data!D1423,0)</f>
        <v>1</v>
      </c>
      <c r="F153" s="253">
        <f>IFERROR(aurora_data!E1423,0)</f>
        <v>1</v>
      </c>
      <c r="G153" s="253">
        <f>IFERROR(aurora_data!F1423,0)</f>
        <v>2</v>
      </c>
      <c r="H153" s="253">
        <f>IFERROR(aurora_data!G1423,0)</f>
        <v>6</v>
      </c>
      <c r="I153" s="254">
        <f>IFERROR(aurora_data!H1423,0)</f>
        <v>6</v>
      </c>
      <c r="J153" s="113">
        <f>IFERROR(aurora_data!I1423,0)</f>
        <v>3</v>
      </c>
      <c r="K153" s="253">
        <f>IFERROR(aurora_data!J1423,0)</f>
        <v>2</v>
      </c>
      <c r="L153" s="253">
        <f>IFERROR(aurora_data!K1423,0)</f>
        <v>3</v>
      </c>
      <c r="M153" s="253">
        <f>IFERROR(aurora_data!L1423,0)</f>
        <v>3</v>
      </c>
      <c r="N153" s="254">
        <f>IFERROR(aurora_data!M1423,0)</f>
        <v>5</v>
      </c>
      <c r="O153" s="113">
        <f>IFERROR(aurora_data!N1423,0)</f>
        <v>3</v>
      </c>
      <c r="P153" s="253">
        <f>IFERROR(aurora_data!O1423,0)</f>
        <v>4</v>
      </c>
      <c r="Q153" s="253">
        <f>IFERROR(aurora_data!P1423,0)</f>
        <v>4</v>
      </c>
      <c r="R153" s="254">
        <f>IFERROR(aurora_data!Q1423,0)</f>
        <v>5</v>
      </c>
      <c r="S153" s="253">
        <f>IFERROR(aurora_data!R1423,0)</f>
        <v>7</v>
      </c>
      <c r="T153" s="253">
        <f>IFERROR(aurora_data!S1423,0)</f>
        <v>9</v>
      </c>
      <c r="U153" s="254">
        <f>IFERROR(aurora_data!T1023,0)</f>
        <v>0</v>
      </c>
      <c r="V153" s="61" t="s">
        <v>354</v>
      </c>
      <c r="W153" s="113">
        <f>IFERROR(aurora_data!U1423,0)</f>
        <v>16</v>
      </c>
      <c r="X153" s="255">
        <f t="shared" ref="X153:X160" si="71">IFERROR(W153/$W$152,0)</f>
        <v>0.88888888888888884</v>
      </c>
      <c r="Y153" s="2"/>
      <c r="AA153" s="452"/>
      <c r="AB153" s="454"/>
      <c r="AC153" s="35" t="s">
        <v>339</v>
      </c>
      <c r="AD153" s="113">
        <f>IFERROR(aurora_data!D1423,0)+IFERROR(aurora_data!E1423,0)</f>
        <v>2</v>
      </c>
      <c r="AE153" s="253">
        <f>IFERROR(aurora_data!F1423,0)</f>
        <v>2</v>
      </c>
      <c r="AF153" s="253">
        <f>IFERROR(aurora_data!G1423,0)</f>
        <v>6</v>
      </c>
      <c r="AG153" s="254">
        <f>IFERROR(aurora_data!H1423,0)</f>
        <v>6</v>
      </c>
      <c r="AH153" s="61" t="s">
        <v>354</v>
      </c>
      <c r="AI153" s="113">
        <f>IFERROR(aurora_data!U1423,0)</f>
        <v>16</v>
      </c>
      <c r="AJ153" s="255">
        <f t="shared" si="70"/>
        <v>0.88888888888888884</v>
      </c>
    </row>
    <row r="154" spans="1:36" customFormat="1">
      <c r="A154" s="2"/>
      <c r="B154" s="452"/>
      <c r="C154" s="454"/>
      <c r="D154" s="35" t="s">
        <v>291</v>
      </c>
      <c r="E154" s="113">
        <f>IFERROR(aurora_data!D1424,0)</f>
        <v>0</v>
      </c>
      <c r="F154" s="253">
        <f>IFERROR(aurora_data!E1424,0)</f>
        <v>0</v>
      </c>
      <c r="G154" s="253">
        <f>IFERROR(aurora_data!F1424,0)</f>
        <v>0</v>
      </c>
      <c r="H154" s="253">
        <f>IFERROR(aurora_data!G1424,0)</f>
        <v>1</v>
      </c>
      <c r="I154" s="254">
        <f>IFERROR(aurora_data!H1424,0)</f>
        <v>1</v>
      </c>
      <c r="J154" s="113">
        <f>IFERROR(aurora_data!I1424,0)</f>
        <v>0</v>
      </c>
      <c r="K154" s="253">
        <f>IFERROR(aurora_data!J1424,0)</f>
        <v>0</v>
      </c>
      <c r="L154" s="253">
        <f>IFERROR(aurora_data!K1424,0)</f>
        <v>0</v>
      </c>
      <c r="M154" s="253">
        <f>IFERROR(aurora_data!L1424,0)</f>
        <v>0</v>
      </c>
      <c r="N154" s="254">
        <f>IFERROR(aurora_data!M1424,0)</f>
        <v>2</v>
      </c>
      <c r="O154" s="113">
        <f>IFERROR(aurora_data!N1424,0)</f>
        <v>0</v>
      </c>
      <c r="P154" s="253">
        <f>IFERROR(aurora_data!O1424,0)</f>
        <v>0</v>
      </c>
      <c r="Q154" s="253">
        <f>IFERROR(aurora_data!P1424,0)</f>
        <v>1</v>
      </c>
      <c r="R154" s="254">
        <f>IFERROR(aurora_data!Q1424,0)</f>
        <v>1</v>
      </c>
      <c r="S154" s="253">
        <f>IFERROR(aurora_data!R1424,0)</f>
        <v>1</v>
      </c>
      <c r="T154" s="253">
        <f>IFERROR(aurora_data!S1424,0)</f>
        <v>1</v>
      </c>
      <c r="U154" s="254">
        <f>IFERROR(aurora_data!T1024,0)</f>
        <v>0</v>
      </c>
      <c r="V154" s="61" t="s">
        <v>354</v>
      </c>
      <c r="W154" s="113">
        <f>IFERROR(aurora_data!U1424,0)</f>
        <v>2</v>
      </c>
      <c r="X154" s="255">
        <f t="shared" si="71"/>
        <v>0.1111111111111111</v>
      </c>
      <c r="Y154" s="2"/>
      <c r="AA154" s="452"/>
      <c r="AB154" s="454"/>
      <c r="AC154" s="35" t="s">
        <v>291</v>
      </c>
      <c r="AD154" s="113">
        <f>IFERROR(aurora_data!D1424,0)+IFERROR(aurora_data!E1424,0)</f>
        <v>0</v>
      </c>
      <c r="AE154" s="253">
        <f>IFERROR(aurora_data!F1424,0)</f>
        <v>0</v>
      </c>
      <c r="AF154" s="253">
        <f>IFERROR(aurora_data!G1424,0)</f>
        <v>1</v>
      </c>
      <c r="AG154" s="254">
        <f>IFERROR(aurora_data!H1424,0)</f>
        <v>1</v>
      </c>
      <c r="AH154" s="61" t="s">
        <v>354</v>
      </c>
      <c r="AI154" s="113">
        <f>IFERROR(aurora_data!U1424,0)</f>
        <v>2</v>
      </c>
      <c r="AJ154" s="255">
        <f t="shared" si="70"/>
        <v>0.1111111111111111</v>
      </c>
    </row>
    <row r="155" spans="1:36" customFormat="1">
      <c r="A155" s="2"/>
      <c r="B155" s="452"/>
      <c r="C155" s="454"/>
      <c r="D155" s="35" t="s">
        <v>340</v>
      </c>
      <c r="E155" s="113">
        <f>IFERROR(aurora_data!D1425,0)</f>
        <v>0</v>
      </c>
      <c r="F155" s="253">
        <f>IFERROR(aurora_data!E1425,0)</f>
        <v>0</v>
      </c>
      <c r="G155" s="253">
        <f>IFERROR(aurora_data!F1425,0)</f>
        <v>0</v>
      </c>
      <c r="H155" s="253">
        <f>IFERROR(aurora_data!G1425,0)</f>
        <v>0</v>
      </c>
      <c r="I155" s="254">
        <f>IFERROR(aurora_data!H1425,0)</f>
        <v>0</v>
      </c>
      <c r="J155" s="113">
        <f>IFERROR(aurora_data!I1425,0)</f>
        <v>0</v>
      </c>
      <c r="K155" s="253">
        <f>IFERROR(aurora_data!J1425,0)</f>
        <v>0</v>
      </c>
      <c r="L155" s="253">
        <f>IFERROR(aurora_data!K1425,0)</f>
        <v>0</v>
      </c>
      <c r="M155" s="253">
        <f>IFERROR(aurora_data!L1425,0)</f>
        <v>0</v>
      </c>
      <c r="N155" s="254">
        <f>IFERROR(aurora_data!M1425,0)</f>
        <v>0</v>
      </c>
      <c r="O155" s="113">
        <f>IFERROR(aurora_data!N1425,0)</f>
        <v>0</v>
      </c>
      <c r="P155" s="253">
        <f>IFERROR(aurora_data!O1425,0)</f>
        <v>0</v>
      </c>
      <c r="Q155" s="253">
        <f>IFERROR(aurora_data!P1425,0)</f>
        <v>0</v>
      </c>
      <c r="R155" s="254">
        <f>IFERROR(aurora_data!Q1425,0)</f>
        <v>0</v>
      </c>
      <c r="S155" s="253">
        <f>IFERROR(aurora_data!R1425,0)</f>
        <v>0</v>
      </c>
      <c r="T155" s="253">
        <f>IFERROR(aurora_data!S1425,0)</f>
        <v>0</v>
      </c>
      <c r="U155" s="254">
        <f>IFERROR(aurora_data!T1025,0)</f>
        <v>0</v>
      </c>
      <c r="V155" s="61" t="s">
        <v>354</v>
      </c>
      <c r="W155" s="113">
        <f>IFERROR(aurora_data!U1425,0)</f>
        <v>0</v>
      </c>
      <c r="X155" s="255">
        <f t="shared" si="71"/>
        <v>0</v>
      </c>
      <c r="Y155" s="2"/>
      <c r="AA155" s="452"/>
      <c r="AB155" s="454"/>
      <c r="AC155" s="35" t="s">
        <v>340</v>
      </c>
      <c r="AD155" s="113">
        <f>IFERROR(aurora_data!D1425,0)+IFERROR(aurora_data!E1425,0)</f>
        <v>0</v>
      </c>
      <c r="AE155" s="253">
        <f>IFERROR(aurora_data!F1425,0)</f>
        <v>0</v>
      </c>
      <c r="AF155" s="253">
        <f>IFERROR(aurora_data!G1425,0)</f>
        <v>0</v>
      </c>
      <c r="AG155" s="254">
        <f>IFERROR(aurora_data!H1425,0)</f>
        <v>0</v>
      </c>
      <c r="AH155" s="61" t="s">
        <v>354</v>
      </c>
      <c r="AI155" s="113">
        <f>IFERROR(aurora_data!U1425,0)</f>
        <v>0</v>
      </c>
      <c r="AJ155" s="255">
        <f t="shared" si="70"/>
        <v>0</v>
      </c>
    </row>
    <row r="156" spans="1:36" customFormat="1">
      <c r="A156" s="2"/>
      <c r="B156" s="452"/>
      <c r="C156" s="454"/>
      <c r="D156" s="35" t="s">
        <v>298</v>
      </c>
      <c r="E156" s="113">
        <f>IFERROR(aurora_data!D1426,0)</f>
        <v>0</v>
      </c>
      <c r="F156" s="253">
        <f>IFERROR(aurora_data!E1426,0)</f>
        <v>0</v>
      </c>
      <c r="G156" s="253">
        <f>IFERROR(aurora_data!F1426,0)</f>
        <v>0</v>
      </c>
      <c r="H156" s="253">
        <f>IFERROR(aurora_data!G1426,0)</f>
        <v>0</v>
      </c>
      <c r="I156" s="254">
        <f>IFERROR(aurora_data!H1426,0)</f>
        <v>0</v>
      </c>
      <c r="J156" s="113">
        <f>IFERROR(aurora_data!I1426,0)</f>
        <v>0</v>
      </c>
      <c r="K156" s="253">
        <f>IFERROR(aurora_data!J1426,0)</f>
        <v>0</v>
      </c>
      <c r="L156" s="253">
        <f>IFERROR(aurora_data!K1426,0)</f>
        <v>0</v>
      </c>
      <c r="M156" s="253">
        <f>IFERROR(aurora_data!L1426,0)</f>
        <v>0</v>
      </c>
      <c r="N156" s="254">
        <f>IFERROR(aurora_data!M1426,0)</f>
        <v>0</v>
      </c>
      <c r="O156" s="113">
        <f>IFERROR(aurora_data!N1426,0)</f>
        <v>0</v>
      </c>
      <c r="P156" s="253">
        <f>IFERROR(aurora_data!O1426,0)</f>
        <v>0</v>
      </c>
      <c r="Q156" s="253">
        <f>IFERROR(aurora_data!P1426,0)</f>
        <v>0</v>
      </c>
      <c r="R156" s="254">
        <f>IFERROR(aurora_data!Q1426,0)</f>
        <v>0</v>
      </c>
      <c r="S156" s="253">
        <f>IFERROR(aurora_data!R1426,0)</f>
        <v>0</v>
      </c>
      <c r="T156" s="253">
        <f>IFERROR(aurora_data!S1426,0)</f>
        <v>0</v>
      </c>
      <c r="U156" s="254">
        <f>IFERROR(aurora_data!T1026,0)</f>
        <v>0</v>
      </c>
      <c r="V156" s="61" t="s">
        <v>354</v>
      </c>
      <c r="W156" s="113">
        <f>IFERROR(aurora_data!U1426,0)</f>
        <v>0</v>
      </c>
      <c r="X156" s="255">
        <f t="shared" si="71"/>
        <v>0</v>
      </c>
      <c r="Y156" s="2"/>
      <c r="AA156" s="452"/>
      <c r="AB156" s="454"/>
      <c r="AC156" s="35" t="s">
        <v>298</v>
      </c>
      <c r="AD156" s="113">
        <f>IFERROR(aurora_data!D1426,0)+IFERROR(aurora_data!E1426,0)</f>
        <v>0</v>
      </c>
      <c r="AE156" s="253">
        <f>IFERROR(aurora_data!F1426,0)</f>
        <v>0</v>
      </c>
      <c r="AF156" s="253">
        <f>IFERROR(aurora_data!G1426,0)</f>
        <v>0</v>
      </c>
      <c r="AG156" s="254">
        <f>IFERROR(aurora_data!H1426,0)</f>
        <v>0</v>
      </c>
      <c r="AH156" s="61" t="s">
        <v>354</v>
      </c>
      <c r="AI156" s="113">
        <f>IFERROR(aurora_data!U1426,0)</f>
        <v>0</v>
      </c>
      <c r="AJ156" s="255">
        <f t="shared" si="70"/>
        <v>0</v>
      </c>
    </row>
    <row r="157" spans="1:36" customFormat="1">
      <c r="A157" s="2"/>
      <c r="B157" s="452"/>
      <c r="C157" s="454"/>
      <c r="D157" s="35" t="s">
        <v>341</v>
      </c>
      <c r="E157" s="113">
        <f>IFERROR(aurora_data!D1427,0)</f>
        <v>0</v>
      </c>
      <c r="F157" s="253">
        <f>IFERROR(aurora_data!E1427,0)</f>
        <v>0</v>
      </c>
      <c r="G157" s="253">
        <f>IFERROR(aurora_data!F1427,0)</f>
        <v>2</v>
      </c>
      <c r="H157" s="253">
        <f>IFERROR(aurora_data!G1427,0)</f>
        <v>0</v>
      </c>
      <c r="I157" s="254">
        <f>IFERROR(aurora_data!H1427,0)</f>
        <v>0</v>
      </c>
      <c r="J157" s="113">
        <f>IFERROR(aurora_data!I1427,0)</f>
        <v>0</v>
      </c>
      <c r="K157" s="253">
        <f>IFERROR(aurora_data!J1427,0)</f>
        <v>1</v>
      </c>
      <c r="L157" s="253">
        <f>IFERROR(aurora_data!K1427,0)</f>
        <v>1</v>
      </c>
      <c r="M157" s="253">
        <f>IFERROR(aurora_data!L1427,0)</f>
        <v>0</v>
      </c>
      <c r="N157" s="254">
        <f>IFERROR(aurora_data!M1427,0)</f>
        <v>0</v>
      </c>
      <c r="O157" s="113">
        <f>IFERROR(aurora_data!N1427,0)</f>
        <v>1</v>
      </c>
      <c r="P157" s="253">
        <f>IFERROR(aurora_data!O1427,0)</f>
        <v>0</v>
      </c>
      <c r="Q157" s="253">
        <f>IFERROR(aurora_data!P1427,0)</f>
        <v>1</v>
      </c>
      <c r="R157" s="254">
        <f>IFERROR(aurora_data!Q1427,0)</f>
        <v>0</v>
      </c>
      <c r="S157" s="253">
        <f>IFERROR(aurora_data!R1427,0)</f>
        <v>1</v>
      </c>
      <c r="T157" s="253">
        <f>IFERROR(aurora_data!S1427,0)</f>
        <v>1</v>
      </c>
      <c r="U157" s="254">
        <f>IFERROR(aurora_data!T1027,0)</f>
        <v>0</v>
      </c>
      <c r="V157" s="61" t="s">
        <v>354</v>
      </c>
      <c r="W157" s="113">
        <f>IFERROR(aurora_data!U1427,0)</f>
        <v>2</v>
      </c>
      <c r="X157" s="255">
        <f t="shared" si="71"/>
        <v>0.1111111111111111</v>
      </c>
      <c r="Y157" s="2"/>
      <c r="AA157" s="452"/>
      <c r="AB157" s="454"/>
      <c r="AC157" s="35" t="s">
        <v>341</v>
      </c>
      <c r="AD157" s="113">
        <f>IFERROR(aurora_data!D1427,0)+IFERROR(aurora_data!E1427,0)</f>
        <v>0</v>
      </c>
      <c r="AE157" s="253">
        <f>IFERROR(aurora_data!F1427,0)</f>
        <v>2</v>
      </c>
      <c r="AF157" s="253">
        <f>IFERROR(aurora_data!G1427,0)</f>
        <v>0</v>
      </c>
      <c r="AG157" s="254">
        <f>IFERROR(aurora_data!H1427,0)</f>
        <v>0</v>
      </c>
      <c r="AH157" s="61" t="s">
        <v>354</v>
      </c>
      <c r="AI157" s="113">
        <f>IFERROR(aurora_data!U1427,0)</f>
        <v>2</v>
      </c>
      <c r="AJ157" s="255">
        <f t="shared" si="70"/>
        <v>0.1111111111111111</v>
      </c>
    </row>
    <row r="158" spans="1:36" customFormat="1" ht="16.5" thickBot="1">
      <c r="A158" s="2"/>
      <c r="B158" s="452"/>
      <c r="C158" s="454"/>
      <c r="D158" s="35" t="s">
        <v>342</v>
      </c>
      <c r="E158" s="113">
        <f>IFERROR(aurora_data!D1428,0)</f>
        <v>0</v>
      </c>
      <c r="F158" s="253">
        <f>IFERROR(aurora_data!E1428,0)</f>
        <v>0</v>
      </c>
      <c r="G158" s="253">
        <f>IFERROR(aurora_data!F1428,0)</f>
        <v>0</v>
      </c>
      <c r="H158" s="253">
        <f>IFERROR(aurora_data!G1428,0)</f>
        <v>0</v>
      </c>
      <c r="I158" s="254">
        <f>IFERROR(aurora_data!H1428,0)</f>
        <v>0</v>
      </c>
      <c r="J158" s="113">
        <f>IFERROR(aurora_data!I1428,0)</f>
        <v>0</v>
      </c>
      <c r="K158" s="253">
        <f>IFERROR(aurora_data!J1428,0)</f>
        <v>0</v>
      </c>
      <c r="L158" s="253">
        <f>IFERROR(aurora_data!K1428,0)</f>
        <v>0</v>
      </c>
      <c r="M158" s="253">
        <f>IFERROR(aurora_data!L1428,0)</f>
        <v>0</v>
      </c>
      <c r="N158" s="254">
        <f>IFERROR(aurora_data!M1428,0)</f>
        <v>0</v>
      </c>
      <c r="O158" s="113">
        <f>IFERROR(aurora_data!N1428,0)</f>
        <v>0</v>
      </c>
      <c r="P158" s="253">
        <f>IFERROR(aurora_data!O1428,0)</f>
        <v>0</v>
      </c>
      <c r="Q158" s="253">
        <f>IFERROR(aurora_data!P1428,0)</f>
        <v>0</v>
      </c>
      <c r="R158" s="254">
        <f>IFERROR(aurora_data!Q1428,0)</f>
        <v>0</v>
      </c>
      <c r="S158" s="253">
        <f>IFERROR(aurora_data!R1428,0)</f>
        <v>0</v>
      </c>
      <c r="T158" s="253">
        <f>IFERROR(aurora_data!S1428,0)</f>
        <v>0</v>
      </c>
      <c r="U158" s="254">
        <f>IFERROR(aurora_data!T1028,0)</f>
        <v>0</v>
      </c>
      <c r="V158" s="61" t="s">
        <v>354</v>
      </c>
      <c r="W158" s="113">
        <f>IFERROR(aurora_data!U1428,0)</f>
        <v>0</v>
      </c>
      <c r="X158" s="255">
        <f t="shared" si="71"/>
        <v>0</v>
      </c>
      <c r="Y158" s="2"/>
      <c r="AA158" s="452"/>
      <c r="AB158" s="454"/>
      <c r="AC158" s="35" t="s">
        <v>342</v>
      </c>
      <c r="AD158" s="113">
        <f>IFERROR(aurora_data!D1428,0)+IFERROR(aurora_data!E1428,0)</f>
        <v>0</v>
      </c>
      <c r="AE158" s="253">
        <f>IFERROR(aurora_data!F1428,0)</f>
        <v>0</v>
      </c>
      <c r="AF158" s="253">
        <f>IFERROR(aurora_data!G1428,0)</f>
        <v>0</v>
      </c>
      <c r="AG158" s="254">
        <f>IFERROR(aurora_data!H1428,0)</f>
        <v>0</v>
      </c>
      <c r="AH158" s="61" t="s">
        <v>354</v>
      </c>
      <c r="AI158" s="113">
        <f>IFERROR(aurora_data!U1428,0)</f>
        <v>0</v>
      </c>
      <c r="AJ158" s="255">
        <f t="shared" si="70"/>
        <v>0</v>
      </c>
    </row>
    <row r="159" spans="1:36" customFormat="1" ht="16.5" thickBot="1">
      <c r="A159" s="2"/>
      <c r="B159" s="452"/>
      <c r="C159" s="454"/>
      <c r="D159" s="37" t="s">
        <v>17</v>
      </c>
      <c r="E159" s="59">
        <f>IFERROR(aurora_data!D1429,0)</f>
        <v>1</v>
      </c>
      <c r="F159" s="64">
        <f>IFERROR(aurora_data!E1429,0)</f>
        <v>1</v>
      </c>
      <c r="G159" s="64">
        <f>IFERROR(aurora_data!F1429,0)</f>
        <v>4</v>
      </c>
      <c r="H159" s="64">
        <f>IFERROR(aurora_data!G1429,0)</f>
        <v>7</v>
      </c>
      <c r="I159" s="65">
        <f>IFERROR(aurora_data!H1429,0)</f>
        <v>7</v>
      </c>
      <c r="J159" s="59">
        <f>IFERROR(aurora_data!I1429,0)</f>
        <v>3</v>
      </c>
      <c r="K159" s="64">
        <f>IFERROR(aurora_data!J1429,0)</f>
        <v>3</v>
      </c>
      <c r="L159" s="64">
        <f>IFERROR(aurora_data!K1429,0)</f>
        <v>4</v>
      </c>
      <c r="M159" s="64">
        <f>IFERROR(aurora_data!L1429,0)</f>
        <v>3</v>
      </c>
      <c r="N159" s="65">
        <f>IFERROR(aurora_data!M1429,0)</f>
        <v>7</v>
      </c>
      <c r="O159" s="59">
        <f>IFERROR(aurora_data!N1429,0)</f>
        <v>4</v>
      </c>
      <c r="P159" s="64">
        <f>IFERROR(aurora_data!O1429,0)</f>
        <v>4</v>
      </c>
      <c r="Q159" s="64">
        <f>IFERROR(aurora_data!P1429,0)</f>
        <v>6</v>
      </c>
      <c r="R159" s="65">
        <f>IFERROR(aurora_data!Q1429,0)</f>
        <v>6</v>
      </c>
      <c r="S159" s="64">
        <f>IFERROR(aurora_data!R1429,0)</f>
        <v>9</v>
      </c>
      <c r="T159" s="64">
        <f>IFERROR(aurora_data!S1429,0)</f>
        <v>11</v>
      </c>
      <c r="U159" s="65">
        <f>IFERROR(aurora_data!T1029,0)</f>
        <v>0</v>
      </c>
      <c r="V159" s="66" t="s">
        <v>354</v>
      </c>
      <c r="W159" s="59">
        <f>IFERROR(aurora_data!U1429,0)</f>
        <v>20</v>
      </c>
      <c r="X159" s="70">
        <f t="shared" si="71"/>
        <v>1.1111111111111112</v>
      </c>
      <c r="Y159" s="2"/>
      <c r="AA159" s="452"/>
      <c r="AB159" s="454"/>
      <c r="AC159" s="360" t="s">
        <v>17</v>
      </c>
      <c r="AD159" s="59">
        <f>IFERROR(aurora_data!D1429,0)+IFERROR(aurora_data!E1429,0)</f>
        <v>2</v>
      </c>
      <c r="AE159" s="64">
        <f>IFERROR(aurora_data!F1429,0)</f>
        <v>4</v>
      </c>
      <c r="AF159" s="64">
        <f>IFERROR(aurora_data!G1429,0)</f>
        <v>7</v>
      </c>
      <c r="AG159" s="65">
        <f>IFERROR(aurora_data!H1429,0)</f>
        <v>7</v>
      </c>
      <c r="AH159" s="66" t="s">
        <v>354</v>
      </c>
      <c r="AI159" s="59">
        <f>IFERROR(aurora_data!U1429,0)</f>
        <v>20</v>
      </c>
      <c r="AJ159" s="70">
        <f t="shared" si="70"/>
        <v>1.1111111111111112</v>
      </c>
    </row>
    <row r="160" spans="1:36" customFormat="1" ht="16.5" thickBot="1">
      <c r="A160" s="2"/>
      <c r="B160" s="452"/>
      <c r="C160" s="454"/>
      <c r="D160" s="38" t="s">
        <v>343</v>
      </c>
      <c r="E160" s="256">
        <f>IFERROR(aurora_data!D1430,0)</f>
        <v>0</v>
      </c>
      <c r="F160" s="257">
        <f>IFERROR(aurora_data!E1430,0)</f>
        <v>0</v>
      </c>
      <c r="G160" s="257">
        <f>IFERROR(aurora_data!F1430,0)</f>
        <v>0</v>
      </c>
      <c r="H160" s="257">
        <f>IFERROR(aurora_data!G1430,0)</f>
        <v>0</v>
      </c>
      <c r="I160" s="258">
        <f>IFERROR(aurora_data!H1430,0)</f>
        <v>0</v>
      </c>
      <c r="J160" s="256">
        <f>IFERROR(aurora_data!I1430,0)</f>
        <v>0</v>
      </c>
      <c r="K160" s="257">
        <f>IFERROR(aurora_data!J1430,0)</f>
        <v>0</v>
      </c>
      <c r="L160" s="257">
        <f>IFERROR(aurora_data!K1430,0)</f>
        <v>0</v>
      </c>
      <c r="M160" s="257">
        <f>IFERROR(aurora_data!L1430,0)</f>
        <v>0</v>
      </c>
      <c r="N160" s="258">
        <f>IFERROR(aurora_data!M1430,0)</f>
        <v>0</v>
      </c>
      <c r="O160" s="256">
        <f>IFERROR(aurora_data!N1430,0)</f>
        <v>0</v>
      </c>
      <c r="P160" s="257">
        <f>IFERROR(aurora_data!O1430,0)</f>
        <v>0</v>
      </c>
      <c r="Q160" s="257">
        <f>IFERROR(aurora_data!P1430,0)</f>
        <v>0</v>
      </c>
      <c r="R160" s="258">
        <f>IFERROR(aurora_data!Q1430,0)</f>
        <v>0</v>
      </c>
      <c r="S160" s="257">
        <f>IFERROR(aurora_data!R1430,0)</f>
        <v>0</v>
      </c>
      <c r="T160" s="257">
        <f>IFERROR(aurora_data!S1430,0)</f>
        <v>0</v>
      </c>
      <c r="U160" s="259">
        <f>IFERROR(aurora_data!T1030,0)</f>
        <v>0</v>
      </c>
      <c r="V160" s="260" t="s">
        <v>354</v>
      </c>
      <c r="W160" s="256">
        <f>IFERROR(aurora_data!U1430,0)</f>
        <v>0</v>
      </c>
      <c r="X160" s="261">
        <f t="shared" si="71"/>
        <v>0</v>
      </c>
      <c r="Y160" s="2"/>
      <c r="AA160" s="452"/>
      <c r="AB160" s="454"/>
      <c r="AC160" s="38" t="s">
        <v>343</v>
      </c>
      <c r="AD160" s="256">
        <f>IFERROR(aurora_data!D1430,0)+IFERROR(aurora_data!E1430,0)</f>
        <v>0</v>
      </c>
      <c r="AE160" s="257">
        <f>IFERROR(aurora_data!F1430,0)</f>
        <v>0</v>
      </c>
      <c r="AF160" s="257">
        <f>IFERROR(aurora_data!G1430,0)</f>
        <v>0</v>
      </c>
      <c r="AG160" s="258">
        <f>IFERROR(aurora_data!H1430,0)</f>
        <v>0</v>
      </c>
      <c r="AH160" s="260" t="s">
        <v>354</v>
      </c>
      <c r="AI160" s="256">
        <f>IFERROR(aurora_data!U1430,0)</f>
        <v>0</v>
      </c>
      <c r="AJ160" s="261">
        <f t="shared" si="70"/>
        <v>0</v>
      </c>
    </row>
    <row r="161" spans="1:36" customFormat="1" ht="16.5" outlineLevel="1" thickBot="1">
      <c r="A161" s="2"/>
      <c r="B161" s="147"/>
      <c r="C161" s="227"/>
      <c r="D161" s="199" t="s">
        <v>344</v>
      </c>
      <c r="E161" s="276">
        <f>(E163+$E$9)*($W152)</f>
        <v>1.08</v>
      </c>
      <c r="F161" s="277">
        <f>(F163+$E$9)*($W152)</f>
        <v>1.51</v>
      </c>
      <c r="G161" s="277">
        <f>(G163+$E$9)*($W152)</f>
        <v>4</v>
      </c>
      <c r="H161" s="277">
        <f>(H163+$E$9)*($W152)</f>
        <v>6.04</v>
      </c>
      <c r="I161" s="277">
        <f>(I163+$E$9)*($W152)</f>
        <v>7.16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A161" s="147"/>
      <c r="AB161" s="227"/>
      <c r="AC161" s="297"/>
      <c r="AD161" s="327"/>
      <c r="AE161" s="328"/>
      <c r="AF161" s="328"/>
      <c r="AG161" s="297"/>
      <c r="AH161" s="298"/>
      <c r="AI161" s="294"/>
      <c r="AJ161" s="299"/>
    </row>
    <row r="162" spans="1:36" customFormat="1" ht="16.5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0.61</v>
      </c>
      <c r="F162" s="277">
        <f>IF(ROUND(((F163-$E$9)*($W152))+0.25,0) &lt;=0,1,((F163-$E$9)*($W152))+0.25)</f>
        <v>1.0399999999999998</v>
      </c>
      <c r="G162" s="277">
        <f t="shared" ref="G162:I162" si="72">IF(ROUND(((G163-$E$9)*($W152))+0.25,0) &lt;=0,1,((G163-$E$9)*($W152))+0.25)</f>
        <v>3.5300000000000002</v>
      </c>
      <c r="H162" s="277">
        <f t="shared" si="72"/>
        <v>5.5699999999999994</v>
      </c>
      <c r="I162" s="277">
        <f t="shared" si="72"/>
        <v>6.6899999999999995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A162" s="147"/>
      <c r="AB162" s="227"/>
      <c r="AC162" s="296"/>
      <c r="AD162" s="294"/>
      <c r="AE162" s="295"/>
      <c r="AF162" s="295"/>
      <c r="AG162" s="296"/>
      <c r="AH162" s="298"/>
      <c r="AI162" s="294"/>
      <c r="AJ162" s="299"/>
    </row>
    <row r="163" spans="1:36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3">IFERROR(F152/$W152,0)</f>
        <v>6.3888888888888884E-2</v>
      </c>
      <c r="G163" s="415">
        <f>IFERROR(G152/$W152,0)</f>
        <v>0.20222222222222222</v>
      </c>
      <c r="H163" s="415">
        <f t="shared" ref="H163" si="74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A163" s="147"/>
      <c r="AB163" s="227"/>
      <c r="AC163" s="296"/>
      <c r="AD163" s="294"/>
      <c r="AE163" s="295"/>
      <c r="AF163" s="295"/>
      <c r="AG163" s="296"/>
      <c r="AH163" s="298"/>
      <c r="AI163" s="294"/>
      <c r="AJ163" s="299"/>
    </row>
    <row r="164" spans="1:36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5.5555555555555552E-2</v>
      </c>
      <c r="F164" s="415">
        <f t="shared" ref="F164:I164" si="75">IFERROR(F153/$W152,0)</f>
        <v>5.5555555555555552E-2</v>
      </c>
      <c r="G164" s="415">
        <f t="shared" si="75"/>
        <v>0.1111111111111111</v>
      </c>
      <c r="H164" s="415">
        <f t="shared" si="75"/>
        <v>0.33333333333333331</v>
      </c>
      <c r="I164" s="415">
        <f t="shared" si="75"/>
        <v>0.33333333333333331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A164" s="147"/>
      <c r="AB164" s="227"/>
      <c r="AC164" s="296"/>
      <c r="AD164" s="294"/>
      <c r="AE164" s="295"/>
      <c r="AF164" s="295"/>
      <c r="AG164" s="296"/>
      <c r="AH164" s="298"/>
      <c r="AI164" s="294"/>
      <c r="AJ164" s="299"/>
    </row>
    <row r="165" spans="1:36" customFormat="1" ht="16.5" hidden="1" outlineLevel="1" thickBot="1">
      <c r="A165" s="2"/>
      <c r="B165" s="147"/>
      <c r="C165" s="227"/>
      <c r="D165" s="180" t="s">
        <v>348</v>
      </c>
      <c r="E165" s="414">
        <f>E164-E163</f>
        <v>1.5555555555555552E-2</v>
      </c>
      <c r="F165" s="415">
        <f t="shared" ref="F165:I165" si="76">F164-F163</f>
        <v>-8.3333333333333315E-3</v>
      </c>
      <c r="G165" s="415">
        <f t="shared" si="76"/>
        <v>-9.1111111111111115E-2</v>
      </c>
      <c r="H165" s="415">
        <f t="shared" si="76"/>
        <v>1.7777777777777781E-2</v>
      </c>
      <c r="I165" s="415">
        <f t="shared" si="76"/>
        <v>-4.4444444444444453E-2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A165" s="147"/>
      <c r="AB165" s="227"/>
      <c r="AC165" s="331"/>
      <c r="AD165" s="329"/>
      <c r="AE165" s="330"/>
      <c r="AF165" s="330"/>
      <c r="AG165" s="331"/>
      <c r="AH165" s="298"/>
      <c r="AI165" s="294"/>
      <c r="AJ165" s="299"/>
    </row>
    <row r="166" spans="1:36" customFormat="1">
      <c r="A166" s="2"/>
      <c r="B166" s="451" t="s">
        <v>338</v>
      </c>
      <c r="C166" s="449" t="s">
        <v>150</v>
      </c>
      <c r="D166" s="34" t="s">
        <v>306</v>
      </c>
      <c r="E166" s="39">
        <f>IFERROR(aurora_data!D1431,0)</f>
        <v>6.67</v>
      </c>
      <c r="F166" s="40">
        <f>IFERROR(aurora_data!E1431,0)</f>
        <v>11.77</v>
      </c>
      <c r="G166" s="40">
        <f>IFERROR(aurora_data!F1431,0)</f>
        <v>39.909999999999997</v>
      </c>
      <c r="H166" s="40">
        <f>IFERROR(aurora_data!G1431,0)</f>
        <v>63.87</v>
      </c>
      <c r="I166" s="41">
        <f>IFERROR(aurora_data!H1431,0)</f>
        <v>77.8</v>
      </c>
      <c r="J166" s="39">
        <f>IFERROR(aurora_data!I1431,0)</f>
        <v>11</v>
      </c>
      <c r="K166" s="40">
        <f>IFERROR(aurora_data!J1431,0)</f>
        <v>11</v>
      </c>
      <c r="L166" s="40">
        <f>IFERROR(aurora_data!K1431,0)</f>
        <v>11</v>
      </c>
      <c r="M166" s="40">
        <f>IFERROR(aurora_data!L1431,0)</f>
        <v>11</v>
      </c>
      <c r="N166" s="41">
        <f>IFERROR(aurora_data!M1431,0)</f>
        <v>11</v>
      </c>
      <c r="O166" s="39">
        <f>IFERROR(aurora_data!N1431,0)</f>
        <v>11</v>
      </c>
      <c r="P166" s="40">
        <f>IFERROR(aurora_data!O1431,0)</f>
        <v>11</v>
      </c>
      <c r="Q166" s="40">
        <f>IFERROR(aurora_data!P1431,0)</f>
        <v>11</v>
      </c>
      <c r="R166" s="41">
        <f>IFERROR(aurora_data!Q1431,0)</f>
        <v>11</v>
      </c>
      <c r="S166" s="40">
        <f>IFERROR(aurora_data!R1431,0)</f>
        <v>11</v>
      </c>
      <c r="T166" s="40">
        <f>IFERROR(aurora_data!S1431,0)</f>
        <v>11</v>
      </c>
      <c r="U166" s="41">
        <f>IFERROR(aurora_data!T1031,0)</f>
        <v>0</v>
      </c>
      <c r="V166" s="61" t="s">
        <v>354</v>
      </c>
      <c r="W166" s="39">
        <f>IFERROR(aurora_data!U1431,0)</f>
        <v>200</v>
      </c>
      <c r="X166" s="69">
        <f>IFERROR(W166/$W$166,0)</f>
        <v>1</v>
      </c>
      <c r="Y166" s="2"/>
      <c r="AA166" s="451" t="s">
        <v>338</v>
      </c>
      <c r="AB166" s="589" t="s">
        <v>150</v>
      </c>
      <c r="AC166" s="34" t="s">
        <v>306</v>
      </c>
      <c r="AD166" s="332">
        <v>22</v>
      </c>
      <c r="AE166" s="334">
        <v>44</v>
      </c>
      <c r="AF166" s="334">
        <v>66</v>
      </c>
      <c r="AG166" s="333">
        <v>68</v>
      </c>
      <c r="AH166" s="61" t="s">
        <v>354</v>
      </c>
      <c r="AI166" s="39">
        <f>IFERROR(aurora_data!U1431,0)</f>
        <v>200</v>
      </c>
      <c r="AJ166" s="69">
        <f t="shared" ref="AJ166:AJ174" si="77">IFERROR(AI166/$AI$166,0)</f>
        <v>1</v>
      </c>
    </row>
    <row r="167" spans="1:36" customFormat="1" ht="16.5" customHeight="1">
      <c r="A167" s="2"/>
      <c r="B167" s="452"/>
      <c r="C167" s="450"/>
      <c r="D167" s="35" t="s">
        <v>339</v>
      </c>
      <c r="E167" s="113">
        <f>IFERROR(aurora_data!D1432,0)</f>
        <v>10</v>
      </c>
      <c r="F167" s="253">
        <f>IFERROR(aurora_data!E1432,0)</f>
        <v>13</v>
      </c>
      <c r="G167" s="253">
        <f>IFERROR(aurora_data!F1432,0)</f>
        <v>41</v>
      </c>
      <c r="H167" s="253">
        <f>IFERROR(aurora_data!G1432,0)</f>
        <v>63</v>
      </c>
      <c r="I167" s="254">
        <f>IFERROR(aurora_data!H1432,0)</f>
        <v>70</v>
      </c>
      <c r="J167" s="113">
        <f>IFERROR(aurora_data!I1432,0)</f>
        <v>14</v>
      </c>
      <c r="K167" s="253">
        <f>IFERROR(aurora_data!J1432,0)</f>
        <v>29</v>
      </c>
      <c r="L167" s="253">
        <f>IFERROR(aurora_data!K1432,0)</f>
        <v>45</v>
      </c>
      <c r="M167" s="253">
        <f>IFERROR(aurora_data!L1432,0)</f>
        <v>19</v>
      </c>
      <c r="N167" s="254">
        <f>IFERROR(aurora_data!M1432,0)</f>
        <v>90</v>
      </c>
      <c r="O167" s="113">
        <f>IFERROR(aurora_data!N1432,0)</f>
        <v>64</v>
      </c>
      <c r="P167" s="253">
        <f>IFERROR(aurora_data!O1432,0)</f>
        <v>40</v>
      </c>
      <c r="Q167" s="253">
        <f>IFERROR(aurora_data!P1432,0)</f>
        <v>60</v>
      </c>
      <c r="R167" s="254">
        <f>IFERROR(aurora_data!Q1432,0)</f>
        <v>33</v>
      </c>
      <c r="S167" s="253">
        <f>IFERROR(aurora_data!R1432,0)</f>
        <v>103</v>
      </c>
      <c r="T167" s="253">
        <f>IFERROR(aurora_data!S1432,0)</f>
        <v>94</v>
      </c>
      <c r="U167" s="254">
        <f>IFERROR(aurora_data!T1032,0)</f>
        <v>0</v>
      </c>
      <c r="V167" s="61" t="s">
        <v>354</v>
      </c>
      <c r="W167" s="113">
        <f>IFERROR(aurora_data!U1432,0)</f>
        <v>197</v>
      </c>
      <c r="X167" s="255">
        <f t="shared" ref="X167:X174" si="78">IFERROR(W167/$W$166,0)</f>
        <v>0.98499999999999999</v>
      </c>
      <c r="Y167" s="2"/>
      <c r="AA167" s="452"/>
      <c r="AB167" s="590"/>
      <c r="AC167" s="35" t="s">
        <v>339</v>
      </c>
      <c r="AD167" s="113">
        <f>IFERROR(aurora_data!D1432,0)+IFERROR(aurora_data!E1432,0)</f>
        <v>23</v>
      </c>
      <c r="AE167" s="253">
        <f>IFERROR(aurora_data!F1432,0)</f>
        <v>41</v>
      </c>
      <c r="AF167" s="253">
        <f>IFERROR(aurora_data!G1432,0)</f>
        <v>63</v>
      </c>
      <c r="AG167" s="254">
        <f>IFERROR(aurora_data!H1432,0)</f>
        <v>70</v>
      </c>
      <c r="AH167" s="61" t="s">
        <v>354</v>
      </c>
      <c r="AI167" s="113">
        <f>IFERROR(aurora_data!U1432,0)</f>
        <v>197</v>
      </c>
      <c r="AJ167" s="255">
        <f t="shared" si="77"/>
        <v>0.98499999999999999</v>
      </c>
    </row>
    <row r="168" spans="1:36" customFormat="1" ht="16.5" customHeight="1">
      <c r="A168" s="2"/>
      <c r="B168" s="452"/>
      <c r="C168" s="450"/>
      <c r="D168" s="35" t="s">
        <v>291</v>
      </c>
      <c r="E168" s="113">
        <f>IFERROR(aurora_data!D1433,0)</f>
        <v>1</v>
      </c>
      <c r="F168" s="253">
        <f>IFERROR(aurora_data!E1433,0)</f>
        <v>1</v>
      </c>
      <c r="G168" s="253">
        <f>IFERROR(aurora_data!F1433,0)</f>
        <v>3</v>
      </c>
      <c r="H168" s="253">
        <f>IFERROR(aurora_data!G1433,0)</f>
        <v>6</v>
      </c>
      <c r="I168" s="254">
        <f>IFERROR(aurora_data!H1433,0)</f>
        <v>10</v>
      </c>
      <c r="J168" s="113">
        <f>IFERROR(aurora_data!I1433,0)</f>
        <v>0</v>
      </c>
      <c r="K168" s="253">
        <f>IFERROR(aurora_data!J1433,0)</f>
        <v>1</v>
      </c>
      <c r="L168" s="253">
        <f>IFERROR(aurora_data!K1433,0)</f>
        <v>4</v>
      </c>
      <c r="M168" s="253">
        <f>IFERROR(aurora_data!L1433,0)</f>
        <v>0</v>
      </c>
      <c r="N168" s="254">
        <f>IFERROR(aurora_data!M1433,0)</f>
        <v>16</v>
      </c>
      <c r="O168" s="113">
        <f>IFERROR(aurora_data!N1433,0)</f>
        <v>5</v>
      </c>
      <c r="P168" s="253">
        <f>IFERROR(aurora_data!O1433,0)</f>
        <v>4</v>
      </c>
      <c r="Q168" s="253">
        <f>IFERROR(aurora_data!P1433,0)</f>
        <v>10</v>
      </c>
      <c r="R168" s="254">
        <f>IFERROR(aurora_data!Q1433,0)</f>
        <v>2</v>
      </c>
      <c r="S168" s="253">
        <f>IFERROR(aurora_data!R1433,0)</f>
        <v>15</v>
      </c>
      <c r="T168" s="253">
        <f>IFERROR(aurora_data!S1433,0)</f>
        <v>6</v>
      </c>
      <c r="U168" s="254">
        <f>IFERROR(aurora_data!T1033,0)</f>
        <v>0</v>
      </c>
      <c r="V168" s="61" t="s">
        <v>354</v>
      </c>
      <c r="W168" s="113">
        <f>IFERROR(aurora_data!U1433,0)</f>
        <v>21</v>
      </c>
      <c r="X168" s="255">
        <f t="shared" si="78"/>
        <v>0.105</v>
      </c>
      <c r="Y168" s="2"/>
      <c r="AA168" s="452"/>
      <c r="AB168" s="590"/>
      <c r="AC168" s="35" t="s">
        <v>291</v>
      </c>
      <c r="AD168" s="113">
        <f>IFERROR(aurora_data!D1433,0)+IFERROR(aurora_data!E1433,0)</f>
        <v>2</v>
      </c>
      <c r="AE168" s="253">
        <f>IFERROR(aurora_data!F1433,0)</f>
        <v>3</v>
      </c>
      <c r="AF168" s="253">
        <f>IFERROR(aurora_data!G1433,0)</f>
        <v>6</v>
      </c>
      <c r="AG168" s="254">
        <f>IFERROR(aurora_data!H1433,0)</f>
        <v>10</v>
      </c>
      <c r="AH168" s="61" t="s">
        <v>354</v>
      </c>
      <c r="AI168" s="113">
        <f>IFERROR(aurora_data!U1433,0)</f>
        <v>21</v>
      </c>
      <c r="AJ168" s="255">
        <f t="shared" si="77"/>
        <v>0.105</v>
      </c>
    </row>
    <row r="169" spans="1:36" customFormat="1">
      <c r="A169" s="2"/>
      <c r="B169" s="452"/>
      <c r="C169" s="450"/>
      <c r="D169" s="35" t="s">
        <v>340</v>
      </c>
      <c r="E169" s="113">
        <f>IFERROR(aurora_data!D1434,0)</f>
        <v>0</v>
      </c>
      <c r="F169" s="253">
        <f>IFERROR(aurora_data!E1434,0)</f>
        <v>0</v>
      </c>
      <c r="G169" s="253">
        <f>IFERROR(aurora_data!F1434,0)</f>
        <v>0</v>
      </c>
      <c r="H169" s="253">
        <f>IFERROR(aurora_data!G1434,0)</f>
        <v>1</v>
      </c>
      <c r="I169" s="254">
        <f>IFERROR(aurora_data!H1434,0)</f>
        <v>0</v>
      </c>
      <c r="J169" s="113">
        <f>IFERROR(aurora_data!I1434,0)</f>
        <v>0</v>
      </c>
      <c r="K169" s="253">
        <f>IFERROR(aurora_data!J1434,0)</f>
        <v>0</v>
      </c>
      <c r="L169" s="253">
        <f>IFERROR(aurora_data!K1434,0)</f>
        <v>0</v>
      </c>
      <c r="M169" s="253">
        <f>IFERROR(aurora_data!L1434,0)</f>
        <v>0</v>
      </c>
      <c r="N169" s="254">
        <f>IFERROR(aurora_data!M1434,0)</f>
        <v>1</v>
      </c>
      <c r="O169" s="113">
        <f>IFERROR(aurora_data!N1434,0)</f>
        <v>0</v>
      </c>
      <c r="P169" s="253">
        <f>IFERROR(aurora_data!O1434,0)</f>
        <v>1</v>
      </c>
      <c r="Q169" s="253">
        <f>IFERROR(aurora_data!P1434,0)</f>
        <v>0</v>
      </c>
      <c r="R169" s="254">
        <f>IFERROR(aurora_data!Q1434,0)</f>
        <v>0</v>
      </c>
      <c r="S169" s="253">
        <f>IFERROR(aurora_data!R1434,0)</f>
        <v>0</v>
      </c>
      <c r="T169" s="253">
        <f>IFERROR(aurora_data!S1434,0)</f>
        <v>1</v>
      </c>
      <c r="U169" s="254">
        <f>IFERROR(aurora_data!T1034,0)</f>
        <v>0</v>
      </c>
      <c r="V169" s="61" t="s">
        <v>354</v>
      </c>
      <c r="W169" s="113">
        <f>IFERROR(aurora_data!U1434,0)</f>
        <v>1</v>
      </c>
      <c r="X169" s="255">
        <f t="shared" si="78"/>
        <v>5.0000000000000001E-3</v>
      </c>
      <c r="Y169" s="2"/>
      <c r="AA169" s="452"/>
      <c r="AB169" s="590"/>
      <c r="AC169" s="35" t="s">
        <v>340</v>
      </c>
      <c r="AD169" s="113">
        <f>IFERROR(aurora_data!D1434,0)+IFERROR(aurora_data!E1434,0)</f>
        <v>0</v>
      </c>
      <c r="AE169" s="253">
        <f>IFERROR(aurora_data!F1434,0)</f>
        <v>0</v>
      </c>
      <c r="AF169" s="253">
        <f>IFERROR(aurora_data!G1434,0)</f>
        <v>1</v>
      </c>
      <c r="AG169" s="254">
        <f>IFERROR(aurora_data!H1434,0)</f>
        <v>0</v>
      </c>
      <c r="AH169" s="61" t="s">
        <v>354</v>
      </c>
      <c r="AI169" s="113">
        <f>IFERROR(aurora_data!U1434,0)</f>
        <v>1</v>
      </c>
      <c r="AJ169" s="255">
        <f t="shared" si="77"/>
        <v>5.0000000000000001E-3</v>
      </c>
    </row>
    <row r="170" spans="1:36" customFormat="1">
      <c r="A170" s="2"/>
      <c r="B170" s="452"/>
      <c r="C170" s="450"/>
      <c r="D170" s="35" t="s">
        <v>298</v>
      </c>
      <c r="E170" s="113">
        <f>IFERROR(aurora_data!D1435,0)</f>
        <v>0</v>
      </c>
      <c r="F170" s="253">
        <f>IFERROR(aurora_data!E1435,0)</f>
        <v>1</v>
      </c>
      <c r="G170" s="253">
        <f>IFERROR(aurora_data!F1435,0)</f>
        <v>0</v>
      </c>
      <c r="H170" s="253">
        <f>IFERROR(aurora_data!G1435,0)</f>
        <v>0</v>
      </c>
      <c r="I170" s="254">
        <f>IFERROR(aurora_data!H1435,0)</f>
        <v>0</v>
      </c>
      <c r="J170" s="113">
        <f>IFERROR(aurora_data!I1435,0)</f>
        <v>0</v>
      </c>
      <c r="K170" s="253">
        <f>IFERROR(aurora_data!J1435,0)</f>
        <v>0</v>
      </c>
      <c r="L170" s="253">
        <f>IFERROR(aurora_data!K1435,0)</f>
        <v>0</v>
      </c>
      <c r="M170" s="253">
        <f>IFERROR(aurora_data!L1435,0)</f>
        <v>1</v>
      </c>
      <c r="N170" s="254">
        <f>IFERROR(aurora_data!M1435,0)</f>
        <v>0</v>
      </c>
      <c r="O170" s="113">
        <f>IFERROR(aurora_data!N1435,0)</f>
        <v>0</v>
      </c>
      <c r="P170" s="253">
        <f>IFERROR(aurora_data!O1435,0)</f>
        <v>0</v>
      </c>
      <c r="Q170" s="253">
        <f>IFERROR(aurora_data!P1435,0)</f>
        <v>1</v>
      </c>
      <c r="R170" s="254">
        <f>IFERROR(aurora_data!Q1435,0)</f>
        <v>0</v>
      </c>
      <c r="S170" s="253">
        <f>IFERROR(aurora_data!R1435,0)</f>
        <v>0</v>
      </c>
      <c r="T170" s="253">
        <f>IFERROR(aurora_data!S1435,0)</f>
        <v>1</v>
      </c>
      <c r="U170" s="254">
        <f>IFERROR(aurora_data!T1035,0)</f>
        <v>0</v>
      </c>
      <c r="V170" s="61" t="s">
        <v>354</v>
      </c>
      <c r="W170" s="113">
        <f>IFERROR(aurora_data!U1435,0)</f>
        <v>1</v>
      </c>
      <c r="X170" s="255">
        <f t="shared" si="78"/>
        <v>5.0000000000000001E-3</v>
      </c>
      <c r="Y170" s="2"/>
      <c r="AA170" s="452"/>
      <c r="AB170" s="590"/>
      <c r="AC170" s="35" t="s">
        <v>298</v>
      </c>
      <c r="AD170" s="113">
        <f>IFERROR(aurora_data!D1435,0)+IFERROR(aurora_data!E1435,0)</f>
        <v>1</v>
      </c>
      <c r="AE170" s="253">
        <f>IFERROR(aurora_data!F1435,0)</f>
        <v>0</v>
      </c>
      <c r="AF170" s="253">
        <f>IFERROR(aurora_data!G1435,0)</f>
        <v>0</v>
      </c>
      <c r="AG170" s="254">
        <f>IFERROR(aurora_data!H1435,0)</f>
        <v>0</v>
      </c>
      <c r="AH170" s="61" t="s">
        <v>354</v>
      </c>
      <c r="AI170" s="113">
        <f>IFERROR(aurora_data!U1435,0)</f>
        <v>1</v>
      </c>
      <c r="AJ170" s="255">
        <f t="shared" si="77"/>
        <v>5.0000000000000001E-3</v>
      </c>
    </row>
    <row r="171" spans="1:36" customFormat="1" ht="16.5" customHeight="1">
      <c r="A171" s="2"/>
      <c r="B171" s="452"/>
      <c r="C171" s="450"/>
      <c r="D171" s="35" t="s">
        <v>341</v>
      </c>
      <c r="E171" s="113">
        <f>IFERROR(aurora_data!D1436,0)</f>
        <v>0</v>
      </c>
      <c r="F171" s="253">
        <f>IFERROR(aurora_data!E1436,0)</f>
        <v>1</v>
      </c>
      <c r="G171" s="253">
        <f>IFERROR(aurora_data!F1436,0)</f>
        <v>3</v>
      </c>
      <c r="H171" s="253">
        <f>IFERROR(aurora_data!G1436,0)</f>
        <v>0</v>
      </c>
      <c r="I171" s="254">
        <f>IFERROR(aurora_data!H1436,0)</f>
        <v>0</v>
      </c>
      <c r="J171" s="113">
        <f>IFERROR(aurora_data!I1436,0)</f>
        <v>0</v>
      </c>
      <c r="K171" s="253">
        <f>IFERROR(aurora_data!J1436,0)</f>
        <v>1</v>
      </c>
      <c r="L171" s="253">
        <f>IFERROR(aurora_data!K1436,0)</f>
        <v>1</v>
      </c>
      <c r="M171" s="253">
        <f>IFERROR(aurora_data!L1436,0)</f>
        <v>1</v>
      </c>
      <c r="N171" s="254">
        <f>IFERROR(aurora_data!M1436,0)</f>
        <v>1</v>
      </c>
      <c r="O171" s="113">
        <f>IFERROR(aurora_data!N1436,0)</f>
        <v>1</v>
      </c>
      <c r="P171" s="253">
        <f>IFERROR(aurora_data!O1436,0)</f>
        <v>0</v>
      </c>
      <c r="Q171" s="253">
        <f>IFERROR(aurora_data!P1436,0)</f>
        <v>2</v>
      </c>
      <c r="R171" s="254">
        <f>IFERROR(aurora_data!Q1436,0)</f>
        <v>1</v>
      </c>
      <c r="S171" s="253">
        <f>IFERROR(aurora_data!R1436,0)</f>
        <v>2</v>
      </c>
      <c r="T171" s="253">
        <f>IFERROR(aurora_data!S1436,0)</f>
        <v>2</v>
      </c>
      <c r="U171" s="254">
        <f>IFERROR(aurora_data!T1036,0)</f>
        <v>0</v>
      </c>
      <c r="V171" s="61" t="s">
        <v>354</v>
      </c>
      <c r="W171" s="113">
        <f>IFERROR(aurora_data!U1436,0)</f>
        <v>4</v>
      </c>
      <c r="X171" s="255">
        <f t="shared" si="78"/>
        <v>0.02</v>
      </c>
      <c r="Y171" s="2"/>
      <c r="AA171" s="452"/>
      <c r="AB171" s="590"/>
      <c r="AC171" s="35" t="s">
        <v>341</v>
      </c>
      <c r="AD171" s="113">
        <f>IFERROR(aurora_data!D1436,0)+IFERROR(aurora_data!E1436,0)</f>
        <v>1</v>
      </c>
      <c r="AE171" s="253">
        <f>IFERROR(aurora_data!F1436,0)</f>
        <v>3</v>
      </c>
      <c r="AF171" s="253">
        <f>IFERROR(aurora_data!G1436,0)</f>
        <v>0</v>
      </c>
      <c r="AG171" s="254">
        <f>IFERROR(aurora_data!H1436,0)</f>
        <v>0</v>
      </c>
      <c r="AH171" s="61" t="s">
        <v>354</v>
      </c>
      <c r="AI171" s="113">
        <f>IFERROR(aurora_data!U1436,0)</f>
        <v>4</v>
      </c>
      <c r="AJ171" s="255">
        <f t="shared" si="77"/>
        <v>0.02</v>
      </c>
    </row>
    <row r="172" spans="1:36" customFormat="1" ht="16.5" customHeight="1" thickBot="1">
      <c r="A172" s="2"/>
      <c r="B172" s="452"/>
      <c r="C172" s="450"/>
      <c r="D172" s="35" t="s">
        <v>342</v>
      </c>
      <c r="E172" s="113">
        <f>IFERROR(aurora_data!D1437,0)</f>
        <v>0</v>
      </c>
      <c r="F172" s="253">
        <f>IFERROR(aurora_data!E1437,0)</f>
        <v>0</v>
      </c>
      <c r="G172" s="253">
        <f>IFERROR(aurora_data!F1437,0)</f>
        <v>0</v>
      </c>
      <c r="H172" s="253">
        <f>IFERROR(aurora_data!G1437,0)</f>
        <v>0</v>
      </c>
      <c r="I172" s="254">
        <f>IFERROR(aurora_data!H1437,0)</f>
        <v>0</v>
      </c>
      <c r="J172" s="113">
        <f>IFERROR(aurora_data!I1437,0)</f>
        <v>0</v>
      </c>
      <c r="K172" s="253">
        <f>IFERROR(aurora_data!J1437,0)</f>
        <v>0</v>
      </c>
      <c r="L172" s="253">
        <f>IFERROR(aurora_data!K1437,0)</f>
        <v>0</v>
      </c>
      <c r="M172" s="253">
        <f>IFERROR(aurora_data!L1437,0)</f>
        <v>0</v>
      </c>
      <c r="N172" s="254">
        <f>IFERROR(aurora_data!M1437,0)</f>
        <v>0</v>
      </c>
      <c r="O172" s="113">
        <f>IFERROR(aurora_data!N1437,0)</f>
        <v>0</v>
      </c>
      <c r="P172" s="253">
        <f>IFERROR(aurora_data!O1437,0)</f>
        <v>0</v>
      </c>
      <c r="Q172" s="253">
        <f>IFERROR(aurora_data!P1437,0)</f>
        <v>0</v>
      </c>
      <c r="R172" s="254">
        <f>IFERROR(aurora_data!Q1437,0)</f>
        <v>0</v>
      </c>
      <c r="S172" s="253">
        <f>IFERROR(aurora_data!R1437,0)</f>
        <v>0</v>
      </c>
      <c r="T172" s="253">
        <f>IFERROR(aurora_data!S1437,0)</f>
        <v>0</v>
      </c>
      <c r="U172" s="254">
        <f>IFERROR(aurora_data!T1037,0)</f>
        <v>0</v>
      </c>
      <c r="V172" s="61" t="s">
        <v>354</v>
      </c>
      <c r="W172" s="113">
        <f>IFERROR(aurora_data!U1437,0)</f>
        <v>0</v>
      </c>
      <c r="X172" s="255">
        <f t="shared" si="78"/>
        <v>0</v>
      </c>
      <c r="Y172" s="2"/>
      <c r="AA172" s="452"/>
      <c r="AB172" s="590"/>
      <c r="AC172" s="35" t="s">
        <v>342</v>
      </c>
      <c r="AD172" s="113">
        <f>IFERROR(aurora_data!D1437,0)+IFERROR(aurora_data!E1437,0)</f>
        <v>0</v>
      </c>
      <c r="AE172" s="253">
        <f>IFERROR(aurora_data!F1437,0)</f>
        <v>0</v>
      </c>
      <c r="AF172" s="253">
        <f>IFERROR(aurora_data!G1437,0)</f>
        <v>0</v>
      </c>
      <c r="AG172" s="254">
        <f>IFERROR(aurora_data!H1437,0)</f>
        <v>0</v>
      </c>
      <c r="AH172" s="61" t="s">
        <v>354</v>
      </c>
      <c r="AI172" s="113">
        <f>IFERROR(aurora_data!U1437,0)</f>
        <v>0</v>
      </c>
      <c r="AJ172" s="255">
        <f t="shared" si="77"/>
        <v>0</v>
      </c>
    </row>
    <row r="173" spans="1:36" customFormat="1" ht="16.5" customHeight="1" thickBot="1">
      <c r="A173" s="2"/>
      <c r="B173" s="452"/>
      <c r="C173" s="450"/>
      <c r="D173" s="37" t="s">
        <v>17</v>
      </c>
      <c r="E173" s="59">
        <f>IFERROR(aurora_data!D1438,0)</f>
        <v>11</v>
      </c>
      <c r="F173" s="64">
        <f>IFERROR(aurora_data!E1438,0)</f>
        <v>16</v>
      </c>
      <c r="G173" s="64">
        <f>IFERROR(aurora_data!F1438,0)</f>
        <v>47</v>
      </c>
      <c r="H173" s="64">
        <f>IFERROR(aurora_data!G1438,0)</f>
        <v>70</v>
      </c>
      <c r="I173" s="65">
        <f>IFERROR(aurora_data!H1438,0)</f>
        <v>80</v>
      </c>
      <c r="J173" s="59">
        <f>IFERROR(aurora_data!I1438,0)</f>
        <v>14</v>
      </c>
      <c r="K173" s="64">
        <f>IFERROR(aurora_data!J1438,0)</f>
        <v>31</v>
      </c>
      <c r="L173" s="64">
        <f>IFERROR(aurora_data!K1438,0)</f>
        <v>50</v>
      </c>
      <c r="M173" s="64">
        <f>IFERROR(aurora_data!L1438,0)</f>
        <v>21</v>
      </c>
      <c r="N173" s="65">
        <f>IFERROR(aurora_data!M1438,0)</f>
        <v>108</v>
      </c>
      <c r="O173" s="59">
        <f>IFERROR(aurora_data!N1438,0)</f>
        <v>70</v>
      </c>
      <c r="P173" s="64">
        <f>IFERROR(aurora_data!O1438,0)</f>
        <v>45</v>
      </c>
      <c r="Q173" s="64">
        <f>IFERROR(aurora_data!P1438,0)</f>
        <v>73</v>
      </c>
      <c r="R173" s="65">
        <f>IFERROR(aurora_data!Q1438,0)</f>
        <v>36</v>
      </c>
      <c r="S173" s="64">
        <f>IFERROR(aurora_data!R1438,0)</f>
        <v>120</v>
      </c>
      <c r="T173" s="64">
        <f>IFERROR(aurora_data!S1438,0)</f>
        <v>104</v>
      </c>
      <c r="U173" s="65">
        <f>IFERROR(aurora_data!T1038,0)</f>
        <v>0</v>
      </c>
      <c r="V173" s="66" t="s">
        <v>354</v>
      </c>
      <c r="W173" s="59">
        <f>IFERROR(aurora_data!U1438,0)</f>
        <v>224</v>
      </c>
      <c r="X173" s="70">
        <f t="shared" si="78"/>
        <v>1.1200000000000001</v>
      </c>
      <c r="Y173" s="2"/>
      <c r="AA173" s="452"/>
      <c r="AB173" s="590"/>
      <c r="AC173" s="360" t="s">
        <v>17</v>
      </c>
      <c r="AD173" s="59">
        <f>IFERROR(aurora_data!D1438,0)+IFERROR(aurora_data!E1438,0)</f>
        <v>27</v>
      </c>
      <c r="AE173" s="64">
        <f>IFERROR(aurora_data!F1438,0)</f>
        <v>47</v>
      </c>
      <c r="AF173" s="64">
        <f>IFERROR(aurora_data!G1438,0)</f>
        <v>70</v>
      </c>
      <c r="AG173" s="65">
        <f>IFERROR(aurora_data!H1438,0)</f>
        <v>80</v>
      </c>
      <c r="AH173" s="66" t="s">
        <v>354</v>
      </c>
      <c r="AI173" s="59">
        <f>IFERROR(aurora_data!U1438,0)</f>
        <v>224</v>
      </c>
      <c r="AJ173" s="70">
        <f t="shared" si="77"/>
        <v>1.1200000000000001</v>
      </c>
    </row>
    <row r="174" spans="1:36" customFormat="1" ht="16.5" thickBot="1">
      <c r="A174" s="2"/>
      <c r="B174" s="456"/>
      <c r="C174" s="450"/>
      <c r="D174" s="38" t="s">
        <v>343</v>
      </c>
      <c r="E174" s="256">
        <f>IFERROR(aurora_data!D1439,0)</f>
        <v>0</v>
      </c>
      <c r="F174" s="257">
        <f>IFERROR(aurora_data!E1439,0)</f>
        <v>0</v>
      </c>
      <c r="G174" s="257">
        <f>IFERROR(aurora_data!F1439,0)</f>
        <v>0</v>
      </c>
      <c r="H174" s="257">
        <f>IFERROR(aurora_data!G1439,0)</f>
        <v>0</v>
      </c>
      <c r="I174" s="258">
        <f>IFERROR(aurora_data!H1439,0)</f>
        <v>0</v>
      </c>
      <c r="J174" s="256">
        <f>IFERROR(aurora_data!I1439,0)</f>
        <v>0</v>
      </c>
      <c r="K174" s="257">
        <f>IFERROR(aurora_data!J1439,0)</f>
        <v>0</v>
      </c>
      <c r="L174" s="257">
        <f>IFERROR(aurora_data!K1439,0)</f>
        <v>0</v>
      </c>
      <c r="M174" s="257">
        <f>IFERROR(aurora_data!L1439,0)</f>
        <v>0</v>
      </c>
      <c r="N174" s="258">
        <f>IFERROR(aurora_data!M1439,0)</f>
        <v>0</v>
      </c>
      <c r="O174" s="256">
        <f>IFERROR(aurora_data!N1439,0)</f>
        <v>0</v>
      </c>
      <c r="P174" s="257">
        <f>IFERROR(aurora_data!O1439,0)</f>
        <v>0</v>
      </c>
      <c r="Q174" s="257">
        <f>IFERROR(aurora_data!P1439,0)</f>
        <v>0</v>
      </c>
      <c r="R174" s="258">
        <f>IFERROR(aurora_data!Q1439,0)</f>
        <v>0</v>
      </c>
      <c r="S174" s="257">
        <f>IFERROR(aurora_data!R1439,0)</f>
        <v>0</v>
      </c>
      <c r="T174" s="257">
        <f>IFERROR(aurora_data!S1439,0)</f>
        <v>0</v>
      </c>
      <c r="U174" s="259">
        <f>IFERROR(aurora_data!T1039,0)</f>
        <v>0</v>
      </c>
      <c r="V174" s="260" t="s">
        <v>354</v>
      </c>
      <c r="W174" s="256">
        <f>IFERROR(aurora_data!U1439,0)</f>
        <v>0</v>
      </c>
      <c r="X174" s="261">
        <f t="shared" si="78"/>
        <v>0</v>
      </c>
      <c r="Y174" s="2"/>
      <c r="AA174" s="456"/>
      <c r="AB174" s="590"/>
      <c r="AC174" s="38" t="s">
        <v>343</v>
      </c>
      <c r="AD174" s="256">
        <f>IFERROR(aurora_data!D1439,0)+IFERROR(aurora_data!E1439,0)</f>
        <v>0</v>
      </c>
      <c r="AE174" s="257">
        <f>IFERROR(aurora_data!F1439,0)</f>
        <v>0</v>
      </c>
      <c r="AF174" s="257">
        <f>IFERROR(aurora_data!G1439,0)</f>
        <v>0</v>
      </c>
      <c r="AG174" s="258">
        <f>IFERROR(aurora_data!H1439,0)</f>
        <v>0</v>
      </c>
      <c r="AH174" s="260" t="s">
        <v>354</v>
      </c>
      <c r="AI174" s="256">
        <f>IFERROR(aurora_data!U1439,0)</f>
        <v>0</v>
      </c>
      <c r="AJ174" s="261">
        <f t="shared" si="77"/>
        <v>0</v>
      </c>
    </row>
    <row r="175" spans="1:36" customFormat="1" ht="16.5" outlineLevel="1" thickBot="1">
      <c r="A175" s="2"/>
      <c r="B175" s="147"/>
      <c r="C175" s="227"/>
      <c r="D175" s="199" t="s">
        <v>344</v>
      </c>
      <c r="E175" s="276">
        <f>(E177+$E$9)*($W166)</f>
        <v>10.669999999999998</v>
      </c>
      <c r="F175" s="277">
        <f>(F177+$E$9)*($W166)</f>
        <v>15.770000000000001</v>
      </c>
      <c r="G175" s="277">
        <f>(G177+$E$9)*($W166)</f>
        <v>43.91</v>
      </c>
      <c r="H175" s="277">
        <f>(H177+$E$9)*($W166)</f>
        <v>67.86999999999999</v>
      </c>
      <c r="I175" s="277">
        <f>(I177+$E$9)*($W166)</f>
        <v>81.800000000000011</v>
      </c>
      <c r="J175" s="229">
        <f>IFERROR(aurora_data!I1440,0)</f>
        <v>0</v>
      </c>
      <c r="K175" s="230">
        <f>IFERROR(aurora_data!J1440,0)</f>
        <v>0</v>
      </c>
      <c r="L175" s="230">
        <f>IFERROR(aurora_data!K1440,0)</f>
        <v>0</v>
      </c>
      <c r="M175" s="230">
        <f>IFERROR(aurora_data!L1440,0)</f>
        <v>0</v>
      </c>
      <c r="N175" s="231">
        <f>IFERROR(aurora_data!M1440,0)</f>
        <v>0</v>
      </c>
      <c r="O175" s="229">
        <f>IFERROR(aurora_data!N1440,0)</f>
        <v>0</v>
      </c>
      <c r="P175" s="230">
        <f>IFERROR(aurora_data!O1440,0)</f>
        <v>0</v>
      </c>
      <c r="Q175" s="230">
        <f>IFERROR(aurora_data!P1440,0)</f>
        <v>0</v>
      </c>
      <c r="R175" s="231">
        <f>IFERROR(aurora_data!Q1440,0)</f>
        <v>0</v>
      </c>
      <c r="S175" s="230">
        <f>IFERROR(aurora_data!R1440,0)</f>
        <v>0</v>
      </c>
      <c r="T175" s="230">
        <f>IFERROR(aurora_data!S1440,0)</f>
        <v>0</v>
      </c>
      <c r="U175" s="232">
        <f>IFERROR(aurora_data!T1040,0)</f>
        <v>0</v>
      </c>
      <c r="V175" s="233" t="s">
        <v>354</v>
      </c>
      <c r="W175" s="229">
        <f>IFERROR(aurora_data!U1440,0)</f>
        <v>0</v>
      </c>
      <c r="X175" s="234"/>
      <c r="Y175" s="2"/>
      <c r="AA175" s="147"/>
      <c r="AB175" s="227"/>
      <c r="AC175" s="297"/>
      <c r="AD175" s="327"/>
      <c r="AE175" s="328"/>
      <c r="AF175" s="328"/>
      <c r="AG175" s="297"/>
      <c r="AH175" s="233" t="s">
        <v>354</v>
      </c>
      <c r="AI175" s="229"/>
      <c r="AJ175" s="234"/>
    </row>
    <row r="176" spans="1:36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2.9199999999999995</v>
      </c>
      <c r="F176" s="277">
        <f>IF(ROUND(((F177-$E$9)*($W166))+0.25,0) &lt;=0,1,((F177-$E$9)*($W166))+0.25)</f>
        <v>8.02</v>
      </c>
      <c r="G176" s="277">
        <f t="shared" ref="G176:I176" si="79">IF(ROUND(((G177-$E$9)*($W166))+0.25,0) &lt;=0,1,((G177-$E$9)*($W166))+0.25)</f>
        <v>36.159999999999997</v>
      </c>
      <c r="H176" s="277">
        <f t="shared" si="79"/>
        <v>60.11999999999999</v>
      </c>
      <c r="I176" s="277">
        <f t="shared" si="79"/>
        <v>74.05</v>
      </c>
      <c r="J176" s="229">
        <f>IFERROR(aurora_data!I1441,0)</f>
        <v>0</v>
      </c>
      <c r="K176" s="230">
        <f>IFERROR(aurora_data!J1441,0)</f>
        <v>0</v>
      </c>
      <c r="L176" s="230">
        <f>IFERROR(aurora_data!K1441,0)</f>
        <v>0</v>
      </c>
      <c r="M176" s="230">
        <f>IFERROR(aurora_data!L1441,0)</f>
        <v>0</v>
      </c>
      <c r="N176" s="231">
        <f>IFERROR(aurora_data!M1441,0)</f>
        <v>0</v>
      </c>
      <c r="O176" s="229">
        <f>IFERROR(aurora_data!N1441,0)</f>
        <v>0</v>
      </c>
      <c r="P176" s="230">
        <f>IFERROR(aurora_data!O1441,0)</f>
        <v>0</v>
      </c>
      <c r="Q176" s="230">
        <f>IFERROR(aurora_data!P1441,0)</f>
        <v>0</v>
      </c>
      <c r="R176" s="231">
        <f>IFERROR(aurora_data!Q1441,0)</f>
        <v>0</v>
      </c>
      <c r="S176" s="230">
        <f>IFERROR(aurora_data!R1441,0)</f>
        <v>0</v>
      </c>
      <c r="T176" s="230">
        <f>IFERROR(aurora_data!S1441,0)</f>
        <v>0</v>
      </c>
      <c r="U176" s="232">
        <f>IFERROR(aurora_data!T1041,0)</f>
        <v>0</v>
      </c>
      <c r="V176" s="233" t="s">
        <v>354</v>
      </c>
      <c r="W176" s="229">
        <f>IFERROR(aurora_data!U1441,0)</f>
        <v>0</v>
      </c>
      <c r="X176" s="234"/>
      <c r="Y176" s="2"/>
      <c r="AA176" s="147"/>
      <c r="AB176" s="227"/>
      <c r="AC176" s="296"/>
      <c r="AD176" s="294"/>
      <c r="AE176" s="295"/>
      <c r="AF176" s="295"/>
      <c r="AG176" s="296"/>
      <c r="AH176" s="233" t="s">
        <v>354</v>
      </c>
      <c r="AI176" s="229"/>
      <c r="AJ176" s="234"/>
    </row>
    <row r="177" spans="1:36" customFormat="1" ht="16.5" outlineLevel="1" thickBot="1">
      <c r="A177" s="2"/>
      <c r="B177" s="147"/>
      <c r="C177" s="227"/>
      <c r="D177" s="95" t="s">
        <v>346</v>
      </c>
      <c r="E177" s="414">
        <f>IFERROR(E166/$W166,0)</f>
        <v>3.3349999999999998E-2</v>
      </c>
      <c r="F177" s="415">
        <f t="shared" ref="F177" si="80">IFERROR(F166/$W166,0)</f>
        <v>5.885E-2</v>
      </c>
      <c r="G177" s="415">
        <f>IFERROR(G166/$W166,0)</f>
        <v>0.19954999999999998</v>
      </c>
      <c r="H177" s="415">
        <f t="shared" ref="H177" si="81">IFERROR(H166/$W166,0)</f>
        <v>0.31934999999999997</v>
      </c>
      <c r="I177" s="415">
        <f>IFERROR(I166/$W166,0)</f>
        <v>0.38900000000000001</v>
      </c>
      <c r="J177" s="229">
        <f>IFERROR(aurora_data!I1442,0)</f>
        <v>0</v>
      </c>
      <c r="K177" s="230">
        <f>IFERROR(aurora_data!J1442,0)</f>
        <v>0</v>
      </c>
      <c r="L177" s="230">
        <f>IFERROR(aurora_data!K1442,0)</f>
        <v>0</v>
      </c>
      <c r="M177" s="230">
        <f>IFERROR(aurora_data!L1442,0)</f>
        <v>0</v>
      </c>
      <c r="N177" s="231">
        <f>IFERROR(aurora_data!M1442,0)</f>
        <v>0</v>
      </c>
      <c r="O177" s="229">
        <f>IFERROR(aurora_data!N1442,0)</f>
        <v>0</v>
      </c>
      <c r="P177" s="230">
        <f>IFERROR(aurora_data!O1442,0)</f>
        <v>0</v>
      </c>
      <c r="Q177" s="230">
        <f>IFERROR(aurora_data!P1442,0)</f>
        <v>0</v>
      </c>
      <c r="R177" s="231">
        <f>IFERROR(aurora_data!Q1442,0)</f>
        <v>0</v>
      </c>
      <c r="S177" s="230">
        <f>IFERROR(aurora_data!R1442,0)</f>
        <v>0</v>
      </c>
      <c r="T177" s="230">
        <f>IFERROR(aurora_data!S1442,0)</f>
        <v>0</v>
      </c>
      <c r="U177" s="232">
        <f>IFERROR(aurora_data!T1042,0)</f>
        <v>0</v>
      </c>
      <c r="V177" s="233" t="s">
        <v>354</v>
      </c>
      <c r="W177" s="229">
        <f>IFERROR(aurora_data!U1442,0)</f>
        <v>0</v>
      </c>
      <c r="X177" s="234"/>
      <c r="Y177" s="2"/>
      <c r="AA177" s="147"/>
      <c r="AB177" s="227"/>
      <c r="AC177" s="296"/>
      <c r="AD177" s="294"/>
      <c r="AE177" s="295"/>
      <c r="AF177" s="295"/>
      <c r="AG177" s="296"/>
      <c r="AH177" s="233" t="s">
        <v>354</v>
      </c>
      <c r="AI177" s="229"/>
      <c r="AJ177" s="234"/>
    </row>
    <row r="178" spans="1:36" customFormat="1" ht="16.5" outlineLevel="1" thickBot="1">
      <c r="A178" s="2"/>
      <c r="B178" s="147"/>
      <c r="C178" s="227"/>
      <c r="D178" s="180" t="s">
        <v>347</v>
      </c>
      <c r="E178" s="414">
        <f>IFERROR(E167/$W166,0)</f>
        <v>0.05</v>
      </c>
      <c r="F178" s="415">
        <f t="shared" ref="F178:I178" si="82">IFERROR(F167/$W166,0)</f>
        <v>6.5000000000000002E-2</v>
      </c>
      <c r="G178" s="415">
        <f t="shared" si="82"/>
        <v>0.20499999999999999</v>
      </c>
      <c r="H178" s="415">
        <f t="shared" si="82"/>
        <v>0.315</v>
      </c>
      <c r="I178" s="415">
        <f t="shared" si="82"/>
        <v>0.35</v>
      </c>
      <c r="J178" s="229">
        <f>IFERROR(aurora_data!I1443,0)</f>
        <v>0</v>
      </c>
      <c r="K178" s="230">
        <f>IFERROR(aurora_data!J1443,0)</f>
        <v>0</v>
      </c>
      <c r="L178" s="230">
        <f>IFERROR(aurora_data!K1443,0)</f>
        <v>0</v>
      </c>
      <c r="M178" s="230">
        <f>IFERROR(aurora_data!L1443,0)</f>
        <v>0</v>
      </c>
      <c r="N178" s="231">
        <f>IFERROR(aurora_data!M1443,0)</f>
        <v>0</v>
      </c>
      <c r="O178" s="229">
        <f>IFERROR(aurora_data!N1443,0)</f>
        <v>0</v>
      </c>
      <c r="P178" s="230">
        <f>IFERROR(aurora_data!O1443,0)</f>
        <v>0</v>
      </c>
      <c r="Q178" s="230">
        <f>IFERROR(aurora_data!P1443,0)</f>
        <v>0</v>
      </c>
      <c r="R178" s="231">
        <f>IFERROR(aurora_data!Q1443,0)</f>
        <v>0</v>
      </c>
      <c r="S178" s="230">
        <f>IFERROR(aurora_data!R1443,0)</f>
        <v>0</v>
      </c>
      <c r="T178" s="230">
        <f>IFERROR(aurora_data!S1443,0)</f>
        <v>0</v>
      </c>
      <c r="U178" s="232">
        <f>IFERROR(aurora_data!T1043,0)</f>
        <v>0</v>
      </c>
      <c r="V178" s="233" t="s">
        <v>354</v>
      </c>
      <c r="W178" s="229">
        <f>IFERROR(aurora_data!U1443,0)</f>
        <v>0</v>
      </c>
      <c r="X178" s="234"/>
      <c r="Y178" s="2"/>
      <c r="AA178" s="147"/>
      <c r="AB178" s="227"/>
      <c r="AC178" s="296"/>
      <c r="AD178" s="294"/>
      <c r="AE178" s="295"/>
      <c r="AF178" s="295"/>
      <c r="AG178" s="296"/>
      <c r="AH178" s="233" t="s">
        <v>354</v>
      </c>
      <c r="AI178" s="229"/>
      <c r="AJ178" s="234"/>
    </row>
    <row r="179" spans="1:36" s="247" customFormat="1" ht="16.5" outlineLevel="1" thickBot="1">
      <c r="A179" s="246"/>
      <c r="B179" s="235"/>
      <c r="C179" s="236"/>
      <c r="D179" s="237" t="s">
        <v>348</v>
      </c>
      <c r="E179" s="436">
        <f>E178-E177</f>
        <v>1.6650000000000005E-2</v>
      </c>
      <c r="F179" s="437">
        <f t="shared" ref="F179:I179" si="83">F178-F177</f>
        <v>6.1500000000000027E-3</v>
      </c>
      <c r="G179" s="437">
        <f t="shared" si="83"/>
        <v>5.4500000000000104E-3</v>
      </c>
      <c r="H179" s="437">
        <f t="shared" si="83"/>
        <v>-4.349999999999965E-3</v>
      </c>
      <c r="I179" s="438">
        <f t="shared" si="83"/>
        <v>-3.9000000000000035E-2</v>
      </c>
      <c r="J179" s="240">
        <f>IFERROR(aurora_data!I1444,0)</f>
        <v>0</v>
      </c>
      <c r="K179" s="241">
        <f>IFERROR(aurora_data!J1444,0)</f>
        <v>0</v>
      </c>
      <c r="L179" s="241">
        <f>IFERROR(aurora_data!K1444,0)</f>
        <v>0</v>
      </c>
      <c r="M179" s="241">
        <f>IFERROR(aurora_data!L1444,0)</f>
        <v>0</v>
      </c>
      <c r="N179" s="242">
        <f>IFERROR(aurora_data!M1444,0)</f>
        <v>0</v>
      </c>
      <c r="O179" s="240">
        <f>IFERROR(aurora_data!N1444,0)</f>
        <v>0</v>
      </c>
      <c r="P179" s="241">
        <f>IFERROR(aurora_data!O1444,0)</f>
        <v>0</v>
      </c>
      <c r="Q179" s="241">
        <f>IFERROR(aurora_data!P1444,0)</f>
        <v>0</v>
      </c>
      <c r="R179" s="242">
        <f>IFERROR(aurora_data!Q1444,0)</f>
        <v>0</v>
      </c>
      <c r="S179" s="241">
        <f>IFERROR(aurora_data!R1444,0)</f>
        <v>0</v>
      </c>
      <c r="T179" s="241">
        <f>IFERROR(aurora_data!S1444,0)</f>
        <v>0</v>
      </c>
      <c r="U179" s="243">
        <f>IFERROR(aurora_data!T1044,0)</f>
        <v>0</v>
      </c>
      <c r="V179" s="244" t="s">
        <v>354</v>
      </c>
      <c r="W179" s="240">
        <f>IFERROR(aurora_data!U1444,0)</f>
        <v>0</v>
      </c>
      <c r="X179" s="245"/>
      <c r="Y179" s="246"/>
      <c r="AA179" s="235"/>
      <c r="AB179" s="236"/>
      <c r="AC179" s="331"/>
      <c r="AD179" s="329"/>
      <c r="AE179" s="330"/>
      <c r="AF179" s="330"/>
      <c r="AG179" s="331"/>
      <c r="AH179" s="244" t="s">
        <v>354</v>
      </c>
      <c r="AI179" s="240"/>
      <c r="AJ179" s="245"/>
    </row>
    <row r="180" spans="1:36" ht="16.5" customHeight="1"/>
  </sheetData>
  <mergeCells count="77">
    <mergeCell ref="AI8:AJ11"/>
    <mergeCell ref="AA152:AA160"/>
    <mergeCell ref="AB152:AB160"/>
    <mergeCell ref="AA166:AA174"/>
    <mergeCell ref="AB166:AB174"/>
    <mergeCell ref="AA8:AG8"/>
    <mergeCell ref="AA110:AA118"/>
    <mergeCell ref="AB110:AB118"/>
    <mergeCell ref="AA124:AA132"/>
    <mergeCell ref="AB124:AB132"/>
    <mergeCell ref="AA138:AA146"/>
    <mergeCell ref="AB138:AB146"/>
    <mergeCell ref="AA68:AA76"/>
    <mergeCell ref="AB68:AB76"/>
    <mergeCell ref="AA82:AA90"/>
    <mergeCell ref="AB82:AB90"/>
    <mergeCell ref="AA96:AA104"/>
    <mergeCell ref="AB96:AB104"/>
    <mergeCell ref="AA26:AA34"/>
    <mergeCell ref="AB26:AB34"/>
    <mergeCell ref="AA40:AA48"/>
    <mergeCell ref="AB40:AB48"/>
    <mergeCell ref="AA54:AA62"/>
    <mergeCell ref="AB54:AB62"/>
    <mergeCell ref="AA9:AB9"/>
    <mergeCell ref="AD9:AG9"/>
    <mergeCell ref="AA10:AA11"/>
    <mergeCell ref="AD10:AG10"/>
    <mergeCell ref="AA12:AA20"/>
    <mergeCell ref="AB12:AB20"/>
    <mergeCell ref="C12:C20"/>
    <mergeCell ref="B12:B20"/>
    <mergeCell ref="B26:B34"/>
    <mergeCell ref="C26:C34"/>
    <mergeCell ref="B166:B174"/>
    <mergeCell ref="C166:C174"/>
    <mergeCell ref="B40:B48"/>
    <mergeCell ref="C40:C48"/>
    <mergeCell ref="B54:B62"/>
    <mergeCell ref="C54:C62"/>
    <mergeCell ref="B68:B76"/>
    <mergeCell ref="C68:C76"/>
    <mergeCell ref="B82:B90"/>
    <mergeCell ref="C82:C90"/>
    <mergeCell ref="B96:B104"/>
    <mergeCell ref="C96:C104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AA5:AG6"/>
    <mergeCell ref="B152:B160"/>
    <mergeCell ref="C152:C160"/>
    <mergeCell ref="B110:B118"/>
    <mergeCell ref="C110:C118"/>
    <mergeCell ref="B124:B132"/>
    <mergeCell ref="C124:C132"/>
    <mergeCell ref="B138:B146"/>
    <mergeCell ref="C138:C146"/>
    <mergeCell ref="B8:D8"/>
    <mergeCell ref="E8:U8"/>
    <mergeCell ref="W8:X11"/>
    <mergeCell ref="B9:C9"/>
    <mergeCell ref="E9:I9"/>
    <mergeCell ref="J9:N9"/>
    <mergeCell ref="O9:R9"/>
  </mergeCells>
  <conditionalFormatting sqref="E13:W13">
    <cfRule type="expression" dxfId="163" priority="1">
      <formula>ROUND(E$13,0) &gt;= ROUND(E$12,0)</formula>
    </cfRule>
  </conditionalFormatting>
  <conditionalFormatting sqref="E19:W19 AD19:AI19 AE33:AG33">
    <cfRule type="expression" dxfId="162" priority="99">
      <formula>ROUND(E$19,0) &lt; ROUND(E$12,0)</formula>
    </cfRule>
  </conditionalFormatting>
  <conditionalFormatting sqref="E27:W27">
    <cfRule type="expression" dxfId="161" priority="3">
      <formula>ROUND(E$13,0) &gt;= ROUND(E$12,0)</formula>
    </cfRule>
  </conditionalFormatting>
  <conditionalFormatting sqref="E33:W33">
    <cfRule type="expression" dxfId="160" priority="5">
      <formula>ROUND(E$19,0) &lt; ROUND(E$12,0)</formula>
    </cfRule>
  </conditionalFormatting>
  <conditionalFormatting sqref="E41:W41">
    <cfRule type="expression" dxfId="159" priority="7">
      <formula>ROUND(E$13,0) &gt;= ROUND(E$12,0)</formula>
    </cfRule>
  </conditionalFormatting>
  <conditionalFormatting sqref="E47:W47">
    <cfRule type="expression" dxfId="158" priority="9">
      <formula>ROUND(E$19,0) &lt; ROUND(E$12,0)</formula>
    </cfRule>
  </conditionalFormatting>
  <conditionalFormatting sqref="E55:W55">
    <cfRule type="expression" dxfId="157" priority="11">
      <formula>ROUND(E$13,0) &gt;= ROUND(E$12,0)</formula>
    </cfRule>
  </conditionalFormatting>
  <conditionalFormatting sqref="E61:W61">
    <cfRule type="expression" dxfId="156" priority="13">
      <formula>ROUND(E$19,0) &lt; ROUND(E$12,0)</formula>
    </cfRule>
  </conditionalFormatting>
  <conditionalFormatting sqref="E69:W69">
    <cfRule type="expression" dxfId="155" priority="15">
      <formula>ROUND(E$13,0) &gt;= ROUND(E$12,0)</formula>
    </cfRule>
  </conditionalFormatting>
  <conditionalFormatting sqref="E75:W75">
    <cfRule type="expression" dxfId="154" priority="17">
      <formula>ROUND(E$19,0) &lt; ROUND(E$12,0)</formula>
    </cfRule>
  </conditionalFormatting>
  <conditionalFormatting sqref="E83:W83">
    <cfRule type="expression" dxfId="153" priority="19">
      <formula>ROUND(E$13,0) &gt;= ROUND(E$12,0)</formula>
    </cfRule>
  </conditionalFormatting>
  <conditionalFormatting sqref="E89:W89">
    <cfRule type="expression" dxfId="152" priority="21">
      <formula>ROUND(E$19,0) &lt; ROUND(E$12,0)</formula>
    </cfRule>
  </conditionalFormatting>
  <conditionalFormatting sqref="E97:W97">
    <cfRule type="expression" dxfId="151" priority="23">
      <formula>ROUND(E$13,0) &gt;= ROUND(E$12,0)</formula>
    </cfRule>
  </conditionalFormatting>
  <conditionalFormatting sqref="E103:W103">
    <cfRule type="expression" dxfId="150" priority="25">
      <formula>ROUND(E$19,0) &lt; ROUND(E$12,0)</formula>
    </cfRule>
  </conditionalFormatting>
  <conditionalFormatting sqref="E111:W111">
    <cfRule type="expression" dxfId="149" priority="27">
      <formula>ROUND(E$13,0) &gt;= ROUND(E$12,0)</formula>
    </cfRule>
  </conditionalFormatting>
  <conditionalFormatting sqref="E117:W117">
    <cfRule type="expression" dxfId="148" priority="53">
      <formula>ROUND(E$19,0) &lt; ROUND(E$12,0)</formula>
    </cfRule>
  </conditionalFormatting>
  <conditionalFormatting sqref="E125:W125">
    <cfRule type="expression" dxfId="147" priority="55">
      <formula>ROUND(E$13,0) &gt;= ROUND(E$12,0)</formula>
    </cfRule>
  </conditionalFormatting>
  <conditionalFormatting sqref="E131:W131">
    <cfRule type="expression" dxfId="146" priority="57">
      <formula>ROUND(E$19,0) &lt; ROUND(E$12,0)</formula>
    </cfRule>
  </conditionalFormatting>
  <conditionalFormatting sqref="E139:W139">
    <cfRule type="expression" dxfId="145" priority="59">
      <formula>ROUND(E$13,0) &gt;= ROUND(E$12,0)</formula>
    </cfRule>
  </conditionalFormatting>
  <conditionalFormatting sqref="E145:W145">
    <cfRule type="expression" dxfId="144" priority="61">
      <formula>ROUND(E$19,0) &lt; ROUND(E$12,0)</formula>
    </cfRule>
  </conditionalFormatting>
  <conditionalFormatting sqref="E153:W153">
    <cfRule type="expression" dxfId="143" priority="63">
      <formula>ROUND(E$13,0) &gt;= ROUND(E$12,0)</formula>
    </cfRule>
  </conditionalFormatting>
  <conditionalFormatting sqref="E159:W159">
    <cfRule type="expression" dxfId="142" priority="65">
      <formula>ROUND(E$19,0) &lt; ROUND(E$12,0)</formula>
    </cfRule>
  </conditionalFormatting>
  <conditionalFormatting sqref="E167:W167 AD167:AI167">
    <cfRule type="expression" dxfId="141" priority="67">
      <formula>ROUND(E$13,0) &gt;= ROUND($E12,0)</formula>
    </cfRule>
  </conditionalFormatting>
  <conditionalFormatting sqref="E173:W173">
    <cfRule type="expression" dxfId="140" priority="85">
      <formula>ROUND(E$19,0)&lt;ROUND(E$12,0)</formula>
    </cfRule>
  </conditionalFormatting>
  <conditionalFormatting sqref="AD13:AI13">
    <cfRule type="expression" dxfId="139" priority="2">
      <formula>ROUND(AD$13,0) &gt;= ROUND(AD$12,0)</formula>
    </cfRule>
  </conditionalFormatting>
  <conditionalFormatting sqref="AD47:AI47">
    <cfRule type="expression" dxfId="138" priority="10">
      <formula>ROUND(AD$19,0) &lt; ROUND(AD$12,0)</formula>
    </cfRule>
  </conditionalFormatting>
  <conditionalFormatting sqref="AD61:AI61">
    <cfRule type="expression" dxfId="137" priority="14">
      <formula>ROUND(AD$19,0) &lt; ROUND(AD$12,0)</formula>
    </cfRule>
  </conditionalFormatting>
  <conditionalFormatting sqref="AD75:AI75">
    <cfRule type="expression" dxfId="136" priority="18">
      <formula>ROUND(AD$19,0) &lt; ROUND(AD$12,0)</formula>
    </cfRule>
  </conditionalFormatting>
  <conditionalFormatting sqref="AD89:AI89">
    <cfRule type="expression" dxfId="135" priority="22">
      <formula>ROUND(AD$19,0) &lt; ROUND(AD$12,0)</formula>
    </cfRule>
  </conditionalFormatting>
  <conditionalFormatting sqref="AD103:AI103">
    <cfRule type="expression" dxfId="134" priority="26">
      <formula>ROUND(AD$19,0) &lt; ROUND(AD$12,0)</formula>
    </cfRule>
  </conditionalFormatting>
  <conditionalFormatting sqref="AD117:AI117">
    <cfRule type="expression" dxfId="133" priority="54">
      <formula>ROUND(AD$19,0) &lt; ROUND(AD$12,0)</formula>
    </cfRule>
  </conditionalFormatting>
  <conditionalFormatting sqref="AD131:AI131">
    <cfRule type="expression" dxfId="132" priority="58">
      <formula>ROUND(AD$19,0) &lt; ROUND(AD$12,0)</formula>
    </cfRule>
  </conditionalFormatting>
  <conditionalFormatting sqref="AD145:AI145">
    <cfRule type="expression" dxfId="131" priority="62">
      <formula>ROUND(AD$19,0) &lt; ROUND(AD$12,0)</formula>
    </cfRule>
  </conditionalFormatting>
  <conditionalFormatting sqref="AD159:AI159">
    <cfRule type="expression" dxfId="130" priority="66">
      <formula>ROUND(AD$19,0) &lt; ROUND(AD$12,0)</formula>
    </cfRule>
  </conditionalFormatting>
  <conditionalFormatting sqref="AD173:AI173">
    <cfRule type="expression" dxfId="129" priority="93">
      <formula>ROUND(E$19,0) &lt; ROUND(E$12,0)</formula>
    </cfRule>
  </conditionalFormatting>
  <conditionalFormatting sqref="AH27:AI27">
    <cfRule type="expression" dxfId="128" priority="4">
      <formula>ROUND(AD$13,0) &gt;= ROUND(AD$12,0)</formula>
    </cfRule>
  </conditionalFormatting>
  <conditionalFormatting sqref="AH33:AI33">
    <cfRule type="expression" dxfId="127" priority="6">
      <formula>ROUND(AD$19,0) &lt; ROUND(AD$12,0)</formula>
    </cfRule>
  </conditionalFormatting>
  <conditionalFormatting sqref="AH41:AI41">
    <cfRule type="expression" dxfId="126" priority="8">
      <formula>ROUND(AD$13,0) &gt;= ROUND(AD$12,0)</formula>
    </cfRule>
  </conditionalFormatting>
  <conditionalFormatting sqref="AH55:AI55">
    <cfRule type="expression" dxfId="125" priority="12">
      <formula>ROUND(AH$13,0) &gt;= ROUND(AH$12,0)</formula>
    </cfRule>
  </conditionalFormatting>
  <conditionalFormatting sqref="AH69:AI69">
    <cfRule type="expression" dxfId="124" priority="16">
      <formula>ROUND(AH$13,0) &gt;= ROUND(AH$12,0)</formula>
    </cfRule>
  </conditionalFormatting>
  <conditionalFormatting sqref="AH83:AI83">
    <cfRule type="expression" dxfId="123" priority="20">
      <formula>ROUND(AH$13,0) &gt;= ROUND(AH$12,0)</formula>
    </cfRule>
  </conditionalFormatting>
  <conditionalFormatting sqref="AH97:AI97">
    <cfRule type="expression" dxfId="122" priority="24">
      <formula>ROUND(AH$13,0) &gt;= ROUND(AH$12,0)</formula>
    </cfRule>
  </conditionalFormatting>
  <conditionalFormatting sqref="AH111:AI111">
    <cfRule type="expression" dxfId="121" priority="52">
      <formula>ROUND(AH$13,0) &gt;= ROUND(AH$12,0)</formula>
    </cfRule>
  </conditionalFormatting>
  <conditionalFormatting sqref="AH125:AI125">
    <cfRule type="expression" dxfId="120" priority="56">
      <formula>ROUND(AH$13,0) &gt;= ROUND(AH$12,0)</formula>
    </cfRule>
  </conditionalFormatting>
  <conditionalFormatting sqref="AH139:AI139">
    <cfRule type="expression" dxfId="119" priority="60">
      <formula>ROUND(AH$13,0) &gt;= ROUND(AH$12,0)</formula>
    </cfRule>
  </conditionalFormatting>
  <conditionalFormatting sqref="AH153:AI153">
    <cfRule type="expression" dxfId="118" priority="64">
      <formula>ROUND(AH$13,0) &gt;= ROUND(AH$12,0)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53BE9-D0A8-42CB-B2A8-E837FEE8D5D6}">
  <sheetPr>
    <tabColor rgb="FF92D050"/>
  </sheetPr>
  <dimension ref="A1:AK180"/>
  <sheetViews>
    <sheetView topLeftCell="A110" zoomScale="73" zoomScaleNormal="90" workbookViewId="0">
      <selection activeCell="W153" sqref="W153"/>
    </sheetView>
  </sheetViews>
  <sheetFormatPr defaultColWidth="2.5" defaultRowHeight="15.75" outlineLevelRow="2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3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8" width="7.5" style="2" customWidth="1"/>
    <col min="29" max="29" width="15.5" style="2" customWidth="1"/>
    <col min="30" max="30" width="24.625" style="2" customWidth="1"/>
    <col min="31" max="34" width="7.5" style="2" customWidth="1"/>
    <col min="35" max="35" width="0.625" style="341" customWidth="1"/>
    <col min="36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7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7" customFormat="1" ht="31.5" customHeight="1">
      <c r="A2" s="499" t="s">
        <v>327</v>
      </c>
      <c r="B2" s="499"/>
      <c r="C2" s="500"/>
      <c r="D2" s="580" t="str">
        <f>_xlfn.CONCAT("Study Name: ","
Validity WISC-6/KTEA-3 – Paper Form A")</f>
        <v>Study Name: 
Validity WISC-6/KTEA-3 – Paper Form A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7" customFormat="1" ht="30.75" customHeight="1" thickBot="1">
      <c r="A3" s="2"/>
      <c r="B3" s="2"/>
      <c r="C3" s="2"/>
      <c r="D3" s="536" t="str">
        <f>_xlfn.CONCAT("Study Acronym: ","
V_KTEA3_P")</f>
        <v>Study Acronym: 
V_KTEA3_P</v>
      </c>
      <c r="E3" s="512"/>
      <c r="F3" s="583" t="s">
        <v>381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7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7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37" customFormat="1" ht="129" customHeight="1" thickBot="1">
      <c r="A6" s="2"/>
      <c r="B6" s="2"/>
      <c r="C6" s="98"/>
      <c r="D6" s="585" t="s">
        <v>382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B6" s="588" t="s">
        <v>377</v>
      </c>
      <c r="AC6" s="588"/>
      <c r="AD6" s="588"/>
      <c r="AE6" s="588"/>
      <c r="AF6" s="588"/>
      <c r="AG6" s="588"/>
      <c r="AH6" s="588"/>
    </row>
    <row r="7" spans="1:37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AB7" s="588"/>
      <c r="AC7" s="588"/>
      <c r="AD7" s="588"/>
      <c r="AE7" s="588"/>
      <c r="AF7" s="588"/>
      <c r="AG7" s="588"/>
      <c r="AH7" s="588"/>
    </row>
    <row r="8" spans="1:37" customFormat="1">
      <c r="A8" s="2"/>
      <c r="B8" s="482" t="str">
        <f>_xlfn.CONCAT("Last Refreshed at: ",aurora_data!V1532)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B8" s="482"/>
      <c r="AC8" s="483"/>
      <c r="AD8" s="483"/>
      <c r="AE8" s="540" t="s">
        <v>332</v>
      </c>
      <c r="AF8" s="541"/>
      <c r="AG8" s="541"/>
      <c r="AH8" s="541"/>
      <c r="AI8" s="339"/>
      <c r="AJ8" s="546" t="s">
        <v>337</v>
      </c>
      <c r="AK8" s="547"/>
    </row>
    <row r="9" spans="1:37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B9" s="486"/>
      <c r="AC9" s="487"/>
      <c r="AD9" s="29" t="s">
        <v>333</v>
      </c>
      <c r="AE9" s="528"/>
      <c r="AF9" s="529"/>
      <c r="AG9" s="529"/>
      <c r="AH9" s="529"/>
      <c r="AI9" s="342"/>
      <c r="AJ9" s="548"/>
      <c r="AK9" s="549"/>
    </row>
    <row r="10" spans="1:37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B10" s="463" t="s">
        <v>334</v>
      </c>
      <c r="AC10" s="30"/>
      <c r="AD10" s="31"/>
      <c r="AE10" s="543" t="s">
        <v>350</v>
      </c>
      <c r="AF10" s="476"/>
      <c r="AG10" s="476"/>
      <c r="AH10" s="476"/>
      <c r="AI10" s="342"/>
      <c r="AJ10" s="548"/>
      <c r="AK10" s="549"/>
    </row>
    <row r="11" spans="1:37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B11" s="463"/>
      <c r="AC11" s="30" t="s">
        <v>5</v>
      </c>
      <c r="AD11" s="33" t="s">
        <v>260</v>
      </c>
      <c r="AE11" s="336" t="s">
        <v>383</v>
      </c>
      <c r="AF11" s="92">
        <v>3</v>
      </c>
      <c r="AG11" s="93">
        <v>4</v>
      </c>
      <c r="AH11" s="340">
        <v>5</v>
      </c>
      <c r="AI11" s="342"/>
      <c r="AJ11" s="550"/>
      <c r="AK11" s="551"/>
    </row>
    <row r="12" spans="1:37" customFormat="1">
      <c r="A12" s="2"/>
      <c r="B12" s="451" t="s">
        <v>338</v>
      </c>
      <c r="C12" s="453" t="str">
        <f>aurora_data!A1532</f>
        <v>06.00.00-06.11.30</v>
      </c>
      <c r="D12" s="34" t="s">
        <v>306</v>
      </c>
      <c r="E12" s="39">
        <f>IFERROR(aurora_data!D1532,0)</f>
        <v>0.52</v>
      </c>
      <c r="F12" s="40">
        <f>IFERROR(aurora_data!E1532,0)</f>
        <v>0.99</v>
      </c>
      <c r="G12" s="40">
        <f>IFERROR(aurora_data!F1532,0)</f>
        <v>3.97</v>
      </c>
      <c r="H12" s="40">
        <f>IFERROR(aurora_data!G1532,0)</f>
        <v>6.43</v>
      </c>
      <c r="I12" s="41">
        <f>IFERROR(aurora_data!H1532,0)</f>
        <v>8.09</v>
      </c>
      <c r="J12" s="39">
        <f>IFERROR(aurora_data!I1532,0)</f>
        <v>1</v>
      </c>
      <c r="K12" s="40">
        <f>IFERROR(aurora_data!J1532,0)</f>
        <v>1</v>
      </c>
      <c r="L12" s="40">
        <f>IFERROR(aurora_data!K1532,0)</f>
        <v>1</v>
      </c>
      <c r="M12" s="40">
        <f>IFERROR(aurora_data!L1532,0)</f>
        <v>1</v>
      </c>
      <c r="N12" s="41">
        <f>IFERROR(aurora_data!M1532,0)</f>
        <v>1</v>
      </c>
      <c r="O12" s="39">
        <f>IFERROR(aurora_data!N1532,0)</f>
        <v>1</v>
      </c>
      <c r="P12" s="40">
        <f>IFERROR(aurora_data!O1532,0)</f>
        <v>1</v>
      </c>
      <c r="Q12" s="40">
        <f>IFERROR(aurora_data!P1532,0)</f>
        <v>1</v>
      </c>
      <c r="R12" s="41">
        <f>IFERROR(aurora_data!Q1532,0)</f>
        <v>1</v>
      </c>
      <c r="S12" s="40">
        <f>IFERROR(aurora_data!R1532,0)</f>
        <v>1</v>
      </c>
      <c r="T12" s="40">
        <f>IFERROR(aurora_data!S1532,0)</f>
        <v>1</v>
      </c>
      <c r="U12" s="74">
        <f>IFERROR(aurora_data!T1132,0)</f>
        <v>0</v>
      </c>
      <c r="V12" s="61" t="s">
        <v>354</v>
      </c>
      <c r="W12" s="39">
        <f>IFERROR(aurora_data!U1532,0)</f>
        <v>20</v>
      </c>
      <c r="X12" s="69">
        <f>IFERROR(W12/$W$12,0)</f>
        <v>1</v>
      </c>
      <c r="Y12" s="2"/>
      <c r="AB12" s="451" t="s">
        <v>338</v>
      </c>
      <c r="AC12" s="453" t="str">
        <f>aurora_data!A1532</f>
        <v>06.00.00-06.11.30</v>
      </c>
      <c r="AD12" s="34" t="s">
        <v>306</v>
      </c>
      <c r="AE12" s="39">
        <v>2</v>
      </c>
      <c r="AF12" s="40">
        <v>4</v>
      </c>
      <c r="AG12" s="40">
        <v>6</v>
      </c>
      <c r="AH12" s="40">
        <v>8</v>
      </c>
      <c r="AI12" s="343" t="s">
        <v>354</v>
      </c>
      <c r="AJ12" s="40">
        <f>IFERROR(aurora_data!U1532,0)</f>
        <v>20</v>
      </c>
      <c r="AK12" s="69">
        <f t="shared" ref="AK12:AK20" si="0">IFERROR(AJ12/$AJ$12,0)</f>
        <v>1</v>
      </c>
    </row>
    <row r="13" spans="1:37" customFormat="1">
      <c r="A13" s="2"/>
      <c r="B13" s="452"/>
      <c r="C13" s="454"/>
      <c r="D13" s="35" t="s">
        <v>339</v>
      </c>
      <c r="E13" s="113">
        <f>IFERROR(aurora_data!D1533,0)</f>
        <v>1</v>
      </c>
      <c r="F13" s="253">
        <f>IFERROR(aurora_data!E1533,0)</f>
        <v>1</v>
      </c>
      <c r="G13" s="253">
        <f>IFERROR(aurora_data!F1533,0)</f>
        <v>3</v>
      </c>
      <c r="H13" s="253">
        <f>IFERROR(aurora_data!G1533,0)</f>
        <v>6</v>
      </c>
      <c r="I13" s="254">
        <f>IFERROR(aurora_data!H1533,0)</f>
        <v>8</v>
      </c>
      <c r="J13" s="113">
        <f>IFERROR(aurora_data!I1533,0)</f>
        <v>1</v>
      </c>
      <c r="K13" s="253">
        <f>IFERROR(aurora_data!J1533,0)</f>
        <v>1</v>
      </c>
      <c r="L13" s="253">
        <f>IFERROR(aurora_data!K1533,0)</f>
        <v>4</v>
      </c>
      <c r="M13" s="253">
        <f>IFERROR(aurora_data!L1533,0)</f>
        <v>2</v>
      </c>
      <c r="N13" s="254">
        <f>IFERROR(aurora_data!M1533,0)</f>
        <v>11</v>
      </c>
      <c r="O13" s="113">
        <f>IFERROR(aurora_data!N1533,0)</f>
        <v>5</v>
      </c>
      <c r="P13" s="253">
        <f>IFERROR(aurora_data!O1533,0)</f>
        <v>4</v>
      </c>
      <c r="Q13" s="253">
        <f>IFERROR(aurora_data!P1533,0)</f>
        <v>9</v>
      </c>
      <c r="R13" s="254">
        <f>IFERROR(aurora_data!Q1533,0)</f>
        <v>1</v>
      </c>
      <c r="S13" s="253">
        <f>IFERROR(aurora_data!R1533,0)</f>
        <v>8</v>
      </c>
      <c r="T13" s="253">
        <f>IFERROR(aurora_data!S1533,0)</f>
        <v>11</v>
      </c>
      <c r="U13" s="254">
        <f>IFERROR(aurora_data!T1133,0)</f>
        <v>0</v>
      </c>
      <c r="V13" s="61" t="s">
        <v>354</v>
      </c>
      <c r="W13" s="113">
        <f>IFERROR(aurora_data!U1533,0)</f>
        <v>19</v>
      </c>
      <c r="X13" s="255">
        <f t="shared" ref="X13:X20" si="1">IFERROR(W13/$W$12,0)</f>
        <v>0.95</v>
      </c>
      <c r="Y13" s="2"/>
      <c r="AB13" s="452"/>
      <c r="AC13" s="454"/>
      <c r="AD13" s="35" t="s">
        <v>339</v>
      </c>
      <c r="AE13" s="113">
        <f>IFERROR(aurora_data!D1533,0)+IFERROR(aurora_data!E1533,0)</f>
        <v>2</v>
      </c>
      <c r="AF13" s="253">
        <f>IFERROR(aurora_data!F1533,0)</f>
        <v>3</v>
      </c>
      <c r="AG13" s="253">
        <f>IFERROR(aurora_data!G1533,0)</f>
        <v>6</v>
      </c>
      <c r="AH13" s="253">
        <f>IFERROR(aurora_data!H1533,0)</f>
        <v>8</v>
      </c>
      <c r="AI13" s="343" t="s">
        <v>354</v>
      </c>
      <c r="AJ13" s="253">
        <f>IFERROR(aurora_data!U1533,0)</f>
        <v>19</v>
      </c>
      <c r="AK13" s="255">
        <f t="shared" si="0"/>
        <v>0.95</v>
      </c>
    </row>
    <row r="14" spans="1:37" customFormat="1">
      <c r="A14" s="2"/>
      <c r="B14" s="452"/>
      <c r="C14" s="454"/>
      <c r="D14" s="35" t="s">
        <v>291</v>
      </c>
      <c r="E14" s="113">
        <f>IFERROR(aurora_data!D1534,0)</f>
        <v>0</v>
      </c>
      <c r="F14" s="253">
        <f>IFERROR(aurora_data!E1534,0)</f>
        <v>0</v>
      </c>
      <c r="G14" s="253">
        <f>IFERROR(aurora_data!F1534,0)</f>
        <v>0</v>
      </c>
      <c r="H14" s="253">
        <f>IFERROR(aurora_data!G1534,0)</f>
        <v>1</v>
      </c>
      <c r="I14" s="254">
        <f>IFERROR(aurora_data!H1534,0)</f>
        <v>0</v>
      </c>
      <c r="J14" s="113">
        <f>IFERROR(aurora_data!I1534,0)</f>
        <v>0</v>
      </c>
      <c r="K14" s="253">
        <f>IFERROR(aurora_data!J1534,0)</f>
        <v>0</v>
      </c>
      <c r="L14" s="253">
        <f>IFERROR(aurora_data!K1534,0)</f>
        <v>0</v>
      </c>
      <c r="M14" s="253">
        <f>IFERROR(aurora_data!L1534,0)</f>
        <v>0</v>
      </c>
      <c r="N14" s="254">
        <f>IFERROR(aurora_data!M1534,0)</f>
        <v>1</v>
      </c>
      <c r="O14" s="113">
        <f>IFERROR(aurora_data!N1534,0)</f>
        <v>1</v>
      </c>
      <c r="P14" s="253">
        <f>IFERROR(aurora_data!O1534,0)</f>
        <v>0</v>
      </c>
      <c r="Q14" s="253">
        <f>IFERROR(aurora_data!P1534,0)</f>
        <v>0</v>
      </c>
      <c r="R14" s="254">
        <f>IFERROR(aurora_data!Q1534,0)</f>
        <v>0</v>
      </c>
      <c r="S14" s="253">
        <f>IFERROR(aurora_data!R1534,0)</f>
        <v>0</v>
      </c>
      <c r="T14" s="253">
        <f>IFERROR(aurora_data!S1534,0)</f>
        <v>1</v>
      </c>
      <c r="U14" s="254">
        <f>IFERROR(aurora_data!T1134,0)</f>
        <v>0</v>
      </c>
      <c r="V14" s="61" t="s">
        <v>354</v>
      </c>
      <c r="W14" s="113">
        <f>IFERROR(aurora_data!U1534,0)</f>
        <v>1</v>
      </c>
      <c r="X14" s="255">
        <f t="shared" si="1"/>
        <v>0.05</v>
      </c>
      <c r="Y14" s="2"/>
      <c r="AB14" s="452"/>
      <c r="AC14" s="454"/>
      <c r="AD14" s="35" t="s">
        <v>291</v>
      </c>
      <c r="AE14" s="113">
        <f>IFERROR(aurora_data!D1534,0)+IFERROR(aurora_data!E1534,0)</f>
        <v>0</v>
      </c>
      <c r="AF14" s="253">
        <f>IFERROR(aurora_data!F1534,0)</f>
        <v>0</v>
      </c>
      <c r="AG14" s="253">
        <f>IFERROR(aurora_data!G1534,0)</f>
        <v>1</v>
      </c>
      <c r="AH14" s="253">
        <f>IFERROR(aurora_data!H1534,0)</f>
        <v>0</v>
      </c>
      <c r="AI14" s="343" t="s">
        <v>354</v>
      </c>
      <c r="AJ14" s="253">
        <f>IFERROR(aurora_data!U1534,0)</f>
        <v>1</v>
      </c>
      <c r="AK14" s="255">
        <f t="shared" si="0"/>
        <v>0.05</v>
      </c>
    </row>
    <row r="15" spans="1:37" customFormat="1">
      <c r="A15" s="2"/>
      <c r="B15" s="452"/>
      <c r="C15" s="454"/>
      <c r="D15" s="35" t="s">
        <v>340</v>
      </c>
      <c r="E15" s="113">
        <f>IFERROR(aurora_data!D1535,0)</f>
        <v>0</v>
      </c>
      <c r="F15" s="253">
        <f>IFERROR(aurora_data!E1535,0)</f>
        <v>0</v>
      </c>
      <c r="G15" s="253">
        <f>IFERROR(aurora_data!F1535,0)</f>
        <v>0</v>
      </c>
      <c r="H15" s="253">
        <f>IFERROR(aurora_data!G1535,0)</f>
        <v>0</v>
      </c>
      <c r="I15" s="254">
        <f>IFERROR(aurora_data!H1535,0)</f>
        <v>0</v>
      </c>
      <c r="J15" s="113">
        <f>IFERROR(aurora_data!I1535,0)</f>
        <v>0</v>
      </c>
      <c r="K15" s="253">
        <f>IFERROR(aurora_data!J1535,0)</f>
        <v>0</v>
      </c>
      <c r="L15" s="253">
        <f>IFERROR(aurora_data!K1535,0)</f>
        <v>0</v>
      </c>
      <c r="M15" s="253">
        <f>IFERROR(aurora_data!L1535,0)</f>
        <v>0</v>
      </c>
      <c r="N15" s="254">
        <f>IFERROR(aurora_data!M1535,0)</f>
        <v>0</v>
      </c>
      <c r="O15" s="113">
        <f>IFERROR(aurora_data!N1535,0)</f>
        <v>0</v>
      </c>
      <c r="P15" s="253">
        <f>IFERROR(aurora_data!O1535,0)</f>
        <v>0</v>
      </c>
      <c r="Q15" s="253">
        <f>IFERROR(aurora_data!P1535,0)</f>
        <v>0</v>
      </c>
      <c r="R15" s="254">
        <f>IFERROR(aurora_data!Q1535,0)</f>
        <v>0</v>
      </c>
      <c r="S15" s="253">
        <f>IFERROR(aurora_data!R1535,0)</f>
        <v>0</v>
      </c>
      <c r="T15" s="253">
        <f>IFERROR(aurora_data!S1535,0)</f>
        <v>0</v>
      </c>
      <c r="U15" s="254">
        <f>IFERROR(aurora_data!T1135,0)</f>
        <v>0</v>
      </c>
      <c r="V15" s="61" t="s">
        <v>354</v>
      </c>
      <c r="W15" s="113">
        <f>IFERROR(aurora_data!U1535,0)</f>
        <v>0</v>
      </c>
      <c r="X15" s="255">
        <f t="shared" si="1"/>
        <v>0</v>
      </c>
      <c r="Y15" s="2"/>
      <c r="AB15" s="452"/>
      <c r="AC15" s="454"/>
      <c r="AD15" s="35" t="s">
        <v>340</v>
      </c>
      <c r="AE15" s="113">
        <f>IFERROR(aurora_data!D1535,0)+IFERROR(aurora_data!E1535,0)</f>
        <v>0</v>
      </c>
      <c r="AF15" s="253">
        <f>IFERROR(aurora_data!F1535,0)</f>
        <v>0</v>
      </c>
      <c r="AG15" s="253">
        <f>IFERROR(aurora_data!G1535,0)</f>
        <v>0</v>
      </c>
      <c r="AH15" s="253">
        <f>IFERROR(aurora_data!H1535,0)</f>
        <v>0</v>
      </c>
      <c r="AI15" s="343" t="s">
        <v>354</v>
      </c>
      <c r="AJ15" s="253">
        <f>IFERROR(aurora_data!U1535,0)</f>
        <v>0</v>
      </c>
      <c r="AK15" s="255">
        <f t="shared" si="0"/>
        <v>0</v>
      </c>
    </row>
    <row r="16" spans="1:37" customFormat="1">
      <c r="A16" s="2"/>
      <c r="B16" s="452"/>
      <c r="C16" s="454"/>
      <c r="D16" s="35" t="s">
        <v>298</v>
      </c>
      <c r="E16" s="113">
        <f>IFERROR(aurora_data!D1536,0)</f>
        <v>0</v>
      </c>
      <c r="F16" s="253">
        <f>IFERROR(aurora_data!E1536,0)</f>
        <v>0</v>
      </c>
      <c r="G16" s="253">
        <f>IFERROR(aurora_data!F1536,0)</f>
        <v>0</v>
      </c>
      <c r="H16" s="253">
        <f>IFERROR(aurora_data!G1536,0)</f>
        <v>0</v>
      </c>
      <c r="I16" s="254">
        <f>IFERROR(aurora_data!H1536,0)</f>
        <v>0</v>
      </c>
      <c r="J16" s="113">
        <f>IFERROR(aurora_data!I1536,0)</f>
        <v>0</v>
      </c>
      <c r="K16" s="253">
        <f>IFERROR(aurora_data!J1536,0)</f>
        <v>0</v>
      </c>
      <c r="L16" s="253">
        <f>IFERROR(aurora_data!K1536,0)</f>
        <v>0</v>
      </c>
      <c r="M16" s="253">
        <f>IFERROR(aurora_data!L1536,0)</f>
        <v>0</v>
      </c>
      <c r="N16" s="254">
        <f>IFERROR(aurora_data!M1536,0)</f>
        <v>0</v>
      </c>
      <c r="O16" s="113">
        <f>IFERROR(aurora_data!N1536,0)</f>
        <v>0</v>
      </c>
      <c r="P16" s="253">
        <f>IFERROR(aurora_data!O1536,0)</f>
        <v>0</v>
      </c>
      <c r="Q16" s="253">
        <f>IFERROR(aurora_data!P1536,0)</f>
        <v>0</v>
      </c>
      <c r="R16" s="254">
        <f>IFERROR(aurora_data!Q1536,0)</f>
        <v>0</v>
      </c>
      <c r="S16" s="253">
        <f>IFERROR(aurora_data!R1536,0)</f>
        <v>0</v>
      </c>
      <c r="T16" s="253">
        <f>IFERROR(aurora_data!S1536,0)</f>
        <v>0</v>
      </c>
      <c r="U16" s="254">
        <f>IFERROR(aurora_data!T1136,0)</f>
        <v>0</v>
      </c>
      <c r="V16" s="61" t="s">
        <v>354</v>
      </c>
      <c r="W16" s="113">
        <f>IFERROR(aurora_data!U1536,0)</f>
        <v>0</v>
      </c>
      <c r="X16" s="255">
        <f t="shared" si="1"/>
        <v>0</v>
      </c>
      <c r="Y16" s="2"/>
      <c r="AB16" s="452"/>
      <c r="AC16" s="454"/>
      <c r="AD16" s="35" t="s">
        <v>298</v>
      </c>
      <c r="AE16" s="113">
        <f>IFERROR(aurora_data!D1536,0)+IFERROR(aurora_data!E1536,0)</f>
        <v>0</v>
      </c>
      <c r="AF16" s="253">
        <f>IFERROR(aurora_data!F1536,0)</f>
        <v>0</v>
      </c>
      <c r="AG16" s="253">
        <f>IFERROR(aurora_data!G1536,0)</f>
        <v>0</v>
      </c>
      <c r="AH16" s="253">
        <f>IFERROR(aurora_data!H1536,0)</f>
        <v>0</v>
      </c>
      <c r="AI16" s="343" t="s">
        <v>354</v>
      </c>
      <c r="AJ16" s="253">
        <f>IFERROR(aurora_data!U1536,0)</f>
        <v>0</v>
      </c>
      <c r="AK16" s="255">
        <f t="shared" si="0"/>
        <v>0</v>
      </c>
    </row>
    <row r="17" spans="1:37" customFormat="1">
      <c r="A17" s="2"/>
      <c r="B17" s="452"/>
      <c r="C17" s="454"/>
      <c r="D17" s="35" t="s">
        <v>341</v>
      </c>
      <c r="E17" s="113">
        <f>IFERROR(aurora_data!D1537,0)</f>
        <v>0</v>
      </c>
      <c r="F17" s="253">
        <f>IFERROR(aurora_data!E1537,0)</f>
        <v>0</v>
      </c>
      <c r="G17" s="253">
        <f>IFERROR(aurora_data!F1537,0)</f>
        <v>0</v>
      </c>
      <c r="H17" s="253">
        <f>IFERROR(aurora_data!G1537,0)</f>
        <v>0</v>
      </c>
      <c r="I17" s="254">
        <f>IFERROR(aurora_data!H1537,0)</f>
        <v>0</v>
      </c>
      <c r="J17" s="113">
        <f>IFERROR(aurora_data!I1537,0)</f>
        <v>0</v>
      </c>
      <c r="K17" s="253">
        <f>IFERROR(aurora_data!J1537,0)</f>
        <v>0</v>
      </c>
      <c r="L17" s="253">
        <f>IFERROR(aurora_data!K1537,0)</f>
        <v>0</v>
      </c>
      <c r="M17" s="253">
        <f>IFERROR(aurora_data!L1537,0)</f>
        <v>0</v>
      </c>
      <c r="N17" s="254">
        <f>IFERROR(aurora_data!M1537,0)</f>
        <v>0</v>
      </c>
      <c r="O17" s="113">
        <f>IFERROR(aurora_data!N1537,0)</f>
        <v>0</v>
      </c>
      <c r="P17" s="253">
        <f>IFERROR(aurora_data!O1537,0)</f>
        <v>0</v>
      </c>
      <c r="Q17" s="253">
        <f>IFERROR(aurora_data!P1537,0)</f>
        <v>0</v>
      </c>
      <c r="R17" s="254">
        <f>IFERROR(aurora_data!Q1537,0)</f>
        <v>0</v>
      </c>
      <c r="S17" s="253">
        <f>IFERROR(aurora_data!R1537,0)</f>
        <v>0</v>
      </c>
      <c r="T17" s="253">
        <f>IFERROR(aurora_data!S1537,0)</f>
        <v>0</v>
      </c>
      <c r="U17" s="254">
        <f>IFERROR(aurora_data!T1137,0)</f>
        <v>0</v>
      </c>
      <c r="V17" s="61" t="s">
        <v>354</v>
      </c>
      <c r="W17" s="113">
        <f>IFERROR(aurora_data!U1537,0)</f>
        <v>0</v>
      </c>
      <c r="X17" s="255">
        <f t="shared" si="1"/>
        <v>0</v>
      </c>
      <c r="Y17" s="2"/>
      <c r="AB17" s="452"/>
      <c r="AC17" s="454"/>
      <c r="AD17" s="35" t="s">
        <v>341</v>
      </c>
      <c r="AE17" s="113">
        <f>IFERROR(aurora_data!D1537,0)+IFERROR(aurora_data!E1537,0)</f>
        <v>0</v>
      </c>
      <c r="AF17" s="253">
        <f>IFERROR(aurora_data!F1537,0)</f>
        <v>0</v>
      </c>
      <c r="AG17" s="253">
        <f>IFERROR(aurora_data!G1537,0)</f>
        <v>0</v>
      </c>
      <c r="AH17" s="253">
        <f>IFERROR(aurora_data!H1537,0)</f>
        <v>0</v>
      </c>
      <c r="AI17" s="343" t="s">
        <v>354</v>
      </c>
      <c r="AJ17" s="253">
        <f>IFERROR(aurora_data!U1537,0)</f>
        <v>0</v>
      </c>
      <c r="AK17" s="255">
        <f t="shared" si="0"/>
        <v>0</v>
      </c>
    </row>
    <row r="18" spans="1:37" customFormat="1" ht="16.5" thickBot="1">
      <c r="A18" s="2"/>
      <c r="B18" s="452"/>
      <c r="C18" s="454"/>
      <c r="D18" s="35" t="s">
        <v>342</v>
      </c>
      <c r="E18" s="113">
        <f>IFERROR(aurora_data!D1538,0)</f>
        <v>0</v>
      </c>
      <c r="F18" s="253">
        <f>IFERROR(aurora_data!E1538,0)</f>
        <v>0</v>
      </c>
      <c r="G18" s="253">
        <f>IFERROR(aurora_data!F1538,0)</f>
        <v>0</v>
      </c>
      <c r="H18" s="253">
        <f>IFERROR(aurora_data!G1538,0)</f>
        <v>0</v>
      </c>
      <c r="I18" s="254">
        <f>IFERROR(aurora_data!H1538,0)</f>
        <v>0</v>
      </c>
      <c r="J18" s="113">
        <f>IFERROR(aurora_data!I1538,0)</f>
        <v>0</v>
      </c>
      <c r="K18" s="253">
        <f>IFERROR(aurora_data!J1538,0)</f>
        <v>0</v>
      </c>
      <c r="L18" s="253">
        <f>IFERROR(aurora_data!K1538,0)</f>
        <v>0</v>
      </c>
      <c r="M18" s="253">
        <f>IFERROR(aurora_data!L1538,0)</f>
        <v>0</v>
      </c>
      <c r="N18" s="254">
        <f>IFERROR(aurora_data!M1538,0)</f>
        <v>0</v>
      </c>
      <c r="O18" s="113">
        <f>IFERROR(aurora_data!N1538,0)</f>
        <v>0</v>
      </c>
      <c r="P18" s="253">
        <f>IFERROR(aurora_data!O1538,0)</f>
        <v>0</v>
      </c>
      <c r="Q18" s="253">
        <f>IFERROR(aurora_data!P1538,0)</f>
        <v>0</v>
      </c>
      <c r="R18" s="254">
        <f>IFERROR(aurora_data!Q1538,0)</f>
        <v>0</v>
      </c>
      <c r="S18" s="253">
        <f>IFERROR(aurora_data!R1538,0)</f>
        <v>0</v>
      </c>
      <c r="T18" s="253">
        <f>IFERROR(aurora_data!S1538,0)</f>
        <v>0</v>
      </c>
      <c r="U18" s="254">
        <f>IFERROR(aurora_data!T1138,0)</f>
        <v>0</v>
      </c>
      <c r="V18" s="61" t="s">
        <v>354</v>
      </c>
      <c r="W18" s="113">
        <f>IFERROR(aurora_data!U1538,0)</f>
        <v>0</v>
      </c>
      <c r="X18" s="255">
        <f t="shared" si="1"/>
        <v>0</v>
      </c>
      <c r="Y18" s="2"/>
      <c r="AB18" s="452"/>
      <c r="AC18" s="454"/>
      <c r="AD18" s="35" t="s">
        <v>342</v>
      </c>
      <c r="AE18" s="113">
        <f>IFERROR(aurora_data!D1538,0)+IFERROR(aurora_data!E1538,0)</f>
        <v>0</v>
      </c>
      <c r="AF18" s="253">
        <f>IFERROR(aurora_data!F1538,0)</f>
        <v>0</v>
      </c>
      <c r="AG18" s="253">
        <f>IFERROR(aurora_data!G1538,0)</f>
        <v>0</v>
      </c>
      <c r="AH18" s="253">
        <f>IFERROR(aurora_data!H1538,0)</f>
        <v>0</v>
      </c>
      <c r="AI18" s="343" t="s">
        <v>354</v>
      </c>
      <c r="AJ18" s="253">
        <f>IFERROR(aurora_data!U1538,0)</f>
        <v>0</v>
      </c>
      <c r="AK18" s="255">
        <f t="shared" si="0"/>
        <v>0</v>
      </c>
    </row>
    <row r="19" spans="1:37" customFormat="1" ht="16.5" thickBot="1">
      <c r="A19" s="2"/>
      <c r="B19" s="452"/>
      <c r="C19" s="454"/>
      <c r="D19" s="37" t="s">
        <v>17</v>
      </c>
      <c r="E19" s="59">
        <f>IFERROR(aurora_data!D1539,0)</f>
        <v>1</v>
      </c>
      <c r="F19" s="64">
        <f>IFERROR(aurora_data!E1539,0)</f>
        <v>1</v>
      </c>
      <c r="G19" s="64">
        <f>IFERROR(aurora_data!F1539,0)</f>
        <v>3</v>
      </c>
      <c r="H19" s="64">
        <f>IFERROR(aurora_data!G1539,0)</f>
        <v>7</v>
      </c>
      <c r="I19" s="65">
        <f>IFERROR(aurora_data!H1539,0)</f>
        <v>8</v>
      </c>
      <c r="J19" s="59">
        <f>IFERROR(aurora_data!I1539,0)</f>
        <v>1</v>
      </c>
      <c r="K19" s="64">
        <f>IFERROR(aurora_data!J1539,0)</f>
        <v>1</v>
      </c>
      <c r="L19" s="64">
        <f>IFERROR(aurora_data!K1539,0)</f>
        <v>4</v>
      </c>
      <c r="M19" s="64">
        <f>IFERROR(aurora_data!L1539,0)</f>
        <v>2</v>
      </c>
      <c r="N19" s="65">
        <f>IFERROR(aurora_data!M1539,0)</f>
        <v>12</v>
      </c>
      <c r="O19" s="59">
        <f>IFERROR(aurora_data!N1539,0)</f>
        <v>6</v>
      </c>
      <c r="P19" s="64">
        <f>IFERROR(aurora_data!O1539,0)</f>
        <v>4</v>
      </c>
      <c r="Q19" s="64">
        <f>IFERROR(aurora_data!P1539,0)</f>
        <v>9</v>
      </c>
      <c r="R19" s="65">
        <f>IFERROR(aurora_data!Q1539,0)</f>
        <v>1</v>
      </c>
      <c r="S19" s="64">
        <f>IFERROR(aurora_data!R1539,0)</f>
        <v>8</v>
      </c>
      <c r="T19" s="64">
        <f>IFERROR(aurora_data!S1539,0)</f>
        <v>12</v>
      </c>
      <c r="U19" s="65">
        <f>IFERROR(aurora_data!T1139,0)</f>
        <v>0</v>
      </c>
      <c r="V19" s="66" t="s">
        <v>354</v>
      </c>
      <c r="W19" s="59">
        <f>IFERROR(aurora_data!U1539,0)</f>
        <v>20</v>
      </c>
      <c r="X19" s="70">
        <f t="shared" si="1"/>
        <v>1</v>
      </c>
      <c r="Y19" s="2"/>
      <c r="AB19" s="452"/>
      <c r="AC19" s="454"/>
      <c r="AD19" s="37" t="s">
        <v>17</v>
      </c>
      <c r="AE19" s="59">
        <f>IFERROR(aurora_data!D1539,0)+IFERROR(aurora_data!E1539,0)</f>
        <v>2</v>
      </c>
      <c r="AF19" s="64">
        <f>IFERROR(aurora_data!F1539,0)</f>
        <v>3</v>
      </c>
      <c r="AG19" s="64">
        <f>IFERROR(aurora_data!G1539,0)</f>
        <v>7</v>
      </c>
      <c r="AH19" s="64">
        <f>IFERROR(aurora_data!H1539,0)</f>
        <v>8</v>
      </c>
      <c r="AI19" s="344" t="s">
        <v>354</v>
      </c>
      <c r="AJ19" s="64">
        <f>IFERROR(aurora_data!U1539,0)</f>
        <v>20</v>
      </c>
      <c r="AK19" s="70">
        <f t="shared" si="0"/>
        <v>1</v>
      </c>
    </row>
    <row r="20" spans="1:37" customFormat="1" ht="17.25" customHeight="1" thickBot="1">
      <c r="A20" s="2"/>
      <c r="B20" s="452"/>
      <c r="C20" s="454"/>
      <c r="D20" s="38" t="s">
        <v>343</v>
      </c>
      <c r="E20" s="256">
        <f>IFERROR(aurora_data!D1540,0)</f>
        <v>0</v>
      </c>
      <c r="F20" s="257">
        <f>IFERROR(aurora_data!E1540,0)</f>
        <v>0</v>
      </c>
      <c r="G20" s="257">
        <f>IFERROR(aurora_data!F1540,0)</f>
        <v>0</v>
      </c>
      <c r="H20" s="257">
        <f>IFERROR(aurora_data!G1540,0)</f>
        <v>0</v>
      </c>
      <c r="I20" s="258">
        <f>IFERROR(aurora_data!H1540,0)</f>
        <v>0</v>
      </c>
      <c r="J20" s="256">
        <f>IFERROR(aurora_data!I1540,0)</f>
        <v>0</v>
      </c>
      <c r="K20" s="257">
        <f>IFERROR(aurora_data!J1540,0)</f>
        <v>0</v>
      </c>
      <c r="L20" s="257">
        <f>IFERROR(aurora_data!K1540,0)</f>
        <v>0</v>
      </c>
      <c r="M20" s="257">
        <f>IFERROR(aurora_data!L1540,0)</f>
        <v>0</v>
      </c>
      <c r="N20" s="258">
        <f>IFERROR(aurora_data!M1540,0)</f>
        <v>0</v>
      </c>
      <c r="O20" s="256">
        <f>IFERROR(aurora_data!N1540,0)</f>
        <v>0</v>
      </c>
      <c r="P20" s="257">
        <f>IFERROR(aurora_data!O1540,0)</f>
        <v>0</v>
      </c>
      <c r="Q20" s="257">
        <f>IFERROR(aurora_data!P1540,0)</f>
        <v>0</v>
      </c>
      <c r="R20" s="258">
        <f>IFERROR(aurora_data!Q1540,0)</f>
        <v>0</v>
      </c>
      <c r="S20" s="257">
        <f>IFERROR(aurora_data!R1540,0)</f>
        <v>0</v>
      </c>
      <c r="T20" s="257">
        <f>IFERROR(aurora_data!S1540,0)</f>
        <v>0</v>
      </c>
      <c r="U20" s="259">
        <f>IFERROR(aurora_data!T1140,0)</f>
        <v>0</v>
      </c>
      <c r="V20" s="260" t="s">
        <v>354</v>
      </c>
      <c r="W20" s="256">
        <f>IFERROR(aurora_data!U1540,0)</f>
        <v>0</v>
      </c>
      <c r="X20" s="261">
        <f t="shared" si="1"/>
        <v>0</v>
      </c>
      <c r="Y20" s="2"/>
      <c r="AB20" s="452"/>
      <c r="AC20" s="454"/>
      <c r="AD20" s="38" t="s">
        <v>343</v>
      </c>
      <c r="AE20" s="256">
        <f>IFERROR(aurora_data!D1540,0)+IFERROR(aurora_data!E1540,0)</f>
        <v>0</v>
      </c>
      <c r="AF20" s="257">
        <f>IFERROR(aurora_data!F1540,0)</f>
        <v>0</v>
      </c>
      <c r="AG20" s="257">
        <f>IFERROR(aurora_data!G1540,0)</f>
        <v>0</v>
      </c>
      <c r="AH20" s="257">
        <f>IFERROR(aurora_data!H1540,0)</f>
        <v>0</v>
      </c>
      <c r="AI20" s="343" t="s">
        <v>354</v>
      </c>
      <c r="AJ20" s="257">
        <f>IFERROR(aurora_data!U1540,0)</f>
        <v>0</v>
      </c>
      <c r="AK20" s="261">
        <f t="shared" si="0"/>
        <v>0</v>
      </c>
    </row>
    <row r="21" spans="1:37" customFormat="1" ht="16.5" outlineLevel="1" thickBot="1">
      <c r="A21" s="2"/>
      <c r="B21" s="147"/>
      <c r="C21" s="227"/>
      <c r="D21" s="199" t="s">
        <v>344</v>
      </c>
      <c r="E21" s="276">
        <f>((E23+$E$9)*($W12))</f>
        <v>0.91999999999999993</v>
      </c>
      <c r="F21" s="277">
        <f>(F23+$E$9)*($W12)</f>
        <v>1.3900000000000001</v>
      </c>
      <c r="G21" s="277">
        <f>(G23+$E$9)*($W12)</f>
        <v>4.37</v>
      </c>
      <c r="H21" s="277">
        <f>(H23+$E$9)*($W12)</f>
        <v>6.83</v>
      </c>
      <c r="I21" s="277">
        <f>(I23+$E$9)*($W12)</f>
        <v>8.49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B21" s="147"/>
      <c r="AC21" s="227"/>
      <c r="AD21" s="199" t="s">
        <v>344</v>
      </c>
      <c r="AE21" s="294"/>
      <c r="AF21" s="295"/>
      <c r="AG21" s="295"/>
      <c r="AH21" s="295"/>
      <c r="AI21" s="343"/>
      <c r="AJ21" s="295"/>
      <c r="AK21" s="299"/>
    </row>
    <row r="22" spans="1:37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0.84000000000000008</v>
      </c>
      <c r="G22" s="277">
        <f t="shared" ref="G22:I22" si="2">IF(ROUND(((G23-$E$9)*($W12))+0.25,0) &lt;=0,1,((G23-$E$9)*($W12))+0.25)</f>
        <v>3.8200000000000003</v>
      </c>
      <c r="H22" s="277">
        <f t="shared" si="2"/>
        <v>6.2799999999999994</v>
      </c>
      <c r="I22" s="277">
        <f t="shared" si="2"/>
        <v>7.9399999999999995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B22" s="147"/>
      <c r="AC22" s="227"/>
      <c r="AD22" s="199" t="s">
        <v>345</v>
      </c>
      <c r="AE22" s="294"/>
      <c r="AF22" s="295"/>
      <c r="AG22" s="295"/>
      <c r="AH22" s="295"/>
      <c r="AI22" s="343"/>
      <c r="AJ22" s="295"/>
      <c r="AK22" s="299"/>
    </row>
    <row r="23" spans="1:37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4.9500000000000002E-2</v>
      </c>
      <c r="G23" s="415">
        <f>IFERROR(G12/$W12,0)</f>
        <v>0.19850000000000001</v>
      </c>
      <c r="H23" s="415">
        <f t="shared" si="3"/>
        <v>0.32150000000000001</v>
      </c>
      <c r="I23" s="415">
        <f>IFERROR(I12/$W12,0)</f>
        <v>0.40449999999999997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B23" s="147"/>
      <c r="AC23" s="227"/>
      <c r="AD23" s="95" t="s">
        <v>346</v>
      </c>
      <c r="AE23" s="294"/>
      <c r="AF23" s="295"/>
      <c r="AG23" s="295"/>
      <c r="AH23" s="295"/>
      <c r="AI23" s="343"/>
      <c r="AJ23" s="295"/>
      <c r="AK23" s="299"/>
    </row>
    <row r="24" spans="1:37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0.05</v>
      </c>
      <c r="F24" s="415">
        <f t="shared" ref="F24:I24" si="4">IFERROR(F13/$W12,0)</f>
        <v>0.05</v>
      </c>
      <c r="G24" s="415">
        <f t="shared" si="4"/>
        <v>0.15</v>
      </c>
      <c r="H24" s="415">
        <f t="shared" si="4"/>
        <v>0.3</v>
      </c>
      <c r="I24" s="415">
        <f t="shared" si="4"/>
        <v>0.4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B24" s="147"/>
      <c r="AC24" s="227"/>
      <c r="AD24" s="180" t="s">
        <v>347</v>
      </c>
      <c r="AE24" s="294"/>
      <c r="AF24" s="295"/>
      <c r="AG24" s="295"/>
      <c r="AH24" s="295"/>
      <c r="AI24" s="343"/>
      <c r="AJ24" s="295"/>
      <c r="AK24" s="299"/>
    </row>
    <row r="25" spans="1:37" customFormat="1" ht="16.5" hidden="1" outlineLevel="1" thickBot="1">
      <c r="A25" s="2"/>
      <c r="B25" s="147"/>
      <c r="C25" s="227"/>
      <c r="D25" s="180" t="s">
        <v>348</v>
      </c>
      <c r="E25" s="414">
        <f>E24-E23</f>
        <v>2.4E-2</v>
      </c>
      <c r="F25" s="415">
        <f t="shared" ref="F25:I25" si="5">F24-F23</f>
        <v>5.0000000000000044E-4</v>
      </c>
      <c r="G25" s="415">
        <f t="shared" si="5"/>
        <v>-4.8500000000000015E-2</v>
      </c>
      <c r="H25" s="415">
        <f t="shared" si="5"/>
        <v>-2.1500000000000019E-2</v>
      </c>
      <c r="I25" s="415">
        <f t="shared" si="5"/>
        <v>-4.4999999999999485E-3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B25" s="147"/>
      <c r="AC25" s="227"/>
      <c r="AD25" s="180" t="s">
        <v>348</v>
      </c>
      <c r="AE25" s="294"/>
      <c r="AF25" s="295"/>
      <c r="AG25" s="295"/>
      <c r="AH25" s="295"/>
      <c r="AI25" s="343"/>
      <c r="AJ25" s="295"/>
      <c r="AK25" s="299"/>
    </row>
    <row r="26" spans="1:37" customFormat="1">
      <c r="A26" s="2"/>
      <c r="B26" s="451" t="s">
        <v>338</v>
      </c>
      <c r="C26" s="453" t="str">
        <f>aurora_data!A1541</f>
        <v>07.00.00-07.11.30</v>
      </c>
      <c r="D26" s="34" t="s">
        <v>306</v>
      </c>
      <c r="E26" s="39">
        <f>IFERROR(aurora_data!D1541,0)</f>
        <v>0.49</v>
      </c>
      <c r="F26" s="40">
        <f>IFERROR(aurora_data!E1541,0)</f>
        <v>0.95</v>
      </c>
      <c r="G26" s="40">
        <f>IFERROR(aurora_data!F1541,0)</f>
        <v>3.53</v>
      </c>
      <c r="H26" s="40">
        <f>IFERROR(aurora_data!G1541,0)</f>
        <v>5.86</v>
      </c>
      <c r="I26" s="41">
        <f>IFERROR(aurora_data!H1541,0)</f>
        <v>7.18</v>
      </c>
      <c r="J26" s="39">
        <f>IFERROR(aurora_data!I1541,0)</f>
        <v>1</v>
      </c>
      <c r="K26" s="40">
        <f>IFERROR(aurora_data!J1541,0)</f>
        <v>1</v>
      </c>
      <c r="L26" s="40">
        <f>IFERROR(aurora_data!K1541,0)</f>
        <v>1</v>
      </c>
      <c r="M26" s="40">
        <f>IFERROR(aurora_data!L1541,0)</f>
        <v>1</v>
      </c>
      <c r="N26" s="41">
        <f>IFERROR(aurora_data!M1541,0)</f>
        <v>1</v>
      </c>
      <c r="O26" s="39">
        <f>IFERROR(aurora_data!N1541,0)</f>
        <v>1</v>
      </c>
      <c r="P26" s="40">
        <f>IFERROR(aurora_data!O1541,0)</f>
        <v>1</v>
      </c>
      <c r="Q26" s="40">
        <f>IFERROR(aurora_data!P1541,0)</f>
        <v>1</v>
      </c>
      <c r="R26" s="41">
        <f>IFERROR(aurora_data!Q1541,0)</f>
        <v>1</v>
      </c>
      <c r="S26" s="40">
        <f>IFERROR(aurora_data!R1541,0)</f>
        <v>1</v>
      </c>
      <c r="T26" s="40">
        <f>IFERROR(aurora_data!S1541,0)</f>
        <v>1</v>
      </c>
      <c r="U26" s="41">
        <f>IFERROR(aurora_data!T1141,0)</f>
        <v>0</v>
      </c>
      <c r="V26" s="61" t="s">
        <v>354</v>
      </c>
      <c r="W26" s="39">
        <f>IFERROR(aurora_data!U1541,0)</f>
        <v>18</v>
      </c>
      <c r="X26" s="69">
        <f>IFERROR(W26/$W$26,0)</f>
        <v>1</v>
      </c>
      <c r="Y26" s="2"/>
      <c r="AB26" s="451" t="s">
        <v>338</v>
      </c>
      <c r="AC26" s="453" t="str">
        <f>aurora_data!A1541</f>
        <v>07.00.00-07.11.30</v>
      </c>
      <c r="AD26" s="34" t="s">
        <v>306</v>
      </c>
      <c r="AE26" s="338">
        <v>2</v>
      </c>
      <c r="AF26" s="40">
        <v>4</v>
      </c>
      <c r="AG26" s="40">
        <v>6</v>
      </c>
      <c r="AH26" s="337">
        <v>6</v>
      </c>
      <c r="AI26" s="343" t="s">
        <v>354</v>
      </c>
      <c r="AJ26" s="40">
        <f>IFERROR(aurora_data!U1541,0)</f>
        <v>18</v>
      </c>
      <c r="AK26" s="69">
        <f t="shared" ref="AK26:AK34" si="6">IFERROR(AJ26/$AJ$26,0)</f>
        <v>1</v>
      </c>
    </row>
    <row r="27" spans="1:37" customFormat="1">
      <c r="A27" s="2"/>
      <c r="B27" s="452"/>
      <c r="C27" s="454"/>
      <c r="D27" s="35" t="s">
        <v>339</v>
      </c>
      <c r="E27" s="113">
        <f>IFERROR(aurora_data!D1542,0)</f>
        <v>0</v>
      </c>
      <c r="F27" s="253">
        <f>IFERROR(aurora_data!E1542,0)</f>
        <v>0</v>
      </c>
      <c r="G27" s="253">
        <f>IFERROR(aurora_data!F1542,0)</f>
        <v>2</v>
      </c>
      <c r="H27" s="253">
        <f>IFERROR(aurora_data!G1542,0)</f>
        <v>6</v>
      </c>
      <c r="I27" s="254">
        <f>IFERROR(aurora_data!H1542,0)</f>
        <v>6</v>
      </c>
      <c r="J27" s="113">
        <f>IFERROR(aurora_data!I1542,0)</f>
        <v>0</v>
      </c>
      <c r="K27" s="253">
        <f>IFERROR(aurora_data!J1542,0)</f>
        <v>4</v>
      </c>
      <c r="L27" s="253">
        <f>IFERROR(aurora_data!K1542,0)</f>
        <v>6</v>
      </c>
      <c r="M27" s="253">
        <f>IFERROR(aurora_data!L1542,0)</f>
        <v>1</v>
      </c>
      <c r="N27" s="254">
        <f>IFERROR(aurora_data!M1542,0)</f>
        <v>3</v>
      </c>
      <c r="O27" s="113">
        <f>IFERROR(aurora_data!N1542,0)</f>
        <v>5</v>
      </c>
      <c r="P27" s="253">
        <f>IFERROR(aurora_data!O1542,0)</f>
        <v>1</v>
      </c>
      <c r="Q27" s="253">
        <f>IFERROR(aurora_data!P1542,0)</f>
        <v>4</v>
      </c>
      <c r="R27" s="254">
        <f>IFERROR(aurora_data!Q1542,0)</f>
        <v>4</v>
      </c>
      <c r="S27" s="253">
        <f>IFERROR(aurora_data!R1542,0)</f>
        <v>7</v>
      </c>
      <c r="T27" s="253">
        <f>IFERROR(aurora_data!S1542,0)</f>
        <v>7</v>
      </c>
      <c r="U27" s="254">
        <f>IFERROR(aurora_data!T1142,0)</f>
        <v>0</v>
      </c>
      <c r="V27" s="61" t="s">
        <v>354</v>
      </c>
      <c r="W27" s="113">
        <f>IFERROR(aurora_data!U1542,0)</f>
        <v>14</v>
      </c>
      <c r="X27" s="255">
        <f t="shared" ref="X27:X34" si="7">IFERROR(W27/$W$26,0)</f>
        <v>0.77777777777777779</v>
      </c>
      <c r="Y27" s="2"/>
      <c r="AB27" s="452"/>
      <c r="AC27" s="454"/>
      <c r="AD27" s="35" t="s">
        <v>339</v>
      </c>
      <c r="AE27" s="113">
        <f>IFERROR(aurora_data!D1542,0)+IFERROR(aurora_data!E1542,0)</f>
        <v>0</v>
      </c>
      <c r="AF27" s="253">
        <f>IFERROR(aurora_data!F1542,0)</f>
        <v>2</v>
      </c>
      <c r="AG27" s="253">
        <f>IFERROR(aurora_data!G1542,0)</f>
        <v>6</v>
      </c>
      <c r="AH27" s="253">
        <f>IFERROR(aurora_data!H1542,0)</f>
        <v>6</v>
      </c>
      <c r="AI27" s="343" t="s">
        <v>354</v>
      </c>
      <c r="AJ27" s="253">
        <f>IFERROR(aurora_data!U1542,0)</f>
        <v>14</v>
      </c>
      <c r="AK27" s="255">
        <f t="shared" si="6"/>
        <v>0.77777777777777779</v>
      </c>
    </row>
    <row r="28" spans="1:37" customFormat="1">
      <c r="A28" s="2"/>
      <c r="B28" s="452"/>
      <c r="C28" s="454"/>
      <c r="D28" s="35" t="s">
        <v>291</v>
      </c>
      <c r="E28" s="113">
        <f>IFERROR(aurora_data!D1543,0)</f>
        <v>0</v>
      </c>
      <c r="F28" s="253">
        <f>IFERROR(aurora_data!E1543,0)</f>
        <v>0</v>
      </c>
      <c r="G28" s="253">
        <f>IFERROR(aurora_data!F1543,0)</f>
        <v>0</v>
      </c>
      <c r="H28" s="253">
        <f>IFERROR(aurora_data!G1543,0)</f>
        <v>1</v>
      </c>
      <c r="I28" s="254">
        <f>IFERROR(aurora_data!H1543,0)</f>
        <v>0</v>
      </c>
      <c r="J28" s="113">
        <f>IFERROR(aurora_data!I1543,0)</f>
        <v>0</v>
      </c>
      <c r="K28" s="253">
        <f>IFERROR(aurora_data!J1543,0)</f>
        <v>0</v>
      </c>
      <c r="L28" s="253">
        <f>IFERROR(aurora_data!K1543,0)</f>
        <v>1</v>
      </c>
      <c r="M28" s="253">
        <f>IFERROR(aurora_data!L1543,0)</f>
        <v>0</v>
      </c>
      <c r="N28" s="254">
        <f>IFERROR(aurora_data!M1543,0)</f>
        <v>0</v>
      </c>
      <c r="O28" s="113">
        <f>IFERROR(aurora_data!N1543,0)</f>
        <v>1</v>
      </c>
      <c r="P28" s="253">
        <f>IFERROR(aurora_data!O1543,0)</f>
        <v>0</v>
      </c>
      <c r="Q28" s="253">
        <f>IFERROR(aurora_data!P1543,0)</f>
        <v>0</v>
      </c>
      <c r="R28" s="254">
        <f>IFERROR(aurora_data!Q1543,0)</f>
        <v>0</v>
      </c>
      <c r="S28" s="253">
        <f>IFERROR(aurora_data!R1543,0)</f>
        <v>1</v>
      </c>
      <c r="T28" s="253">
        <f>IFERROR(aurora_data!S1543,0)</f>
        <v>0</v>
      </c>
      <c r="U28" s="254">
        <f>IFERROR(aurora_data!T1143,0)</f>
        <v>0</v>
      </c>
      <c r="V28" s="61" t="s">
        <v>354</v>
      </c>
      <c r="W28" s="113">
        <f>IFERROR(aurora_data!U1543,0)</f>
        <v>1</v>
      </c>
      <c r="X28" s="255">
        <f t="shared" si="7"/>
        <v>5.5555555555555552E-2</v>
      </c>
      <c r="Y28" s="2"/>
      <c r="AB28" s="452"/>
      <c r="AC28" s="454"/>
      <c r="AD28" s="35" t="s">
        <v>291</v>
      </c>
      <c r="AE28" s="113">
        <f>IFERROR(aurora_data!D1543,0)+IFERROR(aurora_data!E1543,0)</f>
        <v>0</v>
      </c>
      <c r="AF28" s="253">
        <f>IFERROR(aurora_data!F1543,0)</f>
        <v>0</v>
      </c>
      <c r="AG28" s="253">
        <f>IFERROR(aurora_data!G1543,0)</f>
        <v>1</v>
      </c>
      <c r="AH28" s="253">
        <f>IFERROR(aurora_data!H1543,0)</f>
        <v>0</v>
      </c>
      <c r="AI28" s="343" t="s">
        <v>354</v>
      </c>
      <c r="AJ28" s="253">
        <f>IFERROR(aurora_data!U1543,0)</f>
        <v>1</v>
      </c>
      <c r="AK28" s="255">
        <f t="shared" si="6"/>
        <v>5.5555555555555552E-2</v>
      </c>
    </row>
    <row r="29" spans="1:37" customFormat="1">
      <c r="A29" s="2"/>
      <c r="B29" s="452"/>
      <c r="C29" s="454"/>
      <c r="D29" s="35" t="s">
        <v>340</v>
      </c>
      <c r="E29" s="113">
        <f>IFERROR(aurora_data!D1544,0)</f>
        <v>0</v>
      </c>
      <c r="F29" s="253">
        <f>IFERROR(aurora_data!E1544,0)</f>
        <v>0</v>
      </c>
      <c r="G29" s="253">
        <f>IFERROR(aurora_data!F1544,0)</f>
        <v>0</v>
      </c>
      <c r="H29" s="253">
        <f>IFERROR(aurora_data!G1544,0)</f>
        <v>0</v>
      </c>
      <c r="I29" s="254">
        <f>IFERROR(aurora_data!H1544,0)</f>
        <v>0</v>
      </c>
      <c r="J29" s="113">
        <f>IFERROR(aurora_data!I1544,0)</f>
        <v>0</v>
      </c>
      <c r="K29" s="253">
        <f>IFERROR(aurora_data!J1544,0)</f>
        <v>0</v>
      </c>
      <c r="L29" s="253">
        <f>IFERROR(aurora_data!K1544,0)</f>
        <v>0</v>
      </c>
      <c r="M29" s="253">
        <f>IFERROR(aurora_data!L1544,0)</f>
        <v>0</v>
      </c>
      <c r="N29" s="254">
        <f>IFERROR(aurora_data!M1544,0)</f>
        <v>0</v>
      </c>
      <c r="O29" s="113">
        <f>IFERROR(aurora_data!N1544,0)</f>
        <v>0</v>
      </c>
      <c r="P29" s="253">
        <f>IFERROR(aurora_data!O1544,0)</f>
        <v>0</v>
      </c>
      <c r="Q29" s="253">
        <f>IFERROR(aurora_data!P1544,0)</f>
        <v>0</v>
      </c>
      <c r="R29" s="254">
        <f>IFERROR(aurora_data!Q1544,0)</f>
        <v>0</v>
      </c>
      <c r="S29" s="253">
        <f>IFERROR(aurora_data!R1544,0)</f>
        <v>0</v>
      </c>
      <c r="T29" s="253">
        <f>IFERROR(aurora_data!S1544,0)</f>
        <v>0</v>
      </c>
      <c r="U29" s="254">
        <f>IFERROR(aurora_data!T1144,0)</f>
        <v>0</v>
      </c>
      <c r="V29" s="61" t="s">
        <v>354</v>
      </c>
      <c r="W29" s="113">
        <f>IFERROR(aurora_data!U1544,0)</f>
        <v>0</v>
      </c>
      <c r="X29" s="255">
        <f t="shared" si="7"/>
        <v>0</v>
      </c>
      <c r="Y29" s="2"/>
      <c r="AB29" s="452"/>
      <c r="AC29" s="454"/>
      <c r="AD29" s="35" t="s">
        <v>340</v>
      </c>
      <c r="AE29" s="113">
        <f>IFERROR(aurora_data!D1544,0)+IFERROR(aurora_data!E1544,0)</f>
        <v>0</v>
      </c>
      <c r="AF29" s="253">
        <f>IFERROR(aurora_data!F1544,0)</f>
        <v>0</v>
      </c>
      <c r="AG29" s="253">
        <f>IFERROR(aurora_data!G1544,0)</f>
        <v>0</v>
      </c>
      <c r="AH29" s="253">
        <f>IFERROR(aurora_data!H1544,0)</f>
        <v>0</v>
      </c>
      <c r="AI29" s="343" t="s">
        <v>354</v>
      </c>
      <c r="AJ29" s="253">
        <f>IFERROR(aurora_data!U1544,0)</f>
        <v>0</v>
      </c>
      <c r="AK29" s="255">
        <f t="shared" si="6"/>
        <v>0</v>
      </c>
    </row>
    <row r="30" spans="1:37" customFormat="1">
      <c r="A30" s="2"/>
      <c r="B30" s="452"/>
      <c r="C30" s="454"/>
      <c r="D30" s="35" t="s">
        <v>298</v>
      </c>
      <c r="E30" s="113">
        <f>IFERROR(aurora_data!D1545,0)</f>
        <v>0</v>
      </c>
      <c r="F30" s="253">
        <f>IFERROR(aurora_data!E1545,0)</f>
        <v>0</v>
      </c>
      <c r="G30" s="253">
        <f>IFERROR(aurora_data!F1545,0)</f>
        <v>1</v>
      </c>
      <c r="H30" s="253">
        <f>IFERROR(aurora_data!G1545,0)</f>
        <v>0</v>
      </c>
      <c r="I30" s="254">
        <f>IFERROR(aurora_data!H1545,0)</f>
        <v>0</v>
      </c>
      <c r="J30" s="113">
        <f>IFERROR(aurora_data!I1545,0)</f>
        <v>0</v>
      </c>
      <c r="K30" s="253">
        <f>IFERROR(aurora_data!J1545,0)</f>
        <v>1</v>
      </c>
      <c r="L30" s="253">
        <f>IFERROR(aurora_data!K1545,0)</f>
        <v>0</v>
      </c>
      <c r="M30" s="253">
        <f>IFERROR(aurora_data!L1545,0)</f>
        <v>0</v>
      </c>
      <c r="N30" s="254">
        <f>IFERROR(aurora_data!M1545,0)</f>
        <v>0</v>
      </c>
      <c r="O30" s="113">
        <f>IFERROR(aurora_data!N1545,0)</f>
        <v>1</v>
      </c>
      <c r="P30" s="253">
        <f>IFERROR(aurora_data!O1545,0)</f>
        <v>0</v>
      </c>
      <c r="Q30" s="253">
        <f>IFERROR(aurora_data!P1545,0)</f>
        <v>0</v>
      </c>
      <c r="R30" s="254">
        <f>IFERROR(aurora_data!Q1545,0)</f>
        <v>0</v>
      </c>
      <c r="S30" s="253">
        <f>IFERROR(aurora_data!R1545,0)</f>
        <v>0</v>
      </c>
      <c r="T30" s="253">
        <f>IFERROR(aurora_data!S1545,0)</f>
        <v>1</v>
      </c>
      <c r="U30" s="254">
        <f>IFERROR(aurora_data!T1145,0)</f>
        <v>0</v>
      </c>
      <c r="V30" s="61" t="s">
        <v>354</v>
      </c>
      <c r="W30" s="113">
        <f>IFERROR(aurora_data!U1545,0)</f>
        <v>1</v>
      </c>
      <c r="X30" s="255">
        <f t="shared" si="7"/>
        <v>5.5555555555555552E-2</v>
      </c>
      <c r="Y30" s="2"/>
      <c r="AB30" s="452"/>
      <c r="AC30" s="454"/>
      <c r="AD30" s="35" t="s">
        <v>298</v>
      </c>
      <c r="AE30" s="113">
        <f>IFERROR(aurora_data!D1545,0)+IFERROR(aurora_data!E1545,0)</f>
        <v>0</v>
      </c>
      <c r="AF30" s="253">
        <f>IFERROR(aurora_data!F1545,0)</f>
        <v>1</v>
      </c>
      <c r="AG30" s="253">
        <f>IFERROR(aurora_data!G1545,0)</f>
        <v>0</v>
      </c>
      <c r="AH30" s="253">
        <f>IFERROR(aurora_data!H1545,0)</f>
        <v>0</v>
      </c>
      <c r="AI30" s="343" t="s">
        <v>354</v>
      </c>
      <c r="AJ30" s="253">
        <f>IFERROR(aurora_data!U1545,0)</f>
        <v>1</v>
      </c>
      <c r="AK30" s="255">
        <f t="shared" si="6"/>
        <v>5.5555555555555552E-2</v>
      </c>
    </row>
    <row r="31" spans="1:37" customFormat="1">
      <c r="A31" s="2"/>
      <c r="B31" s="452"/>
      <c r="C31" s="454"/>
      <c r="D31" s="35" t="s">
        <v>341</v>
      </c>
      <c r="E31" s="113">
        <f>IFERROR(aurora_data!D1546,0)</f>
        <v>1</v>
      </c>
      <c r="F31" s="253">
        <f>IFERROR(aurora_data!E1546,0)</f>
        <v>0</v>
      </c>
      <c r="G31" s="253">
        <f>IFERROR(aurora_data!F1546,0)</f>
        <v>1</v>
      </c>
      <c r="H31" s="253">
        <f>IFERROR(aurora_data!G1546,0)</f>
        <v>0</v>
      </c>
      <c r="I31" s="254">
        <f>IFERROR(aurora_data!H1546,0)</f>
        <v>0</v>
      </c>
      <c r="J31" s="113">
        <f>IFERROR(aurora_data!I1546,0)</f>
        <v>0</v>
      </c>
      <c r="K31" s="253">
        <f>IFERROR(aurora_data!J1546,0)</f>
        <v>0</v>
      </c>
      <c r="L31" s="253">
        <f>IFERROR(aurora_data!K1546,0)</f>
        <v>0</v>
      </c>
      <c r="M31" s="253">
        <f>IFERROR(aurora_data!L1546,0)</f>
        <v>0</v>
      </c>
      <c r="N31" s="254">
        <f>IFERROR(aurora_data!M1546,0)</f>
        <v>2</v>
      </c>
      <c r="O31" s="113">
        <f>IFERROR(aurora_data!N1546,0)</f>
        <v>2</v>
      </c>
      <c r="P31" s="253">
        <f>IFERROR(aurora_data!O1546,0)</f>
        <v>0</v>
      </c>
      <c r="Q31" s="253">
        <f>IFERROR(aurora_data!P1546,0)</f>
        <v>0</v>
      </c>
      <c r="R31" s="254">
        <f>IFERROR(aurora_data!Q1546,0)</f>
        <v>0</v>
      </c>
      <c r="S31" s="253">
        <f>IFERROR(aurora_data!R1546,0)</f>
        <v>2</v>
      </c>
      <c r="T31" s="253">
        <f>IFERROR(aurora_data!S1546,0)</f>
        <v>0</v>
      </c>
      <c r="U31" s="254">
        <f>IFERROR(aurora_data!T1146,0)</f>
        <v>0</v>
      </c>
      <c r="V31" s="61" t="s">
        <v>354</v>
      </c>
      <c r="W31" s="113">
        <f>IFERROR(aurora_data!U1546,0)</f>
        <v>2</v>
      </c>
      <c r="X31" s="255">
        <f t="shared" si="7"/>
        <v>0.1111111111111111</v>
      </c>
      <c r="Y31" s="2"/>
      <c r="AB31" s="452"/>
      <c r="AC31" s="454"/>
      <c r="AD31" s="35" t="s">
        <v>341</v>
      </c>
      <c r="AE31" s="113">
        <f>IFERROR(aurora_data!D1546,0)+IFERROR(aurora_data!E1546,0)</f>
        <v>1</v>
      </c>
      <c r="AF31" s="253">
        <f>IFERROR(aurora_data!F1546,0)</f>
        <v>1</v>
      </c>
      <c r="AG31" s="253">
        <f>IFERROR(aurora_data!G1546,0)</f>
        <v>0</v>
      </c>
      <c r="AH31" s="253">
        <f>IFERROR(aurora_data!H1546,0)</f>
        <v>0</v>
      </c>
      <c r="AI31" s="343" t="s">
        <v>354</v>
      </c>
      <c r="AJ31" s="253">
        <f>IFERROR(aurora_data!U1546,0)</f>
        <v>2</v>
      </c>
      <c r="AK31" s="255">
        <f t="shared" si="6"/>
        <v>0.1111111111111111</v>
      </c>
    </row>
    <row r="32" spans="1:37" customFormat="1" ht="16.5" thickBot="1">
      <c r="A32" s="2"/>
      <c r="B32" s="452"/>
      <c r="C32" s="454"/>
      <c r="D32" s="35" t="s">
        <v>342</v>
      </c>
      <c r="E32" s="113">
        <f>IFERROR(aurora_data!D1547,0)</f>
        <v>0</v>
      </c>
      <c r="F32" s="253">
        <f>IFERROR(aurora_data!E1547,0)</f>
        <v>0</v>
      </c>
      <c r="G32" s="253">
        <f>IFERROR(aurora_data!F1547,0)</f>
        <v>0</v>
      </c>
      <c r="H32" s="253">
        <f>IFERROR(aurora_data!G1547,0)</f>
        <v>0</v>
      </c>
      <c r="I32" s="254">
        <f>IFERROR(aurora_data!H1547,0)</f>
        <v>0</v>
      </c>
      <c r="J32" s="113">
        <f>IFERROR(aurora_data!I1547,0)</f>
        <v>0</v>
      </c>
      <c r="K32" s="253">
        <f>IFERROR(aurora_data!J1547,0)</f>
        <v>0</v>
      </c>
      <c r="L32" s="253">
        <f>IFERROR(aurora_data!K1547,0)</f>
        <v>0</v>
      </c>
      <c r="M32" s="253">
        <f>IFERROR(aurora_data!L1547,0)</f>
        <v>0</v>
      </c>
      <c r="N32" s="254">
        <f>IFERROR(aurora_data!M1547,0)</f>
        <v>0</v>
      </c>
      <c r="O32" s="113">
        <f>IFERROR(aurora_data!N1547,0)</f>
        <v>0</v>
      </c>
      <c r="P32" s="253">
        <f>IFERROR(aurora_data!O1547,0)</f>
        <v>0</v>
      </c>
      <c r="Q32" s="253">
        <f>IFERROR(aurora_data!P1547,0)</f>
        <v>0</v>
      </c>
      <c r="R32" s="254">
        <f>IFERROR(aurora_data!Q1547,0)</f>
        <v>0</v>
      </c>
      <c r="S32" s="253">
        <f>IFERROR(aurora_data!R1547,0)</f>
        <v>0</v>
      </c>
      <c r="T32" s="253">
        <f>IFERROR(aurora_data!S1547,0)</f>
        <v>0</v>
      </c>
      <c r="U32" s="254">
        <f>IFERROR(aurora_data!T1147,0)</f>
        <v>0</v>
      </c>
      <c r="V32" s="61" t="s">
        <v>354</v>
      </c>
      <c r="W32" s="113">
        <f>IFERROR(aurora_data!U1547,0)</f>
        <v>0</v>
      </c>
      <c r="X32" s="255">
        <f t="shared" si="7"/>
        <v>0</v>
      </c>
      <c r="Y32" s="2"/>
      <c r="AB32" s="452"/>
      <c r="AC32" s="454"/>
      <c r="AD32" s="35" t="s">
        <v>342</v>
      </c>
      <c r="AE32" s="113">
        <f>IFERROR(aurora_data!D1547,0)+IFERROR(aurora_data!E1547,0)</f>
        <v>0</v>
      </c>
      <c r="AF32" s="253">
        <f>IFERROR(aurora_data!F1547,0)</f>
        <v>0</v>
      </c>
      <c r="AG32" s="253">
        <f>IFERROR(aurora_data!G1547,0)</f>
        <v>0</v>
      </c>
      <c r="AH32" s="253">
        <f>IFERROR(aurora_data!H1547,0)</f>
        <v>0</v>
      </c>
      <c r="AI32" s="343" t="s">
        <v>354</v>
      </c>
      <c r="AJ32" s="253">
        <f>IFERROR(aurora_data!U1547,0)</f>
        <v>0</v>
      </c>
      <c r="AK32" s="255">
        <f t="shared" si="6"/>
        <v>0</v>
      </c>
    </row>
    <row r="33" spans="1:37" customFormat="1" ht="16.5" thickBot="1">
      <c r="A33" s="2"/>
      <c r="B33" s="452"/>
      <c r="C33" s="454"/>
      <c r="D33" s="37" t="s">
        <v>17</v>
      </c>
      <c r="E33" s="59">
        <f>IFERROR(aurora_data!D1548,0)</f>
        <v>1</v>
      </c>
      <c r="F33" s="64">
        <f>IFERROR(aurora_data!E1548,0)</f>
        <v>0</v>
      </c>
      <c r="G33" s="64">
        <f>IFERROR(aurora_data!F1548,0)</f>
        <v>4</v>
      </c>
      <c r="H33" s="64">
        <f>IFERROR(aurora_data!G1548,0)</f>
        <v>7</v>
      </c>
      <c r="I33" s="65">
        <f>IFERROR(aurora_data!H1548,0)</f>
        <v>6</v>
      </c>
      <c r="J33" s="59">
        <f>IFERROR(aurora_data!I1548,0)</f>
        <v>0</v>
      </c>
      <c r="K33" s="64">
        <f>IFERROR(aurora_data!J1548,0)</f>
        <v>5</v>
      </c>
      <c r="L33" s="64">
        <f>IFERROR(aurora_data!K1548,0)</f>
        <v>7</v>
      </c>
      <c r="M33" s="64">
        <f>IFERROR(aurora_data!L1548,0)</f>
        <v>1</v>
      </c>
      <c r="N33" s="65">
        <f>IFERROR(aurora_data!M1548,0)</f>
        <v>5</v>
      </c>
      <c r="O33" s="59">
        <f>IFERROR(aurora_data!N1548,0)</f>
        <v>9</v>
      </c>
      <c r="P33" s="64">
        <f>IFERROR(aurora_data!O1548,0)</f>
        <v>1</v>
      </c>
      <c r="Q33" s="64">
        <f>IFERROR(aurora_data!P1548,0)</f>
        <v>4</v>
      </c>
      <c r="R33" s="65">
        <f>IFERROR(aurora_data!Q1548,0)</f>
        <v>4</v>
      </c>
      <c r="S33" s="64">
        <f>IFERROR(aurora_data!R1548,0)</f>
        <v>10</v>
      </c>
      <c r="T33" s="64">
        <f>IFERROR(aurora_data!S1548,0)</f>
        <v>8</v>
      </c>
      <c r="U33" s="65">
        <f>IFERROR(aurora_data!T1148,0)</f>
        <v>0</v>
      </c>
      <c r="V33" s="66" t="s">
        <v>354</v>
      </c>
      <c r="W33" s="59">
        <f>IFERROR(aurora_data!U1548,0)</f>
        <v>18</v>
      </c>
      <c r="X33" s="70">
        <f t="shared" si="7"/>
        <v>1</v>
      </c>
      <c r="Y33" s="2"/>
      <c r="AB33" s="452"/>
      <c r="AC33" s="454"/>
      <c r="AD33" s="37" t="s">
        <v>17</v>
      </c>
      <c r="AE33" s="59">
        <f>IFERROR(aurora_data!D1548,0)+IFERROR(aurora_data!E1548,0)</f>
        <v>1</v>
      </c>
      <c r="AF33" s="64">
        <f>IFERROR(aurora_data!F1548,0)</f>
        <v>4</v>
      </c>
      <c r="AG33" s="64">
        <f>IFERROR(aurora_data!G1548,0)</f>
        <v>7</v>
      </c>
      <c r="AH33" s="64">
        <f>IFERROR(aurora_data!H1548,0)</f>
        <v>6</v>
      </c>
      <c r="AI33" s="344" t="s">
        <v>354</v>
      </c>
      <c r="AJ33" s="64">
        <f>IFERROR(aurora_data!U1548,0)</f>
        <v>18</v>
      </c>
      <c r="AK33" s="70">
        <f t="shared" si="6"/>
        <v>1</v>
      </c>
    </row>
    <row r="34" spans="1:37" customFormat="1" ht="16.5" thickBot="1">
      <c r="A34" s="2"/>
      <c r="B34" s="452"/>
      <c r="C34" s="454"/>
      <c r="D34" s="38" t="s">
        <v>343</v>
      </c>
      <c r="E34" s="256">
        <f>IFERROR(aurora_data!D1549,0)</f>
        <v>0</v>
      </c>
      <c r="F34" s="257">
        <f>IFERROR(aurora_data!E1549,0)</f>
        <v>0</v>
      </c>
      <c r="G34" s="257">
        <f>IFERROR(aurora_data!F1549,0)</f>
        <v>0</v>
      </c>
      <c r="H34" s="257">
        <f>IFERROR(aurora_data!G1549,0)</f>
        <v>0</v>
      </c>
      <c r="I34" s="258">
        <f>IFERROR(aurora_data!H1549,0)</f>
        <v>0</v>
      </c>
      <c r="J34" s="256">
        <f>IFERROR(aurora_data!I1549,0)</f>
        <v>0</v>
      </c>
      <c r="K34" s="257">
        <f>IFERROR(aurora_data!J1549,0)</f>
        <v>0</v>
      </c>
      <c r="L34" s="257">
        <f>IFERROR(aurora_data!K1549,0)</f>
        <v>0</v>
      </c>
      <c r="M34" s="257">
        <f>IFERROR(aurora_data!L1549,0)</f>
        <v>0</v>
      </c>
      <c r="N34" s="258">
        <f>IFERROR(aurora_data!M1549,0)</f>
        <v>0</v>
      </c>
      <c r="O34" s="256">
        <f>IFERROR(aurora_data!N1549,0)</f>
        <v>0</v>
      </c>
      <c r="P34" s="257">
        <f>IFERROR(aurora_data!O1549,0)</f>
        <v>0</v>
      </c>
      <c r="Q34" s="257">
        <f>IFERROR(aurora_data!P1549,0)</f>
        <v>0</v>
      </c>
      <c r="R34" s="258">
        <f>IFERROR(aurora_data!Q1549,0)</f>
        <v>0</v>
      </c>
      <c r="S34" s="257">
        <f>IFERROR(aurora_data!R1549,0)</f>
        <v>0</v>
      </c>
      <c r="T34" s="257">
        <f>IFERROR(aurora_data!S1549,0)</f>
        <v>0</v>
      </c>
      <c r="U34" s="259">
        <f>IFERROR(aurora_data!T1149,0)</f>
        <v>0</v>
      </c>
      <c r="V34" s="260" t="s">
        <v>354</v>
      </c>
      <c r="W34" s="256">
        <f>IFERROR(aurora_data!U1549,0)</f>
        <v>0</v>
      </c>
      <c r="X34" s="261">
        <f t="shared" si="7"/>
        <v>0</v>
      </c>
      <c r="Y34" s="2"/>
      <c r="AB34" s="452"/>
      <c r="AC34" s="454"/>
      <c r="AD34" s="38" t="s">
        <v>343</v>
      </c>
      <c r="AE34" s="256">
        <f>IFERROR(aurora_data!D1549,0)+IFERROR(aurora_data!E1549,0)</f>
        <v>0</v>
      </c>
      <c r="AF34" s="257">
        <f>IFERROR(aurora_data!F1549,0)</f>
        <v>0</v>
      </c>
      <c r="AG34" s="257">
        <f>IFERROR(aurora_data!G1549,0)</f>
        <v>0</v>
      </c>
      <c r="AH34" s="257">
        <f>IFERROR(aurora_data!H1549,0)</f>
        <v>0</v>
      </c>
      <c r="AI34" s="343" t="s">
        <v>354</v>
      </c>
      <c r="AJ34" s="257">
        <f>IFERROR(aurora_data!U1549,0)</f>
        <v>0</v>
      </c>
      <c r="AK34" s="261">
        <f t="shared" si="6"/>
        <v>0</v>
      </c>
    </row>
    <row r="35" spans="1:37" customFormat="1" ht="16.5" outlineLevel="2" thickBot="1">
      <c r="A35" s="2"/>
      <c r="B35" s="147"/>
      <c r="C35" s="227"/>
      <c r="D35" s="199" t="s">
        <v>344</v>
      </c>
      <c r="E35" s="276">
        <f>((E37+$E$9)*($W26))</f>
        <v>0.85</v>
      </c>
      <c r="F35" s="277">
        <f>(F37+$E$9)*($W26)</f>
        <v>1.31</v>
      </c>
      <c r="G35" s="277">
        <f>(G37+$E$9)*($W26)</f>
        <v>3.8899999999999997</v>
      </c>
      <c r="H35" s="277">
        <f>(H37+$E$9)*($W26)</f>
        <v>6.2200000000000006</v>
      </c>
      <c r="I35" s="277">
        <f>(I37+$E$9)*($W26)</f>
        <v>7.5399999999999991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B35" s="147"/>
      <c r="AC35" s="227"/>
      <c r="AD35" s="199" t="s">
        <v>344</v>
      </c>
      <c r="AE35" s="294"/>
      <c r="AF35" s="295"/>
      <c r="AG35" s="295"/>
      <c r="AH35" s="295"/>
      <c r="AI35" s="343"/>
      <c r="AJ35" s="295"/>
      <c r="AK35" s="299"/>
    </row>
    <row r="36" spans="1:37" customFormat="1" ht="16.5" outlineLevel="2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0.84000000000000008</v>
      </c>
      <c r="G36" s="277">
        <f t="shared" ref="G36:I36" si="8">IF(ROUND(((G37-$E$9)*($W26))+0.25,0) &lt;=0,1,((G37-$E$9)*($W26))+0.25)</f>
        <v>3.42</v>
      </c>
      <c r="H36" s="277">
        <f t="shared" si="8"/>
        <v>5.75</v>
      </c>
      <c r="I36" s="277">
        <f t="shared" si="8"/>
        <v>7.0699999999999985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B36" s="147"/>
      <c r="AC36" s="227"/>
      <c r="AD36" s="199" t="s">
        <v>345</v>
      </c>
      <c r="AE36" s="294"/>
      <c r="AF36" s="295"/>
      <c r="AG36" s="295"/>
      <c r="AH36" s="295"/>
      <c r="AI36" s="343"/>
      <c r="AJ36" s="295"/>
      <c r="AK36" s="299"/>
    </row>
    <row r="37" spans="1:37" customFormat="1" ht="16.5" hidden="1" outlineLevel="2" thickBot="1">
      <c r="A37" s="2"/>
      <c r="B37" s="147"/>
      <c r="C37" s="227"/>
      <c r="D37" s="95" t="s">
        <v>346</v>
      </c>
      <c r="E37" s="414">
        <f>IFERROR(E26/$W26,0)</f>
        <v>2.7222222222222221E-2</v>
      </c>
      <c r="F37" s="415">
        <f t="shared" ref="F37" si="9">IFERROR(F26/$W26,0)</f>
        <v>5.2777777777777778E-2</v>
      </c>
      <c r="G37" s="415">
        <f>IFERROR(G26/$W26,0)</f>
        <v>0.1961111111111111</v>
      </c>
      <c r="H37" s="415">
        <f t="shared" ref="H37" si="10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B37" s="147"/>
      <c r="AC37" s="227"/>
      <c r="AD37" s="95" t="s">
        <v>346</v>
      </c>
      <c r="AE37" s="294"/>
      <c r="AF37" s="295"/>
      <c r="AG37" s="295"/>
      <c r="AH37" s="295"/>
      <c r="AI37" s="343"/>
      <c r="AJ37" s="295"/>
      <c r="AK37" s="299"/>
    </row>
    <row r="38" spans="1:37" customFormat="1" ht="16.5" hidden="1" outlineLevel="2" thickBot="1">
      <c r="A38" s="2"/>
      <c r="B38" s="147"/>
      <c r="C38" s="227"/>
      <c r="D38" s="180" t="s">
        <v>347</v>
      </c>
      <c r="E38" s="414">
        <f>IFERROR(E27/$W26,0)</f>
        <v>0</v>
      </c>
      <c r="F38" s="415">
        <f t="shared" ref="F38:I38" si="11">IFERROR(F27/$W26,0)</f>
        <v>0</v>
      </c>
      <c r="G38" s="415">
        <f t="shared" si="11"/>
        <v>0.1111111111111111</v>
      </c>
      <c r="H38" s="415">
        <f t="shared" si="11"/>
        <v>0.33333333333333331</v>
      </c>
      <c r="I38" s="415">
        <f t="shared" si="11"/>
        <v>0.33333333333333331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B38" s="147"/>
      <c r="AC38" s="227"/>
      <c r="AD38" s="180" t="s">
        <v>347</v>
      </c>
      <c r="AE38" s="294"/>
      <c r="AF38" s="295"/>
      <c r="AG38" s="295"/>
      <c r="AH38" s="295"/>
      <c r="AI38" s="343"/>
      <c r="AJ38" s="295"/>
      <c r="AK38" s="299"/>
    </row>
    <row r="39" spans="1:37" customFormat="1" ht="16.5" hidden="1" outlineLevel="2" thickBot="1">
      <c r="A39" s="2"/>
      <c r="B39" s="147"/>
      <c r="C39" s="227"/>
      <c r="D39" s="180" t="s">
        <v>348</v>
      </c>
      <c r="E39" s="414">
        <f>E38-E37</f>
        <v>-2.7222222222222221E-2</v>
      </c>
      <c r="F39" s="415">
        <f t="shared" ref="F39:I39" si="12">F38-F37</f>
        <v>-5.2777777777777778E-2</v>
      </c>
      <c r="G39" s="415">
        <f t="shared" si="12"/>
        <v>-8.4999999999999992E-2</v>
      </c>
      <c r="H39" s="415">
        <f t="shared" si="12"/>
        <v>7.7777777777777168E-3</v>
      </c>
      <c r="I39" s="415">
        <f t="shared" si="12"/>
        <v>-6.5555555555555534E-2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B39" s="147"/>
      <c r="AC39" s="227"/>
      <c r="AD39" s="180" t="s">
        <v>348</v>
      </c>
      <c r="AE39" s="294"/>
      <c r="AF39" s="295"/>
      <c r="AG39" s="295"/>
      <c r="AH39" s="295"/>
      <c r="AI39" s="343"/>
      <c r="AJ39" s="295"/>
      <c r="AK39" s="299"/>
    </row>
    <row r="40" spans="1:37" customFormat="1">
      <c r="A40" s="2"/>
      <c r="B40" s="560" t="s">
        <v>362</v>
      </c>
      <c r="C40" s="453" t="str">
        <f>aurora_data!A1550</f>
        <v>08.00.00-08.11.30</v>
      </c>
      <c r="D40" s="34" t="s">
        <v>306</v>
      </c>
      <c r="E40" s="39">
        <f>IFERROR(aurora_data!D1550,0)</f>
        <v>0.5</v>
      </c>
      <c r="F40" s="40">
        <f>IFERROR(aurora_data!E1550,0)</f>
        <v>0.98</v>
      </c>
      <c r="G40" s="40">
        <f>IFERROR(aurora_data!F1550,0)</f>
        <v>3.56</v>
      </c>
      <c r="H40" s="40">
        <f>IFERROR(aurora_data!G1550,0)</f>
        <v>5.81</v>
      </c>
      <c r="I40" s="41">
        <f>IFERROR(aurora_data!H1550,0)</f>
        <v>7.16</v>
      </c>
      <c r="J40" s="39">
        <f>IFERROR(aurora_data!I1550,0)</f>
        <v>1</v>
      </c>
      <c r="K40" s="40">
        <f>IFERROR(aurora_data!J1550,0)</f>
        <v>1</v>
      </c>
      <c r="L40" s="40">
        <f>IFERROR(aurora_data!K1550,0)</f>
        <v>1</v>
      </c>
      <c r="M40" s="40">
        <f>IFERROR(aurora_data!L1550,0)</f>
        <v>1</v>
      </c>
      <c r="N40" s="41">
        <f>IFERROR(aurora_data!M1550,0)</f>
        <v>1</v>
      </c>
      <c r="O40" s="39">
        <f>IFERROR(aurora_data!N1550,0)</f>
        <v>1</v>
      </c>
      <c r="P40" s="40">
        <f>IFERROR(aurora_data!O1550,0)</f>
        <v>1</v>
      </c>
      <c r="Q40" s="40">
        <f>IFERROR(aurora_data!P1550,0)</f>
        <v>1</v>
      </c>
      <c r="R40" s="41">
        <f>IFERROR(aurora_data!Q1550,0)</f>
        <v>1</v>
      </c>
      <c r="S40" s="40">
        <f>IFERROR(aurora_data!R1550,0)</f>
        <v>1</v>
      </c>
      <c r="T40" s="40">
        <f>IFERROR(aurora_data!S1550,0)</f>
        <v>1</v>
      </c>
      <c r="U40" s="41">
        <f>IFERROR(aurora_data!T1150,0)</f>
        <v>0</v>
      </c>
      <c r="V40" s="61" t="s">
        <v>354</v>
      </c>
      <c r="W40" s="39">
        <f>IFERROR(aurora_data!U1550,0)</f>
        <v>18</v>
      </c>
      <c r="X40" s="69">
        <f>IFERROR(W40/$W$40,0)</f>
        <v>1</v>
      </c>
      <c r="Y40" s="2"/>
      <c r="AB40" s="451" t="s">
        <v>338</v>
      </c>
      <c r="AC40" s="453" t="str">
        <f>aurora_data!A1550</f>
        <v>08.00.00-08.11.30</v>
      </c>
      <c r="AD40" s="34" t="s">
        <v>306</v>
      </c>
      <c r="AE40" s="338">
        <v>2</v>
      </c>
      <c r="AF40" s="40">
        <v>4</v>
      </c>
      <c r="AG40" s="40">
        <v>6</v>
      </c>
      <c r="AH40" s="337">
        <v>6</v>
      </c>
      <c r="AI40" s="343" t="s">
        <v>354</v>
      </c>
      <c r="AJ40" s="40">
        <f>IFERROR(aurora_data!U1550,0)</f>
        <v>18</v>
      </c>
      <c r="AK40" s="69">
        <f t="shared" ref="AK40:AK48" si="13">IFERROR(AJ40/$AJ$40,0)</f>
        <v>1</v>
      </c>
    </row>
    <row r="41" spans="1:37" customFormat="1">
      <c r="A41" s="2"/>
      <c r="B41" s="561"/>
      <c r="C41" s="454"/>
      <c r="D41" s="35" t="s">
        <v>339</v>
      </c>
      <c r="E41" s="113">
        <f>IFERROR(aurora_data!D1551,0)</f>
        <v>1</v>
      </c>
      <c r="F41" s="253">
        <f>IFERROR(aurora_data!E1551,0)</f>
        <v>1</v>
      </c>
      <c r="G41" s="253">
        <f>IFERROR(aurora_data!F1551,0)</f>
        <v>4</v>
      </c>
      <c r="H41" s="253">
        <f>IFERROR(aurora_data!G1551,0)</f>
        <v>4</v>
      </c>
      <c r="I41" s="254">
        <f>IFERROR(aurora_data!H1551,0)</f>
        <v>8</v>
      </c>
      <c r="J41" s="113">
        <f>IFERROR(aurora_data!I1551,0)</f>
        <v>0</v>
      </c>
      <c r="K41" s="253">
        <f>IFERROR(aurora_data!J1551,0)</f>
        <v>2</v>
      </c>
      <c r="L41" s="253">
        <f>IFERROR(aurora_data!K1551,0)</f>
        <v>5</v>
      </c>
      <c r="M41" s="253">
        <f>IFERROR(aurora_data!L1551,0)</f>
        <v>2</v>
      </c>
      <c r="N41" s="254">
        <f>IFERROR(aurora_data!M1551,0)</f>
        <v>9</v>
      </c>
      <c r="O41" s="113">
        <f>IFERROR(aurora_data!N1551,0)</f>
        <v>2</v>
      </c>
      <c r="P41" s="253">
        <f>IFERROR(aurora_data!O1551,0)</f>
        <v>6</v>
      </c>
      <c r="Q41" s="253">
        <f>IFERROR(aurora_data!P1551,0)</f>
        <v>9</v>
      </c>
      <c r="R41" s="254">
        <f>IFERROR(aurora_data!Q1551,0)</f>
        <v>1</v>
      </c>
      <c r="S41" s="253">
        <f>IFERROR(aurora_data!R1551,0)</f>
        <v>8</v>
      </c>
      <c r="T41" s="253">
        <f>IFERROR(aurora_data!S1551,0)</f>
        <v>10</v>
      </c>
      <c r="U41" s="254">
        <f>IFERROR(aurora_data!T1151,0)</f>
        <v>0</v>
      </c>
      <c r="V41" s="61" t="s">
        <v>354</v>
      </c>
      <c r="W41" s="113">
        <f>IFERROR(aurora_data!U1551,0)</f>
        <v>18</v>
      </c>
      <c r="X41" s="255">
        <f t="shared" ref="X41:X48" si="14">IFERROR(W41/$W$40,0)</f>
        <v>1</v>
      </c>
      <c r="Y41" s="2"/>
      <c r="AB41" s="452"/>
      <c r="AC41" s="454"/>
      <c r="AD41" s="35" t="s">
        <v>339</v>
      </c>
      <c r="AE41" s="113">
        <f>IFERROR(aurora_data!D1551,0)+IFERROR(aurora_data!E1551,0)</f>
        <v>2</v>
      </c>
      <c r="AF41" s="253">
        <f>IFERROR(aurora_data!F1551,0)</f>
        <v>4</v>
      </c>
      <c r="AG41" s="253">
        <f>IFERROR(aurora_data!G1551,0)</f>
        <v>4</v>
      </c>
      <c r="AH41" s="253">
        <f>IFERROR(aurora_data!H1551,0)</f>
        <v>8</v>
      </c>
      <c r="AI41" s="343" t="s">
        <v>354</v>
      </c>
      <c r="AJ41" s="253">
        <f>IFERROR(aurora_data!U1551,0)</f>
        <v>18</v>
      </c>
      <c r="AK41" s="255">
        <f t="shared" si="13"/>
        <v>1</v>
      </c>
    </row>
    <row r="42" spans="1:37" customFormat="1">
      <c r="A42" s="2"/>
      <c r="B42" s="561"/>
      <c r="C42" s="454"/>
      <c r="D42" s="35" t="s">
        <v>291</v>
      </c>
      <c r="E42" s="113">
        <f>IFERROR(aurora_data!D1552,0)</f>
        <v>0</v>
      </c>
      <c r="F42" s="253">
        <f>IFERROR(aurora_data!E1552,0)</f>
        <v>0</v>
      </c>
      <c r="G42" s="253">
        <f>IFERROR(aurora_data!F1552,0)</f>
        <v>0</v>
      </c>
      <c r="H42" s="253">
        <f>IFERROR(aurora_data!G1552,0)</f>
        <v>0</v>
      </c>
      <c r="I42" s="254">
        <f>IFERROR(aurora_data!H1552,0)</f>
        <v>0</v>
      </c>
      <c r="J42" s="113">
        <f>IFERROR(aurora_data!I1552,0)</f>
        <v>0</v>
      </c>
      <c r="K42" s="253">
        <f>IFERROR(aurora_data!J1552,0)</f>
        <v>0</v>
      </c>
      <c r="L42" s="253">
        <f>IFERROR(aurora_data!K1552,0)</f>
        <v>0</v>
      </c>
      <c r="M42" s="253">
        <f>IFERROR(aurora_data!L1552,0)</f>
        <v>0</v>
      </c>
      <c r="N42" s="254">
        <f>IFERROR(aurora_data!M1552,0)</f>
        <v>0</v>
      </c>
      <c r="O42" s="113">
        <f>IFERROR(aurora_data!N1552,0)</f>
        <v>0</v>
      </c>
      <c r="P42" s="253">
        <f>IFERROR(aurora_data!O1552,0)</f>
        <v>0</v>
      </c>
      <c r="Q42" s="253">
        <f>IFERROR(aurora_data!P1552,0)</f>
        <v>0</v>
      </c>
      <c r="R42" s="254">
        <f>IFERROR(aurora_data!Q1552,0)</f>
        <v>0</v>
      </c>
      <c r="S42" s="253">
        <f>IFERROR(aurora_data!R1552,0)</f>
        <v>0</v>
      </c>
      <c r="T42" s="253">
        <f>IFERROR(aurora_data!S1552,0)</f>
        <v>0</v>
      </c>
      <c r="U42" s="254">
        <f>IFERROR(aurora_data!T1152,0)</f>
        <v>0</v>
      </c>
      <c r="V42" s="61" t="s">
        <v>354</v>
      </c>
      <c r="W42" s="113">
        <f>IFERROR(aurora_data!U1552,0)</f>
        <v>0</v>
      </c>
      <c r="X42" s="255">
        <f t="shared" si="14"/>
        <v>0</v>
      </c>
      <c r="Y42" s="2"/>
      <c r="AB42" s="452"/>
      <c r="AC42" s="454"/>
      <c r="AD42" s="35" t="s">
        <v>291</v>
      </c>
      <c r="AE42" s="113">
        <f>IFERROR(aurora_data!D1552,0)+IFERROR(aurora_data!E1552,0)</f>
        <v>0</v>
      </c>
      <c r="AF42" s="253">
        <f>IFERROR(aurora_data!F1552,0)</f>
        <v>0</v>
      </c>
      <c r="AG42" s="253">
        <f>IFERROR(aurora_data!G1552,0)</f>
        <v>0</v>
      </c>
      <c r="AH42" s="253">
        <f>IFERROR(aurora_data!H1552,0)</f>
        <v>0</v>
      </c>
      <c r="AI42" s="343" t="s">
        <v>354</v>
      </c>
      <c r="AJ42" s="253">
        <f>IFERROR(aurora_data!U1552,0)</f>
        <v>0</v>
      </c>
      <c r="AK42" s="255">
        <f t="shared" si="13"/>
        <v>0</v>
      </c>
    </row>
    <row r="43" spans="1:37" customFormat="1">
      <c r="A43" s="2"/>
      <c r="B43" s="561"/>
      <c r="C43" s="454"/>
      <c r="D43" s="35" t="s">
        <v>340</v>
      </c>
      <c r="E43" s="113">
        <f>IFERROR(aurora_data!D1553,0)</f>
        <v>0</v>
      </c>
      <c r="F43" s="253">
        <f>IFERROR(aurora_data!E1553,0)</f>
        <v>0</v>
      </c>
      <c r="G43" s="253">
        <f>IFERROR(aurora_data!F1553,0)</f>
        <v>0</v>
      </c>
      <c r="H43" s="253">
        <f>IFERROR(aurora_data!G1553,0)</f>
        <v>0</v>
      </c>
      <c r="I43" s="254">
        <f>IFERROR(aurora_data!H1553,0)</f>
        <v>0</v>
      </c>
      <c r="J43" s="113">
        <f>IFERROR(aurora_data!I1553,0)</f>
        <v>0</v>
      </c>
      <c r="K43" s="253">
        <f>IFERROR(aurora_data!J1553,0)</f>
        <v>0</v>
      </c>
      <c r="L43" s="253">
        <f>IFERROR(aurora_data!K1553,0)</f>
        <v>0</v>
      </c>
      <c r="M43" s="253">
        <f>IFERROR(aurora_data!L1553,0)</f>
        <v>0</v>
      </c>
      <c r="N43" s="254">
        <f>IFERROR(aurora_data!M1553,0)</f>
        <v>0</v>
      </c>
      <c r="O43" s="113">
        <f>IFERROR(aurora_data!N1553,0)</f>
        <v>0</v>
      </c>
      <c r="P43" s="253">
        <f>IFERROR(aurora_data!O1553,0)</f>
        <v>0</v>
      </c>
      <c r="Q43" s="253">
        <f>IFERROR(aurora_data!P1553,0)</f>
        <v>0</v>
      </c>
      <c r="R43" s="254">
        <f>IFERROR(aurora_data!Q1553,0)</f>
        <v>0</v>
      </c>
      <c r="S43" s="253">
        <f>IFERROR(aurora_data!R1553,0)</f>
        <v>0</v>
      </c>
      <c r="T43" s="253">
        <f>IFERROR(aurora_data!S1553,0)</f>
        <v>0</v>
      </c>
      <c r="U43" s="254">
        <f>IFERROR(aurora_data!T1153,0)</f>
        <v>0</v>
      </c>
      <c r="V43" s="61" t="s">
        <v>354</v>
      </c>
      <c r="W43" s="113">
        <f>IFERROR(aurora_data!U1553,0)</f>
        <v>0</v>
      </c>
      <c r="X43" s="255">
        <f t="shared" si="14"/>
        <v>0</v>
      </c>
      <c r="Y43" s="2"/>
      <c r="AB43" s="452"/>
      <c r="AC43" s="454"/>
      <c r="AD43" s="35" t="s">
        <v>340</v>
      </c>
      <c r="AE43" s="113">
        <f>IFERROR(aurora_data!D1553,0)+IFERROR(aurora_data!E1553,0)</f>
        <v>0</v>
      </c>
      <c r="AF43" s="253">
        <f>IFERROR(aurora_data!F1553,0)</f>
        <v>0</v>
      </c>
      <c r="AG43" s="253">
        <f>IFERROR(aurora_data!G1553,0)</f>
        <v>0</v>
      </c>
      <c r="AH43" s="253">
        <f>IFERROR(aurora_data!H1553,0)</f>
        <v>0</v>
      </c>
      <c r="AI43" s="343" t="s">
        <v>354</v>
      </c>
      <c r="AJ43" s="253">
        <f>IFERROR(aurora_data!U1553,0)</f>
        <v>0</v>
      </c>
      <c r="AK43" s="255">
        <f t="shared" si="13"/>
        <v>0</v>
      </c>
    </row>
    <row r="44" spans="1:37" customFormat="1">
      <c r="A44" s="2"/>
      <c r="B44" s="561"/>
      <c r="C44" s="454"/>
      <c r="D44" s="35" t="s">
        <v>298</v>
      </c>
      <c r="E44" s="113">
        <f>IFERROR(aurora_data!D1554,0)</f>
        <v>0</v>
      </c>
      <c r="F44" s="253">
        <f>IFERROR(aurora_data!E1554,0)</f>
        <v>0</v>
      </c>
      <c r="G44" s="253">
        <f>IFERROR(aurora_data!F1554,0)</f>
        <v>0</v>
      </c>
      <c r="H44" s="253">
        <f>IFERROR(aurora_data!G1554,0)</f>
        <v>0</v>
      </c>
      <c r="I44" s="254">
        <f>IFERROR(aurora_data!H1554,0)</f>
        <v>0</v>
      </c>
      <c r="J44" s="113">
        <f>IFERROR(aurora_data!I1554,0)</f>
        <v>0</v>
      </c>
      <c r="K44" s="253">
        <f>IFERROR(aurora_data!J1554,0)</f>
        <v>0</v>
      </c>
      <c r="L44" s="253">
        <f>IFERROR(aurora_data!K1554,0)</f>
        <v>0</v>
      </c>
      <c r="M44" s="253">
        <f>IFERROR(aurora_data!L1554,0)</f>
        <v>0</v>
      </c>
      <c r="N44" s="254">
        <f>IFERROR(aurora_data!M1554,0)</f>
        <v>0</v>
      </c>
      <c r="O44" s="113">
        <f>IFERROR(aurora_data!N1554,0)</f>
        <v>0</v>
      </c>
      <c r="P44" s="253">
        <f>IFERROR(aurora_data!O1554,0)</f>
        <v>0</v>
      </c>
      <c r="Q44" s="253">
        <f>IFERROR(aurora_data!P1554,0)</f>
        <v>0</v>
      </c>
      <c r="R44" s="254">
        <f>IFERROR(aurora_data!Q1554,0)</f>
        <v>0</v>
      </c>
      <c r="S44" s="253">
        <f>IFERROR(aurora_data!R1554,0)</f>
        <v>0</v>
      </c>
      <c r="T44" s="253">
        <f>IFERROR(aurora_data!S1554,0)</f>
        <v>0</v>
      </c>
      <c r="U44" s="254">
        <f>IFERROR(aurora_data!T1154,0)</f>
        <v>0</v>
      </c>
      <c r="V44" s="61" t="s">
        <v>354</v>
      </c>
      <c r="W44" s="113">
        <f>IFERROR(aurora_data!U1554,0)</f>
        <v>0</v>
      </c>
      <c r="X44" s="255">
        <f t="shared" si="14"/>
        <v>0</v>
      </c>
      <c r="Y44" s="2"/>
      <c r="AB44" s="452"/>
      <c r="AC44" s="454"/>
      <c r="AD44" s="35" t="s">
        <v>298</v>
      </c>
      <c r="AE44" s="113">
        <f>IFERROR(aurora_data!D1554,0)+IFERROR(aurora_data!E1554,0)</f>
        <v>0</v>
      </c>
      <c r="AF44" s="253">
        <f>IFERROR(aurora_data!F1554,0)</f>
        <v>0</v>
      </c>
      <c r="AG44" s="253">
        <f>IFERROR(aurora_data!G1554,0)</f>
        <v>0</v>
      </c>
      <c r="AH44" s="253">
        <f>IFERROR(aurora_data!H1554,0)</f>
        <v>0</v>
      </c>
      <c r="AI44" s="343" t="s">
        <v>354</v>
      </c>
      <c r="AJ44" s="253">
        <f>IFERROR(aurora_data!U1554,0)</f>
        <v>0</v>
      </c>
      <c r="AK44" s="255">
        <f t="shared" si="13"/>
        <v>0</v>
      </c>
    </row>
    <row r="45" spans="1:37" customFormat="1">
      <c r="A45" s="2"/>
      <c r="B45" s="561"/>
      <c r="C45" s="454"/>
      <c r="D45" s="35" t="s">
        <v>341</v>
      </c>
      <c r="E45" s="113">
        <f>IFERROR(aurora_data!D1555,0)</f>
        <v>0</v>
      </c>
      <c r="F45" s="253">
        <f>IFERROR(aurora_data!E1555,0)</f>
        <v>0</v>
      </c>
      <c r="G45" s="253">
        <f>IFERROR(aurora_data!F1555,0)</f>
        <v>0</v>
      </c>
      <c r="H45" s="253">
        <f>IFERROR(aurora_data!G1555,0)</f>
        <v>2</v>
      </c>
      <c r="I45" s="254">
        <f>IFERROR(aurora_data!H1555,0)</f>
        <v>0</v>
      </c>
      <c r="J45" s="113">
        <f>IFERROR(aurora_data!I1555,0)</f>
        <v>0</v>
      </c>
      <c r="K45" s="253">
        <f>IFERROR(aurora_data!J1555,0)</f>
        <v>1</v>
      </c>
      <c r="L45" s="253">
        <f>IFERROR(aurora_data!K1555,0)</f>
        <v>0</v>
      </c>
      <c r="M45" s="253">
        <f>IFERROR(aurora_data!L1555,0)</f>
        <v>0</v>
      </c>
      <c r="N45" s="254">
        <f>IFERROR(aurora_data!M1555,0)</f>
        <v>1</v>
      </c>
      <c r="O45" s="113">
        <f>IFERROR(aurora_data!N1555,0)</f>
        <v>1</v>
      </c>
      <c r="P45" s="253">
        <f>IFERROR(aurora_data!O1555,0)</f>
        <v>0</v>
      </c>
      <c r="Q45" s="253">
        <f>IFERROR(aurora_data!P1555,0)</f>
        <v>1</v>
      </c>
      <c r="R45" s="254">
        <f>IFERROR(aurora_data!Q1555,0)</f>
        <v>0</v>
      </c>
      <c r="S45" s="253">
        <f>IFERROR(aurora_data!R1555,0)</f>
        <v>1</v>
      </c>
      <c r="T45" s="253">
        <f>IFERROR(aurora_data!S1555,0)</f>
        <v>1</v>
      </c>
      <c r="U45" s="254">
        <f>IFERROR(aurora_data!T1155,0)</f>
        <v>0</v>
      </c>
      <c r="V45" s="61" t="s">
        <v>354</v>
      </c>
      <c r="W45" s="113">
        <f>IFERROR(aurora_data!U1555,0)</f>
        <v>2</v>
      </c>
      <c r="X45" s="255">
        <f t="shared" si="14"/>
        <v>0.1111111111111111</v>
      </c>
      <c r="Y45" s="2"/>
      <c r="AB45" s="452"/>
      <c r="AC45" s="454"/>
      <c r="AD45" s="35" t="s">
        <v>341</v>
      </c>
      <c r="AE45" s="113">
        <f>IFERROR(aurora_data!D1555,0)+IFERROR(aurora_data!E1555,0)</f>
        <v>0</v>
      </c>
      <c r="AF45" s="253">
        <f>IFERROR(aurora_data!F1555,0)</f>
        <v>0</v>
      </c>
      <c r="AG45" s="253">
        <f>IFERROR(aurora_data!G1555,0)</f>
        <v>2</v>
      </c>
      <c r="AH45" s="253">
        <f>IFERROR(aurora_data!H1555,0)</f>
        <v>0</v>
      </c>
      <c r="AI45" s="343" t="s">
        <v>354</v>
      </c>
      <c r="AJ45" s="253">
        <f>IFERROR(aurora_data!U1555,0)</f>
        <v>2</v>
      </c>
      <c r="AK45" s="255">
        <f t="shared" si="13"/>
        <v>0.1111111111111111</v>
      </c>
    </row>
    <row r="46" spans="1:37" customFormat="1" ht="16.5" thickBot="1">
      <c r="A46" s="2"/>
      <c r="B46" s="561"/>
      <c r="C46" s="454"/>
      <c r="D46" s="35" t="s">
        <v>342</v>
      </c>
      <c r="E46" s="113">
        <f>IFERROR(aurora_data!D1556,0)</f>
        <v>0</v>
      </c>
      <c r="F46" s="253">
        <f>IFERROR(aurora_data!E1556,0)</f>
        <v>0</v>
      </c>
      <c r="G46" s="253">
        <f>IFERROR(aurora_data!F1556,0)</f>
        <v>0</v>
      </c>
      <c r="H46" s="253">
        <f>IFERROR(aurora_data!G1556,0)</f>
        <v>0</v>
      </c>
      <c r="I46" s="254">
        <f>IFERROR(aurora_data!H1556,0)</f>
        <v>0</v>
      </c>
      <c r="J46" s="113">
        <f>IFERROR(aurora_data!I1556,0)</f>
        <v>0</v>
      </c>
      <c r="K46" s="253">
        <f>IFERROR(aurora_data!J1556,0)</f>
        <v>0</v>
      </c>
      <c r="L46" s="253">
        <f>IFERROR(aurora_data!K1556,0)</f>
        <v>0</v>
      </c>
      <c r="M46" s="253">
        <f>IFERROR(aurora_data!L1556,0)</f>
        <v>0</v>
      </c>
      <c r="N46" s="254">
        <f>IFERROR(aurora_data!M1556,0)</f>
        <v>0</v>
      </c>
      <c r="O46" s="113">
        <f>IFERROR(aurora_data!N1556,0)</f>
        <v>0</v>
      </c>
      <c r="P46" s="253">
        <f>IFERROR(aurora_data!O1556,0)</f>
        <v>0</v>
      </c>
      <c r="Q46" s="253">
        <f>IFERROR(aurora_data!P1556,0)</f>
        <v>0</v>
      </c>
      <c r="R46" s="254">
        <f>IFERROR(aurora_data!Q1556,0)</f>
        <v>0</v>
      </c>
      <c r="S46" s="253">
        <f>IFERROR(aurora_data!R1556,0)</f>
        <v>0</v>
      </c>
      <c r="T46" s="253">
        <f>IFERROR(aurora_data!S1556,0)</f>
        <v>0</v>
      </c>
      <c r="U46" s="254">
        <f>IFERROR(aurora_data!T1156,0)</f>
        <v>0</v>
      </c>
      <c r="V46" s="61" t="s">
        <v>354</v>
      </c>
      <c r="W46" s="113">
        <f>IFERROR(aurora_data!U1556,0)</f>
        <v>0</v>
      </c>
      <c r="X46" s="255">
        <f t="shared" si="14"/>
        <v>0</v>
      </c>
      <c r="Y46" s="2"/>
      <c r="AB46" s="452"/>
      <c r="AC46" s="454"/>
      <c r="AD46" s="35" t="s">
        <v>342</v>
      </c>
      <c r="AE46" s="113">
        <f>IFERROR(aurora_data!D1556,0)+IFERROR(aurora_data!E1556,0)</f>
        <v>0</v>
      </c>
      <c r="AF46" s="253">
        <f>IFERROR(aurora_data!F1556,0)</f>
        <v>0</v>
      </c>
      <c r="AG46" s="253">
        <f>IFERROR(aurora_data!G1556,0)</f>
        <v>0</v>
      </c>
      <c r="AH46" s="253">
        <f>IFERROR(aurora_data!H1556,0)</f>
        <v>0</v>
      </c>
      <c r="AI46" s="343" t="s">
        <v>354</v>
      </c>
      <c r="AJ46" s="253">
        <f>IFERROR(aurora_data!U1556,0)</f>
        <v>0</v>
      </c>
      <c r="AK46" s="255">
        <f t="shared" si="13"/>
        <v>0</v>
      </c>
    </row>
    <row r="47" spans="1:37" customFormat="1" ht="16.5" thickBot="1">
      <c r="A47" s="2"/>
      <c r="B47" s="561"/>
      <c r="C47" s="454"/>
      <c r="D47" s="37" t="s">
        <v>17</v>
      </c>
      <c r="E47" s="59">
        <f>IFERROR(aurora_data!D1557,0)</f>
        <v>1</v>
      </c>
      <c r="F47" s="64">
        <f>IFERROR(aurora_data!E1557,0)</f>
        <v>1</v>
      </c>
      <c r="G47" s="64">
        <f>IFERROR(aurora_data!F1557,0)</f>
        <v>4</v>
      </c>
      <c r="H47" s="64">
        <f>IFERROR(aurora_data!G1557,0)</f>
        <v>6</v>
      </c>
      <c r="I47" s="65">
        <f>IFERROR(aurora_data!H1557,0)</f>
        <v>8</v>
      </c>
      <c r="J47" s="59">
        <f>IFERROR(aurora_data!I1557,0)</f>
        <v>0</v>
      </c>
      <c r="K47" s="64">
        <f>IFERROR(aurora_data!J1557,0)</f>
        <v>3</v>
      </c>
      <c r="L47" s="64">
        <f>IFERROR(aurora_data!K1557,0)</f>
        <v>5</v>
      </c>
      <c r="M47" s="64">
        <f>IFERROR(aurora_data!L1557,0)</f>
        <v>2</v>
      </c>
      <c r="N47" s="65">
        <f>IFERROR(aurora_data!M1557,0)</f>
        <v>10</v>
      </c>
      <c r="O47" s="59">
        <f>IFERROR(aurora_data!N1557,0)</f>
        <v>3</v>
      </c>
      <c r="P47" s="64">
        <f>IFERROR(aurora_data!O1557,0)</f>
        <v>6</v>
      </c>
      <c r="Q47" s="64">
        <f>IFERROR(aurora_data!P1557,0)</f>
        <v>10</v>
      </c>
      <c r="R47" s="65">
        <f>IFERROR(aurora_data!Q1557,0)</f>
        <v>1</v>
      </c>
      <c r="S47" s="64">
        <f>IFERROR(aurora_data!R1557,0)</f>
        <v>9</v>
      </c>
      <c r="T47" s="64">
        <f>IFERROR(aurora_data!S1557,0)</f>
        <v>11</v>
      </c>
      <c r="U47" s="65">
        <f>IFERROR(aurora_data!T1157,0)</f>
        <v>0</v>
      </c>
      <c r="V47" s="66" t="s">
        <v>354</v>
      </c>
      <c r="W47" s="59">
        <f>IFERROR(aurora_data!U1557,0)</f>
        <v>20</v>
      </c>
      <c r="X47" s="70">
        <f t="shared" si="14"/>
        <v>1.1111111111111112</v>
      </c>
      <c r="Y47" s="2"/>
      <c r="AB47" s="452"/>
      <c r="AC47" s="454"/>
      <c r="AD47" s="37" t="s">
        <v>17</v>
      </c>
      <c r="AE47" s="59">
        <f>IFERROR(aurora_data!D1557,0)+IFERROR(aurora_data!E1557,0)</f>
        <v>2</v>
      </c>
      <c r="AF47" s="64">
        <f>IFERROR(aurora_data!F1557,0)</f>
        <v>4</v>
      </c>
      <c r="AG47" s="64">
        <f>IFERROR(aurora_data!G1557,0)</f>
        <v>6</v>
      </c>
      <c r="AH47" s="64">
        <f>IFERROR(aurora_data!H1557,0)</f>
        <v>8</v>
      </c>
      <c r="AI47" s="344" t="s">
        <v>354</v>
      </c>
      <c r="AJ47" s="64">
        <f>IFERROR(aurora_data!U1557,0)</f>
        <v>20</v>
      </c>
      <c r="AK47" s="70">
        <f t="shared" si="13"/>
        <v>1.1111111111111112</v>
      </c>
    </row>
    <row r="48" spans="1:37" customFormat="1" ht="16.5" thickBot="1">
      <c r="A48" s="2"/>
      <c r="B48" s="561"/>
      <c r="C48" s="454"/>
      <c r="D48" s="38" t="s">
        <v>343</v>
      </c>
      <c r="E48" s="256">
        <f>IFERROR(aurora_data!D1558,0)</f>
        <v>0</v>
      </c>
      <c r="F48" s="257">
        <f>IFERROR(aurora_data!E1558,0)</f>
        <v>0</v>
      </c>
      <c r="G48" s="257">
        <f>IFERROR(aurora_data!F1558,0)</f>
        <v>0</v>
      </c>
      <c r="H48" s="257">
        <f>IFERROR(aurora_data!G1558,0)</f>
        <v>0</v>
      </c>
      <c r="I48" s="258">
        <f>IFERROR(aurora_data!H1558,0)</f>
        <v>0</v>
      </c>
      <c r="J48" s="256">
        <f>IFERROR(aurora_data!I1558,0)</f>
        <v>0</v>
      </c>
      <c r="K48" s="257">
        <f>IFERROR(aurora_data!J1558,0)</f>
        <v>0</v>
      </c>
      <c r="L48" s="257">
        <f>IFERROR(aurora_data!K1558,0)</f>
        <v>0</v>
      </c>
      <c r="M48" s="257">
        <f>IFERROR(aurora_data!L1558,0)</f>
        <v>0</v>
      </c>
      <c r="N48" s="258">
        <f>IFERROR(aurora_data!M1558,0)</f>
        <v>0</v>
      </c>
      <c r="O48" s="256">
        <f>IFERROR(aurora_data!N1558,0)</f>
        <v>0</v>
      </c>
      <c r="P48" s="257">
        <f>IFERROR(aurora_data!O1558,0)</f>
        <v>0</v>
      </c>
      <c r="Q48" s="257">
        <f>IFERROR(aurora_data!P1558,0)</f>
        <v>0</v>
      </c>
      <c r="R48" s="258">
        <f>IFERROR(aurora_data!Q1558,0)</f>
        <v>0</v>
      </c>
      <c r="S48" s="257">
        <f>IFERROR(aurora_data!R1558,0)</f>
        <v>0</v>
      </c>
      <c r="T48" s="257">
        <f>IFERROR(aurora_data!S1558,0)</f>
        <v>0</v>
      </c>
      <c r="U48" s="259">
        <f>IFERROR(aurora_data!T1158,0)</f>
        <v>0</v>
      </c>
      <c r="V48" s="260" t="s">
        <v>354</v>
      </c>
      <c r="W48" s="256">
        <f>IFERROR(aurora_data!U1558,0)</f>
        <v>0</v>
      </c>
      <c r="X48" s="261">
        <f t="shared" si="14"/>
        <v>0</v>
      </c>
      <c r="Y48" s="2"/>
      <c r="AB48" s="452"/>
      <c r="AC48" s="454"/>
      <c r="AD48" s="38" t="s">
        <v>343</v>
      </c>
      <c r="AE48" s="256">
        <f>IFERROR(aurora_data!D1558,0)+IFERROR(aurora_data!E1558,0)</f>
        <v>0</v>
      </c>
      <c r="AF48" s="257">
        <f>IFERROR(aurora_data!F1558,0)</f>
        <v>0</v>
      </c>
      <c r="AG48" s="257">
        <f>IFERROR(aurora_data!G1558,0)</f>
        <v>0</v>
      </c>
      <c r="AH48" s="257">
        <f>IFERROR(aurora_data!H1558,0)</f>
        <v>0</v>
      </c>
      <c r="AI48" s="343" t="s">
        <v>354</v>
      </c>
      <c r="AJ48" s="257">
        <f>IFERROR(aurora_data!U1558,0)</f>
        <v>0</v>
      </c>
      <c r="AK48" s="261">
        <f t="shared" si="13"/>
        <v>0</v>
      </c>
    </row>
    <row r="49" spans="1:37" customFormat="1" ht="16.5" outlineLevel="2" thickBot="1">
      <c r="A49" s="2"/>
      <c r="B49" s="147"/>
      <c r="C49" s="227"/>
      <c r="D49" s="199" t="s">
        <v>344</v>
      </c>
      <c r="E49" s="276">
        <f>((E51+$E$9)*($W40))</f>
        <v>0.8600000000000001</v>
      </c>
      <c r="F49" s="277">
        <f>(F51+$E$9)*($W40)</f>
        <v>1.3399999999999999</v>
      </c>
      <c r="G49" s="277">
        <f>(G51+$E$9)*($W40)</f>
        <v>3.92</v>
      </c>
      <c r="H49" s="277">
        <f>(H51+$E$9)*($W40)</f>
        <v>6.17</v>
      </c>
      <c r="I49" s="277">
        <f>(I51+$E$9)*($W40)</f>
        <v>7.5200000000000005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B49" s="147"/>
      <c r="AC49" s="227"/>
      <c r="AD49" s="199" t="s">
        <v>344</v>
      </c>
      <c r="AE49" s="294"/>
      <c r="AF49" s="295"/>
      <c r="AG49" s="295"/>
      <c r="AH49" s="295"/>
      <c r="AI49" s="343"/>
      <c r="AJ49" s="295"/>
      <c r="AK49" s="299"/>
    </row>
    <row r="50" spans="1:37" customFormat="1" ht="16.5" outlineLevel="2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0.87</v>
      </c>
      <c r="G50" s="277">
        <f t="shared" ref="G50:I50" si="15">IF(ROUND(((G51-$E$9)*($W40))+0.25,0) &lt;=0,1,((G51-$E$9)*($W40))+0.25)</f>
        <v>3.45</v>
      </c>
      <c r="H50" s="277">
        <f t="shared" si="15"/>
        <v>5.6999999999999993</v>
      </c>
      <c r="I50" s="277">
        <f t="shared" si="15"/>
        <v>7.05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B50" s="147"/>
      <c r="AC50" s="227"/>
      <c r="AD50" s="199" t="s">
        <v>345</v>
      </c>
      <c r="AE50" s="294"/>
      <c r="AF50" s="295"/>
      <c r="AG50" s="295"/>
      <c r="AH50" s="295"/>
      <c r="AI50" s="343"/>
      <c r="AJ50" s="295"/>
      <c r="AK50" s="299"/>
    </row>
    <row r="51" spans="1:37" customFormat="1" ht="16.5" hidden="1" outlineLevel="2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6">IFERROR(F40/$W40,0)</f>
        <v>5.4444444444444441E-2</v>
      </c>
      <c r="G51" s="415">
        <f>IFERROR(G40/$W40,0)</f>
        <v>0.19777777777777777</v>
      </c>
      <c r="H51" s="415">
        <f t="shared" ref="H51" si="17">IFERROR(H40/$W40,0)</f>
        <v>0.32277777777777777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B51" s="147"/>
      <c r="AC51" s="227"/>
      <c r="AD51" s="95" t="s">
        <v>346</v>
      </c>
      <c r="AE51" s="294"/>
      <c r="AF51" s="295"/>
      <c r="AG51" s="295"/>
      <c r="AH51" s="295"/>
      <c r="AI51" s="343"/>
      <c r="AJ51" s="295"/>
      <c r="AK51" s="299"/>
    </row>
    <row r="52" spans="1:37" customFormat="1" ht="16.5" hidden="1" outlineLevel="2" thickBot="1">
      <c r="A52" s="2"/>
      <c r="B52" s="147"/>
      <c r="C52" s="227"/>
      <c r="D52" s="180" t="s">
        <v>347</v>
      </c>
      <c r="E52" s="414">
        <f>IFERROR(E41/$W40,0)</f>
        <v>5.5555555555555552E-2</v>
      </c>
      <c r="F52" s="415">
        <f t="shared" ref="F52:I52" si="18">IFERROR(F41/$W40,0)</f>
        <v>5.5555555555555552E-2</v>
      </c>
      <c r="G52" s="415">
        <f t="shared" si="18"/>
        <v>0.22222222222222221</v>
      </c>
      <c r="H52" s="415">
        <f t="shared" si="18"/>
        <v>0.22222222222222221</v>
      </c>
      <c r="I52" s="415">
        <f t="shared" si="18"/>
        <v>0.44444444444444442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B52" s="147"/>
      <c r="AC52" s="227"/>
      <c r="AD52" s="180" t="s">
        <v>347</v>
      </c>
      <c r="AE52" s="294"/>
      <c r="AF52" s="295"/>
      <c r="AG52" s="295"/>
      <c r="AH52" s="295"/>
      <c r="AI52" s="343"/>
      <c r="AJ52" s="295"/>
      <c r="AK52" s="299"/>
    </row>
    <row r="53" spans="1:37" customFormat="1" ht="16.5" hidden="1" outlineLevel="2" thickBot="1">
      <c r="A53" s="2"/>
      <c r="B53" s="147"/>
      <c r="C53" s="227"/>
      <c r="D53" s="180" t="s">
        <v>348</v>
      </c>
      <c r="E53" s="414">
        <f>E52-E51</f>
        <v>2.7777777777777776E-2</v>
      </c>
      <c r="F53" s="415">
        <f t="shared" ref="F53:I53" si="19">F52-F51</f>
        <v>1.1111111111111113E-3</v>
      </c>
      <c r="G53" s="415">
        <f t="shared" si="19"/>
        <v>2.4444444444444435E-2</v>
      </c>
      <c r="H53" s="415">
        <f t="shared" si="19"/>
        <v>-0.10055555555555556</v>
      </c>
      <c r="I53" s="415">
        <f t="shared" si="19"/>
        <v>4.6666666666666634E-2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B53" s="147"/>
      <c r="AC53" s="227"/>
      <c r="AD53" s="180" t="s">
        <v>348</v>
      </c>
      <c r="AE53" s="294"/>
      <c r="AF53" s="295"/>
      <c r="AG53" s="295"/>
      <c r="AH53" s="295"/>
      <c r="AI53" s="343"/>
      <c r="AJ53" s="295"/>
      <c r="AK53" s="299"/>
    </row>
    <row r="54" spans="1:37" customFormat="1">
      <c r="A54" s="2"/>
      <c r="B54" s="451" t="s">
        <v>338</v>
      </c>
      <c r="C54" s="453" t="str">
        <f>aurora_data!A1559</f>
        <v>09.00.00-09.11.30</v>
      </c>
      <c r="D54" s="34" t="s">
        <v>306</v>
      </c>
      <c r="E54" s="39">
        <f>IFERROR(aurora_data!D1559,0)</f>
        <v>0.49</v>
      </c>
      <c r="F54" s="40">
        <f>IFERROR(aurora_data!E1559,0)</f>
        <v>1</v>
      </c>
      <c r="G54" s="40">
        <f>IFERROR(aurora_data!F1559,0)</f>
        <v>3.63</v>
      </c>
      <c r="H54" s="40">
        <f>IFERROR(aurora_data!G1559,0)</f>
        <v>5.75</v>
      </c>
      <c r="I54" s="41">
        <f>IFERROR(aurora_data!H1559,0)</f>
        <v>7.13</v>
      </c>
      <c r="J54" s="39">
        <f>IFERROR(aurora_data!I1559,0)</f>
        <v>1</v>
      </c>
      <c r="K54" s="40">
        <f>IFERROR(aurora_data!J1559,0)</f>
        <v>1</v>
      </c>
      <c r="L54" s="40">
        <f>IFERROR(aurora_data!K1559,0)</f>
        <v>1</v>
      </c>
      <c r="M54" s="40">
        <f>IFERROR(aurora_data!L1559,0)</f>
        <v>1</v>
      </c>
      <c r="N54" s="41">
        <f>IFERROR(aurora_data!M1559,0)</f>
        <v>1</v>
      </c>
      <c r="O54" s="39">
        <f>IFERROR(aurora_data!N1559,0)</f>
        <v>1</v>
      </c>
      <c r="P54" s="40">
        <f>IFERROR(aurora_data!O1559,0)</f>
        <v>1</v>
      </c>
      <c r="Q54" s="40">
        <f>IFERROR(aurora_data!P1559,0)</f>
        <v>1</v>
      </c>
      <c r="R54" s="41">
        <f>IFERROR(aurora_data!Q1559,0)</f>
        <v>1</v>
      </c>
      <c r="S54" s="40">
        <f>IFERROR(aurora_data!R1559,0)</f>
        <v>1</v>
      </c>
      <c r="T54" s="40">
        <f>IFERROR(aurora_data!S1559,0)</f>
        <v>1</v>
      </c>
      <c r="U54" s="41">
        <f>IFERROR(aurora_data!T1159,0)</f>
        <v>0</v>
      </c>
      <c r="V54" s="61" t="s">
        <v>354</v>
      </c>
      <c r="W54" s="39">
        <f>IFERROR(aurora_data!U1559,0)</f>
        <v>18</v>
      </c>
      <c r="X54" s="69">
        <f>IFERROR(W54/$W$54,0)</f>
        <v>1</v>
      </c>
      <c r="Y54" s="2"/>
      <c r="AB54" s="451" t="s">
        <v>338</v>
      </c>
      <c r="AC54" s="453" t="str">
        <f>aurora_data!A1559</f>
        <v>09.00.00-09.11.30</v>
      </c>
      <c r="AD54" s="34" t="s">
        <v>306</v>
      </c>
      <c r="AE54" s="338">
        <v>2</v>
      </c>
      <c r="AF54" s="40">
        <v>4</v>
      </c>
      <c r="AG54" s="40">
        <v>6</v>
      </c>
      <c r="AH54" s="337">
        <v>6</v>
      </c>
      <c r="AI54" s="343" t="s">
        <v>354</v>
      </c>
      <c r="AJ54" s="40">
        <f>IFERROR(aurora_data!U1559,0)</f>
        <v>18</v>
      </c>
      <c r="AK54" s="69">
        <f t="shared" ref="AK54:AK62" si="20">IFERROR(AJ54/$AJ$54,0)</f>
        <v>1</v>
      </c>
    </row>
    <row r="55" spans="1:37" customFormat="1">
      <c r="A55" s="2"/>
      <c r="B55" s="452"/>
      <c r="C55" s="454"/>
      <c r="D55" s="35" t="s">
        <v>339</v>
      </c>
      <c r="E55" s="113">
        <f>IFERROR(aurora_data!D1560,0)</f>
        <v>1</v>
      </c>
      <c r="F55" s="253">
        <f>IFERROR(aurora_data!E1560,0)</f>
        <v>1</v>
      </c>
      <c r="G55" s="253">
        <f>IFERROR(aurora_data!F1560,0)</f>
        <v>3</v>
      </c>
      <c r="H55" s="253">
        <f>IFERROR(aurora_data!G1560,0)</f>
        <v>5</v>
      </c>
      <c r="I55" s="254">
        <f>IFERROR(aurora_data!H1560,0)</f>
        <v>7</v>
      </c>
      <c r="J55" s="113">
        <f>IFERROR(aurora_data!I1560,0)</f>
        <v>1</v>
      </c>
      <c r="K55" s="253">
        <f>IFERROR(aurora_data!J1560,0)</f>
        <v>3</v>
      </c>
      <c r="L55" s="253">
        <f>IFERROR(aurora_data!K1560,0)</f>
        <v>4</v>
      </c>
      <c r="M55" s="253">
        <f>IFERROR(aurora_data!L1560,0)</f>
        <v>2</v>
      </c>
      <c r="N55" s="254">
        <f>IFERROR(aurora_data!M1560,0)</f>
        <v>7</v>
      </c>
      <c r="O55" s="113">
        <f>IFERROR(aurora_data!N1560,0)</f>
        <v>3</v>
      </c>
      <c r="P55" s="253">
        <f>IFERROR(aurora_data!O1560,0)</f>
        <v>5</v>
      </c>
      <c r="Q55" s="253">
        <f>IFERROR(aurora_data!P1560,0)</f>
        <v>6</v>
      </c>
      <c r="R55" s="254">
        <f>IFERROR(aurora_data!Q1560,0)</f>
        <v>3</v>
      </c>
      <c r="S55" s="253">
        <f>IFERROR(aurora_data!R1560,0)</f>
        <v>8</v>
      </c>
      <c r="T55" s="253">
        <f>IFERROR(aurora_data!S1560,0)</f>
        <v>9</v>
      </c>
      <c r="U55" s="254">
        <f>IFERROR(aurora_data!T1160,0)</f>
        <v>0</v>
      </c>
      <c r="V55" s="61" t="s">
        <v>354</v>
      </c>
      <c r="W55" s="113">
        <f>IFERROR(aurora_data!U1560,0)</f>
        <v>17</v>
      </c>
      <c r="X55" s="255">
        <f t="shared" ref="X55:X62" si="21">IFERROR(W55/$W$54,0)</f>
        <v>0.94444444444444442</v>
      </c>
      <c r="Y55" s="2"/>
      <c r="AB55" s="452"/>
      <c r="AC55" s="454"/>
      <c r="AD55" s="35" t="s">
        <v>339</v>
      </c>
      <c r="AE55" s="113">
        <f>IFERROR(aurora_data!D1560,0)+IFERROR(aurora_data!E1560,0)</f>
        <v>2</v>
      </c>
      <c r="AF55" s="253">
        <f>IFERROR(aurora_data!F1560,0)</f>
        <v>3</v>
      </c>
      <c r="AG55" s="253">
        <f>IFERROR(aurora_data!G1560,0)</f>
        <v>5</v>
      </c>
      <c r="AH55" s="253">
        <f>IFERROR(aurora_data!H1560,0)</f>
        <v>7</v>
      </c>
      <c r="AI55" s="343" t="s">
        <v>354</v>
      </c>
      <c r="AJ55" s="253">
        <f>IFERROR(aurora_data!U1560,0)</f>
        <v>17</v>
      </c>
      <c r="AK55" s="255">
        <f t="shared" si="20"/>
        <v>0.94444444444444442</v>
      </c>
    </row>
    <row r="56" spans="1:37" customFormat="1">
      <c r="A56" s="2"/>
      <c r="B56" s="452"/>
      <c r="C56" s="454"/>
      <c r="D56" s="35" t="s">
        <v>291</v>
      </c>
      <c r="E56" s="113">
        <f>IFERROR(aurora_data!D1561,0)</f>
        <v>0</v>
      </c>
      <c r="F56" s="253">
        <f>IFERROR(aurora_data!E1561,0)</f>
        <v>1</v>
      </c>
      <c r="G56" s="253">
        <f>IFERROR(aurora_data!F1561,0)</f>
        <v>0</v>
      </c>
      <c r="H56" s="253">
        <f>IFERROR(aurora_data!G1561,0)</f>
        <v>0</v>
      </c>
      <c r="I56" s="254">
        <f>IFERROR(aurora_data!H1561,0)</f>
        <v>1</v>
      </c>
      <c r="J56" s="113">
        <f>IFERROR(aurora_data!I1561,0)</f>
        <v>0</v>
      </c>
      <c r="K56" s="253">
        <f>IFERROR(aurora_data!J1561,0)</f>
        <v>0</v>
      </c>
      <c r="L56" s="253">
        <f>IFERROR(aurora_data!K1561,0)</f>
        <v>1</v>
      </c>
      <c r="M56" s="253">
        <f>IFERROR(aurora_data!L1561,0)</f>
        <v>0</v>
      </c>
      <c r="N56" s="254">
        <f>IFERROR(aurora_data!M1561,0)</f>
        <v>1</v>
      </c>
      <c r="O56" s="113">
        <f>IFERROR(aurora_data!N1561,0)</f>
        <v>0</v>
      </c>
      <c r="P56" s="253">
        <f>IFERROR(aurora_data!O1561,0)</f>
        <v>0</v>
      </c>
      <c r="Q56" s="253">
        <f>IFERROR(aurora_data!P1561,0)</f>
        <v>1</v>
      </c>
      <c r="R56" s="254">
        <f>IFERROR(aurora_data!Q1561,0)</f>
        <v>1</v>
      </c>
      <c r="S56" s="253">
        <f>IFERROR(aurora_data!R1561,0)</f>
        <v>1</v>
      </c>
      <c r="T56" s="253">
        <f>IFERROR(aurora_data!S1561,0)</f>
        <v>1</v>
      </c>
      <c r="U56" s="254">
        <f>IFERROR(aurora_data!T1161,0)</f>
        <v>0</v>
      </c>
      <c r="V56" s="61" t="s">
        <v>354</v>
      </c>
      <c r="W56" s="113">
        <f>IFERROR(aurora_data!U1561,0)</f>
        <v>2</v>
      </c>
      <c r="X56" s="255">
        <f t="shared" si="21"/>
        <v>0.1111111111111111</v>
      </c>
      <c r="Y56" s="2"/>
      <c r="AB56" s="452"/>
      <c r="AC56" s="454"/>
      <c r="AD56" s="35" t="s">
        <v>291</v>
      </c>
      <c r="AE56" s="113">
        <f>IFERROR(aurora_data!D1561,0)+IFERROR(aurora_data!E1561,0)</f>
        <v>1</v>
      </c>
      <c r="AF56" s="253">
        <f>IFERROR(aurora_data!F1561,0)</f>
        <v>0</v>
      </c>
      <c r="AG56" s="253">
        <f>IFERROR(aurora_data!G1561,0)</f>
        <v>0</v>
      </c>
      <c r="AH56" s="253">
        <f>IFERROR(aurora_data!H1561,0)</f>
        <v>1</v>
      </c>
      <c r="AI56" s="343" t="s">
        <v>354</v>
      </c>
      <c r="AJ56" s="253">
        <f>IFERROR(aurora_data!U1561,0)</f>
        <v>2</v>
      </c>
      <c r="AK56" s="255">
        <f t="shared" si="20"/>
        <v>0.1111111111111111</v>
      </c>
    </row>
    <row r="57" spans="1:37" customFormat="1">
      <c r="A57" s="2"/>
      <c r="B57" s="452"/>
      <c r="C57" s="454"/>
      <c r="D57" s="35" t="s">
        <v>340</v>
      </c>
      <c r="E57" s="113">
        <f>IFERROR(aurora_data!D1562,0)</f>
        <v>0</v>
      </c>
      <c r="F57" s="253">
        <f>IFERROR(aurora_data!E1562,0)</f>
        <v>0</v>
      </c>
      <c r="G57" s="253">
        <f>IFERROR(aurora_data!F1562,0)</f>
        <v>0</v>
      </c>
      <c r="H57" s="253">
        <f>IFERROR(aurora_data!G1562,0)</f>
        <v>0</v>
      </c>
      <c r="I57" s="254">
        <f>IFERROR(aurora_data!H1562,0)</f>
        <v>0</v>
      </c>
      <c r="J57" s="113">
        <f>IFERROR(aurora_data!I1562,0)</f>
        <v>0</v>
      </c>
      <c r="K57" s="253">
        <f>IFERROR(aurora_data!J1562,0)</f>
        <v>0</v>
      </c>
      <c r="L57" s="253">
        <f>IFERROR(aurora_data!K1562,0)</f>
        <v>0</v>
      </c>
      <c r="M57" s="253">
        <f>IFERROR(aurora_data!L1562,0)</f>
        <v>0</v>
      </c>
      <c r="N57" s="254">
        <f>IFERROR(aurora_data!M1562,0)</f>
        <v>0</v>
      </c>
      <c r="O57" s="113">
        <f>IFERROR(aurora_data!N1562,0)</f>
        <v>0</v>
      </c>
      <c r="P57" s="253">
        <f>IFERROR(aurora_data!O1562,0)</f>
        <v>0</v>
      </c>
      <c r="Q57" s="253">
        <f>IFERROR(aurora_data!P1562,0)</f>
        <v>0</v>
      </c>
      <c r="R57" s="254">
        <f>IFERROR(aurora_data!Q1562,0)</f>
        <v>0</v>
      </c>
      <c r="S57" s="253">
        <f>IFERROR(aurora_data!R1562,0)</f>
        <v>0</v>
      </c>
      <c r="T57" s="253">
        <f>IFERROR(aurora_data!S1562,0)</f>
        <v>0</v>
      </c>
      <c r="U57" s="254">
        <f>IFERROR(aurora_data!T1162,0)</f>
        <v>0</v>
      </c>
      <c r="V57" s="61" t="s">
        <v>354</v>
      </c>
      <c r="W57" s="113">
        <f>IFERROR(aurora_data!U1562,0)</f>
        <v>0</v>
      </c>
      <c r="X57" s="255">
        <f t="shared" si="21"/>
        <v>0</v>
      </c>
      <c r="Y57" s="2"/>
      <c r="AB57" s="452"/>
      <c r="AC57" s="454"/>
      <c r="AD57" s="35" t="s">
        <v>340</v>
      </c>
      <c r="AE57" s="113">
        <f>IFERROR(aurora_data!D1562,0)+IFERROR(aurora_data!E1562,0)</f>
        <v>0</v>
      </c>
      <c r="AF57" s="253">
        <f>IFERROR(aurora_data!F1562,0)</f>
        <v>0</v>
      </c>
      <c r="AG57" s="253">
        <f>IFERROR(aurora_data!G1562,0)</f>
        <v>0</v>
      </c>
      <c r="AH57" s="253">
        <f>IFERROR(aurora_data!H1562,0)</f>
        <v>0</v>
      </c>
      <c r="AI57" s="343" t="s">
        <v>354</v>
      </c>
      <c r="AJ57" s="253">
        <f>IFERROR(aurora_data!U1562,0)</f>
        <v>0</v>
      </c>
      <c r="AK57" s="255">
        <f t="shared" si="20"/>
        <v>0</v>
      </c>
    </row>
    <row r="58" spans="1:37" customFormat="1">
      <c r="A58" s="2"/>
      <c r="B58" s="452"/>
      <c r="C58" s="454"/>
      <c r="D58" s="35" t="s">
        <v>298</v>
      </c>
      <c r="E58" s="113">
        <f>IFERROR(aurora_data!D1563,0)</f>
        <v>0</v>
      </c>
      <c r="F58" s="253">
        <f>IFERROR(aurora_data!E1563,0)</f>
        <v>0</v>
      </c>
      <c r="G58" s="253">
        <f>IFERROR(aurora_data!F1563,0)</f>
        <v>0</v>
      </c>
      <c r="H58" s="253">
        <f>IFERROR(aurora_data!G1563,0)</f>
        <v>0</v>
      </c>
      <c r="I58" s="254">
        <f>IFERROR(aurora_data!H1563,0)</f>
        <v>0</v>
      </c>
      <c r="J58" s="113">
        <f>IFERROR(aurora_data!I1563,0)</f>
        <v>0</v>
      </c>
      <c r="K58" s="253">
        <f>IFERROR(aurora_data!J1563,0)</f>
        <v>0</v>
      </c>
      <c r="L58" s="253">
        <f>IFERROR(aurora_data!K1563,0)</f>
        <v>0</v>
      </c>
      <c r="M58" s="253">
        <f>IFERROR(aurora_data!L1563,0)</f>
        <v>0</v>
      </c>
      <c r="N58" s="254">
        <f>IFERROR(aurora_data!M1563,0)</f>
        <v>0</v>
      </c>
      <c r="O58" s="113">
        <f>IFERROR(aurora_data!N1563,0)</f>
        <v>0</v>
      </c>
      <c r="P58" s="253">
        <f>IFERROR(aurora_data!O1563,0)</f>
        <v>0</v>
      </c>
      <c r="Q58" s="253">
        <f>IFERROR(aurora_data!P1563,0)</f>
        <v>0</v>
      </c>
      <c r="R58" s="254">
        <f>IFERROR(aurora_data!Q1563,0)</f>
        <v>0</v>
      </c>
      <c r="S58" s="253">
        <f>IFERROR(aurora_data!R1563,0)</f>
        <v>0</v>
      </c>
      <c r="T58" s="253">
        <f>IFERROR(aurora_data!S1563,0)</f>
        <v>0</v>
      </c>
      <c r="U58" s="254">
        <f>IFERROR(aurora_data!T1163,0)</f>
        <v>0</v>
      </c>
      <c r="V58" s="61" t="s">
        <v>354</v>
      </c>
      <c r="W58" s="113">
        <f>IFERROR(aurora_data!U1563,0)</f>
        <v>0</v>
      </c>
      <c r="X58" s="255">
        <f t="shared" si="21"/>
        <v>0</v>
      </c>
      <c r="Y58" s="2"/>
      <c r="AB58" s="452"/>
      <c r="AC58" s="454"/>
      <c r="AD58" s="35" t="s">
        <v>298</v>
      </c>
      <c r="AE58" s="113">
        <f>IFERROR(aurora_data!D1563,0)+IFERROR(aurora_data!E1563,0)</f>
        <v>0</v>
      </c>
      <c r="AF58" s="253">
        <f>IFERROR(aurora_data!F1563,0)</f>
        <v>0</v>
      </c>
      <c r="AG58" s="253">
        <f>IFERROR(aurora_data!G1563,0)</f>
        <v>0</v>
      </c>
      <c r="AH58" s="253">
        <f>IFERROR(aurora_data!H1563,0)</f>
        <v>0</v>
      </c>
      <c r="AI58" s="343" t="s">
        <v>354</v>
      </c>
      <c r="AJ58" s="253">
        <f>IFERROR(aurora_data!U1563,0)</f>
        <v>0</v>
      </c>
      <c r="AK58" s="255">
        <f t="shared" si="20"/>
        <v>0</v>
      </c>
    </row>
    <row r="59" spans="1:37" customFormat="1">
      <c r="A59" s="2"/>
      <c r="B59" s="452"/>
      <c r="C59" s="454"/>
      <c r="D59" s="35" t="s">
        <v>341</v>
      </c>
      <c r="E59" s="113">
        <f>IFERROR(aurora_data!D1564,0)</f>
        <v>0</v>
      </c>
      <c r="F59" s="253">
        <f>IFERROR(aurora_data!E1564,0)</f>
        <v>0</v>
      </c>
      <c r="G59" s="253">
        <f>IFERROR(aurora_data!F1564,0)</f>
        <v>1</v>
      </c>
      <c r="H59" s="253">
        <f>IFERROR(aurora_data!G1564,0)</f>
        <v>0</v>
      </c>
      <c r="I59" s="254">
        <f>IFERROR(aurora_data!H1564,0)</f>
        <v>0</v>
      </c>
      <c r="J59" s="113">
        <f>IFERROR(aurora_data!I1564,0)</f>
        <v>0</v>
      </c>
      <c r="K59" s="253">
        <f>IFERROR(aurora_data!J1564,0)</f>
        <v>0</v>
      </c>
      <c r="L59" s="253">
        <f>IFERROR(aurora_data!K1564,0)</f>
        <v>1</v>
      </c>
      <c r="M59" s="253">
        <f>IFERROR(aurora_data!L1564,0)</f>
        <v>0</v>
      </c>
      <c r="N59" s="254">
        <f>IFERROR(aurora_data!M1564,0)</f>
        <v>0</v>
      </c>
      <c r="O59" s="113">
        <f>IFERROR(aurora_data!N1564,0)</f>
        <v>0</v>
      </c>
      <c r="P59" s="253">
        <f>IFERROR(aurora_data!O1564,0)</f>
        <v>1</v>
      </c>
      <c r="Q59" s="253">
        <f>IFERROR(aurora_data!P1564,0)</f>
        <v>0</v>
      </c>
      <c r="R59" s="254">
        <f>IFERROR(aurora_data!Q1564,0)</f>
        <v>0</v>
      </c>
      <c r="S59" s="253">
        <f>IFERROR(aurora_data!R1564,0)</f>
        <v>1</v>
      </c>
      <c r="T59" s="253">
        <f>IFERROR(aurora_data!S1564,0)</f>
        <v>0</v>
      </c>
      <c r="U59" s="254">
        <f>IFERROR(aurora_data!T1164,0)</f>
        <v>0</v>
      </c>
      <c r="V59" s="61" t="s">
        <v>354</v>
      </c>
      <c r="W59" s="113">
        <f>IFERROR(aurora_data!U1564,0)</f>
        <v>1</v>
      </c>
      <c r="X59" s="255">
        <f t="shared" si="21"/>
        <v>5.5555555555555552E-2</v>
      </c>
      <c r="Y59" s="2"/>
      <c r="AB59" s="452"/>
      <c r="AC59" s="454"/>
      <c r="AD59" s="35" t="s">
        <v>341</v>
      </c>
      <c r="AE59" s="113">
        <f>IFERROR(aurora_data!D1564,0)+IFERROR(aurora_data!E1564,0)</f>
        <v>0</v>
      </c>
      <c r="AF59" s="253">
        <f>IFERROR(aurora_data!F1564,0)</f>
        <v>1</v>
      </c>
      <c r="AG59" s="253">
        <f>IFERROR(aurora_data!G1564,0)</f>
        <v>0</v>
      </c>
      <c r="AH59" s="253">
        <f>IFERROR(aurora_data!H1564,0)</f>
        <v>0</v>
      </c>
      <c r="AI59" s="343" t="s">
        <v>354</v>
      </c>
      <c r="AJ59" s="253">
        <f>IFERROR(aurora_data!U1564,0)</f>
        <v>1</v>
      </c>
      <c r="AK59" s="255">
        <f t="shared" si="20"/>
        <v>5.5555555555555552E-2</v>
      </c>
    </row>
    <row r="60" spans="1:37" customFormat="1" ht="16.5" thickBot="1">
      <c r="A60" s="2"/>
      <c r="B60" s="452"/>
      <c r="C60" s="454"/>
      <c r="D60" s="35" t="s">
        <v>342</v>
      </c>
      <c r="E60" s="113">
        <f>IFERROR(aurora_data!D1565,0)</f>
        <v>0</v>
      </c>
      <c r="F60" s="253">
        <f>IFERROR(aurora_data!E1565,0)</f>
        <v>0</v>
      </c>
      <c r="G60" s="253">
        <f>IFERROR(aurora_data!F1565,0)</f>
        <v>0</v>
      </c>
      <c r="H60" s="253">
        <f>IFERROR(aurora_data!G1565,0)</f>
        <v>0</v>
      </c>
      <c r="I60" s="254">
        <f>IFERROR(aurora_data!H1565,0)</f>
        <v>0</v>
      </c>
      <c r="J60" s="113">
        <f>IFERROR(aurora_data!I1565,0)</f>
        <v>0</v>
      </c>
      <c r="K60" s="253">
        <f>IFERROR(aurora_data!J1565,0)</f>
        <v>0</v>
      </c>
      <c r="L60" s="253">
        <f>IFERROR(aurora_data!K1565,0)</f>
        <v>0</v>
      </c>
      <c r="M60" s="253">
        <f>IFERROR(aurora_data!L1565,0)</f>
        <v>0</v>
      </c>
      <c r="N60" s="254">
        <f>IFERROR(aurora_data!M1565,0)</f>
        <v>0</v>
      </c>
      <c r="O60" s="113">
        <f>IFERROR(aurora_data!N1565,0)</f>
        <v>0</v>
      </c>
      <c r="P60" s="253">
        <f>IFERROR(aurora_data!O1565,0)</f>
        <v>0</v>
      </c>
      <c r="Q60" s="253">
        <f>IFERROR(aurora_data!P1565,0)</f>
        <v>0</v>
      </c>
      <c r="R60" s="254">
        <f>IFERROR(aurora_data!Q1565,0)</f>
        <v>0</v>
      </c>
      <c r="S60" s="253">
        <f>IFERROR(aurora_data!R1565,0)</f>
        <v>0</v>
      </c>
      <c r="T60" s="253">
        <f>IFERROR(aurora_data!S1565,0)</f>
        <v>0</v>
      </c>
      <c r="U60" s="254">
        <f>IFERROR(aurora_data!T1165,0)</f>
        <v>0</v>
      </c>
      <c r="V60" s="61" t="s">
        <v>354</v>
      </c>
      <c r="W60" s="113">
        <f>IFERROR(aurora_data!U1565,0)</f>
        <v>0</v>
      </c>
      <c r="X60" s="255">
        <f t="shared" si="21"/>
        <v>0</v>
      </c>
      <c r="Y60" s="2"/>
      <c r="AB60" s="452"/>
      <c r="AC60" s="454"/>
      <c r="AD60" s="35" t="s">
        <v>342</v>
      </c>
      <c r="AE60" s="113">
        <f>IFERROR(aurora_data!D1565,0)+IFERROR(aurora_data!E1565,0)</f>
        <v>0</v>
      </c>
      <c r="AF60" s="253">
        <f>IFERROR(aurora_data!F1565,0)</f>
        <v>0</v>
      </c>
      <c r="AG60" s="253">
        <f>IFERROR(aurora_data!G1565,0)</f>
        <v>0</v>
      </c>
      <c r="AH60" s="253">
        <f>IFERROR(aurora_data!H1565,0)</f>
        <v>0</v>
      </c>
      <c r="AI60" s="343" t="s">
        <v>354</v>
      </c>
      <c r="AJ60" s="253">
        <f>IFERROR(aurora_data!U1565,0)</f>
        <v>0</v>
      </c>
      <c r="AK60" s="255">
        <f t="shared" si="20"/>
        <v>0</v>
      </c>
    </row>
    <row r="61" spans="1:37" customFormat="1" ht="16.5" thickBot="1">
      <c r="A61" s="2"/>
      <c r="B61" s="452"/>
      <c r="C61" s="454"/>
      <c r="D61" s="37" t="s">
        <v>17</v>
      </c>
      <c r="E61" s="59">
        <f>IFERROR(aurora_data!D1566,0)</f>
        <v>1</v>
      </c>
      <c r="F61" s="64">
        <f>IFERROR(aurora_data!E1566,0)</f>
        <v>2</v>
      </c>
      <c r="G61" s="64">
        <f>IFERROR(aurora_data!F1566,0)</f>
        <v>4</v>
      </c>
      <c r="H61" s="64">
        <f>IFERROR(aurora_data!G1566,0)</f>
        <v>5</v>
      </c>
      <c r="I61" s="65">
        <f>IFERROR(aurora_data!H1566,0)</f>
        <v>8</v>
      </c>
      <c r="J61" s="59">
        <f>IFERROR(aurora_data!I1566,0)</f>
        <v>1</v>
      </c>
      <c r="K61" s="64">
        <f>IFERROR(aurora_data!J1566,0)</f>
        <v>3</v>
      </c>
      <c r="L61" s="64">
        <f>IFERROR(aurora_data!K1566,0)</f>
        <v>6</v>
      </c>
      <c r="M61" s="64">
        <f>IFERROR(aurora_data!L1566,0)</f>
        <v>2</v>
      </c>
      <c r="N61" s="65">
        <f>IFERROR(aurora_data!M1566,0)</f>
        <v>8</v>
      </c>
      <c r="O61" s="59">
        <f>IFERROR(aurora_data!N1566,0)</f>
        <v>3</v>
      </c>
      <c r="P61" s="64">
        <f>IFERROR(aurora_data!O1566,0)</f>
        <v>6</v>
      </c>
      <c r="Q61" s="64">
        <f>IFERROR(aurora_data!P1566,0)</f>
        <v>7</v>
      </c>
      <c r="R61" s="65">
        <f>IFERROR(aurora_data!Q1566,0)</f>
        <v>4</v>
      </c>
      <c r="S61" s="64">
        <f>IFERROR(aurora_data!R1566,0)</f>
        <v>10</v>
      </c>
      <c r="T61" s="64">
        <f>IFERROR(aurora_data!S1566,0)</f>
        <v>10</v>
      </c>
      <c r="U61" s="65">
        <f>IFERROR(aurora_data!T1166,0)</f>
        <v>0</v>
      </c>
      <c r="V61" s="66" t="s">
        <v>354</v>
      </c>
      <c r="W61" s="59">
        <f>IFERROR(aurora_data!U1566,0)</f>
        <v>20</v>
      </c>
      <c r="X61" s="70">
        <f t="shared" si="21"/>
        <v>1.1111111111111112</v>
      </c>
      <c r="Y61" s="2"/>
      <c r="AB61" s="452"/>
      <c r="AC61" s="454"/>
      <c r="AD61" s="37" t="s">
        <v>17</v>
      </c>
      <c r="AE61" s="59">
        <f>IFERROR(aurora_data!D1566,0)+IFERROR(aurora_data!E1566,0)</f>
        <v>3</v>
      </c>
      <c r="AF61" s="64">
        <f>IFERROR(aurora_data!F1566,0)</f>
        <v>4</v>
      </c>
      <c r="AG61" s="64">
        <f>IFERROR(aurora_data!G1566,0)</f>
        <v>5</v>
      </c>
      <c r="AH61" s="64">
        <f>IFERROR(aurora_data!H1566,0)</f>
        <v>8</v>
      </c>
      <c r="AI61" s="344" t="s">
        <v>354</v>
      </c>
      <c r="AJ61" s="64">
        <f>IFERROR(aurora_data!U1566,0)</f>
        <v>20</v>
      </c>
      <c r="AK61" s="70">
        <f t="shared" si="20"/>
        <v>1.1111111111111112</v>
      </c>
    </row>
    <row r="62" spans="1:37" customFormat="1" ht="16.5" thickBot="1">
      <c r="A62" s="2"/>
      <c r="B62" s="452"/>
      <c r="C62" s="454"/>
      <c r="D62" s="38" t="s">
        <v>343</v>
      </c>
      <c r="E62" s="256">
        <f>IFERROR(aurora_data!D1567,0)</f>
        <v>0</v>
      </c>
      <c r="F62" s="257">
        <f>IFERROR(aurora_data!E1567,0)</f>
        <v>0</v>
      </c>
      <c r="G62" s="257">
        <f>IFERROR(aurora_data!F1567,0)</f>
        <v>0</v>
      </c>
      <c r="H62" s="257">
        <f>IFERROR(aurora_data!G1567,0)</f>
        <v>0</v>
      </c>
      <c r="I62" s="258">
        <f>IFERROR(aurora_data!H1567,0)</f>
        <v>0</v>
      </c>
      <c r="J62" s="256">
        <f>IFERROR(aurora_data!I1567,0)</f>
        <v>0</v>
      </c>
      <c r="K62" s="257">
        <f>IFERROR(aurora_data!J1567,0)</f>
        <v>0</v>
      </c>
      <c r="L62" s="257">
        <f>IFERROR(aurora_data!K1567,0)</f>
        <v>0</v>
      </c>
      <c r="M62" s="257">
        <f>IFERROR(aurora_data!L1567,0)</f>
        <v>0</v>
      </c>
      <c r="N62" s="258">
        <f>IFERROR(aurora_data!M1567,0)</f>
        <v>0</v>
      </c>
      <c r="O62" s="256">
        <f>IFERROR(aurora_data!N1567,0)</f>
        <v>0</v>
      </c>
      <c r="P62" s="257">
        <f>IFERROR(aurora_data!O1567,0)</f>
        <v>0</v>
      </c>
      <c r="Q62" s="257">
        <f>IFERROR(aurora_data!P1567,0)</f>
        <v>0</v>
      </c>
      <c r="R62" s="258">
        <f>IFERROR(aurora_data!Q1567,0)</f>
        <v>0</v>
      </c>
      <c r="S62" s="257">
        <f>IFERROR(aurora_data!R1567,0)</f>
        <v>0</v>
      </c>
      <c r="T62" s="257">
        <f>IFERROR(aurora_data!S1567,0)</f>
        <v>0</v>
      </c>
      <c r="U62" s="259">
        <f>IFERROR(aurora_data!T1167,0)</f>
        <v>0</v>
      </c>
      <c r="V62" s="260" t="s">
        <v>354</v>
      </c>
      <c r="W62" s="256">
        <f>IFERROR(aurora_data!U1567,0)</f>
        <v>0</v>
      </c>
      <c r="X62" s="261">
        <f t="shared" si="21"/>
        <v>0</v>
      </c>
      <c r="Y62" s="2"/>
      <c r="AB62" s="452"/>
      <c r="AC62" s="454"/>
      <c r="AD62" s="38" t="s">
        <v>343</v>
      </c>
      <c r="AE62" s="256">
        <f>IFERROR(aurora_data!D1567,0)+IFERROR(aurora_data!E1567,0)</f>
        <v>0</v>
      </c>
      <c r="AF62" s="257">
        <f>IFERROR(aurora_data!F1567,0)</f>
        <v>0</v>
      </c>
      <c r="AG62" s="257">
        <f>IFERROR(aurora_data!G1567,0)</f>
        <v>0</v>
      </c>
      <c r="AH62" s="257">
        <f>IFERROR(aurora_data!H1567,0)</f>
        <v>0</v>
      </c>
      <c r="AI62" s="343" t="s">
        <v>354</v>
      </c>
      <c r="AJ62" s="257">
        <f>IFERROR(aurora_data!U1567,0)</f>
        <v>0</v>
      </c>
      <c r="AK62" s="261">
        <f t="shared" si="20"/>
        <v>0</v>
      </c>
    </row>
    <row r="63" spans="1:37" customFormat="1" ht="16.5" outlineLevel="1" thickBot="1">
      <c r="A63" s="2"/>
      <c r="B63" s="147"/>
      <c r="C63" s="227"/>
      <c r="D63" s="199" t="s">
        <v>344</v>
      </c>
      <c r="E63" s="276">
        <f>((E65+$E$9)*($W54))</f>
        <v>0.85</v>
      </c>
      <c r="F63" s="277">
        <f>(F65+$E$9)*($W54)</f>
        <v>1.36</v>
      </c>
      <c r="G63" s="277">
        <f>(G65+$E$9)*($W54)</f>
        <v>3.9899999999999998</v>
      </c>
      <c r="H63" s="277">
        <f>(H65+$E$9)*($W54)</f>
        <v>6.1099999999999994</v>
      </c>
      <c r="I63" s="277">
        <f>(I65+$E$9)*($W54)</f>
        <v>7.49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B63" s="147"/>
      <c r="AC63" s="227"/>
      <c r="AD63" s="199" t="s">
        <v>344</v>
      </c>
      <c r="AE63" s="294"/>
      <c r="AF63" s="295"/>
      <c r="AG63" s="295"/>
      <c r="AH63" s="295"/>
      <c r="AI63" s="343"/>
      <c r="AJ63" s="295"/>
      <c r="AK63" s="299"/>
    </row>
    <row r="64" spans="1:37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0.8899999999999999</v>
      </c>
      <c r="G64" s="277">
        <f t="shared" ref="G64:I64" si="22">IF(ROUND(((G65-$E$9)*($W54))+0.25,0) &lt;=0,1,((G65-$E$9)*($W54))+0.25)</f>
        <v>3.52</v>
      </c>
      <c r="H64" s="277">
        <f t="shared" si="22"/>
        <v>5.6399999999999988</v>
      </c>
      <c r="I64" s="277">
        <f t="shared" si="22"/>
        <v>7.02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B64" s="147"/>
      <c r="AC64" s="227"/>
      <c r="AD64" s="199" t="s">
        <v>345</v>
      </c>
      <c r="AE64" s="294"/>
      <c r="AF64" s="295"/>
      <c r="AG64" s="295"/>
      <c r="AH64" s="295"/>
      <c r="AI64" s="343"/>
      <c r="AJ64" s="295"/>
      <c r="AK64" s="299"/>
    </row>
    <row r="65" spans="1:37" customFormat="1" ht="16.5" hidden="1" outlineLevel="1" thickBot="1">
      <c r="A65" s="2"/>
      <c r="B65" s="147"/>
      <c r="C65" s="227"/>
      <c r="D65" s="95" t="s">
        <v>346</v>
      </c>
      <c r="E65" s="414">
        <f>IFERROR(E54/$W54,0)</f>
        <v>2.7222222222222221E-2</v>
      </c>
      <c r="F65" s="415">
        <f t="shared" ref="F65" si="23">IFERROR(F54/$W54,0)</f>
        <v>5.5555555555555552E-2</v>
      </c>
      <c r="G65" s="415">
        <f>IFERROR(G54/$W54,0)</f>
        <v>0.20166666666666666</v>
      </c>
      <c r="H65" s="415">
        <f t="shared" ref="H65" si="24">IFERROR(H54/$W54,0)</f>
        <v>0.31944444444444442</v>
      </c>
      <c r="I65" s="415">
        <f>IFERROR(I54/$W54,0)</f>
        <v>0.39611111111111108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B65" s="147"/>
      <c r="AC65" s="227"/>
      <c r="AD65" s="95" t="s">
        <v>346</v>
      </c>
      <c r="AE65" s="294"/>
      <c r="AF65" s="295"/>
      <c r="AG65" s="295"/>
      <c r="AH65" s="295"/>
      <c r="AI65" s="343"/>
      <c r="AJ65" s="295"/>
      <c r="AK65" s="299"/>
    </row>
    <row r="66" spans="1:37" customFormat="1" ht="16.5" hidden="1" outlineLevel="1" thickBot="1">
      <c r="A66" s="2"/>
      <c r="B66" s="147"/>
      <c r="C66" s="227"/>
      <c r="D66" s="180" t="s">
        <v>347</v>
      </c>
      <c r="E66" s="414">
        <f>IFERROR(E55/$W54,0)</f>
        <v>5.5555555555555552E-2</v>
      </c>
      <c r="F66" s="415">
        <f t="shared" ref="F66:H66" si="25">IFERROR(F55/$W54,0)</f>
        <v>5.5555555555555552E-2</v>
      </c>
      <c r="G66" s="415">
        <f t="shared" si="25"/>
        <v>0.16666666666666666</v>
      </c>
      <c r="H66" s="415">
        <f t="shared" si="25"/>
        <v>0.27777777777777779</v>
      </c>
      <c r="I66" s="415">
        <f>IFERROR(I55/$W54,0)</f>
        <v>0.3888888888888889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B66" s="147"/>
      <c r="AC66" s="227"/>
      <c r="AD66" s="180" t="s">
        <v>347</v>
      </c>
      <c r="AE66" s="294"/>
      <c r="AF66" s="295"/>
      <c r="AG66" s="295"/>
      <c r="AH66" s="295"/>
      <c r="AI66" s="343"/>
      <c r="AJ66" s="295"/>
      <c r="AK66" s="299"/>
    </row>
    <row r="67" spans="1:37" customFormat="1" ht="16.5" hidden="1" outlineLevel="1" thickBot="1">
      <c r="A67" s="2"/>
      <c r="B67" s="147"/>
      <c r="C67" s="227"/>
      <c r="D67" s="180" t="s">
        <v>348</v>
      </c>
      <c r="E67" s="414">
        <f>E66-E65</f>
        <v>2.8333333333333332E-2</v>
      </c>
      <c r="F67" s="415">
        <f t="shared" ref="F67:I67" si="26">F66-F65</f>
        <v>0</v>
      </c>
      <c r="G67" s="415">
        <f t="shared" si="26"/>
        <v>-3.5000000000000003E-2</v>
      </c>
      <c r="H67" s="415">
        <f t="shared" si="26"/>
        <v>-4.166666666666663E-2</v>
      </c>
      <c r="I67" s="415">
        <f t="shared" si="26"/>
        <v>-7.2222222222221855E-3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B67" s="147"/>
      <c r="AC67" s="227"/>
      <c r="AD67" s="180" t="s">
        <v>348</v>
      </c>
      <c r="AE67" s="294"/>
      <c r="AF67" s="295"/>
      <c r="AG67" s="295"/>
      <c r="AH67" s="295"/>
      <c r="AI67" s="343"/>
      <c r="AJ67" s="295"/>
      <c r="AK67" s="299"/>
    </row>
    <row r="68" spans="1:37" customFormat="1">
      <c r="A68" s="2"/>
      <c r="B68" s="560" t="s">
        <v>362</v>
      </c>
      <c r="C68" s="453" t="str">
        <f>aurora_data!A1568</f>
        <v>10.00.00-10.11.30</v>
      </c>
      <c r="D68" s="34" t="s">
        <v>306</v>
      </c>
      <c r="E68" s="39">
        <f>IFERROR(aurora_data!D1568,0)</f>
        <v>0.55000000000000004</v>
      </c>
      <c r="F68" s="40">
        <f>IFERROR(aurora_data!E1568,0)</f>
        <v>1.04</v>
      </c>
      <c r="G68" s="40">
        <f>IFERROR(aurora_data!F1568,0)</f>
        <v>3.62</v>
      </c>
      <c r="H68" s="40">
        <f>IFERROR(aurora_data!G1568,0)</f>
        <v>5.76</v>
      </c>
      <c r="I68" s="41">
        <f>IFERROR(aurora_data!H1568,0)</f>
        <v>7.03</v>
      </c>
      <c r="J68" s="39">
        <f>IFERROR(aurora_data!I1568,0)</f>
        <v>1</v>
      </c>
      <c r="K68" s="40">
        <f>IFERROR(aurora_data!J1568,0)</f>
        <v>1</v>
      </c>
      <c r="L68" s="40">
        <f>IFERROR(aurora_data!K1568,0)</f>
        <v>1</v>
      </c>
      <c r="M68" s="40">
        <f>IFERROR(aurora_data!L1568,0)</f>
        <v>1</v>
      </c>
      <c r="N68" s="41">
        <f>IFERROR(aurora_data!M1568,0)</f>
        <v>1</v>
      </c>
      <c r="O68" s="39">
        <f>IFERROR(aurora_data!N1568,0)</f>
        <v>1</v>
      </c>
      <c r="P68" s="40">
        <f>IFERROR(aurora_data!O1568,0)</f>
        <v>1</v>
      </c>
      <c r="Q68" s="40">
        <f>IFERROR(aurora_data!P1568,0)</f>
        <v>1</v>
      </c>
      <c r="R68" s="41">
        <f>IFERROR(aurora_data!Q1568,0)</f>
        <v>1</v>
      </c>
      <c r="S68" s="40">
        <f>IFERROR(aurora_data!R1568,0)</f>
        <v>1</v>
      </c>
      <c r="T68" s="40">
        <f>IFERROR(aurora_data!S1568,0)</f>
        <v>1</v>
      </c>
      <c r="U68" s="41">
        <f>IFERROR(aurora_data!T1168,0)</f>
        <v>0</v>
      </c>
      <c r="V68" s="61" t="s">
        <v>354</v>
      </c>
      <c r="W68" s="39">
        <f>IFERROR(aurora_data!U1568,0)</f>
        <v>18</v>
      </c>
      <c r="X68" s="69">
        <f>IFERROR(W68/$W$68,0)</f>
        <v>1</v>
      </c>
      <c r="Y68" s="2"/>
      <c r="AB68" s="451" t="s">
        <v>338</v>
      </c>
      <c r="AC68" s="453" t="str">
        <f>aurora_data!A1568</f>
        <v>10.00.00-10.11.30</v>
      </c>
      <c r="AD68" s="34" t="s">
        <v>306</v>
      </c>
      <c r="AE68" s="338">
        <v>2</v>
      </c>
      <c r="AF68" s="40">
        <v>4</v>
      </c>
      <c r="AG68" s="40">
        <v>6</v>
      </c>
      <c r="AH68" s="337">
        <v>6</v>
      </c>
      <c r="AI68" s="343" t="s">
        <v>354</v>
      </c>
      <c r="AJ68" s="40">
        <f>IFERROR(aurora_data!U1568,0)</f>
        <v>18</v>
      </c>
      <c r="AK68" s="69">
        <f t="shared" ref="AK68:AK76" si="27">IFERROR(AJ68/$AJ$68,0)</f>
        <v>1</v>
      </c>
    </row>
    <row r="69" spans="1:37" customFormat="1">
      <c r="A69" s="2"/>
      <c r="B69" s="561"/>
      <c r="C69" s="454"/>
      <c r="D69" s="35" t="s">
        <v>339</v>
      </c>
      <c r="E69" s="113">
        <f>IFERROR(aurora_data!D1569,0)</f>
        <v>1</v>
      </c>
      <c r="F69" s="253">
        <f>IFERROR(aurora_data!E1569,0)</f>
        <v>1</v>
      </c>
      <c r="G69" s="253">
        <f>IFERROR(aurora_data!F1569,0)</f>
        <v>4</v>
      </c>
      <c r="H69" s="253">
        <f>IFERROR(aurora_data!G1569,0)</f>
        <v>6</v>
      </c>
      <c r="I69" s="254">
        <f>IFERROR(aurora_data!H1569,0)</f>
        <v>6</v>
      </c>
      <c r="J69" s="113">
        <f>IFERROR(aurora_data!I1569,0)</f>
        <v>1</v>
      </c>
      <c r="K69" s="253">
        <f>IFERROR(aurora_data!J1569,0)</f>
        <v>1</v>
      </c>
      <c r="L69" s="253">
        <f>IFERROR(aurora_data!K1569,0)</f>
        <v>5</v>
      </c>
      <c r="M69" s="253">
        <f>IFERROR(aurora_data!L1569,0)</f>
        <v>2</v>
      </c>
      <c r="N69" s="254">
        <f>IFERROR(aurora_data!M1569,0)</f>
        <v>9</v>
      </c>
      <c r="O69" s="113">
        <f>IFERROR(aurora_data!N1569,0)</f>
        <v>4</v>
      </c>
      <c r="P69" s="253">
        <f>IFERROR(aurora_data!O1569,0)</f>
        <v>6</v>
      </c>
      <c r="Q69" s="253">
        <f>IFERROR(aurora_data!P1569,0)</f>
        <v>5</v>
      </c>
      <c r="R69" s="254">
        <f>IFERROR(aurora_data!Q1569,0)</f>
        <v>3</v>
      </c>
      <c r="S69" s="253">
        <f>IFERROR(aurora_data!R1569,0)</f>
        <v>11</v>
      </c>
      <c r="T69" s="253">
        <f>IFERROR(aurora_data!S1569,0)</f>
        <v>7</v>
      </c>
      <c r="U69" s="254">
        <f>IFERROR(aurora_data!T1169,0)</f>
        <v>0</v>
      </c>
      <c r="V69" s="61" t="s">
        <v>354</v>
      </c>
      <c r="W69" s="113">
        <f>IFERROR(aurora_data!U1569,0)</f>
        <v>18</v>
      </c>
      <c r="X69" s="255">
        <f t="shared" ref="X69:X76" si="28">IFERROR(W69/$W$68,0)</f>
        <v>1</v>
      </c>
      <c r="Y69" s="2"/>
      <c r="AB69" s="452"/>
      <c r="AC69" s="454"/>
      <c r="AD69" s="35" t="s">
        <v>339</v>
      </c>
      <c r="AE69" s="113">
        <f>IFERROR(aurora_data!D1569,0)+IFERROR(aurora_data!E1569,0)</f>
        <v>2</v>
      </c>
      <c r="AF69" s="253">
        <f>IFERROR(aurora_data!F1569,0)</f>
        <v>4</v>
      </c>
      <c r="AG69" s="253">
        <f>IFERROR(aurora_data!G1569,0)</f>
        <v>6</v>
      </c>
      <c r="AH69" s="253">
        <f>IFERROR(aurora_data!H1569,0)</f>
        <v>6</v>
      </c>
      <c r="AI69" s="343" t="s">
        <v>354</v>
      </c>
      <c r="AJ69" s="253">
        <f>IFERROR(aurora_data!U1569,0)</f>
        <v>18</v>
      </c>
      <c r="AK69" s="255">
        <f t="shared" si="27"/>
        <v>1</v>
      </c>
    </row>
    <row r="70" spans="1:37" customFormat="1">
      <c r="A70" s="2"/>
      <c r="B70" s="561"/>
      <c r="C70" s="454"/>
      <c r="D70" s="35" t="s">
        <v>291</v>
      </c>
      <c r="E70" s="113">
        <f>IFERROR(aurora_data!D1570,0)</f>
        <v>0</v>
      </c>
      <c r="F70" s="253">
        <f>IFERROR(aurora_data!E1570,0)</f>
        <v>0</v>
      </c>
      <c r="G70" s="253">
        <f>IFERROR(aurora_data!F1570,0)</f>
        <v>1</v>
      </c>
      <c r="H70" s="253">
        <f>IFERROR(aurora_data!G1570,0)</f>
        <v>1</v>
      </c>
      <c r="I70" s="254">
        <f>IFERROR(aurora_data!H1570,0)</f>
        <v>0</v>
      </c>
      <c r="J70" s="113">
        <f>IFERROR(aurora_data!I1570,0)</f>
        <v>0</v>
      </c>
      <c r="K70" s="253">
        <f>IFERROR(aurora_data!J1570,0)</f>
        <v>0</v>
      </c>
      <c r="L70" s="253">
        <f>IFERROR(aurora_data!K1570,0)</f>
        <v>2</v>
      </c>
      <c r="M70" s="253">
        <f>IFERROR(aurora_data!L1570,0)</f>
        <v>0</v>
      </c>
      <c r="N70" s="254">
        <f>IFERROR(aurora_data!M1570,0)</f>
        <v>0</v>
      </c>
      <c r="O70" s="113">
        <f>IFERROR(aurora_data!N1570,0)</f>
        <v>0</v>
      </c>
      <c r="P70" s="253">
        <f>IFERROR(aurora_data!O1570,0)</f>
        <v>1</v>
      </c>
      <c r="Q70" s="253">
        <f>IFERROR(aurora_data!P1570,0)</f>
        <v>1</v>
      </c>
      <c r="R70" s="254">
        <f>IFERROR(aurora_data!Q1570,0)</f>
        <v>0</v>
      </c>
      <c r="S70" s="253">
        <f>IFERROR(aurora_data!R1570,0)</f>
        <v>2</v>
      </c>
      <c r="T70" s="253">
        <f>IFERROR(aurora_data!S1570,0)</f>
        <v>0</v>
      </c>
      <c r="U70" s="254">
        <f>IFERROR(aurora_data!T1170,0)</f>
        <v>0</v>
      </c>
      <c r="V70" s="61" t="s">
        <v>354</v>
      </c>
      <c r="W70" s="113">
        <f>IFERROR(aurora_data!U1570,0)</f>
        <v>2</v>
      </c>
      <c r="X70" s="255">
        <f t="shared" si="28"/>
        <v>0.1111111111111111</v>
      </c>
      <c r="Y70" s="2"/>
      <c r="AB70" s="452"/>
      <c r="AC70" s="454"/>
      <c r="AD70" s="35" t="s">
        <v>291</v>
      </c>
      <c r="AE70" s="113">
        <f>IFERROR(aurora_data!D1570,0)+IFERROR(aurora_data!E1570,0)</f>
        <v>0</v>
      </c>
      <c r="AF70" s="253">
        <f>IFERROR(aurora_data!F1570,0)</f>
        <v>1</v>
      </c>
      <c r="AG70" s="253">
        <f>IFERROR(aurora_data!G1570,0)</f>
        <v>1</v>
      </c>
      <c r="AH70" s="253">
        <f>IFERROR(aurora_data!H1570,0)</f>
        <v>0</v>
      </c>
      <c r="AI70" s="343" t="s">
        <v>354</v>
      </c>
      <c r="AJ70" s="253">
        <f>IFERROR(aurora_data!U1570,0)</f>
        <v>2</v>
      </c>
      <c r="AK70" s="255">
        <f t="shared" si="27"/>
        <v>0.1111111111111111</v>
      </c>
    </row>
    <row r="71" spans="1:37" customFormat="1">
      <c r="A71" s="2"/>
      <c r="B71" s="561"/>
      <c r="C71" s="454"/>
      <c r="D71" s="35" t="s">
        <v>340</v>
      </c>
      <c r="E71" s="113">
        <f>IFERROR(aurora_data!D1571,0)</f>
        <v>0</v>
      </c>
      <c r="F71" s="253">
        <f>IFERROR(aurora_data!E1571,0)</f>
        <v>0</v>
      </c>
      <c r="G71" s="253">
        <f>IFERROR(aurora_data!F1571,0)</f>
        <v>0</v>
      </c>
      <c r="H71" s="253">
        <f>IFERROR(aurora_data!G1571,0)</f>
        <v>0</v>
      </c>
      <c r="I71" s="254">
        <f>IFERROR(aurora_data!H1571,0)</f>
        <v>0</v>
      </c>
      <c r="J71" s="113">
        <f>IFERROR(aurora_data!I1571,0)</f>
        <v>0</v>
      </c>
      <c r="K71" s="253">
        <f>IFERROR(aurora_data!J1571,0)</f>
        <v>0</v>
      </c>
      <c r="L71" s="253">
        <f>IFERROR(aurora_data!K1571,0)</f>
        <v>0</v>
      </c>
      <c r="M71" s="253">
        <f>IFERROR(aurora_data!L1571,0)</f>
        <v>0</v>
      </c>
      <c r="N71" s="254">
        <f>IFERROR(aurora_data!M1571,0)</f>
        <v>0</v>
      </c>
      <c r="O71" s="113">
        <f>IFERROR(aurora_data!N1571,0)</f>
        <v>0</v>
      </c>
      <c r="P71" s="253">
        <f>IFERROR(aurora_data!O1571,0)</f>
        <v>0</v>
      </c>
      <c r="Q71" s="253">
        <f>IFERROR(aurora_data!P1571,0)</f>
        <v>0</v>
      </c>
      <c r="R71" s="254">
        <f>IFERROR(aurora_data!Q1571,0)</f>
        <v>0</v>
      </c>
      <c r="S71" s="253">
        <f>IFERROR(aurora_data!R1571,0)</f>
        <v>0</v>
      </c>
      <c r="T71" s="253">
        <f>IFERROR(aurora_data!S1571,0)</f>
        <v>0</v>
      </c>
      <c r="U71" s="254">
        <f>IFERROR(aurora_data!T1171,0)</f>
        <v>0</v>
      </c>
      <c r="V71" s="61" t="s">
        <v>354</v>
      </c>
      <c r="W71" s="113">
        <f>IFERROR(aurora_data!U1571,0)</f>
        <v>0</v>
      </c>
      <c r="X71" s="255">
        <f t="shared" si="28"/>
        <v>0</v>
      </c>
      <c r="Y71" s="2"/>
      <c r="AB71" s="452"/>
      <c r="AC71" s="454"/>
      <c r="AD71" s="35" t="s">
        <v>340</v>
      </c>
      <c r="AE71" s="113">
        <f>IFERROR(aurora_data!D1571,0)+IFERROR(aurora_data!E1571,0)</f>
        <v>0</v>
      </c>
      <c r="AF71" s="253">
        <f>IFERROR(aurora_data!F1571,0)</f>
        <v>0</v>
      </c>
      <c r="AG71" s="253">
        <f>IFERROR(aurora_data!G1571,0)</f>
        <v>0</v>
      </c>
      <c r="AH71" s="253">
        <f>IFERROR(aurora_data!H1571,0)</f>
        <v>0</v>
      </c>
      <c r="AI71" s="343" t="s">
        <v>354</v>
      </c>
      <c r="AJ71" s="253">
        <f>IFERROR(aurora_data!U1571,0)</f>
        <v>0</v>
      </c>
      <c r="AK71" s="255">
        <f t="shared" si="27"/>
        <v>0</v>
      </c>
    </row>
    <row r="72" spans="1:37" customFormat="1">
      <c r="A72" s="2"/>
      <c r="B72" s="561"/>
      <c r="C72" s="454"/>
      <c r="D72" s="35" t="s">
        <v>298</v>
      </c>
      <c r="E72" s="113">
        <f>IFERROR(aurora_data!D1572,0)</f>
        <v>0</v>
      </c>
      <c r="F72" s="253">
        <f>IFERROR(aurora_data!E1572,0)</f>
        <v>0</v>
      </c>
      <c r="G72" s="253">
        <f>IFERROR(aurora_data!F1572,0)</f>
        <v>0</v>
      </c>
      <c r="H72" s="253">
        <f>IFERROR(aurora_data!G1572,0)</f>
        <v>0</v>
      </c>
      <c r="I72" s="254">
        <f>IFERROR(aurora_data!H1572,0)</f>
        <v>0</v>
      </c>
      <c r="J72" s="113">
        <f>IFERROR(aurora_data!I1572,0)</f>
        <v>0</v>
      </c>
      <c r="K72" s="253">
        <f>IFERROR(aurora_data!J1572,0)</f>
        <v>0</v>
      </c>
      <c r="L72" s="253">
        <f>IFERROR(aurora_data!K1572,0)</f>
        <v>0</v>
      </c>
      <c r="M72" s="253">
        <f>IFERROR(aurora_data!L1572,0)</f>
        <v>0</v>
      </c>
      <c r="N72" s="254">
        <f>IFERROR(aurora_data!M1572,0)</f>
        <v>0</v>
      </c>
      <c r="O72" s="113">
        <f>IFERROR(aurora_data!N1572,0)</f>
        <v>0</v>
      </c>
      <c r="P72" s="253">
        <f>IFERROR(aurora_data!O1572,0)</f>
        <v>0</v>
      </c>
      <c r="Q72" s="253">
        <f>IFERROR(aurora_data!P1572,0)</f>
        <v>0</v>
      </c>
      <c r="R72" s="254">
        <f>IFERROR(aurora_data!Q1572,0)</f>
        <v>0</v>
      </c>
      <c r="S72" s="253">
        <f>IFERROR(aurora_data!R1572,0)</f>
        <v>0</v>
      </c>
      <c r="T72" s="253">
        <f>IFERROR(aurora_data!S1572,0)</f>
        <v>0</v>
      </c>
      <c r="U72" s="254">
        <f>IFERROR(aurora_data!T1172,0)</f>
        <v>0</v>
      </c>
      <c r="V72" s="61" t="s">
        <v>354</v>
      </c>
      <c r="W72" s="113">
        <f>IFERROR(aurora_data!U1572,0)</f>
        <v>0</v>
      </c>
      <c r="X72" s="255">
        <f t="shared" si="28"/>
        <v>0</v>
      </c>
      <c r="Y72" s="2"/>
      <c r="AB72" s="452"/>
      <c r="AC72" s="454"/>
      <c r="AD72" s="35" t="s">
        <v>298</v>
      </c>
      <c r="AE72" s="113">
        <f>IFERROR(aurora_data!D1572,0)+IFERROR(aurora_data!E1572,0)</f>
        <v>0</v>
      </c>
      <c r="AF72" s="253">
        <f>IFERROR(aurora_data!F1572,0)</f>
        <v>0</v>
      </c>
      <c r="AG72" s="253">
        <f>IFERROR(aurora_data!G1572,0)</f>
        <v>0</v>
      </c>
      <c r="AH72" s="253">
        <f>IFERROR(aurora_data!H1572,0)</f>
        <v>0</v>
      </c>
      <c r="AI72" s="343" t="s">
        <v>354</v>
      </c>
      <c r="AJ72" s="253">
        <f>IFERROR(aurora_data!U1572,0)</f>
        <v>0</v>
      </c>
      <c r="AK72" s="255">
        <f t="shared" si="27"/>
        <v>0</v>
      </c>
    </row>
    <row r="73" spans="1:37" customFormat="1">
      <c r="A73" s="2"/>
      <c r="B73" s="561"/>
      <c r="C73" s="454"/>
      <c r="D73" s="35" t="s">
        <v>341</v>
      </c>
      <c r="E73" s="113">
        <f>IFERROR(aurora_data!D1573,0)</f>
        <v>0</v>
      </c>
      <c r="F73" s="253">
        <f>IFERROR(aurora_data!E1573,0)</f>
        <v>0</v>
      </c>
      <c r="G73" s="253">
        <f>IFERROR(aurora_data!F1573,0)</f>
        <v>0</v>
      </c>
      <c r="H73" s="253">
        <f>IFERROR(aurora_data!G1573,0)</f>
        <v>0</v>
      </c>
      <c r="I73" s="254">
        <f>IFERROR(aurora_data!H1573,0)</f>
        <v>0</v>
      </c>
      <c r="J73" s="113">
        <f>IFERROR(aurora_data!I1573,0)</f>
        <v>0</v>
      </c>
      <c r="K73" s="253">
        <f>IFERROR(aurora_data!J1573,0)</f>
        <v>0</v>
      </c>
      <c r="L73" s="253">
        <f>IFERROR(aurora_data!K1573,0)</f>
        <v>0</v>
      </c>
      <c r="M73" s="253">
        <f>IFERROR(aurora_data!L1573,0)</f>
        <v>0</v>
      </c>
      <c r="N73" s="254">
        <f>IFERROR(aurora_data!M1573,0)</f>
        <v>0</v>
      </c>
      <c r="O73" s="113">
        <f>IFERROR(aurora_data!N1573,0)</f>
        <v>0</v>
      </c>
      <c r="P73" s="253">
        <f>IFERROR(aurora_data!O1573,0)</f>
        <v>0</v>
      </c>
      <c r="Q73" s="253">
        <f>IFERROR(aurora_data!P1573,0)</f>
        <v>0</v>
      </c>
      <c r="R73" s="254">
        <f>IFERROR(aurora_data!Q1573,0)</f>
        <v>0</v>
      </c>
      <c r="S73" s="253">
        <f>IFERROR(aurora_data!R1573,0)</f>
        <v>0</v>
      </c>
      <c r="T73" s="253">
        <f>IFERROR(aurora_data!S1573,0)</f>
        <v>0</v>
      </c>
      <c r="U73" s="254">
        <f>IFERROR(aurora_data!T1173,0)</f>
        <v>0</v>
      </c>
      <c r="V73" s="61" t="s">
        <v>354</v>
      </c>
      <c r="W73" s="113">
        <f>IFERROR(aurora_data!U1573,0)</f>
        <v>0</v>
      </c>
      <c r="X73" s="255">
        <f t="shared" si="28"/>
        <v>0</v>
      </c>
      <c r="Y73" s="2"/>
      <c r="AB73" s="452"/>
      <c r="AC73" s="454"/>
      <c r="AD73" s="35" t="s">
        <v>341</v>
      </c>
      <c r="AE73" s="113">
        <f>IFERROR(aurora_data!D1573,0)+IFERROR(aurora_data!E1573,0)</f>
        <v>0</v>
      </c>
      <c r="AF73" s="253">
        <f>IFERROR(aurora_data!F1573,0)</f>
        <v>0</v>
      </c>
      <c r="AG73" s="253">
        <f>IFERROR(aurora_data!G1573,0)</f>
        <v>0</v>
      </c>
      <c r="AH73" s="253">
        <f>IFERROR(aurora_data!H1573,0)</f>
        <v>0</v>
      </c>
      <c r="AI73" s="343" t="s">
        <v>354</v>
      </c>
      <c r="AJ73" s="253">
        <f>IFERROR(aurora_data!U1573,0)</f>
        <v>0</v>
      </c>
      <c r="AK73" s="255">
        <f t="shared" si="27"/>
        <v>0</v>
      </c>
    </row>
    <row r="74" spans="1:37" customFormat="1" ht="16.5" thickBot="1">
      <c r="A74" s="2"/>
      <c r="B74" s="561"/>
      <c r="C74" s="454"/>
      <c r="D74" s="35" t="s">
        <v>342</v>
      </c>
      <c r="E74" s="113">
        <f>IFERROR(aurora_data!D1574,0)</f>
        <v>0</v>
      </c>
      <c r="F74" s="253">
        <f>IFERROR(aurora_data!E1574,0)</f>
        <v>0</v>
      </c>
      <c r="G74" s="253">
        <f>IFERROR(aurora_data!F1574,0)</f>
        <v>0</v>
      </c>
      <c r="H74" s="253">
        <f>IFERROR(aurora_data!G1574,0)</f>
        <v>0</v>
      </c>
      <c r="I74" s="254">
        <f>IFERROR(aurora_data!H1574,0)</f>
        <v>0</v>
      </c>
      <c r="J74" s="113">
        <f>IFERROR(aurora_data!I1574,0)</f>
        <v>0</v>
      </c>
      <c r="K74" s="253">
        <f>IFERROR(aurora_data!J1574,0)</f>
        <v>0</v>
      </c>
      <c r="L74" s="253">
        <f>IFERROR(aurora_data!K1574,0)</f>
        <v>0</v>
      </c>
      <c r="M74" s="253">
        <f>IFERROR(aurora_data!L1574,0)</f>
        <v>0</v>
      </c>
      <c r="N74" s="254">
        <f>IFERROR(aurora_data!M1574,0)</f>
        <v>0</v>
      </c>
      <c r="O74" s="113">
        <f>IFERROR(aurora_data!N1574,0)</f>
        <v>0</v>
      </c>
      <c r="P74" s="253">
        <f>IFERROR(aurora_data!O1574,0)</f>
        <v>0</v>
      </c>
      <c r="Q74" s="253">
        <f>IFERROR(aurora_data!P1574,0)</f>
        <v>0</v>
      </c>
      <c r="R74" s="254">
        <f>IFERROR(aurora_data!Q1574,0)</f>
        <v>0</v>
      </c>
      <c r="S74" s="253">
        <f>IFERROR(aurora_data!R1574,0)</f>
        <v>0</v>
      </c>
      <c r="T74" s="253">
        <f>IFERROR(aurora_data!S1574,0)</f>
        <v>0</v>
      </c>
      <c r="U74" s="254">
        <f>IFERROR(aurora_data!T1174,0)</f>
        <v>0</v>
      </c>
      <c r="V74" s="61" t="s">
        <v>354</v>
      </c>
      <c r="W74" s="113">
        <f>IFERROR(aurora_data!U1574,0)</f>
        <v>0</v>
      </c>
      <c r="X74" s="255">
        <f t="shared" si="28"/>
        <v>0</v>
      </c>
      <c r="Y74" s="2"/>
      <c r="AB74" s="452"/>
      <c r="AC74" s="454"/>
      <c r="AD74" s="35" t="s">
        <v>342</v>
      </c>
      <c r="AE74" s="113">
        <f>IFERROR(aurora_data!D1574,0)+IFERROR(aurora_data!E1574,0)</f>
        <v>0</v>
      </c>
      <c r="AF74" s="253">
        <f>IFERROR(aurora_data!F1574,0)</f>
        <v>0</v>
      </c>
      <c r="AG74" s="253">
        <f>IFERROR(aurora_data!G1574,0)</f>
        <v>0</v>
      </c>
      <c r="AH74" s="253">
        <f>IFERROR(aurora_data!H1574,0)</f>
        <v>0</v>
      </c>
      <c r="AI74" s="343" t="s">
        <v>354</v>
      </c>
      <c r="AJ74" s="253">
        <f>IFERROR(aurora_data!U1574,0)</f>
        <v>0</v>
      </c>
      <c r="AK74" s="255">
        <f t="shared" si="27"/>
        <v>0</v>
      </c>
    </row>
    <row r="75" spans="1:37" customFormat="1" ht="16.5" thickBot="1">
      <c r="A75" s="2"/>
      <c r="B75" s="561"/>
      <c r="C75" s="454"/>
      <c r="D75" s="37" t="s">
        <v>17</v>
      </c>
      <c r="E75" s="59">
        <f>IFERROR(aurora_data!D1575,0)</f>
        <v>1</v>
      </c>
      <c r="F75" s="64">
        <f>IFERROR(aurora_data!E1575,0)</f>
        <v>1</v>
      </c>
      <c r="G75" s="64">
        <f>IFERROR(aurora_data!F1575,0)</f>
        <v>5</v>
      </c>
      <c r="H75" s="64">
        <f>IFERROR(aurora_data!G1575,0)</f>
        <v>7</v>
      </c>
      <c r="I75" s="65">
        <f>IFERROR(aurora_data!H1575,0)</f>
        <v>6</v>
      </c>
      <c r="J75" s="59">
        <f>IFERROR(aurora_data!I1575,0)</f>
        <v>1</v>
      </c>
      <c r="K75" s="64">
        <f>IFERROR(aurora_data!J1575,0)</f>
        <v>1</v>
      </c>
      <c r="L75" s="64">
        <f>IFERROR(aurora_data!K1575,0)</f>
        <v>7</v>
      </c>
      <c r="M75" s="64">
        <f>IFERROR(aurora_data!L1575,0)</f>
        <v>2</v>
      </c>
      <c r="N75" s="65">
        <f>IFERROR(aurora_data!M1575,0)</f>
        <v>9</v>
      </c>
      <c r="O75" s="59">
        <f>IFERROR(aurora_data!N1575,0)</f>
        <v>4</v>
      </c>
      <c r="P75" s="64">
        <f>IFERROR(aurora_data!O1575,0)</f>
        <v>7</v>
      </c>
      <c r="Q75" s="64">
        <f>IFERROR(aurora_data!P1575,0)</f>
        <v>6</v>
      </c>
      <c r="R75" s="65">
        <f>IFERROR(aurora_data!Q1575,0)</f>
        <v>3</v>
      </c>
      <c r="S75" s="64">
        <f>IFERROR(aurora_data!R1575,0)</f>
        <v>13</v>
      </c>
      <c r="T75" s="64">
        <f>IFERROR(aurora_data!S1575,0)</f>
        <v>7</v>
      </c>
      <c r="U75" s="65">
        <f>IFERROR(aurora_data!T1175,0)</f>
        <v>0</v>
      </c>
      <c r="V75" s="66" t="s">
        <v>354</v>
      </c>
      <c r="W75" s="59">
        <f>IFERROR(aurora_data!U1575,0)</f>
        <v>20</v>
      </c>
      <c r="X75" s="70">
        <f t="shared" si="28"/>
        <v>1.1111111111111112</v>
      </c>
      <c r="Y75" s="2"/>
      <c r="AB75" s="452"/>
      <c r="AC75" s="454"/>
      <c r="AD75" s="37" t="s">
        <v>17</v>
      </c>
      <c r="AE75" s="59">
        <f>IFERROR(aurora_data!D1575,0)+IFERROR(aurora_data!E1575,0)</f>
        <v>2</v>
      </c>
      <c r="AF75" s="64">
        <f>IFERROR(aurora_data!F1575,0)</f>
        <v>5</v>
      </c>
      <c r="AG75" s="64">
        <f>IFERROR(aurora_data!G1575,0)</f>
        <v>7</v>
      </c>
      <c r="AH75" s="64">
        <f>IFERROR(aurora_data!H1575,0)</f>
        <v>6</v>
      </c>
      <c r="AI75" s="344" t="s">
        <v>354</v>
      </c>
      <c r="AJ75" s="64">
        <f>IFERROR(aurora_data!U1575,0)</f>
        <v>20</v>
      </c>
      <c r="AK75" s="70">
        <f t="shared" si="27"/>
        <v>1.1111111111111112</v>
      </c>
    </row>
    <row r="76" spans="1:37" customFormat="1" ht="16.5" thickBot="1">
      <c r="A76" s="2"/>
      <c r="B76" s="561"/>
      <c r="C76" s="454"/>
      <c r="D76" s="38" t="s">
        <v>343</v>
      </c>
      <c r="E76" s="256">
        <f>IFERROR(aurora_data!D1576,0)</f>
        <v>0</v>
      </c>
      <c r="F76" s="257">
        <f>IFERROR(aurora_data!E1576,0)</f>
        <v>0</v>
      </c>
      <c r="G76" s="257">
        <f>IFERROR(aurora_data!F1576,0)</f>
        <v>0</v>
      </c>
      <c r="H76" s="257">
        <f>IFERROR(aurora_data!G1576,0)</f>
        <v>0</v>
      </c>
      <c r="I76" s="258">
        <f>IFERROR(aurora_data!H1576,0)</f>
        <v>0</v>
      </c>
      <c r="J76" s="256">
        <f>IFERROR(aurora_data!I1576,0)</f>
        <v>0</v>
      </c>
      <c r="K76" s="257">
        <f>IFERROR(aurora_data!J1576,0)</f>
        <v>0</v>
      </c>
      <c r="L76" s="257">
        <f>IFERROR(aurora_data!K1576,0)</f>
        <v>0</v>
      </c>
      <c r="M76" s="257">
        <f>IFERROR(aurora_data!L1576,0)</f>
        <v>0</v>
      </c>
      <c r="N76" s="258">
        <f>IFERROR(aurora_data!M1576,0)</f>
        <v>0</v>
      </c>
      <c r="O76" s="256">
        <f>IFERROR(aurora_data!N1576,0)</f>
        <v>0</v>
      </c>
      <c r="P76" s="257">
        <f>IFERROR(aurora_data!O1576,0)</f>
        <v>0</v>
      </c>
      <c r="Q76" s="257">
        <f>IFERROR(aurora_data!P1576,0)</f>
        <v>0</v>
      </c>
      <c r="R76" s="258">
        <f>IFERROR(aurora_data!Q1576,0)</f>
        <v>0</v>
      </c>
      <c r="S76" s="257">
        <f>IFERROR(aurora_data!R1576,0)</f>
        <v>0</v>
      </c>
      <c r="T76" s="257">
        <f>IFERROR(aurora_data!S1576,0)</f>
        <v>0</v>
      </c>
      <c r="U76" s="259">
        <f>IFERROR(aurora_data!T1176,0)</f>
        <v>0</v>
      </c>
      <c r="V76" s="260" t="s">
        <v>354</v>
      </c>
      <c r="W76" s="256">
        <f>IFERROR(aurora_data!U1576,0)</f>
        <v>0</v>
      </c>
      <c r="X76" s="261">
        <f t="shared" si="28"/>
        <v>0</v>
      </c>
      <c r="Y76" s="2"/>
      <c r="AB76" s="452"/>
      <c r="AC76" s="454"/>
      <c r="AD76" s="38" t="s">
        <v>343</v>
      </c>
      <c r="AE76" s="256">
        <f>IFERROR(aurora_data!D1576,0)+IFERROR(aurora_data!E1576,0)</f>
        <v>0</v>
      </c>
      <c r="AF76" s="257">
        <f>IFERROR(aurora_data!F1576,0)</f>
        <v>0</v>
      </c>
      <c r="AG76" s="257">
        <f>IFERROR(aurora_data!G1576,0)</f>
        <v>0</v>
      </c>
      <c r="AH76" s="257">
        <f>IFERROR(aurora_data!H1576,0)</f>
        <v>0</v>
      </c>
      <c r="AI76" s="343" t="s">
        <v>354</v>
      </c>
      <c r="AJ76" s="257">
        <f>IFERROR(aurora_data!U1576,0)</f>
        <v>0</v>
      </c>
      <c r="AK76" s="261">
        <f t="shared" si="27"/>
        <v>0</v>
      </c>
    </row>
    <row r="77" spans="1:37" customFormat="1" ht="16.5" outlineLevel="1" thickBot="1">
      <c r="A77" s="2"/>
      <c r="B77" s="147"/>
      <c r="C77" s="227"/>
      <c r="D77" s="199" t="s">
        <v>344</v>
      </c>
      <c r="E77" s="276">
        <f>((E79+$E$9)*($W68))</f>
        <v>0.91000000000000014</v>
      </c>
      <c r="F77" s="277">
        <f>(F79+$E$9)*($W68)</f>
        <v>1.4</v>
      </c>
      <c r="G77" s="277">
        <f>(G79+$E$9)*($W68)</f>
        <v>3.98</v>
      </c>
      <c r="H77" s="277">
        <f>(H79+$E$9)*($W68)</f>
        <v>6.12</v>
      </c>
      <c r="I77" s="277">
        <f>(I79+$E$9)*($W68)</f>
        <v>7.3900000000000006</v>
      </c>
      <c r="J77" s="294">
        <f>IFERROR(aurora_data!I1577,0)</f>
        <v>1</v>
      </c>
      <c r="K77" s="295">
        <f>IFERROR(aurora_data!J1577,0)</f>
        <v>1</v>
      </c>
      <c r="L77" s="295">
        <f>IFERROR(aurora_data!K1577,0)</f>
        <v>1</v>
      </c>
      <c r="M77" s="295">
        <f>IFERROR(aurora_data!L1577,0)</f>
        <v>1</v>
      </c>
      <c r="N77" s="296">
        <f>IFERROR(aurora_data!M1577,0)</f>
        <v>1</v>
      </c>
      <c r="O77" s="294">
        <f>IFERROR(aurora_data!N1577,0)</f>
        <v>1</v>
      </c>
      <c r="P77" s="295">
        <f>IFERROR(aurora_data!O1577,0)</f>
        <v>1</v>
      </c>
      <c r="Q77" s="295">
        <f>IFERROR(aurora_data!P1577,0)</f>
        <v>1</v>
      </c>
      <c r="R77" s="296">
        <f>IFERROR(aurora_data!Q1577,0)</f>
        <v>1</v>
      </c>
      <c r="S77" s="295">
        <f>IFERROR(aurora_data!R1577,0)</f>
        <v>1</v>
      </c>
      <c r="T77" s="295">
        <f>IFERROR(aurora_data!S1577,0)</f>
        <v>1</v>
      </c>
      <c r="U77" s="297">
        <f>IFERROR(aurora_data!T1177,0)</f>
        <v>0</v>
      </c>
      <c r="V77" s="298" t="s">
        <v>354</v>
      </c>
      <c r="W77" s="294">
        <f>IFERROR(aurora_data!U1577,0)</f>
        <v>18</v>
      </c>
      <c r="X77" s="299"/>
      <c r="Y77" s="2"/>
      <c r="AB77" s="147"/>
      <c r="AC77" s="227"/>
      <c r="AD77" s="199" t="s">
        <v>344</v>
      </c>
      <c r="AE77" s="294"/>
      <c r="AF77" s="295"/>
      <c r="AG77" s="295"/>
      <c r="AH77" s="295"/>
      <c r="AI77" s="343" t="s">
        <v>354</v>
      </c>
      <c r="AJ77" s="295"/>
      <c r="AK77" s="299"/>
    </row>
    <row r="78" spans="1:37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0.93000000000000016</v>
      </c>
      <c r="G78" s="277">
        <f t="shared" ref="G78:I78" si="29">IF(ROUND(((G79-$E$9)*($W68))+0.25,0) &lt;=0,1,((G79-$E$9)*($W68))+0.25)</f>
        <v>3.5100000000000007</v>
      </c>
      <c r="H78" s="277">
        <f t="shared" si="29"/>
        <v>5.6499999999999995</v>
      </c>
      <c r="I78" s="277">
        <f t="shared" si="29"/>
        <v>6.92</v>
      </c>
      <c r="J78" s="294">
        <f>IFERROR(aurora_data!I1578,0)</f>
        <v>3</v>
      </c>
      <c r="K78" s="295">
        <f>IFERROR(aurora_data!J1578,0)</f>
        <v>3</v>
      </c>
      <c r="L78" s="295">
        <f>IFERROR(aurora_data!K1578,0)</f>
        <v>3</v>
      </c>
      <c r="M78" s="295">
        <f>IFERROR(aurora_data!L1578,0)</f>
        <v>0</v>
      </c>
      <c r="N78" s="296">
        <f>IFERROR(aurora_data!M1578,0)</f>
        <v>8</v>
      </c>
      <c r="O78" s="294">
        <f>IFERROR(aurora_data!N1578,0)</f>
        <v>8</v>
      </c>
      <c r="P78" s="295">
        <f>IFERROR(aurora_data!O1578,0)</f>
        <v>3</v>
      </c>
      <c r="Q78" s="295">
        <f>IFERROR(aurora_data!P1578,0)</f>
        <v>1</v>
      </c>
      <c r="R78" s="296">
        <f>IFERROR(aurora_data!Q1578,0)</f>
        <v>5</v>
      </c>
      <c r="S78" s="295">
        <f>IFERROR(aurora_data!R1578,0)</f>
        <v>12</v>
      </c>
      <c r="T78" s="295">
        <f>IFERROR(aurora_data!S1578,0)</f>
        <v>5</v>
      </c>
      <c r="U78" s="297">
        <f>IFERROR(aurora_data!T1178,0)</f>
        <v>0</v>
      </c>
      <c r="V78" s="298" t="s">
        <v>354</v>
      </c>
      <c r="W78" s="294">
        <f>IFERROR(aurora_data!U1578,0)</f>
        <v>17</v>
      </c>
      <c r="X78" s="299"/>
      <c r="Y78" s="2"/>
      <c r="AB78" s="147"/>
      <c r="AC78" s="227"/>
      <c r="AD78" s="199" t="s">
        <v>345</v>
      </c>
      <c r="AE78" s="294"/>
      <c r="AF78" s="295"/>
      <c r="AG78" s="295"/>
      <c r="AH78" s="295"/>
      <c r="AI78" s="343" t="s">
        <v>354</v>
      </c>
      <c r="AJ78" s="295"/>
      <c r="AK78" s="299"/>
    </row>
    <row r="79" spans="1:37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3.0555555555555558E-2</v>
      </c>
      <c r="F79" s="415">
        <f t="shared" ref="F79" si="30">IFERROR(F68/$W68,0)</f>
        <v>5.7777777777777782E-2</v>
      </c>
      <c r="G79" s="415">
        <f>IFERROR(G68/$W68,0)</f>
        <v>0.20111111111111113</v>
      </c>
      <c r="H79" s="415">
        <f t="shared" ref="H79" si="31">IFERROR(H68/$W68,0)</f>
        <v>0.32</v>
      </c>
      <c r="I79" s="415">
        <f>IFERROR(I68/$W68,0)</f>
        <v>0.39055555555555554</v>
      </c>
      <c r="J79" s="294">
        <f>IFERROR(aurora_data!I1579,0)</f>
        <v>0</v>
      </c>
      <c r="K79" s="295">
        <f>IFERROR(aurora_data!J1579,0)</f>
        <v>0</v>
      </c>
      <c r="L79" s="295">
        <f>IFERROR(aurora_data!K1579,0)</f>
        <v>0</v>
      </c>
      <c r="M79" s="295">
        <f>IFERROR(aurora_data!L1579,0)</f>
        <v>0</v>
      </c>
      <c r="N79" s="296">
        <f>IFERROR(aurora_data!M1579,0)</f>
        <v>1</v>
      </c>
      <c r="O79" s="294">
        <f>IFERROR(aurora_data!N1579,0)</f>
        <v>1</v>
      </c>
      <c r="P79" s="295">
        <f>IFERROR(aurora_data!O1579,0)</f>
        <v>0</v>
      </c>
      <c r="Q79" s="295">
        <f>IFERROR(aurora_data!P1579,0)</f>
        <v>0</v>
      </c>
      <c r="R79" s="296">
        <f>IFERROR(aurora_data!Q1579,0)</f>
        <v>0</v>
      </c>
      <c r="S79" s="295">
        <f>IFERROR(aurora_data!R1579,0)</f>
        <v>1</v>
      </c>
      <c r="T79" s="295">
        <f>IFERROR(aurora_data!S1579,0)</f>
        <v>0</v>
      </c>
      <c r="U79" s="297">
        <f>IFERROR(aurora_data!T1179,0)</f>
        <v>0</v>
      </c>
      <c r="V79" s="298" t="s">
        <v>354</v>
      </c>
      <c r="W79" s="294">
        <f>IFERROR(aurora_data!U1579,0)</f>
        <v>1</v>
      </c>
      <c r="X79" s="299"/>
      <c r="Y79" s="2"/>
      <c r="AB79" s="147"/>
      <c r="AC79" s="227"/>
      <c r="AD79" s="95" t="s">
        <v>346</v>
      </c>
      <c r="AE79" s="294"/>
      <c r="AF79" s="295"/>
      <c r="AG79" s="295"/>
      <c r="AH79" s="295"/>
      <c r="AI79" s="343" t="s">
        <v>354</v>
      </c>
      <c r="AJ79" s="295"/>
      <c r="AK79" s="299"/>
    </row>
    <row r="80" spans="1:37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5.5555555555555552E-2</v>
      </c>
      <c r="F80" s="415">
        <f t="shared" ref="F80:H80" si="32">IFERROR(F69/$W68,0)</f>
        <v>5.5555555555555552E-2</v>
      </c>
      <c r="G80" s="415">
        <f t="shared" si="32"/>
        <v>0.22222222222222221</v>
      </c>
      <c r="H80" s="415">
        <f t="shared" si="32"/>
        <v>0.33333333333333331</v>
      </c>
      <c r="I80" s="415">
        <f>IFERROR(I69/$W68,0)</f>
        <v>0.33333333333333331</v>
      </c>
      <c r="J80" s="294">
        <f>IFERROR(aurora_data!I1580,0)</f>
        <v>0</v>
      </c>
      <c r="K80" s="295">
        <f>IFERROR(aurora_data!J1580,0)</f>
        <v>0</v>
      </c>
      <c r="L80" s="295">
        <f>IFERROR(aurora_data!K1580,0)</f>
        <v>0</v>
      </c>
      <c r="M80" s="295">
        <f>IFERROR(aurora_data!L1580,0)</f>
        <v>0</v>
      </c>
      <c r="N80" s="296">
        <f>IFERROR(aurora_data!M1580,0)</f>
        <v>0</v>
      </c>
      <c r="O80" s="294">
        <f>IFERROR(aurora_data!N1580,0)</f>
        <v>0</v>
      </c>
      <c r="P80" s="295">
        <f>IFERROR(aurora_data!O1580,0)</f>
        <v>0</v>
      </c>
      <c r="Q80" s="295">
        <f>IFERROR(aurora_data!P1580,0)</f>
        <v>0</v>
      </c>
      <c r="R80" s="296">
        <f>IFERROR(aurora_data!Q1580,0)</f>
        <v>0</v>
      </c>
      <c r="S80" s="295">
        <f>IFERROR(aurora_data!R1580,0)</f>
        <v>0</v>
      </c>
      <c r="T80" s="295">
        <f>IFERROR(aurora_data!S1580,0)</f>
        <v>0</v>
      </c>
      <c r="U80" s="297">
        <f>IFERROR(aurora_data!T1180,0)</f>
        <v>0</v>
      </c>
      <c r="V80" s="298" t="s">
        <v>354</v>
      </c>
      <c r="W80" s="294">
        <f>IFERROR(aurora_data!U1580,0)</f>
        <v>0</v>
      </c>
      <c r="X80" s="299"/>
      <c r="Y80" s="2"/>
      <c r="AB80" s="147"/>
      <c r="AC80" s="227"/>
      <c r="AD80" s="180" t="s">
        <v>347</v>
      </c>
      <c r="AE80" s="294"/>
      <c r="AF80" s="295"/>
      <c r="AG80" s="295"/>
      <c r="AH80" s="295"/>
      <c r="AI80" s="343" t="s">
        <v>354</v>
      </c>
      <c r="AJ80" s="295"/>
      <c r="AK80" s="299"/>
    </row>
    <row r="81" spans="1:37" customFormat="1" ht="16.5" hidden="1" outlineLevel="1" thickBot="1">
      <c r="A81" s="2"/>
      <c r="B81" s="147"/>
      <c r="C81" s="227"/>
      <c r="D81" s="180" t="s">
        <v>348</v>
      </c>
      <c r="E81" s="414">
        <f>E80-E79</f>
        <v>2.4999999999999994E-2</v>
      </c>
      <c r="F81" s="415">
        <f t="shared" ref="F81:I81" si="33">F80-F79</f>
        <v>-2.2222222222222296E-3</v>
      </c>
      <c r="G81" s="415">
        <f t="shared" si="33"/>
        <v>2.1111111111111081E-2</v>
      </c>
      <c r="H81" s="415">
        <f t="shared" si="33"/>
        <v>1.3333333333333308E-2</v>
      </c>
      <c r="I81" s="415">
        <f t="shared" si="33"/>
        <v>-5.722222222222223E-2</v>
      </c>
      <c r="J81" s="294">
        <f>IFERROR(aurora_data!I1581,0)</f>
        <v>0</v>
      </c>
      <c r="K81" s="295">
        <f>IFERROR(aurora_data!J1581,0)</f>
        <v>0</v>
      </c>
      <c r="L81" s="295">
        <f>IFERROR(aurora_data!K1581,0)</f>
        <v>0</v>
      </c>
      <c r="M81" s="295">
        <f>IFERROR(aurora_data!L1581,0)</f>
        <v>0</v>
      </c>
      <c r="N81" s="296">
        <f>IFERROR(aurora_data!M1581,0)</f>
        <v>0</v>
      </c>
      <c r="O81" s="294">
        <f>IFERROR(aurora_data!N1581,0)</f>
        <v>0</v>
      </c>
      <c r="P81" s="295">
        <f>IFERROR(aurora_data!O1581,0)</f>
        <v>0</v>
      </c>
      <c r="Q81" s="295">
        <f>IFERROR(aurora_data!P1581,0)</f>
        <v>0</v>
      </c>
      <c r="R81" s="296">
        <f>IFERROR(aurora_data!Q1581,0)</f>
        <v>0</v>
      </c>
      <c r="S81" s="295">
        <f>IFERROR(aurora_data!R1581,0)</f>
        <v>0</v>
      </c>
      <c r="T81" s="295">
        <f>IFERROR(aurora_data!S1581,0)</f>
        <v>0</v>
      </c>
      <c r="U81" s="297">
        <f>IFERROR(aurora_data!T1181,0)</f>
        <v>0</v>
      </c>
      <c r="V81" s="298" t="s">
        <v>354</v>
      </c>
      <c r="W81" s="294">
        <f>IFERROR(aurora_data!U1581,0)</f>
        <v>0</v>
      </c>
      <c r="X81" s="299"/>
      <c r="Y81" s="2"/>
      <c r="AB81" s="147"/>
      <c r="AC81" s="227"/>
      <c r="AD81" s="180" t="s">
        <v>348</v>
      </c>
      <c r="AE81" s="294"/>
      <c r="AF81" s="295"/>
      <c r="AG81" s="295"/>
      <c r="AH81" s="295"/>
      <c r="AI81" s="343" t="s">
        <v>354</v>
      </c>
      <c r="AJ81" s="295"/>
      <c r="AK81" s="299"/>
    </row>
    <row r="82" spans="1:37" customFormat="1">
      <c r="A82" s="2"/>
      <c r="B82" s="451" t="s">
        <v>338</v>
      </c>
      <c r="C82" s="453" t="str">
        <f>aurora_data!A1577</f>
        <v>11.00.00-11.11.30</v>
      </c>
      <c r="D82" s="34" t="s">
        <v>306</v>
      </c>
      <c r="E82" s="39">
        <f>IFERROR(aurora_data!D1577,0)</f>
        <v>0.61</v>
      </c>
      <c r="F82" s="40">
        <f>IFERROR(aurora_data!E1577,0)</f>
        <v>1.04</v>
      </c>
      <c r="G82" s="40">
        <f>IFERROR(aurora_data!F1577,0)</f>
        <v>3.56</v>
      </c>
      <c r="H82" s="40">
        <f>IFERROR(aurora_data!G1577,0)</f>
        <v>5.75</v>
      </c>
      <c r="I82" s="41">
        <f>IFERROR(aurora_data!H1577,0)</f>
        <v>7.04</v>
      </c>
      <c r="J82" s="39">
        <f>IFERROR(aurora_data!I1577,0)</f>
        <v>1</v>
      </c>
      <c r="K82" s="40">
        <f>IFERROR(aurora_data!J1577,0)</f>
        <v>1</v>
      </c>
      <c r="L82" s="40">
        <f>IFERROR(aurora_data!K1577,0)</f>
        <v>1</v>
      </c>
      <c r="M82" s="40">
        <f>IFERROR(aurora_data!L1577,0)</f>
        <v>1</v>
      </c>
      <c r="N82" s="41">
        <f>IFERROR(aurora_data!M1577,0)</f>
        <v>1</v>
      </c>
      <c r="O82" s="39">
        <f>IFERROR(aurora_data!N1577,0)</f>
        <v>1</v>
      </c>
      <c r="P82" s="40">
        <f>IFERROR(aurora_data!O1577,0)</f>
        <v>1</v>
      </c>
      <c r="Q82" s="40">
        <f>IFERROR(aurora_data!P1577,0)</f>
        <v>1</v>
      </c>
      <c r="R82" s="41">
        <f>IFERROR(aurora_data!Q1577,0)</f>
        <v>1</v>
      </c>
      <c r="S82" s="40">
        <f>IFERROR(aurora_data!R1577,0)</f>
        <v>1</v>
      </c>
      <c r="T82" s="40">
        <f>IFERROR(aurora_data!S1577,0)</f>
        <v>1</v>
      </c>
      <c r="U82" s="41">
        <f>IFERROR(aurora_data!T1177,0)</f>
        <v>0</v>
      </c>
      <c r="V82" s="61" t="s">
        <v>354</v>
      </c>
      <c r="W82" s="39">
        <f>IFERROR(aurora_data!U1577,0)</f>
        <v>18</v>
      </c>
      <c r="X82" s="69">
        <f>IFERROR(W82/$W$82,0)</f>
        <v>1</v>
      </c>
      <c r="Y82" s="2"/>
      <c r="AB82" s="451" t="s">
        <v>338</v>
      </c>
      <c r="AC82" s="453" t="str">
        <f>aurora_data!A1577</f>
        <v>11.00.00-11.11.30</v>
      </c>
      <c r="AD82" s="34" t="s">
        <v>306</v>
      </c>
      <c r="AE82" s="338">
        <v>2</v>
      </c>
      <c r="AF82" s="40">
        <v>4</v>
      </c>
      <c r="AG82" s="40">
        <v>6</v>
      </c>
      <c r="AH82" s="337">
        <v>6</v>
      </c>
      <c r="AI82" s="343" t="s">
        <v>354</v>
      </c>
      <c r="AJ82" s="40">
        <f>IFERROR(aurora_data!U1577,0)</f>
        <v>18</v>
      </c>
      <c r="AK82" s="69">
        <f t="shared" ref="AK82:AK90" si="34">IFERROR(AJ82/$AJ$82,0)</f>
        <v>1</v>
      </c>
    </row>
    <row r="83" spans="1:37" customFormat="1">
      <c r="A83" s="2"/>
      <c r="B83" s="452"/>
      <c r="C83" s="454"/>
      <c r="D83" s="35" t="s">
        <v>339</v>
      </c>
      <c r="E83" s="113">
        <f>IFERROR(aurora_data!D1578,0)</f>
        <v>1</v>
      </c>
      <c r="F83" s="253">
        <f>IFERROR(aurora_data!E1578,0)</f>
        <v>0</v>
      </c>
      <c r="G83" s="253">
        <f>IFERROR(aurora_data!F1578,0)</f>
        <v>4</v>
      </c>
      <c r="H83" s="253">
        <f>IFERROR(aurora_data!G1578,0)</f>
        <v>6</v>
      </c>
      <c r="I83" s="254">
        <f>IFERROR(aurora_data!H1578,0)</f>
        <v>6</v>
      </c>
      <c r="J83" s="113">
        <f>IFERROR(aurora_data!I1578,0)</f>
        <v>3</v>
      </c>
      <c r="K83" s="253">
        <f>IFERROR(aurora_data!J1578,0)</f>
        <v>3</v>
      </c>
      <c r="L83" s="253">
        <f>IFERROR(aurora_data!K1578,0)</f>
        <v>3</v>
      </c>
      <c r="M83" s="253">
        <f>IFERROR(aurora_data!L1578,0)</f>
        <v>0</v>
      </c>
      <c r="N83" s="254">
        <f>IFERROR(aurora_data!M1578,0)</f>
        <v>8</v>
      </c>
      <c r="O83" s="113">
        <f>IFERROR(aurora_data!N1578,0)</f>
        <v>8</v>
      </c>
      <c r="P83" s="253">
        <f>IFERROR(aurora_data!O1578,0)</f>
        <v>3</v>
      </c>
      <c r="Q83" s="253">
        <f>IFERROR(aurora_data!P1578,0)</f>
        <v>1</v>
      </c>
      <c r="R83" s="254">
        <f>IFERROR(aurora_data!Q1578,0)</f>
        <v>5</v>
      </c>
      <c r="S83" s="253">
        <f>IFERROR(aurora_data!R1578,0)</f>
        <v>12</v>
      </c>
      <c r="T83" s="253">
        <f>IFERROR(aurora_data!S1578,0)</f>
        <v>5</v>
      </c>
      <c r="U83" s="254">
        <f>IFERROR(aurora_data!T1178,0)</f>
        <v>0</v>
      </c>
      <c r="V83" s="61" t="s">
        <v>354</v>
      </c>
      <c r="W83" s="113">
        <f>IFERROR(aurora_data!U1578,0)</f>
        <v>17</v>
      </c>
      <c r="X83" s="255">
        <f t="shared" ref="X83:X90" si="35">IFERROR(W83/$W$82,0)</f>
        <v>0.94444444444444442</v>
      </c>
      <c r="Y83" s="2"/>
      <c r="AB83" s="452"/>
      <c r="AC83" s="454"/>
      <c r="AD83" s="35" t="s">
        <v>339</v>
      </c>
      <c r="AE83" s="113">
        <f>IFERROR(aurora_data!D1578,0)+IFERROR(aurora_data!E1578,0)</f>
        <v>1</v>
      </c>
      <c r="AF83" s="253">
        <f>IFERROR(aurora_data!F1578,0)</f>
        <v>4</v>
      </c>
      <c r="AG83" s="253">
        <f>IFERROR(aurora_data!G1578,0)</f>
        <v>6</v>
      </c>
      <c r="AH83" s="253">
        <f>IFERROR(aurora_data!H1578,0)</f>
        <v>6</v>
      </c>
      <c r="AI83" s="343" t="s">
        <v>354</v>
      </c>
      <c r="AJ83" s="253">
        <f>IFERROR(aurora_data!U1578,0)</f>
        <v>17</v>
      </c>
      <c r="AK83" s="255">
        <f t="shared" si="34"/>
        <v>0.94444444444444442</v>
      </c>
    </row>
    <row r="84" spans="1:37" customFormat="1">
      <c r="A84" s="2"/>
      <c r="B84" s="452"/>
      <c r="C84" s="454"/>
      <c r="D84" s="35" t="s">
        <v>291</v>
      </c>
      <c r="E84" s="113">
        <f>IFERROR(aurora_data!D1579,0)</f>
        <v>0</v>
      </c>
      <c r="F84" s="253">
        <f>IFERROR(aurora_data!E1579,0)</f>
        <v>0</v>
      </c>
      <c r="G84" s="253">
        <f>IFERROR(aurora_data!F1579,0)</f>
        <v>0</v>
      </c>
      <c r="H84" s="253">
        <f>IFERROR(aurora_data!G1579,0)</f>
        <v>1</v>
      </c>
      <c r="I84" s="254">
        <f>IFERROR(aurora_data!H1579,0)</f>
        <v>0</v>
      </c>
      <c r="J84" s="113">
        <f>IFERROR(aurora_data!I1579,0)</f>
        <v>0</v>
      </c>
      <c r="K84" s="253">
        <f>IFERROR(aurora_data!J1579,0)</f>
        <v>0</v>
      </c>
      <c r="L84" s="253">
        <f>IFERROR(aurora_data!K1579,0)</f>
        <v>0</v>
      </c>
      <c r="M84" s="253">
        <f>IFERROR(aurora_data!L1579,0)</f>
        <v>0</v>
      </c>
      <c r="N84" s="254">
        <f>IFERROR(aurora_data!M1579,0)</f>
        <v>1</v>
      </c>
      <c r="O84" s="113">
        <f>IFERROR(aurora_data!N1579,0)</f>
        <v>1</v>
      </c>
      <c r="P84" s="253">
        <f>IFERROR(aurora_data!O1579,0)</f>
        <v>0</v>
      </c>
      <c r="Q84" s="253">
        <f>IFERROR(aurora_data!P1579,0)</f>
        <v>0</v>
      </c>
      <c r="R84" s="254">
        <f>IFERROR(aurora_data!Q1579,0)</f>
        <v>0</v>
      </c>
      <c r="S84" s="253">
        <f>IFERROR(aurora_data!R1579,0)</f>
        <v>1</v>
      </c>
      <c r="T84" s="253">
        <f>IFERROR(aurora_data!S1579,0)</f>
        <v>0</v>
      </c>
      <c r="U84" s="254">
        <f>IFERROR(aurora_data!T1179,0)</f>
        <v>0</v>
      </c>
      <c r="V84" s="61" t="s">
        <v>354</v>
      </c>
      <c r="W84" s="113">
        <f>IFERROR(aurora_data!U1579,0)</f>
        <v>1</v>
      </c>
      <c r="X84" s="255">
        <f t="shared" si="35"/>
        <v>5.5555555555555552E-2</v>
      </c>
      <c r="Y84" s="2"/>
      <c r="AB84" s="452"/>
      <c r="AC84" s="454"/>
      <c r="AD84" s="35" t="s">
        <v>291</v>
      </c>
      <c r="AE84" s="113">
        <f>IFERROR(aurora_data!D1579,0)+IFERROR(aurora_data!E1579,0)</f>
        <v>0</v>
      </c>
      <c r="AF84" s="253">
        <f>IFERROR(aurora_data!F1579,0)</f>
        <v>0</v>
      </c>
      <c r="AG84" s="253">
        <f>IFERROR(aurora_data!G1579,0)</f>
        <v>1</v>
      </c>
      <c r="AH84" s="253">
        <f>IFERROR(aurora_data!H1579,0)</f>
        <v>0</v>
      </c>
      <c r="AI84" s="343" t="s">
        <v>354</v>
      </c>
      <c r="AJ84" s="253">
        <f>IFERROR(aurora_data!U1579,0)</f>
        <v>1</v>
      </c>
      <c r="AK84" s="255">
        <f t="shared" si="34"/>
        <v>5.5555555555555552E-2</v>
      </c>
    </row>
    <row r="85" spans="1:37" customFormat="1">
      <c r="A85" s="2"/>
      <c r="B85" s="452"/>
      <c r="C85" s="454"/>
      <c r="D85" s="35" t="s">
        <v>340</v>
      </c>
      <c r="E85" s="113">
        <f>IFERROR(aurora_data!D1580,0)</f>
        <v>0</v>
      </c>
      <c r="F85" s="253">
        <f>IFERROR(aurora_data!E1580,0)</f>
        <v>0</v>
      </c>
      <c r="G85" s="253">
        <f>IFERROR(aurora_data!F1580,0)</f>
        <v>0</v>
      </c>
      <c r="H85" s="253">
        <f>IFERROR(aurora_data!G1580,0)</f>
        <v>0</v>
      </c>
      <c r="I85" s="254">
        <f>IFERROR(aurora_data!H1580,0)</f>
        <v>0</v>
      </c>
      <c r="J85" s="113">
        <f>IFERROR(aurora_data!I1580,0)</f>
        <v>0</v>
      </c>
      <c r="K85" s="253">
        <f>IFERROR(aurora_data!J1580,0)</f>
        <v>0</v>
      </c>
      <c r="L85" s="253">
        <f>IFERROR(aurora_data!K1580,0)</f>
        <v>0</v>
      </c>
      <c r="M85" s="253">
        <f>IFERROR(aurora_data!L1580,0)</f>
        <v>0</v>
      </c>
      <c r="N85" s="254">
        <f>IFERROR(aurora_data!M1580,0)</f>
        <v>0</v>
      </c>
      <c r="O85" s="113">
        <f>IFERROR(aurora_data!N1580,0)</f>
        <v>0</v>
      </c>
      <c r="P85" s="253">
        <f>IFERROR(aurora_data!O1580,0)</f>
        <v>0</v>
      </c>
      <c r="Q85" s="253">
        <f>IFERROR(aurora_data!P1580,0)</f>
        <v>0</v>
      </c>
      <c r="R85" s="254">
        <f>IFERROR(aurora_data!Q1580,0)</f>
        <v>0</v>
      </c>
      <c r="S85" s="253">
        <f>IFERROR(aurora_data!R1580,0)</f>
        <v>0</v>
      </c>
      <c r="T85" s="253">
        <f>IFERROR(aurora_data!S1580,0)</f>
        <v>0</v>
      </c>
      <c r="U85" s="254">
        <f>IFERROR(aurora_data!T1180,0)</f>
        <v>0</v>
      </c>
      <c r="V85" s="61" t="s">
        <v>354</v>
      </c>
      <c r="W85" s="113">
        <f>IFERROR(aurora_data!U1580,0)</f>
        <v>0</v>
      </c>
      <c r="X85" s="255">
        <f t="shared" si="35"/>
        <v>0</v>
      </c>
      <c r="Y85" s="2"/>
      <c r="AB85" s="452"/>
      <c r="AC85" s="454"/>
      <c r="AD85" s="35" t="s">
        <v>340</v>
      </c>
      <c r="AE85" s="113">
        <f>IFERROR(aurora_data!D1580,0)+IFERROR(aurora_data!E1580,0)</f>
        <v>0</v>
      </c>
      <c r="AF85" s="253">
        <f>IFERROR(aurora_data!F1580,0)</f>
        <v>0</v>
      </c>
      <c r="AG85" s="253">
        <f>IFERROR(aurora_data!G1580,0)</f>
        <v>0</v>
      </c>
      <c r="AH85" s="253">
        <f>IFERROR(aurora_data!H1580,0)</f>
        <v>0</v>
      </c>
      <c r="AI85" s="343" t="s">
        <v>354</v>
      </c>
      <c r="AJ85" s="253">
        <f>IFERROR(aurora_data!U1580,0)</f>
        <v>0</v>
      </c>
      <c r="AK85" s="255">
        <f t="shared" si="34"/>
        <v>0</v>
      </c>
    </row>
    <row r="86" spans="1:37" customFormat="1">
      <c r="A86" s="2"/>
      <c r="B86" s="452"/>
      <c r="C86" s="454"/>
      <c r="D86" s="35" t="s">
        <v>298</v>
      </c>
      <c r="E86" s="113">
        <f>IFERROR(aurora_data!D1581,0)</f>
        <v>0</v>
      </c>
      <c r="F86" s="253">
        <f>IFERROR(aurora_data!E1581,0)</f>
        <v>0</v>
      </c>
      <c r="G86" s="253">
        <f>IFERROR(aurora_data!F1581,0)</f>
        <v>0</v>
      </c>
      <c r="H86" s="253">
        <f>IFERROR(aurora_data!G1581,0)</f>
        <v>0</v>
      </c>
      <c r="I86" s="254">
        <f>IFERROR(aurora_data!H1581,0)</f>
        <v>0</v>
      </c>
      <c r="J86" s="113">
        <f>IFERROR(aurora_data!I1581,0)</f>
        <v>0</v>
      </c>
      <c r="K86" s="253">
        <f>IFERROR(aurora_data!J1581,0)</f>
        <v>0</v>
      </c>
      <c r="L86" s="253">
        <f>IFERROR(aurora_data!K1581,0)</f>
        <v>0</v>
      </c>
      <c r="M86" s="253">
        <f>IFERROR(aurora_data!L1581,0)</f>
        <v>0</v>
      </c>
      <c r="N86" s="254">
        <f>IFERROR(aurora_data!M1581,0)</f>
        <v>0</v>
      </c>
      <c r="O86" s="113">
        <f>IFERROR(aurora_data!N1581,0)</f>
        <v>0</v>
      </c>
      <c r="P86" s="253">
        <f>IFERROR(aurora_data!O1581,0)</f>
        <v>0</v>
      </c>
      <c r="Q86" s="253">
        <f>IFERROR(aurora_data!P1581,0)</f>
        <v>0</v>
      </c>
      <c r="R86" s="254">
        <f>IFERROR(aurora_data!Q1581,0)</f>
        <v>0</v>
      </c>
      <c r="S86" s="253">
        <f>IFERROR(aurora_data!R1581,0)</f>
        <v>0</v>
      </c>
      <c r="T86" s="253">
        <f>IFERROR(aurora_data!S1581,0)</f>
        <v>0</v>
      </c>
      <c r="U86" s="254">
        <f>IFERROR(aurora_data!T1181,0)</f>
        <v>0</v>
      </c>
      <c r="V86" s="61" t="s">
        <v>354</v>
      </c>
      <c r="W86" s="113">
        <f>IFERROR(aurora_data!U1581,0)</f>
        <v>0</v>
      </c>
      <c r="X86" s="255">
        <f t="shared" si="35"/>
        <v>0</v>
      </c>
      <c r="Y86" s="2"/>
      <c r="AB86" s="452"/>
      <c r="AC86" s="454"/>
      <c r="AD86" s="35" t="s">
        <v>298</v>
      </c>
      <c r="AE86" s="113">
        <f>IFERROR(aurora_data!D1581,0)+IFERROR(aurora_data!E1581,0)</f>
        <v>0</v>
      </c>
      <c r="AF86" s="253">
        <f>IFERROR(aurora_data!F1581,0)</f>
        <v>0</v>
      </c>
      <c r="AG86" s="253">
        <f>IFERROR(aurora_data!G1581,0)</f>
        <v>0</v>
      </c>
      <c r="AH86" s="253">
        <f>IFERROR(aurora_data!H1581,0)</f>
        <v>0</v>
      </c>
      <c r="AI86" s="343" t="s">
        <v>354</v>
      </c>
      <c r="AJ86" s="253">
        <f>IFERROR(aurora_data!U1581,0)</f>
        <v>0</v>
      </c>
      <c r="AK86" s="255">
        <f t="shared" si="34"/>
        <v>0</v>
      </c>
    </row>
    <row r="87" spans="1:37" customFormat="1">
      <c r="A87" s="2"/>
      <c r="B87" s="452"/>
      <c r="C87" s="454"/>
      <c r="D87" s="35" t="s">
        <v>341</v>
      </c>
      <c r="E87" s="113">
        <f>IFERROR(aurora_data!D1582,0)</f>
        <v>0</v>
      </c>
      <c r="F87" s="253">
        <f>IFERROR(aurora_data!E1582,0)</f>
        <v>0</v>
      </c>
      <c r="G87" s="253">
        <f>IFERROR(aurora_data!F1582,0)</f>
        <v>0</v>
      </c>
      <c r="H87" s="253">
        <f>IFERROR(aurora_data!G1582,0)</f>
        <v>0</v>
      </c>
      <c r="I87" s="254">
        <f>IFERROR(aurora_data!H1582,0)</f>
        <v>0</v>
      </c>
      <c r="J87" s="113">
        <f>IFERROR(aurora_data!I1582,0)</f>
        <v>0</v>
      </c>
      <c r="K87" s="253">
        <f>IFERROR(aurora_data!J1582,0)</f>
        <v>0</v>
      </c>
      <c r="L87" s="253">
        <f>IFERROR(aurora_data!K1582,0)</f>
        <v>0</v>
      </c>
      <c r="M87" s="253">
        <f>IFERROR(aurora_data!L1582,0)</f>
        <v>0</v>
      </c>
      <c r="N87" s="254">
        <f>IFERROR(aurora_data!M1582,0)</f>
        <v>0</v>
      </c>
      <c r="O87" s="113">
        <f>IFERROR(aurora_data!N1582,0)</f>
        <v>0</v>
      </c>
      <c r="P87" s="253">
        <f>IFERROR(aurora_data!O1582,0)</f>
        <v>0</v>
      </c>
      <c r="Q87" s="253">
        <f>IFERROR(aurora_data!P1582,0)</f>
        <v>0</v>
      </c>
      <c r="R87" s="254">
        <f>IFERROR(aurora_data!Q1582,0)</f>
        <v>0</v>
      </c>
      <c r="S87" s="253">
        <f>IFERROR(aurora_data!R1582,0)</f>
        <v>0</v>
      </c>
      <c r="T87" s="253">
        <f>IFERROR(aurora_data!S1582,0)</f>
        <v>0</v>
      </c>
      <c r="U87" s="254">
        <f>IFERROR(aurora_data!T1182,0)</f>
        <v>0</v>
      </c>
      <c r="V87" s="61" t="s">
        <v>354</v>
      </c>
      <c r="W87" s="113">
        <f>IFERROR(aurora_data!U1582,0)</f>
        <v>0</v>
      </c>
      <c r="X87" s="255">
        <f t="shared" si="35"/>
        <v>0</v>
      </c>
      <c r="Y87" s="2"/>
      <c r="AB87" s="452"/>
      <c r="AC87" s="454"/>
      <c r="AD87" s="35" t="s">
        <v>341</v>
      </c>
      <c r="AE87" s="113">
        <f>IFERROR(aurora_data!D1582,0)+IFERROR(aurora_data!E1582,0)</f>
        <v>0</v>
      </c>
      <c r="AF87" s="253">
        <f>IFERROR(aurora_data!F1582,0)</f>
        <v>0</v>
      </c>
      <c r="AG87" s="253">
        <f>IFERROR(aurora_data!G1582,0)</f>
        <v>0</v>
      </c>
      <c r="AH87" s="253">
        <f>IFERROR(aurora_data!H1582,0)</f>
        <v>0</v>
      </c>
      <c r="AI87" s="343" t="s">
        <v>354</v>
      </c>
      <c r="AJ87" s="253">
        <f>IFERROR(aurora_data!U1582,0)</f>
        <v>0</v>
      </c>
      <c r="AK87" s="255">
        <f t="shared" si="34"/>
        <v>0</v>
      </c>
    </row>
    <row r="88" spans="1:37" customFormat="1" ht="16.5" thickBot="1">
      <c r="A88" s="2"/>
      <c r="B88" s="452"/>
      <c r="C88" s="454"/>
      <c r="D88" s="35" t="s">
        <v>342</v>
      </c>
      <c r="E88" s="113">
        <f>IFERROR(aurora_data!D1583,0)</f>
        <v>0</v>
      </c>
      <c r="F88" s="253">
        <f>IFERROR(aurora_data!E1583,0)</f>
        <v>0</v>
      </c>
      <c r="G88" s="253">
        <f>IFERROR(aurora_data!F1583,0)</f>
        <v>0</v>
      </c>
      <c r="H88" s="253">
        <f>IFERROR(aurora_data!G1583,0)</f>
        <v>0</v>
      </c>
      <c r="I88" s="254">
        <f>IFERROR(aurora_data!H1583,0)</f>
        <v>0</v>
      </c>
      <c r="J88" s="113">
        <f>IFERROR(aurora_data!I1583,0)</f>
        <v>0</v>
      </c>
      <c r="K88" s="253">
        <f>IFERROR(aurora_data!J1583,0)</f>
        <v>0</v>
      </c>
      <c r="L88" s="253">
        <f>IFERROR(aurora_data!K1583,0)</f>
        <v>0</v>
      </c>
      <c r="M88" s="253">
        <f>IFERROR(aurora_data!L1583,0)</f>
        <v>0</v>
      </c>
      <c r="N88" s="254">
        <f>IFERROR(aurora_data!M1583,0)</f>
        <v>0</v>
      </c>
      <c r="O88" s="113">
        <f>IFERROR(aurora_data!N1583,0)</f>
        <v>0</v>
      </c>
      <c r="P88" s="253">
        <f>IFERROR(aurora_data!O1583,0)</f>
        <v>0</v>
      </c>
      <c r="Q88" s="253">
        <f>IFERROR(aurora_data!P1583,0)</f>
        <v>0</v>
      </c>
      <c r="R88" s="254">
        <f>IFERROR(aurora_data!Q1583,0)</f>
        <v>0</v>
      </c>
      <c r="S88" s="253">
        <f>IFERROR(aurora_data!R1583,0)</f>
        <v>0</v>
      </c>
      <c r="T88" s="253">
        <f>IFERROR(aurora_data!S1583,0)</f>
        <v>0</v>
      </c>
      <c r="U88" s="254">
        <f>IFERROR(aurora_data!T1183,0)</f>
        <v>0</v>
      </c>
      <c r="V88" s="61" t="s">
        <v>354</v>
      </c>
      <c r="W88" s="113">
        <f>IFERROR(aurora_data!U1583,0)</f>
        <v>0</v>
      </c>
      <c r="X88" s="255">
        <f t="shared" si="35"/>
        <v>0</v>
      </c>
      <c r="Y88" s="2"/>
      <c r="AB88" s="452"/>
      <c r="AC88" s="454"/>
      <c r="AD88" s="35" t="s">
        <v>342</v>
      </c>
      <c r="AE88" s="113">
        <f>IFERROR(aurora_data!D1583,0)+IFERROR(aurora_data!E1583,0)</f>
        <v>0</v>
      </c>
      <c r="AF88" s="253">
        <f>IFERROR(aurora_data!F1583,0)</f>
        <v>0</v>
      </c>
      <c r="AG88" s="253">
        <f>IFERROR(aurora_data!G1583,0)</f>
        <v>0</v>
      </c>
      <c r="AH88" s="253">
        <f>IFERROR(aurora_data!H1583,0)</f>
        <v>0</v>
      </c>
      <c r="AI88" s="343" t="s">
        <v>354</v>
      </c>
      <c r="AJ88" s="253">
        <f>IFERROR(aurora_data!U1583,0)</f>
        <v>0</v>
      </c>
      <c r="AK88" s="255">
        <f t="shared" si="34"/>
        <v>0</v>
      </c>
    </row>
    <row r="89" spans="1:37" customFormat="1" ht="16.5" thickBot="1">
      <c r="A89" s="2"/>
      <c r="B89" s="452"/>
      <c r="C89" s="454"/>
      <c r="D89" s="37" t="s">
        <v>17</v>
      </c>
      <c r="E89" s="59">
        <f>IFERROR(aurora_data!D1584,0)</f>
        <v>1</v>
      </c>
      <c r="F89" s="64">
        <f>IFERROR(aurora_data!E1584,0)</f>
        <v>0</v>
      </c>
      <c r="G89" s="64">
        <f>IFERROR(aurora_data!F1584,0)</f>
        <v>4</v>
      </c>
      <c r="H89" s="64">
        <f>IFERROR(aurora_data!G1584,0)</f>
        <v>7</v>
      </c>
      <c r="I89" s="65">
        <f>IFERROR(aurora_data!H1584,0)</f>
        <v>6</v>
      </c>
      <c r="J89" s="59">
        <f>IFERROR(aurora_data!I1584,0)</f>
        <v>3</v>
      </c>
      <c r="K89" s="64">
        <f>IFERROR(aurora_data!J1584,0)</f>
        <v>3</v>
      </c>
      <c r="L89" s="64">
        <f>IFERROR(aurora_data!K1584,0)</f>
        <v>3</v>
      </c>
      <c r="M89" s="64">
        <f>IFERROR(aurora_data!L1584,0)</f>
        <v>0</v>
      </c>
      <c r="N89" s="65">
        <f>IFERROR(aurora_data!M1584,0)</f>
        <v>9</v>
      </c>
      <c r="O89" s="59">
        <f>IFERROR(aurora_data!N1584,0)</f>
        <v>9</v>
      </c>
      <c r="P89" s="64">
        <f>IFERROR(aurora_data!O1584,0)</f>
        <v>3</v>
      </c>
      <c r="Q89" s="64">
        <f>IFERROR(aurora_data!P1584,0)</f>
        <v>1</v>
      </c>
      <c r="R89" s="65">
        <f>IFERROR(aurora_data!Q1584,0)</f>
        <v>5</v>
      </c>
      <c r="S89" s="64">
        <f>IFERROR(aurora_data!R1584,0)</f>
        <v>13</v>
      </c>
      <c r="T89" s="64">
        <f>IFERROR(aurora_data!S1584,0)</f>
        <v>5</v>
      </c>
      <c r="U89" s="65">
        <f>IFERROR(aurora_data!T1184,0)</f>
        <v>0</v>
      </c>
      <c r="V89" s="66" t="s">
        <v>354</v>
      </c>
      <c r="W89" s="59">
        <f>IFERROR(aurora_data!U1584,0)</f>
        <v>18</v>
      </c>
      <c r="X89" s="70">
        <f t="shared" si="35"/>
        <v>1</v>
      </c>
      <c r="Y89" s="2"/>
      <c r="AB89" s="452"/>
      <c r="AC89" s="454"/>
      <c r="AD89" s="37" t="s">
        <v>17</v>
      </c>
      <c r="AE89" s="59">
        <f>IFERROR(aurora_data!D1584,0)+IFERROR(aurora_data!E1584,0)</f>
        <v>1</v>
      </c>
      <c r="AF89" s="64">
        <f>IFERROR(aurora_data!F1584,0)</f>
        <v>4</v>
      </c>
      <c r="AG89" s="64">
        <f>IFERROR(aurora_data!G1584,0)</f>
        <v>7</v>
      </c>
      <c r="AH89" s="64">
        <f>IFERROR(aurora_data!H1584,0)</f>
        <v>6</v>
      </c>
      <c r="AI89" s="344" t="s">
        <v>354</v>
      </c>
      <c r="AJ89" s="64">
        <f>IFERROR(aurora_data!U1584,0)</f>
        <v>18</v>
      </c>
      <c r="AK89" s="70">
        <f t="shared" si="34"/>
        <v>1</v>
      </c>
    </row>
    <row r="90" spans="1:37" customFormat="1" ht="16.5" thickBot="1">
      <c r="A90" s="2"/>
      <c r="B90" s="452"/>
      <c r="C90" s="454"/>
      <c r="D90" s="38" t="s">
        <v>343</v>
      </c>
      <c r="E90" s="256">
        <f>IFERROR(aurora_data!D1585,0)</f>
        <v>0</v>
      </c>
      <c r="F90" s="257">
        <f>IFERROR(aurora_data!E1585,0)</f>
        <v>0</v>
      </c>
      <c r="G90" s="257">
        <f>IFERROR(aurora_data!F1585,0)</f>
        <v>0</v>
      </c>
      <c r="H90" s="257">
        <f>IFERROR(aurora_data!G1585,0)</f>
        <v>0</v>
      </c>
      <c r="I90" s="258">
        <f>IFERROR(aurora_data!H1585,0)</f>
        <v>0</v>
      </c>
      <c r="J90" s="256">
        <f>IFERROR(aurora_data!I1585,0)</f>
        <v>0</v>
      </c>
      <c r="K90" s="257">
        <f>IFERROR(aurora_data!J1585,0)</f>
        <v>0</v>
      </c>
      <c r="L90" s="257">
        <f>IFERROR(aurora_data!K1585,0)</f>
        <v>0</v>
      </c>
      <c r="M90" s="257">
        <f>IFERROR(aurora_data!L1585,0)</f>
        <v>0</v>
      </c>
      <c r="N90" s="258">
        <f>IFERROR(aurora_data!M1585,0)</f>
        <v>0</v>
      </c>
      <c r="O90" s="256">
        <f>IFERROR(aurora_data!N1585,0)</f>
        <v>0</v>
      </c>
      <c r="P90" s="257">
        <f>IFERROR(aurora_data!O1585,0)</f>
        <v>0</v>
      </c>
      <c r="Q90" s="257">
        <f>IFERROR(aurora_data!P1585,0)</f>
        <v>0</v>
      </c>
      <c r="R90" s="258">
        <f>IFERROR(aurora_data!Q1585,0)</f>
        <v>0</v>
      </c>
      <c r="S90" s="257">
        <f>IFERROR(aurora_data!R1585,0)</f>
        <v>0</v>
      </c>
      <c r="T90" s="257">
        <f>IFERROR(aurora_data!S1585,0)</f>
        <v>0</v>
      </c>
      <c r="U90" s="259">
        <f>IFERROR(aurora_data!T1185,0)</f>
        <v>0</v>
      </c>
      <c r="V90" s="260" t="s">
        <v>354</v>
      </c>
      <c r="W90" s="256">
        <f>IFERROR(aurora_data!U1585,0)</f>
        <v>0</v>
      </c>
      <c r="X90" s="261">
        <f t="shared" si="35"/>
        <v>0</v>
      </c>
      <c r="Y90" s="2"/>
      <c r="AB90" s="452"/>
      <c r="AC90" s="454"/>
      <c r="AD90" s="38" t="s">
        <v>343</v>
      </c>
      <c r="AE90" s="256">
        <f>IFERROR(aurora_data!D1585,0)+IFERROR(aurora_data!E1585,0)</f>
        <v>0</v>
      </c>
      <c r="AF90" s="257">
        <f>IFERROR(aurora_data!F1585,0)</f>
        <v>0</v>
      </c>
      <c r="AG90" s="257">
        <f>IFERROR(aurora_data!G1585,0)</f>
        <v>0</v>
      </c>
      <c r="AH90" s="257">
        <f>IFERROR(aurora_data!H1585,0)</f>
        <v>0</v>
      </c>
      <c r="AI90" s="343" t="s">
        <v>354</v>
      </c>
      <c r="AJ90" s="257">
        <f>IFERROR(aurora_data!U1585,0)</f>
        <v>0</v>
      </c>
      <c r="AK90" s="261">
        <f t="shared" si="34"/>
        <v>0</v>
      </c>
    </row>
    <row r="91" spans="1:37" customFormat="1" ht="16.5" outlineLevel="1" thickBot="1">
      <c r="A91" s="2"/>
      <c r="B91" s="147"/>
      <c r="C91" s="227"/>
      <c r="D91" s="199" t="s">
        <v>344</v>
      </c>
      <c r="E91" s="276">
        <f>((E93+$E$9)*($W82))</f>
        <v>0.97</v>
      </c>
      <c r="F91" s="277">
        <f>(F93+$E$9)*($W82)</f>
        <v>1.4</v>
      </c>
      <c r="G91" s="277">
        <f>(G93+$E$9)*($W82)</f>
        <v>3.92</v>
      </c>
      <c r="H91" s="277">
        <f>(H93+$E$9)*($W82)</f>
        <v>6.1099999999999994</v>
      </c>
      <c r="I91" s="277">
        <f>(I93+$E$9)*($W82)</f>
        <v>7.4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B91" s="147"/>
      <c r="AC91" s="227"/>
      <c r="AD91" s="199" t="s">
        <v>344</v>
      </c>
      <c r="AE91" s="294"/>
      <c r="AF91" s="295"/>
      <c r="AG91" s="295"/>
      <c r="AH91" s="295"/>
      <c r="AI91" s="343"/>
      <c r="AJ91" s="295"/>
      <c r="AK91" s="299"/>
    </row>
    <row r="92" spans="1:37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0.49999999999999989</v>
      </c>
      <c r="F92" s="277">
        <f>IF(ROUND(((F93-$E$9)*($W82))+0.25,0) &lt;=0,1,((F93-$E$9)*($W82))+0.25)</f>
        <v>0.93000000000000016</v>
      </c>
      <c r="G92" s="277">
        <f t="shared" ref="G92:I92" si="36">IF(ROUND(((G93-$E$9)*($W82))+0.25,0) &lt;=0,1,((G93-$E$9)*($W82))+0.25)</f>
        <v>3.45</v>
      </c>
      <c r="H92" s="277">
        <f t="shared" si="36"/>
        <v>5.6399999999999988</v>
      </c>
      <c r="I92" s="277">
        <f t="shared" si="36"/>
        <v>6.93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B92" s="147"/>
      <c r="AC92" s="227"/>
      <c r="AD92" s="199" t="s">
        <v>345</v>
      </c>
      <c r="AE92" s="294"/>
      <c r="AF92" s="295"/>
      <c r="AG92" s="295"/>
      <c r="AH92" s="295"/>
      <c r="AI92" s="343"/>
      <c r="AJ92" s="295"/>
      <c r="AK92" s="299"/>
    </row>
    <row r="93" spans="1:37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3.3888888888888885E-2</v>
      </c>
      <c r="F93" s="415">
        <f t="shared" ref="F93" si="37">IFERROR(F82/$W82,0)</f>
        <v>5.7777777777777782E-2</v>
      </c>
      <c r="G93" s="415">
        <f>IFERROR(G82/$W82,0)</f>
        <v>0.19777777777777777</v>
      </c>
      <c r="H93" s="415">
        <f t="shared" ref="H93" si="38">IFERROR(H82/$W82,0)</f>
        <v>0.31944444444444442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B93" s="147"/>
      <c r="AC93" s="227"/>
      <c r="AD93" s="95" t="s">
        <v>346</v>
      </c>
      <c r="AE93" s="294"/>
      <c r="AF93" s="295"/>
      <c r="AG93" s="295"/>
      <c r="AH93" s="295"/>
      <c r="AI93" s="343"/>
      <c r="AJ93" s="295"/>
      <c r="AK93" s="299"/>
    </row>
    <row r="94" spans="1:37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5.5555555555555552E-2</v>
      </c>
      <c r="F94" s="415">
        <f t="shared" ref="F94:I94" si="39">IFERROR(F83/$W82,0)</f>
        <v>0</v>
      </c>
      <c r="G94" s="415">
        <f t="shared" si="39"/>
        <v>0.22222222222222221</v>
      </c>
      <c r="H94" s="415">
        <f t="shared" si="39"/>
        <v>0.33333333333333331</v>
      </c>
      <c r="I94" s="415">
        <f t="shared" si="39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B94" s="147"/>
      <c r="AC94" s="227"/>
      <c r="AD94" s="180" t="s">
        <v>347</v>
      </c>
      <c r="AE94" s="294"/>
      <c r="AF94" s="295"/>
      <c r="AG94" s="295"/>
      <c r="AH94" s="295"/>
      <c r="AI94" s="343"/>
      <c r="AJ94" s="295"/>
      <c r="AK94" s="299"/>
    </row>
    <row r="95" spans="1:37" customFormat="1" ht="16.5" hidden="1" outlineLevel="1" thickBot="1">
      <c r="A95" s="2"/>
      <c r="B95" s="147"/>
      <c r="C95" s="227"/>
      <c r="D95" s="180" t="s">
        <v>348</v>
      </c>
      <c r="E95" s="414">
        <f>E94-E93</f>
        <v>2.1666666666666667E-2</v>
      </c>
      <c r="F95" s="415">
        <f t="shared" ref="F95:I95" si="40">F94-F93</f>
        <v>-5.7777777777777782E-2</v>
      </c>
      <c r="G95" s="415">
        <f t="shared" si="40"/>
        <v>2.4444444444444435E-2</v>
      </c>
      <c r="H95" s="415">
        <f t="shared" si="40"/>
        <v>1.3888888888888895E-2</v>
      </c>
      <c r="I95" s="415">
        <f t="shared" si="40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B95" s="147"/>
      <c r="AC95" s="227"/>
      <c r="AD95" s="180" t="s">
        <v>348</v>
      </c>
      <c r="AE95" s="294"/>
      <c r="AF95" s="295"/>
      <c r="AG95" s="295"/>
      <c r="AH95" s="295"/>
      <c r="AI95" s="343"/>
      <c r="AJ95" s="295"/>
      <c r="AK95" s="299"/>
    </row>
    <row r="96" spans="1:37" customFormat="1">
      <c r="A96" s="2"/>
      <c r="B96" s="451" t="s">
        <v>338</v>
      </c>
      <c r="C96" s="453" t="str">
        <f>aurora_data!A1586</f>
        <v>12.00.00-12.11.30</v>
      </c>
      <c r="D96" s="34" t="s">
        <v>306</v>
      </c>
      <c r="E96" s="39">
        <f>IFERROR(aurora_data!D1586,0)</f>
        <v>0.66</v>
      </c>
      <c r="F96" s="40">
        <f>IFERROR(aurora_data!E1586,0)</f>
        <v>1.06</v>
      </c>
      <c r="G96" s="40">
        <f>IFERROR(aurora_data!F1586,0)</f>
        <v>3.59</v>
      </c>
      <c r="H96" s="40">
        <f>IFERROR(aurora_data!G1586,0)</f>
        <v>5.82</v>
      </c>
      <c r="I96" s="41">
        <f>IFERROR(aurora_data!H1586,0)</f>
        <v>6.88</v>
      </c>
      <c r="J96" s="39">
        <f>IFERROR(aurora_data!I1586,0)</f>
        <v>1</v>
      </c>
      <c r="K96" s="40">
        <f>IFERROR(aurora_data!J1586,0)</f>
        <v>1</v>
      </c>
      <c r="L96" s="40">
        <f>IFERROR(aurora_data!K1586,0)</f>
        <v>1</v>
      </c>
      <c r="M96" s="40">
        <f>IFERROR(aurora_data!L1586,0)</f>
        <v>1</v>
      </c>
      <c r="N96" s="41">
        <f>IFERROR(aurora_data!M1586,0)</f>
        <v>1</v>
      </c>
      <c r="O96" s="39">
        <f>IFERROR(aurora_data!N1586,0)</f>
        <v>1</v>
      </c>
      <c r="P96" s="40">
        <f>IFERROR(aurora_data!O1586,0)</f>
        <v>1</v>
      </c>
      <c r="Q96" s="40">
        <f>IFERROR(aurora_data!P1586,0)</f>
        <v>1</v>
      </c>
      <c r="R96" s="41">
        <f>IFERROR(aurora_data!Q1586,0)</f>
        <v>1</v>
      </c>
      <c r="S96" s="40">
        <f>IFERROR(aurora_data!R1586,0)</f>
        <v>1</v>
      </c>
      <c r="T96" s="40">
        <f>IFERROR(aurora_data!S1586,0)</f>
        <v>1</v>
      </c>
      <c r="U96" s="41">
        <f>IFERROR(aurora_data!T1186,0)</f>
        <v>0</v>
      </c>
      <c r="V96" s="61" t="s">
        <v>354</v>
      </c>
      <c r="W96" s="39">
        <f>IFERROR(aurora_data!U1586,0)</f>
        <v>18</v>
      </c>
      <c r="X96" s="69">
        <f>IFERROR(W96/$W$96,0)</f>
        <v>1</v>
      </c>
      <c r="Y96" s="2"/>
      <c r="AB96" s="451" t="s">
        <v>338</v>
      </c>
      <c r="AC96" s="453" t="str">
        <f>aurora_data!A1586</f>
        <v>12.00.00-12.11.30</v>
      </c>
      <c r="AD96" s="34" t="s">
        <v>306</v>
      </c>
      <c r="AE96" s="338">
        <v>2</v>
      </c>
      <c r="AF96" s="40">
        <v>4</v>
      </c>
      <c r="AG96" s="40">
        <v>6</v>
      </c>
      <c r="AH96" s="337">
        <v>6</v>
      </c>
      <c r="AI96" s="343" t="s">
        <v>354</v>
      </c>
      <c r="AJ96" s="40">
        <f>IFERROR(aurora_data!U1586,0)</f>
        <v>18</v>
      </c>
      <c r="AK96" s="69">
        <f t="shared" ref="AK96:AK104" si="41">IFERROR(AJ96/$AJ$96,0)</f>
        <v>1</v>
      </c>
    </row>
    <row r="97" spans="1:37" customFormat="1">
      <c r="A97" s="2"/>
      <c r="B97" s="452"/>
      <c r="C97" s="454"/>
      <c r="D97" s="35" t="s">
        <v>339</v>
      </c>
      <c r="E97" s="113">
        <f>IFERROR(aurora_data!D1587,0)</f>
        <v>1</v>
      </c>
      <c r="F97" s="253">
        <f>IFERROR(aurora_data!E1587,0)</f>
        <v>1</v>
      </c>
      <c r="G97" s="253">
        <f>IFERROR(aurora_data!F1587,0)</f>
        <v>3</v>
      </c>
      <c r="H97" s="253">
        <f>IFERROR(aurora_data!G1587,0)</f>
        <v>6</v>
      </c>
      <c r="I97" s="254">
        <f>IFERROR(aurora_data!H1587,0)</f>
        <v>6</v>
      </c>
      <c r="J97" s="113">
        <f>IFERROR(aurora_data!I1587,0)</f>
        <v>0</v>
      </c>
      <c r="K97" s="253">
        <f>IFERROR(aurora_data!J1587,0)</f>
        <v>1</v>
      </c>
      <c r="L97" s="253">
        <f>IFERROR(aurora_data!K1587,0)</f>
        <v>6</v>
      </c>
      <c r="M97" s="253">
        <f>IFERROR(aurora_data!L1587,0)</f>
        <v>3</v>
      </c>
      <c r="N97" s="254">
        <f>IFERROR(aurora_data!M1587,0)</f>
        <v>7</v>
      </c>
      <c r="O97" s="113">
        <f>IFERROR(aurora_data!N1587,0)</f>
        <v>7</v>
      </c>
      <c r="P97" s="253">
        <f>IFERROR(aurora_data!O1587,0)</f>
        <v>1</v>
      </c>
      <c r="Q97" s="253">
        <f>IFERROR(aurora_data!P1587,0)</f>
        <v>7</v>
      </c>
      <c r="R97" s="254">
        <f>IFERROR(aurora_data!Q1587,0)</f>
        <v>2</v>
      </c>
      <c r="S97" s="253">
        <f>IFERROR(aurora_data!R1587,0)</f>
        <v>8</v>
      </c>
      <c r="T97" s="253">
        <f>IFERROR(aurora_data!S1587,0)</f>
        <v>9</v>
      </c>
      <c r="U97" s="254">
        <f>IFERROR(aurora_data!T1187,0)</f>
        <v>0</v>
      </c>
      <c r="V97" s="61" t="s">
        <v>354</v>
      </c>
      <c r="W97" s="113">
        <f>IFERROR(aurora_data!U1587,0)</f>
        <v>17</v>
      </c>
      <c r="X97" s="255">
        <f t="shared" ref="X97:X104" si="42">IFERROR(W97/$W$96,0)</f>
        <v>0.94444444444444442</v>
      </c>
      <c r="Y97" s="2"/>
      <c r="AB97" s="452"/>
      <c r="AC97" s="454"/>
      <c r="AD97" s="35" t="s">
        <v>339</v>
      </c>
      <c r="AE97" s="113">
        <f>IFERROR(aurora_data!D1587,0)+IFERROR(aurora_data!E1587,0)</f>
        <v>2</v>
      </c>
      <c r="AF97" s="253">
        <f>IFERROR(aurora_data!F1587,0)</f>
        <v>3</v>
      </c>
      <c r="AG97" s="253">
        <f>IFERROR(aurora_data!G1587,0)</f>
        <v>6</v>
      </c>
      <c r="AH97" s="253">
        <f>IFERROR(aurora_data!H1587,0)</f>
        <v>6</v>
      </c>
      <c r="AI97" s="343" t="s">
        <v>354</v>
      </c>
      <c r="AJ97" s="253">
        <f>IFERROR(aurora_data!U1587,0)</f>
        <v>17</v>
      </c>
      <c r="AK97" s="255">
        <f t="shared" si="41"/>
        <v>0.94444444444444442</v>
      </c>
    </row>
    <row r="98" spans="1:37" customFormat="1">
      <c r="A98" s="2"/>
      <c r="B98" s="452"/>
      <c r="C98" s="454"/>
      <c r="D98" s="35" t="s">
        <v>291</v>
      </c>
      <c r="E98" s="113">
        <f>IFERROR(aurora_data!D1588,0)</f>
        <v>0</v>
      </c>
      <c r="F98" s="253">
        <f>IFERROR(aurora_data!E1588,0)</f>
        <v>1</v>
      </c>
      <c r="G98" s="253">
        <f>IFERROR(aurora_data!F1588,0)</f>
        <v>0</v>
      </c>
      <c r="H98" s="253">
        <f>IFERROR(aurora_data!G1588,0)</f>
        <v>3</v>
      </c>
      <c r="I98" s="254">
        <f>IFERROR(aurora_data!H1588,0)</f>
        <v>1</v>
      </c>
      <c r="J98" s="113">
        <f>IFERROR(aurora_data!I1588,0)</f>
        <v>0</v>
      </c>
      <c r="K98" s="253">
        <f>IFERROR(aurora_data!J1588,0)</f>
        <v>0</v>
      </c>
      <c r="L98" s="253">
        <f>IFERROR(aurora_data!K1588,0)</f>
        <v>2</v>
      </c>
      <c r="M98" s="253">
        <f>IFERROR(aurora_data!L1588,0)</f>
        <v>0</v>
      </c>
      <c r="N98" s="254">
        <f>IFERROR(aurora_data!M1588,0)</f>
        <v>3</v>
      </c>
      <c r="O98" s="113">
        <f>IFERROR(aurora_data!N1588,0)</f>
        <v>1</v>
      </c>
      <c r="P98" s="253">
        <f>IFERROR(aurora_data!O1588,0)</f>
        <v>1</v>
      </c>
      <c r="Q98" s="253">
        <f>IFERROR(aurora_data!P1588,0)</f>
        <v>1</v>
      </c>
      <c r="R98" s="254">
        <f>IFERROR(aurora_data!Q1588,0)</f>
        <v>2</v>
      </c>
      <c r="S98" s="253">
        <f>IFERROR(aurora_data!R1588,0)</f>
        <v>4</v>
      </c>
      <c r="T98" s="253">
        <f>IFERROR(aurora_data!S1588,0)</f>
        <v>1</v>
      </c>
      <c r="U98" s="254">
        <f>IFERROR(aurora_data!T1188,0)</f>
        <v>0</v>
      </c>
      <c r="V98" s="61" t="s">
        <v>354</v>
      </c>
      <c r="W98" s="113">
        <f>IFERROR(aurora_data!U1588,0)</f>
        <v>5</v>
      </c>
      <c r="X98" s="255">
        <f t="shared" si="42"/>
        <v>0.27777777777777779</v>
      </c>
      <c r="Y98" s="2"/>
      <c r="AB98" s="452"/>
      <c r="AC98" s="454"/>
      <c r="AD98" s="35" t="s">
        <v>291</v>
      </c>
      <c r="AE98" s="113">
        <f>IFERROR(aurora_data!D1588,0)+IFERROR(aurora_data!E1588,0)</f>
        <v>1</v>
      </c>
      <c r="AF98" s="253">
        <f>IFERROR(aurora_data!F1588,0)</f>
        <v>0</v>
      </c>
      <c r="AG98" s="253">
        <f>IFERROR(aurora_data!G1588,0)</f>
        <v>3</v>
      </c>
      <c r="AH98" s="253">
        <f>IFERROR(aurora_data!H1588,0)</f>
        <v>1</v>
      </c>
      <c r="AI98" s="343" t="s">
        <v>354</v>
      </c>
      <c r="AJ98" s="253">
        <f>IFERROR(aurora_data!U1588,0)</f>
        <v>5</v>
      </c>
      <c r="AK98" s="255">
        <f t="shared" si="41"/>
        <v>0.27777777777777779</v>
      </c>
    </row>
    <row r="99" spans="1:37" customFormat="1">
      <c r="A99" s="2"/>
      <c r="B99" s="452"/>
      <c r="C99" s="454"/>
      <c r="D99" s="35" t="s">
        <v>340</v>
      </c>
      <c r="E99" s="113">
        <f>IFERROR(aurora_data!D1589,0)</f>
        <v>0</v>
      </c>
      <c r="F99" s="253">
        <f>IFERROR(aurora_data!E1589,0)</f>
        <v>0</v>
      </c>
      <c r="G99" s="253">
        <f>IFERROR(aurora_data!F1589,0)</f>
        <v>0</v>
      </c>
      <c r="H99" s="253">
        <f>IFERROR(aurora_data!G1589,0)</f>
        <v>0</v>
      </c>
      <c r="I99" s="254">
        <f>IFERROR(aurora_data!H1589,0)</f>
        <v>0</v>
      </c>
      <c r="J99" s="113">
        <f>IFERROR(aurora_data!I1589,0)</f>
        <v>0</v>
      </c>
      <c r="K99" s="253">
        <f>IFERROR(aurora_data!J1589,0)</f>
        <v>0</v>
      </c>
      <c r="L99" s="253">
        <f>IFERROR(aurora_data!K1589,0)</f>
        <v>0</v>
      </c>
      <c r="M99" s="253">
        <f>IFERROR(aurora_data!L1589,0)</f>
        <v>0</v>
      </c>
      <c r="N99" s="254">
        <f>IFERROR(aurora_data!M1589,0)</f>
        <v>0</v>
      </c>
      <c r="O99" s="113">
        <f>IFERROR(aurora_data!N1589,0)</f>
        <v>0</v>
      </c>
      <c r="P99" s="253">
        <f>IFERROR(aurora_data!O1589,0)</f>
        <v>0</v>
      </c>
      <c r="Q99" s="253">
        <f>IFERROR(aurora_data!P1589,0)</f>
        <v>0</v>
      </c>
      <c r="R99" s="254">
        <f>IFERROR(aurora_data!Q1589,0)</f>
        <v>0</v>
      </c>
      <c r="S99" s="253">
        <f>IFERROR(aurora_data!R1589,0)</f>
        <v>0</v>
      </c>
      <c r="T99" s="253">
        <f>IFERROR(aurora_data!S1589,0)</f>
        <v>0</v>
      </c>
      <c r="U99" s="254">
        <f>IFERROR(aurora_data!T1189,0)</f>
        <v>0</v>
      </c>
      <c r="V99" s="61" t="s">
        <v>354</v>
      </c>
      <c r="W99" s="113">
        <f>IFERROR(aurora_data!U1589,0)</f>
        <v>0</v>
      </c>
      <c r="X99" s="255">
        <f t="shared" si="42"/>
        <v>0</v>
      </c>
      <c r="Y99" s="2"/>
      <c r="AB99" s="452"/>
      <c r="AC99" s="454"/>
      <c r="AD99" s="35" t="s">
        <v>340</v>
      </c>
      <c r="AE99" s="113">
        <f>IFERROR(aurora_data!D1589,0)+IFERROR(aurora_data!E1589,0)</f>
        <v>0</v>
      </c>
      <c r="AF99" s="253">
        <f>IFERROR(aurora_data!F1589,0)</f>
        <v>0</v>
      </c>
      <c r="AG99" s="253">
        <f>IFERROR(aurora_data!G1589,0)</f>
        <v>0</v>
      </c>
      <c r="AH99" s="253">
        <f>IFERROR(aurora_data!H1589,0)</f>
        <v>0</v>
      </c>
      <c r="AI99" s="343" t="s">
        <v>354</v>
      </c>
      <c r="AJ99" s="253">
        <f>IFERROR(aurora_data!U1589,0)</f>
        <v>0</v>
      </c>
      <c r="AK99" s="255">
        <f t="shared" si="41"/>
        <v>0</v>
      </c>
    </row>
    <row r="100" spans="1:37" customFormat="1">
      <c r="A100" s="2"/>
      <c r="B100" s="452"/>
      <c r="C100" s="454"/>
      <c r="D100" s="35" t="s">
        <v>298</v>
      </c>
      <c r="E100" s="113">
        <f>IFERROR(aurora_data!D1590,0)</f>
        <v>0</v>
      </c>
      <c r="F100" s="253">
        <f>IFERROR(aurora_data!E1590,0)</f>
        <v>0</v>
      </c>
      <c r="G100" s="253">
        <f>IFERROR(aurora_data!F1590,0)</f>
        <v>1</v>
      </c>
      <c r="H100" s="253">
        <f>IFERROR(aurora_data!G1590,0)</f>
        <v>0</v>
      </c>
      <c r="I100" s="254">
        <f>IFERROR(aurora_data!H1590,0)</f>
        <v>0</v>
      </c>
      <c r="J100" s="113">
        <f>IFERROR(aurora_data!I1590,0)</f>
        <v>0</v>
      </c>
      <c r="K100" s="253">
        <f>IFERROR(aurora_data!J1590,0)</f>
        <v>0</v>
      </c>
      <c r="L100" s="253">
        <f>IFERROR(aurora_data!K1590,0)</f>
        <v>1</v>
      </c>
      <c r="M100" s="253">
        <f>IFERROR(aurora_data!L1590,0)</f>
        <v>0</v>
      </c>
      <c r="N100" s="254">
        <f>IFERROR(aurora_data!M1590,0)</f>
        <v>0</v>
      </c>
      <c r="O100" s="113">
        <f>IFERROR(aurora_data!N1590,0)</f>
        <v>0</v>
      </c>
      <c r="P100" s="253">
        <f>IFERROR(aurora_data!O1590,0)</f>
        <v>0</v>
      </c>
      <c r="Q100" s="253">
        <f>IFERROR(aurora_data!P1590,0)</f>
        <v>1</v>
      </c>
      <c r="R100" s="254">
        <f>IFERROR(aurora_data!Q1590,0)</f>
        <v>0</v>
      </c>
      <c r="S100" s="253">
        <f>IFERROR(aurora_data!R1590,0)</f>
        <v>0</v>
      </c>
      <c r="T100" s="253">
        <f>IFERROR(aurora_data!S1590,0)</f>
        <v>1</v>
      </c>
      <c r="U100" s="254">
        <f>IFERROR(aurora_data!T1190,0)</f>
        <v>0</v>
      </c>
      <c r="V100" s="61" t="s">
        <v>354</v>
      </c>
      <c r="W100" s="113">
        <f>IFERROR(aurora_data!U1590,0)</f>
        <v>1</v>
      </c>
      <c r="X100" s="255">
        <f t="shared" si="42"/>
        <v>5.5555555555555552E-2</v>
      </c>
      <c r="Y100" s="2"/>
      <c r="AB100" s="452"/>
      <c r="AC100" s="454"/>
      <c r="AD100" s="35" t="s">
        <v>298</v>
      </c>
      <c r="AE100" s="113">
        <f>IFERROR(aurora_data!D1590,0)+IFERROR(aurora_data!E1590,0)</f>
        <v>0</v>
      </c>
      <c r="AF100" s="253">
        <f>IFERROR(aurora_data!F1590,0)</f>
        <v>1</v>
      </c>
      <c r="AG100" s="253">
        <f>IFERROR(aurora_data!G1590,0)</f>
        <v>0</v>
      </c>
      <c r="AH100" s="253">
        <f>IFERROR(aurora_data!H1590,0)</f>
        <v>0</v>
      </c>
      <c r="AI100" s="343" t="s">
        <v>354</v>
      </c>
      <c r="AJ100" s="253">
        <f>IFERROR(aurora_data!U1590,0)</f>
        <v>1</v>
      </c>
      <c r="AK100" s="255">
        <f t="shared" si="41"/>
        <v>5.5555555555555552E-2</v>
      </c>
    </row>
    <row r="101" spans="1:37" customFormat="1">
      <c r="A101" s="2"/>
      <c r="B101" s="452"/>
      <c r="C101" s="454"/>
      <c r="D101" s="35" t="s">
        <v>341</v>
      </c>
      <c r="E101" s="113">
        <f>IFERROR(aurora_data!D1591,0)</f>
        <v>0</v>
      </c>
      <c r="F101" s="253">
        <f>IFERROR(aurora_data!E1591,0)</f>
        <v>0</v>
      </c>
      <c r="G101" s="253">
        <f>IFERROR(aurora_data!F1591,0)</f>
        <v>0</v>
      </c>
      <c r="H101" s="253">
        <f>IFERROR(aurora_data!G1591,0)</f>
        <v>0</v>
      </c>
      <c r="I101" s="254">
        <f>IFERROR(aurora_data!H1591,0)</f>
        <v>0</v>
      </c>
      <c r="J101" s="113">
        <f>IFERROR(aurora_data!I1591,0)</f>
        <v>0</v>
      </c>
      <c r="K101" s="253">
        <f>IFERROR(aurora_data!J1591,0)</f>
        <v>0</v>
      </c>
      <c r="L101" s="253">
        <f>IFERROR(aurora_data!K1591,0)</f>
        <v>0</v>
      </c>
      <c r="M101" s="253">
        <f>IFERROR(aurora_data!L1591,0)</f>
        <v>0</v>
      </c>
      <c r="N101" s="254">
        <f>IFERROR(aurora_data!M1591,0)</f>
        <v>0</v>
      </c>
      <c r="O101" s="113">
        <f>IFERROR(aurora_data!N1591,0)</f>
        <v>0</v>
      </c>
      <c r="P101" s="253">
        <f>IFERROR(aurora_data!O1591,0)</f>
        <v>0</v>
      </c>
      <c r="Q101" s="253">
        <f>IFERROR(aurora_data!P1591,0)</f>
        <v>0</v>
      </c>
      <c r="R101" s="254">
        <f>IFERROR(aurora_data!Q1591,0)</f>
        <v>0</v>
      </c>
      <c r="S101" s="253">
        <f>IFERROR(aurora_data!R1591,0)</f>
        <v>0</v>
      </c>
      <c r="T101" s="253">
        <f>IFERROR(aurora_data!S1591,0)</f>
        <v>0</v>
      </c>
      <c r="U101" s="254">
        <f>IFERROR(aurora_data!T1191,0)</f>
        <v>0</v>
      </c>
      <c r="V101" s="61" t="s">
        <v>354</v>
      </c>
      <c r="W101" s="113">
        <f>IFERROR(aurora_data!U1591,0)</f>
        <v>0</v>
      </c>
      <c r="X101" s="255">
        <f t="shared" si="42"/>
        <v>0</v>
      </c>
      <c r="Y101" s="2"/>
      <c r="AB101" s="452"/>
      <c r="AC101" s="454"/>
      <c r="AD101" s="35" t="s">
        <v>341</v>
      </c>
      <c r="AE101" s="113">
        <f>IFERROR(aurora_data!D1591,0)+IFERROR(aurora_data!E1591,0)</f>
        <v>0</v>
      </c>
      <c r="AF101" s="253">
        <f>IFERROR(aurora_data!F1591,0)</f>
        <v>0</v>
      </c>
      <c r="AG101" s="253">
        <f>IFERROR(aurora_data!G1591,0)</f>
        <v>0</v>
      </c>
      <c r="AH101" s="253">
        <f>IFERROR(aurora_data!H1591,0)</f>
        <v>0</v>
      </c>
      <c r="AI101" s="343" t="s">
        <v>354</v>
      </c>
      <c r="AJ101" s="253">
        <f>IFERROR(aurora_data!U1591,0)</f>
        <v>0</v>
      </c>
      <c r="AK101" s="255">
        <f t="shared" si="41"/>
        <v>0</v>
      </c>
    </row>
    <row r="102" spans="1:37" customFormat="1" ht="16.5" thickBot="1">
      <c r="A102" s="2"/>
      <c r="B102" s="452"/>
      <c r="C102" s="454"/>
      <c r="D102" s="35" t="s">
        <v>342</v>
      </c>
      <c r="E102" s="113">
        <f>IFERROR(aurora_data!D1592,0)</f>
        <v>0</v>
      </c>
      <c r="F102" s="253">
        <f>IFERROR(aurora_data!E1592,0)</f>
        <v>0</v>
      </c>
      <c r="G102" s="253">
        <f>IFERROR(aurora_data!F1592,0)</f>
        <v>0</v>
      </c>
      <c r="H102" s="253">
        <f>IFERROR(aurora_data!G1592,0)</f>
        <v>0</v>
      </c>
      <c r="I102" s="254">
        <f>IFERROR(aurora_data!H1592,0)</f>
        <v>0</v>
      </c>
      <c r="J102" s="113">
        <f>IFERROR(aurora_data!I1592,0)</f>
        <v>0</v>
      </c>
      <c r="K102" s="253">
        <f>IFERROR(aurora_data!J1592,0)</f>
        <v>0</v>
      </c>
      <c r="L102" s="253">
        <f>IFERROR(aurora_data!K1592,0)</f>
        <v>0</v>
      </c>
      <c r="M102" s="253">
        <f>IFERROR(aurora_data!L1592,0)</f>
        <v>0</v>
      </c>
      <c r="N102" s="254">
        <f>IFERROR(aurora_data!M1592,0)</f>
        <v>0</v>
      </c>
      <c r="O102" s="113">
        <f>IFERROR(aurora_data!N1592,0)</f>
        <v>0</v>
      </c>
      <c r="P102" s="253">
        <f>IFERROR(aurora_data!O1592,0)</f>
        <v>0</v>
      </c>
      <c r="Q102" s="253">
        <f>IFERROR(aurora_data!P1592,0)</f>
        <v>0</v>
      </c>
      <c r="R102" s="254">
        <f>IFERROR(aurora_data!Q1592,0)</f>
        <v>0</v>
      </c>
      <c r="S102" s="253">
        <f>IFERROR(aurora_data!R1592,0)</f>
        <v>0</v>
      </c>
      <c r="T102" s="253">
        <f>IFERROR(aurora_data!S1592,0)</f>
        <v>0</v>
      </c>
      <c r="U102" s="254">
        <f>IFERROR(aurora_data!T1192,0)</f>
        <v>0</v>
      </c>
      <c r="V102" s="61" t="s">
        <v>354</v>
      </c>
      <c r="W102" s="113">
        <f>IFERROR(aurora_data!U1592,0)</f>
        <v>0</v>
      </c>
      <c r="X102" s="255">
        <f t="shared" si="42"/>
        <v>0</v>
      </c>
      <c r="Y102" s="2"/>
      <c r="AB102" s="452"/>
      <c r="AC102" s="454"/>
      <c r="AD102" s="35" t="s">
        <v>342</v>
      </c>
      <c r="AE102" s="113">
        <f>IFERROR(aurora_data!D1592,0)+IFERROR(aurora_data!E1592,0)</f>
        <v>0</v>
      </c>
      <c r="AF102" s="253">
        <f>IFERROR(aurora_data!F1592,0)</f>
        <v>0</v>
      </c>
      <c r="AG102" s="253">
        <f>IFERROR(aurora_data!G1592,0)</f>
        <v>0</v>
      </c>
      <c r="AH102" s="253">
        <f>IFERROR(aurora_data!H1592,0)</f>
        <v>0</v>
      </c>
      <c r="AI102" s="343" t="s">
        <v>354</v>
      </c>
      <c r="AJ102" s="253">
        <f>IFERROR(aurora_data!U1592,0)</f>
        <v>0</v>
      </c>
      <c r="AK102" s="255">
        <f t="shared" si="41"/>
        <v>0</v>
      </c>
    </row>
    <row r="103" spans="1:37" customFormat="1" ht="16.5" thickBot="1">
      <c r="A103" s="2"/>
      <c r="B103" s="452"/>
      <c r="C103" s="454"/>
      <c r="D103" s="37" t="s">
        <v>17</v>
      </c>
      <c r="E103" s="59">
        <f>IFERROR(aurora_data!D1593,0)</f>
        <v>1</v>
      </c>
      <c r="F103" s="64">
        <f>IFERROR(aurora_data!E1593,0)</f>
        <v>2</v>
      </c>
      <c r="G103" s="64">
        <f>IFERROR(aurora_data!F1593,0)</f>
        <v>4</v>
      </c>
      <c r="H103" s="64">
        <f>IFERROR(aurora_data!G1593,0)</f>
        <v>9</v>
      </c>
      <c r="I103" s="65">
        <f>IFERROR(aurora_data!H1593,0)</f>
        <v>7</v>
      </c>
      <c r="J103" s="59">
        <f>IFERROR(aurora_data!I1593,0)</f>
        <v>0</v>
      </c>
      <c r="K103" s="64">
        <f>IFERROR(aurora_data!J1593,0)</f>
        <v>1</v>
      </c>
      <c r="L103" s="64">
        <f>IFERROR(aurora_data!K1593,0)</f>
        <v>9</v>
      </c>
      <c r="M103" s="64">
        <f>IFERROR(aurora_data!L1593,0)</f>
        <v>3</v>
      </c>
      <c r="N103" s="65">
        <f>IFERROR(aurora_data!M1593,0)</f>
        <v>10</v>
      </c>
      <c r="O103" s="59">
        <f>IFERROR(aurora_data!N1593,0)</f>
        <v>8</v>
      </c>
      <c r="P103" s="64">
        <f>IFERROR(aurora_data!O1593,0)</f>
        <v>2</v>
      </c>
      <c r="Q103" s="64">
        <f>IFERROR(aurora_data!P1593,0)</f>
        <v>9</v>
      </c>
      <c r="R103" s="65">
        <f>IFERROR(aurora_data!Q1593,0)</f>
        <v>4</v>
      </c>
      <c r="S103" s="64">
        <f>IFERROR(aurora_data!R1593,0)</f>
        <v>12</v>
      </c>
      <c r="T103" s="64">
        <f>IFERROR(aurora_data!S1593,0)</f>
        <v>11</v>
      </c>
      <c r="U103" s="65">
        <f>IFERROR(aurora_data!T1193,0)</f>
        <v>0</v>
      </c>
      <c r="V103" s="66" t="s">
        <v>354</v>
      </c>
      <c r="W103" s="59">
        <f>IFERROR(aurora_data!U1593,0)</f>
        <v>23</v>
      </c>
      <c r="X103" s="70">
        <f t="shared" si="42"/>
        <v>1.2777777777777777</v>
      </c>
      <c r="Y103" s="2"/>
      <c r="AB103" s="452"/>
      <c r="AC103" s="454"/>
      <c r="AD103" s="37" t="s">
        <v>17</v>
      </c>
      <c r="AE103" s="59">
        <f>IFERROR(aurora_data!D1593,0)+IFERROR(aurora_data!E1593,0)</f>
        <v>3</v>
      </c>
      <c r="AF103" s="64">
        <f>IFERROR(aurora_data!F1593,0)</f>
        <v>4</v>
      </c>
      <c r="AG103" s="64">
        <f>IFERROR(aurora_data!G1593,0)</f>
        <v>9</v>
      </c>
      <c r="AH103" s="64">
        <f>IFERROR(aurora_data!H1593,0)</f>
        <v>7</v>
      </c>
      <c r="AI103" s="344" t="s">
        <v>354</v>
      </c>
      <c r="AJ103" s="64">
        <f>IFERROR(aurora_data!U1593,0)</f>
        <v>23</v>
      </c>
      <c r="AK103" s="70">
        <f t="shared" si="41"/>
        <v>1.2777777777777777</v>
      </c>
    </row>
    <row r="104" spans="1:37" customFormat="1" ht="16.5" thickBot="1">
      <c r="A104" s="2"/>
      <c r="B104" s="452"/>
      <c r="C104" s="454"/>
      <c r="D104" s="38" t="s">
        <v>343</v>
      </c>
      <c r="E104" s="256">
        <f>IFERROR(aurora_data!D1594,0)</f>
        <v>0</v>
      </c>
      <c r="F104" s="257">
        <f>IFERROR(aurora_data!E1594,0)</f>
        <v>0</v>
      </c>
      <c r="G104" s="257">
        <f>IFERROR(aurora_data!F1594,0)</f>
        <v>0</v>
      </c>
      <c r="H104" s="257">
        <f>IFERROR(aurora_data!G1594,0)</f>
        <v>0</v>
      </c>
      <c r="I104" s="258">
        <f>IFERROR(aurora_data!H1594,0)</f>
        <v>0</v>
      </c>
      <c r="J104" s="256">
        <f>IFERROR(aurora_data!I1594,0)</f>
        <v>0</v>
      </c>
      <c r="K104" s="257">
        <f>IFERROR(aurora_data!J1594,0)</f>
        <v>0</v>
      </c>
      <c r="L104" s="257">
        <f>IFERROR(aurora_data!K1594,0)</f>
        <v>0</v>
      </c>
      <c r="M104" s="257">
        <f>IFERROR(aurora_data!L1594,0)</f>
        <v>0</v>
      </c>
      <c r="N104" s="258">
        <f>IFERROR(aurora_data!M1594,0)</f>
        <v>0</v>
      </c>
      <c r="O104" s="256">
        <f>IFERROR(aurora_data!N1594,0)</f>
        <v>0</v>
      </c>
      <c r="P104" s="257">
        <f>IFERROR(aurora_data!O1594,0)</f>
        <v>0</v>
      </c>
      <c r="Q104" s="257">
        <f>IFERROR(aurora_data!P1594,0)</f>
        <v>0</v>
      </c>
      <c r="R104" s="258">
        <f>IFERROR(aurora_data!Q1594,0)</f>
        <v>0</v>
      </c>
      <c r="S104" s="257">
        <f>IFERROR(aurora_data!R1594,0)</f>
        <v>0</v>
      </c>
      <c r="T104" s="257">
        <f>IFERROR(aurora_data!S1594,0)</f>
        <v>0</v>
      </c>
      <c r="U104" s="259">
        <f>IFERROR(aurora_data!T1194,0)</f>
        <v>0</v>
      </c>
      <c r="V104" s="260" t="s">
        <v>354</v>
      </c>
      <c r="W104" s="256">
        <f>IFERROR(aurora_data!U1594,0)</f>
        <v>0</v>
      </c>
      <c r="X104" s="261">
        <f t="shared" si="42"/>
        <v>0</v>
      </c>
      <c r="Y104" s="2"/>
      <c r="AB104" s="452"/>
      <c r="AC104" s="454"/>
      <c r="AD104" s="38" t="s">
        <v>343</v>
      </c>
      <c r="AE104" s="256">
        <f>IFERROR(aurora_data!D1594,0)+IFERROR(aurora_data!E1594,0)</f>
        <v>0</v>
      </c>
      <c r="AF104" s="257">
        <f>IFERROR(aurora_data!F1594,0)</f>
        <v>0</v>
      </c>
      <c r="AG104" s="257">
        <f>IFERROR(aurora_data!G1594,0)</f>
        <v>0</v>
      </c>
      <c r="AH104" s="257">
        <f>IFERROR(aurora_data!H1594,0)</f>
        <v>0</v>
      </c>
      <c r="AI104" s="343" t="s">
        <v>354</v>
      </c>
      <c r="AJ104" s="257">
        <f>IFERROR(aurora_data!U1594,0)</f>
        <v>0</v>
      </c>
      <c r="AK104" s="261">
        <f t="shared" si="41"/>
        <v>0</v>
      </c>
    </row>
    <row r="105" spans="1:37" customFormat="1" ht="16.5" outlineLevel="1" thickBot="1">
      <c r="A105" s="2"/>
      <c r="B105" s="147"/>
      <c r="C105" s="227"/>
      <c r="D105" s="199" t="s">
        <v>344</v>
      </c>
      <c r="E105" s="276">
        <f>((E107+$E$9)*($W96))</f>
        <v>1.02</v>
      </c>
      <c r="F105" s="277">
        <f>(F107+$E$9)*($W96)</f>
        <v>1.4200000000000002</v>
      </c>
      <c r="G105" s="277">
        <f>(G107+$E$9)*($W96)</f>
        <v>3.9499999999999993</v>
      </c>
      <c r="H105" s="277">
        <f>(H107+$E$9)*($W96)</f>
        <v>6.1800000000000006</v>
      </c>
      <c r="I105" s="277">
        <f>(I107+$E$9)*($W96)</f>
        <v>7.24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B105" s="147"/>
      <c r="AC105" s="227"/>
      <c r="AD105" s="199" t="s">
        <v>344</v>
      </c>
      <c r="AE105" s="294"/>
      <c r="AF105" s="295"/>
      <c r="AG105" s="295"/>
      <c r="AH105" s="295"/>
      <c r="AI105" s="343"/>
      <c r="AJ105" s="295"/>
      <c r="AK105" s="299"/>
    </row>
    <row r="106" spans="1:37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0.55000000000000004</v>
      </c>
      <c r="F106" s="277">
        <f>IF(ROUND(((F107-$E$9)*($W96))+0.25,0) &lt;=0,1,((F107-$E$9)*($W96))+0.25)</f>
        <v>0.95</v>
      </c>
      <c r="G106" s="277">
        <f t="shared" ref="G106:I106" si="43">IF(ROUND(((G107-$E$9)*($W96))+0.25,0) &lt;=0,1,((G107-$E$9)*($W96))+0.25)</f>
        <v>3.48</v>
      </c>
      <c r="H106" s="277">
        <f t="shared" si="43"/>
        <v>5.71</v>
      </c>
      <c r="I106" s="277">
        <f t="shared" si="43"/>
        <v>6.77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B106" s="147"/>
      <c r="AC106" s="227"/>
      <c r="AD106" s="199" t="s">
        <v>345</v>
      </c>
      <c r="AE106" s="294"/>
      <c r="AF106" s="295"/>
      <c r="AG106" s="295"/>
      <c r="AH106" s="295"/>
      <c r="AI106" s="343"/>
      <c r="AJ106" s="295"/>
      <c r="AK106" s="299"/>
    </row>
    <row r="107" spans="1:37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 t="shared" ref="F107" si="44">IFERROR(F96/$W96,0)</f>
        <v>5.8888888888888893E-2</v>
      </c>
      <c r="G107" s="415">
        <f>IFERROR(G96/$W96,0)</f>
        <v>0.19944444444444442</v>
      </c>
      <c r="H107" s="415">
        <f t="shared" ref="H107" si="45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B107" s="147"/>
      <c r="AC107" s="227"/>
      <c r="AD107" s="95" t="s">
        <v>346</v>
      </c>
      <c r="AE107" s="294"/>
      <c r="AF107" s="295"/>
      <c r="AG107" s="295"/>
      <c r="AH107" s="295"/>
      <c r="AI107" s="343"/>
      <c r="AJ107" s="295"/>
      <c r="AK107" s="299"/>
    </row>
    <row r="108" spans="1:37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5.5555555555555552E-2</v>
      </c>
      <c r="F108" s="415">
        <f t="shared" ref="F108:I108" si="46">IFERROR(F97/$W96,0)</f>
        <v>5.5555555555555552E-2</v>
      </c>
      <c r="G108" s="415">
        <f t="shared" si="46"/>
        <v>0.16666666666666666</v>
      </c>
      <c r="H108" s="415">
        <f t="shared" si="46"/>
        <v>0.33333333333333331</v>
      </c>
      <c r="I108" s="415">
        <f t="shared" si="46"/>
        <v>0.33333333333333331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B108" s="147"/>
      <c r="AC108" s="227"/>
      <c r="AD108" s="180" t="s">
        <v>347</v>
      </c>
      <c r="AE108" s="294"/>
      <c r="AF108" s="295"/>
      <c r="AG108" s="295"/>
      <c r="AH108" s="295"/>
      <c r="AI108" s="343"/>
      <c r="AJ108" s="295"/>
      <c r="AK108" s="299"/>
    </row>
    <row r="109" spans="1:37" customFormat="1" ht="16.5" hidden="1" outlineLevel="1" thickBot="1">
      <c r="A109" s="2"/>
      <c r="B109" s="147"/>
      <c r="C109" s="227"/>
      <c r="D109" s="180" t="s">
        <v>348</v>
      </c>
      <c r="E109" s="414">
        <f>E108-E107</f>
        <v>1.8888888888888886E-2</v>
      </c>
      <c r="F109" s="415">
        <f t="shared" ref="F109:I109" si="47">F108-F107</f>
        <v>-3.3333333333333409E-3</v>
      </c>
      <c r="G109" s="415">
        <f t="shared" si="47"/>
        <v>-3.2777777777777767E-2</v>
      </c>
      <c r="H109" s="415">
        <f t="shared" si="47"/>
        <v>9.9999999999999534E-3</v>
      </c>
      <c r="I109" s="415">
        <f t="shared" si="47"/>
        <v>-4.8888888888888926E-2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B109" s="147"/>
      <c r="AC109" s="227"/>
      <c r="AD109" s="180" t="s">
        <v>348</v>
      </c>
      <c r="AE109" s="294"/>
      <c r="AF109" s="295"/>
      <c r="AG109" s="295"/>
      <c r="AH109" s="295"/>
      <c r="AI109" s="343"/>
      <c r="AJ109" s="295"/>
      <c r="AK109" s="299"/>
    </row>
    <row r="110" spans="1:37" customFormat="1">
      <c r="A110" s="2"/>
      <c r="B110" s="560" t="s">
        <v>362</v>
      </c>
      <c r="C110" s="453" t="str">
        <f>aurora_data!A1595</f>
        <v>13.00.00-13.11.30</v>
      </c>
      <c r="D110" s="34" t="s">
        <v>306</v>
      </c>
      <c r="E110" s="39">
        <f>IFERROR(aurora_data!D1595,0)</f>
        <v>0.69</v>
      </c>
      <c r="F110" s="40">
        <f>IFERROR(aurora_data!E1595,0)</f>
        <v>1.1299999999999999</v>
      </c>
      <c r="G110" s="40">
        <f>IFERROR(aurora_data!F1595,0)</f>
        <v>3.61</v>
      </c>
      <c r="H110" s="40">
        <f>IFERROR(aurora_data!G1595,0)</f>
        <v>5.69</v>
      </c>
      <c r="I110" s="41">
        <f>IFERROR(aurora_data!H1595,0)</f>
        <v>6.89</v>
      </c>
      <c r="J110" s="39">
        <f>IFERROR(aurora_data!I1595,0)</f>
        <v>1</v>
      </c>
      <c r="K110" s="40">
        <f>IFERROR(aurora_data!J1595,0)</f>
        <v>1</v>
      </c>
      <c r="L110" s="40">
        <f>IFERROR(aurora_data!K1595,0)</f>
        <v>1</v>
      </c>
      <c r="M110" s="40">
        <f>IFERROR(aurora_data!L1595,0)</f>
        <v>1</v>
      </c>
      <c r="N110" s="41">
        <f>IFERROR(aurora_data!M1595,0)</f>
        <v>1</v>
      </c>
      <c r="O110" s="39">
        <f>IFERROR(aurora_data!N1595,0)</f>
        <v>1</v>
      </c>
      <c r="P110" s="40">
        <f>IFERROR(aurora_data!O1595,0)</f>
        <v>1</v>
      </c>
      <c r="Q110" s="40">
        <f>IFERROR(aurora_data!P1595,0)</f>
        <v>1</v>
      </c>
      <c r="R110" s="41">
        <f>IFERROR(aurora_data!Q1595,0)</f>
        <v>1</v>
      </c>
      <c r="S110" s="40">
        <f>IFERROR(aurora_data!R1595,0)</f>
        <v>1</v>
      </c>
      <c r="T110" s="40">
        <f>IFERROR(aurora_data!S1595,0)</f>
        <v>1</v>
      </c>
      <c r="U110" s="41">
        <f>IFERROR(aurora_data!T1195,0)</f>
        <v>0</v>
      </c>
      <c r="V110" s="61" t="s">
        <v>354</v>
      </c>
      <c r="W110" s="39">
        <f>IFERROR(aurora_data!U1595,0)</f>
        <v>18</v>
      </c>
      <c r="X110" s="69">
        <f>IFERROR(W110/$W$110,0)</f>
        <v>1</v>
      </c>
      <c r="Y110" s="2"/>
      <c r="AB110" s="451" t="s">
        <v>338</v>
      </c>
      <c r="AC110" s="453" t="str">
        <f>aurora_data!A1595</f>
        <v>13.00.00-13.11.30</v>
      </c>
      <c r="AD110" s="34" t="s">
        <v>306</v>
      </c>
      <c r="AE110" s="338">
        <v>2</v>
      </c>
      <c r="AF110" s="40">
        <v>4</v>
      </c>
      <c r="AG110" s="40">
        <v>6</v>
      </c>
      <c r="AH110" s="337">
        <v>6</v>
      </c>
      <c r="AI110" s="343" t="s">
        <v>354</v>
      </c>
      <c r="AJ110" s="40">
        <f>IFERROR(aurora_data!U1595,0)</f>
        <v>18</v>
      </c>
      <c r="AK110" s="69">
        <f t="shared" ref="AK110:AK118" si="48">IFERROR(AJ110/$AJ$110,0)</f>
        <v>1</v>
      </c>
    </row>
    <row r="111" spans="1:37" customFormat="1">
      <c r="A111" s="2"/>
      <c r="B111" s="561"/>
      <c r="C111" s="454"/>
      <c r="D111" s="35" t="s">
        <v>339</v>
      </c>
      <c r="E111" s="113">
        <f>IFERROR(aurora_data!D1596,0)</f>
        <v>2</v>
      </c>
      <c r="F111" s="253">
        <f>IFERROR(aurora_data!E1596,0)</f>
        <v>1</v>
      </c>
      <c r="G111" s="253">
        <f>IFERROR(aurora_data!F1596,0)</f>
        <v>4</v>
      </c>
      <c r="H111" s="253">
        <f>IFERROR(aurora_data!G1596,0)</f>
        <v>5</v>
      </c>
      <c r="I111" s="254">
        <f>IFERROR(aurora_data!H1596,0)</f>
        <v>6</v>
      </c>
      <c r="J111" s="113">
        <f>IFERROR(aurora_data!I1596,0)</f>
        <v>0</v>
      </c>
      <c r="K111" s="253">
        <f>IFERROR(aurora_data!J1596,0)</f>
        <v>4</v>
      </c>
      <c r="L111" s="253">
        <f>IFERROR(aurora_data!K1596,0)</f>
        <v>6</v>
      </c>
      <c r="M111" s="253">
        <f>IFERROR(aurora_data!L1596,0)</f>
        <v>3</v>
      </c>
      <c r="N111" s="254">
        <f>IFERROR(aurora_data!M1596,0)</f>
        <v>5</v>
      </c>
      <c r="O111" s="113">
        <f>IFERROR(aurora_data!N1596,0)</f>
        <v>3</v>
      </c>
      <c r="P111" s="253">
        <f>IFERROR(aurora_data!O1596,0)</f>
        <v>3</v>
      </c>
      <c r="Q111" s="253">
        <f>IFERROR(aurora_data!P1596,0)</f>
        <v>6</v>
      </c>
      <c r="R111" s="254">
        <f>IFERROR(aurora_data!Q1596,0)</f>
        <v>6</v>
      </c>
      <c r="S111" s="253">
        <f>IFERROR(aurora_data!R1596,0)</f>
        <v>7</v>
      </c>
      <c r="T111" s="253">
        <f>IFERROR(aurora_data!S1596,0)</f>
        <v>11</v>
      </c>
      <c r="U111" s="254">
        <f>IFERROR(aurora_data!T1196,0)</f>
        <v>0</v>
      </c>
      <c r="V111" s="61" t="s">
        <v>354</v>
      </c>
      <c r="W111" s="113">
        <f>IFERROR(aurora_data!U1596,0)</f>
        <v>18</v>
      </c>
      <c r="X111" s="255">
        <f t="shared" ref="X111:X118" si="49">IFERROR(W111/$W$110,0)</f>
        <v>1</v>
      </c>
      <c r="Y111" s="2"/>
      <c r="AB111" s="452"/>
      <c r="AC111" s="454"/>
      <c r="AD111" s="35" t="s">
        <v>339</v>
      </c>
      <c r="AE111" s="113">
        <f>IFERROR(aurora_data!D1596,0)+IFERROR(aurora_data!E1596,0)</f>
        <v>3</v>
      </c>
      <c r="AF111" s="253">
        <f>IFERROR(aurora_data!F1596,0)</f>
        <v>4</v>
      </c>
      <c r="AG111" s="253">
        <f>IFERROR(aurora_data!G1596,0)</f>
        <v>5</v>
      </c>
      <c r="AH111" s="253">
        <f>IFERROR(aurora_data!H1596,0)</f>
        <v>6</v>
      </c>
      <c r="AI111" s="343" t="s">
        <v>354</v>
      </c>
      <c r="AJ111" s="253">
        <f>IFERROR(aurora_data!U1596,0)</f>
        <v>18</v>
      </c>
      <c r="AK111" s="255">
        <f t="shared" si="48"/>
        <v>1</v>
      </c>
    </row>
    <row r="112" spans="1:37" customFormat="1">
      <c r="A112" s="2"/>
      <c r="B112" s="561"/>
      <c r="C112" s="454"/>
      <c r="D112" s="35" t="s">
        <v>291</v>
      </c>
      <c r="E112" s="113">
        <f>IFERROR(aurora_data!D1597,0)</f>
        <v>0</v>
      </c>
      <c r="F112" s="253">
        <f>IFERROR(aurora_data!E1597,0)</f>
        <v>0</v>
      </c>
      <c r="G112" s="253">
        <f>IFERROR(aurora_data!F1597,0)</f>
        <v>5</v>
      </c>
      <c r="H112" s="253">
        <f>IFERROR(aurora_data!G1597,0)</f>
        <v>0</v>
      </c>
      <c r="I112" s="254">
        <f>IFERROR(aurora_data!H1597,0)</f>
        <v>4</v>
      </c>
      <c r="J112" s="113">
        <f>IFERROR(aurora_data!I1597,0)</f>
        <v>0</v>
      </c>
      <c r="K112" s="253">
        <f>IFERROR(aurora_data!J1597,0)</f>
        <v>2</v>
      </c>
      <c r="L112" s="253">
        <f>IFERROR(aurora_data!K1597,0)</f>
        <v>2</v>
      </c>
      <c r="M112" s="253">
        <f>IFERROR(aurora_data!L1597,0)</f>
        <v>0</v>
      </c>
      <c r="N112" s="254">
        <f>IFERROR(aurora_data!M1597,0)</f>
        <v>5</v>
      </c>
      <c r="O112" s="113">
        <f>IFERROR(aurora_data!N1597,0)</f>
        <v>3</v>
      </c>
      <c r="P112" s="253">
        <f>IFERROR(aurora_data!O1597,0)</f>
        <v>1</v>
      </c>
      <c r="Q112" s="253">
        <f>IFERROR(aurora_data!P1597,0)</f>
        <v>4</v>
      </c>
      <c r="R112" s="254">
        <f>IFERROR(aurora_data!Q1597,0)</f>
        <v>1</v>
      </c>
      <c r="S112" s="253">
        <f>IFERROR(aurora_data!R1597,0)</f>
        <v>2</v>
      </c>
      <c r="T112" s="253">
        <f>IFERROR(aurora_data!S1597,0)</f>
        <v>7</v>
      </c>
      <c r="U112" s="254">
        <f>IFERROR(aurora_data!T1197,0)</f>
        <v>0</v>
      </c>
      <c r="V112" s="61" t="s">
        <v>354</v>
      </c>
      <c r="W112" s="113">
        <f>IFERROR(aurora_data!U1597,0)</f>
        <v>9</v>
      </c>
      <c r="X112" s="255">
        <f t="shared" si="49"/>
        <v>0.5</v>
      </c>
      <c r="Y112" s="2"/>
      <c r="AB112" s="452"/>
      <c r="AC112" s="454"/>
      <c r="AD112" s="35" t="s">
        <v>291</v>
      </c>
      <c r="AE112" s="113">
        <f>IFERROR(aurora_data!D1597,0)+IFERROR(aurora_data!E1597,0)</f>
        <v>0</v>
      </c>
      <c r="AF112" s="253">
        <f>IFERROR(aurora_data!F1597,0)</f>
        <v>5</v>
      </c>
      <c r="AG112" s="253">
        <f>IFERROR(aurora_data!G1597,0)</f>
        <v>0</v>
      </c>
      <c r="AH112" s="253">
        <f>IFERROR(aurora_data!H1597,0)</f>
        <v>4</v>
      </c>
      <c r="AI112" s="343" t="s">
        <v>354</v>
      </c>
      <c r="AJ112" s="253">
        <f>IFERROR(aurora_data!U1597,0)</f>
        <v>9</v>
      </c>
      <c r="AK112" s="255">
        <f t="shared" si="48"/>
        <v>0.5</v>
      </c>
    </row>
    <row r="113" spans="1:37" customFormat="1">
      <c r="A113" s="2"/>
      <c r="B113" s="561"/>
      <c r="C113" s="454"/>
      <c r="D113" s="35" t="s">
        <v>340</v>
      </c>
      <c r="E113" s="113">
        <f>IFERROR(aurora_data!D1598,0)</f>
        <v>0</v>
      </c>
      <c r="F113" s="253">
        <f>IFERROR(aurora_data!E1598,0)</f>
        <v>0</v>
      </c>
      <c r="G113" s="253">
        <f>IFERROR(aurora_data!F1598,0)</f>
        <v>0</v>
      </c>
      <c r="H113" s="253">
        <f>IFERROR(aurora_data!G1598,0)</f>
        <v>0</v>
      </c>
      <c r="I113" s="254">
        <f>IFERROR(aurora_data!H1598,0)</f>
        <v>0</v>
      </c>
      <c r="J113" s="113">
        <f>IFERROR(aurora_data!I1598,0)</f>
        <v>0</v>
      </c>
      <c r="K113" s="253">
        <f>IFERROR(aurora_data!J1598,0)</f>
        <v>0</v>
      </c>
      <c r="L113" s="253">
        <f>IFERROR(aurora_data!K1598,0)</f>
        <v>0</v>
      </c>
      <c r="M113" s="253">
        <f>IFERROR(aurora_data!L1598,0)</f>
        <v>0</v>
      </c>
      <c r="N113" s="254">
        <f>IFERROR(aurora_data!M1598,0)</f>
        <v>0</v>
      </c>
      <c r="O113" s="113">
        <f>IFERROR(aurora_data!N1598,0)</f>
        <v>0</v>
      </c>
      <c r="P113" s="253">
        <f>IFERROR(aurora_data!O1598,0)</f>
        <v>0</v>
      </c>
      <c r="Q113" s="253">
        <f>IFERROR(aurora_data!P1598,0)</f>
        <v>0</v>
      </c>
      <c r="R113" s="254">
        <f>IFERROR(aurora_data!Q1598,0)</f>
        <v>0</v>
      </c>
      <c r="S113" s="253">
        <f>IFERROR(aurora_data!R1598,0)</f>
        <v>0</v>
      </c>
      <c r="T113" s="253">
        <f>IFERROR(aurora_data!S1598,0)</f>
        <v>0</v>
      </c>
      <c r="U113" s="254">
        <f>IFERROR(aurora_data!T1198,0)</f>
        <v>0</v>
      </c>
      <c r="V113" s="61" t="s">
        <v>354</v>
      </c>
      <c r="W113" s="113">
        <f>IFERROR(aurora_data!U1598,0)</f>
        <v>0</v>
      </c>
      <c r="X113" s="255">
        <f t="shared" si="49"/>
        <v>0</v>
      </c>
      <c r="Y113" s="2"/>
      <c r="AB113" s="452"/>
      <c r="AC113" s="454"/>
      <c r="AD113" s="35" t="s">
        <v>340</v>
      </c>
      <c r="AE113" s="113">
        <f>IFERROR(aurora_data!D1598,0)+IFERROR(aurora_data!E1598,0)</f>
        <v>0</v>
      </c>
      <c r="AF113" s="253">
        <f>IFERROR(aurora_data!F1598,0)</f>
        <v>0</v>
      </c>
      <c r="AG113" s="253">
        <f>IFERROR(aurora_data!G1598,0)</f>
        <v>0</v>
      </c>
      <c r="AH113" s="253">
        <f>IFERROR(aurora_data!H1598,0)</f>
        <v>0</v>
      </c>
      <c r="AI113" s="343" t="s">
        <v>354</v>
      </c>
      <c r="AJ113" s="253">
        <f>IFERROR(aurora_data!U1598,0)</f>
        <v>0</v>
      </c>
      <c r="AK113" s="255">
        <f t="shared" si="48"/>
        <v>0</v>
      </c>
    </row>
    <row r="114" spans="1:37" customFormat="1">
      <c r="A114" s="2"/>
      <c r="B114" s="561"/>
      <c r="C114" s="454"/>
      <c r="D114" s="35" t="s">
        <v>298</v>
      </c>
      <c r="E114" s="113">
        <f>IFERROR(aurora_data!D1599,0)</f>
        <v>0</v>
      </c>
      <c r="F114" s="253">
        <f>IFERROR(aurora_data!E1599,0)</f>
        <v>0</v>
      </c>
      <c r="G114" s="253">
        <f>IFERROR(aurora_data!F1599,0)</f>
        <v>0</v>
      </c>
      <c r="H114" s="253">
        <f>IFERROR(aurora_data!G1599,0)</f>
        <v>0</v>
      </c>
      <c r="I114" s="254">
        <f>IFERROR(aurora_data!H1599,0)</f>
        <v>0</v>
      </c>
      <c r="J114" s="113">
        <f>IFERROR(aurora_data!I1599,0)</f>
        <v>0</v>
      </c>
      <c r="K114" s="253">
        <f>IFERROR(aurora_data!J1599,0)</f>
        <v>0</v>
      </c>
      <c r="L114" s="253">
        <f>IFERROR(aurora_data!K1599,0)</f>
        <v>0</v>
      </c>
      <c r="M114" s="253">
        <f>IFERROR(aurora_data!L1599,0)</f>
        <v>0</v>
      </c>
      <c r="N114" s="254">
        <f>IFERROR(aurora_data!M1599,0)</f>
        <v>0</v>
      </c>
      <c r="O114" s="113">
        <f>IFERROR(aurora_data!N1599,0)</f>
        <v>0</v>
      </c>
      <c r="P114" s="253">
        <f>IFERROR(aurora_data!O1599,0)</f>
        <v>0</v>
      </c>
      <c r="Q114" s="253">
        <f>IFERROR(aurora_data!P1599,0)</f>
        <v>0</v>
      </c>
      <c r="R114" s="254">
        <f>IFERROR(aurora_data!Q1599,0)</f>
        <v>0</v>
      </c>
      <c r="S114" s="253">
        <f>IFERROR(aurora_data!R1599,0)</f>
        <v>0</v>
      </c>
      <c r="T114" s="253">
        <f>IFERROR(aurora_data!S1599,0)</f>
        <v>0</v>
      </c>
      <c r="U114" s="254">
        <f>IFERROR(aurora_data!T1199,0)</f>
        <v>0</v>
      </c>
      <c r="V114" s="61" t="s">
        <v>354</v>
      </c>
      <c r="W114" s="113">
        <f>IFERROR(aurora_data!U1599,0)</f>
        <v>0</v>
      </c>
      <c r="X114" s="255">
        <f t="shared" si="49"/>
        <v>0</v>
      </c>
      <c r="Y114" s="2"/>
      <c r="AB114" s="452"/>
      <c r="AC114" s="454"/>
      <c r="AD114" s="35" t="s">
        <v>298</v>
      </c>
      <c r="AE114" s="113">
        <f>IFERROR(aurora_data!D1599,0)+IFERROR(aurora_data!E1599,0)</f>
        <v>0</v>
      </c>
      <c r="AF114" s="253">
        <f>IFERROR(aurora_data!F1599,0)</f>
        <v>0</v>
      </c>
      <c r="AG114" s="253">
        <f>IFERROR(aurora_data!G1599,0)</f>
        <v>0</v>
      </c>
      <c r="AH114" s="253">
        <f>IFERROR(aurora_data!H1599,0)</f>
        <v>0</v>
      </c>
      <c r="AI114" s="343" t="s">
        <v>354</v>
      </c>
      <c r="AJ114" s="253">
        <f>IFERROR(aurora_data!U1599,0)</f>
        <v>0</v>
      </c>
      <c r="AK114" s="255">
        <f t="shared" si="48"/>
        <v>0</v>
      </c>
    </row>
    <row r="115" spans="1:37" customFormat="1">
      <c r="A115" s="2"/>
      <c r="B115" s="561"/>
      <c r="C115" s="454"/>
      <c r="D115" s="35" t="s">
        <v>341</v>
      </c>
      <c r="E115" s="113">
        <f>IFERROR(aurora_data!D1600,0)</f>
        <v>0</v>
      </c>
      <c r="F115" s="253">
        <f>IFERROR(aurora_data!E1600,0)</f>
        <v>0</v>
      </c>
      <c r="G115" s="253">
        <f>IFERROR(aurora_data!F1600,0)</f>
        <v>0</v>
      </c>
      <c r="H115" s="253">
        <f>IFERROR(aurora_data!G1600,0)</f>
        <v>0</v>
      </c>
      <c r="I115" s="254">
        <f>IFERROR(aurora_data!H1600,0)</f>
        <v>0</v>
      </c>
      <c r="J115" s="113">
        <f>IFERROR(aurora_data!I1600,0)</f>
        <v>0</v>
      </c>
      <c r="K115" s="253">
        <f>IFERROR(aurora_data!J1600,0)</f>
        <v>0</v>
      </c>
      <c r="L115" s="253">
        <f>IFERROR(aurora_data!K1600,0)</f>
        <v>0</v>
      </c>
      <c r="M115" s="253">
        <f>IFERROR(aurora_data!L1600,0)</f>
        <v>0</v>
      </c>
      <c r="N115" s="254">
        <f>IFERROR(aurora_data!M1600,0)</f>
        <v>0</v>
      </c>
      <c r="O115" s="113">
        <f>IFERROR(aurora_data!N1600,0)</f>
        <v>0</v>
      </c>
      <c r="P115" s="253">
        <f>IFERROR(aurora_data!O1600,0)</f>
        <v>0</v>
      </c>
      <c r="Q115" s="253">
        <f>IFERROR(aurora_data!P1600,0)</f>
        <v>0</v>
      </c>
      <c r="R115" s="254">
        <f>IFERROR(aurora_data!Q1600,0)</f>
        <v>0</v>
      </c>
      <c r="S115" s="253">
        <f>IFERROR(aurora_data!R1600,0)</f>
        <v>0</v>
      </c>
      <c r="T115" s="253">
        <f>IFERROR(aurora_data!S1600,0)</f>
        <v>0</v>
      </c>
      <c r="U115" s="254">
        <f>IFERROR(aurora_data!T1200,0)</f>
        <v>0</v>
      </c>
      <c r="V115" s="61" t="s">
        <v>354</v>
      </c>
      <c r="W115" s="113">
        <f>IFERROR(aurora_data!U1600,0)</f>
        <v>0</v>
      </c>
      <c r="X115" s="255">
        <f t="shared" si="49"/>
        <v>0</v>
      </c>
      <c r="Y115" s="2"/>
      <c r="AB115" s="452"/>
      <c r="AC115" s="454"/>
      <c r="AD115" s="35" t="s">
        <v>341</v>
      </c>
      <c r="AE115" s="113">
        <f>IFERROR(aurora_data!D1600,0)+IFERROR(aurora_data!E1600,0)</f>
        <v>0</v>
      </c>
      <c r="AF115" s="253">
        <f>IFERROR(aurora_data!F1600,0)</f>
        <v>0</v>
      </c>
      <c r="AG115" s="253">
        <f>IFERROR(aurora_data!G1600,0)</f>
        <v>0</v>
      </c>
      <c r="AH115" s="253">
        <f>IFERROR(aurora_data!H1600,0)</f>
        <v>0</v>
      </c>
      <c r="AI115" s="343" t="s">
        <v>354</v>
      </c>
      <c r="AJ115" s="253">
        <f>IFERROR(aurora_data!U1600,0)</f>
        <v>0</v>
      </c>
      <c r="AK115" s="255">
        <f t="shared" si="48"/>
        <v>0</v>
      </c>
    </row>
    <row r="116" spans="1:37" customFormat="1" ht="16.5" thickBot="1">
      <c r="A116" s="2"/>
      <c r="B116" s="561"/>
      <c r="C116" s="454"/>
      <c r="D116" s="35" t="s">
        <v>342</v>
      </c>
      <c r="E116" s="113">
        <f>IFERROR(aurora_data!D1601,0)</f>
        <v>0</v>
      </c>
      <c r="F116" s="253">
        <f>IFERROR(aurora_data!E1601,0)</f>
        <v>0</v>
      </c>
      <c r="G116" s="253">
        <f>IFERROR(aurora_data!F1601,0)</f>
        <v>0</v>
      </c>
      <c r="H116" s="253">
        <f>IFERROR(aurora_data!G1601,0)</f>
        <v>0</v>
      </c>
      <c r="I116" s="254">
        <f>IFERROR(aurora_data!H1601,0)</f>
        <v>0</v>
      </c>
      <c r="J116" s="113">
        <f>IFERROR(aurora_data!I1601,0)</f>
        <v>0</v>
      </c>
      <c r="K116" s="253">
        <f>IFERROR(aurora_data!J1601,0)</f>
        <v>0</v>
      </c>
      <c r="L116" s="253">
        <f>IFERROR(aurora_data!K1601,0)</f>
        <v>0</v>
      </c>
      <c r="M116" s="253">
        <f>IFERROR(aurora_data!L1601,0)</f>
        <v>0</v>
      </c>
      <c r="N116" s="254">
        <f>IFERROR(aurora_data!M1601,0)</f>
        <v>0</v>
      </c>
      <c r="O116" s="113">
        <f>IFERROR(aurora_data!N1601,0)</f>
        <v>0</v>
      </c>
      <c r="P116" s="253">
        <f>IFERROR(aurora_data!O1601,0)</f>
        <v>0</v>
      </c>
      <c r="Q116" s="253">
        <f>IFERROR(aurora_data!P1601,0)</f>
        <v>0</v>
      </c>
      <c r="R116" s="254">
        <f>IFERROR(aurora_data!Q1601,0)</f>
        <v>0</v>
      </c>
      <c r="S116" s="253">
        <f>IFERROR(aurora_data!R1601,0)</f>
        <v>0</v>
      </c>
      <c r="T116" s="253">
        <f>IFERROR(aurora_data!S1601,0)</f>
        <v>0</v>
      </c>
      <c r="U116" s="254">
        <f>IFERROR(aurora_data!T1201,0)</f>
        <v>0</v>
      </c>
      <c r="V116" s="61" t="s">
        <v>354</v>
      </c>
      <c r="W116" s="113">
        <f>IFERROR(aurora_data!U1601,0)</f>
        <v>0</v>
      </c>
      <c r="X116" s="255">
        <f t="shared" si="49"/>
        <v>0</v>
      </c>
      <c r="Y116" s="2"/>
      <c r="AB116" s="452"/>
      <c r="AC116" s="454"/>
      <c r="AD116" s="35" t="s">
        <v>342</v>
      </c>
      <c r="AE116" s="113">
        <f>IFERROR(aurora_data!D1601,0)+IFERROR(aurora_data!E1601,0)</f>
        <v>0</v>
      </c>
      <c r="AF116" s="253">
        <f>IFERROR(aurora_data!F1601,0)</f>
        <v>0</v>
      </c>
      <c r="AG116" s="253">
        <f>IFERROR(aurora_data!G1601,0)</f>
        <v>0</v>
      </c>
      <c r="AH116" s="253">
        <f>IFERROR(aurora_data!H1601,0)</f>
        <v>0</v>
      </c>
      <c r="AI116" s="343" t="s">
        <v>354</v>
      </c>
      <c r="AJ116" s="253">
        <f>IFERROR(aurora_data!U1601,0)</f>
        <v>0</v>
      </c>
      <c r="AK116" s="255">
        <f t="shared" si="48"/>
        <v>0</v>
      </c>
    </row>
    <row r="117" spans="1:37" customFormat="1" ht="16.5" thickBot="1">
      <c r="A117" s="2"/>
      <c r="B117" s="561"/>
      <c r="C117" s="454"/>
      <c r="D117" s="37" t="s">
        <v>17</v>
      </c>
      <c r="E117" s="59">
        <f>IFERROR(aurora_data!D1602,0)</f>
        <v>2</v>
      </c>
      <c r="F117" s="64">
        <f>IFERROR(aurora_data!E1602,0)</f>
        <v>1</v>
      </c>
      <c r="G117" s="64">
        <f>IFERROR(aurora_data!F1602,0)</f>
        <v>9</v>
      </c>
      <c r="H117" s="64">
        <f>IFERROR(aurora_data!G1602,0)</f>
        <v>5</v>
      </c>
      <c r="I117" s="65">
        <f>IFERROR(aurora_data!H1602,0)</f>
        <v>10</v>
      </c>
      <c r="J117" s="59">
        <f>IFERROR(aurora_data!I1602,0)</f>
        <v>0</v>
      </c>
      <c r="K117" s="64">
        <f>IFERROR(aurora_data!J1602,0)</f>
        <v>6</v>
      </c>
      <c r="L117" s="64">
        <f>IFERROR(aurora_data!K1602,0)</f>
        <v>8</v>
      </c>
      <c r="M117" s="64">
        <f>IFERROR(aurora_data!L1602,0)</f>
        <v>3</v>
      </c>
      <c r="N117" s="65">
        <f>IFERROR(aurora_data!M1602,0)</f>
        <v>10</v>
      </c>
      <c r="O117" s="59">
        <f>IFERROR(aurora_data!N1602,0)</f>
        <v>6</v>
      </c>
      <c r="P117" s="64">
        <f>IFERROR(aurora_data!O1602,0)</f>
        <v>4</v>
      </c>
      <c r="Q117" s="64">
        <f>IFERROR(aurora_data!P1602,0)</f>
        <v>10</v>
      </c>
      <c r="R117" s="65">
        <f>IFERROR(aurora_data!Q1602,0)</f>
        <v>7</v>
      </c>
      <c r="S117" s="64">
        <f>IFERROR(aurora_data!R1602,0)</f>
        <v>9</v>
      </c>
      <c r="T117" s="64">
        <f>IFERROR(aurora_data!S1602,0)</f>
        <v>18</v>
      </c>
      <c r="U117" s="65">
        <f>IFERROR(aurora_data!T1202,0)</f>
        <v>0</v>
      </c>
      <c r="V117" s="66" t="s">
        <v>354</v>
      </c>
      <c r="W117" s="59">
        <f>IFERROR(aurora_data!U1602,0)</f>
        <v>27</v>
      </c>
      <c r="X117" s="70">
        <f t="shared" si="49"/>
        <v>1.5</v>
      </c>
      <c r="Y117" s="2"/>
      <c r="AB117" s="452"/>
      <c r="AC117" s="454"/>
      <c r="AD117" s="37" t="s">
        <v>17</v>
      </c>
      <c r="AE117" s="59">
        <f>IFERROR(aurora_data!D1602,0)+IFERROR(aurora_data!E1602,0)</f>
        <v>3</v>
      </c>
      <c r="AF117" s="64">
        <f>IFERROR(aurora_data!F1602,0)</f>
        <v>9</v>
      </c>
      <c r="AG117" s="64">
        <f>IFERROR(aurora_data!G1602,0)</f>
        <v>5</v>
      </c>
      <c r="AH117" s="64">
        <f>IFERROR(aurora_data!H1602,0)</f>
        <v>10</v>
      </c>
      <c r="AI117" s="344" t="s">
        <v>354</v>
      </c>
      <c r="AJ117" s="64">
        <f>IFERROR(aurora_data!U1602,0)</f>
        <v>27</v>
      </c>
      <c r="AK117" s="70">
        <f t="shared" si="48"/>
        <v>1.5</v>
      </c>
    </row>
    <row r="118" spans="1:37" customFormat="1" ht="16.5" thickBot="1">
      <c r="A118" s="2"/>
      <c r="B118" s="561"/>
      <c r="C118" s="454"/>
      <c r="D118" s="38" t="s">
        <v>343</v>
      </c>
      <c r="E118" s="256">
        <f>IFERROR(aurora_data!D1603,0)</f>
        <v>0</v>
      </c>
      <c r="F118" s="257">
        <f>IFERROR(aurora_data!E1603,0)</f>
        <v>0</v>
      </c>
      <c r="G118" s="257">
        <f>IFERROR(aurora_data!F1603,0)</f>
        <v>0</v>
      </c>
      <c r="H118" s="257">
        <f>IFERROR(aurora_data!G1603,0)</f>
        <v>0</v>
      </c>
      <c r="I118" s="258">
        <f>IFERROR(aurora_data!H1603,0)</f>
        <v>0</v>
      </c>
      <c r="J118" s="256">
        <f>IFERROR(aurora_data!I1603,0)</f>
        <v>0</v>
      </c>
      <c r="K118" s="257">
        <f>IFERROR(aurora_data!J1603,0)</f>
        <v>0</v>
      </c>
      <c r="L118" s="257">
        <f>IFERROR(aurora_data!K1603,0)</f>
        <v>0</v>
      </c>
      <c r="M118" s="257">
        <f>IFERROR(aurora_data!L1603,0)</f>
        <v>0</v>
      </c>
      <c r="N118" s="258">
        <f>IFERROR(aurora_data!M1603,0)</f>
        <v>0</v>
      </c>
      <c r="O118" s="256">
        <f>IFERROR(aurora_data!N1603,0)</f>
        <v>0</v>
      </c>
      <c r="P118" s="257">
        <f>IFERROR(aurora_data!O1603,0)</f>
        <v>0</v>
      </c>
      <c r="Q118" s="257">
        <f>IFERROR(aurora_data!P1603,0)</f>
        <v>0</v>
      </c>
      <c r="R118" s="258">
        <f>IFERROR(aurora_data!Q1603,0)</f>
        <v>0</v>
      </c>
      <c r="S118" s="257">
        <f>IFERROR(aurora_data!R1603,0)</f>
        <v>0</v>
      </c>
      <c r="T118" s="257">
        <f>IFERROR(aurora_data!S1603,0)</f>
        <v>0</v>
      </c>
      <c r="U118" s="259">
        <f>IFERROR(aurora_data!T1203,0)</f>
        <v>0</v>
      </c>
      <c r="V118" s="260" t="s">
        <v>354</v>
      </c>
      <c r="W118" s="256">
        <f>IFERROR(aurora_data!U1603,0)</f>
        <v>0</v>
      </c>
      <c r="X118" s="261">
        <f t="shared" si="49"/>
        <v>0</v>
      </c>
      <c r="Y118" s="2"/>
      <c r="AB118" s="452"/>
      <c r="AC118" s="454"/>
      <c r="AD118" s="38" t="s">
        <v>343</v>
      </c>
      <c r="AE118" s="256">
        <f>IFERROR(aurora_data!D1603,0)+IFERROR(aurora_data!E1603,0)</f>
        <v>0</v>
      </c>
      <c r="AF118" s="257">
        <f>IFERROR(aurora_data!F1603,0)</f>
        <v>0</v>
      </c>
      <c r="AG118" s="257">
        <f>IFERROR(aurora_data!G1603,0)</f>
        <v>0</v>
      </c>
      <c r="AH118" s="257">
        <f>IFERROR(aurora_data!H1603,0)</f>
        <v>0</v>
      </c>
      <c r="AI118" s="343" t="s">
        <v>354</v>
      </c>
      <c r="AJ118" s="257">
        <f>IFERROR(aurora_data!U1603,0)</f>
        <v>0</v>
      </c>
      <c r="AK118" s="261">
        <f t="shared" si="48"/>
        <v>0</v>
      </c>
    </row>
    <row r="119" spans="1:37" customFormat="1" ht="16.5" outlineLevel="1" thickBot="1">
      <c r="A119" s="2"/>
      <c r="B119" s="147"/>
      <c r="C119" s="227"/>
      <c r="D119" s="199" t="s">
        <v>344</v>
      </c>
      <c r="E119" s="276">
        <f>((E121+$E$9)*($W110))</f>
        <v>1.05</v>
      </c>
      <c r="F119" s="277">
        <f>(F121+$E$9)*($W110)</f>
        <v>1.4899999999999998</v>
      </c>
      <c r="G119" s="277">
        <f>(G121+$E$9)*($W110)</f>
        <v>3.9699999999999998</v>
      </c>
      <c r="H119" s="277">
        <f>(H121+$E$9)*($W110)</f>
        <v>6.0500000000000007</v>
      </c>
      <c r="I119" s="277">
        <f>(I121+$E$9)*($W110)</f>
        <v>7.25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B119" s="147"/>
      <c r="AC119" s="227"/>
      <c r="AD119" s="199" t="s">
        <v>344</v>
      </c>
      <c r="AE119" s="294"/>
      <c r="AF119" s="295"/>
      <c r="AG119" s="295"/>
      <c r="AH119" s="295"/>
      <c r="AI119" s="343"/>
      <c r="AJ119" s="295"/>
      <c r="AK119" s="299"/>
    </row>
    <row r="120" spans="1:37" customFormat="1" ht="16.5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0.57999999999999996</v>
      </c>
      <c r="F120" s="277">
        <f>IF(ROUND(((F121-$E$9)*($W110))+0.25,0) &lt;=0,1,((F121-$E$9)*($W110))+0.25)</f>
        <v>1.0199999999999996</v>
      </c>
      <c r="G120" s="277">
        <f t="shared" ref="G120:I120" si="50">IF(ROUND(((G121-$E$9)*($W110))+0.25,0) &lt;=0,1,((G121-$E$9)*($W110))+0.25)</f>
        <v>3.5</v>
      </c>
      <c r="H120" s="277">
        <f t="shared" si="50"/>
        <v>5.58</v>
      </c>
      <c r="I120" s="277">
        <f t="shared" si="50"/>
        <v>6.7799999999999994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B120" s="147"/>
      <c r="AC120" s="227"/>
      <c r="AD120" s="199" t="s">
        <v>345</v>
      </c>
      <c r="AE120" s="294"/>
      <c r="AF120" s="295"/>
      <c r="AG120" s="295"/>
      <c r="AH120" s="295"/>
      <c r="AI120" s="343"/>
      <c r="AJ120" s="295"/>
      <c r="AK120" s="299"/>
    </row>
    <row r="121" spans="1:37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3.833333333333333E-2</v>
      </c>
      <c r="F121" s="415">
        <f t="shared" ref="F121" si="51">IFERROR(F110/$W110,0)</f>
        <v>6.2777777777777766E-2</v>
      </c>
      <c r="G121" s="415">
        <f>IFERROR(G110/$W110,0)</f>
        <v>0.20055555555555554</v>
      </c>
      <c r="H121" s="415">
        <f t="shared" ref="H121" si="52">IFERROR(H110/$W110,0)</f>
        <v>0.31611111111111112</v>
      </c>
      <c r="I121" s="415">
        <f>IFERROR(I110/$W110,0)</f>
        <v>0.38277777777777777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B121" s="147"/>
      <c r="AC121" s="227"/>
      <c r="AD121" s="95" t="s">
        <v>346</v>
      </c>
      <c r="AE121" s="294"/>
      <c r="AF121" s="295"/>
      <c r="AG121" s="295"/>
      <c r="AH121" s="295"/>
      <c r="AI121" s="343"/>
      <c r="AJ121" s="295"/>
      <c r="AK121" s="299"/>
    </row>
    <row r="122" spans="1:37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0.1111111111111111</v>
      </c>
      <c r="F122" s="415">
        <f t="shared" ref="F122:I122" si="53">IFERROR(F111/$W110,0)</f>
        <v>5.5555555555555552E-2</v>
      </c>
      <c r="G122" s="415">
        <f t="shared" si="53"/>
        <v>0.22222222222222221</v>
      </c>
      <c r="H122" s="415">
        <f t="shared" si="53"/>
        <v>0.27777777777777779</v>
      </c>
      <c r="I122" s="415">
        <f t="shared" si="53"/>
        <v>0.33333333333333331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B122" s="147"/>
      <c r="AC122" s="227"/>
      <c r="AD122" s="180" t="s">
        <v>347</v>
      </c>
      <c r="AE122" s="294"/>
      <c r="AF122" s="295"/>
      <c r="AG122" s="295"/>
      <c r="AH122" s="295"/>
      <c r="AI122" s="343"/>
      <c r="AJ122" s="295"/>
      <c r="AK122" s="299"/>
    </row>
    <row r="123" spans="1:37" customFormat="1" ht="16.5" hidden="1" outlineLevel="1" thickBot="1">
      <c r="A123" s="2"/>
      <c r="B123" s="147"/>
      <c r="C123" s="227"/>
      <c r="D123" s="180" t="s">
        <v>348</v>
      </c>
      <c r="E123" s="414">
        <f>E122-E121</f>
        <v>7.2777777777777775E-2</v>
      </c>
      <c r="F123" s="415">
        <f t="shared" ref="F123:I123" si="54">F122-F121</f>
        <v>-7.2222222222222132E-3</v>
      </c>
      <c r="G123" s="415">
        <f t="shared" si="54"/>
        <v>2.1666666666666667E-2</v>
      </c>
      <c r="H123" s="415">
        <f t="shared" si="54"/>
        <v>-3.833333333333333E-2</v>
      </c>
      <c r="I123" s="415">
        <f t="shared" si="54"/>
        <v>-4.9444444444444458E-2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B123" s="147"/>
      <c r="AC123" s="227"/>
      <c r="AD123" s="180" t="s">
        <v>348</v>
      </c>
      <c r="AE123" s="294"/>
      <c r="AF123" s="295"/>
      <c r="AG123" s="295"/>
      <c r="AH123" s="295"/>
      <c r="AI123" s="343"/>
      <c r="AJ123" s="295"/>
      <c r="AK123" s="299"/>
    </row>
    <row r="124" spans="1:37" customFormat="1">
      <c r="A124" s="2"/>
      <c r="B124" s="560" t="s">
        <v>362</v>
      </c>
      <c r="C124" s="453" t="str">
        <f>aurora_data!A1604</f>
        <v>14.00.00-14.11.30</v>
      </c>
      <c r="D124" s="34" t="s">
        <v>306</v>
      </c>
      <c r="E124" s="39">
        <f>IFERROR(aurora_data!D1604,0)</f>
        <v>0.73</v>
      </c>
      <c r="F124" s="40">
        <f>IFERROR(aurora_data!E1604,0)</f>
        <v>1.22</v>
      </c>
      <c r="G124" s="40">
        <f>IFERROR(aurora_data!F1604,0)</f>
        <v>3.62</v>
      </c>
      <c r="H124" s="40">
        <f>IFERROR(aurora_data!G1604,0)</f>
        <v>5.68</v>
      </c>
      <c r="I124" s="41">
        <f>IFERROR(aurora_data!H1604,0)</f>
        <v>6.75</v>
      </c>
      <c r="J124" s="39">
        <f>IFERROR(aurora_data!I1604,0)</f>
        <v>1</v>
      </c>
      <c r="K124" s="40">
        <f>IFERROR(aurora_data!J1604,0)</f>
        <v>1</v>
      </c>
      <c r="L124" s="40">
        <f>IFERROR(aurora_data!K1604,0)</f>
        <v>1</v>
      </c>
      <c r="M124" s="40">
        <f>IFERROR(aurora_data!L1604,0)</f>
        <v>1</v>
      </c>
      <c r="N124" s="41">
        <f>IFERROR(aurora_data!M1604,0)</f>
        <v>1</v>
      </c>
      <c r="O124" s="39">
        <f>IFERROR(aurora_data!N1604,0)</f>
        <v>1</v>
      </c>
      <c r="P124" s="40">
        <f>IFERROR(aurora_data!O1604,0)</f>
        <v>1</v>
      </c>
      <c r="Q124" s="40">
        <f>IFERROR(aurora_data!P1604,0)</f>
        <v>1</v>
      </c>
      <c r="R124" s="41">
        <f>IFERROR(aurora_data!Q1604,0)</f>
        <v>1</v>
      </c>
      <c r="S124" s="40">
        <f>IFERROR(aurora_data!R1604,0)</f>
        <v>1</v>
      </c>
      <c r="T124" s="40">
        <f>IFERROR(aurora_data!S1604,0)</f>
        <v>1</v>
      </c>
      <c r="U124" s="41">
        <f>IFERROR(aurora_data!T1204,0)</f>
        <v>0</v>
      </c>
      <c r="V124" s="61" t="s">
        <v>354</v>
      </c>
      <c r="W124" s="39">
        <f>IFERROR(aurora_data!U1604,0)</f>
        <v>18</v>
      </c>
      <c r="X124" s="69">
        <f>IFERROR(W124/$W$124,0)</f>
        <v>1</v>
      </c>
      <c r="Y124" s="2"/>
      <c r="AB124" s="451" t="s">
        <v>338</v>
      </c>
      <c r="AC124" s="453" t="str">
        <f>aurora_data!A1604</f>
        <v>14.00.00-14.11.30</v>
      </c>
      <c r="AD124" s="34" t="s">
        <v>306</v>
      </c>
      <c r="AE124" s="338">
        <v>2</v>
      </c>
      <c r="AF124" s="40">
        <v>4</v>
      </c>
      <c r="AG124" s="40">
        <v>6</v>
      </c>
      <c r="AH124" s="337">
        <v>6</v>
      </c>
      <c r="AI124" s="343" t="s">
        <v>354</v>
      </c>
      <c r="AJ124" s="40">
        <f>IFERROR(aurora_data!U1604,0)</f>
        <v>18</v>
      </c>
      <c r="AK124" s="69">
        <f t="shared" ref="AK124:AK132" si="55">IFERROR(AJ124/$AJ$124,0)</f>
        <v>1</v>
      </c>
    </row>
    <row r="125" spans="1:37" customFormat="1">
      <c r="A125" s="2"/>
      <c r="B125" s="561"/>
      <c r="C125" s="454"/>
      <c r="D125" s="35" t="s">
        <v>339</v>
      </c>
      <c r="E125" s="113">
        <f>IFERROR(aurora_data!D1605,0)</f>
        <v>0</v>
      </c>
      <c r="F125" s="253">
        <f>IFERROR(aurora_data!E1605,0)</f>
        <v>1</v>
      </c>
      <c r="G125" s="253">
        <f>IFERROR(aurora_data!F1605,0)</f>
        <v>4</v>
      </c>
      <c r="H125" s="253">
        <f>IFERROR(aurora_data!G1605,0)</f>
        <v>6</v>
      </c>
      <c r="I125" s="254">
        <f>IFERROR(aurora_data!H1605,0)</f>
        <v>7</v>
      </c>
      <c r="J125" s="113">
        <f>IFERROR(aurora_data!I1605,0)</f>
        <v>2</v>
      </c>
      <c r="K125" s="253">
        <f>IFERROR(aurora_data!J1605,0)</f>
        <v>2</v>
      </c>
      <c r="L125" s="253">
        <f>IFERROR(aurora_data!K1605,0)</f>
        <v>6</v>
      </c>
      <c r="M125" s="253">
        <f>IFERROR(aurora_data!L1605,0)</f>
        <v>1</v>
      </c>
      <c r="N125" s="254">
        <f>IFERROR(aurora_data!M1605,0)</f>
        <v>7</v>
      </c>
      <c r="O125" s="113">
        <f>IFERROR(aurora_data!N1605,0)</f>
        <v>7</v>
      </c>
      <c r="P125" s="253">
        <f>IFERROR(aurora_data!O1605,0)</f>
        <v>4</v>
      </c>
      <c r="Q125" s="253">
        <f>IFERROR(aurora_data!P1605,0)</f>
        <v>4</v>
      </c>
      <c r="R125" s="254">
        <f>IFERROR(aurora_data!Q1605,0)</f>
        <v>3</v>
      </c>
      <c r="S125" s="253">
        <f>IFERROR(aurora_data!R1605,0)</f>
        <v>9</v>
      </c>
      <c r="T125" s="253">
        <f>IFERROR(aurora_data!S1605,0)</f>
        <v>9</v>
      </c>
      <c r="U125" s="254">
        <f>IFERROR(aurora_data!T1205,0)</f>
        <v>0</v>
      </c>
      <c r="V125" s="61" t="s">
        <v>354</v>
      </c>
      <c r="W125" s="113">
        <f>IFERROR(aurora_data!U1605,0)</f>
        <v>18</v>
      </c>
      <c r="X125" s="255">
        <f t="shared" ref="X125:X132" si="56">IFERROR(W125/$W$124,0)</f>
        <v>1</v>
      </c>
      <c r="Y125" s="2"/>
      <c r="AB125" s="452"/>
      <c r="AC125" s="454"/>
      <c r="AD125" s="35" t="s">
        <v>339</v>
      </c>
      <c r="AE125" s="113">
        <f>IFERROR(aurora_data!D1605,0)+IFERROR(aurora_data!E1605,0)</f>
        <v>1</v>
      </c>
      <c r="AF125" s="253">
        <f>IFERROR(aurora_data!F1605,0)</f>
        <v>4</v>
      </c>
      <c r="AG125" s="253">
        <f>IFERROR(aurora_data!G1605,0)</f>
        <v>6</v>
      </c>
      <c r="AH125" s="253">
        <f>IFERROR(aurora_data!H1605,0)</f>
        <v>7</v>
      </c>
      <c r="AI125" s="343" t="s">
        <v>354</v>
      </c>
      <c r="AJ125" s="253">
        <f>IFERROR(aurora_data!U1605,0)</f>
        <v>18</v>
      </c>
      <c r="AK125" s="255">
        <f t="shared" si="55"/>
        <v>1</v>
      </c>
    </row>
    <row r="126" spans="1:37" customFormat="1">
      <c r="A126" s="2"/>
      <c r="B126" s="561"/>
      <c r="C126" s="454"/>
      <c r="D126" s="35" t="s">
        <v>291</v>
      </c>
      <c r="E126" s="113">
        <f>IFERROR(aurora_data!D1606,0)</f>
        <v>0</v>
      </c>
      <c r="F126" s="253">
        <f>IFERROR(aurora_data!E1606,0)</f>
        <v>0</v>
      </c>
      <c r="G126" s="253">
        <f>IFERROR(aurora_data!F1606,0)</f>
        <v>0</v>
      </c>
      <c r="H126" s="253">
        <f>IFERROR(aurora_data!G1606,0)</f>
        <v>0</v>
      </c>
      <c r="I126" s="254">
        <f>IFERROR(aurora_data!H1606,0)</f>
        <v>0</v>
      </c>
      <c r="J126" s="113">
        <f>IFERROR(aurora_data!I1606,0)</f>
        <v>0</v>
      </c>
      <c r="K126" s="253">
        <f>IFERROR(aurora_data!J1606,0)</f>
        <v>0</v>
      </c>
      <c r="L126" s="253">
        <f>IFERROR(aurora_data!K1606,0)</f>
        <v>0</v>
      </c>
      <c r="M126" s="253">
        <f>IFERROR(aurora_data!L1606,0)</f>
        <v>0</v>
      </c>
      <c r="N126" s="254">
        <f>IFERROR(aurora_data!M1606,0)</f>
        <v>0</v>
      </c>
      <c r="O126" s="113">
        <f>IFERROR(aurora_data!N1606,0)</f>
        <v>0</v>
      </c>
      <c r="P126" s="253">
        <f>IFERROR(aurora_data!O1606,0)</f>
        <v>0</v>
      </c>
      <c r="Q126" s="253">
        <f>IFERROR(aurora_data!P1606,0)</f>
        <v>0</v>
      </c>
      <c r="R126" s="254">
        <f>IFERROR(aurora_data!Q1606,0)</f>
        <v>0</v>
      </c>
      <c r="S126" s="253">
        <f>IFERROR(aurora_data!R1606,0)</f>
        <v>0</v>
      </c>
      <c r="T126" s="253">
        <f>IFERROR(aurora_data!S1606,0)</f>
        <v>0</v>
      </c>
      <c r="U126" s="254">
        <f>IFERROR(aurora_data!T1206,0)</f>
        <v>0</v>
      </c>
      <c r="V126" s="61" t="s">
        <v>354</v>
      </c>
      <c r="W126" s="113">
        <f>IFERROR(aurora_data!U1606,0)</f>
        <v>0</v>
      </c>
      <c r="X126" s="255">
        <f t="shared" si="56"/>
        <v>0</v>
      </c>
      <c r="Y126" s="2"/>
      <c r="AB126" s="452"/>
      <c r="AC126" s="454"/>
      <c r="AD126" s="35" t="s">
        <v>291</v>
      </c>
      <c r="AE126" s="113">
        <f>IFERROR(aurora_data!D1606,0)+IFERROR(aurora_data!E1606,0)</f>
        <v>0</v>
      </c>
      <c r="AF126" s="253">
        <f>IFERROR(aurora_data!F1606,0)</f>
        <v>0</v>
      </c>
      <c r="AG126" s="253">
        <f>IFERROR(aurora_data!G1606,0)</f>
        <v>0</v>
      </c>
      <c r="AH126" s="253">
        <f>IFERROR(aurora_data!H1606,0)</f>
        <v>0</v>
      </c>
      <c r="AI126" s="343" t="s">
        <v>354</v>
      </c>
      <c r="AJ126" s="253">
        <f>IFERROR(aurora_data!U1606,0)</f>
        <v>0</v>
      </c>
      <c r="AK126" s="255">
        <f t="shared" si="55"/>
        <v>0</v>
      </c>
    </row>
    <row r="127" spans="1:37" customFormat="1">
      <c r="A127" s="2"/>
      <c r="B127" s="561"/>
      <c r="C127" s="454"/>
      <c r="D127" s="35" t="s">
        <v>340</v>
      </c>
      <c r="E127" s="113">
        <f>IFERROR(aurora_data!D1607,0)</f>
        <v>0</v>
      </c>
      <c r="F127" s="253">
        <f>IFERROR(aurora_data!E1607,0)</f>
        <v>0</v>
      </c>
      <c r="G127" s="253">
        <f>IFERROR(aurora_data!F1607,0)</f>
        <v>0</v>
      </c>
      <c r="H127" s="253">
        <f>IFERROR(aurora_data!G1607,0)</f>
        <v>0</v>
      </c>
      <c r="I127" s="254">
        <f>IFERROR(aurora_data!H1607,0)</f>
        <v>0</v>
      </c>
      <c r="J127" s="113">
        <f>IFERROR(aurora_data!I1607,0)</f>
        <v>0</v>
      </c>
      <c r="K127" s="253">
        <f>IFERROR(aurora_data!J1607,0)</f>
        <v>0</v>
      </c>
      <c r="L127" s="253">
        <f>IFERROR(aurora_data!K1607,0)</f>
        <v>0</v>
      </c>
      <c r="M127" s="253">
        <f>IFERROR(aurora_data!L1607,0)</f>
        <v>0</v>
      </c>
      <c r="N127" s="254">
        <f>IFERROR(aurora_data!M1607,0)</f>
        <v>0</v>
      </c>
      <c r="O127" s="113">
        <f>IFERROR(aurora_data!N1607,0)</f>
        <v>0</v>
      </c>
      <c r="P127" s="253">
        <f>IFERROR(aurora_data!O1607,0)</f>
        <v>0</v>
      </c>
      <c r="Q127" s="253">
        <f>IFERROR(aurora_data!P1607,0)</f>
        <v>0</v>
      </c>
      <c r="R127" s="254">
        <f>IFERROR(aurora_data!Q1607,0)</f>
        <v>0</v>
      </c>
      <c r="S127" s="253">
        <f>IFERROR(aurora_data!R1607,0)</f>
        <v>0</v>
      </c>
      <c r="T127" s="253">
        <f>IFERROR(aurora_data!S1607,0)</f>
        <v>0</v>
      </c>
      <c r="U127" s="254">
        <f>IFERROR(aurora_data!T1207,0)</f>
        <v>0</v>
      </c>
      <c r="V127" s="61" t="s">
        <v>354</v>
      </c>
      <c r="W127" s="113">
        <f>IFERROR(aurora_data!U1607,0)</f>
        <v>0</v>
      </c>
      <c r="X127" s="255">
        <f t="shared" si="56"/>
        <v>0</v>
      </c>
      <c r="Y127" s="2"/>
      <c r="AB127" s="452"/>
      <c r="AC127" s="454"/>
      <c r="AD127" s="35" t="s">
        <v>340</v>
      </c>
      <c r="AE127" s="113">
        <f>IFERROR(aurora_data!D1607,0)+IFERROR(aurora_data!E1607,0)</f>
        <v>0</v>
      </c>
      <c r="AF127" s="253">
        <f>IFERROR(aurora_data!F1607,0)</f>
        <v>0</v>
      </c>
      <c r="AG127" s="253">
        <f>IFERROR(aurora_data!G1607,0)</f>
        <v>0</v>
      </c>
      <c r="AH127" s="253">
        <f>IFERROR(aurora_data!H1607,0)</f>
        <v>0</v>
      </c>
      <c r="AI127" s="343" t="s">
        <v>354</v>
      </c>
      <c r="AJ127" s="253">
        <f>IFERROR(aurora_data!U1607,0)</f>
        <v>0</v>
      </c>
      <c r="AK127" s="255">
        <f t="shared" si="55"/>
        <v>0</v>
      </c>
    </row>
    <row r="128" spans="1:37" customFormat="1">
      <c r="A128" s="2"/>
      <c r="B128" s="561"/>
      <c r="C128" s="454"/>
      <c r="D128" s="35" t="s">
        <v>298</v>
      </c>
      <c r="E128" s="113">
        <f>IFERROR(aurora_data!D1608,0)</f>
        <v>0</v>
      </c>
      <c r="F128" s="253">
        <f>IFERROR(aurora_data!E1608,0)</f>
        <v>0</v>
      </c>
      <c r="G128" s="253">
        <f>IFERROR(aurora_data!F1608,0)</f>
        <v>0</v>
      </c>
      <c r="H128" s="253">
        <f>IFERROR(aurora_data!G1608,0)</f>
        <v>1</v>
      </c>
      <c r="I128" s="254">
        <f>IFERROR(aurora_data!H1608,0)</f>
        <v>0</v>
      </c>
      <c r="J128" s="113">
        <f>IFERROR(aurora_data!I1608,0)</f>
        <v>0</v>
      </c>
      <c r="K128" s="253">
        <f>IFERROR(aurora_data!J1608,0)</f>
        <v>1</v>
      </c>
      <c r="L128" s="253">
        <f>IFERROR(aurora_data!K1608,0)</f>
        <v>0</v>
      </c>
      <c r="M128" s="253">
        <f>IFERROR(aurora_data!L1608,0)</f>
        <v>0</v>
      </c>
      <c r="N128" s="254">
        <f>IFERROR(aurora_data!M1608,0)</f>
        <v>0</v>
      </c>
      <c r="O128" s="113">
        <f>IFERROR(aurora_data!N1608,0)</f>
        <v>1</v>
      </c>
      <c r="P128" s="253">
        <f>IFERROR(aurora_data!O1608,0)</f>
        <v>0</v>
      </c>
      <c r="Q128" s="253">
        <f>IFERROR(aurora_data!P1608,0)</f>
        <v>0</v>
      </c>
      <c r="R128" s="254">
        <f>IFERROR(aurora_data!Q1608,0)</f>
        <v>0</v>
      </c>
      <c r="S128" s="253">
        <f>IFERROR(aurora_data!R1608,0)</f>
        <v>1</v>
      </c>
      <c r="T128" s="253">
        <f>IFERROR(aurora_data!S1608,0)</f>
        <v>0</v>
      </c>
      <c r="U128" s="254">
        <f>IFERROR(aurora_data!T1208,0)</f>
        <v>0</v>
      </c>
      <c r="V128" s="61" t="s">
        <v>354</v>
      </c>
      <c r="W128" s="113">
        <f>IFERROR(aurora_data!U1608,0)</f>
        <v>1</v>
      </c>
      <c r="X128" s="255">
        <f t="shared" si="56"/>
        <v>5.5555555555555552E-2</v>
      </c>
      <c r="Y128" s="2"/>
      <c r="AB128" s="452"/>
      <c r="AC128" s="454"/>
      <c r="AD128" s="35" t="s">
        <v>298</v>
      </c>
      <c r="AE128" s="113">
        <f>IFERROR(aurora_data!D1608,0)+IFERROR(aurora_data!E1608,0)</f>
        <v>0</v>
      </c>
      <c r="AF128" s="253">
        <f>IFERROR(aurora_data!F1608,0)</f>
        <v>0</v>
      </c>
      <c r="AG128" s="253">
        <f>IFERROR(aurora_data!G1608,0)</f>
        <v>1</v>
      </c>
      <c r="AH128" s="253">
        <f>IFERROR(aurora_data!H1608,0)</f>
        <v>0</v>
      </c>
      <c r="AI128" s="343" t="s">
        <v>354</v>
      </c>
      <c r="AJ128" s="253">
        <f>IFERROR(aurora_data!U1608,0)</f>
        <v>1</v>
      </c>
      <c r="AK128" s="255">
        <f t="shared" si="55"/>
        <v>5.5555555555555552E-2</v>
      </c>
    </row>
    <row r="129" spans="1:37" customFormat="1">
      <c r="A129" s="2"/>
      <c r="B129" s="561"/>
      <c r="C129" s="454"/>
      <c r="D129" s="35" t="s">
        <v>341</v>
      </c>
      <c r="E129" s="113">
        <f>IFERROR(aurora_data!D1609,0)</f>
        <v>0</v>
      </c>
      <c r="F129" s="253">
        <f>IFERROR(aurora_data!E1609,0)</f>
        <v>0</v>
      </c>
      <c r="G129" s="253">
        <f>IFERROR(aurora_data!F1609,0)</f>
        <v>0</v>
      </c>
      <c r="H129" s="253">
        <f>IFERROR(aurora_data!G1609,0)</f>
        <v>0</v>
      </c>
      <c r="I129" s="254">
        <f>IFERROR(aurora_data!H1609,0)</f>
        <v>0</v>
      </c>
      <c r="J129" s="113">
        <f>IFERROR(aurora_data!I1609,0)</f>
        <v>0</v>
      </c>
      <c r="K129" s="253">
        <f>IFERROR(aurora_data!J1609,0)</f>
        <v>0</v>
      </c>
      <c r="L129" s="253">
        <f>IFERROR(aurora_data!K1609,0)</f>
        <v>0</v>
      </c>
      <c r="M129" s="253">
        <f>IFERROR(aurora_data!L1609,0)</f>
        <v>0</v>
      </c>
      <c r="N129" s="254">
        <f>IFERROR(aurora_data!M1609,0)</f>
        <v>0</v>
      </c>
      <c r="O129" s="113">
        <f>IFERROR(aurora_data!N1609,0)</f>
        <v>0</v>
      </c>
      <c r="P129" s="253">
        <f>IFERROR(aurora_data!O1609,0)</f>
        <v>0</v>
      </c>
      <c r="Q129" s="253">
        <f>IFERROR(aurora_data!P1609,0)</f>
        <v>0</v>
      </c>
      <c r="R129" s="254">
        <f>IFERROR(aurora_data!Q1609,0)</f>
        <v>0</v>
      </c>
      <c r="S129" s="253">
        <f>IFERROR(aurora_data!R1609,0)</f>
        <v>0</v>
      </c>
      <c r="T129" s="253">
        <f>IFERROR(aurora_data!S1609,0)</f>
        <v>0</v>
      </c>
      <c r="U129" s="254">
        <f>IFERROR(aurora_data!T1209,0)</f>
        <v>0</v>
      </c>
      <c r="V129" s="61" t="s">
        <v>354</v>
      </c>
      <c r="W129" s="113">
        <f>IFERROR(aurora_data!U1609,0)</f>
        <v>0</v>
      </c>
      <c r="X129" s="255">
        <f t="shared" si="56"/>
        <v>0</v>
      </c>
      <c r="Y129" s="2"/>
      <c r="AB129" s="452"/>
      <c r="AC129" s="454"/>
      <c r="AD129" s="35" t="s">
        <v>341</v>
      </c>
      <c r="AE129" s="113">
        <f>IFERROR(aurora_data!D1609,0)+IFERROR(aurora_data!E1609,0)</f>
        <v>0</v>
      </c>
      <c r="AF129" s="253">
        <f>IFERROR(aurora_data!F1609,0)</f>
        <v>0</v>
      </c>
      <c r="AG129" s="253">
        <f>IFERROR(aurora_data!G1609,0)</f>
        <v>0</v>
      </c>
      <c r="AH129" s="253">
        <f>IFERROR(aurora_data!H1609,0)</f>
        <v>0</v>
      </c>
      <c r="AI129" s="343" t="s">
        <v>354</v>
      </c>
      <c r="AJ129" s="253">
        <f>IFERROR(aurora_data!U1609,0)</f>
        <v>0</v>
      </c>
      <c r="AK129" s="255">
        <f t="shared" si="55"/>
        <v>0</v>
      </c>
    </row>
    <row r="130" spans="1:37" customFormat="1" ht="16.5" thickBot="1">
      <c r="A130" s="2"/>
      <c r="B130" s="561"/>
      <c r="C130" s="454"/>
      <c r="D130" s="35" t="s">
        <v>342</v>
      </c>
      <c r="E130" s="113">
        <f>IFERROR(aurora_data!D1610,0)</f>
        <v>0</v>
      </c>
      <c r="F130" s="253">
        <f>IFERROR(aurora_data!E1610,0)</f>
        <v>0</v>
      </c>
      <c r="G130" s="253">
        <f>IFERROR(aurora_data!F1610,0)</f>
        <v>0</v>
      </c>
      <c r="H130" s="253">
        <f>IFERROR(aurora_data!G1610,0)</f>
        <v>0</v>
      </c>
      <c r="I130" s="254">
        <f>IFERROR(aurora_data!H1610,0)</f>
        <v>0</v>
      </c>
      <c r="J130" s="113">
        <f>IFERROR(aurora_data!I1610,0)</f>
        <v>0</v>
      </c>
      <c r="K130" s="253">
        <f>IFERROR(aurora_data!J1610,0)</f>
        <v>0</v>
      </c>
      <c r="L130" s="253">
        <f>IFERROR(aurora_data!K1610,0)</f>
        <v>0</v>
      </c>
      <c r="M130" s="253">
        <f>IFERROR(aurora_data!L1610,0)</f>
        <v>0</v>
      </c>
      <c r="N130" s="254">
        <f>IFERROR(aurora_data!M1610,0)</f>
        <v>0</v>
      </c>
      <c r="O130" s="113">
        <f>IFERROR(aurora_data!N1610,0)</f>
        <v>0</v>
      </c>
      <c r="P130" s="253">
        <f>IFERROR(aurora_data!O1610,0)</f>
        <v>0</v>
      </c>
      <c r="Q130" s="253">
        <f>IFERROR(aurora_data!P1610,0)</f>
        <v>0</v>
      </c>
      <c r="R130" s="254">
        <f>IFERROR(aurora_data!Q1610,0)</f>
        <v>0</v>
      </c>
      <c r="S130" s="253">
        <f>IFERROR(aurora_data!R1610,0)</f>
        <v>0</v>
      </c>
      <c r="T130" s="253">
        <f>IFERROR(aurora_data!S1610,0)</f>
        <v>0</v>
      </c>
      <c r="U130" s="254">
        <f>IFERROR(aurora_data!T1210,0)</f>
        <v>0</v>
      </c>
      <c r="V130" s="61" t="s">
        <v>354</v>
      </c>
      <c r="W130" s="113">
        <f>IFERROR(aurora_data!U1610,0)</f>
        <v>0</v>
      </c>
      <c r="X130" s="255">
        <f t="shared" si="56"/>
        <v>0</v>
      </c>
      <c r="Y130" s="2"/>
      <c r="AB130" s="452"/>
      <c r="AC130" s="454"/>
      <c r="AD130" s="35" t="s">
        <v>342</v>
      </c>
      <c r="AE130" s="113">
        <f>IFERROR(aurora_data!D1610,0)+IFERROR(aurora_data!E1610,0)</f>
        <v>0</v>
      </c>
      <c r="AF130" s="253">
        <f>IFERROR(aurora_data!F1610,0)</f>
        <v>0</v>
      </c>
      <c r="AG130" s="253">
        <f>IFERROR(aurora_data!G1610,0)</f>
        <v>0</v>
      </c>
      <c r="AH130" s="253">
        <f>IFERROR(aurora_data!H1610,0)</f>
        <v>0</v>
      </c>
      <c r="AI130" s="343" t="s">
        <v>354</v>
      </c>
      <c r="AJ130" s="253">
        <f>IFERROR(aurora_data!U1610,0)</f>
        <v>0</v>
      </c>
      <c r="AK130" s="255">
        <f t="shared" si="55"/>
        <v>0</v>
      </c>
    </row>
    <row r="131" spans="1:37" customFormat="1" ht="16.5" thickBot="1">
      <c r="A131" s="2"/>
      <c r="B131" s="561"/>
      <c r="C131" s="454"/>
      <c r="D131" s="37" t="s">
        <v>17</v>
      </c>
      <c r="E131" s="59">
        <f>IFERROR(aurora_data!D1611,0)</f>
        <v>0</v>
      </c>
      <c r="F131" s="64">
        <f>IFERROR(aurora_data!E1611,0)</f>
        <v>1</v>
      </c>
      <c r="G131" s="64">
        <f>IFERROR(aurora_data!F1611,0)</f>
        <v>4</v>
      </c>
      <c r="H131" s="64">
        <f>IFERROR(aurora_data!G1611,0)</f>
        <v>7</v>
      </c>
      <c r="I131" s="65">
        <f>IFERROR(aurora_data!H1611,0)</f>
        <v>7</v>
      </c>
      <c r="J131" s="59">
        <f>IFERROR(aurora_data!I1611,0)</f>
        <v>2</v>
      </c>
      <c r="K131" s="64">
        <f>IFERROR(aurora_data!J1611,0)</f>
        <v>3</v>
      </c>
      <c r="L131" s="64">
        <f>IFERROR(aurora_data!K1611,0)</f>
        <v>6</v>
      </c>
      <c r="M131" s="64">
        <f>IFERROR(aurora_data!L1611,0)</f>
        <v>1</v>
      </c>
      <c r="N131" s="65">
        <f>IFERROR(aurora_data!M1611,0)</f>
        <v>7</v>
      </c>
      <c r="O131" s="59">
        <f>IFERROR(aurora_data!N1611,0)</f>
        <v>8</v>
      </c>
      <c r="P131" s="64">
        <f>IFERROR(aurora_data!O1611,0)</f>
        <v>4</v>
      </c>
      <c r="Q131" s="64">
        <f>IFERROR(aurora_data!P1611,0)</f>
        <v>4</v>
      </c>
      <c r="R131" s="65">
        <f>IFERROR(aurora_data!Q1611,0)</f>
        <v>3</v>
      </c>
      <c r="S131" s="64">
        <f>IFERROR(aurora_data!R1611,0)</f>
        <v>10</v>
      </c>
      <c r="T131" s="64">
        <f>IFERROR(aurora_data!S1611,0)</f>
        <v>9</v>
      </c>
      <c r="U131" s="65">
        <f>IFERROR(aurora_data!T1211,0)</f>
        <v>0</v>
      </c>
      <c r="V131" s="66" t="s">
        <v>354</v>
      </c>
      <c r="W131" s="59">
        <f>IFERROR(aurora_data!U1611,0)</f>
        <v>19</v>
      </c>
      <c r="X131" s="70">
        <f t="shared" si="56"/>
        <v>1.0555555555555556</v>
      </c>
      <c r="Y131" s="2"/>
      <c r="AB131" s="452"/>
      <c r="AC131" s="454"/>
      <c r="AD131" s="37" t="s">
        <v>17</v>
      </c>
      <c r="AE131" s="59">
        <f>IFERROR(aurora_data!D1611,0)+IFERROR(aurora_data!E1611,0)</f>
        <v>1</v>
      </c>
      <c r="AF131" s="64">
        <f>IFERROR(aurora_data!F1611,0)</f>
        <v>4</v>
      </c>
      <c r="AG131" s="64">
        <f>IFERROR(aurora_data!G1611,0)</f>
        <v>7</v>
      </c>
      <c r="AH131" s="64">
        <f>IFERROR(aurora_data!H1611,0)</f>
        <v>7</v>
      </c>
      <c r="AI131" s="344" t="s">
        <v>354</v>
      </c>
      <c r="AJ131" s="64">
        <f>IFERROR(aurora_data!U1611,0)</f>
        <v>19</v>
      </c>
      <c r="AK131" s="70">
        <f t="shared" si="55"/>
        <v>1.0555555555555556</v>
      </c>
    </row>
    <row r="132" spans="1:37" customFormat="1" ht="16.5" thickBot="1">
      <c r="A132" s="2"/>
      <c r="B132" s="561"/>
      <c r="C132" s="454"/>
      <c r="D132" s="38" t="s">
        <v>343</v>
      </c>
      <c r="E132" s="256">
        <f>IFERROR(aurora_data!D1612,0)</f>
        <v>0</v>
      </c>
      <c r="F132" s="257">
        <f>IFERROR(aurora_data!E1612,0)</f>
        <v>0</v>
      </c>
      <c r="G132" s="257">
        <f>IFERROR(aurora_data!F1612,0)</f>
        <v>0</v>
      </c>
      <c r="H132" s="257">
        <f>IFERROR(aurora_data!G1612,0)</f>
        <v>0</v>
      </c>
      <c r="I132" s="258">
        <f>IFERROR(aurora_data!H1612,0)</f>
        <v>0</v>
      </c>
      <c r="J132" s="256">
        <f>IFERROR(aurora_data!I1612,0)</f>
        <v>0</v>
      </c>
      <c r="K132" s="257">
        <f>IFERROR(aurora_data!J1612,0)</f>
        <v>0</v>
      </c>
      <c r="L132" s="257">
        <f>IFERROR(aurora_data!K1612,0)</f>
        <v>0</v>
      </c>
      <c r="M132" s="257">
        <f>IFERROR(aurora_data!L1612,0)</f>
        <v>0</v>
      </c>
      <c r="N132" s="258">
        <f>IFERROR(aurora_data!M1612,0)</f>
        <v>0</v>
      </c>
      <c r="O132" s="256">
        <f>IFERROR(aurora_data!N1612,0)</f>
        <v>0</v>
      </c>
      <c r="P132" s="257">
        <f>IFERROR(aurora_data!O1612,0)</f>
        <v>0</v>
      </c>
      <c r="Q132" s="257">
        <f>IFERROR(aurora_data!P1612,0)</f>
        <v>0</v>
      </c>
      <c r="R132" s="258">
        <f>IFERROR(aurora_data!Q1612,0)</f>
        <v>0</v>
      </c>
      <c r="S132" s="257">
        <f>IFERROR(aurora_data!R1612,0)</f>
        <v>0</v>
      </c>
      <c r="T132" s="257">
        <f>IFERROR(aurora_data!S1612,0)</f>
        <v>0</v>
      </c>
      <c r="U132" s="259">
        <f>IFERROR(aurora_data!T1212,0)</f>
        <v>0</v>
      </c>
      <c r="V132" s="260" t="s">
        <v>354</v>
      </c>
      <c r="W132" s="256">
        <f>IFERROR(aurora_data!U1612,0)</f>
        <v>0</v>
      </c>
      <c r="X132" s="261">
        <f t="shared" si="56"/>
        <v>0</v>
      </c>
      <c r="Y132" s="2"/>
      <c r="AB132" s="452"/>
      <c r="AC132" s="454"/>
      <c r="AD132" s="38" t="s">
        <v>343</v>
      </c>
      <c r="AE132" s="256">
        <f>IFERROR(aurora_data!D1612,0)+IFERROR(aurora_data!E1612,0)</f>
        <v>0</v>
      </c>
      <c r="AF132" s="257">
        <f>IFERROR(aurora_data!F1612,0)</f>
        <v>0</v>
      </c>
      <c r="AG132" s="257">
        <f>IFERROR(aurora_data!G1612,0)</f>
        <v>0</v>
      </c>
      <c r="AH132" s="257">
        <f>IFERROR(aurora_data!H1612,0)</f>
        <v>0</v>
      </c>
      <c r="AI132" s="343" t="s">
        <v>354</v>
      </c>
      <c r="AJ132" s="257">
        <f>IFERROR(aurora_data!U1612,0)</f>
        <v>0</v>
      </c>
      <c r="AK132" s="261">
        <f t="shared" si="55"/>
        <v>0</v>
      </c>
    </row>
    <row r="133" spans="1:37" customFormat="1" ht="16.5" outlineLevel="1" thickBot="1">
      <c r="A133" s="2"/>
      <c r="B133" s="147"/>
      <c r="C133" s="227"/>
      <c r="D133" s="199" t="s">
        <v>344</v>
      </c>
      <c r="E133" s="276">
        <f>((E135+$E$9)*($W124))</f>
        <v>1.0900000000000001</v>
      </c>
      <c r="F133" s="277">
        <f>(F135+$E$9)*($W124)</f>
        <v>1.5799999999999998</v>
      </c>
      <c r="G133" s="277">
        <f>(G135+$E$9)*($W124)</f>
        <v>3.98</v>
      </c>
      <c r="H133" s="277">
        <f>(H135+$E$9)*($W124)</f>
        <v>6.04</v>
      </c>
      <c r="I133" s="277">
        <f>(I135+$E$9)*($W124)</f>
        <v>7.11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B133" s="147"/>
      <c r="AC133" s="227"/>
      <c r="AD133" s="199" t="s">
        <v>344</v>
      </c>
      <c r="AE133" s="294"/>
      <c r="AF133" s="295"/>
      <c r="AG133" s="295"/>
      <c r="AH133" s="295"/>
      <c r="AI133" s="343"/>
      <c r="AJ133" s="295"/>
      <c r="AK133" s="299"/>
    </row>
    <row r="134" spans="1:37" customFormat="1" ht="16.5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0.61999999999999988</v>
      </c>
      <c r="F134" s="277">
        <f>IF(ROUND(((F135-$E$9)*($W124))+0.25,0) &lt;=0,1,((F135-$E$9)*($W124))+0.25)</f>
        <v>1.1099999999999999</v>
      </c>
      <c r="G134" s="277">
        <f t="shared" ref="G134:I134" si="57">IF(ROUND(((G135-$E$9)*($W124))+0.25,0) &lt;=0,1,((G135-$E$9)*($W124))+0.25)</f>
        <v>3.5100000000000007</v>
      </c>
      <c r="H134" s="277">
        <f t="shared" si="57"/>
        <v>5.5699999999999994</v>
      </c>
      <c r="I134" s="277">
        <f t="shared" si="57"/>
        <v>6.64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B134" s="147"/>
      <c r="AC134" s="227"/>
      <c r="AD134" s="199" t="s">
        <v>345</v>
      </c>
      <c r="AE134" s="294"/>
      <c r="AF134" s="295"/>
      <c r="AG134" s="295"/>
      <c r="AH134" s="295"/>
      <c r="AI134" s="343"/>
      <c r="AJ134" s="295"/>
      <c r="AK134" s="299"/>
    </row>
    <row r="135" spans="1:37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4.0555555555555553E-2</v>
      </c>
      <c r="F135" s="415">
        <f t="shared" ref="F135" si="58">IFERROR(F124/$W124,0)</f>
        <v>6.777777777777777E-2</v>
      </c>
      <c r="G135" s="415">
        <f>IFERROR(G124/$W124,0)</f>
        <v>0.20111111111111113</v>
      </c>
      <c r="H135" s="415">
        <f t="shared" ref="H135" si="59">IFERROR(H124/$W124,0)</f>
        <v>0.31555555555555553</v>
      </c>
      <c r="I135" s="415">
        <f>IFERROR(I124/$W124,0)</f>
        <v>0.375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B135" s="147"/>
      <c r="AC135" s="227"/>
      <c r="AD135" s="95" t="s">
        <v>346</v>
      </c>
      <c r="AE135" s="294"/>
      <c r="AF135" s="295"/>
      <c r="AG135" s="295"/>
      <c r="AH135" s="295"/>
      <c r="AI135" s="343"/>
      <c r="AJ135" s="295"/>
      <c r="AK135" s="299"/>
    </row>
    <row r="136" spans="1:37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0</v>
      </c>
      <c r="F136" s="415">
        <f t="shared" ref="F136:I136" si="60">IFERROR(F125/$W124,0)</f>
        <v>5.5555555555555552E-2</v>
      </c>
      <c r="G136" s="415">
        <f t="shared" si="60"/>
        <v>0.22222222222222221</v>
      </c>
      <c r="H136" s="415">
        <f t="shared" si="60"/>
        <v>0.33333333333333331</v>
      </c>
      <c r="I136" s="415">
        <f t="shared" si="60"/>
        <v>0.3888888888888889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B136" s="147"/>
      <c r="AC136" s="227"/>
      <c r="AD136" s="180" t="s">
        <v>347</v>
      </c>
      <c r="AE136" s="294"/>
      <c r="AF136" s="295"/>
      <c r="AG136" s="295"/>
      <c r="AH136" s="295"/>
      <c r="AI136" s="343"/>
      <c r="AJ136" s="295"/>
      <c r="AK136" s="299"/>
    </row>
    <row r="137" spans="1:37" customFormat="1" ht="16.5" hidden="1" outlineLevel="1" thickBot="1">
      <c r="A137" s="2"/>
      <c r="B137" s="147"/>
      <c r="C137" s="227"/>
      <c r="D137" s="180" t="s">
        <v>348</v>
      </c>
      <c r="E137" s="414">
        <f>E136-E135</f>
        <v>-4.0555555555555553E-2</v>
      </c>
      <c r="F137" s="415">
        <f t="shared" ref="F137:I137" si="61">F136-F135</f>
        <v>-1.2222222222222218E-2</v>
      </c>
      <c r="G137" s="415">
        <f t="shared" si="61"/>
        <v>2.1111111111111081E-2</v>
      </c>
      <c r="H137" s="415">
        <f t="shared" si="61"/>
        <v>1.7777777777777781E-2</v>
      </c>
      <c r="I137" s="415">
        <f t="shared" si="61"/>
        <v>1.3888888888888895E-2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B137" s="147"/>
      <c r="AC137" s="227"/>
      <c r="AD137" s="180" t="s">
        <v>348</v>
      </c>
      <c r="AE137" s="294"/>
      <c r="AF137" s="295"/>
      <c r="AG137" s="295"/>
      <c r="AH137" s="295"/>
      <c r="AI137" s="343"/>
      <c r="AJ137" s="295"/>
      <c r="AK137" s="299"/>
    </row>
    <row r="138" spans="1:37" customFormat="1">
      <c r="A138" s="2"/>
      <c r="B138" s="560" t="s">
        <v>362</v>
      </c>
      <c r="C138" s="453" t="str">
        <f>aurora_data!A1613</f>
        <v>15.00.00-15.11.30</v>
      </c>
      <c r="D138" s="34" t="s">
        <v>306</v>
      </c>
      <c r="E138" s="39">
        <f>IFERROR(aurora_data!D1613,0)</f>
        <v>0.71</v>
      </c>
      <c r="F138" s="40">
        <f>IFERROR(aurora_data!E1613,0)</f>
        <v>1.21</v>
      </c>
      <c r="G138" s="40">
        <f>IFERROR(aurora_data!F1613,0)</f>
        <v>3.58</v>
      </c>
      <c r="H138" s="40">
        <f>IFERROR(aurora_data!G1613,0)</f>
        <v>5.64</v>
      </c>
      <c r="I138" s="41">
        <f>IFERROR(aurora_data!H1613,0)</f>
        <v>6.85</v>
      </c>
      <c r="J138" s="39">
        <f>IFERROR(aurora_data!I1613,0)</f>
        <v>1</v>
      </c>
      <c r="K138" s="40">
        <f>IFERROR(aurora_data!J1613,0)</f>
        <v>1</v>
      </c>
      <c r="L138" s="40">
        <f>IFERROR(aurora_data!K1613,0)</f>
        <v>1</v>
      </c>
      <c r="M138" s="40">
        <f>IFERROR(aurora_data!L1613,0)</f>
        <v>1</v>
      </c>
      <c r="N138" s="41">
        <f>IFERROR(aurora_data!M1613,0)</f>
        <v>1</v>
      </c>
      <c r="O138" s="39">
        <f>IFERROR(aurora_data!N1613,0)</f>
        <v>1</v>
      </c>
      <c r="P138" s="40">
        <f>IFERROR(aurora_data!O1613,0)</f>
        <v>1</v>
      </c>
      <c r="Q138" s="40">
        <f>IFERROR(aurora_data!P1613,0)</f>
        <v>1</v>
      </c>
      <c r="R138" s="41">
        <f>IFERROR(aurora_data!Q1613,0)</f>
        <v>1</v>
      </c>
      <c r="S138" s="40">
        <f>IFERROR(aurora_data!R1613,0)</f>
        <v>1</v>
      </c>
      <c r="T138" s="40">
        <f>IFERROR(aurora_data!S1613,0)</f>
        <v>1</v>
      </c>
      <c r="U138" s="41">
        <f>IFERROR(aurora_data!T1213,0)</f>
        <v>0</v>
      </c>
      <c r="V138" s="61" t="s">
        <v>354</v>
      </c>
      <c r="W138" s="39">
        <f>IFERROR(aurora_data!U1613,0)</f>
        <v>18</v>
      </c>
      <c r="X138" s="69">
        <f>IFERROR(W138/$W$138,0)</f>
        <v>1</v>
      </c>
      <c r="Y138" s="2"/>
      <c r="AB138" s="451" t="s">
        <v>338</v>
      </c>
      <c r="AC138" s="453" t="str">
        <f>aurora_data!A1613</f>
        <v>15.00.00-15.11.30</v>
      </c>
      <c r="AD138" s="34" t="s">
        <v>306</v>
      </c>
      <c r="AE138" s="338">
        <v>2</v>
      </c>
      <c r="AF138" s="40">
        <v>4</v>
      </c>
      <c r="AG138" s="40">
        <v>6</v>
      </c>
      <c r="AH138" s="337">
        <v>6</v>
      </c>
      <c r="AI138" s="343" t="s">
        <v>354</v>
      </c>
      <c r="AJ138" s="40">
        <f>IFERROR(aurora_data!U1613,0)</f>
        <v>18</v>
      </c>
      <c r="AK138" s="69">
        <f t="shared" ref="AK138:AK146" si="62">IFERROR(AJ138/$AJ$138,0)</f>
        <v>1</v>
      </c>
    </row>
    <row r="139" spans="1:37" customFormat="1">
      <c r="A139" s="2"/>
      <c r="B139" s="561"/>
      <c r="C139" s="454"/>
      <c r="D139" s="35" t="s">
        <v>339</v>
      </c>
      <c r="E139" s="113">
        <f>IFERROR(aurora_data!D1614,0)</f>
        <v>1</v>
      </c>
      <c r="F139" s="253">
        <f>IFERROR(aurora_data!E1614,0)</f>
        <v>1</v>
      </c>
      <c r="G139" s="253">
        <f>IFERROR(aurora_data!F1614,0)</f>
        <v>5</v>
      </c>
      <c r="H139" s="253">
        <f>IFERROR(aurora_data!G1614,0)</f>
        <v>5</v>
      </c>
      <c r="I139" s="254">
        <f>IFERROR(aurora_data!H1614,0)</f>
        <v>7</v>
      </c>
      <c r="J139" s="113">
        <f>IFERROR(aurora_data!I1614,0)</f>
        <v>1</v>
      </c>
      <c r="K139" s="253">
        <f>IFERROR(aurora_data!J1614,0)</f>
        <v>3</v>
      </c>
      <c r="L139" s="253">
        <f>IFERROR(aurora_data!K1614,0)</f>
        <v>6</v>
      </c>
      <c r="M139" s="253">
        <f>IFERROR(aurora_data!L1614,0)</f>
        <v>2</v>
      </c>
      <c r="N139" s="254">
        <f>IFERROR(aurora_data!M1614,0)</f>
        <v>7</v>
      </c>
      <c r="O139" s="113">
        <f>IFERROR(aurora_data!N1614,0)</f>
        <v>5</v>
      </c>
      <c r="P139" s="253">
        <f>IFERROR(aurora_data!O1614,0)</f>
        <v>5</v>
      </c>
      <c r="Q139" s="253">
        <f>IFERROR(aurora_data!P1614,0)</f>
        <v>5</v>
      </c>
      <c r="R139" s="254">
        <f>IFERROR(aurora_data!Q1614,0)</f>
        <v>4</v>
      </c>
      <c r="S139" s="253">
        <f>IFERROR(aurora_data!R1614,0)</f>
        <v>10</v>
      </c>
      <c r="T139" s="253">
        <f>IFERROR(aurora_data!S1614,0)</f>
        <v>9</v>
      </c>
      <c r="U139" s="254">
        <f>IFERROR(aurora_data!T1214,0)</f>
        <v>0</v>
      </c>
      <c r="V139" s="61" t="s">
        <v>354</v>
      </c>
      <c r="W139" s="113">
        <f>IFERROR(aurora_data!U1614,0)</f>
        <v>19</v>
      </c>
      <c r="X139" s="255">
        <f t="shared" ref="X139:X146" si="63">IFERROR(W139/$W$138,0)</f>
        <v>1.0555555555555556</v>
      </c>
      <c r="Y139" s="2"/>
      <c r="AB139" s="452"/>
      <c r="AC139" s="454"/>
      <c r="AD139" s="35" t="s">
        <v>339</v>
      </c>
      <c r="AE139" s="113">
        <f>IFERROR(aurora_data!D1614,0)+IFERROR(aurora_data!E1614,0)</f>
        <v>2</v>
      </c>
      <c r="AF139" s="253">
        <f>IFERROR(aurora_data!F1614,0)</f>
        <v>5</v>
      </c>
      <c r="AG139" s="253">
        <f>IFERROR(aurora_data!G1614,0)</f>
        <v>5</v>
      </c>
      <c r="AH139" s="253">
        <f>IFERROR(aurora_data!H1614,0)</f>
        <v>7</v>
      </c>
      <c r="AI139" s="343" t="s">
        <v>354</v>
      </c>
      <c r="AJ139" s="253">
        <f>IFERROR(aurora_data!U1614,0)</f>
        <v>19</v>
      </c>
      <c r="AK139" s="255">
        <f t="shared" si="62"/>
        <v>1.0555555555555556</v>
      </c>
    </row>
    <row r="140" spans="1:37" customFormat="1">
      <c r="A140" s="2"/>
      <c r="B140" s="561"/>
      <c r="C140" s="454"/>
      <c r="D140" s="35" t="s">
        <v>291</v>
      </c>
      <c r="E140" s="113">
        <f>IFERROR(aurora_data!D1615,0)</f>
        <v>0</v>
      </c>
      <c r="F140" s="253">
        <f>IFERROR(aurora_data!E1615,0)</f>
        <v>0</v>
      </c>
      <c r="G140" s="253">
        <f>IFERROR(aurora_data!F1615,0)</f>
        <v>0</v>
      </c>
      <c r="H140" s="253">
        <f>IFERROR(aurora_data!G1615,0)</f>
        <v>0</v>
      </c>
      <c r="I140" s="254">
        <f>IFERROR(aurora_data!H1615,0)</f>
        <v>0</v>
      </c>
      <c r="J140" s="113">
        <f>IFERROR(aurora_data!I1615,0)</f>
        <v>0</v>
      </c>
      <c r="K140" s="253">
        <f>IFERROR(aurora_data!J1615,0)</f>
        <v>0</v>
      </c>
      <c r="L140" s="253">
        <f>IFERROR(aurora_data!K1615,0)</f>
        <v>0</v>
      </c>
      <c r="M140" s="253">
        <f>IFERROR(aurora_data!L1615,0)</f>
        <v>0</v>
      </c>
      <c r="N140" s="254">
        <f>IFERROR(aurora_data!M1615,0)</f>
        <v>0</v>
      </c>
      <c r="O140" s="113">
        <f>IFERROR(aurora_data!N1615,0)</f>
        <v>0</v>
      </c>
      <c r="P140" s="253">
        <f>IFERROR(aurora_data!O1615,0)</f>
        <v>0</v>
      </c>
      <c r="Q140" s="253">
        <f>IFERROR(aurora_data!P1615,0)</f>
        <v>0</v>
      </c>
      <c r="R140" s="254">
        <f>IFERROR(aurora_data!Q1615,0)</f>
        <v>0</v>
      </c>
      <c r="S140" s="253">
        <f>IFERROR(aurora_data!R1615,0)</f>
        <v>0</v>
      </c>
      <c r="T140" s="253">
        <f>IFERROR(aurora_data!S1615,0)</f>
        <v>0</v>
      </c>
      <c r="U140" s="254">
        <f>IFERROR(aurora_data!T1215,0)</f>
        <v>0</v>
      </c>
      <c r="V140" s="61" t="s">
        <v>354</v>
      </c>
      <c r="W140" s="113">
        <f>IFERROR(aurora_data!U1615,0)</f>
        <v>0</v>
      </c>
      <c r="X140" s="255">
        <f t="shared" si="63"/>
        <v>0</v>
      </c>
      <c r="Y140" s="2"/>
      <c r="AB140" s="452"/>
      <c r="AC140" s="454"/>
      <c r="AD140" s="35" t="s">
        <v>291</v>
      </c>
      <c r="AE140" s="113">
        <f>IFERROR(aurora_data!D1615,0)+IFERROR(aurora_data!E1615,0)</f>
        <v>0</v>
      </c>
      <c r="AF140" s="253">
        <f>IFERROR(aurora_data!F1615,0)</f>
        <v>0</v>
      </c>
      <c r="AG140" s="253">
        <f>IFERROR(aurora_data!G1615,0)</f>
        <v>0</v>
      </c>
      <c r="AH140" s="253">
        <f>IFERROR(aurora_data!H1615,0)</f>
        <v>0</v>
      </c>
      <c r="AI140" s="343" t="s">
        <v>354</v>
      </c>
      <c r="AJ140" s="253">
        <f>IFERROR(aurora_data!U1615,0)</f>
        <v>0</v>
      </c>
      <c r="AK140" s="255">
        <f t="shared" si="62"/>
        <v>0</v>
      </c>
    </row>
    <row r="141" spans="1:37" customFormat="1">
      <c r="A141" s="2"/>
      <c r="B141" s="561"/>
      <c r="C141" s="454"/>
      <c r="D141" s="35" t="s">
        <v>340</v>
      </c>
      <c r="E141" s="113">
        <f>IFERROR(aurora_data!D1616,0)</f>
        <v>0</v>
      </c>
      <c r="F141" s="253">
        <f>IFERROR(aurora_data!E1616,0)</f>
        <v>0</v>
      </c>
      <c r="G141" s="253">
        <f>IFERROR(aurora_data!F1616,0)</f>
        <v>0</v>
      </c>
      <c r="H141" s="253">
        <f>IFERROR(aurora_data!G1616,0)</f>
        <v>0</v>
      </c>
      <c r="I141" s="254">
        <f>IFERROR(aurora_data!H1616,0)</f>
        <v>0</v>
      </c>
      <c r="J141" s="113">
        <f>IFERROR(aurora_data!I1616,0)</f>
        <v>0</v>
      </c>
      <c r="K141" s="253">
        <f>IFERROR(aurora_data!J1616,0)</f>
        <v>0</v>
      </c>
      <c r="L141" s="253">
        <f>IFERROR(aurora_data!K1616,0)</f>
        <v>0</v>
      </c>
      <c r="M141" s="253">
        <f>IFERROR(aurora_data!L1616,0)</f>
        <v>0</v>
      </c>
      <c r="N141" s="254">
        <f>IFERROR(aurora_data!M1616,0)</f>
        <v>0</v>
      </c>
      <c r="O141" s="113">
        <f>IFERROR(aurora_data!N1616,0)</f>
        <v>0</v>
      </c>
      <c r="P141" s="253">
        <f>IFERROR(aurora_data!O1616,0)</f>
        <v>0</v>
      </c>
      <c r="Q141" s="253">
        <f>IFERROR(aurora_data!P1616,0)</f>
        <v>0</v>
      </c>
      <c r="R141" s="254">
        <f>IFERROR(aurora_data!Q1616,0)</f>
        <v>0</v>
      </c>
      <c r="S141" s="253">
        <f>IFERROR(aurora_data!R1616,0)</f>
        <v>0</v>
      </c>
      <c r="T141" s="253">
        <f>IFERROR(aurora_data!S1616,0)</f>
        <v>0</v>
      </c>
      <c r="U141" s="254">
        <f>IFERROR(aurora_data!T1216,0)</f>
        <v>0</v>
      </c>
      <c r="V141" s="61" t="s">
        <v>354</v>
      </c>
      <c r="W141" s="113">
        <f>IFERROR(aurora_data!U1616,0)</f>
        <v>0</v>
      </c>
      <c r="X141" s="255">
        <f t="shared" si="63"/>
        <v>0</v>
      </c>
      <c r="Y141" s="2"/>
      <c r="AB141" s="452"/>
      <c r="AC141" s="454"/>
      <c r="AD141" s="35" t="s">
        <v>340</v>
      </c>
      <c r="AE141" s="113">
        <f>IFERROR(aurora_data!D1616,0)+IFERROR(aurora_data!E1616,0)</f>
        <v>0</v>
      </c>
      <c r="AF141" s="253">
        <f>IFERROR(aurora_data!F1616,0)</f>
        <v>0</v>
      </c>
      <c r="AG141" s="253">
        <f>IFERROR(aurora_data!G1616,0)</f>
        <v>0</v>
      </c>
      <c r="AH141" s="253">
        <f>IFERROR(aurora_data!H1616,0)</f>
        <v>0</v>
      </c>
      <c r="AI141" s="343" t="s">
        <v>354</v>
      </c>
      <c r="AJ141" s="253">
        <f>IFERROR(aurora_data!U1616,0)</f>
        <v>0</v>
      </c>
      <c r="AK141" s="255">
        <f t="shared" si="62"/>
        <v>0</v>
      </c>
    </row>
    <row r="142" spans="1:37" customFormat="1">
      <c r="A142" s="2"/>
      <c r="B142" s="561"/>
      <c r="C142" s="454"/>
      <c r="D142" s="35" t="s">
        <v>298</v>
      </c>
      <c r="E142" s="113">
        <f>IFERROR(aurora_data!D1617,0)</f>
        <v>0</v>
      </c>
      <c r="F142" s="253">
        <f>IFERROR(aurora_data!E1617,0)</f>
        <v>0</v>
      </c>
      <c r="G142" s="253">
        <f>IFERROR(aurora_data!F1617,0)</f>
        <v>0</v>
      </c>
      <c r="H142" s="253">
        <f>IFERROR(aurora_data!G1617,0)</f>
        <v>0</v>
      </c>
      <c r="I142" s="254">
        <f>IFERROR(aurora_data!H1617,0)</f>
        <v>0</v>
      </c>
      <c r="J142" s="113">
        <f>IFERROR(aurora_data!I1617,0)</f>
        <v>0</v>
      </c>
      <c r="K142" s="253">
        <f>IFERROR(aurora_data!J1617,0)</f>
        <v>0</v>
      </c>
      <c r="L142" s="253">
        <f>IFERROR(aurora_data!K1617,0)</f>
        <v>0</v>
      </c>
      <c r="M142" s="253">
        <f>IFERROR(aurora_data!L1617,0)</f>
        <v>0</v>
      </c>
      <c r="N142" s="254">
        <f>IFERROR(aurora_data!M1617,0)</f>
        <v>0</v>
      </c>
      <c r="O142" s="113">
        <f>IFERROR(aurora_data!N1617,0)</f>
        <v>0</v>
      </c>
      <c r="P142" s="253">
        <f>IFERROR(aurora_data!O1617,0)</f>
        <v>0</v>
      </c>
      <c r="Q142" s="253">
        <f>IFERROR(aurora_data!P1617,0)</f>
        <v>0</v>
      </c>
      <c r="R142" s="254">
        <f>IFERROR(aurora_data!Q1617,0)</f>
        <v>0</v>
      </c>
      <c r="S142" s="253">
        <f>IFERROR(aurora_data!R1617,0)</f>
        <v>0</v>
      </c>
      <c r="T142" s="253">
        <f>IFERROR(aurora_data!S1617,0)</f>
        <v>0</v>
      </c>
      <c r="U142" s="254">
        <f>IFERROR(aurora_data!T1217,0)</f>
        <v>0</v>
      </c>
      <c r="V142" s="61" t="s">
        <v>354</v>
      </c>
      <c r="W142" s="113">
        <f>IFERROR(aurora_data!U1617,0)</f>
        <v>0</v>
      </c>
      <c r="X142" s="255">
        <f t="shared" si="63"/>
        <v>0</v>
      </c>
      <c r="Y142" s="2"/>
      <c r="AB142" s="452"/>
      <c r="AC142" s="454"/>
      <c r="AD142" s="35" t="s">
        <v>298</v>
      </c>
      <c r="AE142" s="113">
        <f>IFERROR(aurora_data!D1617,0)+IFERROR(aurora_data!E1617,0)</f>
        <v>0</v>
      </c>
      <c r="AF142" s="253">
        <f>IFERROR(aurora_data!F1617,0)</f>
        <v>0</v>
      </c>
      <c r="AG142" s="253">
        <f>IFERROR(aurora_data!G1617,0)</f>
        <v>0</v>
      </c>
      <c r="AH142" s="253">
        <f>IFERROR(aurora_data!H1617,0)</f>
        <v>0</v>
      </c>
      <c r="AI142" s="343" t="s">
        <v>354</v>
      </c>
      <c r="AJ142" s="253">
        <f>IFERROR(aurora_data!U1617,0)</f>
        <v>0</v>
      </c>
      <c r="AK142" s="255">
        <f t="shared" si="62"/>
        <v>0</v>
      </c>
    </row>
    <row r="143" spans="1:37" customFormat="1">
      <c r="A143" s="2"/>
      <c r="B143" s="561"/>
      <c r="C143" s="454"/>
      <c r="D143" s="35" t="s">
        <v>341</v>
      </c>
      <c r="E143" s="113">
        <f>IFERROR(aurora_data!D1618,0)</f>
        <v>0</v>
      </c>
      <c r="F143" s="253">
        <f>IFERROR(aurora_data!E1618,0)</f>
        <v>0</v>
      </c>
      <c r="G143" s="253">
        <f>IFERROR(aurora_data!F1618,0)</f>
        <v>0</v>
      </c>
      <c r="H143" s="253">
        <f>IFERROR(aurora_data!G1618,0)</f>
        <v>0</v>
      </c>
      <c r="I143" s="254">
        <f>IFERROR(aurora_data!H1618,0)</f>
        <v>0</v>
      </c>
      <c r="J143" s="113">
        <f>IFERROR(aurora_data!I1618,0)</f>
        <v>0</v>
      </c>
      <c r="K143" s="253">
        <f>IFERROR(aurora_data!J1618,0)</f>
        <v>0</v>
      </c>
      <c r="L143" s="253">
        <f>IFERROR(aurora_data!K1618,0)</f>
        <v>0</v>
      </c>
      <c r="M143" s="253">
        <f>IFERROR(aurora_data!L1618,0)</f>
        <v>0</v>
      </c>
      <c r="N143" s="254">
        <f>IFERROR(aurora_data!M1618,0)</f>
        <v>0</v>
      </c>
      <c r="O143" s="113">
        <f>IFERROR(aurora_data!N1618,0)</f>
        <v>0</v>
      </c>
      <c r="P143" s="253">
        <f>IFERROR(aurora_data!O1618,0)</f>
        <v>0</v>
      </c>
      <c r="Q143" s="253">
        <f>IFERROR(aurora_data!P1618,0)</f>
        <v>0</v>
      </c>
      <c r="R143" s="254">
        <f>IFERROR(aurora_data!Q1618,0)</f>
        <v>0</v>
      </c>
      <c r="S143" s="253">
        <f>IFERROR(aurora_data!R1618,0)</f>
        <v>0</v>
      </c>
      <c r="T143" s="253">
        <f>IFERROR(aurora_data!S1618,0)</f>
        <v>0</v>
      </c>
      <c r="U143" s="254">
        <f>IFERROR(aurora_data!T1218,0)</f>
        <v>0</v>
      </c>
      <c r="V143" s="61" t="s">
        <v>354</v>
      </c>
      <c r="W143" s="113">
        <f>IFERROR(aurora_data!U1618,0)</f>
        <v>0</v>
      </c>
      <c r="X143" s="255">
        <f t="shared" si="63"/>
        <v>0</v>
      </c>
      <c r="Y143" s="2"/>
      <c r="AB143" s="452"/>
      <c r="AC143" s="454"/>
      <c r="AD143" s="35" t="s">
        <v>341</v>
      </c>
      <c r="AE143" s="113">
        <f>IFERROR(aurora_data!D1618,0)+IFERROR(aurora_data!E1618,0)</f>
        <v>0</v>
      </c>
      <c r="AF143" s="253">
        <f>IFERROR(aurora_data!F1618,0)</f>
        <v>0</v>
      </c>
      <c r="AG143" s="253">
        <f>IFERROR(aurora_data!G1618,0)</f>
        <v>0</v>
      </c>
      <c r="AH143" s="253">
        <f>IFERROR(aurora_data!H1618,0)</f>
        <v>0</v>
      </c>
      <c r="AI143" s="343" t="s">
        <v>354</v>
      </c>
      <c r="AJ143" s="253">
        <f>IFERROR(aurora_data!U1618,0)</f>
        <v>0</v>
      </c>
      <c r="AK143" s="255">
        <f t="shared" si="62"/>
        <v>0</v>
      </c>
    </row>
    <row r="144" spans="1:37" customFormat="1" ht="16.5" thickBot="1">
      <c r="A144" s="2"/>
      <c r="B144" s="561"/>
      <c r="C144" s="454"/>
      <c r="D144" s="35" t="s">
        <v>342</v>
      </c>
      <c r="E144" s="113">
        <f>IFERROR(aurora_data!D1619,0)</f>
        <v>0</v>
      </c>
      <c r="F144" s="253">
        <f>IFERROR(aurora_data!E1619,0)</f>
        <v>0</v>
      </c>
      <c r="G144" s="253">
        <f>IFERROR(aurora_data!F1619,0)</f>
        <v>0</v>
      </c>
      <c r="H144" s="253">
        <f>IFERROR(aurora_data!G1619,0)</f>
        <v>0</v>
      </c>
      <c r="I144" s="254">
        <f>IFERROR(aurora_data!H1619,0)</f>
        <v>0</v>
      </c>
      <c r="J144" s="113">
        <f>IFERROR(aurora_data!I1619,0)</f>
        <v>0</v>
      </c>
      <c r="K144" s="253">
        <f>IFERROR(aurora_data!J1619,0)</f>
        <v>0</v>
      </c>
      <c r="L144" s="253">
        <f>IFERROR(aurora_data!K1619,0)</f>
        <v>0</v>
      </c>
      <c r="M144" s="253">
        <f>IFERROR(aurora_data!L1619,0)</f>
        <v>0</v>
      </c>
      <c r="N144" s="254">
        <f>IFERROR(aurora_data!M1619,0)</f>
        <v>0</v>
      </c>
      <c r="O144" s="113">
        <f>IFERROR(aurora_data!N1619,0)</f>
        <v>0</v>
      </c>
      <c r="P144" s="253">
        <f>IFERROR(aurora_data!O1619,0)</f>
        <v>0</v>
      </c>
      <c r="Q144" s="253">
        <f>IFERROR(aurora_data!P1619,0)</f>
        <v>0</v>
      </c>
      <c r="R144" s="254">
        <f>IFERROR(aurora_data!Q1619,0)</f>
        <v>0</v>
      </c>
      <c r="S144" s="253">
        <f>IFERROR(aurora_data!R1619,0)</f>
        <v>0</v>
      </c>
      <c r="T144" s="253">
        <f>IFERROR(aurora_data!S1619,0)</f>
        <v>0</v>
      </c>
      <c r="U144" s="254">
        <f>IFERROR(aurora_data!T1219,0)</f>
        <v>0</v>
      </c>
      <c r="V144" s="61" t="s">
        <v>354</v>
      </c>
      <c r="W144" s="113">
        <f>IFERROR(aurora_data!U1619,0)</f>
        <v>0</v>
      </c>
      <c r="X144" s="255">
        <f t="shared" si="63"/>
        <v>0</v>
      </c>
      <c r="Y144" s="2"/>
      <c r="AB144" s="452"/>
      <c r="AC144" s="454"/>
      <c r="AD144" s="35" t="s">
        <v>342</v>
      </c>
      <c r="AE144" s="113">
        <f>IFERROR(aurora_data!D1619,0)+IFERROR(aurora_data!E1619,0)</f>
        <v>0</v>
      </c>
      <c r="AF144" s="253">
        <f>IFERROR(aurora_data!F1619,0)</f>
        <v>0</v>
      </c>
      <c r="AG144" s="253">
        <f>IFERROR(aurora_data!G1619,0)</f>
        <v>0</v>
      </c>
      <c r="AH144" s="253">
        <f>IFERROR(aurora_data!H1619,0)</f>
        <v>0</v>
      </c>
      <c r="AI144" s="343" t="s">
        <v>354</v>
      </c>
      <c r="AJ144" s="253">
        <f>IFERROR(aurora_data!U1619,0)</f>
        <v>0</v>
      </c>
      <c r="AK144" s="255">
        <f t="shared" si="62"/>
        <v>0</v>
      </c>
    </row>
    <row r="145" spans="1:37" customFormat="1" ht="16.5" thickBot="1">
      <c r="A145" s="2"/>
      <c r="B145" s="561"/>
      <c r="C145" s="454"/>
      <c r="D145" s="37" t="s">
        <v>17</v>
      </c>
      <c r="E145" s="59">
        <f>IFERROR(aurora_data!D1620,0)</f>
        <v>1</v>
      </c>
      <c r="F145" s="64">
        <f>IFERROR(aurora_data!E1620,0)</f>
        <v>1</v>
      </c>
      <c r="G145" s="64">
        <f>IFERROR(aurora_data!F1620,0)</f>
        <v>5</v>
      </c>
      <c r="H145" s="64">
        <f>IFERROR(aurora_data!G1620,0)</f>
        <v>5</v>
      </c>
      <c r="I145" s="65">
        <f>IFERROR(aurora_data!H1620,0)</f>
        <v>7</v>
      </c>
      <c r="J145" s="59">
        <f>IFERROR(aurora_data!I1620,0)</f>
        <v>1</v>
      </c>
      <c r="K145" s="64">
        <f>IFERROR(aurora_data!J1620,0)</f>
        <v>3</v>
      </c>
      <c r="L145" s="64">
        <f>IFERROR(aurora_data!K1620,0)</f>
        <v>6</v>
      </c>
      <c r="M145" s="64">
        <f>IFERROR(aurora_data!L1620,0)</f>
        <v>2</v>
      </c>
      <c r="N145" s="65">
        <f>IFERROR(aurora_data!M1620,0)</f>
        <v>7</v>
      </c>
      <c r="O145" s="59">
        <f>IFERROR(aurora_data!N1620,0)</f>
        <v>5</v>
      </c>
      <c r="P145" s="64">
        <f>IFERROR(aurora_data!O1620,0)</f>
        <v>5</v>
      </c>
      <c r="Q145" s="64">
        <f>IFERROR(aurora_data!P1620,0)</f>
        <v>5</v>
      </c>
      <c r="R145" s="65">
        <f>IFERROR(aurora_data!Q1620,0)</f>
        <v>4</v>
      </c>
      <c r="S145" s="64">
        <f>IFERROR(aurora_data!R1620,0)</f>
        <v>10</v>
      </c>
      <c r="T145" s="64">
        <f>IFERROR(aurora_data!S1620,0)</f>
        <v>9</v>
      </c>
      <c r="U145" s="65">
        <f>IFERROR(aurora_data!T1220,0)</f>
        <v>0</v>
      </c>
      <c r="V145" s="66" t="s">
        <v>354</v>
      </c>
      <c r="W145" s="59">
        <f>IFERROR(aurora_data!U1620,0)</f>
        <v>19</v>
      </c>
      <c r="X145" s="70">
        <f t="shared" si="63"/>
        <v>1.0555555555555556</v>
      </c>
      <c r="Y145" s="2"/>
      <c r="AB145" s="452"/>
      <c r="AC145" s="454"/>
      <c r="AD145" s="37" t="s">
        <v>17</v>
      </c>
      <c r="AE145" s="59">
        <f>IFERROR(aurora_data!D1620,0)+IFERROR(aurora_data!E1620,0)</f>
        <v>2</v>
      </c>
      <c r="AF145" s="64">
        <f>IFERROR(aurora_data!F1620,0)</f>
        <v>5</v>
      </c>
      <c r="AG145" s="64">
        <f>IFERROR(aurora_data!G1620,0)</f>
        <v>5</v>
      </c>
      <c r="AH145" s="64">
        <f>IFERROR(aurora_data!H1620,0)</f>
        <v>7</v>
      </c>
      <c r="AI145" s="344" t="s">
        <v>354</v>
      </c>
      <c r="AJ145" s="64">
        <f>IFERROR(aurora_data!U1620,0)</f>
        <v>19</v>
      </c>
      <c r="AK145" s="70">
        <f t="shared" si="62"/>
        <v>1.0555555555555556</v>
      </c>
    </row>
    <row r="146" spans="1:37" customFormat="1" ht="16.5" thickBot="1">
      <c r="A146" s="2"/>
      <c r="B146" s="561"/>
      <c r="C146" s="454"/>
      <c r="D146" s="38" t="s">
        <v>343</v>
      </c>
      <c r="E146" s="256">
        <f>IFERROR(aurora_data!D1621,0)</f>
        <v>0</v>
      </c>
      <c r="F146" s="257">
        <f>IFERROR(aurora_data!E1621,0)</f>
        <v>0</v>
      </c>
      <c r="G146" s="257">
        <f>IFERROR(aurora_data!F1621,0)</f>
        <v>0</v>
      </c>
      <c r="H146" s="257">
        <f>IFERROR(aurora_data!G1621,0)</f>
        <v>0</v>
      </c>
      <c r="I146" s="258">
        <f>IFERROR(aurora_data!H1621,0)</f>
        <v>0</v>
      </c>
      <c r="J146" s="256">
        <f>IFERROR(aurora_data!I1621,0)</f>
        <v>0</v>
      </c>
      <c r="K146" s="257">
        <f>IFERROR(aurora_data!J1621,0)</f>
        <v>0</v>
      </c>
      <c r="L146" s="257">
        <f>IFERROR(aurora_data!K1621,0)</f>
        <v>0</v>
      </c>
      <c r="M146" s="257">
        <f>IFERROR(aurora_data!L1621,0)</f>
        <v>0</v>
      </c>
      <c r="N146" s="258">
        <f>IFERROR(aurora_data!M1621,0)</f>
        <v>0</v>
      </c>
      <c r="O146" s="256">
        <f>IFERROR(aurora_data!N1621,0)</f>
        <v>0</v>
      </c>
      <c r="P146" s="257">
        <f>IFERROR(aurora_data!O1621,0)</f>
        <v>0</v>
      </c>
      <c r="Q146" s="257">
        <f>IFERROR(aurora_data!P1621,0)</f>
        <v>0</v>
      </c>
      <c r="R146" s="258">
        <f>IFERROR(aurora_data!Q1621,0)</f>
        <v>0</v>
      </c>
      <c r="S146" s="257">
        <f>IFERROR(aurora_data!R1621,0)</f>
        <v>0</v>
      </c>
      <c r="T146" s="257">
        <f>IFERROR(aurora_data!S1621,0)</f>
        <v>0</v>
      </c>
      <c r="U146" s="259">
        <f>IFERROR(aurora_data!T1221,0)</f>
        <v>0</v>
      </c>
      <c r="V146" s="260" t="s">
        <v>354</v>
      </c>
      <c r="W146" s="256">
        <f>IFERROR(aurora_data!U1621,0)</f>
        <v>0</v>
      </c>
      <c r="X146" s="261">
        <f t="shared" si="63"/>
        <v>0</v>
      </c>
      <c r="Y146" s="2"/>
      <c r="AB146" s="452"/>
      <c r="AC146" s="454"/>
      <c r="AD146" s="38" t="s">
        <v>343</v>
      </c>
      <c r="AE146" s="256">
        <f>IFERROR(aurora_data!D1621,0)+IFERROR(aurora_data!E1621,0)</f>
        <v>0</v>
      </c>
      <c r="AF146" s="257">
        <f>IFERROR(aurora_data!F1621,0)</f>
        <v>0</v>
      </c>
      <c r="AG146" s="257">
        <f>IFERROR(aurora_data!G1621,0)</f>
        <v>0</v>
      </c>
      <c r="AH146" s="257">
        <f>IFERROR(aurora_data!H1621,0)</f>
        <v>0</v>
      </c>
      <c r="AI146" s="343" t="s">
        <v>354</v>
      </c>
      <c r="AJ146" s="257">
        <f>IFERROR(aurora_data!U1621,0)</f>
        <v>0</v>
      </c>
      <c r="AK146" s="261">
        <f t="shared" si="62"/>
        <v>0</v>
      </c>
    </row>
    <row r="147" spans="1:37" customFormat="1" ht="16.5" outlineLevel="1" thickBot="1">
      <c r="A147" s="2"/>
      <c r="B147" s="147"/>
      <c r="C147" s="227"/>
      <c r="D147" s="199" t="s">
        <v>344</v>
      </c>
      <c r="E147" s="276">
        <f>((E149+$E$9)*($W138))</f>
        <v>1.0699999999999998</v>
      </c>
      <c r="F147" s="277">
        <f>(F149+$E$9)*($W138)</f>
        <v>1.57</v>
      </c>
      <c r="G147" s="277">
        <f>(G149+$E$9)*($W138)</f>
        <v>3.94</v>
      </c>
      <c r="H147" s="277">
        <f>(H149+$E$9)*($W138)</f>
        <v>6</v>
      </c>
      <c r="I147" s="277">
        <f>(I149+$E$9)*($W138)</f>
        <v>7.21</v>
      </c>
      <c r="J147" s="294"/>
      <c r="K147" s="295"/>
      <c r="L147" s="295"/>
      <c r="M147" s="295"/>
      <c r="N147" s="296"/>
      <c r="O147" s="294"/>
      <c r="P147" s="295"/>
      <c r="Q147" s="295"/>
      <c r="R147" s="296"/>
      <c r="S147" s="295"/>
      <c r="T147" s="295"/>
      <c r="U147" s="297"/>
      <c r="V147" s="298"/>
      <c r="W147" s="294"/>
      <c r="X147" s="299"/>
      <c r="Y147" s="2"/>
      <c r="AB147" s="147"/>
      <c r="AC147" s="227"/>
      <c r="AD147" s="199" t="s">
        <v>344</v>
      </c>
      <c r="AE147" s="294"/>
      <c r="AF147" s="295"/>
      <c r="AG147" s="295"/>
      <c r="AH147" s="295"/>
      <c r="AI147" s="343" t="s">
        <v>354</v>
      </c>
      <c r="AJ147" s="295"/>
      <c r="AK147" s="299"/>
    </row>
    <row r="148" spans="1:37" customFormat="1" ht="16.5" outlineLevel="1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0.59999999999999987</v>
      </c>
      <c r="F148" s="277">
        <f>IF(ROUND(((F149-$E$9)*($W138))+0.25,0) &lt;=0,1,((F149-$E$9)*($W138))+0.25)</f>
        <v>1.1000000000000001</v>
      </c>
      <c r="G148" s="277">
        <f t="shared" ref="G148:I148" si="64">IF(ROUND(((G149-$E$9)*($W138))+0.25,0) &lt;=0,1,((G149-$E$9)*($W138))+0.25)</f>
        <v>3.47</v>
      </c>
      <c r="H148" s="277">
        <f t="shared" si="64"/>
        <v>5.5299999999999994</v>
      </c>
      <c r="I148" s="277">
        <f t="shared" si="64"/>
        <v>6.7399999999999993</v>
      </c>
      <c r="J148" s="294"/>
      <c r="K148" s="295"/>
      <c r="L148" s="295"/>
      <c r="M148" s="295"/>
      <c r="N148" s="296"/>
      <c r="O148" s="294"/>
      <c r="P148" s="295"/>
      <c r="Q148" s="295"/>
      <c r="R148" s="296"/>
      <c r="S148" s="295"/>
      <c r="T148" s="295"/>
      <c r="U148" s="297"/>
      <c r="V148" s="298"/>
      <c r="W148" s="294"/>
      <c r="X148" s="299"/>
      <c r="Y148" s="2"/>
      <c r="AB148" s="147"/>
      <c r="AC148" s="227"/>
      <c r="AD148" s="199" t="s">
        <v>345</v>
      </c>
      <c r="AE148" s="294"/>
      <c r="AF148" s="295"/>
      <c r="AG148" s="295"/>
      <c r="AH148" s="295"/>
      <c r="AI148" s="343" t="s">
        <v>354</v>
      </c>
      <c r="AJ148" s="295"/>
      <c r="AK148" s="299"/>
    </row>
    <row r="149" spans="1:37" customFormat="1" ht="16.5" hidden="1" outlineLevel="1" thickBot="1">
      <c r="A149" s="2"/>
      <c r="B149" s="147"/>
      <c r="C149" s="227"/>
      <c r="D149" s="95" t="s">
        <v>346</v>
      </c>
      <c r="E149" s="414">
        <f>IFERROR(E138/$W138,0)</f>
        <v>3.9444444444444442E-2</v>
      </c>
      <c r="F149" s="415">
        <f t="shared" ref="F149" si="65">IFERROR(F138/$W138,0)</f>
        <v>6.7222222222222225E-2</v>
      </c>
      <c r="G149" s="415">
        <f>IFERROR(G138/$W138,0)</f>
        <v>0.19888888888888889</v>
      </c>
      <c r="H149" s="415">
        <f t="shared" ref="H149" si="66">IFERROR(H138/$W138,0)</f>
        <v>0.3133333333333333</v>
      </c>
      <c r="I149" s="415">
        <f>IFERROR(I138/$W138,0)</f>
        <v>0.38055555555555554</v>
      </c>
      <c r="J149" s="294"/>
      <c r="K149" s="295"/>
      <c r="L149" s="295"/>
      <c r="M149" s="295"/>
      <c r="N149" s="296"/>
      <c r="O149" s="294"/>
      <c r="P149" s="295"/>
      <c r="Q149" s="295"/>
      <c r="R149" s="296"/>
      <c r="S149" s="295"/>
      <c r="T149" s="295"/>
      <c r="U149" s="297"/>
      <c r="V149" s="298"/>
      <c r="W149" s="294"/>
      <c r="X149" s="299"/>
      <c r="Y149" s="2"/>
      <c r="AB149" s="147"/>
      <c r="AC149" s="227"/>
      <c r="AD149" s="95" t="s">
        <v>346</v>
      </c>
      <c r="AE149" s="294"/>
      <c r="AF149" s="295"/>
      <c r="AG149" s="295"/>
      <c r="AH149" s="295"/>
      <c r="AI149" s="343" t="s">
        <v>354</v>
      </c>
      <c r="AJ149" s="295"/>
      <c r="AK149" s="299"/>
    </row>
    <row r="150" spans="1:37" customFormat="1" ht="16.5" hidden="1" outlineLevel="1" thickBot="1">
      <c r="A150" s="2"/>
      <c r="B150" s="147"/>
      <c r="C150" s="227"/>
      <c r="D150" s="180" t="s">
        <v>347</v>
      </c>
      <c r="E150" s="414">
        <f>IFERROR(E139/$W138,0)</f>
        <v>5.5555555555555552E-2</v>
      </c>
      <c r="F150" s="415">
        <f t="shared" ref="F150:I150" si="67">IFERROR(F139/$W138,0)</f>
        <v>5.5555555555555552E-2</v>
      </c>
      <c r="G150" s="415">
        <f t="shared" si="67"/>
        <v>0.27777777777777779</v>
      </c>
      <c r="H150" s="415">
        <f t="shared" si="67"/>
        <v>0.27777777777777779</v>
      </c>
      <c r="I150" s="415">
        <f t="shared" si="67"/>
        <v>0.3888888888888889</v>
      </c>
      <c r="J150" s="294"/>
      <c r="K150" s="295"/>
      <c r="L150" s="295"/>
      <c r="M150" s="295"/>
      <c r="N150" s="296"/>
      <c r="O150" s="294"/>
      <c r="P150" s="295"/>
      <c r="Q150" s="295"/>
      <c r="R150" s="296"/>
      <c r="S150" s="295"/>
      <c r="T150" s="295"/>
      <c r="U150" s="297"/>
      <c r="V150" s="298"/>
      <c r="W150" s="294"/>
      <c r="X150" s="299"/>
      <c r="Y150" s="2"/>
      <c r="AB150" s="147"/>
      <c r="AC150" s="227"/>
      <c r="AD150" s="180" t="s">
        <v>347</v>
      </c>
      <c r="AE150" s="294"/>
      <c r="AF150" s="295"/>
      <c r="AG150" s="295"/>
      <c r="AH150" s="295"/>
      <c r="AI150" s="343" t="s">
        <v>354</v>
      </c>
      <c r="AJ150" s="295"/>
      <c r="AK150" s="299"/>
    </row>
    <row r="151" spans="1:37" customFormat="1" ht="16.5" hidden="1" outlineLevel="1" thickBot="1">
      <c r="A151" s="2"/>
      <c r="B151" s="147"/>
      <c r="C151" s="227"/>
      <c r="D151" s="180" t="s">
        <v>348</v>
      </c>
      <c r="E151" s="414">
        <f>E150-E149</f>
        <v>1.6111111111111111E-2</v>
      </c>
      <c r="F151" s="415">
        <f t="shared" ref="F151:I151" si="68">F150-F149</f>
        <v>-1.1666666666666672E-2</v>
      </c>
      <c r="G151" s="415">
        <f t="shared" si="68"/>
        <v>7.8888888888888897E-2</v>
      </c>
      <c r="H151" s="415">
        <f t="shared" si="68"/>
        <v>-3.5555555555555507E-2</v>
      </c>
      <c r="I151" s="415">
        <f t="shared" si="68"/>
        <v>8.3333333333333592E-3</v>
      </c>
      <c r="J151" s="294"/>
      <c r="K151" s="295"/>
      <c r="L151" s="295"/>
      <c r="M151" s="295"/>
      <c r="N151" s="296"/>
      <c r="O151" s="294"/>
      <c r="P151" s="295"/>
      <c r="Q151" s="295"/>
      <c r="R151" s="296"/>
      <c r="S151" s="295"/>
      <c r="T151" s="295"/>
      <c r="U151" s="297"/>
      <c r="V151" s="298"/>
      <c r="W151" s="294"/>
      <c r="X151" s="299"/>
      <c r="Y151" s="2"/>
      <c r="AB151" s="147"/>
      <c r="AC151" s="227"/>
      <c r="AD151" s="180" t="s">
        <v>348</v>
      </c>
      <c r="AE151" s="294"/>
      <c r="AF151" s="295"/>
      <c r="AG151" s="295"/>
      <c r="AH151" s="295"/>
      <c r="AI151" s="343" t="s">
        <v>354</v>
      </c>
      <c r="AJ151" s="295"/>
      <c r="AK151" s="299"/>
    </row>
    <row r="152" spans="1:37" customFormat="1">
      <c r="A152" s="2"/>
      <c r="B152" s="451" t="s">
        <v>338</v>
      </c>
      <c r="C152" s="453" t="str">
        <f>aurora_data!A1622</f>
        <v>16.00.00-16.11.30</v>
      </c>
      <c r="D152" s="34" t="s">
        <v>306</v>
      </c>
      <c r="E152" s="39">
        <f>IFERROR(aurora_data!D1622,0)</f>
        <v>0.72</v>
      </c>
      <c r="F152" s="40">
        <f>IFERROR(aurora_data!E1622,0)</f>
        <v>1.1499999999999999</v>
      </c>
      <c r="G152" s="40">
        <f>IFERROR(aurora_data!F1622,0)</f>
        <v>3.64</v>
      </c>
      <c r="H152" s="40">
        <f>IFERROR(aurora_data!G1622,0)</f>
        <v>5.68</v>
      </c>
      <c r="I152" s="41">
        <f>IFERROR(aurora_data!H1622,0)</f>
        <v>6.8</v>
      </c>
      <c r="J152" s="39">
        <f>IFERROR(aurora_data!I1622,0)</f>
        <v>1</v>
      </c>
      <c r="K152" s="40">
        <f>IFERROR(aurora_data!J1622,0)</f>
        <v>1</v>
      </c>
      <c r="L152" s="40">
        <f>IFERROR(aurora_data!K1622,0)</f>
        <v>1</v>
      </c>
      <c r="M152" s="40">
        <f>IFERROR(aurora_data!L1622,0)</f>
        <v>1</v>
      </c>
      <c r="N152" s="41">
        <f>IFERROR(aurora_data!M1622,0)</f>
        <v>1</v>
      </c>
      <c r="O152" s="39">
        <f>IFERROR(aurora_data!N1622,0)</f>
        <v>1</v>
      </c>
      <c r="P152" s="40">
        <f>IFERROR(aurora_data!O1622,0)</f>
        <v>1</v>
      </c>
      <c r="Q152" s="40">
        <f>IFERROR(aurora_data!P1622,0)</f>
        <v>1</v>
      </c>
      <c r="R152" s="41">
        <f>IFERROR(aurora_data!Q1622,0)</f>
        <v>1</v>
      </c>
      <c r="S152" s="40">
        <f>IFERROR(aurora_data!R1622,0)</f>
        <v>1</v>
      </c>
      <c r="T152" s="40">
        <f>IFERROR(aurora_data!S1622,0)</f>
        <v>1</v>
      </c>
      <c r="U152" s="41">
        <f>IFERROR(aurora_data!T1222,0)</f>
        <v>0</v>
      </c>
      <c r="V152" s="61" t="s">
        <v>354</v>
      </c>
      <c r="W152" s="39">
        <f>IFERROR(aurora_data!U1622,0)</f>
        <v>18</v>
      </c>
      <c r="X152" s="69">
        <f>IFERROR(W152/$W$152,0)</f>
        <v>1</v>
      </c>
      <c r="Y152" s="2"/>
      <c r="AB152" s="451" t="s">
        <v>338</v>
      </c>
      <c r="AC152" s="453" t="str">
        <f>aurora_data!A1622</f>
        <v>16.00.00-16.11.30</v>
      </c>
      <c r="AD152" s="34" t="s">
        <v>306</v>
      </c>
      <c r="AE152" s="338">
        <v>2</v>
      </c>
      <c r="AF152" s="40">
        <v>4</v>
      </c>
      <c r="AG152" s="40">
        <v>6</v>
      </c>
      <c r="AH152" s="337">
        <v>6</v>
      </c>
      <c r="AI152" s="343" t="s">
        <v>354</v>
      </c>
      <c r="AJ152" s="40">
        <f>IFERROR(aurora_data!U1622,0)</f>
        <v>18</v>
      </c>
      <c r="AK152" s="69">
        <f t="shared" ref="AK152:AK160" si="69">IFERROR(AJ152/$AJ$152,0)</f>
        <v>1</v>
      </c>
    </row>
    <row r="153" spans="1:37" customFormat="1">
      <c r="A153" s="2"/>
      <c r="B153" s="452"/>
      <c r="C153" s="454"/>
      <c r="D153" s="35" t="s">
        <v>339</v>
      </c>
      <c r="E153" s="113">
        <f>IFERROR(aurora_data!D1623,0)</f>
        <v>1</v>
      </c>
      <c r="F153" s="253">
        <f>IFERROR(aurora_data!E1623,0)</f>
        <v>0</v>
      </c>
      <c r="G153" s="253">
        <f>IFERROR(aurora_data!F1623,0)</f>
        <v>4</v>
      </c>
      <c r="H153" s="253">
        <f>IFERROR(aurora_data!G1623,0)</f>
        <v>5</v>
      </c>
      <c r="I153" s="254">
        <f>IFERROR(aurora_data!H1623,0)</f>
        <v>7</v>
      </c>
      <c r="J153" s="113">
        <f>IFERROR(aurora_data!I1623,0)</f>
        <v>0</v>
      </c>
      <c r="K153" s="253">
        <f>IFERROR(aurora_data!J1623,0)</f>
        <v>2</v>
      </c>
      <c r="L153" s="253">
        <f>IFERROR(aurora_data!K1623,0)</f>
        <v>5</v>
      </c>
      <c r="M153" s="253">
        <f>IFERROR(aurora_data!L1623,0)</f>
        <v>2</v>
      </c>
      <c r="N153" s="254">
        <f>IFERROR(aurora_data!M1623,0)</f>
        <v>8</v>
      </c>
      <c r="O153" s="113">
        <f>IFERROR(aurora_data!N1623,0)</f>
        <v>4</v>
      </c>
      <c r="P153" s="253">
        <f>IFERROR(aurora_data!O1623,0)</f>
        <v>3</v>
      </c>
      <c r="Q153" s="253">
        <f>IFERROR(aurora_data!P1623,0)</f>
        <v>9</v>
      </c>
      <c r="R153" s="254">
        <f>IFERROR(aurora_data!Q1623,0)</f>
        <v>1</v>
      </c>
      <c r="S153" s="253">
        <f>IFERROR(aurora_data!R1623,0)</f>
        <v>11</v>
      </c>
      <c r="T153" s="253">
        <f>IFERROR(aurora_data!S1623,0)</f>
        <v>6</v>
      </c>
      <c r="U153" s="254">
        <f>IFERROR(aurora_data!T1223,0)</f>
        <v>0</v>
      </c>
      <c r="V153" s="61" t="s">
        <v>354</v>
      </c>
      <c r="W153" s="113">
        <f>IFERROR(aurora_data!U1623,0)</f>
        <v>17</v>
      </c>
      <c r="X153" s="255">
        <f t="shared" ref="X153:X160" si="70">IFERROR(W153/$W$152,0)</f>
        <v>0.94444444444444442</v>
      </c>
      <c r="Y153" s="2"/>
      <c r="AB153" s="452"/>
      <c r="AC153" s="454"/>
      <c r="AD153" s="35" t="s">
        <v>339</v>
      </c>
      <c r="AE153" s="113">
        <f>IFERROR(aurora_data!D1623,0)+IFERROR(aurora_data!E1623,0)</f>
        <v>1</v>
      </c>
      <c r="AF153" s="253">
        <f>IFERROR(aurora_data!F1623,0)</f>
        <v>4</v>
      </c>
      <c r="AG153" s="253">
        <f>IFERROR(aurora_data!G1623,0)</f>
        <v>5</v>
      </c>
      <c r="AH153" s="253">
        <f>IFERROR(aurora_data!H1623,0)</f>
        <v>7</v>
      </c>
      <c r="AI153" s="343" t="s">
        <v>354</v>
      </c>
      <c r="AJ153" s="253">
        <f>IFERROR(aurora_data!U1623,0)</f>
        <v>17</v>
      </c>
      <c r="AK153" s="255">
        <f t="shared" si="69"/>
        <v>0.94444444444444442</v>
      </c>
    </row>
    <row r="154" spans="1:37" customFormat="1">
      <c r="A154" s="2"/>
      <c r="B154" s="452"/>
      <c r="C154" s="454"/>
      <c r="D154" s="35" t="s">
        <v>291</v>
      </c>
      <c r="E154" s="113">
        <f>IFERROR(aurora_data!D1624,0)</f>
        <v>0</v>
      </c>
      <c r="F154" s="253">
        <f>IFERROR(aurora_data!E1624,0)</f>
        <v>0</v>
      </c>
      <c r="G154" s="253">
        <f>IFERROR(aurora_data!F1624,0)</f>
        <v>0</v>
      </c>
      <c r="H154" s="253">
        <f>IFERROR(aurora_data!G1624,0)</f>
        <v>0</v>
      </c>
      <c r="I154" s="254">
        <f>IFERROR(aurora_data!H1624,0)</f>
        <v>0</v>
      </c>
      <c r="J154" s="113">
        <f>IFERROR(aurora_data!I1624,0)</f>
        <v>0</v>
      </c>
      <c r="K154" s="253">
        <f>IFERROR(aurora_data!J1624,0)</f>
        <v>0</v>
      </c>
      <c r="L154" s="253">
        <f>IFERROR(aurora_data!K1624,0)</f>
        <v>0</v>
      </c>
      <c r="M154" s="253">
        <f>IFERROR(aurora_data!L1624,0)</f>
        <v>0</v>
      </c>
      <c r="N154" s="254">
        <f>IFERROR(aurora_data!M1624,0)</f>
        <v>0</v>
      </c>
      <c r="O154" s="113">
        <f>IFERROR(aurora_data!N1624,0)</f>
        <v>0</v>
      </c>
      <c r="P154" s="253">
        <f>IFERROR(aurora_data!O1624,0)</f>
        <v>0</v>
      </c>
      <c r="Q154" s="253">
        <f>IFERROR(aurora_data!P1624,0)</f>
        <v>0</v>
      </c>
      <c r="R154" s="254">
        <f>IFERROR(aurora_data!Q1624,0)</f>
        <v>0</v>
      </c>
      <c r="S154" s="253">
        <f>IFERROR(aurora_data!R1624,0)</f>
        <v>0</v>
      </c>
      <c r="T154" s="253">
        <f>IFERROR(aurora_data!S1624,0)</f>
        <v>0</v>
      </c>
      <c r="U154" s="254">
        <f>IFERROR(aurora_data!T1224,0)</f>
        <v>0</v>
      </c>
      <c r="V154" s="61" t="s">
        <v>354</v>
      </c>
      <c r="W154" s="113">
        <f>IFERROR(aurora_data!U1624,0)</f>
        <v>0</v>
      </c>
      <c r="X154" s="255">
        <f t="shared" si="70"/>
        <v>0</v>
      </c>
      <c r="Y154" s="2"/>
      <c r="AB154" s="452"/>
      <c r="AC154" s="454"/>
      <c r="AD154" s="35" t="s">
        <v>291</v>
      </c>
      <c r="AE154" s="113">
        <f>IFERROR(aurora_data!D1624,0)+IFERROR(aurora_data!E1624,0)</f>
        <v>0</v>
      </c>
      <c r="AF154" s="253">
        <f>IFERROR(aurora_data!F1624,0)</f>
        <v>0</v>
      </c>
      <c r="AG154" s="253">
        <f>IFERROR(aurora_data!G1624,0)</f>
        <v>0</v>
      </c>
      <c r="AH154" s="253">
        <f>IFERROR(aurora_data!H1624,0)</f>
        <v>0</v>
      </c>
      <c r="AI154" s="343" t="s">
        <v>354</v>
      </c>
      <c r="AJ154" s="253">
        <f>IFERROR(aurora_data!U1624,0)</f>
        <v>0</v>
      </c>
      <c r="AK154" s="255">
        <f t="shared" si="69"/>
        <v>0</v>
      </c>
    </row>
    <row r="155" spans="1:37" customFormat="1">
      <c r="A155" s="2"/>
      <c r="B155" s="452"/>
      <c r="C155" s="454"/>
      <c r="D155" s="35" t="s">
        <v>340</v>
      </c>
      <c r="E155" s="113">
        <f>IFERROR(aurora_data!D1625,0)</f>
        <v>0</v>
      </c>
      <c r="F155" s="253">
        <f>IFERROR(aurora_data!E1625,0)</f>
        <v>0</v>
      </c>
      <c r="G155" s="253">
        <f>IFERROR(aurora_data!F1625,0)</f>
        <v>0</v>
      </c>
      <c r="H155" s="253">
        <f>IFERROR(aurora_data!G1625,0)</f>
        <v>0</v>
      </c>
      <c r="I155" s="254">
        <f>IFERROR(aurora_data!H1625,0)</f>
        <v>0</v>
      </c>
      <c r="J155" s="113">
        <f>IFERROR(aurora_data!I1625,0)</f>
        <v>0</v>
      </c>
      <c r="K155" s="253">
        <f>IFERROR(aurora_data!J1625,0)</f>
        <v>0</v>
      </c>
      <c r="L155" s="253">
        <f>IFERROR(aurora_data!K1625,0)</f>
        <v>0</v>
      </c>
      <c r="M155" s="253">
        <f>IFERROR(aurora_data!L1625,0)</f>
        <v>0</v>
      </c>
      <c r="N155" s="254">
        <f>IFERROR(aurora_data!M1625,0)</f>
        <v>0</v>
      </c>
      <c r="O155" s="113">
        <f>IFERROR(aurora_data!N1625,0)</f>
        <v>0</v>
      </c>
      <c r="P155" s="253">
        <f>IFERROR(aurora_data!O1625,0)</f>
        <v>0</v>
      </c>
      <c r="Q155" s="253">
        <f>IFERROR(aurora_data!P1625,0)</f>
        <v>0</v>
      </c>
      <c r="R155" s="254">
        <f>IFERROR(aurora_data!Q1625,0)</f>
        <v>0</v>
      </c>
      <c r="S155" s="253">
        <f>IFERROR(aurora_data!R1625,0)</f>
        <v>0</v>
      </c>
      <c r="T155" s="253">
        <f>IFERROR(aurora_data!S1625,0)</f>
        <v>0</v>
      </c>
      <c r="U155" s="254">
        <f>IFERROR(aurora_data!T1225,0)</f>
        <v>0</v>
      </c>
      <c r="V155" s="61" t="s">
        <v>354</v>
      </c>
      <c r="W155" s="113">
        <f>IFERROR(aurora_data!U1625,0)</f>
        <v>0</v>
      </c>
      <c r="X155" s="255">
        <f t="shared" si="70"/>
        <v>0</v>
      </c>
      <c r="Y155" s="2"/>
      <c r="AB155" s="452"/>
      <c r="AC155" s="454"/>
      <c r="AD155" s="35" t="s">
        <v>340</v>
      </c>
      <c r="AE155" s="113">
        <f>IFERROR(aurora_data!D1625,0)+IFERROR(aurora_data!E1625,0)</f>
        <v>0</v>
      </c>
      <c r="AF155" s="253">
        <f>IFERROR(aurora_data!F1625,0)</f>
        <v>0</v>
      </c>
      <c r="AG155" s="253">
        <f>IFERROR(aurora_data!G1625,0)</f>
        <v>0</v>
      </c>
      <c r="AH155" s="253">
        <f>IFERROR(aurora_data!H1625,0)</f>
        <v>0</v>
      </c>
      <c r="AI155" s="343" t="s">
        <v>354</v>
      </c>
      <c r="AJ155" s="253">
        <f>IFERROR(aurora_data!U1625,0)</f>
        <v>0</v>
      </c>
      <c r="AK155" s="255">
        <f t="shared" si="69"/>
        <v>0</v>
      </c>
    </row>
    <row r="156" spans="1:37" customFormat="1">
      <c r="A156" s="2"/>
      <c r="B156" s="452"/>
      <c r="C156" s="454"/>
      <c r="D156" s="35" t="s">
        <v>298</v>
      </c>
      <c r="E156" s="113">
        <f>IFERROR(aurora_data!D1626,0)</f>
        <v>0</v>
      </c>
      <c r="F156" s="253">
        <f>IFERROR(aurora_data!E1626,0)</f>
        <v>0</v>
      </c>
      <c r="G156" s="253">
        <f>IFERROR(aurora_data!F1626,0)</f>
        <v>0</v>
      </c>
      <c r="H156" s="253">
        <f>IFERROR(aurora_data!G1626,0)</f>
        <v>0</v>
      </c>
      <c r="I156" s="254">
        <f>IFERROR(aurora_data!H1626,0)</f>
        <v>0</v>
      </c>
      <c r="J156" s="113">
        <f>IFERROR(aurora_data!I1626,0)</f>
        <v>0</v>
      </c>
      <c r="K156" s="253">
        <f>IFERROR(aurora_data!J1626,0)</f>
        <v>0</v>
      </c>
      <c r="L156" s="253">
        <f>IFERROR(aurora_data!K1626,0)</f>
        <v>0</v>
      </c>
      <c r="M156" s="253">
        <f>IFERROR(aurora_data!L1626,0)</f>
        <v>0</v>
      </c>
      <c r="N156" s="254">
        <f>IFERROR(aurora_data!M1626,0)</f>
        <v>0</v>
      </c>
      <c r="O156" s="113">
        <f>IFERROR(aurora_data!N1626,0)</f>
        <v>0</v>
      </c>
      <c r="P156" s="253">
        <f>IFERROR(aurora_data!O1626,0)</f>
        <v>0</v>
      </c>
      <c r="Q156" s="253">
        <f>IFERROR(aurora_data!P1626,0)</f>
        <v>0</v>
      </c>
      <c r="R156" s="254">
        <f>IFERROR(aurora_data!Q1626,0)</f>
        <v>0</v>
      </c>
      <c r="S156" s="253">
        <f>IFERROR(aurora_data!R1626,0)</f>
        <v>0</v>
      </c>
      <c r="T156" s="253">
        <f>IFERROR(aurora_data!S1626,0)</f>
        <v>0</v>
      </c>
      <c r="U156" s="254">
        <f>IFERROR(aurora_data!T1226,0)</f>
        <v>0</v>
      </c>
      <c r="V156" s="61" t="s">
        <v>354</v>
      </c>
      <c r="W156" s="113">
        <f>IFERROR(aurora_data!U1626,0)</f>
        <v>0</v>
      </c>
      <c r="X156" s="255">
        <f t="shared" si="70"/>
        <v>0</v>
      </c>
      <c r="Y156" s="2"/>
      <c r="AB156" s="452"/>
      <c r="AC156" s="454"/>
      <c r="AD156" s="35" t="s">
        <v>298</v>
      </c>
      <c r="AE156" s="113">
        <f>IFERROR(aurora_data!D1626,0)+IFERROR(aurora_data!E1626,0)</f>
        <v>0</v>
      </c>
      <c r="AF156" s="253">
        <f>IFERROR(aurora_data!F1626,0)</f>
        <v>0</v>
      </c>
      <c r="AG156" s="253">
        <f>IFERROR(aurora_data!G1626,0)</f>
        <v>0</v>
      </c>
      <c r="AH156" s="253">
        <f>IFERROR(aurora_data!H1626,0)</f>
        <v>0</v>
      </c>
      <c r="AI156" s="343" t="s">
        <v>354</v>
      </c>
      <c r="AJ156" s="253">
        <f>IFERROR(aurora_data!U1626,0)</f>
        <v>0</v>
      </c>
      <c r="AK156" s="255">
        <f t="shared" si="69"/>
        <v>0</v>
      </c>
    </row>
    <row r="157" spans="1:37" customFormat="1">
      <c r="A157" s="2"/>
      <c r="B157" s="452"/>
      <c r="C157" s="454"/>
      <c r="D157" s="35" t="s">
        <v>341</v>
      </c>
      <c r="E157" s="113">
        <f>IFERROR(aurora_data!D1627,0)</f>
        <v>0</v>
      </c>
      <c r="F157" s="253">
        <f>IFERROR(aurora_data!E1627,0)</f>
        <v>0</v>
      </c>
      <c r="G157" s="253">
        <f>IFERROR(aurora_data!F1627,0)</f>
        <v>0</v>
      </c>
      <c r="H157" s="253">
        <f>IFERROR(aurora_data!G1627,0)</f>
        <v>0</v>
      </c>
      <c r="I157" s="254">
        <f>IFERROR(aurora_data!H1627,0)</f>
        <v>0</v>
      </c>
      <c r="J157" s="113">
        <f>IFERROR(aurora_data!I1627,0)</f>
        <v>0</v>
      </c>
      <c r="K157" s="253">
        <f>IFERROR(aurora_data!J1627,0)</f>
        <v>0</v>
      </c>
      <c r="L157" s="253">
        <f>IFERROR(aurora_data!K1627,0)</f>
        <v>0</v>
      </c>
      <c r="M157" s="253">
        <f>IFERROR(aurora_data!L1627,0)</f>
        <v>0</v>
      </c>
      <c r="N157" s="254">
        <f>IFERROR(aurora_data!M1627,0)</f>
        <v>0</v>
      </c>
      <c r="O157" s="113">
        <f>IFERROR(aurora_data!N1627,0)</f>
        <v>0</v>
      </c>
      <c r="P157" s="253">
        <f>IFERROR(aurora_data!O1627,0)</f>
        <v>0</v>
      </c>
      <c r="Q157" s="253">
        <f>IFERROR(aurora_data!P1627,0)</f>
        <v>0</v>
      </c>
      <c r="R157" s="254">
        <f>IFERROR(aurora_data!Q1627,0)</f>
        <v>0</v>
      </c>
      <c r="S157" s="253">
        <f>IFERROR(aurora_data!R1627,0)</f>
        <v>0</v>
      </c>
      <c r="T157" s="253">
        <f>IFERROR(aurora_data!S1627,0)</f>
        <v>0</v>
      </c>
      <c r="U157" s="254">
        <f>IFERROR(aurora_data!T1227,0)</f>
        <v>0</v>
      </c>
      <c r="V157" s="61" t="s">
        <v>354</v>
      </c>
      <c r="W157" s="113">
        <f>IFERROR(aurora_data!U1627,0)</f>
        <v>0</v>
      </c>
      <c r="X157" s="255">
        <f t="shared" si="70"/>
        <v>0</v>
      </c>
      <c r="Y157" s="2"/>
      <c r="AB157" s="452"/>
      <c r="AC157" s="454"/>
      <c r="AD157" s="35" t="s">
        <v>341</v>
      </c>
      <c r="AE157" s="113">
        <f>IFERROR(aurora_data!D1627,0)+IFERROR(aurora_data!E1627,0)</f>
        <v>0</v>
      </c>
      <c r="AF157" s="253">
        <f>IFERROR(aurora_data!F1627,0)</f>
        <v>0</v>
      </c>
      <c r="AG157" s="253">
        <f>IFERROR(aurora_data!G1627,0)</f>
        <v>0</v>
      </c>
      <c r="AH157" s="253">
        <f>IFERROR(aurora_data!H1627,0)</f>
        <v>0</v>
      </c>
      <c r="AI157" s="343" t="s">
        <v>354</v>
      </c>
      <c r="AJ157" s="253">
        <f>IFERROR(aurora_data!U1627,0)</f>
        <v>0</v>
      </c>
      <c r="AK157" s="255">
        <f t="shared" si="69"/>
        <v>0</v>
      </c>
    </row>
    <row r="158" spans="1:37" customFormat="1" ht="16.5" thickBot="1">
      <c r="A158" s="2"/>
      <c r="B158" s="452"/>
      <c r="C158" s="454"/>
      <c r="D158" s="35" t="s">
        <v>342</v>
      </c>
      <c r="E158" s="113">
        <f>IFERROR(aurora_data!D1628,0)</f>
        <v>0</v>
      </c>
      <c r="F158" s="253">
        <f>IFERROR(aurora_data!E1628,0)</f>
        <v>0</v>
      </c>
      <c r="G158" s="253">
        <f>IFERROR(aurora_data!F1628,0)</f>
        <v>0</v>
      </c>
      <c r="H158" s="253">
        <f>IFERROR(aurora_data!G1628,0)</f>
        <v>0</v>
      </c>
      <c r="I158" s="254">
        <f>IFERROR(aurora_data!H1628,0)</f>
        <v>0</v>
      </c>
      <c r="J158" s="113">
        <f>IFERROR(aurora_data!I1628,0)</f>
        <v>0</v>
      </c>
      <c r="K158" s="253">
        <f>IFERROR(aurora_data!J1628,0)</f>
        <v>0</v>
      </c>
      <c r="L158" s="253">
        <f>IFERROR(aurora_data!K1628,0)</f>
        <v>0</v>
      </c>
      <c r="M158" s="253">
        <f>IFERROR(aurora_data!L1628,0)</f>
        <v>0</v>
      </c>
      <c r="N158" s="254">
        <f>IFERROR(aurora_data!M1628,0)</f>
        <v>0</v>
      </c>
      <c r="O158" s="113">
        <f>IFERROR(aurora_data!N1628,0)</f>
        <v>0</v>
      </c>
      <c r="P158" s="253">
        <f>IFERROR(aurora_data!O1628,0)</f>
        <v>0</v>
      </c>
      <c r="Q158" s="253">
        <f>IFERROR(aurora_data!P1628,0)</f>
        <v>0</v>
      </c>
      <c r="R158" s="254">
        <f>IFERROR(aurora_data!Q1628,0)</f>
        <v>0</v>
      </c>
      <c r="S158" s="253">
        <f>IFERROR(aurora_data!R1628,0)</f>
        <v>0</v>
      </c>
      <c r="T158" s="253">
        <f>IFERROR(aurora_data!S1628,0)</f>
        <v>0</v>
      </c>
      <c r="U158" s="254">
        <f>IFERROR(aurora_data!T1228,0)</f>
        <v>0</v>
      </c>
      <c r="V158" s="61" t="s">
        <v>354</v>
      </c>
      <c r="W158" s="113">
        <f>IFERROR(aurora_data!U1628,0)</f>
        <v>0</v>
      </c>
      <c r="X158" s="255">
        <f t="shared" si="70"/>
        <v>0</v>
      </c>
      <c r="Y158" s="2"/>
      <c r="AB158" s="452"/>
      <c r="AC158" s="454"/>
      <c r="AD158" s="35" t="s">
        <v>342</v>
      </c>
      <c r="AE158" s="113">
        <f>IFERROR(aurora_data!D1628,0)+IFERROR(aurora_data!E1628,0)</f>
        <v>0</v>
      </c>
      <c r="AF158" s="253">
        <f>IFERROR(aurora_data!F1628,0)</f>
        <v>0</v>
      </c>
      <c r="AG158" s="253">
        <f>IFERROR(aurora_data!G1628,0)</f>
        <v>0</v>
      </c>
      <c r="AH158" s="253">
        <f>IFERROR(aurora_data!H1628,0)</f>
        <v>0</v>
      </c>
      <c r="AI158" s="343" t="s">
        <v>354</v>
      </c>
      <c r="AJ158" s="253">
        <f>IFERROR(aurora_data!U1628,0)</f>
        <v>0</v>
      </c>
      <c r="AK158" s="255">
        <f t="shared" si="69"/>
        <v>0</v>
      </c>
    </row>
    <row r="159" spans="1:37" customFormat="1" ht="16.5" thickBot="1">
      <c r="A159" s="2"/>
      <c r="B159" s="452"/>
      <c r="C159" s="454"/>
      <c r="D159" s="37" t="s">
        <v>17</v>
      </c>
      <c r="E159" s="59">
        <f>IFERROR(aurora_data!D1629,0)</f>
        <v>1</v>
      </c>
      <c r="F159" s="64">
        <f>IFERROR(aurora_data!E1629,0)</f>
        <v>0</v>
      </c>
      <c r="G159" s="64">
        <f>IFERROR(aurora_data!F1629,0)</f>
        <v>4</v>
      </c>
      <c r="H159" s="64">
        <f>IFERROR(aurora_data!G1629,0)</f>
        <v>5</v>
      </c>
      <c r="I159" s="65">
        <f>IFERROR(aurora_data!H1629,0)</f>
        <v>7</v>
      </c>
      <c r="J159" s="59">
        <f>IFERROR(aurora_data!I1629,0)</f>
        <v>0</v>
      </c>
      <c r="K159" s="64">
        <f>IFERROR(aurora_data!J1629,0)</f>
        <v>2</v>
      </c>
      <c r="L159" s="64">
        <f>IFERROR(aurora_data!K1629,0)</f>
        <v>5</v>
      </c>
      <c r="M159" s="64">
        <f>IFERROR(aurora_data!L1629,0)</f>
        <v>2</v>
      </c>
      <c r="N159" s="65">
        <f>IFERROR(aurora_data!M1629,0)</f>
        <v>8</v>
      </c>
      <c r="O159" s="59">
        <f>IFERROR(aurora_data!N1629,0)</f>
        <v>4</v>
      </c>
      <c r="P159" s="64">
        <f>IFERROR(aurora_data!O1629,0)</f>
        <v>3</v>
      </c>
      <c r="Q159" s="64">
        <f>IFERROR(aurora_data!P1629,0)</f>
        <v>9</v>
      </c>
      <c r="R159" s="65">
        <f>IFERROR(aurora_data!Q1629,0)</f>
        <v>1</v>
      </c>
      <c r="S159" s="64">
        <f>IFERROR(aurora_data!R1629,0)</f>
        <v>11</v>
      </c>
      <c r="T159" s="64">
        <f>IFERROR(aurora_data!S1629,0)</f>
        <v>6</v>
      </c>
      <c r="U159" s="65">
        <f>IFERROR(aurora_data!T1229,0)</f>
        <v>0</v>
      </c>
      <c r="V159" s="66" t="s">
        <v>354</v>
      </c>
      <c r="W159" s="59">
        <f>IFERROR(aurora_data!U1629,0)</f>
        <v>17</v>
      </c>
      <c r="X159" s="70">
        <f t="shared" si="70"/>
        <v>0.94444444444444442</v>
      </c>
      <c r="Y159" s="2"/>
      <c r="AB159" s="452"/>
      <c r="AC159" s="454"/>
      <c r="AD159" s="37" t="s">
        <v>17</v>
      </c>
      <c r="AE159" s="59">
        <f>IFERROR(aurora_data!D1629,0)+IFERROR(aurora_data!E1629,0)</f>
        <v>1</v>
      </c>
      <c r="AF159" s="64">
        <f>IFERROR(aurora_data!F1629,0)</f>
        <v>4</v>
      </c>
      <c r="AG159" s="64">
        <f>IFERROR(aurora_data!G1629,0)</f>
        <v>5</v>
      </c>
      <c r="AH159" s="64">
        <f>IFERROR(aurora_data!H1629,0)</f>
        <v>7</v>
      </c>
      <c r="AI159" s="344" t="s">
        <v>354</v>
      </c>
      <c r="AJ159" s="64">
        <f>IFERROR(aurora_data!U1629,0)</f>
        <v>17</v>
      </c>
      <c r="AK159" s="70">
        <f t="shared" si="69"/>
        <v>0.94444444444444442</v>
      </c>
    </row>
    <row r="160" spans="1:37" customFormat="1" ht="16.5" thickBot="1">
      <c r="A160" s="2"/>
      <c r="B160" s="452"/>
      <c r="C160" s="454"/>
      <c r="D160" s="38" t="s">
        <v>343</v>
      </c>
      <c r="E160" s="256">
        <f>IFERROR(aurora_data!D1630,0)</f>
        <v>0</v>
      </c>
      <c r="F160" s="257">
        <f>IFERROR(aurora_data!E1630,0)</f>
        <v>0</v>
      </c>
      <c r="G160" s="257">
        <f>IFERROR(aurora_data!F1630,0)</f>
        <v>0</v>
      </c>
      <c r="H160" s="257">
        <f>IFERROR(aurora_data!G1630,0)</f>
        <v>0</v>
      </c>
      <c r="I160" s="258">
        <f>IFERROR(aurora_data!H1630,0)</f>
        <v>0</v>
      </c>
      <c r="J160" s="256">
        <f>IFERROR(aurora_data!I1630,0)</f>
        <v>0</v>
      </c>
      <c r="K160" s="257">
        <f>IFERROR(aurora_data!J1630,0)</f>
        <v>0</v>
      </c>
      <c r="L160" s="257">
        <f>IFERROR(aurora_data!K1630,0)</f>
        <v>0</v>
      </c>
      <c r="M160" s="257">
        <f>IFERROR(aurora_data!L1630,0)</f>
        <v>0</v>
      </c>
      <c r="N160" s="258">
        <f>IFERROR(aurora_data!M1630,0)</f>
        <v>0</v>
      </c>
      <c r="O160" s="256">
        <f>IFERROR(aurora_data!N1630,0)</f>
        <v>0</v>
      </c>
      <c r="P160" s="257">
        <f>IFERROR(aurora_data!O1630,0)</f>
        <v>0</v>
      </c>
      <c r="Q160" s="257">
        <f>IFERROR(aurora_data!P1630,0)</f>
        <v>0</v>
      </c>
      <c r="R160" s="258">
        <f>IFERROR(aurora_data!Q1630,0)</f>
        <v>0</v>
      </c>
      <c r="S160" s="257">
        <f>IFERROR(aurora_data!R1630,0)</f>
        <v>0</v>
      </c>
      <c r="T160" s="257">
        <f>IFERROR(aurora_data!S1630,0)</f>
        <v>0</v>
      </c>
      <c r="U160" s="259">
        <f>IFERROR(aurora_data!T1230,0)</f>
        <v>0</v>
      </c>
      <c r="V160" s="260" t="s">
        <v>354</v>
      </c>
      <c r="W160" s="256">
        <f>IFERROR(aurora_data!U1630,0)</f>
        <v>0</v>
      </c>
      <c r="X160" s="261">
        <f t="shared" si="70"/>
        <v>0</v>
      </c>
      <c r="Y160" s="2"/>
      <c r="AB160" s="452"/>
      <c r="AC160" s="454"/>
      <c r="AD160" s="38" t="s">
        <v>343</v>
      </c>
      <c r="AE160" s="256">
        <f>IFERROR(aurora_data!D1630,0)+IFERROR(aurora_data!E1630,0)</f>
        <v>0</v>
      </c>
      <c r="AF160" s="257">
        <f>IFERROR(aurora_data!F1630,0)</f>
        <v>0</v>
      </c>
      <c r="AG160" s="257">
        <f>IFERROR(aurora_data!G1630,0)</f>
        <v>0</v>
      </c>
      <c r="AH160" s="257">
        <f>IFERROR(aurora_data!H1630,0)</f>
        <v>0</v>
      </c>
      <c r="AI160" s="343" t="s">
        <v>354</v>
      </c>
      <c r="AJ160" s="257">
        <f>IFERROR(aurora_data!U1630,0)</f>
        <v>0</v>
      </c>
      <c r="AK160" s="261">
        <f t="shared" si="69"/>
        <v>0</v>
      </c>
    </row>
    <row r="161" spans="1:37" customFormat="1" ht="16.5" outlineLevel="1" thickBot="1">
      <c r="A161" s="2"/>
      <c r="B161" s="147"/>
      <c r="C161" s="227"/>
      <c r="D161" s="199" t="s">
        <v>344</v>
      </c>
      <c r="E161" s="276">
        <f>((E163+$E$9)*($W152))</f>
        <v>1.08</v>
      </c>
      <c r="F161" s="277">
        <f>(F163+$E$9)*($W152)</f>
        <v>1.51</v>
      </c>
      <c r="G161" s="277">
        <f>(G163+$E$9)*($W152)</f>
        <v>4</v>
      </c>
      <c r="H161" s="277">
        <f>(H163+$E$9)*($W152)</f>
        <v>6.04</v>
      </c>
      <c r="I161" s="277">
        <f>(I163+$E$9)*($W152)</f>
        <v>7.16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B161" s="147"/>
      <c r="AC161" s="227"/>
      <c r="AD161" s="199" t="s">
        <v>344</v>
      </c>
      <c r="AE161" s="294"/>
      <c r="AF161" s="295"/>
      <c r="AG161" s="295"/>
      <c r="AH161" s="295"/>
      <c r="AI161" s="343"/>
      <c r="AJ161" s="295"/>
      <c r="AK161" s="299"/>
    </row>
    <row r="162" spans="1:37" customFormat="1" ht="16.5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0.61</v>
      </c>
      <c r="F162" s="277">
        <f>IF(ROUND(((F163-$E$9)*($W152))+0.25,0) &lt;=0,1,((F163-$E$9)*($W152))+0.25)</f>
        <v>1.0399999999999998</v>
      </c>
      <c r="G162" s="277">
        <f t="shared" ref="G162:I162" si="71">IF(ROUND(((G163-$E$9)*($W152))+0.25,0) &lt;=0,1,((G163-$E$9)*($W152))+0.25)</f>
        <v>3.5300000000000002</v>
      </c>
      <c r="H162" s="277">
        <f t="shared" si="71"/>
        <v>5.5699999999999994</v>
      </c>
      <c r="I162" s="277">
        <f t="shared" si="71"/>
        <v>6.6899999999999995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B162" s="147"/>
      <c r="AC162" s="227"/>
      <c r="AD162" s="199" t="s">
        <v>345</v>
      </c>
      <c r="AE162" s="294"/>
      <c r="AF162" s="295"/>
      <c r="AG162" s="295"/>
      <c r="AH162" s="295"/>
      <c r="AI162" s="343"/>
      <c r="AJ162" s="295"/>
      <c r="AK162" s="299"/>
    </row>
    <row r="163" spans="1:37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2">IFERROR(F152/$W152,0)</f>
        <v>6.3888888888888884E-2</v>
      </c>
      <c r="G163" s="415">
        <f>IFERROR(G152/$W152,0)</f>
        <v>0.20222222222222222</v>
      </c>
      <c r="H163" s="415">
        <f t="shared" ref="H163" si="73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B163" s="147"/>
      <c r="AC163" s="227"/>
      <c r="AD163" s="95" t="s">
        <v>346</v>
      </c>
      <c r="AE163" s="294"/>
      <c r="AF163" s="295"/>
      <c r="AG163" s="295"/>
      <c r="AH163" s="295"/>
      <c r="AI163" s="343"/>
      <c r="AJ163" s="295"/>
      <c r="AK163" s="299"/>
    </row>
    <row r="164" spans="1:37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5.5555555555555552E-2</v>
      </c>
      <c r="F164" s="415">
        <f t="shared" ref="F164:I164" si="74">IFERROR(F153/$W152,0)</f>
        <v>0</v>
      </c>
      <c r="G164" s="415">
        <f t="shared" si="74"/>
        <v>0.22222222222222221</v>
      </c>
      <c r="H164" s="415">
        <f t="shared" si="74"/>
        <v>0.27777777777777779</v>
      </c>
      <c r="I164" s="415">
        <f t="shared" si="74"/>
        <v>0.3888888888888889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B164" s="147"/>
      <c r="AC164" s="227"/>
      <c r="AD164" s="180" t="s">
        <v>347</v>
      </c>
      <c r="AE164" s="294"/>
      <c r="AF164" s="295"/>
      <c r="AG164" s="295"/>
      <c r="AH164" s="295"/>
      <c r="AI164" s="343"/>
      <c r="AJ164" s="295"/>
      <c r="AK164" s="299"/>
    </row>
    <row r="165" spans="1:37" customFormat="1" ht="16.5" hidden="1" outlineLevel="1" thickBot="1">
      <c r="A165" s="2"/>
      <c r="B165" s="147"/>
      <c r="C165" s="227"/>
      <c r="D165" s="180" t="s">
        <v>348</v>
      </c>
      <c r="E165" s="414">
        <f>E164-E163</f>
        <v>1.5555555555555552E-2</v>
      </c>
      <c r="F165" s="415">
        <f t="shared" ref="F165:I165" si="75">F164-F163</f>
        <v>-6.3888888888888884E-2</v>
      </c>
      <c r="G165" s="415">
        <f t="shared" si="75"/>
        <v>1.999999999999999E-2</v>
      </c>
      <c r="H165" s="415">
        <f t="shared" si="75"/>
        <v>-3.7777777777777743E-2</v>
      </c>
      <c r="I165" s="415">
        <f t="shared" si="75"/>
        <v>1.1111111111111127E-2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B165" s="147"/>
      <c r="AC165" s="227"/>
      <c r="AD165" s="180" t="s">
        <v>348</v>
      </c>
      <c r="AE165" s="294"/>
      <c r="AF165" s="295"/>
      <c r="AG165" s="295"/>
      <c r="AH165" s="295"/>
      <c r="AI165" s="343"/>
      <c r="AJ165" s="295"/>
      <c r="AK165" s="299"/>
    </row>
    <row r="166" spans="1:37" customFormat="1">
      <c r="A166" s="2"/>
      <c r="B166" s="451" t="s">
        <v>338</v>
      </c>
      <c r="C166" s="449" t="s">
        <v>150</v>
      </c>
      <c r="D166" s="34" t="s">
        <v>306</v>
      </c>
      <c r="E166" s="39">
        <f>IFERROR(aurora_data!D1631,0)</f>
        <v>6.67</v>
      </c>
      <c r="F166" s="40">
        <f>IFERROR(aurora_data!E1631,0)</f>
        <v>11.77</v>
      </c>
      <c r="G166" s="40">
        <f>IFERROR(aurora_data!F1631,0)</f>
        <v>39.909999999999997</v>
      </c>
      <c r="H166" s="40">
        <f>IFERROR(aurora_data!G1631,0)</f>
        <v>63.87</v>
      </c>
      <c r="I166" s="41">
        <f>IFERROR(aurora_data!H1631,0)</f>
        <v>77.8</v>
      </c>
      <c r="J166" s="39">
        <f>IFERROR(aurora_data!I1631,0)</f>
        <v>11</v>
      </c>
      <c r="K166" s="40">
        <f>IFERROR(aurora_data!J1631,0)</f>
        <v>11</v>
      </c>
      <c r="L166" s="40">
        <f>IFERROR(aurora_data!K1631,0)</f>
        <v>11</v>
      </c>
      <c r="M166" s="40">
        <f>IFERROR(aurora_data!L1631,0)</f>
        <v>11</v>
      </c>
      <c r="N166" s="41">
        <f>IFERROR(aurora_data!M1631,0)</f>
        <v>11</v>
      </c>
      <c r="O166" s="39">
        <f>IFERROR(aurora_data!N1631,0)</f>
        <v>11</v>
      </c>
      <c r="P166" s="40">
        <f>IFERROR(aurora_data!O1631,0)</f>
        <v>11</v>
      </c>
      <c r="Q166" s="40">
        <f>IFERROR(aurora_data!P1631,0)</f>
        <v>11</v>
      </c>
      <c r="R166" s="41">
        <f>IFERROR(aurora_data!Q1631,0)</f>
        <v>11</v>
      </c>
      <c r="S166" s="40">
        <f>IFERROR(aurora_data!R1631,0)</f>
        <v>11</v>
      </c>
      <c r="T166" s="40">
        <f>IFERROR(aurora_data!S1631,0)</f>
        <v>11</v>
      </c>
      <c r="U166" s="41">
        <f>IFERROR(aurora_data!T1231,0)</f>
        <v>0</v>
      </c>
      <c r="V166" s="61" t="s">
        <v>354</v>
      </c>
      <c r="W166" s="39">
        <f>IFERROR(aurora_data!U1631,0)</f>
        <v>200</v>
      </c>
      <c r="X166" s="69">
        <f>IFERROR(W166/$W$166,0)</f>
        <v>1</v>
      </c>
      <c r="Y166" s="2"/>
      <c r="AB166" s="451" t="s">
        <v>338</v>
      </c>
      <c r="AC166" s="449" t="s">
        <v>150</v>
      </c>
      <c r="AD166" s="34" t="s">
        <v>306</v>
      </c>
      <c r="AE166" s="338">
        <v>22</v>
      </c>
      <c r="AF166" s="337">
        <v>44</v>
      </c>
      <c r="AG166" s="337">
        <v>66</v>
      </c>
      <c r="AH166" s="337">
        <v>68</v>
      </c>
      <c r="AI166" s="343" t="s">
        <v>354</v>
      </c>
      <c r="AJ166" s="40">
        <f>IFERROR(aurora_data!U1631,0)</f>
        <v>200</v>
      </c>
      <c r="AK166" s="69">
        <f t="shared" ref="AK166:AK174" si="76">IFERROR(AJ166/$AJ$166,0)</f>
        <v>1</v>
      </c>
    </row>
    <row r="167" spans="1:37" customFormat="1" ht="16.5" customHeight="1">
      <c r="A167" s="2"/>
      <c r="B167" s="452"/>
      <c r="C167" s="450"/>
      <c r="D167" s="35" t="s">
        <v>339</v>
      </c>
      <c r="E167" s="113">
        <f>IFERROR(aurora_data!D1632,0)</f>
        <v>10</v>
      </c>
      <c r="F167" s="253">
        <f>IFERROR(aurora_data!E1632,0)</f>
        <v>8</v>
      </c>
      <c r="G167" s="253">
        <f>IFERROR(aurora_data!F1632,0)</f>
        <v>40</v>
      </c>
      <c r="H167" s="253">
        <f>IFERROR(aurora_data!G1632,0)</f>
        <v>60</v>
      </c>
      <c r="I167" s="254">
        <f>IFERROR(aurora_data!H1632,0)</f>
        <v>74</v>
      </c>
      <c r="J167" s="113">
        <f>IFERROR(aurora_data!I1632,0)</f>
        <v>9</v>
      </c>
      <c r="K167" s="253">
        <f>IFERROR(aurora_data!J1632,0)</f>
        <v>26</v>
      </c>
      <c r="L167" s="253">
        <f>IFERROR(aurora_data!K1632,0)</f>
        <v>56</v>
      </c>
      <c r="M167" s="253">
        <f>IFERROR(aurora_data!L1632,0)</f>
        <v>20</v>
      </c>
      <c r="N167" s="254">
        <f>IFERROR(aurora_data!M1632,0)</f>
        <v>81</v>
      </c>
      <c r="O167" s="113">
        <f>IFERROR(aurora_data!N1632,0)</f>
        <v>53</v>
      </c>
      <c r="P167" s="253">
        <f>IFERROR(aurora_data!O1632,0)</f>
        <v>41</v>
      </c>
      <c r="Q167" s="253">
        <f>IFERROR(aurora_data!P1632,0)</f>
        <v>65</v>
      </c>
      <c r="R167" s="254">
        <f>IFERROR(aurora_data!Q1632,0)</f>
        <v>33</v>
      </c>
      <c r="S167" s="253">
        <f>IFERROR(aurora_data!R1632,0)</f>
        <v>99</v>
      </c>
      <c r="T167" s="253">
        <f>IFERROR(aurora_data!S1632,0)</f>
        <v>93</v>
      </c>
      <c r="U167" s="254">
        <f>IFERROR(aurora_data!T1232,0)</f>
        <v>0</v>
      </c>
      <c r="V167" s="61" t="s">
        <v>354</v>
      </c>
      <c r="W167" s="113">
        <f>IFERROR(aurora_data!U1632,0)</f>
        <v>192</v>
      </c>
      <c r="X167" s="255">
        <f t="shared" ref="X167:X174" si="77">IFERROR(W167/$W$166,0)</f>
        <v>0.96</v>
      </c>
      <c r="Y167" s="2"/>
      <c r="AB167" s="452"/>
      <c r="AC167" s="450"/>
      <c r="AD167" s="35" t="s">
        <v>339</v>
      </c>
      <c r="AE167" s="113">
        <f>IFERROR(aurora_data!D1632,0)+IFERROR(aurora_data!E1632,0)</f>
        <v>18</v>
      </c>
      <c r="AF167" s="253">
        <f>IFERROR(aurora_data!F1632,0)</f>
        <v>40</v>
      </c>
      <c r="AG167" s="253">
        <f>IFERROR(aurora_data!G1632,0)</f>
        <v>60</v>
      </c>
      <c r="AH167" s="253">
        <f>IFERROR(aurora_data!H1632,0)</f>
        <v>74</v>
      </c>
      <c r="AI167" s="343" t="s">
        <v>354</v>
      </c>
      <c r="AJ167" s="253">
        <f>IFERROR(aurora_data!U1632,0)</f>
        <v>192</v>
      </c>
      <c r="AK167" s="255">
        <f t="shared" si="76"/>
        <v>0.96</v>
      </c>
    </row>
    <row r="168" spans="1:37" customFormat="1" ht="16.5" customHeight="1">
      <c r="A168" s="2"/>
      <c r="B168" s="452"/>
      <c r="C168" s="450"/>
      <c r="D168" s="35" t="s">
        <v>291</v>
      </c>
      <c r="E168" s="113">
        <f>IFERROR(aurora_data!D1633,0)</f>
        <v>0</v>
      </c>
      <c r="F168" s="253">
        <f>IFERROR(aurora_data!E1633,0)</f>
        <v>2</v>
      </c>
      <c r="G168" s="253">
        <f>IFERROR(aurora_data!F1633,0)</f>
        <v>6</v>
      </c>
      <c r="H168" s="253">
        <f>IFERROR(aurora_data!G1633,0)</f>
        <v>7</v>
      </c>
      <c r="I168" s="254">
        <f>IFERROR(aurora_data!H1633,0)</f>
        <v>6</v>
      </c>
      <c r="J168" s="113">
        <f>IFERROR(aurora_data!I1633,0)</f>
        <v>0</v>
      </c>
      <c r="K168" s="253">
        <f>IFERROR(aurora_data!J1633,0)</f>
        <v>2</v>
      </c>
      <c r="L168" s="253">
        <f>IFERROR(aurora_data!K1633,0)</f>
        <v>8</v>
      </c>
      <c r="M168" s="253">
        <f>IFERROR(aurora_data!L1633,0)</f>
        <v>0</v>
      </c>
      <c r="N168" s="254">
        <f>IFERROR(aurora_data!M1633,0)</f>
        <v>11</v>
      </c>
      <c r="O168" s="113">
        <f>IFERROR(aurora_data!N1633,0)</f>
        <v>7</v>
      </c>
      <c r="P168" s="253">
        <f>IFERROR(aurora_data!O1633,0)</f>
        <v>3</v>
      </c>
      <c r="Q168" s="253">
        <f>IFERROR(aurora_data!P1633,0)</f>
        <v>7</v>
      </c>
      <c r="R168" s="254">
        <f>IFERROR(aurora_data!Q1633,0)</f>
        <v>4</v>
      </c>
      <c r="S168" s="253">
        <f>IFERROR(aurora_data!R1633,0)</f>
        <v>11</v>
      </c>
      <c r="T168" s="253">
        <f>IFERROR(aurora_data!S1633,0)</f>
        <v>10</v>
      </c>
      <c r="U168" s="254">
        <f>IFERROR(aurora_data!T1233,0)</f>
        <v>0</v>
      </c>
      <c r="V168" s="61" t="s">
        <v>354</v>
      </c>
      <c r="W168" s="113">
        <f>IFERROR(aurora_data!U1633,0)</f>
        <v>21</v>
      </c>
      <c r="X168" s="255">
        <f t="shared" si="77"/>
        <v>0.105</v>
      </c>
      <c r="Y168" s="2"/>
      <c r="AB168" s="452"/>
      <c r="AC168" s="450"/>
      <c r="AD168" s="35" t="s">
        <v>291</v>
      </c>
      <c r="AE168" s="113">
        <f>IFERROR(aurora_data!D1633,0)+IFERROR(aurora_data!E1633,0)</f>
        <v>2</v>
      </c>
      <c r="AF168" s="253">
        <f>IFERROR(aurora_data!F1633,0)</f>
        <v>6</v>
      </c>
      <c r="AG168" s="253">
        <f>IFERROR(aurora_data!G1633,0)</f>
        <v>7</v>
      </c>
      <c r="AH168" s="253">
        <f>IFERROR(aurora_data!H1633,0)</f>
        <v>6</v>
      </c>
      <c r="AI168" s="343" t="s">
        <v>354</v>
      </c>
      <c r="AJ168" s="253">
        <f>IFERROR(aurora_data!U1633,0)</f>
        <v>21</v>
      </c>
      <c r="AK168" s="255">
        <f t="shared" si="76"/>
        <v>0.105</v>
      </c>
    </row>
    <row r="169" spans="1:37" customFormat="1">
      <c r="A169" s="2"/>
      <c r="B169" s="452"/>
      <c r="C169" s="450"/>
      <c r="D169" s="35" t="s">
        <v>340</v>
      </c>
      <c r="E169" s="113">
        <f>IFERROR(aurora_data!D1634,0)</f>
        <v>0</v>
      </c>
      <c r="F169" s="253">
        <f>IFERROR(aurora_data!E1634,0)</f>
        <v>0</v>
      </c>
      <c r="G169" s="253">
        <f>IFERROR(aurora_data!F1634,0)</f>
        <v>0</v>
      </c>
      <c r="H169" s="253">
        <f>IFERROR(aurora_data!G1634,0)</f>
        <v>0</v>
      </c>
      <c r="I169" s="254">
        <f>IFERROR(aurora_data!H1634,0)</f>
        <v>0</v>
      </c>
      <c r="J169" s="113">
        <f>IFERROR(aurora_data!I1634,0)</f>
        <v>0</v>
      </c>
      <c r="K169" s="253">
        <f>IFERROR(aurora_data!J1634,0)</f>
        <v>0</v>
      </c>
      <c r="L169" s="253">
        <f>IFERROR(aurora_data!K1634,0)</f>
        <v>0</v>
      </c>
      <c r="M169" s="253">
        <f>IFERROR(aurora_data!L1634,0)</f>
        <v>0</v>
      </c>
      <c r="N169" s="254">
        <f>IFERROR(aurora_data!M1634,0)</f>
        <v>0</v>
      </c>
      <c r="O169" s="113">
        <f>IFERROR(aurora_data!N1634,0)</f>
        <v>0</v>
      </c>
      <c r="P169" s="253">
        <f>IFERROR(aurora_data!O1634,0)</f>
        <v>0</v>
      </c>
      <c r="Q169" s="253">
        <f>IFERROR(aurora_data!P1634,0)</f>
        <v>0</v>
      </c>
      <c r="R169" s="254">
        <f>IFERROR(aurora_data!Q1634,0)</f>
        <v>0</v>
      </c>
      <c r="S169" s="253">
        <f>IFERROR(aurora_data!R1634,0)</f>
        <v>0</v>
      </c>
      <c r="T169" s="253">
        <f>IFERROR(aurora_data!S1634,0)</f>
        <v>0</v>
      </c>
      <c r="U169" s="254">
        <f>IFERROR(aurora_data!T1234,0)</f>
        <v>0</v>
      </c>
      <c r="V169" s="61" t="s">
        <v>354</v>
      </c>
      <c r="W169" s="113">
        <f>IFERROR(aurora_data!U1634,0)</f>
        <v>0</v>
      </c>
      <c r="X169" s="255">
        <f t="shared" si="77"/>
        <v>0</v>
      </c>
      <c r="Y169" s="2"/>
      <c r="AB169" s="452"/>
      <c r="AC169" s="450"/>
      <c r="AD169" s="35" t="s">
        <v>340</v>
      </c>
      <c r="AE169" s="113">
        <f>IFERROR(aurora_data!D1634,0)+IFERROR(aurora_data!E1634,0)</f>
        <v>0</v>
      </c>
      <c r="AF169" s="253">
        <f>IFERROR(aurora_data!F1634,0)</f>
        <v>0</v>
      </c>
      <c r="AG169" s="253">
        <f>IFERROR(aurora_data!G1634,0)</f>
        <v>0</v>
      </c>
      <c r="AH169" s="253">
        <f>IFERROR(aurora_data!H1634,0)</f>
        <v>0</v>
      </c>
      <c r="AI169" s="343" t="s">
        <v>354</v>
      </c>
      <c r="AJ169" s="253">
        <f>IFERROR(aurora_data!U1634,0)</f>
        <v>0</v>
      </c>
      <c r="AK169" s="255">
        <f t="shared" si="76"/>
        <v>0</v>
      </c>
    </row>
    <row r="170" spans="1:37" customFormat="1">
      <c r="A170" s="2"/>
      <c r="B170" s="452"/>
      <c r="C170" s="450"/>
      <c r="D170" s="35" t="s">
        <v>298</v>
      </c>
      <c r="E170" s="113">
        <f>IFERROR(aurora_data!D1635,0)</f>
        <v>0</v>
      </c>
      <c r="F170" s="253">
        <f>IFERROR(aurora_data!E1635,0)</f>
        <v>0</v>
      </c>
      <c r="G170" s="253">
        <f>IFERROR(aurora_data!F1635,0)</f>
        <v>2</v>
      </c>
      <c r="H170" s="253">
        <f>IFERROR(aurora_data!G1635,0)</f>
        <v>1</v>
      </c>
      <c r="I170" s="254">
        <f>IFERROR(aurora_data!H1635,0)</f>
        <v>0</v>
      </c>
      <c r="J170" s="113">
        <f>IFERROR(aurora_data!I1635,0)</f>
        <v>0</v>
      </c>
      <c r="K170" s="253">
        <f>IFERROR(aurora_data!J1635,0)</f>
        <v>2</v>
      </c>
      <c r="L170" s="253">
        <f>IFERROR(aurora_data!K1635,0)</f>
        <v>1</v>
      </c>
      <c r="M170" s="253">
        <f>IFERROR(aurora_data!L1635,0)</f>
        <v>0</v>
      </c>
      <c r="N170" s="254">
        <f>IFERROR(aurora_data!M1635,0)</f>
        <v>0</v>
      </c>
      <c r="O170" s="113">
        <f>IFERROR(aurora_data!N1635,0)</f>
        <v>2</v>
      </c>
      <c r="P170" s="253">
        <f>IFERROR(aurora_data!O1635,0)</f>
        <v>0</v>
      </c>
      <c r="Q170" s="253">
        <f>IFERROR(aurora_data!P1635,0)</f>
        <v>1</v>
      </c>
      <c r="R170" s="254">
        <f>IFERROR(aurora_data!Q1635,0)</f>
        <v>0</v>
      </c>
      <c r="S170" s="253">
        <f>IFERROR(aurora_data!R1635,0)</f>
        <v>1</v>
      </c>
      <c r="T170" s="253">
        <f>IFERROR(aurora_data!S1635,0)</f>
        <v>2</v>
      </c>
      <c r="U170" s="254">
        <f>IFERROR(aurora_data!T1235,0)</f>
        <v>0</v>
      </c>
      <c r="V170" s="61" t="s">
        <v>354</v>
      </c>
      <c r="W170" s="113">
        <f>IFERROR(aurora_data!U1635,0)</f>
        <v>3</v>
      </c>
      <c r="X170" s="255">
        <f t="shared" si="77"/>
        <v>1.4999999999999999E-2</v>
      </c>
      <c r="Y170" s="2"/>
      <c r="AB170" s="452"/>
      <c r="AC170" s="450"/>
      <c r="AD170" s="35" t="s">
        <v>298</v>
      </c>
      <c r="AE170" s="113">
        <f>IFERROR(aurora_data!D1635,0)+IFERROR(aurora_data!E1635,0)</f>
        <v>0</v>
      </c>
      <c r="AF170" s="253">
        <f>IFERROR(aurora_data!F1635,0)</f>
        <v>2</v>
      </c>
      <c r="AG170" s="253">
        <f>IFERROR(aurora_data!G1635,0)</f>
        <v>1</v>
      </c>
      <c r="AH170" s="253">
        <f>IFERROR(aurora_data!H1635,0)</f>
        <v>0</v>
      </c>
      <c r="AI170" s="343" t="s">
        <v>354</v>
      </c>
      <c r="AJ170" s="253">
        <f>IFERROR(aurora_data!U1635,0)</f>
        <v>3</v>
      </c>
      <c r="AK170" s="255">
        <f t="shared" si="76"/>
        <v>1.4999999999999999E-2</v>
      </c>
    </row>
    <row r="171" spans="1:37" customFormat="1" ht="16.5" customHeight="1">
      <c r="A171" s="2"/>
      <c r="B171" s="452"/>
      <c r="C171" s="450"/>
      <c r="D171" s="35" t="s">
        <v>341</v>
      </c>
      <c r="E171" s="113">
        <f>IFERROR(aurora_data!D1636,0)</f>
        <v>1</v>
      </c>
      <c r="F171" s="253">
        <f>IFERROR(aurora_data!E1636,0)</f>
        <v>0</v>
      </c>
      <c r="G171" s="253">
        <f>IFERROR(aurora_data!F1636,0)</f>
        <v>2</v>
      </c>
      <c r="H171" s="253">
        <f>IFERROR(aurora_data!G1636,0)</f>
        <v>2</v>
      </c>
      <c r="I171" s="254">
        <f>IFERROR(aurora_data!H1636,0)</f>
        <v>0</v>
      </c>
      <c r="J171" s="113">
        <f>IFERROR(aurora_data!I1636,0)</f>
        <v>0</v>
      </c>
      <c r="K171" s="253">
        <f>IFERROR(aurora_data!J1636,0)</f>
        <v>1</v>
      </c>
      <c r="L171" s="253">
        <f>IFERROR(aurora_data!K1636,0)</f>
        <v>1</v>
      </c>
      <c r="M171" s="253">
        <f>IFERROR(aurora_data!L1636,0)</f>
        <v>0</v>
      </c>
      <c r="N171" s="254">
        <f>IFERROR(aurora_data!M1636,0)</f>
        <v>3</v>
      </c>
      <c r="O171" s="113">
        <f>IFERROR(aurora_data!N1636,0)</f>
        <v>3</v>
      </c>
      <c r="P171" s="253">
        <f>IFERROR(aurora_data!O1636,0)</f>
        <v>1</v>
      </c>
      <c r="Q171" s="253">
        <f>IFERROR(aurora_data!P1636,0)</f>
        <v>1</v>
      </c>
      <c r="R171" s="254">
        <f>IFERROR(aurora_data!Q1636,0)</f>
        <v>0</v>
      </c>
      <c r="S171" s="253">
        <f>IFERROR(aurora_data!R1636,0)</f>
        <v>4</v>
      </c>
      <c r="T171" s="253">
        <f>IFERROR(aurora_data!S1636,0)</f>
        <v>1</v>
      </c>
      <c r="U171" s="254">
        <f>IFERROR(aurora_data!T1236,0)</f>
        <v>0</v>
      </c>
      <c r="V171" s="61" t="s">
        <v>354</v>
      </c>
      <c r="W171" s="113">
        <f>IFERROR(aurora_data!U1636,0)</f>
        <v>5</v>
      </c>
      <c r="X171" s="255">
        <f t="shared" si="77"/>
        <v>2.5000000000000001E-2</v>
      </c>
      <c r="Y171" s="2"/>
      <c r="AB171" s="452"/>
      <c r="AC171" s="450"/>
      <c r="AD171" s="35" t="s">
        <v>341</v>
      </c>
      <c r="AE171" s="113">
        <f>IFERROR(aurora_data!D1636,0)+IFERROR(aurora_data!E1636,0)</f>
        <v>1</v>
      </c>
      <c r="AF171" s="253">
        <f>IFERROR(aurora_data!F1636,0)</f>
        <v>2</v>
      </c>
      <c r="AG171" s="253">
        <f>IFERROR(aurora_data!G1636,0)</f>
        <v>2</v>
      </c>
      <c r="AH171" s="253">
        <f>IFERROR(aurora_data!H1636,0)</f>
        <v>0</v>
      </c>
      <c r="AI171" s="343" t="s">
        <v>354</v>
      </c>
      <c r="AJ171" s="253">
        <f>IFERROR(aurora_data!U1636,0)</f>
        <v>5</v>
      </c>
      <c r="AK171" s="255">
        <f t="shared" si="76"/>
        <v>2.5000000000000001E-2</v>
      </c>
    </row>
    <row r="172" spans="1:37" customFormat="1" ht="16.5" customHeight="1" thickBot="1">
      <c r="A172" s="2"/>
      <c r="B172" s="452"/>
      <c r="C172" s="450"/>
      <c r="D172" s="35" t="s">
        <v>342</v>
      </c>
      <c r="E172" s="113">
        <f>IFERROR(aurora_data!D1637,0)</f>
        <v>0</v>
      </c>
      <c r="F172" s="253">
        <f>IFERROR(aurora_data!E1637,0)</f>
        <v>0</v>
      </c>
      <c r="G172" s="253">
        <f>IFERROR(aurora_data!F1637,0)</f>
        <v>0</v>
      </c>
      <c r="H172" s="253">
        <f>IFERROR(aurora_data!G1637,0)</f>
        <v>0</v>
      </c>
      <c r="I172" s="254">
        <f>IFERROR(aurora_data!H1637,0)</f>
        <v>0</v>
      </c>
      <c r="J172" s="113">
        <f>IFERROR(aurora_data!I1637,0)</f>
        <v>0</v>
      </c>
      <c r="K172" s="253">
        <f>IFERROR(aurora_data!J1637,0)</f>
        <v>0</v>
      </c>
      <c r="L172" s="253">
        <f>IFERROR(aurora_data!K1637,0)</f>
        <v>0</v>
      </c>
      <c r="M172" s="253">
        <f>IFERROR(aurora_data!L1637,0)</f>
        <v>0</v>
      </c>
      <c r="N172" s="254">
        <f>IFERROR(aurora_data!M1637,0)</f>
        <v>0</v>
      </c>
      <c r="O172" s="113">
        <f>IFERROR(aurora_data!N1637,0)</f>
        <v>0</v>
      </c>
      <c r="P172" s="253">
        <f>IFERROR(aurora_data!O1637,0)</f>
        <v>0</v>
      </c>
      <c r="Q172" s="253">
        <f>IFERROR(aurora_data!P1637,0)</f>
        <v>0</v>
      </c>
      <c r="R172" s="254">
        <f>IFERROR(aurora_data!Q1637,0)</f>
        <v>0</v>
      </c>
      <c r="S172" s="253">
        <f>IFERROR(aurora_data!R1637,0)</f>
        <v>0</v>
      </c>
      <c r="T172" s="253">
        <f>IFERROR(aurora_data!S1637,0)</f>
        <v>0</v>
      </c>
      <c r="U172" s="254">
        <f>IFERROR(aurora_data!T1237,0)</f>
        <v>0</v>
      </c>
      <c r="V172" s="61" t="s">
        <v>354</v>
      </c>
      <c r="W172" s="113">
        <f>IFERROR(aurora_data!U1637,0)</f>
        <v>0</v>
      </c>
      <c r="X172" s="255">
        <f t="shared" si="77"/>
        <v>0</v>
      </c>
      <c r="Y172" s="2"/>
      <c r="AB172" s="452"/>
      <c r="AC172" s="450"/>
      <c r="AD172" s="35" t="s">
        <v>342</v>
      </c>
      <c r="AE172" s="113">
        <f>IFERROR(aurora_data!D1637,0)+IFERROR(aurora_data!E1637,0)</f>
        <v>0</v>
      </c>
      <c r="AF172" s="253">
        <f>IFERROR(aurora_data!F1637,0)</f>
        <v>0</v>
      </c>
      <c r="AG172" s="253">
        <f>IFERROR(aurora_data!G1637,0)</f>
        <v>0</v>
      </c>
      <c r="AH172" s="253">
        <f>IFERROR(aurora_data!H1637,0)</f>
        <v>0</v>
      </c>
      <c r="AI172" s="343" t="s">
        <v>354</v>
      </c>
      <c r="AJ172" s="253">
        <f>IFERROR(aurora_data!U1637,0)</f>
        <v>0</v>
      </c>
      <c r="AK172" s="255">
        <f t="shared" si="76"/>
        <v>0</v>
      </c>
    </row>
    <row r="173" spans="1:37" customFormat="1" ht="16.5" customHeight="1" thickBot="1">
      <c r="A173" s="2"/>
      <c r="B173" s="452"/>
      <c r="C173" s="450"/>
      <c r="D173" s="37" t="s">
        <v>17</v>
      </c>
      <c r="E173" s="59">
        <f>IFERROR(aurora_data!D1638,0)</f>
        <v>11</v>
      </c>
      <c r="F173" s="64">
        <f>IFERROR(aurora_data!E1638,0)</f>
        <v>10</v>
      </c>
      <c r="G173" s="64">
        <f>IFERROR(aurora_data!F1638,0)</f>
        <v>50</v>
      </c>
      <c r="H173" s="64">
        <f>IFERROR(aurora_data!G1638,0)</f>
        <v>70</v>
      </c>
      <c r="I173" s="65">
        <f>IFERROR(aurora_data!H1638,0)</f>
        <v>80</v>
      </c>
      <c r="J173" s="59">
        <f>IFERROR(aurora_data!I1638,0)</f>
        <v>9</v>
      </c>
      <c r="K173" s="64">
        <f>IFERROR(aurora_data!J1638,0)</f>
        <v>31</v>
      </c>
      <c r="L173" s="64">
        <f>IFERROR(aurora_data!K1638,0)</f>
        <v>66</v>
      </c>
      <c r="M173" s="64">
        <f>IFERROR(aurora_data!L1638,0)</f>
        <v>20</v>
      </c>
      <c r="N173" s="65">
        <f>IFERROR(aurora_data!M1638,0)</f>
        <v>95</v>
      </c>
      <c r="O173" s="59">
        <f>IFERROR(aurora_data!N1638,0)</f>
        <v>65</v>
      </c>
      <c r="P173" s="64">
        <f>IFERROR(aurora_data!O1638,0)</f>
        <v>45</v>
      </c>
      <c r="Q173" s="64">
        <f>IFERROR(aurora_data!P1638,0)</f>
        <v>74</v>
      </c>
      <c r="R173" s="65">
        <f>IFERROR(aurora_data!Q1638,0)</f>
        <v>37</v>
      </c>
      <c r="S173" s="64">
        <f>IFERROR(aurora_data!R1638,0)</f>
        <v>115</v>
      </c>
      <c r="T173" s="64">
        <f>IFERROR(aurora_data!S1638,0)</f>
        <v>106</v>
      </c>
      <c r="U173" s="65">
        <f>IFERROR(aurora_data!T1238,0)</f>
        <v>0</v>
      </c>
      <c r="V173" s="66" t="s">
        <v>354</v>
      </c>
      <c r="W173" s="59">
        <f>IFERROR(aurora_data!U1638,0)</f>
        <v>221</v>
      </c>
      <c r="X173" s="70">
        <f t="shared" si="77"/>
        <v>1.105</v>
      </c>
      <c r="Y173" s="2"/>
      <c r="AB173" s="452"/>
      <c r="AC173" s="450"/>
      <c r="AD173" s="37" t="s">
        <v>17</v>
      </c>
      <c r="AE173" s="59">
        <f>IFERROR(aurora_data!D1638,0)+IFERROR(aurora_data!E1638,0)</f>
        <v>21</v>
      </c>
      <c r="AF173" s="64">
        <f>IFERROR(aurora_data!F1638,0)</f>
        <v>50</v>
      </c>
      <c r="AG173" s="64">
        <f>IFERROR(aurora_data!G1638,0)</f>
        <v>70</v>
      </c>
      <c r="AH173" s="64">
        <f>IFERROR(aurora_data!H1638,0)</f>
        <v>80</v>
      </c>
      <c r="AI173" s="344" t="s">
        <v>354</v>
      </c>
      <c r="AJ173" s="64">
        <f>IFERROR(aurora_data!U1638,0)</f>
        <v>221</v>
      </c>
      <c r="AK173" s="70">
        <f t="shared" si="76"/>
        <v>1.105</v>
      </c>
    </row>
    <row r="174" spans="1:37" customFormat="1" ht="16.5" thickBot="1">
      <c r="A174" s="2"/>
      <c r="B174" s="456"/>
      <c r="C174" s="450"/>
      <c r="D174" s="38" t="s">
        <v>343</v>
      </c>
      <c r="E174" s="256">
        <f>IFERROR(aurora_data!D1639,0)</f>
        <v>0</v>
      </c>
      <c r="F174" s="257">
        <f>IFERROR(aurora_data!E1639,0)</f>
        <v>0</v>
      </c>
      <c r="G174" s="257">
        <f>IFERROR(aurora_data!F1639,0)</f>
        <v>0</v>
      </c>
      <c r="H174" s="257">
        <f>IFERROR(aurora_data!G1639,0)</f>
        <v>0</v>
      </c>
      <c r="I174" s="258">
        <f>IFERROR(aurora_data!H1639,0)</f>
        <v>0</v>
      </c>
      <c r="J174" s="256">
        <f>IFERROR(aurora_data!I1639,0)</f>
        <v>0</v>
      </c>
      <c r="K174" s="257">
        <f>IFERROR(aurora_data!J1639,0)</f>
        <v>0</v>
      </c>
      <c r="L174" s="257">
        <f>IFERROR(aurora_data!K1639,0)</f>
        <v>0</v>
      </c>
      <c r="M174" s="257">
        <f>IFERROR(aurora_data!L1639,0)</f>
        <v>0</v>
      </c>
      <c r="N174" s="258">
        <f>IFERROR(aurora_data!M1639,0)</f>
        <v>0</v>
      </c>
      <c r="O174" s="256">
        <f>IFERROR(aurora_data!N1639,0)</f>
        <v>0</v>
      </c>
      <c r="P174" s="257">
        <f>IFERROR(aurora_data!O1639,0)</f>
        <v>0</v>
      </c>
      <c r="Q174" s="257">
        <f>IFERROR(aurora_data!P1639,0)</f>
        <v>0</v>
      </c>
      <c r="R174" s="258">
        <f>IFERROR(aurora_data!Q1639,0)</f>
        <v>0</v>
      </c>
      <c r="S174" s="257">
        <f>IFERROR(aurora_data!R1639,0)</f>
        <v>0</v>
      </c>
      <c r="T174" s="257">
        <f>IFERROR(aurora_data!S1639,0)</f>
        <v>0</v>
      </c>
      <c r="U174" s="259">
        <f>IFERROR(aurora_data!T1239,0)</f>
        <v>0</v>
      </c>
      <c r="V174" s="260" t="s">
        <v>354</v>
      </c>
      <c r="W174" s="256">
        <f>IFERROR(aurora_data!U1639,0)</f>
        <v>0</v>
      </c>
      <c r="X174" s="261">
        <f t="shared" si="77"/>
        <v>0</v>
      </c>
      <c r="Y174" s="2"/>
      <c r="AB174" s="456"/>
      <c r="AC174" s="450"/>
      <c r="AD174" s="38" t="s">
        <v>343</v>
      </c>
      <c r="AE174" s="256">
        <f>IFERROR(aurora_data!D1639,0)+IFERROR(aurora_data!E1639,0)</f>
        <v>0</v>
      </c>
      <c r="AF174" s="257">
        <f>IFERROR(aurora_data!F1639,0)</f>
        <v>0</v>
      </c>
      <c r="AG174" s="257">
        <f>IFERROR(aurora_data!G1639,0)</f>
        <v>0</v>
      </c>
      <c r="AH174" s="257">
        <f>IFERROR(aurora_data!H1639,0)</f>
        <v>0</v>
      </c>
      <c r="AI174" s="343" t="s">
        <v>354</v>
      </c>
      <c r="AJ174" s="257">
        <f>IFERROR(aurora_data!U1639,0)</f>
        <v>0</v>
      </c>
      <c r="AK174" s="261">
        <f t="shared" si="76"/>
        <v>0</v>
      </c>
    </row>
    <row r="175" spans="1:37" customFormat="1" ht="16.5" outlineLevel="1" thickBot="1">
      <c r="A175" s="2"/>
      <c r="B175" s="147"/>
      <c r="C175" s="227"/>
      <c r="D175" s="199" t="s">
        <v>344</v>
      </c>
      <c r="E175" s="276">
        <f>((E177+$E$9)*($W166))</f>
        <v>10.669999999999998</v>
      </c>
      <c r="F175" s="277">
        <f>(F177+$E$9)*($W166)</f>
        <v>15.770000000000001</v>
      </c>
      <c r="G175" s="277">
        <f>(G177+$E$9)*($W166)</f>
        <v>43.91</v>
      </c>
      <c r="H175" s="277">
        <f>(H177+$E$9)*($W166)</f>
        <v>67.86999999999999</v>
      </c>
      <c r="I175" s="277">
        <f>(I177+$E$9)*($W166)</f>
        <v>81.800000000000011</v>
      </c>
      <c r="J175" s="229"/>
      <c r="K175" s="230"/>
      <c r="L175" s="230"/>
      <c r="M175" s="230"/>
      <c r="N175" s="231"/>
      <c r="O175" s="229"/>
      <c r="P175" s="230"/>
      <c r="Q175" s="230"/>
      <c r="R175" s="231"/>
      <c r="S175" s="230"/>
      <c r="T175" s="230"/>
      <c r="U175" s="232"/>
      <c r="V175" s="233"/>
      <c r="W175" s="229"/>
      <c r="X175" s="234"/>
      <c r="Y175" s="2"/>
      <c r="AB175" s="147"/>
      <c r="AC175" s="227"/>
      <c r="AD175" s="199" t="s">
        <v>344</v>
      </c>
      <c r="AE175" s="229"/>
      <c r="AF175" s="230"/>
      <c r="AG175" s="230"/>
      <c r="AH175" s="230"/>
      <c r="AI175" s="345"/>
      <c r="AJ175" s="230"/>
      <c r="AK175" s="234"/>
    </row>
    <row r="176" spans="1:37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2.9199999999999995</v>
      </c>
      <c r="F176" s="277">
        <f>IF(ROUND(((F177-$E$9)*($W166))+0.25,0) &lt;=0,1,((F177-$E$9)*($W166))+0.25)</f>
        <v>8.02</v>
      </c>
      <c r="G176" s="277">
        <f t="shared" ref="G176:I176" si="78">IF(ROUND(((G177-$E$9)*($W166))+0.25,0) &lt;=0,1,((G177-$E$9)*($W166))+0.25)</f>
        <v>36.159999999999997</v>
      </c>
      <c r="H176" s="277">
        <f t="shared" si="78"/>
        <v>60.11999999999999</v>
      </c>
      <c r="I176" s="277">
        <f t="shared" si="78"/>
        <v>74.05</v>
      </c>
      <c r="J176" s="229"/>
      <c r="K176" s="230"/>
      <c r="L176" s="230"/>
      <c r="M176" s="230"/>
      <c r="N176" s="231"/>
      <c r="O176" s="229"/>
      <c r="P176" s="230"/>
      <c r="Q176" s="230"/>
      <c r="R176" s="231"/>
      <c r="S176" s="230"/>
      <c r="T176" s="230"/>
      <c r="U176" s="232"/>
      <c r="V176" s="233"/>
      <c r="W176" s="229"/>
      <c r="X176" s="234"/>
      <c r="Y176" s="2"/>
      <c r="AB176" s="147"/>
      <c r="AC176" s="227"/>
      <c r="AD176" s="199" t="s">
        <v>345</v>
      </c>
      <c r="AE176" s="229"/>
      <c r="AF176" s="230"/>
      <c r="AG176" s="230"/>
      <c r="AH176" s="230"/>
      <c r="AI176" s="345"/>
      <c r="AJ176" s="230"/>
      <c r="AK176" s="234"/>
    </row>
    <row r="177" spans="1:37" customFormat="1" ht="16.5" outlineLevel="1" thickBot="1">
      <c r="A177" s="2"/>
      <c r="B177" s="147"/>
      <c r="C177" s="227"/>
      <c r="D177" s="95" t="s">
        <v>346</v>
      </c>
      <c r="E177" s="159">
        <f>IFERROR(E166/$W166,0)</f>
        <v>3.3349999999999998E-2</v>
      </c>
      <c r="F177" s="160">
        <f t="shared" ref="F177" si="79">IFERROR(F166/$W166,0)</f>
        <v>5.885E-2</v>
      </c>
      <c r="G177" s="160">
        <f>IFERROR(G166/$W166,0)</f>
        <v>0.19954999999999998</v>
      </c>
      <c r="H177" s="160">
        <f t="shared" ref="H177" si="80">IFERROR(H166/$W166,0)</f>
        <v>0.31934999999999997</v>
      </c>
      <c r="I177" s="160">
        <f>IFERROR(I166/$W166,0)</f>
        <v>0.38900000000000001</v>
      </c>
      <c r="J177" s="229"/>
      <c r="K177" s="230"/>
      <c r="L177" s="230"/>
      <c r="M177" s="230"/>
      <c r="N177" s="231"/>
      <c r="O177" s="229"/>
      <c r="P177" s="230"/>
      <c r="Q177" s="230"/>
      <c r="R177" s="231"/>
      <c r="S177" s="230"/>
      <c r="T177" s="230"/>
      <c r="U177" s="232"/>
      <c r="V177" s="233"/>
      <c r="W177" s="229"/>
      <c r="X177" s="234"/>
      <c r="Y177" s="2"/>
      <c r="AB177" s="147"/>
      <c r="AC177" s="227"/>
      <c r="AD177" s="95" t="s">
        <v>346</v>
      </c>
      <c r="AE177" s="229"/>
      <c r="AF177" s="230"/>
      <c r="AG177" s="230"/>
      <c r="AH177" s="230"/>
      <c r="AI177" s="345"/>
      <c r="AJ177" s="230"/>
      <c r="AK177" s="234"/>
    </row>
    <row r="178" spans="1:37" customFormat="1" ht="16.5" outlineLevel="1" thickBot="1">
      <c r="A178" s="2"/>
      <c r="B178" s="147"/>
      <c r="C178" s="227"/>
      <c r="D178" s="180" t="s">
        <v>347</v>
      </c>
      <c r="E178" s="159">
        <f>IFERROR(E167/$W166,0)</f>
        <v>0.05</v>
      </c>
      <c r="F178" s="160">
        <f t="shared" ref="F178:I178" si="81">IFERROR(F167/$W166,0)</f>
        <v>0.04</v>
      </c>
      <c r="G178" s="160">
        <f t="shared" si="81"/>
        <v>0.2</v>
      </c>
      <c r="H178" s="160">
        <f t="shared" si="81"/>
        <v>0.3</v>
      </c>
      <c r="I178" s="160">
        <f t="shared" si="81"/>
        <v>0.37</v>
      </c>
      <c r="J178" s="229"/>
      <c r="K178" s="230"/>
      <c r="L178" s="230"/>
      <c r="M178" s="230"/>
      <c r="N178" s="231"/>
      <c r="O178" s="229"/>
      <c r="P178" s="230"/>
      <c r="Q178" s="230"/>
      <c r="R178" s="231"/>
      <c r="S178" s="230"/>
      <c r="T178" s="230"/>
      <c r="U178" s="232"/>
      <c r="V178" s="233"/>
      <c r="W178" s="229"/>
      <c r="X178" s="234"/>
      <c r="Y178" s="2"/>
      <c r="AB178" s="147"/>
      <c r="AC178" s="227"/>
      <c r="AD178" s="180" t="s">
        <v>347</v>
      </c>
      <c r="AE178" s="229"/>
      <c r="AF178" s="230"/>
      <c r="AG178" s="230"/>
      <c r="AH178" s="230"/>
      <c r="AI178" s="345"/>
      <c r="AJ178" s="230"/>
      <c r="AK178" s="234"/>
    </row>
    <row r="179" spans="1:37" customFormat="1" outlineLevel="1">
      <c r="A179" s="2"/>
      <c r="B179" s="235"/>
      <c r="C179" s="236"/>
      <c r="D179" s="237" t="s">
        <v>348</v>
      </c>
      <c r="E179" s="238">
        <f>E178-E177</f>
        <v>1.6650000000000005E-2</v>
      </c>
      <c r="F179" s="239">
        <f t="shared" ref="F179:I179" si="82">F178-F177</f>
        <v>-1.8849999999999999E-2</v>
      </c>
      <c r="G179" s="239">
        <f t="shared" si="82"/>
        <v>4.5000000000003371E-4</v>
      </c>
      <c r="H179" s="239">
        <f t="shared" si="82"/>
        <v>-1.9349999999999978E-2</v>
      </c>
      <c r="I179" s="239">
        <f t="shared" si="82"/>
        <v>-1.9000000000000017E-2</v>
      </c>
      <c r="J179" s="240"/>
      <c r="K179" s="241"/>
      <c r="L179" s="241"/>
      <c r="M179" s="241"/>
      <c r="N179" s="242"/>
      <c r="O179" s="240"/>
      <c r="P179" s="241"/>
      <c r="Q179" s="241"/>
      <c r="R179" s="242"/>
      <c r="S179" s="241"/>
      <c r="T179" s="241"/>
      <c r="U179" s="243"/>
      <c r="V179" s="244"/>
      <c r="W179" s="240"/>
      <c r="X179" s="245"/>
      <c r="Y179" s="2"/>
      <c r="AB179" s="235"/>
      <c r="AC179" s="236"/>
      <c r="AD179" s="237" t="s">
        <v>348</v>
      </c>
      <c r="AE179" s="229"/>
      <c r="AF179" s="230"/>
      <c r="AG179" s="230"/>
      <c r="AH179" s="230"/>
      <c r="AI179" s="346"/>
      <c r="AJ179" s="241"/>
      <c r="AK179" s="245"/>
    </row>
    <row r="180" spans="1:37" ht="16.5" customHeight="1"/>
  </sheetData>
  <mergeCells count="78">
    <mergeCell ref="AB6:AH7"/>
    <mergeCell ref="AB138:AB146"/>
    <mergeCell ref="AC138:AC146"/>
    <mergeCell ref="AB152:AB160"/>
    <mergeCell ref="AC152:AC160"/>
    <mergeCell ref="AB54:AB62"/>
    <mergeCell ref="AC54:AC62"/>
    <mergeCell ref="AB68:AB76"/>
    <mergeCell ref="AC68:AC76"/>
    <mergeCell ref="AB82:AB90"/>
    <mergeCell ref="AC82:AC90"/>
    <mergeCell ref="AB12:AB20"/>
    <mergeCell ref="AC12:AC20"/>
    <mergeCell ref="AB26:AB34"/>
    <mergeCell ref="AC26:AC34"/>
    <mergeCell ref="AB40:AB48"/>
    <mergeCell ref="AB166:AB174"/>
    <mergeCell ref="AC166:AC174"/>
    <mergeCell ref="AB96:AB104"/>
    <mergeCell ref="AC96:AC104"/>
    <mergeCell ref="AB110:AB118"/>
    <mergeCell ref="AC110:AC118"/>
    <mergeCell ref="AB124:AB132"/>
    <mergeCell ref="AC124:AC132"/>
    <mergeCell ref="AC40:AC48"/>
    <mergeCell ref="AB8:AD8"/>
    <mergeCell ref="AE8:AH8"/>
    <mergeCell ref="AJ8:AK11"/>
    <mergeCell ref="AB9:AC9"/>
    <mergeCell ref="AE9:AH9"/>
    <mergeCell ref="AB10:AB11"/>
    <mergeCell ref="AE10:AH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40:B48"/>
    <mergeCell ref="C40:C48"/>
    <mergeCell ref="B54:B62"/>
    <mergeCell ref="C54:C62"/>
    <mergeCell ref="B26:B34"/>
    <mergeCell ref="C26:C34"/>
    <mergeCell ref="B12:B20"/>
    <mergeCell ref="B68:B76"/>
    <mergeCell ref="C68:C76"/>
    <mergeCell ref="B82:B90"/>
    <mergeCell ref="C82:C90"/>
    <mergeCell ref="B96:B104"/>
    <mergeCell ref="C96:C104"/>
    <mergeCell ref="B110:B118"/>
    <mergeCell ref="C110:C118"/>
    <mergeCell ref="B166:B174"/>
    <mergeCell ref="C166:C174"/>
    <mergeCell ref="B124:B132"/>
    <mergeCell ref="C124:C132"/>
    <mergeCell ref="B138:B146"/>
    <mergeCell ref="C138:C146"/>
    <mergeCell ref="B152:B160"/>
    <mergeCell ref="C152:C160"/>
  </mergeCells>
  <conditionalFormatting sqref="E13:W13 AE13:AJ13 AE27:AJ27 AE41:AJ41 AE55:AJ55 AE69:AJ69 AE83:AJ83 AE97:AJ97 AE111:AJ111 AE125:AJ125 AE139:AJ139 AE153:AJ153">
    <cfRule type="expression" dxfId="117" priority="47">
      <formula>ROUND(E$13,0) &gt;= ROUND(E$12,0)</formula>
    </cfRule>
  </conditionalFormatting>
  <conditionalFormatting sqref="E19:W19 AE19:AJ19 AE33:AJ33 AE47:AJ47 AE61:AJ61 AE75:AJ75 AE89:AJ89 AE103:AJ103 AE117:AJ117 AE131:AJ131 AE145:AJ145 AE159:AJ159">
    <cfRule type="expression" dxfId="116" priority="48">
      <formula>ROUND(E$19,0) &lt; ROUND(E$12,0)</formula>
    </cfRule>
  </conditionalFormatting>
  <conditionalFormatting sqref="E27:W27">
    <cfRule type="expression" dxfId="115" priority="44">
      <formula>ROUND(E$13,0) &gt;= ROUND(E$12,0)</formula>
    </cfRule>
  </conditionalFormatting>
  <conditionalFormatting sqref="E33:W33">
    <cfRule type="expression" dxfId="114" priority="46">
      <formula>ROUND(E$19,0) &lt; ROUND(E$12,0)</formula>
    </cfRule>
  </conditionalFormatting>
  <conditionalFormatting sqref="E41:W41">
    <cfRule type="expression" dxfId="113" priority="41">
      <formula>ROUND(E$13,0) &gt;= ROUND(E$12,0)</formula>
    </cfRule>
  </conditionalFormatting>
  <conditionalFormatting sqref="E47:W47">
    <cfRule type="expression" dxfId="112" priority="42">
      <formula>ROUND(E$19,0) &lt; ROUND(E$12,0)</formula>
    </cfRule>
  </conditionalFormatting>
  <conditionalFormatting sqref="E55:W55">
    <cfRule type="expression" dxfId="111" priority="39">
      <formula>ROUND(E$13,0) &gt;= ROUND(E$12,0)</formula>
    </cfRule>
  </conditionalFormatting>
  <conditionalFormatting sqref="E61:W61">
    <cfRule type="expression" dxfId="110" priority="40">
      <formula>ROUND(E$19,0) &lt; ROUND(E$12,0)</formula>
    </cfRule>
  </conditionalFormatting>
  <conditionalFormatting sqref="E69:W69">
    <cfRule type="expression" dxfId="109" priority="37">
      <formula>ROUND(E$13,0) &gt;= ROUND(E$12,0)</formula>
    </cfRule>
  </conditionalFormatting>
  <conditionalFormatting sqref="E75:W75">
    <cfRule type="expression" dxfId="108" priority="38">
      <formula>ROUND(E$19,0) &lt; ROUND(E$12,0)</formula>
    </cfRule>
  </conditionalFormatting>
  <conditionalFormatting sqref="E83:W83">
    <cfRule type="expression" dxfId="107" priority="35">
      <formula>ROUND(E$13,0) &gt;= ROUND(E$12,0)</formula>
    </cfRule>
  </conditionalFormatting>
  <conditionalFormatting sqref="E89:W89">
    <cfRule type="expression" dxfId="106" priority="36">
      <formula>ROUND(E$19,0) &lt; ROUND(E$12,0)</formula>
    </cfRule>
  </conditionalFormatting>
  <conditionalFormatting sqref="E97:W97">
    <cfRule type="expression" dxfId="105" priority="33">
      <formula>ROUND(E$13,0) &gt;= ROUND(E$12,0)</formula>
    </cfRule>
  </conditionalFormatting>
  <conditionalFormatting sqref="E103:W103">
    <cfRule type="expression" dxfId="104" priority="34">
      <formula>ROUND(E$19,0) &lt; ROUND(E$12,0)</formula>
    </cfRule>
  </conditionalFormatting>
  <conditionalFormatting sqref="E111:W111">
    <cfRule type="expression" dxfId="103" priority="31">
      <formula>ROUND(E$13,0) &gt;= ROUND(E$12,0)</formula>
    </cfRule>
  </conditionalFormatting>
  <conditionalFormatting sqref="E117:W117">
    <cfRule type="expression" dxfId="102" priority="32">
      <formula>ROUND(E$19,0) &lt; ROUND(E$12,0)</formula>
    </cfRule>
  </conditionalFormatting>
  <conditionalFormatting sqref="E125:W125">
    <cfRule type="expression" dxfId="101" priority="29">
      <formula>ROUND(E$13,0) &gt;= ROUND(E$12,0)</formula>
    </cfRule>
  </conditionalFormatting>
  <conditionalFormatting sqref="E131:W131">
    <cfRule type="expression" dxfId="100" priority="30">
      <formula>ROUND(E$19,0) &lt; ROUND(E$12,0)</formula>
    </cfRule>
  </conditionalFormatting>
  <conditionalFormatting sqref="E139:W139">
    <cfRule type="expression" dxfId="99" priority="27">
      <formula>ROUND(E$13,0) &gt;= ROUND(E$12,0)</formula>
    </cfRule>
  </conditionalFormatting>
  <conditionalFormatting sqref="E145:W145">
    <cfRule type="expression" dxfId="98" priority="28">
      <formula>ROUND(E$19,0) &lt; ROUND(E$12,0)</formula>
    </cfRule>
  </conditionalFormatting>
  <conditionalFormatting sqref="E153:W153">
    <cfRule type="expression" dxfId="97" priority="25">
      <formula>ROUND(E$13,0) &gt;= ROUND(E$12,0)</formula>
    </cfRule>
  </conditionalFormatting>
  <conditionalFormatting sqref="E159:W159">
    <cfRule type="expression" dxfId="96" priority="26">
      <formula>ROUND(E$19,0) &lt; ROUND(E$12,0)</formula>
    </cfRule>
  </conditionalFormatting>
  <conditionalFormatting sqref="E167:W167 AE167:AJ167">
    <cfRule type="expression" dxfId="95" priority="45">
      <formula>ROUND(#REF!,0) &gt;= ROUND(#REF!,0)</formula>
    </cfRule>
  </conditionalFormatting>
  <conditionalFormatting sqref="E173:W173 AE173:AJ173">
    <cfRule type="expression" dxfId="94" priority="43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A2132-BB13-443A-BF68-5F99A44A6D62}">
  <sheetPr codeName="Sheet16">
    <tabColor rgb="FF92D050"/>
  </sheetPr>
  <dimension ref="A1:AJ54"/>
  <sheetViews>
    <sheetView zoomScale="73" zoomScaleNormal="70" workbookViewId="0">
      <selection activeCell="E28" sqref="E28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10" width="7.5" style="4" customWidth="1"/>
    <col min="11" max="11" width="11" style="4" customWidth="1"/>
    <col min="12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7" width="7.5" style="2" customWidth="1"/>
    <col min="28" max="28" width="15.5" style="2" customWidth="1"/>
    <col min="29" max="29" width="21.125" style="2" customWidth="1"/>
    <col min="30" max="33" width="7.5" style="2" customWidth="1"/>
    <col min="34" max="34" width="0.5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Validity WISC-6/WPPSI-4 - Paper")</f>
        <v>Study Name: 
Validity WISC-6/WPPSI-4 -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customHeight="1" thickBot="1">
      <c r="A3" s="2"/>
      <c r="B3" s="2"/>
      <c r="C3" s="2"/>
      <c r="D3" s="536" t="str">
        <f>_xlfn.CONCAT("Study Acronym: ","
V_WPPSI4_P")</f>
        <v>Study Acronym: 
V_WPPSI4_P</v>
      </c>
      <c r="E3" s="512"/>
      <c r="F3" s="583" t="s">
        <v>384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</row>
    <row r="6" spans="1:36" customFormat="1" ht="120" customHeight="1" thickBot="1">
      <c r="A6" s="2"/>
      <c r="B6" s="2"/>
      <c r="C6" s="98"/>
      <c r="D6" s="585" t="s">
        <v>385</v>
      </c>
      <c r="E6" s="586"/>
      <c r="F6" s="586"/>
      <c r="G6" s="586"/>
      <c r="H6" s="587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 t="s">
        <v>377</v>
      </c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  <c r="AA7" s="588"/>
      <c r="AB7" s="588"/>
      <c r="AC7" s="588"/>
      <c r="AD7" s="588"/>
      <c r="AE7" s="588"/>
      <c r="AF7" s="588"/>
      <c r="AG7" s="588"/>
    </row>
    <row r="8" spans="1:36" customFormat="1">
      <c r="A8" s="2"/>
      <c r="B8" s="482" t="str">
        <f>_xlfn.CONCAT("Last Refreshed at: ",aurora_data!V532)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/>
      <c r="AE8" s="541"/>
      <c r="AF8" s="541"/>
      <c r="AG8" s="541"/>
      <c r="AH8" s="339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34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/>
      <c r="AE10" s="476"/>
      <c r="AF10" s="476"/>
      <c r="AG10" s="477"/>
      <c r="AH10" s="349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347" t="s">
        <v>386</v>
      </c>
      <c r="AE11" s="93" t="s">
        <v>50</v>
      </c>
      <c r="AF11" s="93">
        <v>4</v>
      </c>
      <c r="AG11" s="93">
        <v>5</v>
      </c>
      <c r="AH11" s="348"/>
      <c r="AI11" s="550"/>
      <c r="AJ11" s="551"/>
    </row>
    <row r="12" spans="1:36" customFormat="1">
      <c r="A12" s="2"/>
      <c r="B12" s="560" t="s">
        <v>362</v>
      </c>
      <c r="C12" s="453" t="str">
        <f>aurora_data!A932</f>
        <v>06.00.00-06.11.30</v>
      </c>
      <c r="D12" s="34" t="s">
        <v>306</v>
      </c>
      <c r="E12" s="39">
        <f>IFERROR(aurora_data!D932,0)</f>
        <v>0.65</v>
      </c>
      <c r="F12" s="40">
        <f>IFERROR(aurora_data!E932,0)</f>
        <v>1.24</v>
      </c>
      <c r="G12" s="40">
        <f>IFERROR(aurora_data!F932,0)</f>
        <v>4.96</v>
      </c>
      <c r="H12" s="40">
        <f>IFERROR(aurora_data!G932,0)</f>
        <v>8.0399999999999991</v>
      </c>
      <c r="I12" s="41">
        <f>IFERROR(aurora_data!H932,0)</f>
        <v>10.11</v>
      </c>
      <c r="J12" s="39">
        <f>IFERROR(aurora_data!I932,0)</f>
        <v>1</v>
      </c>
      <c r="K12" s="40">
        <f>IFERROR(aurora_data!J932,0)</f>
        <v>1</v>
      </c>
      <c r="L12" s="40">
        <f>IFERROR(aurora_data!K932,0)</f>
        <v>1</v>
      </c>
      <c r="M12" s="40">
        <f>IFERROR(aurora_data!L932,0)</f>
        <v>1</v>
      </c>
      <c r="N12" s="41">
        <f>IFERROR(aurora_data!M932,0)</f>
        <v>1</v>
      </c>
      <c r="O12" s="39">
        <f>IFERROR(aurora_data!N932,0)</f>
        <v>1</v>
      </c>
      <c r="P12" s="40">
        <f>IFERROR(aurora_data!O932,0)</f>
        <v>1</v>
      </c>
      <c r="Q12" s="40">
        <f>IFERROR(aurora_data!P932,0)</f>
        <v>1</v>
      </c>
      <c r="R12" s="41">
        <f>IFERROR(aurora_data!Q932,0)</f>
        <v>1</v>
      </c>
      <c r="S12" s="40">
        <f>IFERROR(aurora_data!R932,0)</f>
        <v>1</v>
      </c>
      <c r="T12" s="40">
        <f>IFERROR(aurora_data!S932,0)</f>
        <v>1</v>
      </c>
      <c r="U12" s="74">
        <f>IFERROR(aurora_data!T532,0)</f>
        <v>0</v>
      </c>
      <c r="V12" s="61" t="s">
        <v>354</v>
      </c>
      <c r="W12" s="39">
        <f>IFERROR(aurora_data!U932,0)</f>
        <v>25</v>
      </c>
      <c r="X12" s="69">
        <f>IFERROR(W12/$W$12,0)</f>
        <v>1</v>
      </c>
      <c r="Y12" s="2"/>
      <c r="AA12" s="451" t="s">
        <v>338</v>
      </c>
      <c r="AB12" s="453" t="str">
        <f>aurora_data!A932</f>
        <v>06.00.00-06.11.30</v>
      </c>
      <c r="AC12" s="34" t="s">
        <v>306</v>
      </c>
      <c r="AD12" s="39">
        <v>2</v>
      </c>
      <c r="AE12" s="40">
        <v>5</v>
      </c>
      <c r="AF12" s="40">
        <v>8</v>
      </c>
      <c r="AG12" s="41">
        <v>10</v>
      </c>
      <c r="AH12" s="350" t="s">
        <v>354</v>
      </c>
      <c r="AI12" s="39">
        <f>IFERROR(aurora_data!U932,0)</f>
        <v>25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IFERROR(aurora_data!D933,0)</f>
        <v>1</v>
      </c>
      <c r="F13" s="253">
        <f>IFERROR(aurora_data!E933,0)</f>
        <v>1</v>
      </c>
      <c r="G13" s="253">
        <f>IFERROR(aurora_data!F933,0)</f>
        <v>5</v>
      </c>
      <c r="H13" s="253">
        <f>IFERROR(aurora_data!G933,0)</f>
        <v>8</v>
      </c>
      <c r="I13" s="254">
        <f>IFERROR(aurora_data!H933,0)</f>
        <v>10</v>
      </c>
      <c r="J13" s="113">
        <f>IFERROR(aurora_data!I933,0)</f>
        <v>0</v>
      </c>
      <c r="K13" s="253">
        <f>IFERROR(aurora_data!J933,0)</f>
        <v>3</v>
      </c>
      <c r="L13" s="253">
        <f>IFERROR(aurora_data!K933,0)</f>
        <v>8</v>
      </c>
      <c r="M13" s="253">
        <f>IFERROR(aurora_data!L933,0)</f>
        <v>4</v>
      </c>
      <c r="N13" s="254">
        <f>IFERROR(aurora_data!M933,0)</f>
        <v>10</v>
      </c>
      <c r="O13" s="113">
        <f>IFERROR(aurora_data!N933,0)</f>
        <v>7</v>
      </c>
      <c r="P13" s="253">
        <f>IFERROR(aurora_data!O933,0)</f>
        <v>5</v>
      </c>
      <c r="Q13" s="253">
        <f>IFERROR(aurora_data!P933,0)</f>
        <v>9</v>
      </c>
      <c r="R13" s="254">
        <f>IFERROR(aurora_data!Q933,0)</f>
        <v>4</v>
      </c>
      <c r="S13" s="253">
        <f>IFERROR(aurora_data!R933,0)</f>
        <v>13</v>
      </c>
      <c r="T13" s="253">
        <f>IFERROR(aurora_data!S933,0)</f>
        <v>12</v>
      </c>
      <c r="U13" s="254">
        <f>IFERROR(aurora_data!T533,0)</f>
        <v>0</v>
      </c>
      <c r="V13" s="61" t="s">
        <v>354</v>
      </c>
      <c r="W13" s="113">
        <f>IFERROR(aurora_data!U933,0)</f>
        <v>25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IFERROR(aurora_data!D933,0)+IFERROR(aurora_data!E933,0)</f>
        <v>2</v>
      </c>
      <c r="AE13" s="253">
        <f>IFERROR(aurora_data!F933,0)</f>
        <v>5</v>
      </c>
      <c r="AF13" s="253">
        <f>IFERROR(aurora_data!G933,0)</f>
        <v>8</v>
      </c>
      <c r="AG13" s="254">
        <f>IFERROR(aurora_data!H933,0)</f>
        <v>10</v>
      </c>
      <c r="AH13" s="350" t="s">
        <v>354</v>
      </c>
      <c r="AI13" s="113">
        <f>IFERROR(aurora_data!U933,0)</f>
        <v>25</v>
      </c>
      <c r="AJ13" s="255">
        <f t="shared" si="0"/>
        <v>1</v>
      </c>
    </row>
    <row r="14" spans="1:36" customFormat="1" ht="15.6" customHeight="1">
      <c r="A14" s="2"/>
      <c r="B14" s="561"/>
      <c r="C14" s="454"/>
      <c r="D14" s="35" t="s">
        <v>291</v>
      </c>
      <c r="E14" s="113">
        <f>IFERROR(aurora_data!D934,0)</f>
        <v>0</v>
      </c>
      <c r="F14" s="253">
        <f>IFERROR(aurora_data!E934,0)</f>
        <v>0</v>
      </c>
      <c r="G14" s="253">
        <f>IFERROR(aurora_data!F934,0)</f>
        <v>0</v>
      </c>
      <c r="H14" s="253">
        <f>IFERROR(aurora_data!G934,0)</f>
        <v>0</v>
      </c>
      <c r="I14" s="254">
        <f>IFERROR(aurora_data!H934,0)</f>
        <v>4</v>
      </c>
      <c r="J14" s="113">
        <f>IFERROR(aurora_data!I934,0)</f>
        <v>0</v>
      </c>
      <c r="K14" s="253">
        <f>IFERROR(aurora_data!J934,0)</f>
        <v>0</v>
      </c>
      <c r="L14" s="253">
        <f>IFERROR(aurora_data!K934,0)</f>
        <v>0</v>
      </c>
      <c r="M14" s="253">
        <f>IFERROR(aurora_data!L934,0)</f>
        <v>0</v>
      </c>
      <c r="N14" s="254">
        <f>IFERROR(aurora_data!M934,0)</f>
        <v>4</v>
      </c>
      <c r="O14" s="113">
        <f>IFERROR(aurora_data!N934,0)</f>
        <v>4</v>
      </c>
      <c r="P14" s="253">
        <f>IFERROR(aurora_data!O934,0)</f>
        <v>0</v>
      </c>
      <c r="Q14" s="253">
        <f>IFERROR(aurora_data!P934,0)</f>
        <v>0</v>
      </c>
      <c r="R14" s="254">
        <f>IFERROR(aurora_data!Q934,0)</f>
        <v>0</v>
      </c>
      <c r="S14" s="253">
        <f>IFERROR(aurora_data!R934,0)</f>
        <v>2</v>
      </c>
      <c r="T14" s="253">
        <f>IFERROR(aurora_data!S934,0)</f>
        <v>2</v>
      </c>
      <c r="U14" s="254">
        <f>IFERROR(aurora_data!T534,0)</f>
        <v>0</v>
      </c>
      <c r="V14" s="61" t="s">
        <v>354</v>
      </c>
      <c r="W14" s="113">
        <f>IFERROR(aurora_data!U934,0)</f>
        <v>4</v>
      </c>
      <c r="X14" s="255">
        <f t="shared" si="1"/>
        <v>0.16</v>
      </c>
      <c r="Y14" s="2"/>
      <c r="AA14" s="452"/>
      <c r="AB14" s="454"/>
      <c r="AC14" s="35" t="s">
        <v>291</v>
      </c>
      <c r="AD14" s="113">
        <f>IFERROR(aurora_data!D934,0)+IFERROR(aurora_data!E934,0)</f>
        <v>0</v>
      </c>
      <c r="AE14" s="253">
        <f>IFERROR(aurora_data!F934,0)</f>
        <v>0</v>
      </c>
      <c r="AF14" s="253">
        <f>IFERROR(aurora_data!G934,0)</f>
        <v>0</v>
      </c>
      <c r="AG14" s="254">
        <f>IFERROR(aurora_data!H934,0)</f>
        <v>4</v>
      </c>
      <c r="AH14" s="350" t="s">
        <v>354</v>
      </c>
      <c r="AI14" s="113">
        <f>IFERROR(aurora_data!U934,0)</f>
        <v>4</v>
      </c>
      <c r="AJ14" s="255">
        <f t="shared" si="0"/>
        <v>0.16</v>
      </c>
    </row>
    <row r="15" spans="1:36" customFormat="1" ht="15.6" customHeight="1">
      <c r="A15" s="2"/>
      <c r="B15" s="561"/>
      <c r="C15" s="454"/>
      <c r="D15" s="35" t="s">
        <v>340</v>
      </c>
      <c r="E15" s="113">
        <f>IFERROR(aurora_data!D935,0)</f>
        <v>0</v>
      </c>
      <c r="F15" s="253">
        <f>IFERROR(aurora_data!E935,0)</f>
        <v>0</v>
      </c>
      <c r="G15" s="253">
        <f>IFERROR(aurora_data!F935,0)</f>
        <v>0</v>
      </c>
      <c r="H15" s="253">
        <f>IFERROR(aurora_data!G935,0)</f>
        <v>0</v>
      </c>
      <c r="I15" s="254">
        <f>IFERROR(aurora_data!H935,0)</f>
        <v>0</v>
      </c>
      <c r="J15" s="113">
        <f>IFERROR(aurora_data!I935,0)</f>
        <v>0</v>
      </c>
      <c r="K15" s="253">
        <f>IFERROR(aurora_data!J935,0)</f>
        <v>0</v>
      </c>
      <c r="L15" s="253">
        <f>IFERROR(aurora_data!K935,0)</f>
        <v>0</v>
      </c>
      <c r="M15" s="253">
        <f>IFERROR(aurora_data!L935,0)</f>
        <v>0</v>
      </c>
      <c r="N15" s="254">
        <f>IFERROR(aurora_data!M935,0)</f>
        <v>0</v>
      </c>
      <c r="O15" s="113">
        <f>IFERROR(aurora_data!N935,0)</f>
        <v>0</v>
      </c>
      <c r="P15" s="253">
        <f>IFERROR(aurora_data!O935,0)</f>
        <v>0</v>
      </c>
      <c r="Q15" s="253">
        <f>IFERROR(aurora_data!P935,0)</f>
        <v>0</v>
      </c>
      <c r="R15" s="254">
        <f>IFERROR(aurora_data!Q935,0)</f>
        <v>0</v>
      </c>
      <c r="S15" s="253">
        <f>IFERROR(aurora_data!R935,0)</f>
        <v>0</v>
      </c>
      <c r="T15" s="253">
        <f>IFERROR(aurora_data!S935,0)</f>
        <v>0</v>
      </c>
      <c r="U15" s="254">
        <f>IFERROR(aurora_data!T535,0)</f>
        <v>0</v>
      </c>
      <c r="V15" s="61" t="s">
        <v>354</v>
      </c>
      <c r="W15" s="113">
        <f>IFERROR(aurora_data!U935,0)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IFERROR(aurora_data!D935,0)+IFERROR(aurora_data!E935,0)</f>
        <v>0</v>
      </c>
      <c r="AE15" s="253">
        <f>IFERROR(aurora_data!F935,0)</f>
        <v>0</v>
      </c>
      <c r="AF15" s="253">
        <f>IFERROR(aurora_data!G935,0)</f>
        <v>0</v>
      </c>
      <c r="AG15" s="254">
        <f>IFERROR(aurora_data!H935,0)</f>
        <v>0</v>
      </c>
      <c r="AH15" s="350" t="s">
        <v>354</v>
      </c>
      <c r="AI15" s="113">
        <f>IFERROR(aurora_data!U935,0)</f>
        <v>0</v>
      </c>
      <c r="AJ15" s="255">
        <f t="shared" si="0"/>
        <v>0</v>
      </c>
    </row>
    <row r="16" spans="1:36" customFormat="1" ht="15.6" customHeight="1">
      <c r="A16" s="2"/>
      <c r="B16" s="561"/>
      <c r="C16" s="454"/>
      <c r="D16" s="35" t="s">
        <v>298</v>
      </c>
      <c r="E16" s="113">
        <f>IFERROR(aurora_data!D936,0)</f>
        <v>0</v>
      </c>
      <c r="F16" s="253">
        <f>IFERROR(aurora_data!E936,0)</f>
        <v>0</v>
      </c>
      <c r="G16" s="253">
        <f>IFERROR(aurora_data!F936,0)</f>
        <v>0</v>
      </c>
      <c r="H16" s="253">
        <f>IFERROR(aurora_data!G936,0)</f>
        <v>0</v>
      </c>
      <c r="I16" s="254">
        <f>IFERROR(aurora_data!H936,0)</f>
        <v>0</v>
      </c>
      <c r="J16" s="113">
        <f>IFERROR(aurora_data!I936,0)</f>
        <v>0</v>
      </c>
      <c r="K16" s="253">
        <f>IFERROR(aurora_data!J936,0)</f>
        <v>0</v>
      </c>
      <c r="L16" s="253">
        <f>IFERROR(aurora_data!K936,0)</f>
        <v>0</v>
      </c>
      <c r="M16" s="253">
        <f>IFERROR(aurora_data!L936,0)</f>
        <v>0</v>
      </c>
      <c r="N16" s="254">
        <f>IFERROR(aurora_data!M936,0)</f>
        <v>0</v>
      </c>
      <c r="O16" s="113">
        <f>IFERROR(aurora_data!N936,0)</f>
        <v>0</v>
      </c>
      <c r="P16" s="253">
        <f>IFERROR(aurora_data!O936,0)</f>
        <v>0</v>
      </c>
      <c r="Q16" s="253">
        <f>IFERROR(aurora_data!P936,0)</f>
        <v>0</v>
      </c>
      <c r="R16" s="254">
        <f>IFERROR(aurora_data!Q936,0)</f>
        <v>0</v>
      </c>
      <c r="S16" s="253">
        <f>IFERROR(aurora_data!R936,0)</f>
        <v>0</v>
      </c>
      <c r="T16" s="253">
        <f>IFERROR(aurora_data!S936,0)</f>
        <v>0</v>
      </c>
      <c r="U16" s="254">
        <f>IFERROR(aurora_data!T536,0)</f>
        <v>0</v>
      </c>
      <c r="V16" s="61" t="s">
        <v>354</v>
      </c>
      <c r="W16" s="113">
        <f>IFERROR(aurora_data!U936,0)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IFERROR(aurora_data!D936,0)+IFERROR(aurora_data!E936,0)</f>
        <v>0</v>
      </c>
      <c r="AE16" s="253">
        <f>IFERROR(aurora_data!F936,0)</f>
        <v>0</v>
      </c>
      <c r="AF16" s="253">
        <f>IFERROR(aurora_data!G936,0)</f>
        <v>0</v>
      </c>
      <c r="AG16" s="254">
        <f>IFERROR(aurora_data!H936,0)</f>
        <v>0</v>
      </c>
      <c r="AH16" s="350" t="s">
        <v>354</v>
      </c>
      <c r="AI16" s="113">
        <f>IFERROR(aurora_data!U936,0)</f>
        <v>0</v>
      </c>
      <c r="AJ16" s="255">
        <f t="shared" si="0"/>
        <v>0</v>
      </c>
    </row>
    <row r="17" spans="1:36" customFormat="1" ht="15.6" customHeight="1">
      <c r="A17" s="2"/>
      <c r="B17" s="561"/>
      <c r="C17" s="454"/>
      <c r="D17" s="35" t="s">
        <v>341</v>
      </c>
      <c r="E17" s="113">
        <f>IFERROR(aurora_data!D937,0)</f>
        <v>1</v>
      </c>
      <c r="F17" s="253">
        <f>IFERROR(aurora_data!E937,0)</f>
        <v>0</v>
      </c>
      <c r="G17" s="253">
        <f>IFERROR(aurora_data!F937,0)</f>
        <v>0</v>
      </c>
      <c r="H17" s="253">
        <f>IFERROR(aurora_data!G937,0)</f>
        <v>0</v>
      </c>
      <c r="I17" s="254">
        <f>IFERROR(aurora_data!H937,0)</f>
        <v>0</v>
      </c>
      <c r="J17" s="113">
        <f>IFERROR(aurora_data!I937,0)</f>
        <v>0</v>
      </c>
      <c r="K17" s="253">
        <f>IFERROR(aurora_data!J937,0)</f>
        <v>1</v>
      </c>
      <c r="L17" s="253">
        <f>IFERROR(aurora_data!K937,0)</f>
        <v>0</v>
      </c>
      <c r="M17" s="253">
        <f>IFERROR(aurora_data!L937,0)</f>
        <v>0</v>
      </c>
      <c r="N17" s="254">
        <f>IFERROR(aurora_data!M937,0)</f>
        <v>0</v>
      </c>
      <c r="O17" s="113">
        <f>IFERROR(aurora_data!N937,0)</f>
        <v>0</v>
      </c>
      <c r="P17" s="253">
        <f>IFERROR(aurora_data!O937,0)</f>
        <v>0</v>
      </c>
      <c r="Q17" s="253">
        <f>IFERROR(aurora_data!P937,0)</f>
        <v>1</v>
      </c>
      <c r="R17" s="254">
        <f>IFERROR(aurora_data!Q937,0)</f>
        <v>0</v>
      </c>
      <c r="S17" s="253">
        <f>IFERROR(aurora_data!R937,0)</f>
        <v>0</v>
      </c>
      <c r="T17" s="253">
        <f>IFERROR(aurora_data!S937,0)</f>
        <v>1</v>
      </c>
      <c r="U17" s="254">
        <f>IFERROR(aurora_data!T537,0)</f>
        <v>0</v>
      </c>
      <c r="V17" s="61" t="s">
        <v>354</v>
      </c>
      <c r="W17" s="113">
        <f>IFERROR(aurora_data!U937,0)</f>
        <v>1</v>
      </c>
      <c r="X17" s="255">
        <f t="shared" si="1"/>
        <v>0.04</v>
      </c>
      <c r="Y17" s="2"/>
      <c r="AA17" s="452"/>
      <c r="AB17" s="454"/>
      <c r="AC17" s="35" t="s">
        <v>341</v>
      </c>
      <c r="AD17" s="113">
        <f>IFERROR(aurora_data!D937,0)+IFERROR(aurora_data!E937,0)</f>
        <v>1</v>
      </c>
      <c r="AE17" s="253">
        <f>IFERROR(aurora_data!F937,0)</f>
        <v>0</v>
      </c>
      <c r="AF17" s="253">
        <f>IFERROR(aurora_data!G937,0)</f>
        <v>0</v>
      </c>
      <c r="AG17" s="254">
        <f>IFERROR(aurora_data!H937,0)</f>
        <v>0</v>
      </c>
      <c r="AH17" s="350" t="s">
        <v>354</v>
      </c>
      <c r="AI17" s="113">
        <f>IFERROR(aurora_data!U937,0)</f>
        <v>1</v>
      </c>
      <c r="AJ17" s="255">
        <f t="shared" si="0"/>
        <v>0.04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IFERROR(aurora_data!D938,0)</f>
        <v>0</v>
      </c>
      <c r="F18" s="253">
        <f>IFERROR(aurora_data!E938,0)</f>
        <v>0</v>
      </c>
      <c r="G18" s="253">
        <f>IFERROR(aurora_data!F938,0)</f>
        <v>0</v>
      </c>
      <c r="H18" s="253">
        <f>IFERROR(aurora_data!G938,0)</f>
        <v>0</v>
      </c>
      <c r="I18" s="254">
        <f>IFERROR(aurora_data!H938,0)</f>
        <v>0</v>
      </c>
      <c r="J18" s="113">
        <f>IFERROR(aurora_data!I938,0)</f>
        <v>0</v>
      </c>
      <c r="K18" s="253">
        <f>IFERROR(aurora_data!J938,0)</f>
        <v>0</v>
      </c>
      <c r="L18" s="253">
        <f>IFERROR(aurora_data!K938,0)</f>
        <v>0</v>
      </c>
      <c r="M18" s="253">
        <f>IFERROR(aurora_data!L938,0)</f>
        <v>0</v>
      </c>
      <c r="N18" s="254">
        <f>IFERROR(aurora_data!M938,0)</f>
        <v>0</v>
      </c>
      <c r="O18" s="113">
        <f>IFERROR(aurora_data!N938,0)</f>
        <v>0</v>
      </c>
      <c r="P18" s="253">
        <f>IFERROR(aurora_data!O938,0)</f>
        <v>0</v>
      </c>
      <c r="Q18" s="253">
        <f>IFERROR(aurora_data!P938,0)</f>
        <v>0</v>
      </c>
      <c r="R18" s="254">
        <f>IFERROR(aurora_data!Q938,0)</f>
        <v>0</v>
      </c>
      <c r="S18" s="253">
        <f>IFERROR(aurora_data!R938,0)</f>
        <v>0</v>
      </c>
      <c r="T18" s="253">
        <f>IFERROR(aurora_data!S938,0)</f>
        <v>0</v>
      </c>
      <c r="U18" s="254">
        <f>IFERROR(aurora_data!T538,0)</f>
        <v>0</v>
      </c>
      <c r="V18" s="61" t="s">
        <v>354</v>
      </c>
      <c r="W18" s="113">
        <f>IFERROR(aurora_data!U938,0)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IFERROR(aurora_data!D938,0)+IFERROR(aurora_data!E938,0)</f>
        <v>0</v>
      </c>
      <c r="AE18" s="253">
        <f>IFERROR(aurora_data!F938,0)</f>
        <v>0</v>
      </c>
      <c r="AF18" s="253">
        <f>IFERROR(aurora_data!G938,0)</f>
        <v>0</v>
      </c>
      <c r="AG18" s="254">
        <f>IFERROR(aurora_data!H938,0)</f>
        <v>0</v>
      </c>
      <c r="AH18" s="350" t="s">
        <v>354</v>
      </c>
      <c r="AI18" s="113">
        <f>IFERROR(aurora_data!U938,0)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IFERROR(aurora_data!D939,0)</f>
        <v>2</v>
      </c>
      <c r="F19" s="64">
        <f>IFERROR(aurora_data!E939,0)</f>
        <v>1</v>
      </c>
      <c r="G19" s="64">
        <f>IFERROR(aurora_data!F939,0)</f>
        <v>5</v>
      </c>
      <c r="H19" s="64">
        <f>IFERROR(aurora_data!G939,0)</f>
        <v>8</v>
      </c>
      <c r="I19" s="65">
        <f>IFERROR(aurora_data!H939,0)</f>
        <v>14</v>
      </c>
      <c r="J19" s="59">
        <f>IFERROR(aurora_data!I939,0)</f>
        <v>0</v>
      </c>
      <c r="K19" s="64">
        <f>IFERROR(aurora_data!J939,0)</f>
        <v>4</v>
      </c>
      <c r="L19" s="64">
        <f>IFERROR(aurora_data!K939,0)</f>
        <v>8</v>
      </c>
      <c r="M19" s="64">
        <f>IFERROR(aurora_data!L939,0)</f>
        <v>4</v>
      </c>
      <c r="N19" s="65">
        <f>IFERROR(aurora_data!M939,0)</f>
        <v>14</v>
      </c>
      <c r="O19" s="59">
        <f>IFERROR(aurora_data!N939,0)</f>
        <v>11</v>
      </c>
      <c r="P19" s="64">
        <f>IFERROR(aurora_data!O939,0)</f>
        <v>5</v>
      </c>
      <c r="Q19" s="64">
        <f>IFERROR(aurora_data!P939,0)</f>
        <v>10</v>
      </c>
      <c r="R19" s="65">
        <f>IFERROR(aurora_data!Q939,0)</f>
        <v>4</v>
      </c>
      <c r="S19" s="64">
        <f>IFERROR(aurora_data!R939,0)</f>
        <v>15</v>
      </c>
      <c r="T19" s="64">
        <f>IFERROR(aurora_data!S939,0)</f>
        <v>15</v>
      </c>
      <c r="U19" s="65">
        <f>IFERROR(aurora_data!T539,0)</f>
        <v>0</v>
      </c>
      <c r="V19" s="66" t="s">
        <v>354</v>
      </c>
      <c r="W19" s="59">
        <f>IFERROR(aurora_data!U939,0)</f>
        <v>30</v>
      </c>
      <c r="X19" s="70">
        <f t="shared" si="1"/>
        <v>1.2</v>
      </c>
      <c r="Y19" s="2"/>
      <c r="AA19" s="452"/>
      <c r="AB19" s="454"/>
      <c r="AC19" s="37" t="s">
        <v>17</v>
      </c>
      <c r="AD19" s="59">
        <f>IFERROR(aurora_data!D939,0)+IFERROR(aurora_data!E939,0)</f>
        <v>3</v>
      </c>
      <c r="AE19" s="64">
        <f>IFERROR(aurora_data!F939,0)</f>
        <v>5</v>
      </c>
      <c r="AF19" s="64">
        <f>IFERROR(aurora_data!G939,0)</f>
        <v>8</v>
      </c>
      <c r="AG19" s="65">
        <f>IFERROR(aurora_data!H939,0)</f>
        <v>14</v>
      </c>
      <c r="AH19" s="351" t="s">
        <v>354</v>
      </c>
      <c r="AI19" s="59">
        <f>IFERROR(aurora_data!U939,0)</f>
        <v>30</v>
      </c>
      <c r="AJ19" s="70">
        <f t="shared" si="0"/>
        <v>1.2</v>
      </c>
    </row>
    <row r="20" spans="1:36" customFormat="1" ht="16.5" thickBot="1">
      <c r="A20" s="2"/>
      <c r="B20" s="561"/>
      <c r="C20" s="454"/>
      <c r="D20" s="38" t="s">
        <v>343</v>
      </c>
      <c r="E20" s="256">
        <f>IFERROR(aurora_data!D940,0)</f>
        <v>0</v>
      </c>
      <c r="F20" s="257">
        <f>IFERROR(aurora_data!E940,0)</f>
        <v>0</v>
      </c>
      <c r="G20" s="257">
        <f>IFERROR(aurora_data!F940,0)</f>
        <v>0</v>
      </c>
      <c r="H20" s="257">
        <f>IFERROR(aurora_data!G940,0)</f>
        <v>0</v>
      </c>
      <c r="I20" s="258">
        <f>IFERROR(aurora_data!H940,0)</f>
        <v>0</v>
      </c>
      <c r="J20" s="256">
        <f>IFERROR(aurora_data!I940,0)</f>
        <v>0</v>
      </c>
      <c r="K20" s="257">
        <f>IFERROR(aurora_data!J940,0)</f>
        <v>0</v>
      </c>
      <c r="L20" s="257">
        <f>IFERROR(aurora_data!K940,0)</f>
        <v>0</v>
      </c>
      <c r="M20" s="257">
        <f>IFERROR(aurora_data!L940,0)</f>
        <v>0</v>
      </c>
      <c r="N20" s="258">
        <f>IFERROR(aurora_data!M940,0)</f>
        <v>0</v>
      </c>
      <c r="O20" s="256">
        <f>IFERROR(aurora_data!N940,0)</f>
        <v>0</v>
      </c>
      <c r="P20" s="257">
        <f>IFERROR(aurora_data!O940,0)</f>
        <v>0</v>
      </c>
      <c r="Q20" s="257">
        <f>IFERROR(aurora_data!P940,0)</f>
        <v>0</v>
      </c>
      <c r="R20" s="258">
        <f>IFERROR(aurora_data!Q940,0)</f>
        <v>0</v>
      </c>
      <c r="S20" s="257">
        <f>IFERROR(aurora_data!R940,0)</f>
        <v>0</v>
      </c>
      <c r="T20" s="257">
        <f>IFERROR(aurora_data!S940,0)</f>
        <v>0</v>
      </c>
      <c r="U20" s="259">
        <f>IFERROR(aurora_data!T540,0)</f>
        <v>0</v>
      </c>
      <c r="V20" s="260" t="s">
        <v>354</v>
      </c>
      <c r="W20" s="256">
        <f>IFERROR(aurora_data!U940,0)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IFERROR(aurora_data!D940,0)+IFERROR(aurora_data!E940,0)</f>
        <v>0</v>
      </c>
      <c r="AE20" s="257">
        <f>IFERROR(aurora_data!F940,0)</f>
        <v>0</v>
      </c>
      <c r="AF20" s="257">
        <f>IFERROR(aurora_data!G940,0)</f>
        <v>0</v>
      </c>
      <c r="AG20" s="258">
        <f>IFERROR(aurora_data!H940,0)</f>
        <v>0</v>
      </c>
      <c r="AH20" s="352" t="s">
        <v>354</v>
      </c>
      <c r="AI20" s="256">
        <f>IFERROR(aurora_data!U940,0)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1">
        <f>ROUNDDOWN((E23+$E$9)*($W12),0)</f>
        <v>1</v>
      </c>
      <c r="F21" s="272">
        <f>ROUNDDOWN((F23+$E$9)*($W12),0)</f>
        <v>1</v>
      </c>
      <c r="G21" s="272">
        <f>ROUNDDOWN((G23+$E$9)*($W12),0)</f>
        <v>5</v>
      </c>
      <c r="H21" s="272">
        <f>ROUNDDOWN((H23+$E$9)*($W12),0)</f>
        <v>8</v>
      </c>
      <c r="I21" s="272">
        <f>ROUNDDOWN((I23+$E$9)*($W12),0)</f>
        <v>10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A21" s="147"/>
      <c r="AB21" s="227"/>
      <c r="AC21" s="199" t="s">
        <v>344</v>
      </c>
      <c r="AD21" s="294"/>
      <c r="AE21" s="295"/>
      <c r="AF21" s="295"/>
      <c r="AG21" s="296"/>
      <c r="AH21" s="350"/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0.99</v>
      </c>
      <c r="G22" s="277">
        <f t="shared" ref="G22:I22" si="2">IF(ROUND(((G23-$E$9)*($W12))+0.25,0) &lt;=0,1,((G23-$E$9)*($W12))+0.25)</f>
        <v>4.71</v>
      </c>
      <c r="H22" s="277">
        <f t="shared" si="2"/>
        <v>7.7899999999999983</v>
      </c>
      <c r="I22" s="277">
        <f t="shared" si="2"/>
        <v>9.86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A22" s="147"/>
      <c r="AB22" s="227"/>
      <c r="AC22" s="199" t="s">
        <v>345</v>
      </c>
      <c r="AD22" s="294"/>
      <c r="AE22" s="295"/>
      <c r="AF22" s="295"/>
      <c r="AG22" s="296"/>
      <c r="AH22" s="350"/>
      <c r="AI22" s="294"/>
      <c r="AJ22" s="299"/>
    </row>
    <row r="23" spans="1:36" customFormat="1" ht="16.5" hidden="1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4.9599999999999998E-2</v>
      </c>
      <c r="G23" s="415">
        <f>IFERROR(G12/$W12,0)</f>
        <v>0.19839999999999999</v>
      </c>
      <c r="H23" s="415">
        <f t="shared" si="3"/>
        <v>0.32159999999999994</v>
      </c>
      <c r="I23" s="415">
        <f>IFERROR(I12/$W12,0)</f>
        <v>0.40439999999999998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A23" s="147"/>
      <c r="AB23" s="227"/>
      <c r="AC23" s="95" t="s">
        <v>346</v>
      </c>
      <c r="AD23" s="294"/>
      <c r="AE23" s="295"/>
      <c r="AF23" s="295"/>
      <c r="AG23" s="296"/>
      <c r="AH23" s="350"/>
      <c r="AI23" s="294"/>
      <c r="AJ23" s="299"/>
    </row>
    <row r="24" spans="1:36" customFormat="1" ht="16.5" hidden="1" outlineLevel="1" thickBot="1">
      <c r="A24" s="2"/>
      <c r="B24" s="147"/>
      <c r="C24" s="227"/>
      <c r="D24" s="180" t="s">
        <v>347</v>
      </c>
      <c r="E24" s="414">
        <f>IFERROR(E13/$W12,0)</f>
        <v>0.04</v>
      </c>
      <c r="F24" s="415">
        <f t="shared" ref="F24:I24" si="4">IFERROR(F13/$W12,0)</f>
        <v>0.04</v>
      </c>
      <c r="G24" s="415">
        <f t="shared" si="4"/>
        <v>0.2</v>
      </c>
      <c r="H24" s="415">
        <f t="shared" si="4"/>
        <v>0.32</v>
      </c>
      <c r="I24" s="415">
        <f t="shared" si="4"/>
        <v>0.4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A24" s="147"/>
      <c r="AB24" s="227"/>
      <c r="AC24" s="180" t="s">
        <v>347</v>
      </c>
      <c r="AD24" s="294"/>
      <c r="AE24" s="295"/>
      <c r="AF24" s="295"/>
      <c r="AG24" s="296"/>
      <c r="AH24" s="350"/>
      <c r="AI24" s="294"/>
      <c r="AJ24" s="299"/>
    </row>
    <row r="25" spans="1:36" customFormat="1" ht="16.5" hidden="1" outlineLevel="1" thickBot="1">
      <c r="A25" s="2"/>
      <c r="B25" s="147"/>
      <c r="C25" s="227"/>
      <c r="D25" s="180" t="s">
        <v>348</v>
      </c>
      <c r="E25" s="414">
        <f>E24-E23</f>
        <v>1.3999999999999999E-2</v>
      </c>
      <c r="F25" s="415">
        <f t="shared" ref="F25:I25" si="5">F24-F23</f>
        <v>-9.5999999999999974E-3</v>
      </c>
      <c r="G25" s="415">
        <f t="shared" si="5"/>
        <v>1.6000000000000181E-3</v>
      </c>
      <c r="H25" s="415">
        <f t="shared" si="5"/>
        <v>-1.5999999999999348E-3</v>
      </c>
      <c r="I25" s="415">
        <f t="shared" si="5"/>
        <v>-4.3999999999999595E-3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A25" s="147"/>
      <c r="AB25" s="227"/>
      <c r="AC25" s="180" t="s">
        <v>348</v>
      </c>
      <c r="AD25" s="294"/>
      <c r="AE25" s="295"/>
      <c r="AF25" s="295"/>
      <c r="AG25" s="296"/>
      <c r="AH25" s="350"/>
      <c r="AI25" s="294"/>
      <c r="AJ25" s="299"/>
    </row>
    <row r="26" spans="1:36" customFormat="1">
      <c r="A26" s="2"/>
      <c r="B26" s="451" t="s">
        <v>338</v>
      </c>
      <c r="C26" s="453" t="str">
        <f>aurora_data!A941</f>
        <v>07.00.00-07.07.30</v>
      </c>
      <c r="D26" s="34" t="s">
        <v>306</v>
      </c>
      <c r="E26" s="39">
        <f>IFERROR(aurora_data!D941,0)</f>
        <v>0.68</v>
      </c>
      <c r="F26" s="40">
        <f>IFERROR(aurora_data!E941,0)</f>
        <v>1.32</v>
      </c>
      <c r="G26" s="40">
        <f>IFERROR(aurora_data!F941,0)</f>
        <v>4.9000000000000004</v>
      </c>
      <c r="H26" s="40">
        <f>IFERROR(aurora_data!G941,0)</f>
        <v>8.1300000000000008</v>
      </c>
      <c r="I26" s="41">
        <f>IFERROR(aurora_data!H941,0)</f>
        <v>9.9700000000000006</v>
      </c>
      <c r="J26" s="39">
        <f>IFERROR(aurora_data!I941,0)</f>
        <v>1</v>
      </c>
      <c r="K26" s="40">
        <f>IFERROR(aurora_data!J941,0)</f>
        <v>1</v>
      </c>
      <c r="L26" s="40">
        <f>IFERROR(aurora_data!K941,0)</f>
        <v>1</v>
      </c>
      <c r="M26" s="40">
        <f>IFERROR(aurora_data!L941,0)</f>
        <v>1</v>
      </c>
      <c r="N26" s="41">
        <f>IFERROR(aurora_data!M941,0)</f>
        <v>1</v>
      </c>
      <c r="O26" s="39">
        <f>IFERROR(aurora_data!N941,0)</f>
        <v>1</v>
      </c>
      <c r="P26" s="40">
        <f>IFERROR(aurora_data!O941,0)</f>
        <v>1</v>
      </c>
      <c r="Q26" s="40">
        <f>IFERROR(aurora_data!P941,0)</f>
        <v>1</v>
      </c>
      <c r="R26" s="41">
        <f>IFERROR(aurora_data!Q941,0)</f>
        <v>1</v>
      </c>
      <c r="S26" s="40">
        <f>IFERROR(aurora_data!R941,0)</f>
        <v>1</v>
      </c>
      <c r="T26" s="40">
        <f>IFERROR(aurora_data!S941,0)</f>
        <v>1</v>
      </c>
      <c r="U26" s="41">
        <f>IFERROR(aurora_data!T541,0)</f>
        <v>0</v>
      </c>
      <c r="V26" s="61" t="s">
        <v>354</v>
      </c>
      <c r="W26" s="39">
        <f>IFERROR(aurora_data!U941,0)</f>
        <v>25</v>
      </c>
      <c r="X26" s="69">
        <f>IFERROR(W26/$W$26,0)</f>
        <v>1</v>
      </c>
      <c r="Y26" s="2"/>
      <c r="AA26" s="451" t="s">
        <v>338</v>
      </c>
      <c r="AB26" s="453" t="str">
        <f>aurora_data!A941</f>
        <v>07.00.00-07.07.30</v>
      </c>
      <c r="AC26" s="34" t="s">
        <v>306</v>
      </c>
      <c r="AD26" s="39">
        <v>2</v>
      </c>
      <c r="AE26" s="40">
        <v>5</v>
      </c>
      <c r="AF26" s="40">
        <v>8</v>
      </c>
      <c r="AG26" s="41">
        <v>10</v>
      </c>
      <c r="AH26" s="350" t="s">
        <v>354</v>
      </c>
      <c r="AI26" s="39">
        <f>IFERROR(aurora_data!U941,0)</f>
        <v>25</v>
      </c>
      <c r="AJ26" s="69">
        <f t="shared" ref="AJ26:AJ34" si="6">IFERROR(AI26/$AI$26,0)</f>
        <v>1</v>
      </c>
    </row>
    <row r="27" spans="1:36" customFormat="1" ht="16.5" customHeight="1">
      <c r="A27" s="2"/>
      <c r="B27" s="452"/>
      <c r="C27" s="454"/>
      <c r="D27" s="35" t="s">
        <v>339</v>
      </c>
      <c r="E27" s="113">
        <f>IFERROR(aurora_data!D942,0)</f>
        <v>0</v>
      </c>
      <c r="F27" s="253">
        <f>IFERROR(aurora_data!E942,0)</f>
        <v>1</v>
      </c>
      <c r="G27" s="253">
        <f>IFERROR(aurora_data!F942,0)</f>
        <v>5</v>
      </c>
      <c r="H27" s="253">
        <f>IFERROR(aurora_data!G942,0)</f>
        <v>8</v>
      </c>
      <c r="I27" s="254">
        <f>IFERROR(aurora_data!H942,0)</f>
        <v>10</v>
      </c>
      <c r="J27" s="113">
        <f>IFERROR(aurora_data!I942,0)</f>
        <v>2</v>
      </c>
      <c r="K27" s="253">
        <f>IFERROR(aurora_data!J942,0)</f>
        <v>3</v>
      </c>
      <c r="L27" s="253">
        <f>IFERROR(aurora_data!K942,0)</f>
        <v>3</v>
      </c>
      <c r="M27" s="253">
        <f>IFERROR(aurora_data!L942,0)</f>
        <v>5</v>
      </c>
      <c r="N27" s="254">
        <f>IFERROR(aurora_data!M942,0)</f>
        <v>11</v>
      </c>
      <c r="O27" s="113">
        <f>IFERROR(aurora_data!N942,0)</f>
        <v>11</v>
      </c>
      <c r="P27" s="253">
        <f>IFERROR(aurora_data!O942,0)</f>
        <v>7</v>
      </c>
      <c r="Q27" s="253">
        <f>IFERROR(aurora_data!P942,0)</f>
        <v>3</v>
      </c>
      <c r="R27" s="254">
        <f>IFERROR(aurora_data!Q942,0)</f>
        <v>3</v>
      </c>
      <c r="S27" s="253">
        <f>IFERROR(aurora_data!R942,0)</f>
        <v>15</v>
      </c>
      <c r="T27" s="253">
        <f>IFERROR(aurora_data!S942,0)</f>
        <v>9</v>
      </c>
      <c r="U27" s="254">
        <f>IFERROR(aurora_data!T542,0)</f>
        <v>0</v>
      </c>
      <c r="V27" s="61" t="s">
        <v>354</v>
      </c>
      <c r="W27" s="113">
        <f>IFERROR(aurora_data!U942,0)</f>
        <v>24</v>
      </c>
      <c r="X27" s="255">
        <f t="shared" ref="X27:X34" si="7">IFERROR(W27/$W$26,0)</f>
        <v>0.96</v>
      </c>
      <c r="Y27" s="2"/>
      <c r="AA27" s="452"/>
      <c r="AB27" s="454"/>
      <c r="AC27" s="35" t="s">
        <v>339</v>
      </c>
      <c r="AD27" s="113">
        <f>IFERROR(aurora_data!D942,0)+IFERROR(aurora_data!E942,0)</f>
        <v>1</v>
      </c>
      <c r="AE27" s="253">
        <f>IFERROR(aurora_data!F942,0)</f>
        <v>5</v>
      </c>
      <c r="AF27" s="253">
        <f>IFERROR(aurora_data!G942,0)</f>
        <v>8</v>
      </c>
      <c r="AG27" s="254">
        <f>IFERROR(aurora_data!H942,0)</f>
        <v>10</v>
      </c>
      <c r="AH27" s="350" t="s">
        <v>354</v>
      </c>
      <c r="AI27" s="113">
        <f>IFERROR(aurora_data!U942,0)</f>
        <v>24</v>
      </c>
      <c r="AJ27" s="255">
        <f t="shared" si="6"/>
        <v>0.96</v>
      </c>
    </row>
    <row r="28" spans="1:36" customFormat="1" ht="16.5" customHeight="1">
      <c r="A28" s="2"/>
      <c r="B28" s="452"/>
      <c r="C28" s="454"/>
      <c r="D28" s="35" t="s">
        <v>291</v>
      </c>
      <c r="E28" s="113">
        <f>IFERROR(aurora_data!D943,0)</f>
        <v>0</v>
      </c>
      <c r="F28" s="253">
        <f>IFERROR(aurora_data!E943,0)</f>
        <v>0</v>
      </c>
      <c r="G28" s="253">
        <f>IFERROR(aurora_data!F943,0)</f>
        <v>2</v>
      </c>
      <c r="H28" s="253">
        <f>IFERROR(aurora_data!G943,0)</f>
        <v>0</v>
      </c>
      <c r="I28" s="254">
        <f>IFERROR(aurora_data!H943,0)</f>
        <v>0</v>
      </c>
      <c r="J28" s="113">
        <f>IFERROR(aurora_data!I943,0)</f>
        <v>0</v>
      </c>
      <c r="K28" s="253">
        <f>IFERROR(aurora_data!J943,0)</f>
        <v>0</v>
      </c>
      <c r="L28" s="253">
        <f>IFERROR(aurora_data!K943,0)</f>
        <v>1</v>
      </c>
      <c r="M28" s="253">
        <f>IFERROR(aurora_data!L943,0)</f>
        <v>0</v>
      </c>
      <c r="N28" s="254">
        <f>IFERROR(aurora_data!M943,0)</f>
        <v>1</v>
      </c>
      <c r="O28" s="113">
        <f>IFERROR(aurora_data!N943,0)</f>
        <v>1</v>
      </c>
      <c r="P28" s="253">
        <f>IFERROR(aurora_data!O943,0)</f>
        <v>0</v>
      </c>
      <c r="Q28" s="253">
        <f>IFERROR(aurora_data!P943,0)</f>
        <v>0</v>
      </c>
      <c r="R28" s="254">
        <f>IFERROR(aurora_data!Q943,0)</f>
        <v>1</v>
      </c>
      <c r="S28" s="253">
        <f>IFERROR(aurora_data!R943,0)</f>
        <v>1</v>
      </c>
      <c r="T28" s="253">
        <f>IFERROR(aurora_data!S943,0)</f>
        <v>1</v>
      </c>
      <c r="U28" s="254">
        <f>IFERROR(aurora_data!T543,0)</f>
        <v>0</v>
      </c>
      <c r="V28" s="61" t="s">
        <v>354</v>
      </c>
      <c r="W28" s="113">
        <f>IFERROR(aurora_data!U943,0)</f>
        <v>2</v>
      </c>
      <c r="X28" s="255">
        <f t="shared" si="7"/>
        <v>0.08</v>
      </c>
      <c r="Y28" s="2"/>
      <c r="AA28" s="452"/>
      <c r="AB28" s="454"/>
      <c r="AC28" s="35" t="s">
        <v>291</v>
      </c>
      <c r="AD28" s="113">
        <f>IFERROR(aurora_data!D943,0)+IFERROR(aurora_data!E943,0)</f>
        <v>0</v>
      </c>
      <c r="AE28" s="253">
        <f>IFERROR(aurora_data!F943,0)</f>
        <v>2</v>
      </c>
      <c r="AF28" s="253">
        <f>IFERROR(aurora_data!G943,0)</f>
        <v>0</v>
      </c>
      <c r="AG28" s="254">
        <f>IFERROR(aurora_data!H943,0)</f>
        <v>0</v>
      </c>
      <c r="AH28" s="350" t="s">
        <v>354</v>
      </c>
      <c r="AI28" s="113">
        <f>IFERROR(aurora_data!U943,0)</f>
        <v>2</v>
      </c>
      <c r="AJ28" s="255">
        <f t="shared" si="6"/>
        <v>0.08</v>
      </c>
    </row>
    <row r="29" spans="1:36" customFormat="1">
      <c r="A29" s="2"/>
      <c r="B29" s="452"/>
      <c r="C29" s="454"/>
      <c r="D29" s="35" t="s">
        <v>340</v>
      </c>
      <c r="E29" s="113">
        <f>IFERROR(aurora_data!D944,0)</f>
        <v>0</v>
      </c>
      <c r="F29" s="253">
        <f>IFERROR(aurora_data!E944,0)</f>
        <v>0</v>
      </c>
      <c r="G29" s="253">
        <f>IFERROR(aurora_data!F944,0)</f>
        <v>0</v>
      </c>
      <c r="H29" s="253">
        <f>IFERROR(aurora_data!G944,0)</f>
        <v>0</v>
      </c>
      <c r="I29" s="254">
        <f>IFERROR(aurora_data!H944,0)</f>
        <v>0</v>
      </c>
      <c r="J29" s="113">
        <f>IFERROR(aurora_data!I944,0)</f>
        <v>0</v>
      </c>
      <c r="K29" s="253">
        <f>IFERROR(aurora_data!J944,0)</f>
        <v>0</v>
      </c>
      <c r="L29" s="253">
        <f>IFERROR(aurora_data!K944,0)</f>
        <v>0</v>
      </c>
      <c r="M29" s="253">
        <f>IFERROR(aurora_data!L944,0)</f>
        <v>0</v>
      </c>
      <c r="N29" s="254">
        <f>IFERROR(aurora_data!M944,0)</f>
        <v>0</v>
      </c>
      <c r="O29" s="113">
        <f>IFERROR(aurora_data!N944,0)</f>
        <v>0</v>
      </c>
      <c r="P29" s="253">
        <f>IFERROR(aurora_data!O944,0)</f>
        <v>0</v>
      </c>
      <c r="Q29" s="253">
        <f>IFERROR(aurora_data!P944,0)</f>
        <v>0</v>
      </c>
      <c r="R29" s="254">
        <f>IFERROR(aurora_data!Q944,0)</f>
        <v>0</v>
      </c>
      <c r="S29" s="253">
        <f>IFERROR(aurora_data!R944,0)</f>
        <v>0</v>
      </c>
      <c r="T29" s="253">
        <f>IFERROR(aurora_data!S944,0)</f>
        <v>0</v>
      </c>
      <c r="U29" s="254">
        <f>IFERROR(aurora_data!T544,0)</f>
        <v>0</v>
      </c>
      <c r="V29" s="61" t="s">
        <v>354</v>
      </c>
      <c r="W29" s="113">
        <f>IFERROR(aurora_data!U944,0)</f>
        <v>0</v>
      </c>
      <c r="X29" s="255">
        <f t="shared" si="7"/>
        <v>0</v>
      </c>
      <c r="Y29" s="2"/>
      <c r="AA29" s="452"/>
      <c r="AB29" s="454"/>
      <c r="AC29" s="35" t="s">
        <v>340</v>
      </c>
      <c r="AD29" s="113">
        <f>IFERROR(aurora_data!D944,0)+IFERROR(aurora_data!E944,0)</f>
        <v>0</v>
      </c>
      <c r="AE29" s="253">
        <f>IFERROR(aurora_data!F944,0)</f>
        <v>0</v>
      </c>
      <c r="AF29" s="253">
        <f>IFERROR(aurora_data!G944,0)</f>
        <v>0</v>
      </c>
      <c r="AG29" s="254">
        <f>IFERROR(aurora_data!H944,0)</f>
        <v>0</v>
      </c>
      <c r="AH29" s="350" t="s">
        <v>354</v>
      </c>
      <c r="AI29" s="113">
        <f>IFERROR(aurora_data!U944,0)</f>
        <v>0</v>
      </c>
      <c r="AJ29" s="255">
        <f t="shared" si="6"/>
        <v>0</v>
      </c>
    </row>
    <row r="30" spans="1:36" customFormat="1">
      <c r="A30" s="2"/>
      <c r="B30" s="452"/>
      <c r="C30" s="454"/>
      <c r="D30" s="35" t="s">
        <v>298</v>
      </c>
      <c r="E30" s="113">
        <f>IFERROR(aurora_data!D945,0)</f>
        <v>0</v>
      </c>
      <c r="F30" s="253">
        <f>IFERROR(aurora_data!E945,0)</f>
        <v>0</v>
      </c>
      <c r="G30" s="253">
        <f>IFERROR(aurora_data!F945,0)</f>
        <v>0</v>
      </c>
      <c r="H30" s="253">
        <f>IFERROR(aurora_data!G945,0)</f>
        <v>0</v>
      </c>
      <c r="I30" s="254">
        <f>IFERROR(aurora_data!H945,0)</f>
        <v>0</v>
      </c>
      <c r="J30" s="113">
        <f>IFERROR(aurora_data!I945,0)</f>
        <v>0</v>
      </c>
      <c r="K30" s="253">
        <f>IFERROR(aurora_data!J945,0)</f>
        <v>0</v>
      </c>
      <c r="L30" s="253">
        <f>IFERROR(aurora_data!K945,0)</f>
        <v>0</v>
      </c>
      <c r="M30" s="253">
        <f>IFERROR(aurora_data!L945,0)</f>
        <v>0</v>
      </c>
      <c r="N30" s="254">
        <f>IFERROR(aurora_data!M945,0)</f>
        <v>0</v>
      </c>
      <c r="O30" s="113">
        <f>IFERROR(aurora_data!N945,0)</f>
        <v>0</v>
      </c>
      <c r="P30" s="253">
        <f>IFERROR(aurora_data!O945,0)</f>
        <v>0</v>
      </c>
      <c r="Q30" s="253">
        <f>IFERROR(aurora_data!P945,0)</f>
        <v>0</v>
      </c>
      <c r="R30" s="254">
        <f>IFERROR(aurora_data!Q945,0)</f>
        <v>0</v>
      </c>
      <c r="S30" s="253">
        <f>IFERROR(aurora_data!R945,0)</f>
        <v>0</v>
      </c>
      <c r="T30" s="253">
        <f>IFERROR(aurora_data!S945,0)</f>
        <v>0</v>
      </c>
      <c r="U30" s="254">
        <f>IFERROR(aurora_data!T545,0)</f>
        <v>0</v>
      </c>
      <c r="V30" s="61" t="s">
        <v>354</v>
      </c>
      <c r="W30" s="113">
        <f>IFERROR(aurora_data!U945,0)</f>
        <v>0</v>
      </c>
      <c r="X30" s="255">
        <f t="shared" si="7"/>
        <v>0</v>
      </c>
      <c r="Y30" s="2"/>
      <c r="AA30" s="452"/>
      <c r="AB30" s="454"/>
      <c r="AC30" s="35" t="s">
        <v>298</v>
      </c>
      <c r="AD30" s="113">
        <f>IFERROR(aurora_data!D945,0)+IFERROR(aurora_data!E945,0)</f>
        <v>0</v>
      </c>
      <c r="AE30" s="253">
        <f>IFERROR(aurora_data!F945,0)</f>
        <v>0</v>
      </c>
      <c r="AF30" s="253">
        <f>IFERROR(aurora_data!G945,0)</f>
        <v>0</v>
      </c>
      <c r="AG30" s="254">
        <f>IFERROR(aurora_data!H945,0)</f>
        <v>0</v>
      </c>
      <c r="AH30" s="350" t="s">
        <v>354</v>
      </c>
      <c r="AI30" s="113">
        <f>IFERROR(aurora_data!U945,0)</f>
        <v>0</v>
      </c>
      <c r="AJ30" s="255">
        <f t="shared" si="6"/>
        <v>0</v>
      </c>
    </row>
    <row r="31" spans="1:36" customFormat="1" ht="16.5" customHeight="1">
      <c r="A31" s="2"/>
      <c r="B31" s="452"/>
      <c r="C31" s="454"/>
      <c r="D31" s="35" t="s">
        <v>341</v>
      </c>
      <c r="E31" s="113">
        <f>IFERROR(aurora_data!D946,0)</f>
        <v>0</v>
      </c>
      <c r="F31" s="253">
        <f>IFERROR(aurora_data!E946,0)</f>
        <v>0</v>
      </c>
      <c r="G31" s="253">
        <f>IFERROR(aurora_data!F946,0)</f>
        <v>0</v>
      </c>
      <c r="H31" s="253">
        <f>IFERROR(aurora_data!G946,0)</f>
        <v>0</v>
      </c>
      <c r="I31" s="254">
        <f>IFERROR(aurora_data!H946,0)</f>
        <v>0</v>
      </c>
      <c r="J31" s="113">
        <f>IFERROR(aurora_data!I946,0)</f>
        <v>0</v>
      </c>
      <c r="K31" s="253">
        <f>IFERROR(aurora_data!J946,0)</f>
        <v>0</v>
      </c>
      <c r="L31" s="253">
        <f>IFERROR(aurora_data!K946,0)</f>
        <v>0</v>
      </c>
      <c r="M31" s="253">
        <f>IFERROR(aurora_data!L946,0)</f>
        <v>0</v>
      </c>
      <c r="N31" s="254">
        <f>IFERROR(aurora_data!M946,0)</f>
        <v>0</v>
      </c>
      <c r="O31" s="113">
        <f>IFERROR(aurora_data!N946,0)</f>
        <v>0</v>
      </c>
      <c r="P31" s="253">
        <f>IFERROR(aurora_data!O946,0)</f>
        <v>0</v>
      </c>
      <c r="Q31" s="253">
        <f>IFERROR(aurora_data!P946,0)</f>
        <v>0</v>
      </c>
      <c r="R31" s="254">
        <f>IFERROR(aurora_data!Q946,0)</f>
        <v>0</v>
      </c>
      <c r="S31" s="253">
        <f>IFERROR(aurora_data!R946,0)</f>
        <v>0</v>
      </c>
      <c r="T31" s="253">
        <f>IFERROR(aurora_data!S946,0)</f>
        <v>0</v>
      </c>
      <c r="U31" s="254">
        <f>IFERROR(aurora_data!T546,0)</f>
        <v>0</v>
      </c>
      <c r="V31" s="61" t="s">
        <v>354</v>
      </c>
      <c r="W31" s="113">
        <f>IFERROR(aurora_data!U946,0)</f>
        <v>0</v>
      </c>
      <c r="X31" s="255">
        <f t="shared" si="7"/>
        <v>0</v>
      </c>
      <c r="Y31" s="2"/>
      <c r="AA31" s="452"/>
      <c r="AB31" s="454"/>
      <c r="AC31" s="35" t="s">
        <v>341</v>
      </c>
      <c r="AD31" s="113">
        <f>IFERROR(aurora_data!D946,0)+IFERROR(aurora_data!E946,0)</f>
        <v>0</v>
      </c>
      <c r="AE31" s="253">
        <f>IFERROR(aurora_data!F946,0)</f>
        <v>0</v>
      </c>
      <c r="AF31" s="253">
        <f>IFERROR(aurora_data!G946,0)</f>
        <v>0</v>
      </c>
      <c r="AG31" s="254">
        <f>IFERROR(aurora_data!H946,0)</f>
        <v>0</v>
      </c>
      <c r="AH31" s="350" t="s">
        <v>354</v>
      </c>
      <c r="AI31" s="113">
        <f>IFERROR(aurora_data!U946,0)</f>
        <v>0</v>
      </c>
      <c r="AJ31" s="255">
        <f t="shared" si="6"/>
        <v>0</v>
      </c>
    </row>
    <row r="32" spans="1:36" customFormat="1" ht="16.5" customHeight="1" thickBot="1">
      <c r="A32" s="2"/>
      <c r="B32" s="452"/>
      <c r="C32" s="454"/>
      <c r="D32" s="35" t="s">
        <v>342</v>
      </c>
      <c r="E32" s="113">
        <f>IFERROR(aurora_data!D947,0)</f>
        <v>0</v>
      </c>
      <c r="F32" s="253">
        <f>IFERROR(aurora_data!E947,0)</f>
        <v>0</v>
      </c>
      <c r="G32" s="253">
        <f>IFERROR(aurora_data!F947,0)</f>
        <v>0</v>
      </c>
      <c r="H32" s="253">
        <f>IFERROR(aurora_data!G947,0)</f>
        <v>0</v>
      </c>
      <c r="I32" s="254">
        <f>IFERROR(aurora_data!H947,0)</f>
        <v>0</v>
      </c>
      <c r="J32" s="113">
        <f>IFERROR(aurora_data!I947,0)</f>
        <v>0</v>
      </c>
      <c r="K32" s="253">
        <f>IFERROR(aurora_data!J947,0)</f>
        <v>0</v>
      </c>
      <c r="L32" s="253">
        <f>IFERROR(aurora_data!K947,0)</f>
        <v>0</v>
      </c>
      <c r="M32" s="253">
        <f>IFERROR(aurora_data!L947,0)</f>
        <v>0</v>
      </c>
      <c r="N32" s="254">
        <f>IFERROR(aurora_data!M947,0)</f>
        <v>0</v>
      </c>
      <c r="O32" s="113">
        <f>IFERROR(aurora_data!N947,0)</f>
        <v>0</v>
      </c>
      <c r="P32" s="253">
        <f>IFERROR(aurora_data!O947,0)</f>
        <v>0</v>
      </c>
      <c r="Q32" s="253">
        <f>IFERROR(aurora_data!P947,0)</f>
        <v>0</v>
      </c>
      <c r="R32" s="254">
        <f>IFERROR(aurora_data!Q947,0)</f>
        <v>0</v>
      </c>
      <c r="S32" s="253">
        <f>IFERROR(aurora_data!R947,0)</f>
        <v>0</v>
      </c>
      <c r="T32" s="253">
        <f>IFERROR(aurora_data!S947,0)</f>
        <v>0</v>
      </c>
      <c r="U32" s="254">
        <f>IFERROR(aurora_data!T547,0)</f>
        <v>0</v>
      </c>
      <c r="V32" s="61" t="s">
        <v>354</v>
      </c>
      <c r="W32" s="113">
        <f>IFERROR(aurora_data!U947,0)</f>
        <v>0</v>
      </c>
      <c r="X32" s="255">
        <f t="shared" si="7"/>
        <v>0</v>
      </c>
      <c r="Y32" s="2"/>
      <c r="AA32" s="452"/>
      <c r="AB32" s="454"/>
      <c r="AC32" s="35" t="s">
        <v>342</v>
      </c>
      <c r="AD32" s="113">
        <f>IFERROR(aurora_data!D947,0)+IFERROR(aurora_data!E947,0)</f>
        <v>0</v>
      </c>
      <c r="AE32" s="253">
        <f>IFERROR(aurora_data!F947,0)</f>
        <v>0</v>
      </c>
      <c r="AF32" s="253">
        <f>IFERROR(aurora_data!G947,0)</f>
        <v>0</v>
      </c>
      <c r="AG32" s="254">
        <f>IFERROR(aurora_data!H947,0)</f>
        <v>0</v>
      </c>
      <c r="AH32" s="350" t="s">
        <v>354</v>
      </c>
      <c r="AI32" s="113">
        <f>IFERROR(aurora_data!U947,0)</f>
        <v>0</v>
      </c>
      <c r="AJ32" s="255">
        <f t="shared" si="6"/>
        <v>0</v>
      </c>
    </row>
    <row r="33" spans="1:36" customFormat="1" ht="16.5" customHeight="1" thickBot="1">
      <c r="A33" s="2"/>
      <c r="B33" s="452"/>
      <c r="C33" s="454"/>
      <c r="D33" s="37" t="s">
        <v>17</v>
      </c>
      <c r="E33" s="59">
        <f>IFERROR(aurora_data!D948,0)</f>
        <v>0</v>
      </c>
      <c r="F33" s="64">
        <f>IFERROR(aurora_data!E948,0)</f>
        <v>1</v>
      </c>
      <c r="G33" s="64">
        <f>IFERROR(aurora_data!F948,0)</f>
        <v>7</v>
      </c>
      <c r="H33" s="64">
        <f>IFERROR(aurora_data!G948,0)</f>
        <v>8</v>
      </c>
      <c r="I33" s="65">
        <f>IFERROR(aurora_data!H948,0)</f>
        <v>10</v>
      </c>
      <c r="J33" s="59">
        <f>IFERROR(aurora_data!I948,0)</f>
        <v>2</v>
      </c>
      <c r="K33" s="64">
        <f>IFERROR(aurora_data!J948,0)</f>
        <v>3</v>
      </c>
      <c r="L33" s="64">
        <f>IFERROR(aurora_data!K948,0)</f>
        <v>4</v>
      </c>
      <c r="M33" s="64">
        <f>IFERROR(aurora_data!L948,0)</f>
        <v>5</v>
      </c>
      <c r="N33" s="65">
        <f>IFERROR(aurora_data!M948,0)</f>
        <v>12</v>
      </c>
      <c r="O33" s="59">
        <f>IFERROR(aurora_data!N948,0)</f>
        <v>12</v>
      </c>
      <c r="P33" s="64">
        <f>IFERROR(aurora_data!O948,0)</f>
        <v>7</v>
      </c>
      <c r="Q33" s="64">
        <f>IFERROR(aurora_data!P948,0)</f>
        <v>3</v>
      </c>
      <c r="R33" s="65">
        <f>IFERROR(aurora_data!Q948,0)</f>
        <v>4</v>
      </c>
      <c r="S33" s="64">
        <f>IFERROR(aurora_data!R948,0)</f>
        <v>16</v>
      </c>
      <c r="T33" s="64">
        <f>IFERROR(aurora_data!S948,0)</f>
        <v>10</v>
      </c>
      <c r="U33" s="65">
        <f>IFERROR(aurora_data!T548,0)</f>
        <v>0</v>
      </c>
      <c r="V33" s="66" t="s">
        <v>354</v>
      </c>
      <c r="W33" s="59">
        <f>IFERROR(aurora_data!U948,0)</f>
        <v>26</v>
      </c>
      <c r="X33" s="70">
        <f t="shared" si="7"/>
        <v>1.04</v>
      </c>
      <c r="Y33" s="2"/>
      <c r="AA33" s="452"/>
      <c r="AB33" s="454"/>
      <c r="AC33" s="37" t="s">
        <v>17</v>
      </c>
      <c r="AD33" s="59">
        <f>IFERROR(aurora_data!D948,0)+IFERROR(aurora_data!E948,0)</f>
        <v>1</v>
      </c>
      <c r="AE33" s="64">
        <f>IFERROR(aurora_data!F948,0)</f>
        <v>7</v>
      </c>
      <c r="AF33" s="64">
        <f>IFERROR(aurora_data!G948,0)</f>
        <v>8</v>
      </c>
      <c r="AG33" s="65">
        <f>IFERROR(aurora_data!H948,0)</f>
        <v>10</v>
      </c>
      <c r="AH33" s="351" t="s">
        <v>354</v>
      </c>
      <c r="AI33" s="59">
        <f>IFERROR(aurora_data!U948,0)</f>
        <v>26</v>
      </c>
      <c r="AJ33" s="70">
        <f t="shared" si="6"/>
        <v>1.04</v>
      </c>
    </row>
    <row r="34" spans="1:36" customFormat="1" ht="16.5" thickBot="1">
      <c r="A34" s="2"/>
      <c r="B34" s="452"/>
      <c r="C34" s="454"/>
      <c r="D34" s="38" t="s">
        <v>343</v>
      </c>
      <c r="E34" s="256">
        <f>IFERROR(aurora_data!D949,0)</f>
        <v>0</v>
      </c>
      <c r="F34" s="257">
        <f>IFERROR(aurora_data!E949,0)</f>
        <v>0</v>
      </c>
      <c r="G34" s="257">
        <f>IFERROR(aurora_data!F949,0)</f>
        <v>0</v>
      </c>
      <c r="H34" s="257">
        <f>IFERROR(aurora_data!G949,0)</f>
        <v>0</v>
      </c>
      <c r="I34" s="258">
        <f>IFERROR(aurora_data!H949,0)</f>
        <v>0</v>
      </c>
      <c r="J34" s="256">
        <f>IFERROR(aurora_data!I949,0)</f>
        <v>0</v>
      </c>
      <c r="K34" s="257">
        <f>IFERROR(aurora_data!J949,0)</f>
        <v>0</v>
      </c>
      <c r="L34" s="257">
        <f>IFERROR(aurora_data!K949,0)</f>
        <v>0</v>
      </c>
      <c r="M34" s="257">
        <f>IFERROR(aurora_data!L949,0)</f>
        <v>0</v>
      </c>
      <c r="N34" s="258">
        <f>IFERROR(aurora_data!M949,0)</f>
        <v>0</v>
      </c>
      <c r="O34" s="256">
        <f>IFERROR(aurora_data!N949,0)</f>
        <v>0</v>
      </c>
      <c r="P34" s="257">
        <f>IFERROR(aurora_data!O949,0)</f>
        <v>0</v>
      </c>
      <c r="Q34" s="257">
        <f>IFERROR(aurora_data!P949,0)</f>
        <v>0</v>
      </c>
      <c r="R34" s="258">
        <f>IFERROR(aurora_data!Q949,0)</f>
        <v>0</v>
      </c>
      <c r="S34" s="257">
        <f>IFERROR(aurora_data!R949,0)</f>
        <v>0</v>
      </c>
      <c r="T34" s="257">
        <f>IFERROR(aurora_data!S949,0)</f>
        <v>0</v>
      </c>
      <c r="U34" s="259">
        <f>IFERROR(aurora_data!T549,0)</f>
        <v>0</v>
      </c>
      <c r="V34" s="260" t="s">
        <v>354</v>
      </c>
      <c r="W34" s="256">
        <f>IFERROR(aurora_data!U949,0)</f>
        <v>0</v>
      </c>
      <c r="X34" s="261">
        <f t="shared" si="7"/>
        <v>0</v>
      </c>
      <c r="Y34" s="2"/>
      <c r="AA34" s="452"/>
      <c r="AB34" s="454"/>
      <c r="AC34" s="38" t="s">
        <v>343</v>
      </c>
      <c r="AD34" s="256">
        <f>IFERROR(aurora_data!D949,0)+IFERROR(aurora_data!E949,0)</f>
        <v>0</v>
      </c>
      <c r="AE34" s="257">
        <f>IFERROR(aurora_data!F949,0)</f>
        <v>0</v>
      </c>
      <c r="AF34" s="257">
        <f>IFERROR(aurora_data!G949,0)</f>
        <v>0</v>
      </c>
      <c r="AG34" s="258">
        <f>IFERROR(aurora_data!H949,0)</f>
        <v>0</v>
      </c>
      <c r="AH34" s="352" t="s">
        <v>354</v>
      </c>
      <c r="AI34" s="256">
        <f>IFERROR(aurora_data!U949,0)</f>
        <v>0</v>
      </c>
      <c r="AJ34" s="261">
        <f t="shared" si="6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1">
        <f>ROUNDDOWN((E37+$E$9)*($W26),0)</f>
        <v>1</v>
      </c>
      <c r="F35" s="272">
        <f>ROUNDDOWN((F37+$E$9)*($W26),0)</f>
        <v>1</v>
      </c>
      <c r="G35" s="272">
        <f>ROUNDDOWN((G37+$E$9)*($W26),0)</f>
        <v>5</v>
      </c>
      <c r="H35" s="272">
        <f>ROUNDDOWN((H37+$E$9)*($W26),0)</f>
        <v>8</v>
      </c>
      <c r="I35" s="272">
        <f>ROUNDDOWN((I37+$E$9)*($W26),0)</f>
        <v>10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199" t="s">
        <v>344</v>
      </c>
      <c r="AD35" s="294"/>
      <c r="AE35" s="295"/>
      <c r="AF35" s="295"/>
      <c r="AG35" s="296"/>
      <c r="AH35" s="350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1.0699999999999998</v>
      </c>
      <c r="G36" s="277">
        <f t="shared" ref="G36:I36" si="8">IF(ROUND(((G37-$E$9)*($W26))+0.25,0) &lt;=0,1,((G37-$E$9)*($W26))+0.25)</f>
        <v>4.6500000000000004</v>
      </c>
      <c r="H36" s="277">
        <f t="shared" si="8"/>
        <v>7.8800000000000008</v>
      </c>
      <c r="I36" s="277">
        <f t="shared" si="8"/>
        <v>9.7200000000000006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199" t="s">
        <v>345</v>
      </c>
      <c r="AD36" s="294"/>
      <c r="AE36" s="295"/>
      <c r="AF36" s="295"/>
      <c r="AG36" s="296"/>
      <c r="AH36" s="350"/>
      <c r="AI36" s="294"/>
      <c r="AJ36" s="299"/>
    </row>
    <row r="37" spans="1:36" customFormat="1" ht="16.5" hidden="1" outlineLevel="1" thickBot="1">
      <c r="A37" s="2"/>
      <c r="B37" s="147"/>
      <c r="C37" s="227"/>
      <c r="D37" s="95" t="s">
        <v>346</v>
      </c>
      <c r="E37" s="414">
        <f>IFERROR(E26/$W26,0)</f>
        <v>2.7200000000000002E-2</v>
      </c>
      <c r="F37" s="415">
        <f t="shared" ref="F37" si="9">IFERROR(F26/$W26,0)</f>
        <v>5.28E-2</v>
      </c>
      <c r="G37" s="415">
        <f>IFERROR(G26/$W26,0)</f>
        <v>0.19600000000000001</v>
      </c>
      <c r="H37" s="415">
        <f t="shared" ref="H37" si="10">IFERROR(H26/$W26,0)</f>
        <v>0.32520000000000004</v>
      </c>
      <c r="I37" s="415">
        <f>IFERROR(I26/$W26,0)</f>
        <v>0.39880000000000004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95" t="s">
        <v>346</v>
      </c>
      <c r="AD37" s="294"/>
      <c r="AE37" s="295"/>
      <c r="AF37" s="295"/>
      <c r="AG37" s="296"/>
      <c r="AH37" s="350"/>
      <c r="AI37" s="294"/>
      <c r="AJ37" s="299"/>
    </row>
    <row r="38" spans="1:36" customFormat="1" ht="16.5" hidden="1" outlineLevel="1" thickBot="1">
      <c r="A38" s="2"/>
      <c r="B38" s="147"/>
      <c r="C38" s="227"/>
      <c r="D38" s="180" t="s">
        <v>347</v>
      </c>
      <c r="E38" s="414">
        <f>IFERROR(E27/$W26,0)</f>
        <v>0</v>
      </c>
      <c r="F38" s="415">
        <f t="shared" ref="F38:I38" si="11">IFERROR(F27/$W26,0)</f>
        <v>0.04</v>
      </c>
      <c r="G38" s="415">
        <f t="shared" si="11"/>
        <v>0.2</v>
      </c>
      <c r="H38" s="415">
        <f t="shared" si="11"/>
        <v>0.32</v>
      </c>
      <c r="I38" s="415">
        <f t="shared" si="11"/>
        <v>0.4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180" t="s">
        <v>347</v>
      </c>
      <c r="AD38" s="294"/>
      <c r="AE38" s="295"/>
      <c r="AF38" s="295"/>
      <c r="AG38" s="296"/>
      <c r="AH38" s="350"/>
      <c r="AI38" s="294"/>
      <c r="AJ38" s="299"/>
    </row>
    <row r="39" spans="1:36" customFormat="1" ht="16.5" hidden="1" outlineLevel="1" thickBot="1">
      <c r="A39" s="2"/>
      <c r="B39" s="147"/>
      <c r="C39" s="227"/>
      <c r="D39" s="180" t="s">
        <v>348</v>
      </c>
      <c r="E39" s="414">
        <f>E38-E37</f>
        <v>-2.7200000000000002E-2</v>
      </c>
      <c r="F39" s="415">
        <f t="shared" ref="F39:I39" si="12">F38-F37</f>
        <v>-1.2799999999999999E-2</v>
      </c>
      <c r="G39" s="415">
        <f t="shared" si="12"/>
        <v>4.0000000000000036E-3</v>
      </c>
      <c r="H39" s="415">
        <f t="shared" si="12"/>
        <v>-5.2000000000000379E-3</v>
      </c>
      <c r="I39" s="415">
        <f t="shared" si="12"/>
        <v>1.1999999999999789E-3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180" t="s">
        <v>348</v>
      </c>
      <c r="AD39" s="294"/>
      <c r="AE39" s="295"/>
      <c r="AF39" s="295"/>
      <c r="AG39" s="296"/>
      <c r="AH39" s="350"/>
      <c r="AI39" s="294"/>
      <c r="AJ39" s="299"/>
    </row>
    <row r="40" spans="1:36" customFormat="1" ht="16.5" customHeight="1">
      <c r="A40" s="2"/>
      <c r="B40" s="451" t="s">
        <v>338</v>
      </c>
      <c r="C40" s="449" t="s">
        <v>150</v>
      </c>
      <c r="D40" s="34" t="s">
        <v>306</v>
      </c>
      <c r="E40" s="39">
        <f>IFERROR(aurora_data!D950,0)</f>
        <v>1.33</v>
      </c>
      <c r="F40" s="40">
        <f>IFERROR(aurora_data!E950,0)</f>
        <v>2.56</v>
      </c>
      <c r="G40" s="40">
        <f>IFERROR(aurora_data!F950,0)</f>
        <v>9.86</v>
      </c>
      <c r="H40" s="40">
        <f>IFERROR(aurora_data!G950,0)</f>
        <v>16.170000000000002</v>
      </c>
      <c r="I40" s="41">
        <f>IFERROR(aurora_data!H950,0)</f>
        <v>20.079999999999998</v>
      </c>
      <c r="J40" s="39">
        <f>IFERROR(aurora_data!I950,0)</f>
        <v>2</v>
      </c>
      <c r="K40" s="40">
        <f>IFERROR(aurora_data!J950,0)</f>
        <v>2</v>
      </c>
      <c r="L40" s="40">
        <f>IFERROR(aurora_data!K950,0)</f>
        <v>2</v>
      </c>
      <c r="M40" s="40">
        <f>IFERROR(aurora_data!L950,0)</f>
        <v>2</v>
      </c>
      <c r="N40" s="41">
        <f>IFERROR(aurora_data!M950,0)</f>
        <v>2</v>
      </c>
      <c r="O40" s="39">
        <f>IFERROR(aurora_data!N950,0)</f>
        <v>2</v>
      </c>
      <c r="P40" s="40">
        <f>IFERROR(aurora_data!O950,0)</f>
        <v>2</v>
      </c>
      <c r="Q40" s="40">
        <f>IFERROR(aurora_data!P950,0)</f>
        <v>2</v>
      </c>
      <c r="R40" s="41">
        <f>IFERROR(aurora_data!Q950,0)</f>
        <v>2</v>
      </c>
      <c r="S40" s="40">
        <f>IFERROR(aurora_data!R950,0)</f>
        <v>2</v>
      </c>
      <c r="T40" s="40">
        <f>IFERROR(aurora_data!S950,0)</f>
        <v>2</v>
      </c>
      <c r="U40" s="41">
        <f>IFERROR(aurora_data!T550,0)</f>
        <v>0</v>
      </c>
      <c r="V40" s="61" t="s">
        <v>354</v>
      </c>
      <c r="W40" s="39">
        <f>IFERROR(aurora_data!U950,0)</f>
        <v>50</v>
      </c>
      <c r="X40" s="69">
        <f>IFERROR(W40/$W$40,0)</f>
        <v>1</v>
      </c>
      <c r="Y40" s="2"/>
      <c r="AA40" s="451" t="s">
        <v>338</v>
      </c>
      <c r="AB40" s="449" t="s">
        <v>150</v>
      </c>
      <c r="AC40" s="34" t="s">
        <v>306</v>
      </c>
      <c r="AD40" s="39">
        <v>4</v>
      </c>
      <c r="AE40" s="40">
        <v>10</v>
      </c>
      <c r="AF40" s="40">
        <v>16</v>
      </c>
      <c r="AG40" s="41">
        <v>20</v>
      </c>
      <c r="AH40" s="350" t="s">
        <v>354</v>
      </c>
      <c r="AI40" s="39">
        <f>IFERROR(aurora_data!U950,0)</f>
        <v>50</v>
      </c>
      <c r="AJ40" s="69">
        <f t="shared" ref="AJ40:AJ48" si="13">IFERROR(AI40/$AI$40,0)</f>
        <v>1</v>
      </c>
    </row>
    <row r="41" spans="1:36" customFormat="1" ht="16.5" customHeight="1">
      <c r="A41" s="2"/>
      <c r="B41" s="452"/>
      <c r="C41" s="450"/>
      <c r="D41" s="35" t="s">
        <v>339</v>
      </c>
      <c r="E41" s="113">
        <f>IFERROR(aurora_data!D951,0)</f>
        <v>1</v>
      </c>
      <c r="F41" s="253">
        <f>IFERROR(aurora_data!E951,0)</f>
        <v>2</v>
      </c>
      <c r="G41" s="253">
        <f>IFERROR(aurora_data!F951,0)</f>
        <v>10</v>
      </c>
      <c r="H41" s="253">
        <f>IFERROR(aurora_data!G951,0)</f>
        <v>16</v>
      </c>
      <c r="I41" s="254">
        <f>IFERROR(aurora_data!H951,0)</f>
        <v>20</v>
      </c>
      <c r="J41" s="113">
        <f>IFERROR(aurora_data!I951,0)</f>
        <v>2</v>
      </c>
      <c r="K41" s="253">
        <f>IFERROR(aurora_data!J951,0)</f>
        <v>6</v>
      </c>
      <c r="L41" s="253">
        <f>IFERROR(aurora_data!K951,0)</f>
        <v>11</v>
      </c>
      <c r="M41" s="253">
        <f>IFERROR(aurora_data!L951,0)</f>
        <v>9</v>
      </c>
      <c r="N41" s="254">
        <f>IFERROR(aurora_data!M951,0)</f>
        <v>21</v>
      </c>
      <c r="O41" s="113">
        <f>IFERROR(aurora_data!N951,0)</f>
        <v>18</v>
      </c>
      <c r="P41" s="253">
        <f>IFERROR(aurora_data!O951,0)</f>
        <v>12</v>
      </c>
      <c r="Q41" s="253">
        <f>IFERROR(aurora_data!P951,0)</f>
        <v>12</v>
      </c>
      <c r="R41" s="254">
        <f>IFERROR(aurora_data!Q951,0)</f>
        <v>7</v>
      </c>
      <c r="S41" s="253">
        <f>IFERROR(aurora_data!R951,0)</f>
        <v>28</v>
      </c>
      <c r="T41" s="253">
        <f>IFERROR(aurora_data!S951,0)</f>
        <v>21</v>
      </c>
      <c r="U41" s="254">
        <f>IFERROR(aurora_data!T551,0)</f>
        <v>0</v>
      </c>
      <c r="V41" s="61" t="s">
        <v>354</v>
      </c>
      <c r="W41" s="113">
        <f>IFERROR(aurora_data!U951,0)</f>
        <v>49</v>
      </c>
      <c r="X41" s="281">
        <f t="shared" ref="X41:X48" si="14">IFERROR(W41/$W$40,0)</f>
        <v>0.98</v>
      </c>
      <c r="Y41" s="2"/>
      <c r="AA41" s="452"/>
      <c r="AB41" s="450"/>
      <c r="AC41" s="35" t="s">
        <v>339</v>
      </c>
      <c r="AD41" s="113">
        <f>IFERROR(aurora_data!D951,0)+IFERROR(aurora_data!E951,0)</f>
        <v>3</v>
      </c>
      <c r="AE41" s="253">
        <f>IFERROR(aurora_data!F951,0)</f>
        <v>10</v>
      </c>
      <c r="AF41" s="253">
        <f>IFERROR(aurora_data!G951,0)</f>
        <v>16</v>
      </c>
      <c r="AG41" s="254">
        <f>IFERROR(aurora_data!H951,0)</f>
        <v>20</v>
      </c>
      <c r="AH41" s="350" t="s">
        <v>354</v>
      </c>
      <c r="AI41" s="113">
        <f>IFERROR(aurora_data!U951,0)</f>
        <v>49</v>
      </c>
      <c r="AJ41" s="281">
        <f t="shared" si="13"/>
        <v>0.98</v>
      </c>
    </row>
    <row r="42" spans="1:36" customFormat="1" ht="16.5" customHeight="1">
      <c r="A42" s="2"/>
      <c r="B42" s="452"/>
      <c r="C42" s="450"/>
      <c r="D42" s="35" t="s">
        <v>291</v>
      </c>
      <c r="E42" s="113">
        <f>IFERROR(aurora_data!D952,0)</f>
        <v>0</v>
      </c>
      <c r="F42" s="253">
        <f>IFERROR(aurora_data!E952,0)</f>
        <v>0</v>
      </c>
      <c r="G42" s="253">
        <f>IFERROR(aurora_data!F952,0)</f>
        <v>2</v>
      </c>
      <c r="H42" s="253">
        <f>IFERROR(aurora_data!G952,0)</f>
        <v>0</v>
      </c>
      <c r="I42" s="254">
        <f>IFERROR(aurora_data!H952,0)</f>
        <v>4</v>
      </c>
      <c r="J42" s="113">
        <f>IFERROR(aurora_data!I952,0)</f>
        <v>0</v>
      </c>
      <c r="K42" s="253">
        <f>IFERROR(aurora_data!J952,0)</f>
        <v>0</v>
      </c>
      <c r="L42" s="253">
        <f>IFERROR(aurora_data!K952,0)</f>
        <v>1</v>
      </c>
      <c r="M42" s="253">
        <f>IFERROR(aurora_data!L952,0)</f>
        <v>0</v>
      </c>
      <c r="N42" s="254">
        <f>IFERROR(aurora_data!M952,0)</f>
        <v>5</v>
      </c>
      <c r="O42" s="113">
        <f>IFERROR(aurora_data!N952,0)</f>
        <v>5</v>
      </c>
      <c r="P42" s="253">
        <f>IFERROR(aurora_data!O952,0)</f>
        <v>0</v>
      </c>
      <c r="Q42" s="253">
        <f>IFERROR(aurora_data!P952,0)</f>
        <v>0</v>
      </c>
      <c r="R42" s="254">
        <f>IFERROR(aurora_data!Q952,0)</f>
        <v>1</v>
      </c>
      <c r="S42" s="253">
        <f>IFERROR(aurora_data!R952,0)</f>
        <v>3</v>
      </c>
      <c r="T42" s="253">
        <f>IFERROR(aurora_data!S952,0)</f>
        <v>3</v>
      </c>
      <c r="U42" s="254">
        <f>IFERROR(aurora_data!T552,0)</f>
        <v>0</v>
      </c>
      <c r="V42" s="61" t="s">
        <v>354</v>
      </c>
      <c r="W42" s="113">
        <f>IFERROR(aurora_data!U952,0)</f>
        <v>6</v>
      </c>
      <c r="X42" s="281">
        <f t="shared" si="14"/>
        <v>0.12</v>
      </c>
      <c r="Y42" s="2"/>
      <c r="AA42" s="452"/>
      <c r="AB42" s="450"/>
      <c r="AC42" s="35" t="s">
        <v>291</v>
      </c>
      <c r="AD42" s="113">
        <f>IFERROR(aurora_data!D952,0)+IFERROR(aurora_data!E952,0)</f>
        <v>0</v>
      </c>
      <c r="AE42" s="253">
        <f>IFERROR(aurora_data!F952,0)</f>
        <v>2</v>
      </c>
      <c r="AF42" s="253">
        <f>IFERROR(aurora_data!G952,0)</f>
        <v>0</v>
      </c>
      <c r="AG42" s="254">
        <f>IFERROR(aurora_data!H952,0)</f>
        <v>4</v>
      </c>
      <c r="AH42" s="350" t="s">
        <v>354</v>
      </c>
      <c r="AI42" s="113">
        <f>IFERROR(aurora_data!U952,0)</f>
        <v>6</v>
      </c>
      <c r="AJ42" s="281">
        <f t="shared" si="13"/>
        <v>0.12</v>
      </c>
    </row>
    <row r="43" spans="1:36" customFormat="1" ht="16.5" customHeight="1">
      <c r="A43" s="2"/>
      <c r="B43" s="452"/>
      <c r="C43" s="450"/>
      <c r="D43" s="35" t="s">
        <v>340</v>
      </c>
      <c r="E43" s="113">
        <f>IFERROR(aurora_data!D953,0)</f>
        <v>0</v>
      </c>
      <c r="F43" s="253">
        <f>IFERROR(aurora_data!E953,0)</f>
        <v>0</v>
      </c>
      <c r="G43" s="253">
        <f>IFERROR(aurora_data!F953,0)</f>
        <v>0</v>
      </c>
      <c r="H43" s="253">
        <f>IFERROR(aurora_data!G953,0)</f>
        <v>0</v>
      </c>
      <c r="I43" s="254">
        <f>IFERROR(aurora_data!H953,0)</f>
        <v>0</v>
      </c>
      <c r="J43" s="113">
        <f>IFERROR(aurora_data!I953,0)</f>
        <v>0</v>
      </c>
      <c r="K43" s="253">
        <f>IFERROR(aurora_data!J953,0)</f>
        <v>0</v>
      </c>
      <c r="L43" s="253">
        <f>IFERROR(aurora_data!K953,0)</f>
        <v>0</v>
      </c>
      <c r="M43" s="253">
        <f>IFERROR(aurora_data!L953,0)</f>
        <v>0</v>
      </c>
      <c r="N43" s="254">
        <f>IFERROR(aurora_data!M953,0)</f>
        <v>0</v>
      </c>
      <c r="O43" s="113">
        <f>IFERROR(aurora_data!N953,0)</f>
        <v>0</v>
      </c>
      <c r="P43" s="253">
        <f>IFERROR(aurora_data!O953,0)</f>
        <v>0</v>
      </c>
      <c r="Q43" s="253">
        <f>IFERROR(aurora_data!P953,0)</f>
        <v>0</v>
      </c>
      <c r="R43" s="254">
        <f>IFERROR(aurora_data!Q953,0)</f>
        <v>0</v>
      </c>
      <c r="S43" s="253">
        <f>IFERROR(aurora_data!R953,0)</f>
        <v>0</v>
      </c>
      <c r="T43" s="253">
        <f>IFERROR(aurora_data!S953,0)</f>
        <v>0</v>
      </c>
      <c r="U43" s="254">
        <f>IFERROR(aurora_data!T553,0)</f>
        <v>0</v>
      </c>
      <c r="V43" s="61" t="s">
        <v>354</v>
      </c>
      <c r="W43" s="113">
        <f>IFERROR(aurora_data!U953,0)</f>
        <v>0</v>
      </c>
      <c r="X43" s="281">
        <f t="shared" si="14"/>
        <v>0</v>
      </c>
      <c r="Y43" s="2"/>
      <c r="AA43" s="452"/>
      <c r="AB43" s="450"/>
      <c r="AC43" s="35" t="s">
        <v>340</v>
      </c>
      <c r="AD43" s="113">
        <f>IFERROR(aurora_data!D953,0)+IFERROR(aurora_data!E953,0)</f>
        <v>0</v>
      </c>
      <c r="AE43" s="253">
        <f>IFERROR(aurora_data!F953,0)</f>
        <v>0</v>
      </c>
      <c r="AF43" s="253">
        <f>IFERROR(aurora_data!G953,0)</f>
        <v>0</v>
      </c>
      <c r="AG43" s="254">
        <f>IFERROR(aurora_data!H953,0)</f>
        <v>0</v>
      </c>
      <c r="AH43" s="350" t="s">
        <v>354</v>
      </c>
      <c r="AI43" s="113">
        <f>IFERROR(aurora_data!U953,0)</f>
        <v>0</v>
      </c>
      <c r="AJ43" s="281">
        <f t="shared" si="13"/>
        <v>0</v>
      </c>
    </row>
    <row r="44" spans="1:36" customFormat="1" ht="16.5" customHeight="1">
      <c r="A44" s="2"/>
      <c r="B44" s="452"/>
      <c r="C44" s="450"/>
      <c r="D44" s="35" t="s">
        <v>298</v>
      </c>
      <c r="E44" s="113">
        <f>IFERROR(aurora_data!D954,0)</f>
        <v>0</v>
      </c>
      <c r="F44" s="253">
        <f>IFERROR(aurora_data!E954,0)</f>
        <v>0</v>
      </c>
      <c r="G44" s="253">
        <f>IFERROR(aurora_data!F954,0)</f>
        <v>0</v>
      </c>
      <c r="H44" s="253">
        <f>IFERROR(aurora_data!G954,0)</f>
        <v>0</v>
      </c>
      <c r="I44" s="254">
        <f>IFERROR(aurora_data!H954,0)</f>
        <v>0</v>
      </c>
      <c r="J44" s="113">
        <f>IFERROR(aurora_data!I954,0)</f>
        <v>0</v>
      </c>
      <c r="K44" s="253">
        <f>IFERROR(aurora_data!J954,0)</f>
        <v>0</v>
      </c>
      <c r="L44" s="253">
        <f>IFERROR(aurora_data!K954,0)</f>
        <v>0</v>
      </c>
      <c r="M44" s="253">
        <f>IFERROR(aurora_data!L954,0)</f>
        <v>0</v>
      </c>
      <c r="N44" s="254">
        <f>IFERROR(aurora_data!M954,0)</f>
        <v>0</v>
      </c>
      <c r="O44" s="113">
        <f>IFERROR(aurora_data!N954,0)</f>
        <v>0</v>
      </c>
      <c r="P44" s="253">
        <f>IFERROR(aurora_data!O954,0)</f>
        <v>0</v>
      </c>
      <c r="Q44" s="253">
        <f>IFERROR(aurora_data!P954,0)</f>
        <v>0</v>
      </c>
      <c r="R44" s="254">
        <f>IFERROR(aurora_data!Q954,0)</f>
        <v>0</v>
      </c>
      <c r="S44" s="253">
        <f>IFERROR(aurora_data!R954,0)</f>
        <v>0</v>
      </c>
      <c r="T44" s="253">
        <f>IFERROR(aurora_data!S954,0)</f>
        <v>0</v>
      </c>
      <c r="U44" s="254">
        <f>IFERROR(aurora_data!T554,0)</f>
        <v>0</v>
      </c>
      <c r="V44" s="61" t="s">
        <v>354</v>
      </c>
      <c r="W44" s="113">
        <f>IFERROR(aurora_data!U954,0)</f>
        <v>0</v>
      </c>
      <c r="X44" s="281">
        <f t="shared" si="14"/>
        <v>0</v>
      </c>
      <c r="Y44" s="2"/>
      <c r="AA44" s="452"/>
      <c r="AB44" s="450"/>
      <c r="AC44" s="35" t="s">
        <v>298</v>
      </c>
      <c r="AD44" s="113">
        <f>IFERROR(aurora_data!D954,0)+IFERROR(aurora_data!E954,0)</f>
        <v>0</v>
      </c>
      <c r="AE44" s="253">
        <f>IFERROR(aurora_data!F954,0)</f>
        <v>0</v>
      </c>
      <c r="AF44" s="253">
        <f>IFERROR(aurora_data!G954,0)</f>
        <v>0</v>
      </c>
      <c r="AG44" s="254">
        <f>IFERROR(aurora_data!H954,0)</f>
        <v>0</v>
      </c>
      <c r="AH44" s="350" t="s">
        <v>354</v>
      </c>
      <c r="AI44" s="113">
        <f>IFERROR(aurora_data!U954,0)</f>
        <v>0</v>
      </c>
      <c r="AJ44" s="281">
        <f t="shared" si="13"/>
        <v>0</v>
      </c>
    </row>
    <row r="45" spans="1:36" customFormat="1" ht="16.5" customHeight="1">
      <c r="A45" s="2"/>
      <c r="B45" s="452"/>
      <c r="C45" s="450"/>
      <c r="D45" s="35" t="s">
        <v>341</v>
      </c>
      <c r="E45" s="113">
        <f>IFERROR(aurora_data!D955,0)</f>
        <v>1</v>
      </c>
      <c r="F45" s="253">
        <f>IFERROR(aurora_data!E955,0)</f>
        <v>0</v>
      </c>
      <c r="G45" s="253">
        <f>IFERROR(aurora_data!F955,0)</f>
        <v>0</v>
      </c>
      <c r="H45" s="253">
        <f>IFERROR(aurora_data!G955,0)</f>
        <v>0</v>
      </c>
      <c r="I45" s="254">
        <f>IFERROR(aurora_data!H955,0)</f>
        <v>0</v>
      </c>
      <c r="J45" s="113">
        <f>IFERROR(aurora_data!I955,0)</f>
        <v>0</v>
      </c>
      <c r="K45" s="253">
        <f>IFERROR(aurora_data!J955,0)</f>
        <v>1</v>
      </c>
      <c r="L45" s="253">
        <f>IFERROR(aurora_data!K955,0)</f>
        <v>0</v>
      </c>
      <c r="M45" s="253">
        <f>IFERROR(aurora_data!L955,0)</f>
        <v>0</v>
      </c>
      <c r="N45" s="254">
        <f>IFERROR(aurora_data!M955,0)</f>
        <v>0</v>
      </c>
      <c r="O45" s="113">
        <f>IFERROR(aurora_data!N955,0)</f>
        <v>0</v>
      </c>
      <c r="P45" s="253">
        <f>IFERROR(aurora_data!O955,0)</f>
        <v>0</v>
      </c>
      <c r="Q45" s="253">
        <f>IFERROR(aurora_data!P955,0)</f>
        <v>1</v>
      </c>
      <c r="R45" s="254">
        <f>IFERROR(aurora_data!Q955,0)</f>
        <v>0</v>
      </c>
      <c r="S45" s="253">
        <f>IFERROR(aurora_data!R955,0)</f>
        <v>0</v>
      </c>
      <c r="T45" s="253">
        <f>IFERROR(aurora_data!S955,0)</f>
        <v>1</v>
      </c>
      <c r="U45" s="254">
        <f>IFERROR(aurora_data!T555,0)</f>
        <v>0</v>
      </c>
      <c r="V45" s="61" t="s">
        <v>354</v>
      </c>
      <c r="W45" s="113">
        <f>IFERROR(aurora_data!U955,0)</f>
        <v>1</v>
      </c>
      <c r="X45" s="281">
        <f t="shared" si="14"/>
        <v>0.02</v>
      </c>
      <c r="Y45" s="2"/>
      <c r="AA45" s="452"/>
      <c r="AB45" s="450"/>
      <c r="AC45" s="35" t="s">
        <v>341</v>
      </c>
      <c r="AD45" s="113">
        <f>IFERROR(aurora_data!D955,0)+IFERROR(aurora_data!E955,0)</f>
        <v>1</v>
      </c>
      <c r="AE45" s="253">
        <f>IFERROR(aurora_data!F955,0)</f>
        <v>0</v>
      </c>
      <c r="AF45" s="253">
        <f>IFERROR(aurora_data!G955,0)</f>
        <v>0</v>
      </c>
      <c r="AG45" s="254">
        <f>IFERROR(aurora_data!H955,0)</f>
        <v>0</v>
      </c>
      <c r="AH45" s="350" t="s">
        <v>354</v>
      </c>
      <c r="AI45" s="113">
        <f>IFERROR(aurora_data!U955,0)</f>
        <v>1</v>
      </c>
      <c r="AJ45" s="281">
        <f t="shared" si="13"/>
        <v>0.02</v>
      </c>
    </row>
    <row r="46" spans="1:36" customFormat="1" ht="16.5" thickBot="1">
      <c r="A46" s="2"/>
      <c r="B46" s="452"/>
      <c r="C46" s="450"/>
      <c r="D46" s="35" t="s">
        <v>342</v>
      </c>
      <c r="E46" s="113">
        <f>IFERROR(aurora_data!D956,0)</f>
        <v>0</v>
      </c>
      <c r="F46" s="253">
        <f>IFERROR(aurora_data!E956,0)</f>
        <v>0</v>
      </c>
      <c r="G46" s="253">
        <f>IFERROR(aurora_data!F956,0)</f>
        <v>0</v>
      </c>
      <c r="H46" s="253">
        <f>IFERROR(aurora_data!G956,0)</f>
        <v>0</v>
      </c>
      <c r="I46" s="254">
        <f>IFERROR(aurora_data!H956,0)</f>
        <v>0</v>
      </c>
      <c r="J46" s="113">
        <f>IFERROR(aurora_data!I956,0)</f>
        <v>0</v>
      </c>
      <c r="K46" s="253">
        <f>IFERROR(aurora_data!J956,0)</f>
        <v>0</v>
      </c>
      <c r="L46" s="253">
        <f>IFERROR(aurora_data!K956,0)</f>
        <v>0</v>
      </c>
      <c r="M46" s="253">
        <f>IFERROR(aurora_data!L956,0)</f>
        <v>0</v>
      </c>
      <c r="N46" s="254">
        <f>IFERROR(aurora_data!M956,0)</f>
        <v>0</v>
      </c>
      <c r="O46" s="113">
        <f>IFERROR(aurora_data!N956,0)</f>
        <v>0</v>
      </c>
      <c r="P46" s="253">
        <f>IFERROR(aurora_data!O956,0)</f>
        <v>0</v>
      </c>
      <c r="Q46" s="253">
        <f>IFERROR(aurora_data!P956,0)</f>
        <v>0</v>
      </c>
      <c r="R46" s="254">
        <f>IFERROR(aurora_data!Q956,0)</f>
        <v>0</v>
      </c>
      <c r="S46" s="253">
        <f>IFERROR(aurora_data!R956,0)</f>
        <v>0</v>
      </c>
      <c r="T46" s="253">
        <f>IFERROR(aurora_data!S956,0)</f>
        <v>0</v>
      </c>
      <c r="U46" s="254">
        <f>IFERROR(aurora_data!T556,0)</f>
        <v>0</v>
      </c>
      <c r="V46" s="61" t="s">
        <v>354</v>
      </c>
      <c r="W46" s="113">
        <f>IFERROR(aurora_data!U956,0)</f>
        <v>0</v>
      </c>
      <c r="X46" s="281">
        <f t="shared" si="14"/>
        <v>0</v>
      </c>
      <c r="Y46" s="2"/>
      <c r="AA46" s="452"/>
      <c r="AB46" s="450"/>
      <c r="AC46" s="35" t="s">
        <v>342</v>
      </c>
      <c r="AD46" s="113">
        <f>IFERROR(aurora_data!D956,0)+IFERROR(aurora_data!E956,0)</f>
        <v>0</v>
      </c>
      <c r="AE46" s="253">
        <f>IFERROR(aurora_data!F956,0)</f>
        <v>0</v>
      </c>
      <c r="AF46" s="253">
        <f>IFERROR(aurora_data!G956,0)</f>
        <v>0</v>
      </c>
      <c r="AG46" s="254">
        <f>IFERROR(aurora_data!H956,0)</f>
        <v>0</v>
      </c>
      <c r="AH46" s="350" t="s">
        <v>354</v>
      </c>
      <c r="AI46" s="113">
        <f>IFERROR(aurora_data!U956,0)</f>
        <v>0</v>
      </c>
      <c r="AJ46" s="281">
        <f t="shared" si="13"/>
        <v>0</v>
      </c>
    </row>
    <row r="47" spans="1:36" customFormat="1" ht="16.5" thickBot="1">
      <c r="A47" s="2"/>
      <c r="B47" s="452"/>
      <c r="C47" s="450"/>
      <c r="D47" s="37" t="s">
        <v>17</v>
      </c>
      <c r="E47" s="59">
        <f>IFERROR(aurora_data!D957,0)</f>
        <v>2</v>
      </c>
      <c r="F47" s="64">
        <f>IFERROR(aurora_data!E957,0)</f>
        <v>2</v>
      </c>
      <c r="G47" s="64">
        <f>IFERROR(aurora_data!F957,0)</f>
        <v>12</v>
      </c>
      <c r="H47" s="64">
        <f>IFERROR(aurora_data!G957,0)</f>
        <v>16</v>
      </c>
      <c r="I47" s="65">
        <f>IFERROR(aurora_data!H957,0)</f>
        <v>24</v>
      </c>
      <c r="J47" s="59">
        <f>IFERROR(aurora_data!I957,0)</f>
        <v>2</v>
      </c>
      <c r="K47" s="64">
        <f>IFERROR(aurora_data!J957,0)</f>
        <v>7</v>
      </c>
      <c r="L47" s="64">
        <f>IFERROR(aurora_data!K957,0)</f>
        <v>12</v>
      </c>
      <c r="M47" s="64">
        <f>IFERROR(aurora_data!L957,0)</f>
        <v>9</v>
      </c>
      <c r="N47" s="65">
        <f>IFERROR(aurora_data!M957,0)</f>
        <v>26</v>
      </c>
      <c r="O47" s="59">
        <f>IFERROR(aurora_data!N957,0)</f>
        <v>23</v>
      </c>
      <c r="P47" s="64">
        <f>IFERROR(aurora_data!O957,0)</f>
        <v>12</v>
      </c>
      <c r="Q47" s="64">
        <f>IFERROR(aurora_data!P957,0)</f>
        <v>13</v>
      </c>
      <c r="R47" s="65">
        <f>IFERROR(aurora_data!Q957,0)</f>
        <v>8</v>
      </c>
      <c r="S47" s="64">
        <f>IFERROR(aurora_data!R957,0)</f>
        <v>31</v>
      </c>
      <c r="T47" s="64">
        <f>IFERROR(aurora_data!S957,0)</f>
        <v>25</v>
      </c>
      <c r="U47" s="65">
        <f>IFERROR(aurora_data!T557,0)</f>
        <v>0</v>
      </c>
      <c r="V47" s="66" t="s">
        <v>354</v>
      </c>
      <c r="W47" s="59">
        <f>IFERROR(aurora_data!U957,0)</f>
        <v>56</v>
      </c>
      <c r="X47" s="70">
        <f t="shared" si="14"/>
        <v>1.1200000000000001</v>
      </c>
      <c r="Y47" s="2"/>
      <c r="AA47" s="452"/>
      <c r="AB47" s="450"/>
      <c r="AC47" s="37" t="s">
        <v>17</v>
      </c>
      <c r="AD47" s="59">
        <f>IFERROR(aurora_data!D957,0)+IFERROR(aurora_data!E957,0)</f>
        <v>4</v>
      </c>
      <c r="AE47" s="64">
        <f>IFERROR(aurora_data!F957,0)</f>
        <v>12</v>
      </c>
      <c r="AF47" s="64">
        <f>IFERROR(aurora_data!G957,0)</f>
        <v>16</v>
      </c>
      <c r="AG47" s="65">
        <f>IFERROR(aurora_data!H957,0)</f>
        <v>24</v>
      </c>
      <c r="AH47" s="351" t="s">
        <v>354</v>
      </c>
      <c r="AI47" s="59">
        <f>IFERROR(aurora_data!U957,0)</f>
        <v>56</v>
      </c>
      <c r="AJ47" s="70">
        <f t="shared" si="13"/>
        <v>1.1200000000000001</v>
      </c>
    </row>
    <row r="48" spans="1:36" customFormat="1" ht="16.5" thickBot="1">
      <c r="A48" s="2"/>
      <c r="B48" s="452"/>
      <c r="C48" s="567"/>
      <c r="D48" s="38" t="s">
        <v>343</v>
      </c>
      <c r="E48" s="256">
        <f>IFERROR(aurora_data!D958,0)</f>
        <v>0</v>
      </c>
      <c r="F48" s="257">
        <f>IFERROR(aurora_data!E958,0)</f>
        <v>0</v>
      </c>
      <c r="G48" s="257">
        <f>IFERROR(aurora_data!F958,0)</f>
        <v>0</v>
      </c>
      <c r="H48" s="257">
        <f>IFERROR(aurora_data!G958,0)</f>
        <v>0</v>
      </c>
      <c r="I48" s="258">
        <f>IFERROR(aurora_data!H958,0)</f>
        <v>0</v>
      </c>
      <c r="J48" s="256">
        <f>IFERROR(aurora_data!I958,0)</f>
        <v>0</v>
      </c>
      <c r="K48" s="257">
        <f>IFERROR(aurora_data!J958,0)</f>
        <v>0</v>
      </c>
      <c r="L48" s="257">
        <f>IFERROR(aurora_data!K958,0)</f>
        <v>0</v>
      </c>
      <c r="M48" s="257">
        <f>IFERROR(aurora_data!L958,0)</f>
        <v>0</v>
      </c>
      <c r="N48" s="258">
        <f>IFERROR(aurora_data!M958,0)</f>
        <v>0</v>
      </c>
      <c r="O48" s="256">
        <f>IFERROR(aurora_data!N958,0)</f>
        <v>0</v>
      </c>
      <c r="P48" s="257">
        <f>IFERROR(aurora_data!O958,0)</f>
        <v>0</v>
      </c>
      <c r="Q48" s="257">
        <f>IFERROR(aurora_data!P958,0)</f>
        <v>0</v>
      </c>
      <c r="R48" s="258">
        <f>IFERROR(aurora_data!Q958,0)</f>
        <v>0</v>
      </c>
      <c r="S48" s="257">
        <f>IFERROR(aurora_data!R958,0)</f>
        <v>0</v>
      </c>
      <c r="T48" s="257">
        <f>IFERROR(aurora_data!S958,0)</f>
        <v>0</v>
      </c>
      <c r="U48" s="259">
        <f>IFERROR(aurora_data!T558,0)</f>
        <v>0</v>
      </c>
      <c r="V48" s="260" t="s">
        <v>354</v>
      </c>
      <c r="W48" s="256">
        <f>IFERROR(aurora_data!U958,0)</f>
        <v>0</v>
      </c>
      <c r="X48" s="261">
        <f t="shared" si="14"/>
        <v>0</v>
      </c>
      <c r="Y48" s="2"/>
      <c r="AA48" s="452"/>
      <c r="AB48" s="567"/>
      <c r="AC48" s="38" t="s">
        <v>343</v>
      </c>
      <c r="AD48" s="256">
        <f>IFERROR(aurora_data!D958,0)+IFERROR(aurora_data!E958,0)</f>
        <v>0</v>
      </c>
      <c r="AE48" s="257">
        <f>IFERROR(aurora_data!F958,0)</f>
        <v>0</v>
      </c>
      <c r="AF48" s="257">
        <f>IFERROR(aurora_data!G958,0)</f>
        <v>0</v>
      </c>
      <c r="AG48" s="258">
        <f>IFERROR(aurora_data!H958,0)</f>
        <v>0</v>
      </c>
      <c r="AH48" s="352" t="s">
        <v>354</v>
      </c>
      <c r="AI48" s="256">
        <f>IFERROR(aurora_data!U958,0)</f>
        <v>0</v>
      </c>
      <c r="AJ48" s="261">
        <f t="shared" si="13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1">
        <f>ROUNDDOWN((E51+$E$9)*($W40),0)</f>
        <v>2</v>
      </c>
      <c r="F49" s="272">
        <f>ROUNDDOWN((F51+$E$9)*($W40),0)</f>
        <v>3</v>
      </c>
      <c r="G49" s="272">
        <f>ROUNDDOWN((G51+$E$9)*($W40),0)</f>
        <v>10</v>
      </c>
      <c r="H49" s="272">
        <f>ROUNDDOWN((H51+$E$9)*($W40),0)</f>
        <v>17</v>
      </c>
      <c r="I49" s="272">
        <f>ROUNDDOWN((I51+$E$9)*($W40),0)</f>
        <v>21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199" t="s">
        <v>344</v>
      </c>
      <c r="AD49" s="327"/>
      <c r="AE49" s="328"/>
      <c r="AF49" s="328"/>
      <c r="AG49" s="297"/>
      <c r="AH49" s="350"/>
      <c r="AI49" s="294"/>
      <c r="AJ49" s="299"/>
    </row>
    <row r="50" spans="1:36" customFormat="1" outlineLevel="1">
      <c r="A50" s="2"/>
      <c r="B50" s="147"/>
      <c r="C50" s="227"/>
      <c r="D50" s="199" t="s">
        <v>345</v>
      </c>
      <c r="E50" s="276">
        <f>IF(ROUND(((E51-$E$9)*($W40))+0.25,0) &lt;=0,1,((E51-$E$9)*($W40))+0.25)</f>
        <v>0.58000000000000007</v>
      </c>
      <c r="F50" s="277">
        <f>IF(ROUND(((F51-$E$9)*($W40))+0.25,0) &lt;=0,1,((F51-$E$9)*($W40))+0.25)</f>
        <v>1.81</v>
      </c>
      <c r="G50" s="277">
        <f t="shared" ref="G50:I50" si="15">IF(ROUND(((G51-$E$9)*($W40))+0.25,0) &lt;=0,1,((G51-$E$9)*($W40))+0.25)</f>
        <v>9.11</v>
      </c>
      <c r="H50" s="277">
        <f t="shared" si="15"/>
        <v>15.42</v>
      </c>
      <c r="I50" s="277">
        <f t="shared" si="15"/>
        <v>19.329999999999998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199" t="s">
        <v>345</v>
      </c>
      <c r="AD50" s="294"/>
      <c r="AE50" s="295"/>
      <c r="AF50" s="295"/>
      <c r="AG50" s="296"/>
      <c r="AH50" s="350"/>
      <c r="AI50" s="294"/>
      <c r="AJ50" s="299"/>
    </row>
    <row r="51" spans="1:36" customFormat="1" ht="16.5" hidden="1" outlineLevel="1" thickBot="1">
      <c r="A51" s="2"/>
      <c r="B51" s="147"/>
      <c r="C51" s="227"/>
      <c r="D51" s="95" t="s">
        <v>346</v>
      </c>
      <c r="E51" s="414">
        <f>IFERROR(E40/$W40,0)</f>
        <v>2.6600000000000002E-2</v>
      </c>
      <c r="F51" s="415">
        <f t="shared" ref="F51" si="16">IFERROR(F40/$W40,0)</f>
        <v>5.1200000000000002E-2</v>
      </c>
      <c r="G51" s="415">
        <f>IFERROR(G40/$W40,0)</f>
        <v>0.19719999999999999</v>
      </c>
      <c r="H51" s="415">
        <f t="shared" ref="H51" si="17">IFERROR(H40/$W40,0)</f>
        <v>0.32340000000000002</v>
      </c>
      <c r="I51" s="415">
        <f>IFERROR(I40/$W40,0)</f>
        <v>0.40159999999999996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95" t="s">
        <v>346</v>
      </c>
      <c r="AD51" s="294"/>
      <c r="AE51" s="295"/>
      <c r="AF51" s="295"/>
      <c r="AG51" s="296"/>
      <c r="AH51" s="350"/>
      <c r="AI51" s="294"/>
      <c r="AJ51" s="299"/>
    </row>
    <row r="52" spans="1:36" customFormat="1" ht="16.5" hidden="1" outlineLevel="1" thickBot="1">
      <c r="A52" s="2"/>
      <c r="B52" s="147"/>
      <c r="C52" s="227"/>
      <c r="D52" s="180" t="s">
        <v>347</v>
      </c>
      <c r="E52" s="414">
        <f>IFERROR(E41/$W40,0)</f>
        <v>0.02</v>
      </c>
      <c r="F52" s="415">
        <f t="shared" ref="F52:I52" si="18">IFERROR(F41/$W40,0)</f>
        <v>0.04</v>
      </c>
      <c r="G52" s="415">
        <f t="shared" si="18"/>
        <v>0.2</v>
      </c>
      <c r="H52" s="415">
        <f t="shared" si="18"/>
        <v>0.32</v>
      </c>
      <c r="I52" s="415">
        <f t="shared" si="18"/>
        <v>0.4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180" t="s">
        <v>347</v>
      </c>
      <c r="AD52" s="294"/>
      <c r="AE52" s="295"/>
      <c r="AF52" s="295"/>
      <c r="AG52" s="296"/>
      <c r="AH52" s="350"/>
      <c r="AI52" s="294"/>
      <c r="AJ52" s="299"/>
    </row>
    <row r="53" spans="1:36" customFormat="1" hidden="1" outlineLevel="1">
      <c r="A53" s="2"/>
      <c r="B53" s="235"/>
      <c r="C53" s="236"/>
      <c r="D53" s="237" t="s">
        <v>348</v>
      </c>
      <c r="E53" s="436">
        <f>E52-E51</f>
        <v>-6.6000000000000017E-3</v>
      </c>
      <c r="F53" s="437">
        <f t="shared" ref="F53:I53" si="19">F52-F51</f>
        <v>-1.1200000000000002E-2</v>
      </c>
      <c r="G53" s="437">
        <f t="shared" si="19"/>
        <v>2.8000000000000247E-3</v>
      </c>
      <c r="H53" s="437">
        <f t="shared" si="19"/>
        <v>-3.4000000000000141E-3</v>
      </c>
      <c r="I53" s="437">
        <f t="shared" si="19"/>
        <v>-1.5999999999999348E-3</v>
      </c>
      <c r="J53" s="300"/>
      <c r="K53" s="301"/>
      <c r="L53" s="301"/>
      <c r="M53" s="301"/>
      <c r="N53" s="302"/>
      <c r="O53" s="300"/>
      <c r="P53" s="301"/>
      <c r="Q53" s="301"/>
      <c r="R53" s="302"/>
      <c r="S53" s="301"/>
      <c r="T53" s="301"/>
      <c r="U53" s="303"/>
      <c r="V53" s="304"/>
      <c r="W53" s="300"/>
      <c r="X53" s="305"/>
      <c r="Y53" s="2"/>
      <c r="AA53" s="235"/>
      <c r="AB53" s="236"/>
      <c r="AC53" s="237" t="s">
        <v>348</v>
      </c>
      <c r="AD53" s="300"/>
      <c r="AE53" s="301"/>
      <c r="AF53" s="301"/>
      <c r="AG53" s="302"/>
      <c r="AH53" s="353"/>
      <c r="AI53" s="300"/>
      <c r="AJ53" s="305"/>
    </row>
    <row r="54" spans="1:36" ht="16.5" customHeight="1">
      <c r="E54" s="439"/>
      <c r="F54" s="439"/>
      <c r="G54" s="439"/>
      <c r="H54" s="439"/>
      <c r="I54" s="439"/>
      <c r="J54" s="439"/>
      <c r="K54" s="439"/>
      <c r="L54" s="439"/>
      <c r="M54" s="439"/>
      <c r="N54" s="439"/>
      <c r="O54" s="439"/>
      <c r="P54" s="439"/>
      <c r="Q54" s="439"/>
      <c r="R54" s="439"/>
      <c r="S54" s="439"/>
      <c r="T54" s="439"/>
      <c r="U54" s="439"/>
      <c r="V54" s="440"/>
      <c r="W54" s="440"/>
      <c r="X54" s="440"/>
    </row>
  </sheetData>
  <mergeCells count="42">
    <mergeCell ref="AA12:AA20"/>
    <mergeCell ref="AB12:AB20"/>
    <mergeCell ref="AA26:AA34"/>
    <mergeCell ref="AB26:AB34"/>
    <mergeCell ref="AA40:AA48"/>
    <mergeCell ref="AB40:AB48"/>
    <mergeCell ref="AA8:AC8"/>
    <mergeCell ref="AD8:AG8"/>
    <mergeCell ref="AI8:AJ11"/>
    <mergeCell ref="AA9:AB9"/>
    <mergeCell ref="AD9:AG9"/>
    <mergeCell ref="AA10:AA11"/>
    <mergeCell ref="AD10:AG10"/>
    <mergeCell ref="C12:C20"/>
    <mergeCell ref="B40:B48"/>
    <mergeCell ref="C40:C48"/>
    <mergeCell ref="B26:B34"/>
    <mergeCell ref="C26:C34"/>
    <mergeCell ref="B12:B20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A6:AG7"/>
    <mergeCell ref="A1:C1"/>
    <mergeCell ref="D1:H1"/>
    <mergeCell ref="A2:C2"/>
    <mergeCell ref="D2:H2"/>
    <mergeCell ref="K2:X6"/>
    <mergeCell ref="D3:E3"/>
    <mergeCell ref="F3:H3"/>
    <mergeCell ref="D5:G5"/>
    <mergeCell ref="D6:H6"/>
  </mergeCells>
  <conditionalFormatting sqref="E13:W13 AD13:AI13">
    <cfRule type="expression" dxfId="93" priority="29">
      <formula>ROUND(E$13,0) &gt;= ROUND(E$12,0)</formula>
    </cfRule>
  </conditionalFormatting>
  <conditionalFormatting sqref="E19:W19 AD19:AI19">
    <cfRule type="expression" dxfId="92" priority="32">
      <formula>ROUND(E$19,0) &lt; ROUND(E$12,0)</formula>
    </cfRule>
  </conditionalFormatting>
  <conditionalFormatting sqref="E27:W27 AD27:AI27">
    <cfRule type="expression" dxfId="91" priority="31">
      <formula>ROUND(E$27,0) &gt;= ROUND(E$26,0)</formula>
    </cfRule>
  </conditionalFormatting>
  <conditionalFormatting sqref="E33:W33 AD33:AI33">
    <cfRule type="expression" dxfId="90" priority="28">
      <formula>ROUND(E$33,0) &lt; ROUND(E$26,0)</formula>
    </cfRule>
  </conditionalFormatting>
  <conditionalFormatting sqref="E41:W41 AD41:AI41">
    <cfRule type="expression" dxfId="89" priority="25">
      <formula>ROUND(E$41,0) &gt;= ROUND(E$40,0)</formula>
    </cfRule>
  </conditionalFormatting>
  <conditionalFormatting sqref="E47:W47 AD47:AI47">
    <cfRule type="expression" dxfId="88" priority="26">
      <formula>ROUND(E$47,0) &lt; ROUND(E$40,0)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4674-9B1F-4E8E-887F-146FC509C464}">
  <sheetPr codeName="Sheet15">
    <tabColor rgb="FF92D050"/>
  </sheetPr>
  <dimension ref="A1:AJ179"/>
  <sheetViews>
    <sheetView topLeftCell="B1" zoomScale="87" zoomScaleNormal="90" workbookViewId="0">
      <pane xSplit="2" ySplit="11" topLeftCell="D29" activePane="bottomRight" state="frozen"/>
      <selection pane="topRight" activeCell="D1" sqref="D1"/>
      <selection pane="bottomLeft" activeCell="B12" sqref="B12"/>
      <selection pane="bottomRight" activeCell="J38" sqref="J38"/>
    </sheetView>
  </sheetViews>
  <sheetFormatPr defaultColWidth="2.5" defaultRowHeight="15.75" outlineLevelRow="2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8" width="7.5" style="4" customWidth="1"/>
    <col min="9" max="9" width="7.5" style="4" bestFit="1" customWidth="1"/>
    <col min="10" max="20" width="7.5" style="4" customWidth="1"/>
    <col min="21" max="21" width="7.5" style="4" hidden="1" customWidth="1"/>
    <col min="22" max="22" width="0.5" style="2" customWidth="1"/>
    <col min="23" max="24" width="5.625" style="2" customWidth="1"/>
    <col min="25" max="26" width="2.5" style="2" customWidth="1"/>
    <col min="27" max="27" width="12" style="2" customWidth="1"/>
    <col min="28" max="28" width="15.5" style="2" customWidth="1"/>
    <col min="29" max="29" width="23.5" style="2" customWidth="1"/>
    <col min="30" max="33" width="7.5" style="2" customWidth="1"/>
    <col min="34" max="34" width="0.5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hidden="1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hidden="1" customHeight="1">
      <c r="A2" s="499" t="s">
        <v>327</v>
      </c>
      <c r="B2" s="499"/>
      <c r="C2" s="500"/>
      <c r="D2" s="580" t="str">
        <f>_xlfn.CONCAT("Study Name: ","
Validity WISC-6/WISC-5 Plus - Paper")</f>
        <v>Study Name: 
Validity WISC-6/WISC-5 Plus - Paper</v>
      </c>
      <c r="E2" s="581"/>
      <c r="F2" s="581"/>
      <c r="G2" s="581"/>
      <c r="H2" s="582"/>
      <c r="I2" s="4"/>
      <c r="J2" s="4"/>
      <c r="K2" s="504" t="s">
        <v>358</v>
      </c>
      <c r="L2" s="552"/>
      <c r="M2" s="552"/>
      <c r="N2" s="552"/>
      <c r="O2" s="552"/>
      <c r="P2" s="552"/>
      <c r="Q2" s="552"/>
      <c r="R2" s="552"/>
      <c r="S2" s="552"/>
      <c r="T2" s="552"/>
      <c r="U2" s="552"/>
      <c r="V2" s="552"/>
      <c r="W2" s="552"/>
      <c r="X2" s="553"/>
      <c r="Y2" s="102"/>
    </row>
    <row r="3" spans="1:36" customFormat="1" ht="30.75" hidden="1" customHeight="1" thickBot="1">
      <c r="A3" s="2"/>
      <c r="B3" s="2"/>
      <c r="C3" s="2"/>
      <c r="D3" s="536" t="str">
        <f>_xlfn.CONCAT("Study Acronym: ","
V_WISC5P_P")</f>
        <v>Study Acronym: 
V_WISC5P_P</v>
      </c>
      <c r="E3" s="512"/>
      <c r="F3" s="583" t="s">
        <v>387</v>
      </c>
      <c r="G3" s="583"/>
      <c r="H3" s="584"/>
      <c r="I3" s="4"/>
      <c r="J3" s="4"/>
      <c r="K3" s="554"/>
      <c r="L3" s="552"/>
      <c r="M3" s="552"/>
      <c r="N3" s="552"/>
      <c r="O3" s="552"/>
      <c r="P3" s="552"/>
      <c r="Q3" s="552"/>
      <c r="R3" s="552"/>
      <c r="S3" s="552"/>
      <c r="T3" s="552"/>
      <c r="U3" s="552"/>
      <c r="V3" s="552"/>
      <c r="W3" s="552"/>
      <c r="X3" s="553"/>
      <c r="Y3" s="102"/>
    </row>
    <row r="4" spans="1:36" customFormat="1" ht="16.5" hidden="1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54"/>
      <c r="L4" s="552"/>
      <c r="M4" s="552"/>
      <c r="N4" s="552"/>
      <c r="O4" s="552"/>
      <c r="P4" s="552"/>
      <c r="Q4" s="552"/>
      <c r="R4" s="552"/>
      <c r="S4" s="552"/>
      <c r="T4" s="552"/>
      <c r="U4" s="552"/>
      <c r="V4" s="552"/>
      <c r="W4" s="552"/>
      <c r="X4" s="553"/>
      <c r="Y4" s="103"/>
    </row>
    <row r="5" spans="1:36" customFormat="1" ht="22.35" hidden="1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54"/>
      <c r="L5" s="552"/>
      <c r="M5" s="552"/>
      <c r="N5" s="552"/>
      <c r="O5" s="552"/>
      <c r="P5" s="552"/>
      <c r="Q5" s="552"/>
      <c r="R5" s="552"/>
      <c r="S5" s="552"/>
      <c r="T5" s="552"/>
      <c r="U5" s="552"/>
      <c r="V5" s="552"/>
      <c r="W5" s="552"/>
      <c r="X5" s="553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07.25" hidden="1" customHeight="1" thickBot="1">
      <c r="A6" s="2"/>
      <c r="B6" s="2"/>
      <c r="C6" s="98"/>
      <c r="D6" s="537" t="s">
        <v>388</v>
      </c>
      <c r="E6" s="538"/>
      <c r="F6" s="538"/>
      <c r="G6" s="538"/>
      <c r="H6" s="539"/>
      <c r="I6" s="406"/>
      <c r="J6" s="406"/>
      <c r="K6" s="555"/>
      <c r="L6" s="556"/>
      <c r="M6" s="556"/>
      <c r="N6" s="556"/>
      <c r="O6" s="556"/>
      <c r="P6" s="556"/>
      <c r="Q6" s="556"/>
      <c r="R6" s="556"/>
      <c r="S6" s="556"/>
      <c r="T6" s="556"/>
      <c r="U6" s="556"/>
      <c r="V6" s="556"/>
      <c r="W6" s="556"/>
      <c r="X6" s="557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hidden="1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",aurora_data!V732)</f>
        <v>Last Refreshed at: 09/17/2026 @ 7:19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1"/>
      <c r="AE8" s="541"/>
      <c r="AF8" s="541"/>
      <c r="AG8" s="566"/>
      <c r="AH8" s="356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28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29"/>
      <c r="AE9" s="529"/>
      <c r="AF9" s="529"/>
      <c r="AG9" s="592"/>
      <c r="AH9" s="34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476"/>
      <c r="AE10" s="476"/>
      <c r="AF10" s="476"/>
      <c r="AG10" s="593"/>
      <c r="AH10" s="348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2" t="s">
        <v>389</v>
      </c>
      <c r="AE11" s="93" t="s">
        <v>50</v>
      </c>
      <c r="AF11" s="93">
        <v>4</v>
      </c>
      <c r="AG11" s="357">
        <v>5</v>
      </c>
      <c r="AH11" s="348"/>
      <c r="AI11" s="550"/>
      <c r="AJ11" s="551"/>
    </row>
    <row r="12" spans="1:36" customFormat="1">
      <c r="A12" s="2"/>
      <c r="B12" s="451" t="s">
        <v>338</v>
      </c>
      <c r="C12" s="453" t="str">
        <f>aurora_data!A732</f>
        <v>06.00.00-06.11.30</v>
      </c>
      <c r="D12" s="34" t="s">
        <v>306</v>
      </c>
      <c r="E12" s="39">
        <f>aurora_data!D732</f>
        <v>0.26</v>
      </c>
      <c r="F12" s="40">
        <f>aurora_data!E732</f>
        <v>0.5</v>
      </c>
      <c r="G12" s="40">
        <f>aurora_data!F732</f>
        <v>1.98</v>
      </c>
      <c r="H12" s="40">
        <f>aurora_data!G732</f>
        <v>3.22</v>
      </c>
      <c r="I12" s="41">
        <f>aurora_data!H732</f>
        <v>4.04</v>
      </c>
      <c r="J12" s="39">
        <f>aurora_data!I732</f>
        <v>1</v>
      </c>
      <c r="K12" s="40">
        <f>aurora_data!J732</f>
        <v>1</v>
      </c>
      <c r="L12" s="40">
        <f>aurora_data!K732</f>
        <v>1</v>
      </c>
      <c r="M12" s="40">
        <f>aurora_data!L732</f>
        <v>1</v>
      </c>
      <c r="N12" s="41">
        <f>aurora_data!M732</f>
        <v>1</v>
      </c>
      <c r="O12" s="39">
        <f>aurora_data!N732</f>
        <v>1</v>
      </c>
      <c r="P12" s="40">
        <f>aurora_data!O732</f>
        <v>1</v>
      </c>
      <c r="Q12" s="40">
        <f>aurora_data!P732</f>
        <v>1</v>
      </c>
      <c r="R12" s="41">
        <f>aurora_data!Q732</f>
        <v>1</v>
      </c>
      <c r="S12" s="40">
        <f>aurora_data!R732</f>
        <v>1</v>
      </c>
      <c r="T12" s="40">
        <f>aurora_data!S732</f>
        <v>1</v>
      </c>
      <c r="U12" s="74">
        <f>aurora_data!T332</f>
        <v>0</v>
      </c>
      <c r="V12" s="61" t="s">
        <v>354</v>
      </c>
      <c r="W12" s="39">
        <f>IFERROR(aurora_data!U732,0)</f>
        <v>10</v>
      </c>
      <c r="X12" s="69">
        <f>IFERROR(W12/$W$12,0)</f>
        <v>1</v>
      </c>
      <c r="Y12" s="2"/>
      <c r="AA12" s="451" t="s">
        <v>338</v>
      </c>
      <c r="AB12" s="453" t="str">
        <f>aurora_data!A732</f>
        <v>06.00.00-06.11.30</v>
      </c>
      <c r="AC12" s="34" t="s">
        <v>306</v>
      </c>
      <c r="AD12" s="338">
        <v>2</v>
      </c>
      <c r="AE12" s="40">
        <v>2</v>
      </c>
      <c r="AF12" s="40">
        <v>3</v>
      </c>
      <c r="AG12" s="358">
        <v>3</v>
      </c>
      <c r="AH12" s="350" t="s">
        <v>354</v>
      </c>
      <c r="AI12" s="39">
        <f>IFERROR(aurora_data!U732,0)</f>
        <v>10</v>
      </c>
      <c r="AJ12" s="69">
        <f t="shared" ref="AJ12:AJ20" si="0">IFERROR(AI12/$AI$12,0)</f>
        <v>1</v>
      </c>
    </row>
    <row r="13" spans="1:36" customFormat="1">
      <c r="A13" s="2"/>
      <c r="B13" s="452"/>
      <c r="C13" s="454"/>
      <c r="D13" s="35" t="s">
        <v>339</v>
      </c>
      <c r="E13" s="113">
        <f>aurora_data!D733</f>
        <v>1</v>
      </c>
      <c r="F13" s="253">
        <f>aurora_data!E733</f>
        <v>0</v>
      </c>
      <c r="G13" s="253">
        <f>aurora_data!F733</f>
        <v>2</v>
      </c>
      <c r="H13" s="253">
        <f>aurora_data!G733</f>
        <v>3</v>
      </c>
      <c r="I13" s="254">
        <f>aurora_data!H733</f>
        <v>3</v>
      </c>
      <c r="J13" s="113">
        <f>aurora_data!I733</f>
        <v>1</v>
      </c>
      <c r="K13" s="253">
        <f>aurora_data!J733</f>
        <v>1</v>
      </c>
      <c r="L13" s="253">
        <f>aurora_data!K733</f>
        <v>3</v>
      </c>
      <c r="M13" s="253">
        <f>aurora_data!L733</f>
        <v>1</v>
      </c>
      <c r="N13" s="254">
        <f>aurora_data!M733</f>
        <v>3</v>
      </c>
      <c r="O13" s="113">
        <f>aurora_data!N733</f>
        <v>3</v>
      </c>
      <c r="P13" s="253">
        <f>aurora_data!O733</f>
        <v>2</v>
      </c>
      <c r="Q13" s="253">
        <f>aurora_data!P733</f>
        <v>3</v>
      </c>
      <c r="R13" s="254">
        <f>aurora_data!Q733</f>
        <v>1</v>
      </c>
      <c r="S13" s="253">
        <f>aurora_data!R733</f>
        <v>5</v>
      </c>
      <c r="T13" s="253">
        <f>aurora_data!S733</f>
        <v>4</v>
      </c>
      <c r="U13" s="254">
        <f>aurora_data!T333</f>
        <v>0</v>
      </c>
      <c r="V13" s="61" t="s">
        <v>354</v>
      </c>
      <c r="W13" s="113">
        <f>IFERROR(aurora_data!U733,0)</f>
        <v>9</v>
      </c>
      <c r="X13" s="255">
        <f t="shared" ref="X13:X20" si="1">IFERROR(W13/$W$12,0)</f>
        <v>0.9</v>
      </c>
      <c r="Y13" s="2"/>
      <c r="AA13" s="452"/>
      <c r="AB13" s="454"/>
      <c r="AC13" s="35" t="s">
        <v>339</v>
      </c>
      <c r="AD13" s="113">
        <f>aurora_data!D733+aurora_data!E733</f>
        <v>1</v>
      </c>
      <c r="AE13" s="253">
        <f>aurora_data!F733</f>
        <v>2</v>
      </c>
      <c r="AF13" s="253">
        <f>aurora_data!G733</f>
        <v>3</v>
      </c>
      <c r="AG13" s="254">
        <f>aurora_data!H733</f>
        <v>3</v>
      </c>
      <c r="AH13" s="350" t="s">
        <v>354</v>
      </c>
      <c r="AI13" s="113">
        <f>IFERROR(aurora_data!U733,0)</f>
        <v>9</v>
      </c>
      <c r="AJ13" s="255">
        <f t="shared" si="0"/>
        <v>0.9</v>
      </c>
    </row>
    <row r="14" spans="1:36" customFormat="1">
      <c r="A14" s="2"/>
      <c r="B14" s="452"/>
      <c r="C14" s="454"/>
      <c r="D14" s="35" t="s">
        <v>291</v>
      </c>
      <c r="E14" s="113">
        <f>aurora_data!D734</f>
        <v>0</v>
      </c>
      <c r="F14" s="253">
        <f>aurora_data!E734</f>
        <v>0</v>
      </c>
      <c r="G14" s="253">
        <f>aurora_data!F734</f>
        <v>0</v>
      </c>
      <c r="H14" s="253">
        <f>aurora_data!G734</f>
        <v>1</v>
      </c>
      <c r="I14" s="254">
        <f>aurora_data!H734</f>
        <v>2</v>
      </c>
      <c r="J14" s="113">
        <f>aurora_data!I734</f>
        <v>0</v>
      </c>
      <c r="K14" s="253">
        <f>aurora_data!J734</f>
        <v>0</v>
      </c>
      <c r="L14" s="253">
        <f>aurora_data!K734</f>
        <v>0</v>
      </c>
      <c r="M14" s="253">
        <f>aurora_data!L734</f>
        <v>0</v>
      </c>
      <c r="N14" s="254">
        <f>aurora_data!M734</f>
        <v>3</v>
      </c>
      <c r="O14" s="113">
        <f>aurora_data!N734</f>
        <v>1</v>
      </c>
      <c r="P14" s="253">
        <f>aurora_data!O734</f>
        <v>1</v>
      </c>
      <c r="Q14" s="253">
        <f>aurora_data!P734</f>
        <v>0</v>
      </c>
      <c r="R14" s="254">
        <f>aurora_data!Q734</f>
        <v>1</v>
      </c>
      <c r="S14" s="253">
        <f>aurora_data!R734</f>
        <v>1</v>
      </c>
      <c r="T14" s="253">
        <f>aurora_data!S734</f>
        <v>2</v>
      </c>
      <c r="U14" s="254">
        <f>aurora_data!T334</f>
        <v>0</v>
      </c>
      <c r="V14" s="61" t="s">
        <v>354</v>
      </c>
      <c r="W14" s="113">
        <f>IFERROR(aurora_data!U734,0)</f>
        <v>3</v>
      </c>
      <c r="X14" s="255">
        <f t="shared" si="1"/>
        <v>0.3</v>
      </c>
      <c r="Y14" s="2"/>
      <c r="AA14" s="452"/>
      <c r="AB14" s="454"/>
      <c r="AC14" s="35" t="s">
        <v>291</v>
      </c>
      <c r="AD14" s="113">
        <f>aurora_data!D734+aurora_data!E734</f>
        <v>0</v>
      </c>
      <c r="AE14" s="253">
        <f>aurora_data!F734</f>
        <v>0</v>
      </c>
      <c r="AF14" s="253">
        <f>aurora_data!G734</f>
        <v>1</v>
      </c>
      <c r="AG14" s="254">
        <f>aurora_data!H734</f>
        <v>2</v>
      </c>
      <c r="AH14" s="350" t="s">
        <v>354</v>
      </c>
      <c r="AI14" s="113">
        <f>IFERROR(aurora_data!U734,0)</f>
        <v>3</v>
      </c>
      <c r="AJ14" s="255">
        <f t="shared" si="0"/>
        <v>0.3</v>
      </c>
    </row>
    <row r="15" spans="1:36" customFormat="1">
      <c r="A15" s="2"/>
      <c r="B15" s="452"/>
      <c r="C15" s="454"/>
      <c r="D15" s="35" t="s">
        <v>340</v>
      </c>
      <c r="E15" s="113">
        <f>aurora_data!D735</f>
        <v>0</v>
      </c>
      <c r="F15" s="253">
        <f>aurora_data!E735</f>
        <v>0</v>
      </c>
      <c r="G15" s="253">
        <f>aurora_data!F735</f>
        <v>0</v>
      </c>
      <c r="H15" s="253">
        <f>aurora_data!G735</f>
        <v>0</v>
      </c>
      <c r="I15" s="254">
        <f>aurora_data!H735</f>
        <v>0</v>
      </c>
      <c r="J15" s="113">
        <f>aurora_data!I735</f>
        <v>0</v>
      </c>
      <c r="K15" s="253">
        <f>aurora_data!J735</f>
        <v>0</v>
      </c>
      <c r="L15" s="253">
        <f>aurora_data!K735</f>
        <v>0</v>
      </c>
      <c r="M15" s="253">
        <f>aurora_data!L735</f>
        <v>0</v>
      </c>
      <c r="N15" s="254">
        <f>aurora_data!M735</f>
        <v>0</v>
      </c>
      <c r="O15" s="113">
        <f>aurora_data!N735</f>
        <v>0</v>
      </c>
      <c r="P15" s="253">
        <f>aurora_data!O735</f>
        <v>0</v>
      </c>
      <c r="Q15" s="253">
        <f>aurora_data!P735</f>
        <v>0</v>
      </c>
      <c r="R15" s="254">
        <f>aurora_data!Q735</f>
        <v>0</v>
      </c>
      <c r="S15" s="253">
        <f>aurora_data!R735</f>
        <v>0</v>
      </c>
      <c r="T15" s="253">
        <f>aurora_data!S735</f>
        <v>0</v>
      </c>
      <c r="U15" s="254">
        <f>aurora_data!T335</f>
        <v>0</v>
      </c>
      <c r="V15" s="61" t="s">
        <v>354</v>
      </c>
      <c r="W15" s="113">
        <f>IFERROR(aurora_data!U735,0)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aurora_data!D735+aurora_data!E735</f>
        <v>0</v>
      </c>
      <c r="AE15" s="253">
        <f>aurora_data!F735</f>
        <v>0</v>
      </c>
      <c r="AF15" s="253">
        <f>aurora_data!G735</f>
        <v>0</v>
      </c>
      <c r="AG15" s="254">
        <f>aurora_data!H735</f>
        <v>0</v>
      </c>
      <c r="AH15" s="350" t="s">
        <v>354</v>
      </c>
      <c r="AI15" s="113">
        <f>IFERROR(aurora_data!U735,0)</f>
        <v>0</v>
      </c>
      <c r="AJ15" s="255">
        <f t="shared" si="0"/>
        <v>0</v>
      </c>
    </row>
    <row r="16" spans="1:36" customFormat="1">
      <c r="A16" s="2"/>
      <c r="B16" s="452"/>
      <c r="C16" s="454"/>
      <c r="D16" s="35" t="s">
        <v>298</v>
      </c>
      <c r="E16" s="113">
        <f>aurora_data!D736</f>
        <v>0</v>
      </c>
      <c r="F16" s="253">
        <f>aurora_data!E736</f>
        <v>0</v>
      </c>
      <c r="G16" s="253">
        <f>aurora_data!F736</f>
        <v>0</v>
      </c>
      <c r="H16" s="253">
        <f>aurora_data!G736</f>
        <v>0</v>
      </c>
      <c r="I16" s="254">
        <f>aurora_data!H736</f>
        <v>0</v>
      </c>
      <c r="J16" s="113">
        <f>aurora_data!I736</f>
        <v>0</v>
      </c>
      <c r="K16" s="253">
        <f>aurora_data!J736</f>
        <v>0</v>
      </c>
      <c r="L16" s="253">
        <f>aurora_data!K736</f>
        <v>0</v>
      </c>
      <c r="M16" s="253">
        <f>aurora_data!L736</f>
        <v>0</v>
      </c>
      <c r="N16" s="254">
        <f>aurora_data!M736</f>
        <v>0</v>
      </c>
      <c r="O16" s="113">
        <f>aurora_data!N736</f>
        <v>0</v>
      </c>
      <c r="P16" s="253">
        <f>aurora_data!O736</f>
        <v>0</v>
      </c>
      <c r="Q16" s="253">
        <f>aurora_data!P736</f>
        <v>0</v>
      </c>
      <c r="R16" s="254">
        <f>aurora_data!Q736</f>
        <v>0</v>
      </c>
      <c r="S16" s="253">
        <f>aurora_data!R736</f>
        <v>0</v>
      </c>
      <c r="T16" s="253">
        <f>aurora_data!S736</f>
        <v>0</v>
      </c>
      <c r="U16" s="254">
        <f>aurora_data!T336</f>
        <v>0</v>
      </c>
      <c r="V16" s="61" t="s">
        <v>354</v>
      </c>
      <c r="W16" s="113">
        <f>IFERROR(aurora_data!U736,0)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aurora_data!D736+aurora_data!E736</f>
        <v>0</v>
      </c>
      <c r="AE16" s="253">
        <f>aurora_data!F736</f>
        <v>0</v>
      </c>
      <c r="AF16" s="253">
        <f>aurora_data!G736</f>
        <v>0</v>
      </c>
      <c r="AG16" s="254">
        <f>aurora_data!H736</f>
        <v>0</v>
      </c>
      <c r="AH16" s="350" t="s">
        <v>354</v>
      </c>
      <c r="AI16" s="113">
        <f>IFERROR(aurora_data!U736,0)</f>
        <v>0</v>
      </c>
      <c r="AJ16" s="255">
        <f t="shared" si="0"/>
        <v>0</v>
      </c>
    </row>
    <row r="17" spans="1:36" customFormat="1">
      <c r="A17" s="2"/>
      <c r="B17" s="452"/>
      <c r="C17" s="454"/>
      <c r="D17" s="35" t="s">
        <v>341</v>
      </c>
      <c r="E17" s="113">
        <f>aurora_data!D737</f>
        <v>1</v>
      </c>
      <c r="F17" s="253">
        <f>aurora_data!E737</f>
        <v>1</v>
      </c>
      <c r="G17" s="253">
        <f>aurora_data!F737</f>
        <v>0</v>
      </c>
      <c r="H17" s="253">
        <f>aurora_data!G737</f>
        <v>0</v>
      </c>
      <c r="I17" s="254">
        <f>aurora_data!H737</f>
        <v>0</v>
      </c>
      <c r="J17" s="113">
        <f>aurora_data!I737</f>
        <v>0</v>
      </c>
      <c r="K17" s="253">
        <f>aurora_data!J737</f>
        <v>0</v>
      </c>
      <c r="L17" s="253">
        <f>aurora_data!K737</f>
        <v>1</v>
      </c>
      <c r="M17" s="253">
        <f>aurora_data!L737</f>
        <v>0</v>
      </c>
      <c r="N17" s="254">
        <f>aurora_data!M737</f>
        <v>1</v>
      </c>
      <c r="O17" s="113">
        <f>aurora_data!N737</f>
        <v>0</v>
      </c>
      <c r="P17" s="253">
        <f>aurora_data!O737</f>
        <v>1</v>
      </c>
      <c r="Q17" s="253">
        <f>aurora_data!P737</f>
        <v>0</v>
      </c>
      <c r="R17" s="254">
        <f>aurora_data!Q737</f>
        <v>1</v>
      </c>
      <c r="S17" s="253">
        <f>aurora_data!R737</f>
        <v>2</v>
      </c>
      <c r="T17" s="253">
        <f>aurora_data!S737</f>
        <v>0</v>
      </c>
      <c r="U17" s="254">
        <f>aurora_data!T337</f>
        <v>0</v>
      </c>
      <c r="V17" s="61" t="s">
        <v>354</v>
      </c>
      <c r="W17" s="113">
        <f>IFERROR(aurora_data!U737,0)</f>
        <v>2</v>
      </c>
      <c r="X17" s="255">
        <f t="shared" si="1"/>
        <v>0.2</v>
      </c>
      <c r="Y17" s="2"/>
      <c r="AA17" s="452"/>
      <c r="AB17" s="454"/>
      <c r="AC17" s="35" t="s">
        <v>341</v>
      </c>
      <c r="AD17" s="113">
        <f>aurora_data!D737+aurora_data!E737</f>
        <v>2</v>
      </c>
      <c r="AE17" s="253">
        <f>aurora_data!F737</f>
        <v>0</v>
      </c>
      <c r="AF17" s="253">
        <f>aurora_data!G737</f>
        <v>0</v>
      </c>
      <c r="AG17" s="254">
        <f>aurora_data!H737</f>
        <v>0</v>
      </c>
      <c r="AH17" s="350" t="s">
        <v>354</v>
      </c>
      <c r="AI17" s="113">
        <f>IFERROR(aurora_data!U737,0)</f>
        <v>2</v>
      </c>
      <c r="AJ17" s="255">
        <f t="shared" si="0"/>
        <v>0.2</v>
      </c>
    </row>
    <row r="18" spans="1:36" customFormat="1" ht="16.5" thickBot="1">
      <c r="A18" s="2"/>
      <c r="B18" s="452"/>
      <c r="C18" s="454"/>
      <c r="D18" s="35" t="s">
        <v>342</v>
      </c>
      <c r="E18" s="113">
        <f>aurora_data!D738</f>
        <v>0</v>
      </c>
      <c r="F18" s="253">
        <f>aurora_data!E738</f>
        <v>0</v>
      </c>
      <c r="G18" s="253">
        <f>aurora_data!F738</f>
        <v>0</v>
      </c>
      <c r="H18" s="253">
        <f>aurora_data!G738</f>
        <v>0</v>
      </c>
      <c r="I18" s="254">
        <f>aurora_data!H738</f>
        <v>0</v>
      </c>
      <c r="J18" s="113">
        <f>aurora_data!I738</f>
        <v>0</v>
      </c>
      <c r="K18" s="253">
        <f>aurora_data!J738</f>
        <v>0</v>
      </c>
      <c r="L18" s="253">
        <f>aurora_data!K738</f>
        <v>0</v>
      </c>
      <c r="M18" s="253">
        <f>aurora_data!L738</f>
        <v>0</v>
      </c>
      <c r="N18" s="254">
        <f>aurora_data!M738</f>
        <v>0</v>
      </c>
      <c r="O18" s="113">
        <f>aurora_data!N738</f>
        <v>0</v>
      </c>
      <c r="P18" s="253">
        <f>aurora_data!O738</f>
        <v>0</v>
      </c>
      <c r="Q18" s="253">
        <f>aurora_data!P738</f>
        <v>0</v>
      </c>
      <c r="R18" s="254">
        <f>aurora_data!Q738</f>
        <v>0</v>
      </c>
      <c r="S18" s="253">
        <f>aurora_data!R738</f>
        <v>0</v>
      </c>
      <c r="T18" s="253">
        <f>aurora_data!S738</f>
        <v>0</v>
      </c>
      <c r="U18" s="254">
        <f>aurora_data!T338</f>
        <v>0</v>
      </c>
      <c r="V18" s="61" t="s">
        <v>354</v>
      </c>
      <c r="W18" s="113">
        <f>IFERROR(aurora_data!U738,0)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aurora_data!D738+aurora_data!E738</f>
        <v>0</v>
      </c>
      <c r="AE18" s="253">
        <f>aurora_data!F738</f>
        <v>0</v>
      </c>
      <c r="AF18" s="253">
        <f>aurora_data!G738</f>
        <v>0</v>
      </c>
      <c r="AG18" s="254">
        <f>aurora_data!H738</f>
        <v>0</v>
      </c>
      <c r="AH18" s="350" t="s">
        <v>354</v>
      </c>
      <c r="AI18" s="113">
        <f>IFERROR(aurora_data!U738,0)</f>
        <v>0</v>
      </c>
      <c r="AJ18" s="255">
        <f t="shared" si="0"/>
        <v>0</v>
      </c>
    </row>
    <row r="19" spans="1:36" customFormat="1" ht="16.5" thickBot="1">
      <c r="A19" s="2"/>
      <c r="B19" s="452"/>
      <c r="C19" s="454"/>
      <c r="D19" s="37" t="s">
        <v>17</v>
      </c>
      <c r="E19" s="59">
        <f>aurora_data!D739</f>
        <v>2</v>
      </c>
      <c r="F19" s="64">
        <f>aurora_data!E739</f>
        <v>1</v>
      </c>
      <c r="G19" s="64">
        <f>aurora_data!F739</f>
        <v>2</v>
      </c>
      <c r="H19" s="64">
        <f>aurora_data!G739</f>
        <v>4</v>
      </c>
      <c r="I19" s="65">
        <f>aurora_data!H739</f>
        <v>5</v>
      </c>
      <c r="J19" s="59">
        <f>aurora_data!I739</f>
        <v>1</v>
      </c>
      <c r="K19" s="64">
        <f>aurora_data!J739</f>
        <v>1</v>
      </c>
      <c r="L19" s="64">
        <f>aurora_data!K739</f>
        <v>4</v>
      </c>
      <c r="M19" s="64">
        <f>aurora_data!L739</f>
        <v>1</v>
      </c>
      <c r="N19" s="65">
        <f>aurora_data!M739</f>
        <v>7</v>
      </c>
      <c r="O19" s="59">
        <f>aurora_data!N739</f>
        <v>4</v>
      </c>
      <c r="P19" s="64">
        <f>aurora_data!O739</f>
        <v>4</v>
      </c>
      <c r="Q19" s="64">
        <f>aurora_data!P739</f>
        <v>3</v>
      </c>
      <c r="R19" s="65">
        <f>aurora_data!Q739</f>
        <v>3</v>
      </c>
      <c r="S19" s="64">
        <f>aurora_data!R739</f>
        <v>8</v>
      </c>
      <c r="T19" s="64">
        <f>aurora_data!S739</f>
        <v>6</v>
      </c>
      <c r="U19" s="65">
        <f>aurora_data!T339</f>
        <v>0</v>
      </c>
      <c r="V19" s="66" t="s">
        <v>354</v>
      </c>
      <c r="W19" s="59">
        <f>IFERROR(aurora_data!U739,0)</f>
        <v>14</v>
      </c>
      <c r="X19" s="70">
        <f t="shared" si="1"/>
        <v>1.4</v>
      </c>
      <c r="Y19" s="2"/>
      <c r="AA19" s="452"/>
      <c r="AB19" s="454"/>
      <c r="AC19" s="37" t="s">
        <v>17</v>
      </c>
      <c r="AD19" s="59">
        <f>aurora_data!D739+aurora_data!E739</f>
        <v>3</v>
      </c>
      <c r="AE19" s="64">
        <f>aurora_data!F739</f>
        <v>2</v>
      </c>
      <c r="AF19" s="64">
        <f>aurora_data!G739</f>
        <v>4</v>
      </c>
      <c r="AG19" s="65">
        <f>aurora_data!H739</f>
        <v>5</v>
      </c>
      <c r="AH19" s="351" t="s">
        <v>354</v>
      </c>
      <c r="AI19" s="59">
        <f>IFERROR(aurora_data!U739,0)</f>
        <v>14</v>
      </c>
      <c r="AJ19" s="70">
        <f t="shared" si="0"/>
        <v>1.4</v>
      </c>
    </row>
    <row r="20" spans="1:36" customFormat="1" ht="16.5" thickBot="1">
      <c r="A20" s="2"/>
      <c r="B20" s="452"/>
      <c r="C20" s="454"/>
      <c r="D20" s="38" t="s">
        <v>343</v>
      </c>
      <c r="E20" s="256">
        <f>aurora_data!D740</f>
        <v>0</v>
      </c>
      <c r="F20" s="257">
        <f>aurora_data!E740</f>
        <v>0</v>
      </c>
      <c r="G20" s="257">
        <f>aurora_data!F740</f>
        <v>0</v>
      </c>
      <c r="H20" s="257">
        <f>aurora_data!G740</f>
        <v>0</v>
      </c>
      <c r="I20" s="258">
        <f>aurora_data!H740</f>
        <v>0</v>
      </c>
      <c r="J20" s="256">
        <f>aurora_data!I740</f>
        <v>0</v>
      </c>
      <c r="K20" s="257">
        <f>aurora_data!J740</f>
        <v>0</v>
      </c>
      <c r="L20" s="257">
        <f>aurora_data!K740</f>
        <v>0</v>
      </c>
      <c r="M20" s="257">
        <f>aurora_data!L740</f>
        <v>0</v>
      </c>
      <c r="N20" s="258">
        <f>aurora_data!M740</f>
        <v>0</v>
      </c>
      <c r="O20" s="256">
        <f>aurora_data!N740</f>
        <v>0</v>
      </c>
      <c r="P20" s="257">
        <f>aurora_data!O740</f>
        <v>0</v>
      </c>
      <c r="Q20" s="257">
        <f>aurora_data!P740</f>
        <v>0</v>
      </c>
      <c r="R20" s="258">
        <f>aurora_data!Q740</f>
        <v>0</v>
      </c>
      <c r="S20" s="257">
        <f>aurora_data!R740</f>
        <v>0</v>
      </c>
      <c r="T20" s="257">
        <f>aurora_data!S740</f>
        <v>0</v>
      </c>
      <c r="U20" s="259">
        <f>aurora_data!T340</f>
        <v>0</v>
      </c>
      <c r="V20" s="260" t="s">
        <v>354</v>
      </c>
      <c r="W20" s="256">
        <f>IFERROR(aurora_data!U740,0)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aurora_data!D740+aurora_data!E740</f>
        <v>0</v>
      </c>
      <c r="AE20" s="257">
        <f>aurora_data!F740</f>
        <v>0</v>
      </c>
      <c r="AF20" s="257">
        <f>aurora_data!G740</f>
        <v>0</v>
      </c>
      <c r="AG20" s="258">
        <f>aurora_data!H740</f>
        <v>0</v>
      </c>
      <c r="AH20" s="352" t="s">
        <v>354</v>
      </c>
      <c r="AI20" s="256">
        <f>IFERROR(aurora_data!U740,0)</f>
        <v>0</v>
      </c>
      <c r="AJ20" s="261">
        <f t="shared" si="0"/>
        <v>0</v>
      </c>
    </row>
    <row r="21" spans="1:36" customFormat="1" ht="16.5" outlineLevel="1" thickBot="1">
      <c r="A21" s="2"/>
      <c r="B21" s="147"/>
      <c r="C21" s="227"/>
      <c r="D21" s="199" t="s">
        <v>344</v>
      </c>
      <c r="E21" s="276">
        <f>(E23+$E$9)*($W12)</f>
        <v>0.45999999999999996</v>
      </c>
      <c r="F21" s="277">
        <f>(F23+$E$9)*($W12)</f>
        <v>0.70000000000000007</v>
      </c>
      <c r="G21" s="277">
        <f>(G23+$E$9)*($W12)</f>
        <v>2.1800000000000002</v>
      </c>
      <c r="H21" s="277">
        <f>(H23+$E$9)*($W12)</f>
        <v>3.4200000000000004</v>
      </c>
      <c r="I21" s="277">
        <f>(I23+$E$9)*($W12)</f>
        <v>4.24</v>
      </c>
      <c r="J21" s="294"/>
      <c r="K21" s="295"/>
      <c r="L21" s="295"/>
      <c r="M21" s="295"/>
      <c r="N21" s="296"/>
      <c r="O21" s="294"/>
      <c r="P21" s="295"/>
      <c r="Q21" s="295"/>
      <c r="R21" s="296"/>
      <c r="S21" s="295"/>
      <c r="T21" s="295"/>
      <c r="U21" s="297"/>
      <c r="V21" s="298"/>
      <c r="W21" s="294"/>
      <c r="X21" s="299"/>
      <c r="Y21" s="2"/>
      <c r="AA21" s="147"/>
      <c r="AB21" s="227"/>
      <c r="AC21" s="199" t="s">
        <v>344</v>
      </c>
      <c r="AD21" s="294"/>
      <c r="AE21" s="295"/>
      <c r="AF21" s="295"/>
      <c r="AG21" s="296"/>
      <c r="AH21" s="350"/>
      <c r="AI21" s="294"/>
      <c r="AJ21" s="299"/>
    </row>
    <row r="22" spans="1:36" customFormat="1" ht="16.5" outlineLevel="1" thickBot="1">
      <c r="A22" s="2"/>
      <c r="B22" s="147"/>
      <c r="C22" s="227"/>
      <c r="D22" s="199" t="s">
        <v>345</v>
      </c>
      <c r="E22" s="276">
        <f>IF(ROUND(((E23-$E$9)*($W12))+0.25,0) &lt;=0,1,((E23-$E$9)*($W12))+0.25)</f>
        <v>1</v>
      </c>
      <c r="F22" s="277">
        <f>IF(ROUND(((F23-$E$9)*($W12))+0.25,0) &lt;=0,1,((F23-$E$9)*($W12))+0.25)</f>
        <v>0.55000000000000004</v>
      </c>
      <c r="G22" s="277">
        <f t="shared" ref="G22:I22" si="2">IF(ROUND(((G23-$E$9)*($W12))+0.25,0) &lt;=0,1,((G23-$E$9)*($W12))+0.25)</f>
        <v>2.0300000000000002</v>
      </c>
      <c r="H22" s="277">
        <f t="shared" si="2"/>
        <v>3.27</v>
      </c>
      <c r="I22" s="277">
        <f t="shared" si="2"/>
        <v>4.09</v>
      </c>
      <c r="J22" s="294"/>
      <c r="K22" s="295"/>
      <c r="L22" s="295"/>
      <c r="M22" s="295"/>
      <c r="N22" s="296"/>
      <c r="O22" s="294"/>
      <c r="P22" s="295"/>
      <c r="Q22" s="295"/>
      <c r="R22" s="296"/>
      <c r="S22" s="295"/>
      <c r="T22" s="295"/>
      <c r="U22" s="297"/>
      <c r="V22" s="298"/>
      <c r="W22" s="294"/>
      <c r="X22" s="299"/>
      <c r="Y22" s="2"/>
      <c r="AA22" s="147"/>
      <c r="AB22" s="227"/>
      <c r="AC22" s="199" t="s">
        <v>345</v>
      </c>
      <c r="AD22" s="294"/>
      <c r="AE22" s="295"/>
      <c r="AF22" s="295"/>
      <c r="AG22" s="296"/>
      <c r="AH22" s="350"/>
      <c r="AI22" s="294"/>
      <c r="AJ22" s="299"/>
    </row>
    <row r="23" spans="1:36" customFormat="1" ht="16.5" outlineLevel="1" thickBot="1">
      <c r="A23" s="2"/>
      <c r="B23" s="147"/>
      <c r="C23" s="227"/>
      <c r="D23" s="95" t="s">
        <v>346</v>
      </c>
      <c r="E23" s="414">
        <f>IFERROR(E12/$W12,0)</f>
        <v>2.6000000000000002E-2</v>
      </c>
      <c r="F23" s="415">
        <f t="shared" ref="F23:H23" si="3">IFERROR(F12/$W12,0)</f>
        <v>0.05</v>
      </c>
      <c r="G23" s="415">
        <f>IFERROR(G12/$W12,0)</f>
        <v>0.19800000000000001</v>
      </c>
      <c r="H23" s="415">
        <f t="shared" si="3"/>
        <v>0.32200000000000001</v>
      </c>
      <c r="I23" s="415">
        <f>IFERROR(I12/$W12,0)</f>
        <v>0.40400000000000003</v>
      </c>
      <c r="J23" s="294"/>
      <c r="K23" s="295"/>
      <c r="L23" s="295"/>
      <c r="M23" s="295"/>
      <c r="N23" s="296"/>
      <c r="O23" s="294"/>
      <c r="P23" s="295"/>
      <c r="Q23" s="295"/>
      <c r="R23" s="296"/>
      <c r="S23" s="295"/>
      <c r="T23" s="295"/>
      <c r="U23" s="297"/>
      <c r="V23" s="298"/>
      <c r="W23" s="294"/>
      <c r="X23" s="299"/>
      <c r="Y23" s="2"/>
      <c r="AA23" s="147"/>
      <c r="AB23" s="227"/>
      <c r="AC23" s="95" t="s">
        <v>346</v>
      </c>
      <c r="AD23" s="294"/>
      <c r="AE23" s="295"/>
      <c r="AF23" s="295"/>
      <c r="AG23" s="296"/>
      <c r="AH23" s="350"/>
      <c r="AI23" s="294"/>
      <c r="AJ23" s="299"/>
    </row>
    <row r="24" spans="1:36" customFormat="1" ht="16.5" outlineLevel="1" thickBot="1">
      <c r="A24" s="2"/>
      <c r="B24" s="147"/>
      <c r="C24" s="227"/>
      <c r="D24" s="180" t="s">
        <v>347</v>
      </c>
      <c r="E24" s="414">
        <f>IFERROR(E13/$W12,0)</f>
        <v>0.1</v>
      </c>
      <c r="F24" s="415">
        <f t="shared" ref="F24:I24" si="4">IFERROR(F13/$W12,0)</f>
        <v>0</v>
      </c>
      <c r="G24" s="415">
        <f t="shared" si="4"/>
        <v>0.2</v>
      </c>
      <c r="H24" s="415">
        <f t="shared" si="4"/>
        <v>0.3</v>
      </c>
      <c r="I24" s="415">
        <f t="shared" si="4"/>
        <v>0.3</v>
      </c>
      <c r="J24" s="294"/>
      <c r="K24" s="295"/>
      <c r="L24" s="295"/>
      <c r="M24" s="295"/>
      <c r="N24" s="296"/>
      <c r="O24" s="294"/>
      <c r="P24" s="295"/>
      <c r="Q24" s="295"/>
      <c r="R24" s="296"/>
      <c r="S24" s="295"/>
      <c r="T24" s="295"/>
      <c r="U24" s="297"/>
      <c r="V24" s="298"/>
      <c r="W24" s="294"/>
      <c r="X24" s="299"/>
      <c r="Y24" s="2"/>
      <c r="AA24" s="147"/>
      <c r="AB24" s="227"/>
      <c r="AC24" s="180" t="s">
        <v>347</v>
      </c>
      <c r="AD24" s="294"/>
      <c r="AE24" s="295"/>
      <c r="AF24" s="295"/>
      <c r="AG24" s="296"/>
      <c r="AH24" s="350"/>
      <c r="AI24" s="294"/>
      <c r="AJ24" s="299"/>
    </row>
    <row r="25" spans="1:36" customFormat="1" ht="16.5" outlineLevel="1" thickBot="1">
      <c r="A25" s="2"/>
      <c r="B25" s="147"/>
      <c r="C25" s="227"/>
      <c r="D25" s="180" t="s">
        <v>348</v>
      </c>
      <c r="E25" s="414">
        <f>E24-E23</f>
        <v>7.400000000000001E-2</v>
      </c>
      <c r="F25" s="415">
        <f t="shared" ref="F25:I25" si="5">F24-F23</f>
        <v>-0.05</v>
      </c>
      <c r="G25" s="415">
        <f t="shared" si="5"/>
        <v>2.0000000000000018E-3</v>
      </c>
      <c r="H25" s="415">
        <f t="shared" si="5"/>
        <v>-2.200000000000002E-2</v>
      </c>
      <c r="I25" s="415">
        <f t="shared" si="5"/>
        <v>-0.10400000000000004</v>
      </c>
      <c r="J25" s="294"/>
      <c r="K25" s="295"/>
      <c r="L25" s="295"/>
      <c r="M25" s="295"/>
      <c r="N25" s="296"/>
      <c r="O25" s="294"/>
      <c r="P25" s="295"/>
      <c r="Q25" s="295"/>
      <c r="R25" s="296"/>
      <c r="S25" s="295"/>
      <c r="T25" s="295"/>
      <c r="U25" s="297"/>
      <c r="V25" s="298"/>
      <c r="W25" s="294"/>
      <c r="X25" s="299"/>
      <c r="Y25" s="2"/>
      <c r="AA25" s="147"/>
      <c r="AB25" s="227"/>
      <c r="AC25" s="180" t="s">
        <v>348</v>
      </c>
      <c r="AD25" s="294"/>
      <c r="AE25" s="295"/>
      <c r="AF25" s="295"/>
      <c r="AG25" s="296"/>
      <c r="AH25" s="350"/>
      <c r="AI25" s="294"/>
      <c r="AJ25" s="299"/>
    </row>
    <row r="26" spans="1:36" customFormat="1">
      <c r="A26" s="2"/>
      <c r="B26" s="451" t="s">
        <v>338</v>
      </c>
      <c r="C26" s="453" t="str">
        <f>aurora_data!A741</f>
        <v>07.00.00-07.11.30</v>
      </c>
      <c r="D26" s="34" t="s">
        <v>306</v>
      </c>
      <c r="E26" s="39">
        <f>aurora_data!D741</f>
        <v>0.24</v>
      </c>
      <c r="F26" s="40">
        <f>aurora_data!E741</f>
        <v>0.48</v>
      </c>
      <c r="G26" s="40">
        <f>aurora_data!F741</f>
        <v>1.76</v>
      </c>
      <c r="H26" s="40">
        <f>aurora_data!G741</f>
        <v>2.93</v>
      </c>
      <c r="I26" s="41">
        <f>aurora_data!H741</f>
        <v>3.59</v>
      </c>
      <c r="J26" s="39">
        <f>aurora_data!I741</f>
        <v>1</v>
      </c>
      <c r="K26" s="40">
        <f>aurora_data!J741</f>
        <v>1</v>
      </c>
      <c r="L26" s="40">
        <f>aurora_data!K741</f>
        <v>1</v>
      </c>
      <c r="M26" s="40">
        <f>aurora_data!L741</f>
        <v>1</v>
      </c>
      <c r="N26" s="41">
        <f>aurora_data!M741</f>
        <v>1</v>
      </c>
      <c r="O26" s="39">
        <f>aurora_data!N741</f>
        <v>1</v>
      </c>
      <c r="P26" s="40">
        <f>aurora_data!O741</f>
        <v>1</v>
      </c>
      <c r="Q26" s="40">
        <f>aurora_data!P741</f>
        <v>1</v>
      </c>
      <c r="R26" s="41">
        <f>aurora_data!Q741</f>
        <v>1</v>
      </c>
      <c r="S26" s="40">
        <f>aurora_data!R741</f>
        <v>1</v>
      </c>
      <c r="T26" s="40">
        <f>aurora_data!S741</f>
        <v>1</v>
      </c>
      <c r="U26" s="41">
        <f>aurora_data!T341</f>
        <v>0</v>
      </c>
      <c r="V26" s="61" t="s">
        <v>354</v>
      </c>
      <c r="W26" s="39">
        <f>IFERROR(aurora_data!U741,0)</f>
        <v>9</v>
      </c>
      <c r="X26" s="69">
        <f>IFERROR(W26/$W$26,0)</f>
        <v>1</v>
      </c>
      <c r="Y26" s="2"/>
      <c r="AA26" s="451" t="s">
        <v>338</v>
      </c>
      <c r="AB26" s="453" t="str">
        <f>aurora_data!A741</f>
        <v>07.00.00-07.11.30</v>
      </c>
      <c r="AC26" s="34" t="s">
        <v>306</v>
      </c>
      <c r="AD26" s="338">
        <v>2</v>
      </c>
      <c r="AE26" s="40">
        <v>2</v>
      </c>
      <c r="AF26" s="337">
        <v>2</v>
      </c>
      <c r="AG26" s="358">
        <v>3</v>
      </c>
      <c r="AH26" s="350" t="s">
        <v>354</v>
      </c>
      <c r="AI26" s="39">
        <f>IFERROR(aurora_data!U741,0)</f>
        <v>9</v>
      </c>
      <c r="AJ26" s="69">
        <f t="shared" ref="AJ26:AJ34" si="6">IFERROR(AI26/$AI$26,0)</f>
        <v>1</v>
      </c>
    </row>
    <row r="27" spans="1:36" customFormat="1">
      <c r="A27" s="2"/>
      <c r="B27" s="452"/>
      <c r="C27" s="454"/>
      <c r="D27" s="35" t="s">
        <v>339</v>
      </c>
      <c r="E27" s="113">
        <f>aurora_data!D742</f>
        <v>1</v>
      </c>
      <c r="F27" s="253">
        <f>aurora_data!E742</f>
        <v>1</v>
      </c>
      <c r="G27" s="253">
        <f>aurora_data!F742</f>
        <v>1</v>
      </c>
      <c r="H27" s="253">
        <f>aurora_data!G742</f>
        <v>2</v>
      </c>
      <c r="I27" s="254">
        <f>aurora_data!H742</f>
        <v>3</v>
      </c>
      <c r="J27" s="113">
        <f>aurora_data!I742</f>
        <v>1</v>
      </c>
      <c r="K27" s="253">
        <f>aurora_data!J742</f>
        <v>1</v>
      </c>
      <c r="L27" s="253">
        <f>aurora_data!K742</f>
        <v>3</v>
      </c>
      <c r="M27" s="253">
        <f>aurora_data!L742</f>
        <v>2</v>
      </c>
      <c r="N27" s="254">
        <f>aurora_data!M742</f>
        <v>1</v>
      </c>
      <c r="O27" s="113">
        <f>aurora_data!N742</f>
        <v>3</v>
      </c>
      <c r="P27" s="253">
        <f>aurora_data!O742</f>
        <v>0</v>
      </c>
      <c r="Q27" s="253">
        <f>aurora_data!P742</f>
        <v>3</v>
      </c>
      <c r="R27" s="254">
        <f>aurora_data!Q742</f>
        <v>2</v>
      </c>
      <c r="S27" s="253">
        <f>aurora_data!R742</f>
        <v>6</v>
      </c>
      <c r="T27" s="253">
        <f>aurora_data!S742</f>
        <v>2</v>
      </c>
      <c r="U27" s="254">
        <f>aurora_data!T342</f>
        <v>0</v>
      </c>
      <c r="V27" s="61" t="s">
        <v>354</v>
      </c>
      <c r="W27" s="113">
        <f>IFERROR(aurora_data!U742,0)</f>
        <v>8</v>
      </c>
      <c r="X27" s="255">
        <f t="shared" ref="X27:X34" si="7">IFERROR(W27/$W$26,0)</f>
        <v>0.88888888888888884</v>
      </c>
      <c r="Y27" s="2"/>
      <c r="AA27" s="452"/>
      <c r="AB27" s="454"/>
      <c r="AC27" s="35" t="s">
        <v>339</v>
      </c>
      <c r="AD27" s="113">
        <f>aurora_data!D742+aurora_data!E742</f>
        <v>2</v>
      </c>
      <c r="AE27" s="253">
        <f>aurora_data!F742</f>
        <v>1</v>
      </c>
      <c r="AF27" s="253">
        <f>aurora_data!G742</f>
        <v>2</v>
      </c>
      <c r="AG27" s="254">
        <f>aurora_data!H742</f>
        <v>3</v>
      </c>
      <c r="AH27" s="350" t="s">
        <v>354</v>
      </c>
      <c r="AI27" s="113">
        <f>IFERROR(aurora_data!U742,0)</f>
        <v>8</v>
      </c>
      <c r="AJ27" s="255">
        <f t="shared" si="6"/>
        <v>0.88888888888888884</v>
      </c>
    </row>
    <row r="28" spans="1:36" customFormat="1">
      <c r="A28" s="2"/>
      <c r="B28" s="452"/>
      <c r="C28" s="454"/>
      <c r="D28" s="35" t="s">
        <v>291</v>
      </c>
      <c r="E28" s="113">
        <f>aurora_data!D743</f>
        <v>0</v>
      </c>
      <c r="F28" s="253">
        <f>aurora_data!E743</f>
        <v>0</v>
      </c>
      <c r="G28" s="253">
        <f>aurora_data!F743</f>
        <v>0</v>
      </c>
      <c r="H28" s="253">
        <f>aurora_data!G743</f>
        <v>2</v>
      </c>
      <c r="I28" s="254">
        <f>aurora_data!H743</f>
        <v>1</v>
      </c>
      <c r="J28" s="113">
        <f>aurora_data!I743</f>
        <v>0</v>
      </c>
      <c r="K28" s="253">
        <f>aurora_data!J743</f>
        <v>0</v>
      </c>
      <c r="L28" s="253">
        <f>aurora_data!K743</f>
        <v>0</v>
      </c>
      <c r="M28" s="253">
        <f>aurora_data!L743</f>
        <v>1</v>
      </c>
      <c r="N28" s="254">
        <f>aurora_data!M743</f>
        <v>2</v>
      </c>
      <c r="O28" s="113">
        <f>aurora_data!N743</f>
        <v>1</v>
      </c>
      <c r="P28" s="253">
        <f>aurora_data!O743</f>
        <v>0</v>
      </c>
      <c r="Q28" s="253">
        <f>aurora_data!P743</f>
        <v>2</v>
      </c>
      <c r="R28" s="254">
        <f>aurora_data!Q743</f>
        <v>0</v>
      </c>
      <c r="S28" s="253">
        <f>aurora_data!R743</f>
        <v>2</v>
      </c>
      <c r="T28" s="253">
        <f>aurora_data!S743</f>
        <v>1</v>
      </c>
      <c r="U28" s="254">
        <f>aurora_data!T343</f>
        <v>0</v>
      </c>
      <c r="V28" s="61" t="s">
        <v>354</v>
      </c>
      <c r="W28" s="113">
        <f>IFERROR(aurora_data!U743,0)</f>
        <v>3</v>
      </c>
      <c r="X28" s="255">
        <f t="shared" si="7"/>
        <v>0.33333333333333331</v>
      </c>
      <c r="Y28" s="2"/>
      <c r="AA28" s="452"/>
      <c r="AB28" s="454"/>
      <c r="AC28" s="35" t="s">
        <v>291</v>
      </c>
      <c r="AD28" s="113">
        <f>aurora_data!D743+aurora_data!E743</f>
        <v>0</v>
      </c>
      <c r="AE28" s="253">
        <f>aurora_data!F743</f>
        <v>0</v>
      </c>
      <c r="AF28" s="253">
        <f>aurora_data!G743</f>
        <v>2</v>
      </c>
      <c r="AG28" s="254">
        <f>aurora_data!H743</f>
        <v>1</v>
      </c>
      <c r="AH28" s="350" t="s">
        <v>354</v>
      </c>
      <c r="AI28" s="113">
        <f>IFERROR(aurora_data!U743,0)</f>
        <v>3</v>
      </c>
      <c r="AJ28" s="255">
        <f t="shared" si="6"/>
        <v>0.33333333333333331</v>
      </c>
    </row>
    <row r="29" spans="1:36" customFormat="1">
      <c r="A29" s="2"/>
      <c r="B29" s="452"/>
      <c r="C29" s="454"/>
      <c r="D29" s="35" t="s">
        <v>340</v>
      </c>
      <c r="E29" s="113">
        <f>aurora_data!D744</f>
        <v>0</v>
      </c>
      <c r="F29" s="253">
        <f>aurora_data!E744</f>
        <v>0</v>
      </c>
      <c r="G29" s="253">
        <f>aurora_data!F744</f>
        <v>0</v>
      </c>
      <c r="H29" s="253">
        <f>aurora_data!G744</f>
        <v>0</v>
      </c>
      <c r="I29" s="254">
        <f>aurora_data!H744</f>
        <v>0</v>
      </c>
      <c r="J29" s="113">
        <f>aurora_data!I744</f>
        <v>0</v>
      </c>
      <c r="K29" s="253">
        <f>aurora_data!J744</f>
        <v>0</v>
      </c>
      <c r="L29" s="253">
        <f>aurora_data!K744</f>
        <v>0</v>
      </c>
      <c r="M29" s="253">
        <f>aurora_data!L744</f>
        <v>0</v>
      </c>
      <c r="N29" s="254">
        <f>aurora_data!M744</f>
        <v>0</v>
      </c>
      <c r="O29" s="113">
        <f>aurora_data!N744</f>
        <v>0</v>
      </c>
      <c r="P29" s="253">
        <f>aurora_data!O744</f>
        <v>0</v>
      </c>
      <c r="Q29" s="253">
        <f>aurora_data!P744</f>
        <v>0</v>
      </c>
      <c r="R29" s="254">
        <f>aurora_data!Q744</f>
        <v>0</v>
      </c>
      <c r="S29" s="253">
        <f>aurora_data!R744</f>
        <v>0</v>
      </c>
      <c r="T29" s="253">
        <f>aurora_data!S744</f>
        <v>0</v>
      </c>
      <c r="U29" s="254">
        <f>aurora_data!T344</f>
        <v>0</v>
      </c>
      <c r="V29" s="61" t="s">
        <v>354</v>
      </c>
      <c r="W29" s="113">
        <f>IFERROR(aurora_data!U744,0)</f>
        <v>0</v>
      </c>
      <c r="X29" s="255">
        <f t="shared" si="7"/>
        <v>0</v>
      </c>
      <c r="Y29" s="2"/>
      <c r="AA29" s="452"/>
      <c r="AB29" s="454"/>
      <c r="AC29" s="35" t="s">
        <v>340</v>
      </c>
      <c r="AD29" s="113">
        <f>aurora_data!D744+aurora_data!E744</f>
        <v>0</v>
      </c>
      <c r="AE29" s="253">
        <f>aurora_data!F744</f>
        <v>0</v>
      </c>
      <c r="AF29" s="253">
        <f>aurora_data!G744</f>
        <v>0</v>
      </c>
      <c r="AG29" s="254">
        <f>aurora_data!H744</f>
        <v>0</v>
      </c>
      <c r="AH29" s="350" t="s">
        <v>354</v>
      </c>
      <c r="AI29" s="113">
        <f>IFERROR(aurora_data!U744,0)</f>
        <v>0</v>
      </c>
      <c r="AJ29" s="255">
        <f t="shared" si="6"/>
        <v>0</v>
      </c>
    </row>
    <row r="30" spans="1:36" customFormat="1">
      <c r="A30" s="2"/>
      <c r="B30" s="452"/>
      <c r="C30" s="454"/>
      <c r="D30" s="35" t="s">
        <v>298</v>
      </c>
      <c r="E30" s="113">
        <f>aurora_data!D745</f>
        <v>0</v>
      </c>
      <c r="F30" s="253">
        <f>aurora_data!E745</f>
        <v>0</v>
      </c>
      <c r="G30" s="253">
        <f>aurora_data!F745</f>
        <v>1</v>
      </c>
      <c r="H30" s="253">
        <f>aurora_data!G745</f>
        <v>0</v>
      </c>
      <c r="I30" s="254">
        <f>aurora_data!H745</f>
        <v>0</v>
      </c>
      <c r="J30" s="113">
        <f>aurora_data!I745</f>
        <v>0</v>
      </c>
      <c r="K30" s="253">
        <f>aurora_data!J745</f>
        <v>0</v>
      </c>
      <c r="L30" s="253">
        <f>aurora_data!K745</f>
        <v>0</v>
      </c>
      <c r="M30" s="253">
        <f>aurora_data!L745</f>
        <v>0</v>
      </c>
      <c r="N30" s="254">
        <f>aurora_data!M745</f>
        <v>1</v>
      </c>
      <c r="O30" s="113">
        <f>aurora_data!N745</f>
        <v>0</v>
      </c>
      <c r="P30" s="253">
        <f>aurora_data!O745</f>
        <v>0</v>
      </c>
      <c r="Q30" s="253">
        <f>aurora_data!P745</f>
        <v>0</v>
      </c>
      <c r="R30" s="254">
        <f>aurora_data!Q745</f>
        <v>1</v>
      </c>
      <c r="S30" s="253">
        <f>aurora_data!R745</f>
        <v>0</v>
      </c>
      <c r="T30" s="253">
        <f>aurora_data!S745</f>
        <v>1</v>
      </c>
      <c r="U30" s="254">
        <f>aurora_data!T345</f>
        <v>0</v>
      </c>
      <c r="V30" s="61" t="s">
        <v>354</v>
      </c>
      <c r="W30" s="113">
        <f>IFERROR(aurora_data!U745,0)</f>
        <v>1</v>
      </c>
      <c r="X30" s="255">
        <f t="shared" si="7"/>
        <v>0.1111111111111111</v>
      </c>
      <c r="Y30" s="2"/>
      <c r="AA30" s="452"/>
      <c r="AB30" s="454"/>
      <c r="AC30" s="35" t="s">
        <v>298</v>
      </c>
      <c r="AD30" s="113">
        <f>aurora_data!D745+aurora_data!E745</f>
        <v>0</v>
      </c>
      <c r="AE30" s="253">
        <f>aurora_data!F745</f>
        <v>1</v>
      </c>
      <c r="AF30" s="253">
        <f>aurora_data!G745</f>
        <v>0</v>
      </c>
      <c r="AG30" s="254">
        <f>aurora_data!H745</f>
        <v>0</v>
      </c>
      <c r="AH30" s="350" t="s">
        <v>354</v>
      </c>
      <c r="AI30" s="113">
        <f>IFERROR(aurora_data!U745,0)</f>
        <v>1</v>
      </c>
      <c r="AJ30" s="255">
        <f t="shared" si="6"/>
        <v>0.1111111111111111</v>
      </c>
    </row>
    <row r="31" spans="1:36" customFormat="1">
      <c r="A31" s="2"/>
      <c r="B31" s="452"/>
      <c r="C31" s="454"/>
      <c r="D31" s="35" t="s">
        <v>341</v>
      </c>
      <c r="E31" s="113">
        <f>aurora_data!D746</f>
        <v>0</v>
      </c>
      <c r="F31" s="253">
        <f>aurora_data!E746</f>
        <v>0</v>
      </c>
      <c r="G31" s="253">
        <f>aurora_data!F746</f>
        <v>1</v>
      </c>
      <c r="H31" s="253">
        <f>aurora_data!G746</f>
        <v>0</v>
      </c>
      <c r="I31" s="254">
        <f>aurora_data!H746</f>
        <v>0</v>
      </c>
      <c r="J31" s="113">
        <f>aurora_data!I746</f>
        <v>0</v>
      </c>
      <c r="K31" s="253">
        <f>aurora_data!J746</f>
        <v>0</v>
      </c>
      <c r="L31" s="253">
        <f>aurora_data!K746</f>
        <v>1</v>
      </c>
      <c r="M31" s="253">
        <f>aurora_data!L746</f>
        <v>0</v>
      </c>
      <c r="N31" s="254">
        <f>aurora_data!M746</f>
        <v>0</v>
      </c>
      <c r="O31" s="113">
        <f>aurora_data!N746</f>
        <v>0</v>
      </c>
      <c r="P31" s="253">
        <f>aurora_data!O746</f>
        <v>0</v>
      </c>
      <c r="Q31" s="253">
        <f>aurora_data!P746</f>
        <v>0</v>
      </c>
      <c r="R31" s="254">
        <f>aurora_data!Q746</f>
        <v>1</v>
      </c>
      <c r="S31" s="253">
        <f>aurora_data!R746</f>
        <v>1</v>
      </c>
      <c r="T31" s="253">
        <f>aurora_data!S746</f>
        <v>0</v>
      </c>
      <c r="U31" s="254">
        <f>aurora_data!T346</f>
        <v>0</v>
      </c>
      <c r="V31" s="61" t="s">
        <v>354</v>
      </c>
      <c r="W31" s="113">
        <f>IFERROR(aurora_data!U746,0)</f>
        <v>1</v>
      </c>
      <c r="X31" s="255">
        <f t="shared" si="7"/>
        <v>0.1111111111111111</v>
      </c>
      <c r="Y31" s="2"/>
      <c r="AA31" s="452"/>
      <c r="AB31" s="454"/>
      <c r="AC31" s="35" t="s">
        <v>341</v>
      </c>
      <c r="AD31" s="113">
        <f>aurora_data!D746+aurora_data!E746</f>
        <v>0</v>
      </c>
      <c r="AE31" s="253">
        <f>aurora_data!F746</f>
        <v>1</v>
      </c>
      <c r="AF31" s="253">
        <f>aurora_data!G746</f>
        <v>0</v>
      </c>
      <c r="AG31" s="254">
        <f>aurora_data!H746</f>
        <v>0</v>
      </c>
      <c r="AH31" s="350" t="s">
        <v>354</v>
      </c>
      <c r="AI31" s="113">
        <f>IFERROR(aurora_data!U746,0)</f>
        <v>1</v>
      </c>
      <c r="AJ31" s="255">
        <f t="shared" si="6"/>
        <v>0.1111111111111111</v>
      </c>
    </row>
    <row r="32" spans="1:36" customFormat="1" ht="16.5" thickBot="1">
      <c r="A32" s="2"/>
      <c r="B32" s="452"/>
      <c r="C32" s="454"/>
      <c r="D32" s="35" t="s">
        <v>342</v>
      </c>
      <c r="E32" s="113">
        <f>aurora_data!D747</f>
        <v>0</v>
      </c>
      <c r="F32" s="253">
        <f>aurora_data!E747</f>
        <v>0</v>
      </c>
      <c r="G32" s="253">
        <f>aurora_data!F747</f>
        <v>0</v>
      </c>
      <c r="H32" s="253">
        <f>aurora_data!G747</f>
        <v>0</v>
      </c>
      <c r="I32" s="254">
        <f>aurora_data!H747</f>
        <v>0</v>
      </c>
      <c r="J32" s="113">
        <f>aurora_data!I747</f>
        <v>0</v>
      </c>
      <c r="K32" s="253">
        <f>aurora_data!J747</f>
        <v>0</v>
      </c>
      <c r="L32" s="253">
        <f>aurora_data!K747</f>
        <v>0</v>
      </c>
      <c r="M32" s="253">
        <f>aurora_data!L747</f>
        <v>0</v>
      </c>
      <c r="N32" s="254">
        <f>aurora_data!M747</f>
        <v>0</v>
      </c>
      <c r="O32" s="113">
        <f>aurora_data!N747</f>
        <v>0</v>
      </c>
      <c r="P32" s="253">
        <f>aurora_data!O747</f>
        <v>0</v>
      </c>
      <c r="Q32" s="253">
        <f>aurora_data!P747</f>
        <v>0</v>
      </c>
      <c r="R32" s="254">
        <f>aurora_data!Q747</f>
        <v>0</v>
      </c>
      <c r="S32" s="253">
        <f>aurora_data!R747</f>
        <v>0</v>
      </c>
      <c r="T32" s="253">
        <f>aurora_data!S747</f>
        <v>0</v>
      </c>
      <c r="U32" s="254">
        <f>aurora_data!T347</f>
        <v>0</v>
      </c>
      <c r="V32" s="61" t="s">
        <v>354</v>
      </c>
      <c r="W32" s="113">
        <f>IFERROR(aurora_data!U747,0)</f>
        <v>0</v>
      </c>
      <c r="X32" s="255">
        <f t="shared" si="7"/>
        <v>0</v>
      </c>
      <c r="Y32" s="2"/>
      <c r="AA32" s="452"/>
      <c r="AB32" s="454"/>
      <c r="AC32" s="35" t="s">
        <v>342</v>
      </c>
      <c r="AD32" s="113">
        <f>aurora_data!D747+aurora_data!E747</f>
        <v>0</v>
      </c>
      <c r="AE32" s="253">
        <f>aurora_data!F747</f>
        <v>0</v>
      </c>
      <c r="AF32" s="253">
        <f>aurora_data!G747</f>
        <v>0</v>
      </c>
      <c r="AG32" s="254">
        <f>aurora_data!H747</f>
        <v>0</v>
      </c>
      <c r="AH32" s="350" t="s">
        <v>354</v>
      </c>
      <c r="AI32" s="113">
        <f>IFERROR(aurora_data!U747,0)</f>
        <v>0</v>
      </c>
      <c r="AJ32" s="255">
        <f t="shared" si="6"/>
        <v>0</v>
      </c>
    </row>
    <row r="33" spans="1:36" customFormat="1" ht="16.5" thickBot="1">
      <c r="A33" s="2"/>
      <c r="B33" s="452"/>
      <c r="C33" s="454"/>
      <c r="D33" s="37" t="s">
        <v>17</v>
      </c>
      <c r="E33" s="59">
        <f>aurora_data!D748</f>
        <v>1</v>
      </c>
      <c r="F33" s="64">
        <f>aurora_data!E748</f>
        <v>1</v>
      </c>
      <c r="G33" s="64">
        <f>aurora_data!F748</f>
        <v>3</v>
      </c>
      <c r="H33" s="64">
        <f>aurora_data!G748</f>
        <v>4</v>
      </c>
      <c r="I33" s="65">
        <f>aurora_data!H748</f>
        <v>4</v>
      </c>
      <c r="J33" s="59">
        <f>aurora_data!I748</f>
        <v>1</v>
      </c>
      <c r="K33" s="64">
        <f>aurora_data!J748</f>
        <v>1</v>
      </c>
      <c r="L33" s="64">
        <f>aurora_data!K748</f>
        <v>4</v>
      </c>
      <c r="M33" s="64">
        <f>aurora_data!L748</f>
        <v>3</v>
      </c>
      <c r="N33" s="65">
        <f>aurora_data!M748</f>
        <v>4</v>
      </c>
      <c r="O33" s="59">
        <f>aurora_data!N748</f>
        <v>4</v>
      </c>
      <c r="P33" s="64">
        <f>aurora_data!O748</f>
        <v>0</v>
      </c>
      <c r="Q33" s="64">
        <f>aurora_data!P748</f>
        <v>5</v>
      </c>
      <c r="R33" s="65">
        <f>aurora_data!Q748</f>
        <v>4</v>
      </c>
      <c r="S33" s="64">
        <f>aurora_data!R748</f>
        <v>9</v>
      </c>
      <c r="T33" s="64">
        <f>aurora_data!S748</f>
        <v>4</v>
      </c>
      <c r="U33" s="65">
        <f>aurora_data!T348</f>
        <v>0</v>
      </c>
      <c r="V33" s="66" t="s">
        <v>354</v>
      </c>
      <c r="W33" s="59">
        <f>IFERROR(aurora_data!U748,0)</f>
        <v>13</v>
      </c>
      <c r="X33" s="70">
        <f t="shared" si="7"/>
        <v>1.4444444444444444</v>
      </c>
      <c r="Y33" s="2"/>
      <c r="AA33" s="452"/>
      <c r="AB33" s="454"/>
      <c r="AC33" s="37" t="s">
        <v>17</v>
      </c>
      <c r="AD33" s="59">
        <f>aurora_data!D748+aurora_data!E748</f>
        <v>2</v>
      </c>
      <c r="AE33" s="64">
        <f>aurora_data!F748</f>
        <v>3</v>
      </c>
      <c r="AF33" s="64">
        <f>aurora_data!G748</f>
        <v>4</v>
      </c>
      <c r="AG33" s="65">
        <f>aurora_data!H748</f>
        <v>4</v>
      </c>
      <c r="AH33" s="351" t="s">
        <v>354</v>
      </c>
      <c r="AI33" s="59">
        <f>IFERROR(aurora_data!U748,0)</f>
        <v>13</v>
      </c>
      <c r="AJ33" s="70">
        <f t="shared" si="6"/>
        <v>1.4444444444444444</v>
      </c>
    </row>
    <row r="34" spans="1:36" customFormat="1" ht="16.5" thickBot="1">
      <c r="A34" s="2"/>
      <c r="B34" s="452"/>
      <c r="C34" s="454"/>
      <c r="D34" s="38" t="s">
        <v>343</v>
      </c>
      <c r="E34" s="256">
        <f>aurora_data!D749</f>
        <v>0</v>
      </c>
      <c r="F34" s="257">
        <f>aurora_data!E749</f>
        <v>0</v>
      </c>
      <c r="G34" s="257">
        <f>aurora_data!F749</f>
        <v>0</v>
      </c>
      <c r="H34" s="257">
        <f>aurora_data!G749</f>
        <v>0</v>
      </c>
      <c r="I34" s="258">
        <f>aurora_data!H749</f>
        <v>0</v>
      </c>
      <c r="J34" s="256">
        <f>aurora_data!I749</f>
        <v>0</v>
      </c>
      <c r="K34" s="257">
        <f>aurora_data!J749</f>
        <v>0</v>
      </c>
      <c r="L34" s="257">
        <f>aurora_data!K749</f>
        <v>0</v>
      </c>
      <c r="M34" s="257">
        <f>aurora_data!L749</f>
        <v>0</v>
      </c>
      <c r="N34" s="258">
        <f>aurora_data!M749</f>
        <v>0</v>
      </c>
      <c r="O34" s="256">
        <f>aurora_data!N749</f>
        <v>0</v>
      </c>
      <c r="P34" s="257">
        <f>aurora_data!O749</f>
        <v>0</v>
      </c>
      <c r="Q34" s="257">
        <f>aurora_data!P749</f>
        <v>0</v>
      </c>
      <c r="R34" s="258">
        <f>aurora_data!Q749</f>
        <v>0</v>
      </c>
      <c r="S34" s="257">
        <f>aurora_data!R749</f>
        <v>0</v>
      </c>
      <c r="T34" s="257">
        <f>aurora_data!S749</f>
        <v>0</v>
      </c>
      <c r="U34" s="259">
        <f>aurora_data!T349</f>
        <v>0</v>
      </c>
      <c r="V34" s="260" t="s">
        <v>354</v>
      </c>
      <c r="W34" s="256">
        <f>IFERROR(aurora_data!U749,0)</f>
        <v>0</v>
      </c>
      <c r="X34" s="261">
        <f t="shared" si="7"/>
        <v>0</v>
      </c>
      <c r="Y34" s="2"/>
      <c r="AA34" s="452"/>
      <c r="AB34" s="454"/>
      <c r="AC34" s="38" t="s">
        <v>343</v>
      </c>
      <c r="AD34" s="256">
        <f>aurora_data!D749+aurora_data!E749</f>
        <v>0</v>
      </c>
      <c r="AE34" s="257">
        <f>aurora_data!F749</f>
        <v>0</v>
      </c>
      <c r="AF34" s="257">
        <f>aurora_data!G749</f>
        <v>0</v>
      </c>
      <c r="AG34" s="258">
        <f>aurora_data!H749</f>
        <v>0</v>
      </c>
      <c r="AH34" s="352" t="s">
        <v>354</v>
      </c>
      <c r="AI34" s="256">
        <f>IFERROR(aurora_data!U749,0)</f>
        <v>0</v>
      </c>
      <c r="AJ34" s="261">
        <f t="shared" si="6"/>
        <v>0</v>
      </c>
    </row>
    <row r="35" spans="1:36" customFormat="1" ht="16.5" outlineLevel="1" thickBot="1">
      <c r="A35" s="2"/>
      <c r="B35" s="147"/>
      <c r="C35" s="227"/>
      <c r="D35" s="199" t="s">
        <v>344</v>
      </c>
      <c r="E35" s="276">
        <f>(E37+$E$9)*($W26)</f>
        <v>0.41999999999999993</v>
      </c>
      <c r="F35" s="277">
        <f>(F37+$E$9)*($W26)</f>
        <v>0.66</v>
      </c>
      <c r="G35" s="277">
        <f>(G37+$E$9)*($W26)</f>
        <v>1.94</v>
      </c>
      <c r="H35" s="277">
        <f>(H37+$E$9)*($W26)</f>
        <v>3.1100000000000003</v>
      </c>
      <c r="I35" s="277">
        <f>(I37+$E$9)*($W26)</f>
        <v>3.7699999999999996</v>
      </c>
      <c r="J35" s="294"/>
      <c r="K35" s="295"/>
      <c r="L35" s="295"/>
      <c r="M35" s="295"/>
      <c r="N35" s="296"/>
      <c r="O35" s="294"/>
      <c r="P35" s="295"/>
      <c r="Q35" s="295"/>
      <c r="R35" s="296"/>
      <c r="S35" s="295"/>
      <c r="T35" s="295"/>
      <c r="U35" s="297"/>
      <c r="V35" s="298"/>
      <c r="W35" s="294"/>
      <c r="X35" s="299"/>
      <c r="Y35" s="2"/>
      <c r="AA35" s="147"/>
      <c r="AB35" s="227"/>
      <c r="AC35" s="199" t="s">
        <v>344</v>
      </c>
      <c r="AD35" s="294"/>
      <c r="AE35" s="295"/>
      <c r="AF35" s="295"/>
      <c r="AG35" s="296"/>
      <c r="AH35" s="350"/>
      <c r="AI35" s="294"/>
      <c r="AJ35" s="299"/>
    </row>
    <row r="36" spans="1:36" customFormat="1" ht="16.5" outlineLevel="1" thickBot="1">
      <c r="A36" s="2"/>
      <c r="B36" s="147"/>
      <c r="C36" s="227"/>
      <c r="D36" s="199" t="s">
        <v>345</v>
      </c>
      <c r="E36" s="276">
        <f>IF(ROUND(((E37-$E$9)*($W26))+0.25,0) &lt;=0,1,((E37-$E$9)*($W26))+0.25)</f>
        <v>1</v>
      </c>
      <c r="F36" s="277">
        <f>IF(ROUND(((F37-$E$9)*($W26))+0.25,0) &lt;=0,1,((F37-$E$9)*($W26))+0.25)</f>
        <v>0.54999999999999993</v>
      </c>
      <c r="G36" s="277">
        <f t="shared" ref="G36:I36" si="8">IF(ROUND(((G37-$E$9)*($W26))+0.25,0) &lt;=0,1,((G37-$E$9)*($W26))+0.25)</f>
        <v>1.83</v>
      </c>
      <c r="H36" s="277">
        <f t="shared" si="8"/>
        <v>3</v>
      </c>
      <c r="I36" s="277">
        <f t="shared" si="8"/>
        <v>3.6599999999999993</v>
      </c>
      <c r="J36" s="294"/>
      <c r="K36" s="295"/>
      <c r="L36" s="295"/>
      <c r="M36" s="295"/>
      <c r="N36" s="296"/>
      <c r="O36" s="294"/>
      <c r="P36" s="295"/>
      <c r="Q36" s="295"/>
      <c r="R36" s="296"/>
      <c r="S36" s="295"/>
      <c r="T36" s="295"/>
      <c r="U36" s="297"/>
      <c r="V36" s="298"/>
      <c r="W36" s="294"/>
      <c r="X36" s="299"/>
      <c r="Y36" s="2"/>
      <c r="AA36" s="147"/>
      <c r="AB36" s="227"/>
      <c r="AC36" s="199" t="s">
        <v>345</v>
      </c>
      <c r="AD36" s="294"/>
      <c r="AE36" s="295"/>
      <c r="AF36" s="295"/>
      <c r="AG36" s="296"/>
      <c r="AH36" s="350"/>
      <c r="AI36" s="294"/>
      <c r="AJ36" s="299"/>
    </row>
    <row r="37" spans="1:36" customFormat="1" ht="16.5" outlineLevel="1" thickBot="1">
      <c r="A37" s="2"/>
      <c r="B37" s="147"/>
      <c r="C37" s="227"/>
      <c r="D37" s="95" t="s">
        <v>346</v>
      </c>
      <c r="E37" s="414">
        <f>IFERROR(E26/$W26,0)</f>
        <v>2.6666666666666665E-2</v>
      </c>
      <c r="F37" s="415">
        <f t="shared" ref="F37" si="9">IFERROR(F26/$W26,0)</f>
        <v>5.333333333333333E-2</v>
      </c>
      <c r="G37" s="415">
        <f>IFERROR(G26/$W26,0)</f>
        <v>0.19555555555555557</v>
      </c>
      <c r="H37" s="415">
        <f t="shared" ref="H37" si="10">IFERROR(H26/$W26,0)</f>
        <v>0.3255555555555556</v>
      </c>
      <c r="I37" s="415">
        <f>IFERROR(I26/$W26,0)</f>
        <v>0.39888888888888885</v>
      </c>
      <c r="J37" s="294"/>
      <c r="K37" s="295"/>
      <c r="L37" s="295"/>
      <c r="M37" s="295"/>
      <c r="N37" s="296"/>
      <c r="O37" s="294"/>
      <c r="P37" s="295"/>
      <c r="Q37" s="295"/>
      <c r="R37" s="296"/>
      <c r="S37" s="295"/>
      <c r="T37" s="295"/>
      <c r="U37" s="297"/>
      <c r="V37" s="298"/>
      <c r="W37" s="294"/>
      <c r="X37" s="299"/>
      <c r="Y37" s="2"/>
      <c r="AA37" s="147"/>
      <c r="AB37" s="227"/>
      <c r="AC37" s="95" t="s">
        <v>346</v>
      </c>
      <c r="AD37" s="294"/>
      <c r="AE37" s="295"/>
      <c r="AF37" s="295"/>
      <c r="AG37" s="296"/>
      <c r="AH37" s="350"/>
      <c r="AI37" s="294"/>
      <c r="AJ37" s="299"/>
    </row>
    <row r="38" spans="1:36" customFormat="1" ht="16.5" outlineLevel="1" thickBot="1">
      <c r="A38" s="2"/>
      <c r="B38" s="147"/>
      <c r="C38" s="227"/>
      <c r="D38" s="180" t="s">
        <v>347</v>
      </c>
      <c r="E38" s="414">
        <f>IFERROR(E27/$W26,0)</f>
        <v>0.1111111111111111</v>
      </c>
      <c r="F38" s="415">
        <f t="shared" ref="F38:I38" si="11">IFERROR(F27/$W26,0)</f>
        <v>0.1111111111111111</v>
      </c>
      <c r="G38" s="415">
        <f t="shared" si="11"/>
        <v>0.1111111111111111</v>
      </c>
      <c r="H38" s="415">
        <f t="shared" si="11"/>
        <v>0.22222222222222221</v>
      </c>
      <c r="I38" s="415">
        <f t="shared" si="11"/>
        <v>0.33333333333333331</v>
      </c>
      <c r="J38" s="294"/>
      <c r="K38" s="295"/>
      <c r="L38" s="295"/>
      <c r="M38" s="295"/>
      <c r="N38" s="296"/>
      <c r="O38" s="294"/>
      <c r="P38" s="295"/>
      <c r="Q38" s="295"/>
      <c r="R38" s="296"/>
      <c r="S38" s="295"/>
      <c r="T38" s="295"/>
      <c r="U38" s="297"/>
      <c r="V38" s="298"/>
      <c r="W38" s="294"/>
      <c r="X38" s="299"/>
      <c r="Y38" s="2"/>
      <c r="AA38" s="147"/>
      <c r="AB38" s="227"/>
      <c r="AC38" s="180" t="s">
        <v>347</v>
      </c>
      <c r="AD38" s="294"/>
      <c r="AE38" s="295"/>
      <c r="AF38" s="295"/>
      <c r="AG38" s="296"/>
      <c r="AH38" s="350"/>
      <c r="AI38" s="294"/>
      <c r="AJ38" s="299"/>
    </row>
    <row r="39" spans="1:36" customFormat="1" ht="16.5" outlineLevel="1" thickBot="1">
      <c r="A39" s="2"/>
      <c r="B39" s="147"/>
      <c r="C39" s="227"/>
      <c r="D39" s="180" t="s">
        <v>348</v>
      </c>
      <c r="E39" s="414">
        <f>E38-E37</f>
        <v>8.4444444444444433E-2</v>
      </c>
      <c r="F39" s="415">
        <f t="shared" ref="F39:I39" si="12">F38-F37</f>
        <v>5.7777777777777775E-2</v>
      </c>
      <c r="G39" s="415">
        <f t="shared" si="12"/>
        <v>-8.4444444444444461E-2</v>
      </c>
      <c r="H39" s="415">
        <f t="shared" si="12"/>
        <v>-0.10333333333333339</v>
      </c>
      <c r="I39" s="415">
        <f t="shared" si="12"/>
        <v>-6.5555555555555534E-2</v>
      </c>
      <c r="J39" s="294"/>
      <c r="K39" s="295"/>
      <c r="L39" s="295"/>
      <c r="M39" s="295"/>
      <c r="N39" s="296"/>
      <c r="O39" s="294"/>
      <c r="P39" s="295"/>
      <c r="Q39" s="295"/>
      <c r="R39" s="296"/>
      <c r="S39" s="295"/>
      <c r="T39" s="295"/>
      <c r="U39" s="297"/>
      <c r="V39" s="298"/>
      <c r="W39" s="294"/>
      <c r="X39" s="299"/>
      <c r="Y39" s="2"/>
      <c r="AA39" s="147"/>
      <c r="AB39" s="227"/>
      <c r="AC39" s="180" t="s">
        <v>348</v>
      </c>
      <c r="AD39" s="294"/>
      <c r="AE39" s="295"/>
      <c r="AF39" s="295"/>
      <c r="AG39" s="296"/>
      <c r="AH39" s="350"/>
      <c r="AI39" s="294"/>
      <c r="AJ39" s="299"/>
    </row>
    <row r="40" spans="1:36" customFormat="1">
      <c r="A40" s="2"/>
      <c r="B40" s="560" t="s">
        <v>362</v>
      </c>
      <c r="C40" s="453" t="str">
        <f>aurora_data!A750</f>
        <v>08.00.00-08.11.30</v>
      </c>
      <c r="D40" s="34" t="s">
        <v>306</v>
      </c>
      <c r="E40" s="39">
        <f>aurora_data!D750</f>
        <v>0.25</v>
      </c>
      <c r="F40" s="40">
        <f>aurora_data!E750</f>
        <v>0.49</v>
      </c>
      <c r="G40" s="40">
        <f>aurora_data!F750</f>
        <v>1.78</v>
      </c>
      <c r="H40" s="40">
        <f>aurora_data!G750</f>
        <v>2.91</v>
      </c>
      <c r="I40" s="41">
        <f>aurora_data!H750</f>
        <v>3.58</v>
      </c>
      <c r="J40" s="39">
        <f>aurora_data!I750</f>
        <v>1</v>
      </c>
      <c r="K40" s="40">
        <f>aurora_data!J750</f>
        <v>1</v>
      </c>
      <c r="L40" s="40">
        <f>aurora_data!K750</f>
        <v>1</v>
      </c>
      <c r="M40" s="40">
        <f>aurora_data!L750</f>
        <v>1</v>
      </c>
      <c r="N40" s="41">
        <f>aurora_data!M750</f>
        <v>1</v>
      </c>
      <c r="O40" s="39">
        <f>aurora_data!N750</f>
        <v>1</v>
      </c>
      <c r="P40" s="40">
        <f>aurora_data!O750</f>
        <v>1</v>
      </c>
      <c r="Q40" s="40">
        <f>aurora_data!P750</f>
        <v>1</v>
      </c>
      <c r="R40" s="41">
        <f>aurora_data!Q750</f>
        <v>1</v>
      </c>
      <c r="S40" s="40">
        <f>aurora_data!R750</f>
        <v>1</v>
      </c>
      <c r="T40" s="40">
        <f>aurora_data!S750</f>
        <v>1</v>
      </c>
      <c r="U40" s="41">
        <f>aurora_data!T350</f>
        <v>0</v>
      </c>
      <c r="V40" s="61"/>
      <c r="W40" s="39">
        <f>IFERROR(aurora_data!U750,0)</f>
        <v>9</v>
      </c>
      <c r="X40" s="69">
        <f>IFERROR(W40/$W$40,0)</f>
        <v>1</v>
      </c>
      <c r="Y40" s="2"/>
      <c r="AA40" s="560" t="s">
        <v>362</v>
      </c>
      <c r="AB40" s="453" t="str">
        <f>aurora_data!A750</f>
        <v>08.00.00-08.11.30</v>
      </c>
      <c r="AC40" s="34" t="s">
        <v>306</v>
      </c>
      <c r="AD40" s="338">
        <v>2</v>
      </c>
      <c r="AE40" s="40">
        <v>2</v>
      </c>
      <c r="AF40" s="337">
        <v>2</v>
      </c>
      <c r="AG40" s="358">
        <v>3</v>
      </c>
      <c r="AH40" s="350"/>
      <c r="AI40" s="39">
        <f>IFERROR(aurora_data!U750,0)</f>
        <v>9</v>
      </c>
      <c r="AJ40" s="69">
        <f t="shared" ref="AJ40:AJ48" si="13">IFERROR(AI40/$AI$40,0)</f>
        <v>1</v>
      </c>
    </row>
    <row r="41" spans="1:36" customFormat="1">
      <c r="A41" s="2"/>
      <c r="B41" s="561"/>
      <c r="C41" s="454"/>
      <c r="D41" s="35" t="s">
        <v>339</v>
      </c>
      <c r="E41" s="113">
        <f>aurora_data!D751</f>
        <v>0</v>
      </c>
      <c r="F41" s="253">
        <f>aurora_data!E751</f>
        <v>2</v>
      </c>
      <c r="G41" s="253">
        <f>aurora_data!F751</f>
        <v>2</v>
      </c>
      <c r="H41" s="253">
        <f>aurora_data!G751</f>
        <v>2</v>
      </c>
      <c r="I41" s="254">
        <f>aurora_data!H751</f>
        <v>3</v>
      </c>
      <c r="J41" s="113">
        <f>aurora_data!I751</f>
        <v>1</v>
      </c>
      <c r="K41" s="253">
        <f>aurora_data!J751</f>
        <v>1</v>
      </c>
      <c r="L41" s="253">
        <f>aurora_data!K751</f>
        <v>2</v>
      </c>
      <c r="M41" s="253">
        <f>aurora_data!L751</f>
        <v>2</v>
      </c>
      <c r="N41" s="254">
        <f>aurora_data!M751</f>
        <v>3</v>
      </c>
      <c r="O41" s="113">
        <f>aurora_data!N751</f>
        <v>0</v>
      </c>
      <c r="P41" s="253">
        <f>aurora_data!O751</f>
        <v>2</v>
      </c>
      <c r="Q41" s="253">
        <f>aurora_data!P751</f>
        <v>5</v>
      </c>
      <c r="R41" s="254">
        <f>aurora_data!Q751</f>
        <v>2</v>
      </c>
      <c r="S41" s="253">
        <f>aurora_data!R751</f>
        <v>6</v>
      </c>
      <c r="T41" s="253">
        <f>aurora_data!S751</f>
        <v>3</v>
      </c>
      <c r="U41" s="254">
        <f>aurora_data!T351</f>
        <v>0</v>
      </c>
      <c r="V41" s="61"/>
      <c r="W41" s="113">
        <f>IFERROR(aurora_data!U751,0)</f>
        <v>9</v>
      </c>
      <c r="X41" s="255">
        <f t="shared" ref="X41:X48" si="14">IFERROR(W41/$W$40,0)</f>
        <v>1</v>
      </c>
      <c r="Y41" s="2"/>
      <c r="AA41" s="561"/>
      <c r="AB41" s="454"/>
      <c r="AC41" s="35" t="s">
        <v>339</v>
      </c>
      <c r="AD41" s="113">
        <f>aurora_data!D751+aurora_data!E751</f>
        <v>2</v>
      </c>
      <c r="AE41" s="253">
        <f>aurora_data!F751</f>
        <v>2</v>
      </c>
      <c r="AF41" s="253">
        <f>aurora_data!G751</f>
        <v>2</v>
      </c>
      <c r="AG41" s="254">
        <f>aurora_data!H751</f>
        <v>3</v>
      </c>
      <c r="AH41" s="350"/>
      <c r="AI41" s="113">
        <f>IFERROR(aurora_data!U751,0)</f>
        <v>9</v>
      </c>
      <c r="AJ41" s="255">
        <f t="shared" si="13"/>
        <v>1</v>
      </c>
    </row>
    <row r="42" spans="1:36" customFormat="1">
      <c r="A42" s="2"/>
      <c r="B42" s="561"/>
      <c r="C42" s="454"/>
      <c r="D42" s="35" t="s">
        <v>291</v>
      </c>
      <c r="E42" s="113">
        <f>aurora_data!D752</f>
        <v>0</v>
      </c>
      <c r="F42" s="253">
        <f>aurora_data!E752</f>
        <v>0</v>
      </c>
      <c r="G42" s="253">
        <f>aurora_data!F752</f>
        <v>1</v>
      </c>
      <c r="H42" s="253">
        <f>aurora_data!G752</f>
        <v>2</v>
      </c>
      <c r="I42" s="254">
        <f>aurora_data!H752</f>
        <v>1</v>
      </c>
      <c r="J42" s="113">
        <f>aurora_data!I752</f>
        <v>0</v>
      </c>
      <c r="K42" s="253">
        <f>aurora_data!J752</f>
        <v>0</v>
      </c>
      <c r="L42" s="253">
        <f>aurora_data!K752</f>
        <v>1</v>
      </c>
      <c r="M42" s="253">
        <f>aurora_data!L752</f>
        <v>0</v>
      </c>
      <c r="N42" s="254">
        <f>aurora_data!M752</f>
        <v>3</v>
      </c>
      <c r="O42" s="113">
        <f>aurora_data!N752</f>
        <v>2</v>
      </c>
      <c r="P42" s="253">
        <f>aurora_data!O752</f>
        <v>0</v>
      </c>
      <c r="Q42" s="253">
        <f>aurora_data!P752</f>
        <v>1</v>
      </c>
      <c r="R42" s="254">
        <f>aurora_data!Q752</f>
        <v>1</v>
      </c>
      <c r="S42" s="253">
        <f>aurora_data!R752</f>
        <v>1</v>
      </c>
      <c r="T42" s="253">
        <f>aurora_data!S752</f>
        <v>3</v>
      </c>
      <c r="U42" s="254">
        <f>aurora_data!T352</f>
        <v>0</v>
      </c>
      <c r="V42" s="61"/>
      <c r="W42" s="113">
        <f>IFERROR(aurora_data!U752,0)</f>
        <v>4</v>
      </c>
      <c r="X42" s="255">
        <f t="shared" si="14"/>
        <v>0.44444444444444442</v>
      </c>
      <c r="Y42" s="2"/>
      <c r="AA42" s="561"/>
      <c r="AB42" s="454"/>
      <c r="AC42" s="35" t="s">
        <v>291</v>
      </c>
      <c r="AD42" s="113">
        <f>aurora_data!D752+aurora_data!E752</f>
        <v>0</v>
      </c>
      <c r="AE42" s="253">
        <f>aurora_data!F752</f>
        <v>1</v>
      </c>
      <c r="AF42" s="253">
        <f>aurora_data!G752</f>
        <v>2</v>
      </c>
      <c r="AG42" s="254">
        <f>aurora_data!H752</f>
        <v>1</v>
      </c>
      <c r="AH42" s="350"/>
      <c r="AI42" s="113">
        <f>IFERROR(aurora_data!U752,0)</f>
        <v>4</v>
      </c>
      <c r="AJ42" s="255">
        <f t="shared" si="13"/>
        <v>0.44444444444444442</v>
      </c>
    </row>
    <row r="43" spans="1:36" customFormat="1">
      <c r="A43" s="2"/>
      <c r="B43" s="561"/>
      <c r="C43" s="454"/>
      <c r="D43" s="35" t="s">
        <v>340</v>
      </c>
      <c r="E43" s="113">
        <f>aurora_data!D753</f>
        <v>0</v>
      </c>
      <c r="F43" s="253">
        <f>aurora_data!E753</f>
        <v>0</v>
      </c>
      <c r="G43" s="253">
        <f>aurora_data!F753</f>
        <v>0</v>
      </c>
      <c r="H43" s="253">
        <f>aurora_data!G753</f>
        <v>0</v>
      </c>
      <c r="I43" s="254">
        <f>aurora_data!H753</f>
        <v>0</v>
      </c>
      <c r="J43" s="113">
        <f>aurora_data!I753</f>
        <v>0</v>
      </c>
      <c r="K43" s="253">
        <f>aurora_data!J753</f>
        <v>0</v>
      </c>
      <c r="L43" s="253">
        <f>aurora_data!K753</f>
        <v>0</v>
      </c>
      <c r="M43" s="253">
        <f>aurora_data!L753</f>
        <v>0</v>
      </c>
      <c r="N43" s="254">
        <f>aurora_data!M753</f>
        <v>0</v>
      </c>
      <c r="O43" s="113">
        <f>aurora_data!N753</f>
        <v>0</v>
      </c>
      <c r="P43" s="253">
        <f>aurora_data!O753</f>
        <v>0</v>
      </c>
      <c r="Q43" s="253">
        <f>aurora_data!P753</f>
        <v>0</v>
      </c>
      <c r="R43" s="254">
        <f>aurora_data!Q753</f>
        <v>0</v>
      </c>
      <c r="S43" s="253">
        <f>aurora_data!R753</f>
        <v>0</v>
      </c>
      <c r="T43" s="253">
        <f>aurora_data!S753</f>
        <v>0</v>
      </c>
      <c r="U43" s="254">
        <f>aurora_data!T353</f>
        <v>0</v>
      </c>
      <c r="V43" s="61"/>
      <c r="W43" s="113">
        <f>IFERROR(aurora_data!U753,0)</f>
        <v>0</v>
      </c>
      <c r="X43" s="255">
        <f t="shared" si="14"/>
        <v>0</v>
      </c>
      <c r="Y43" s="2"/>
      <c r="AA43" s="561"/>
      <c r="AB43" s="454"/>
      <c r="AC43" s="35" t="s">
        <v>340</v>
      </c>
      <c r="AD43" s="113">
        <f>aurora_data!D753+aurora_data!E753</f>
        <v>0</v>
      </c>
      <c r="AE43" s="253">
        <f>aurora_data!F753</f>
        <v>0</v>
      </c>
      <c r="AF43" s="253">
        <f>aurora_data!G753</f>
        <v>0</v>
      </c>
      <c r="AG43" s="254">
        <f>aurora_data!H753</f>
        <v>0</v>
      </c>
      <c r="AH43" s="350"/>
      <c r="AI43" s="113">
        <f>IFERROR(aurora_data!U753,0)</f>
        <v>0</v>
      </c>
      <c r="AJ43" s="255">
        <f t="shared" si="13"/>
        <v>0</v>
      </c>
    </row>
    <row r="44" spans="1:36" customFormat="1">
      <c r="A44" s="2"/>
      <c r="B44" s="561"/>
      <c r="C44" s="454"/>
      <c r="D44" s="35" t="s">
        <v>298</v>
      </c>
      <c r="E44" s="113">
        <f>aurora_data!D754</f>
        <v>0</v>
      </c>
      <c r="F44" s="253">
        <f>aurora_data!E754</f>
        <v>0</v>
      </c>
      <c r="G44" s="253">
        <f>aurora_data!F754</f>
        <v>0</v>
      </c>
      <c r="H44" s="253">
        <f>aurora_data!G754</f>
        <v>0</v>
      </c>
      <c r="I44" s="254">
        <f>aurora_data!H754</f>
        <v>0</v>
      </c>
      <c r="J44" s="113">
        <f>aurora_data!I754</f>
        <v>0</v>
      </c>
      <c r="K44" s="253">
        <f>aurora_data!J754</f>
        <v>0</v>
      </c>
      <c r="L44" s="253">
        <f>aurora_data!K754</f>
        <v>0</v>
      </c>
      <c r="M44" s="253">
        <f>aurora_data!L754</f>
        <v>0</v>
      </c>
      <c r="N44" s="254">
        <f>aurora_data!M754</f>
        <v>0</v>
      </c>
      <c r="O44" s="113">
        <f>aurora_data!N754</f>
        <v>0</v>
      </c>
      <c r="P44" s="253">
        <f>aurora_data!O754</f>
        <v>0</v>
      </c>
      <c r="Q44" s="253">
        <f>aurora_data!P754</f>
        <v>0</v>
      </c>
      <c r="R44" s="254">
        <f>aurora_data!Q754</f>
        <v>0</v>
      </c>
      <c r="S44" s="253">
        <f>aurora_data!R754</f>
        <v>0</v>
      </c>
      <c r="T44" s="253">
        <f>aurora_data!S754</f>
        <v>0</v>
      </c>
      <c r="U44" s="254">
        <f>aurora_data!T354</f>
        <v>0</v>
      </c>
      <c r="V44" s="61"/>
      <c r="W44" s="113">
        <f>IFERROR(aurora_data!U754,0)</f>
        <v>0</v>
      </c>
      <c r="X44" s="255">
        <f t="shared" si="14"/>
        <v>0</v>
      </c>
      <c r="Y44" s="2"/>
      <c r="AA44" s="561"/>
      <c r="AB44" s="454"/>
      <c r="AC44" s="35" t="s">
        <v>298</v>
      </c>
      <c r="AD44" s="113">
        <f>aurora_data!D754+aurora_data!E754</f>
        <v>0</v>
      </c>
      <c r="AE44" s="253">
        <f>aurora_data!F754</f>
        <v>0</v>
      </c>
      <c r="AF44" s="253">
        <f>aurora_data!G754</f>
        <v>0</v>
      </c>
      <c r="AG44" s="254">
        <f>aurora_data!H754</f>
        <v>0</v>
      </c>
      <c r="AH44" s="350"/>
      <c r="AI44" s="113">
        <f>IFERROR(aurora_data!U754,0)</f>
        <v>0</v>
      </c>
      <c r="AJ44" s="255">
        <f t="shared" si="13"/>
        <v>0</v>
      </c>
    </row>
    <row r="45" spans="1:36" customFormat="1">
      <c r="A45" s="2"/>
      <c r="B45" s="561"/>
      <c r="C45" s="454"/>
      <c r="D45" s="35" t="s">
        <v>341</v>
      </c>
      <c r="E45" s="113">
        <f>aurora_data!D755</f>
        <v>0</v>
      </c>
      <c r="F45" s="253">
        <f>aurora_data!E755</f>
        <v>0</v>
      </c>
      <c r="G45" s="253">
        <f>aurora_data!F755</f>
        <v>0</v>
      </c>
      <c r="H45" s="253">
        <f>aurora_data!G755</f>
        <v>0</v>
      </c>
      <c r="I45" s="254">
        <f>aurora_data!H755</f>
        <v>0</v>
      </c>
      <c r="J45" s="113">
        <f>aurora_data!I755</f>
        <v>0</v>
      </c>
      <c r="K45" s="253">
        <f>aurora_data!J755</f>
        <v>0</v>
      </c>
      <c r="L45" s="253">
        <f>aurora_data!K755</f>
        <v>0</v>
      </c>
      <c r="M45" s="253">
        <f>aurora_data!L755</f>
        <v>0</v>
      </c>
      <c r="N45" s="254">
        <f>aurora_data!M755</f>
        <v>0</v>
      </c>
      <c r="O45" s="113">
        <f>aurora_data!N755</f>
        <v>0</v>
      </c>
      <c r="P45" s="253">
        <f>aurora_data!O755</f>
        <v>0</v>
      </c>
      <c r="Q45" s="253">
        <f>aurora_data!P755</f>
        <v>0</v>
      </c>
      <c r="R45" s="254">
        <f>aurora_data!Q755</f>
        <v>0</v>
      </c>
      <c r="S45" s="253">
        <f>aurora_data!R755</f>
        <v>0</v>
      </c>
      <c r="T45" s="253">
        <f>aurora_data!S755</f>
        <v>0</v>
      </c>
      <c r="U45" s="254">
        <f>aurora_data!T355</f>
        <v>0</v>
      </c>
      <c r="V45" s="61"/>
      <c r="W45" s="113">
        <f>IFERROR(aurora_data!U755,0)</f>
        <v>0</v>
      </c>
      <c r="X45" s="255">
        <f t="shared" si="14"/>
        <v>0</v>
      </c>
      <c r="Y45" s="2"/>
      <c r="AA45" s="561"/>
      <c r="AB45" s="454"/>
      <c r="AC45" s="35" t="s">
        <v>341</v>
      </c>
      <c r="AD45" s="113">
        <f>aurora_data!D755+aurora_data!E755</f>
        <v>0</v>
      </c>
      <c r="AE45" s="253">
        <f>aurora_data!F755</f>
        <v>0</v>
      </c>
      <c r="AF45" s="253">
        <f>aurora_data!G755</f>
        <v>0</v>
      </c>
      <c r="AG45" s="254">
        <f>aurora_data!H755</f>
        <v>0</v>
      </c>
      <c r="AH45" s="350"/>
      <c r="AI45" s="113">
        <f>IFERROR(aurora_data!U755,0)</f>
        <v>0</v>
      </c>
      <c r="AJ45" s="255">
        <f t="shared" si="13"/>
        <v>0</v>
      </c>
    </row>
    <row r="46" spans="1:36" customFormat="1" ht="16.5" thickBot="1">
      <c r="A46" s="2"/>
      <c r="B46" s="561"/>
      <c r="C46" s="454"/>
      <c r="D46" s="35" t="s">
        <v>342</v>
      </c>
      <c r="E46" s="113">
        <f>aurora_data!D756</f>
        <v>0</v>
      </c>
      <c r="F46" s="253">
        <f>aurora_data!E756</f>
        <v>0</v>
      </c>
      <c r="G46" s="253">
        <f>aurora_data!F756</f>
        <v>0</v>
      </c>
      <c r="H46" s="253">
        <f>aurora_data!G756</f>
        <v>0</v>
      </c>
      <c r="I46" s="254">
        <f>aurora_data!H756</f>
        <v>0</v>
      </c>
      <c r="J46" s="113">
        <f>aurora_data!I756</f>
        <v>0</v>
      </c>
      <c r="K46" s="253">
        <f>aurora_data!J756</f>
        <v>0</v>
      </c>
      <c r="L46" s="253">
        <f>aurora_data!K756</f>
        <v>0</v>
      </c>
      <c r="M46" s="253">
        <f>aurora_data!L756</f>
        <v>0</v>
      </c>
      <c r="N46" s="254">
        <f>aurora_data!M756</f>
        <v>0</v>
      </c>
      <c r="O46" s="113">
        <f>aurora_data!N756</f>
        <v>0</v>
      </c>
      <c r="P46" s="253">
        <f>aurora_data!O756</f>
        <v>0</v>
      </c>
      <c r="Q46" s="253">
        <f>aurora_data!P756</f>
        <v>0</v>
      </c>
      <c r="R46" s="254">
        <f>aurora_data!Q756</f>
        <v>0</v>
      </c>
      <c r="S46" s="253">
        <f>aurora_data!R756</f>
        <v>0</v>
      </c>
      <c r="T46" s="253">
        <f>aurora_data!S756</f>
        <v>0</v>
      </c>
      <c r="U46" s="254">
        <f>aurora_data!T356</f>
        <v>0</v>
      </c>
      <c r="V46" s="61"/>
      <c r="W46" s="113">
        <f>IFERROR(aurora_data!U756,0)</f>
        <v>0</v>
      </c>
      <c r="X46" s="255">
        <f t="shared" si="14"/>
        <v>0</v>
      </c>
      <c r="Y46" s="2"/>
      <c r="AA46" s="561"/>
      <c r="AB46" s="454"/>
      <c r="AC46" s="35" t="s">
        <v>342</v>
      </c>
      <c r="AD46" s="113">
        <f>aurora_data!D756+aurora_data!E756</f>
        <v>0</v>
      </c>
      <c r="AE46" s="253">
        <f>aurora_data!F756</f>
        <v>0</v>
      </c>
      <c r="AF46" s="253">
        <f>aurora_data!G756</f>
        <v>0</v>
      </c>
      <c r="AG46" s="254">
        <f>aurora_data!H756</f>
        <v>0</v>
      </c>
      <c r="AH46" s="350"/>
      <c r="AI46" s="113">
        <f>IFERROR(aurora_data!U756,0)</f>
        <v>0</v>
      </c>
      <c r="AJ46" s="255">
        <f t="shared" si="13"/>
        <v>0</v>
      </c>
    </row>
    <row r="47" spans="1:36" customFormat="1" ht="16.5" thickBot="1">
      <c r="A47" s="2"/>
      <c r="B47" s="561"/>
      <c r="C47" s="454"/>
      <c r="D47" s="37" t="s">
        <v>17</v>
      </c>
      <c r="E47" s="59">
        <f>aurora_data!D757</f>
        <v>0</v>
      </c>
      <c r="F47" s="64">
        <f>aurora_data!E757</f>
        <v>2</v>
      </c>
      <c r="G47" s="64">
        <f>aurora_data!F757</f>
        <v>3</v>
      </c>
      <c r="H47" s="64">
        <f>aurora_data!G757</f>
        <v>4</v>
      </c>
      <c r="I47" s="65">
        <f>aurora_data!H757</f>
        <v>4</v>
      </c>
      <c r="J47" s="59">
        <f>aurora_data!I757</f>
        <v>1</v>
      </c>
      <c r="K47" s="64">
        <f>aurora_data!J757</f>
        <v>1</v>
      </c>
      <c r="L47" s="64">
        <f>aurora_data!K757</f>
        <v>3</v>
      </c>
      <c r="M47" s="64">
        <f>aurora_data!L757</f>
        <v>2</v>
      </c>
      <c r="N47" s="65">
        <f>aurora_data!M757</f>
        <v>6</v>
      </c>
      <c r="O47" s="59">
        <f>aurora_data!N757</f>
        <v>2</v>
      </c>
      <c r="P47" s="64">
        <f>aurora_data!O757</f>
        <v>2</v>
      </c>
      <c r="Q47" s="64">
        <f>aurora_data!P757</f>
        <v>6</v>
      </c>
      <c r="R47" s="65">
        <f>aurora_data!Q757</f>
        <v>3</v>
      </c>
      <c r="S47" s="64">
        <f>aurora_data!R757</f>
        <v>7</v>
      </c>
      <c r="T47" s="64">
        <f>aurora_data!S757</f>
        <v>6</v>
      </c>
      <c r="U47" s="65">
        <f>aurora_data!T357</f>
        <v>0</v>
      </c>
      <c r="V47" s="66"/>
      <c r="W47" s="59">
        <f>IFERROR(aurora_data!U757,0)</f>
        <v>13</v>
      </c>
      <c r="X47" s="70">
        <f t="shared" si="14"/>
        <v>1.4444444444444444</v>
      </c>
      <c r="Y47" s="2"/>
      <c r="AA47" s="561"/>
      <c r="AB47" s="454"/>
      <c r="AC47" s="37" t="s">
        <v>17</v>
      </c>
      <c r="AD47" s="59">
        <f>aurora_data!D757+aurora_data!E757</f>
        <v>2</v>
      </c>
      <c r="AE47" s="64">
        <f>aurora_data!F757</f>
        <v>3</v>
      </c>
      <c r="AF47" s="64">
        <f>aurora_data!G757</f>
        <v>4</v>
      </c>
      <c r="AG47" s="65">
        <f>aurora_data!H757</f>
        <v>4</v>
      </c>
      <c r="AH47" s="351"/>
      <c r="AI47" s="59">
        <f>IFERROR(aurora_data!U757,0)</f>
        <v>13</v>
      </c>
      <c r="AJ47" s="70">
        <f t="shared" si="13"/>
        <v>1.4444444444444444</v>
      </c>
    </row>
    <row r="48" spans="1:36" customFormat="1" ht="16.5" thickBot="1">
      <c r="A48" s="2"/>
      <c r="B48" s="561"/>
      <c r="C48" s="454"/>
      <c r="D48" s="38" t="s">
        <v>343</v>
      </c>
      <c r="E48" s="256">
        <f>aurora_data!D758</f>
        <v>0</v>
      </c>
      <c r="F48" s="257">
        <f>aurora_data!E758</f>
        <v>0</v>
      </c>
      <c r="G48" s="257">
        <f>aurora_data!F758</f>
        <v>0</v>
      </c>
      <c r="H48" s="257">
        <f>aurora_data!G758</f>
        <v>0</v>
      </c>
      <c r="I48" s="258">
        <f>aurora_data!H758</f>
        <v>0</v>
      </c>
      <c r="J48" s="256">
        <f>aurora_data!I758</f>
        <v>0</v>
      </c>
      <c r="K48" s="257">
        <f>aurora_data!J758</f>
        <v>0</v>
      </c>
      <c r="L48" s="257">
        <f>aurora_data!K758</f>
        <v>0</v>
      </c>
      <c r="M48" s="257">
        <f>aurora_data!L758</f>
        <v>0</v>
      </c>
      <c r="N48" s="258">
        <f>aurora_data!M758</f>
        <v>0</v>
      </c>
      <c r="O48" s="256">
        <f>aurora_data!N758</f>
        <v>0</v>
      </c>
      <c r="P48" s="257">
        <f>aurora_data!O758</f>
        <v>0</v>
      </c>
      <c r="Q48" s="257">
        <f>aurora_data!P758</f>
        <v>0</v>
      </c>
      <c r="R48" s="258">
        <f>aurora_data!Q758</f>
        <v>0</v>
      </c>
      <c r="S48" s="257">
        <f>aurora_data!R758</f>
        <v>0</v>
      </c>
      <c r="T48" s="257">
        <f>aurora_data!S758</f>
        <v>0</v>
      </c>
      <c r="U48" s="259">
        <f>aurora_data!T358</f>
        <v>0</v>
      </c>
      <c r="V48" s="260"/>
      <c r="W48" s="256">
        <f>IFERROR(aurora_data!U758,0)</f>
        <v>0</v>
      </c>
      <c r="X48" s="261">
        <f t="shared" si="14"/>
        <v>0</v>
      </c>
      <c r="Y48" s="2"/>
      <c r="AA48" s="561"/>
      <c r="AB48" s="454"/>
      <c r="AC48" s="38" t="s">
        <v>343</v>
      </c>
      <c r="AD48" s="256">
        <f>aurora_data!D758+aurora_data!E758</f>
        <v>0</v>
      </c>
      <c r="AE48" s="257">
        <f>aurora_data!F758</f>
        <v>0</v>
      </c>
      <c r="AF48" s="257">
        <f>aurora_data!G758</f>
        <v>0</v>
      </c>
      <c r="AG48" s="258">
        <f>aurora_data!H758</f>
        <v>0</v>
      </c>
      <c r="AH48" s="352"/>
      <c r="AI48" s="256">
        <f>IFERROR(aurora_data!U758,0)</f>
        <v>0</v>
      </c>
      <c r="AJ48" s="261">
        <f t="shared" si="13"/>
        <v>0</v>
      </c>
    </row>
    <row r="49" spans="1:36" customFormat="1" ht="16.5" outlineLevel="1" thickBot="1">
      <c r="A49" s="2"/>
      <c r="B49" s="147"/>
      <c r="C49" s="227"/>
      <c r="D49" s="199" t="s">
        <v>344</v>
      </c>
      <c r="E49" s="276">
        <f>(E51+$E$9)*($W40)</f>
        <v>0.43000000000000005</v>
      </c>
      <c r="F49" s="277">
        <f>(F51+$E$9)*($W40)</f>
        <v>0.66999999999999993</v>
      </c>
      <c r="G49" s="277">
        <f>(G51+$E$9)*($W40)</f>
        <v>1.96</v>
      </c>
      <c r="H49" s="277">
        <f>(H51+$E$9)*($W40)</f>
        <v>3.0900000000000003</v>
      </c>
      <c r="I49" s="277">
        <f>(I51+$E$9)*($W40)</f>
        <v>3.7600000000000002</v>
      </c>
      <c r="J49" s="294"/>
      <c r="K49" s="295"/>
      <c r="L49" s="295"/>
      <c r="M49" s="295"/>
      <c r="N49" s="296"/>
      <c r="O49" s="294"/>
      <c r="P49" s="295"/>
      <c r="Q49" s="295"/>
      <c r="R49" s="296"/>
      <c r="S49" s="295"/>
      <c r="T49" s="295"/>
      <c r="U49" s="297"/>
      <c r="V49" s="298"/>
      <c r="W49" s="294"/>
      <c r="X49" s="299"/>
      <c r="Y49" s="2"/>
      <c r="AA49" s="147"/>
      <c r="AB49" s="227"/>
      <c r="AC49" s="199" t="s">
        <v>344</v>
      </c>
      <c r="AD49" s="294"/>
      <c r="AE49" s="295"/>
      <c r="AF49" s="295"/>
      <c r="AG49" s="296"/>
      <c r="AH49" s="350"/>
      <c r="AI49" s="294"/>
      <c r="AJ49" s="299"/>
    </row>
    <row r="50" spans="1:36" customFormat="1" ht="16.5" outlineLevel="1" thickBot="1">
      <c r="A50" s="2"/>
      <c r="B50" s="147"/>
      <c r="C50" s="227"/>
      <c r="D50" s="199" t="s">
        <v>345</v>
      </c>
      <c r="E50" s="276">
        <f>IF(ROUND(((E51-$E$9)*($W40))+0.25,0) &lt;=0,1,((E51-$E$9)*($W40))+0.25)</f>
        <v>1</v>
      </c>
      <c r="F50" s="277">
        <f>IF(ROUND(((F51-$E$9)*($W40))+0.25,0) &lt;=0,1,((F51-$E$9)*($W40))+0.25)</f>
        <v>0.56000000000000005</v>
      </c>
      <c r="G50" s="277">
        <f t="shared" ref="G50:I50" si="15">IF(ROUND(((G51-$E$9)*($W40))+0.25,0) &lt;=0,1,((G51-$E$9)*($W40))+0.25)</f>
        <v>1.85</v>
      </c>
      <c r="H50" s="277">
        <f t="shared" si="15"/>
        <v>2.98</v>
      </c>
      <c r="I50" s="277">
        <f t="shared" si="15"/>
        <v>3.65</v>
      </c>
      <c r="J50" s="294"/>
      <c r="K50" s="295"/>
      <c r="L50" s="295"/>
      <c r="M50" s="295"/>
      <c r="N50" s="296"/>
      <c r="O50" s="294"/>
      <c r="P50" s="295"/>
      <c r="Q50" s="295"/>
      <c r="R50" s="296"/>
      <c r="S50" s="295"/>
      <c r="T50" s="295"/>
      <c r="U50" s="297"/>
      <c r="V50" s="298"/>
      <c r="W50" s="294"/>
      <c r="X50" s="299"/>
      <c r="Y50" s="2"/>
      <c r="AA50" s="147"/>
      <c r="AB50" s="227"/>
      <c r="AC50" s="199" t="s">
        <v>345</v>
      </c>
      <c r="AD50" s="294"/>
      <c r="AE50" s="295"/>
      <c r="AF50" s="295"/>
      <c r="AG50" s="296"/>
      <c r="AH50" s="350"/>
      <c r="AI50" s="294"/>
      <c r="AJ50" s="299"/>
    </row>
    <row r="51" spans="1:36" customFormat="1" ht="16.5" outlineLevel="1" thickBot="1">
      <c r="A51" s="2"/>
      <c r="B51" s="147"/>
      <c r="C51" s="227"/>
      <c r="D51" s="95" t="s">
        <v>346</v>
      </c>
      <c r="E51" s="414">
        <f>IFERROR(E40/$W40,0)</f>
        <v>2.7777777777777776E-2</v>
      </c>
      <c r="F51" s="415">
        <f t="shared" ref="F51" si="16">IFERROR(F40/$W40,0)</f>
        <v>5.4444444444444441E-2</v>
      </c>
      <c r="G51" s="415">
        <f>IFERROR(G40/$W40,0)</f>
        <v>0.19777777777777777</v>
      </c>
      <c r="H51" s="415">
        <f t="shared" ref="H51" si="17">IFERROR(H40/$W40,0)</f>
        <v>0.32333333333333336</v>
      </c>
      <c r="I51" s="415">
        <f>IFERROR(I40/$W40,0)</f>
        <v>0.39777777777777779</v>
      </c>
      <c r="J51" s="294"/>
      <c r="K51" s="295"/>
      <c r="L51" s="295"/>
      <c r="M51" s="295"/>
      <c r="N51" s="296"/>
      <c r="O51" s="294"/>
      <c r="P51" s="295"/>
      <c r="Q51" s="295"/>
      <c r="R51" s="296"/>
      <c r="S51" s="295"/>
      <c r="T51" s="295"/>
      <c r="U51" s="297"/>
      <c r="V51" s="298"/>
      <c r="W51" s="294"/>
      <c r="X51" s="299"/>
      <c r="Y51" s="2"/>
      <c r="AA51" s="147"/>
      <c r="AB51" s="227"/>
      <c r="AC51" s="95" t="s">
        <v>346</v>
      </c>
      <c r="AD51" s="294"/>
      <c r="AE51" s="295"/>
      <c r="AF51" s="295"/>
      <c r="AG51" s="296"/>
      <c r="AH51" s="350"/>
      <c r="AI51" s="294"/>
      <c r="AJ51" s="299"/>
    </row>
    <row r="52" spans="1:36" customFormat="1" ht="16.5" outlineLevel="1" thickBot="1">
      <c r="A52" s="2"/>
      <c r="B52" s="147"/>
      <c r="C52" s="227"/>
      <c r="D52" s="180" t="s">
        <v>347</v>
      </c>
      <c r="E52" s="414">
        <f>IFERROR(E41/$W40,0)</f>
        <v>0</v>
      </c>
      <c r="F52" s="415">
        <f t="shared" ref="F52:I52" si="18">IFERROR(F41/$W40,0)</f>
        <v>0.22222222222222221</v>
      </c>
      <c r="G52" s="415">
        <f t="shared" si="18"/>
        <v>0.22222222222222221</v>
      </c>
      <c r="H52" s="415">
        <f t="shared" si="18"/>
        <v>0.22222222222222221</v>
      </c>
      <c r="I52" s="415">
        <f t="shared" si="18"/>
        <v>0.33333333333333331</v>
      </c>
      <c r="J52" s="294"/>
      <c r="K52" s="295"/>
      <c r="L52" s="295"/>
      <c r="M52" s="295"/>
      <c r="N52" s="296"/>
      <c r="O52" s="294"/>
      <c r="P52" s="295"/>
      <c r="Q52" s="295"/>
      <c r="R52" s="296"/>
      <c r="S52" s="295"/>
      <c r="T52" s="295"/>
      <c r="U52" s="297"/>
      <c r="V52" s="298"/>
      <c r="W52" s="294"/>
      <c r="X52" s="299"/>
      <c r="Y52" s="2"/>
      <c r="AA52" s="147"/>
      <c r="AB52" s="227"/>
      <c r="AC52" s="180" t="s">
        <v>347</v>
      </c>
      <c r="AD52" s="294"/>
      <c r="AE52" s="295"/>
      <c r="AF52" s="295"/>
      <c r="AG52" s="296"/>
      <c r="AH52" s="350"/>
      <c r="AI52" s="294"/>
      <c r="AJ52" s="299"/>
    </row>
    <row r="53" spans="1:36" customFormat="1" ht="16.5" outlineLevel="1" thickBot="1">
      <c r="A53" s="2"/>
      <c r="B53" s="147"/>
      <c r="C53" s="227"/>
      <c r="D53" s="180" t="s">
        <v>348</v>
      </c>
      <c r="E53" s="414">
        <f>E52-E51</f>
        <v>-2.7777777777777776E-2</v>
      </c>
      <c r="F53" s="415">
        <f t="shared" ref="F53:I53" si="19">F52-F51</f>
        <v>0.16777777777777778</v>
      </c>
      <c r="G53" s="415">
        <f t="shared" si="19"/>
        <v>2.4444444444444435E-2</v>
      </c>
      <c r="H53" s="415">
        <f t="shared" si="19"/>
        <v>-0.10111111111111115</v>
      </c>
      <c r="I53" s="415">
        <f t="shared" si="19"/>
        <v>-6.4444444444444471E-2</v>
      </c>
      <c r="J53" s="294"/>
      <c r="K53" s="295"/>
      <c r="L53" s="295"/>
      <c r="M53" s="295"/>
      <c r="N53" s="296"/>
      <c r="O53" s="294"/>
      <c r="P53" s="295"/>
      <c r="Q53" s="295"/>
      <c r="R53" s="296"/>
      <c r="S53" s="295"/>
      <c r="T53" s="295"/>
      <c r="U53" s="297"/>
      <c r="V53" s="298"/>
      <c r="W53" s="294"/>
      <c r="X53" s="299"/>
      <c r="Y53" s="2"/>
      <c r="AA53" s="147"/>
      <c r="AB53" s="227"/>
      <c r="AC53" s="180" t="s">
        <v>348</v>
      </c>
      <c r="AD53" s="294"/>
      <c r="AE53" s="295"/>
      <c r="AF53" s="295"/>
      <c r="AG53" s="296"/>
      <c r="AH53" s="350"/>
      <c r="AI53" s="294"/>
      <c r="AJ53" s="299"/>
    </row>
    <row r="54" spans="1:36" customFormat="1">
      <c r="A54" s="2"/>
      <c r="B54" s="560" t="s">
        <v>362</v>
      </c>
      <c r="C54" s="453" t="str">
        <f>aurora_data!A759</f>
        <v>09.00.00-09.11.30</v>
      </c>
      <c r="D54" s="34" t="s">
        <v>306</v>
      </c>
      <c r="E54" s="39">
        <f>aurora_data!D759</f>
        <v>0.25</v>
      </c>
      <c r="F54" s="40">
        <f>aurora_data!E759</f>
        <v>0.5</v>
      </c>
      <c r="G54" s="40">
        <f>aurora_data!F759</f>
        <v>1.81</v>
      </c>
      <c r="H54" s="40">
        <f>aurora_data!G759</f>
        <v>2.87</v>
      </c>
      <c r="I54" s="41">
        <f>aurora_data!H759</f>
        <v>3.57</v>
      </c>
      <c r="J54" s="39">
        <f>aurora_data!I759</f>
        <v>1</v>
      </c>
      <c r="K54" s="40">
        <f>aurora_data!J759</f>
        <v>1</v>
      </c>
      <c r="L54" s="40">
        <f>aurora_data!K759</f>
        <v>1</v>
      </c>
      <c r="M54" s="40">
        <f>aurora_data!L759</f>
        <v>1</v>
      </c>
      <c r="N54" s="41">
        <f>aurora_data!M759</f>
        <v>1</v>
      </c>
      <c r="O54" s="39">
        <f>aurora_data!N759</f>
        <v>1</v>
      </c>
      <c r="P54" s="40">
        <f>aurora_data!O759</f>
        <v>1</v>
      </c>
      <c r="Q54" s="40">
        <f>aurora_data!P759</f>
        <v>1</v>
      </c>
      <c r="R54" s="41">
        <f>aurora_data!Q759</f>
        <v>1</v>
      </c>
      <c r="S54" s="40">
        <f>aurora_data!R759</f>
        <v>1</v>
      </c>
      <c r="T54" s="40">
        <f>aurora_data!S759</f>
        <v>1</v>
      </c>
      <c r="U54" s="41">
        <f>aurora_data!T359</f>
        <v>0</v>
      </c>
      <c r="V54" s="61"/>
      <c r="W54" s="39">
        <f>IFERROR(aurora_data!U759,0)</f>
        <v>9</v>
      </c>
      <c r="X54" s="69">
        <f>IFERROR(W54/$W$54,0)</f>
        <v>1</v>
      </c>
      <c r="Y54" s="2"/>
      <c r="AA54" s="451" t="s">
        <v>338</v>
      </c>
      <c r="AB54" s="453" t="str">
        <f>aurora_data!A759</f>
        <v>09.00.00-09.11.30</v>
      </c>
      <c r="AC54" s="34" t="s">
        <v>306</v>
      </c>
      <c r="AD54" s="338">
        <v>2</v>
      </c>
      <c r="AE54" s="40">
        <v>2</v>
      </c>
      <c r="AF54" s="40">
        <v>3</v>
      </c>
      <c r="AG54" s="358">
        <v>3</v>
      </c>
      <c r="AH54" s="350"/>
      <c r="AI54" s="39">
        <f>IFERROR(aurora_data!U759,0)</f>
        <v>9</v>
      </c>
      <c r="AJ54" s="69">
        <f t="shared" ref="AJ54:AJ62" si="20">IFERROR(AI54/$AI$54,0)</f>
        <v>1</v>
      </c>
    </row>
    <row r="55" spans="1:36" customFormat="1">
      <c r="A55" s="2"/>
      <c r="B55" s="561"/>
      <c r="C55" s="454"/>
      <c r="D55" s="35" t="s">
        <v>339</v>
      </c>
      <c r="E55" s="113">
        <f>aurora_data!D760</f>
        <v>1</v>
      </c>
      <c r="F55" s="253">
        <f>aurora_data!E760</f>
        <v>1</v>
      </c>
      <c r="G55" s="253">
        <f>aurora_data!F760</f>
        <v>2</v>
      </c>
      <c r="H55" s="253">
        <f>aurora_data!G760</f>
        <v>2</v>
      </c>
      <c r="I55" s="254">
        <f>aurora_data!H760</f>
        <v>3</v>
      </c>
      <c r="J55" s="113">
        <f>aurora_data!I760</f>
        <v>0</v>
      </c>
      <c r="K55" s="253">
        <f>aurora_data!J760</f>
        <v>2</v>
      </c>
      <c r="L55" s="253">
        <f>aurora_data!K760</f>
        <v>2</v>
      </c>
      <c r="M55" s="253">
        <f>aurora_data!L760</f>
        <v>2</v>
      </c>
      <c r="N55" s="254">
        <f>aurora_data!M760</f>
        <v>3</v>
      </c>
      <c r="O55" s="113">
        <f>aurora_data!N760</f>
        <v>3</v>
      </c>
      <c r="P55" s="253">
        <f>aurora_data!O760</f>
        <v>1</v>
      </c>
      <c r="Q55" s="253">
        <f>aurora_data!P760</f>
        <v>3</v>
      </c>
      <c r="R55" s="254">
        <f>aurora_data!Q760</f>
        <v>2</v>
      </c>
      <c r="S55" s="253">
        <f>aurora_data!R760</f>
        <v>5</v>
      </c>
      <c r="T55" s="253">
        <f>aurora_data!S760</f>
        <v>4</v>
      </c>
      <c r="U55" s="254">
        <f>aurora_data!T360</f>
        <v>0</v>
      </c>
      <c r="V55" s="61"/>
      <c r="W55" s="113">
        <f>IFERROR(aurora_data!U760,0)</f>
        <v>9</v>
      </c>
      <c r="X55" s="255">
        <f t="shared" ref="X55:X62" si="21">IFERROR(W55/$W$54,0)</f>
        <v>1</v>
      </c>
      <c r="Y55" s="2"/>
      <c r="AA55" s="452"/>
      <c r="AB55" s="454"/>
      <c r="AC55" s="35" t="s">
        <v>339</v>
      </c>
      <c r="AD55" s="113">
        <f>aurora_data!D760+aurora_data!E760</f>
        <v>2</v>
      </c>
      <c r="AE55" s="253">
        <f>aurora_data!F760</f>
        <v>2</v>
      </c>
      <c r="AF55" s="253">
        <f>aurora_data!G760</f>
        <v>2</v>
      </c>
      <c r="AG55" s="254">
        <f>aurora_data!H760</f>
        <v>3</v>
      </c>
      <c r="AH55" s="350"/>
      <c r="AI55" s="113">
        <f>IFERROR(aurora_data!U760,0)</f>
        <v>9</v>
      </c>
      <c r="AJ55" s="255">
        <f t="shared" si="20"/>
        <v>1</v>
      </c>
    </row>
    <row r="56" spans="1:36" customFormat="1">
      <c r="A56" s="2"/>
      <c r="B56" s="561"/>
      <c r="C56" s="454"/>
      <c r="D56" s="35" t="s">
        <v>291</v>
      </c>
      <c r="E56" s="113">
        <f>aurora_data!D761</f>
        <v>0</v>
      </c>
      <c r="F56" s="253">
        <f>aurora_data!E761</f>
        <v>0</v>
      </c>
      <c r="G56" s="253">
        <f>aurora_data!F761</f>
        <v>0</v>
      </c>
      <c r="H56" s="253">
        <f>aurora_data!G761</f>
        <v>2</v>
      </c>
      <c r="I56" s="254">
        <f>aurora_data!H761</f>
        <v>1</v>
      </c>
      <c r="J56" s="113">
        <f>aurora_data!I761</f>
        <v>0</v>
      </c>
      <c r="K56" s="253">
        <f>aurora_data!J761</f>
        <v>2</v>
      </c>
      <c r="L56" s="253">
        <f>aurora_data!K761</f>
        <v>0</v>
      </c>
      <c r="M56" s="253">
        <f>aurora_data!L761</f>
        <v>0</v>
      </c>
      <c r="N56" s="254">
        <f>aurora_data!M761</f>
        <v>1</v>
      </c>
      <c r="O56" s="113">
        <f>aurora_data!N761</f>
        <v>1</v>
      </c>
      <c r="P56" s="253">
        <f>aurora_data!O761</f>
        <v>0</v>
      </c>
      <c r="Q56" s="253">
        <f>aurora_data!P761</f>
        <v>2</v>
      </c>
      <c r="R56" s="254">
        <f>aurora_data!Q761</f>
        <v>0</v>
      </c>
      <c r="S56" s="253">
        <f>aurora_data!R761</f>
        <v>2</v>
      </c>
      <c r="T56" s="253">
        <f>aurora_data!S761</f>
        <v>1</v>
      </c>
      <c r="U56" s="254">
        <f>aurora_data!T361</f>
        <v>0</v>
      </c>
      <c r="V56" s="61"/>
      <c r="W56" s="113">
        <f>IFERROR(aurora_data!U761,0)</f>
        <v>3</v>
      </c>
      <c r="X56" s="255">
        <f t="shared" si="21"/>
        <v>0.33333333333333331</v>
      </c>
      <c r="Y56" s="2"/>
      <c r="AA56" s="452"/>
      <c r="AB56" s="454"/>
      <c r="AC56" s="35" t="s">
        <v>291</v>
      </c>
      <c r="AD56" s="113">
        <f>aurora_data!D761+aurora_data!E761</f>
        <v>0</v>
      </c>
      <c r="AE56" s="253">
        <f>aurora_data!F761</f>
        <v>0</v>
      </c>
      <c r="AF56" s="253">
        <f>aurora_data!G761</f>
        <v>2</v>
      </c>
      <c r="AG56" s="254">
        <f>aurora_data!H761</f>
        <v>1</v>
      </c>
      <c r="AH56" s="350"/>
      <c r="AI56" s="113">
        <f>IFERROR(aurora_data!U761,0)</f>
        <v>3</v>
      </c>
      <c r="AJ56" s="255">
        <f t="shared" si="20"/>
        <v>0.33333333333333331</v>
      </c>
    </row>
    <row r="57" spans="1:36" customFormat="1">
      <c r="A57" s="2"/>
      <c r="B57" s="561"/>
      <c r="C57" s="454"/>
      <c r="D57" s="35" t="s">
        <v>340</v>
      </c>
      <c r="E57" s="113">
        <f>aurora_data!D762</f>
        <v>0</v>
      </c>
      <c r="F57" s="253">
        <f>aurora_data!E762</f>
        <v>0</v>
      </c>
      <c r="G57" s="253">
        <f>aurora_data!F762</f>
        <v>0</v>
      </c>
      <c r="H57" s="253">
        <f>aurora_data!G762</f>
        <v>0</v>
      </c>
      <c r="I57" s="254">
        <f>aurora_data!H762</f>
        <v>0</v>
      </c>
      <c r="J57" s="113">
        <f>aurora_data!I762</f>
        <v>0</v>
      </c>
      <c r="K57" s="253">
        <f>aurora_data!J762</f>
        <v>0</v>
      </c>
      <c r="L57" s="253">
        <f>aurora_data!K762</f>
        <v>0</v>
      </c>
      <c r="M57" s="253">
        <f>aurora_data!L762</f>
        <v>0</v>
      </c>
      <c r="N57" s="254">
        <f>aurora_data!M762</f>
        <v>0</v>
      </c>
      <c r="O57" s="113">
        <f>aurora_data!N762</f>
        <v>0</v>
      </c>
      <c r="P57" s="253">
        <f>aurora_data!O762</f>
        <v>0</v>
      </c>
      <c r="Q57" s="253">
        <f>aurora_data!P762</f>
        <v>0</v>
      </c>
      <c r="R57" s="254">
        <f>aurora_data!Q762</f>
        <v>0</v>
      </c>
      <c r="S57" s="253">
        <f>aurora_data!R762</f>
        <v>0</v>
      </c>
      <c r="T57" s="253">
        <f>aurora_data!S762</f>
        <v>0</v>
      </c>
      <c r="U57" s="254">
        <f>aurora_data!T362</f>
        <v>0</v>
      </c>
      <c r="V57" s="61"/>
      <c r="W57" s="113">
        <f>IFERROR(aurora_data!U762,0)</f>
        <v>0</v>
      </c>
      <c r="X57" s="255">
        <f t="shared" si="21"/>
        <v>0</v>
      </c>
      <c r="Y57" s="2"/>
      <c r="AA57" s="452"/>
      <c r="AB57" s="454"/>
      <c r="AC57" s="35" t="s">
        <v>340</v>
      </c>
      <c r="AD57" s="113">
        <f>aurora_data!D762+aurora_data!E762</f>
        <v>0</v>
      </c>
      <c r="AE57" s="253">
        <f>aurora_data!F762</f>
        <v>0</v>
      </c>
      <c r="AF57" s="253">
        <f>aurora_data!G762</f>
        <v>0</v>
      </c>
      <c r="AG57" s="254">
        <f>aurora_data!H762</f>
        <v>0</v>
      </c>
      <c r="AH57" s="350"/>
      <c r="AI57" s="113">
        <f>IFERROR(aurora_data!U762,0)</f>
        <v>0</v>
      </c>
      <c r="AJ57" s="255">
        <f t="shared" si="20"/>
        <v>0</v>
      </c>
    </row>
    <row r="58" spans="1:36" customFormat="1">
      <c r="A58" s="2"/>
      <c r="B58" s="561"/>
      <c r="C58" s="454"/>
      <c r="D58" s="35" t="s">
        <v>298</v>
      </c>
      <c r="E58" s="113">
        <f>aurora_data!D763</f>
        <v>0</v>
      </c>
      <c r="F58" s="253">
        <f>aurora_data!E763</f>
        <v>0</v>
      </c>
      <c r="G58" s="253">
        <f>aurora_data!F763</f>
        <v>0</v>
      </c>
      <c r="H58" s="253">
        <f>aurora_data!G763</f>
        <v>0</v>
      </c>
      <c r="I58" s="254">
        <f>aurora_data!H763</f>
        <v>0</v>
      </c>
      <c r="J58" s="113">
        <f>aurora_data!I763</f>
        <v>0</v>
      </c>
      <c r="K58" s="253">
        <f>aurora_data!J763</f>
        <v>0</v>
      </c>
      <c r="L58" s="253">
        <f>aurora_data!K763</f>
        <v>0</v>
      </c>
      <c r="M58" s="253">
        <f>aurora_data!L763</f>
        <v>0</v>
      </c>
      <c r="N58" s="254">
        <f>aurora_data!M763</f>
        <v>0</v>
      </c>
      <c r="O58" s="113">
        <f>aurora_data!N763</f>
        <v>0</v>
      </c>
      <c r="P58" s="253">
        <f>aurora_data!O763</f>
        <v>0</v>
      </c>
      <c r="Q58" s="253">
        <f>aurora_data!P763</f>
        <v>0</v>
      </c>
      <c r="R58" s="254">
        <f>aurora_data!Q763</f>
        <v>0</v>
      </c>
      <c r="S58" s="253">
        <f>aurora_data!R763</f>
        <v>0</v>
      </c>
      <c r="T58" s="253">
        <f>aurora_data!S763</f>
        <v>0</v>
      </c>
      <c r="U58" s="254">
        <f>aurora_data!T363</f>
        <v>0</v>
      </c>
      <c r="V58" s="61"/>
      <c r="W58" s="113">
        <f>IFERROR(aurora_data!U763,0)</f>
        <v>0</v>
      </c>
      <c r="X58" s="255">
        <f t="shared" si="21"/>
        <v>0</v>
      </c>
      <c r="Y58" s="2"/>
      <c r="AA58" s="452"/>
      <c r="AB58" s="454"/>
      <c r="AC58" s="35" t="s">
        <v>298</v>
      </c>
      <c r="AD58" s="113">
        <f>aurora_data!D763+aurora_data!E763</f>
        <v>0</v>
      </c>
      <c r="AE58" s="253">
        <f>aurora_data!F763</f>
        <v>0</v>
      </c>
      <c r="AF58" s="253">
        <f>aurora_data!G763</f>
        <v>0</v>
      </c>
      <c r="AG58" s="254">
        <f>aurora_data!H763</f>
        <v>0</v>
      </c>
      <c r="AH58" s="350"/>
      <c r="AI58" s="113">
        <f>IFERROR(aurora_data!U763,0)</f>
        <v>0</v>
      </c>
      <c r="AJ58" s="255">
        <f t="shared" si="20"/>
        <v>0</v>
      </c>
    </row>
    <row r="59" spans="1:36" customFormat="1">
      <c r="A59" s="2"/>
      <c r="B59" s="561"/>
      <c r="C59" s="454"/>
      <c r="D59" s="35" t="s">
        <v>341</v>
      </c>
      <c r="E59" s="113">
        <f>aurora_data!D764</f>
        <v>0</v>
      </c>
      <c r="F59" s="253">
        <f>aurora_data!E764</f>
        <v>0</v>
      </c>
      <c r="G59" s="253">
        <f>aurora_data!F764</f>
        <v>0</v>
      </c>
      <c r="H59" s="253">
        <f>aurora_data!G764</f>
        <v>0</v>
      </c>
      <c r="I59" s="254">
        <f>aurora_data!H764</f>
        <v>0</v>
      </c>
      <c r="J59" s="113">
        <f>aurora_data!I764</f>
        <v>0</v>
      </c>
      <c r="K59" s="253">
        <f>aurora_data!J764</f>
        <v>0</v>
      </c>
      <c r="L59" s="253">
        <f>aurora_data!K764</f>
        <v>0</v>
      </c>
      <c r="M59" s="253">
        <f>aurora_data!L764</f>
        <v>0</v>
      </c>
      <c r="N59" s="254">
        <f>aurora_data!M764</f>
        <v>0</v>
      </c>
      <c r="O59" s="113">
        <f>aurora_data!N764</f>
        <v>0</v>
      </c>
      <c r="P59" s="253">
        <f>aurora_data!O764</f>
        <v>0</v>
      </c>
      <c r="Q59" s="253">
        <f>aurora_data!P764</f>
        <v>0</v>
      </c>
      <c r="R59" s="254">
        <f>aurora_data!Q764</f>
        <v>0</v>
      </c>
      <c r="S59" s="253">
        <f>aurora_data!R764</f>
        <v>0</v>
      </c>
      <c r="T59" s="253">
        <f>aurora_data!S764</f>
        <v>0</v>
      </c>
      <c r="U59" s="254">
        <f>aurora_data!T364</f>
        <v>0</v>
      </c>
      <c r="V59" s="61"/>
      <c r="W59" s="113">
        <f>IFERROR(aurora_data!U764,0)</f>
        <v>0</v>
      </c>
      <c r="X59" s="255">
        <f t="shared" si="21"/>
        <v>0</v>
      </c>
      <c r="Y59" s="2"/>
      <c r="AA59" s="452"/>
      <c r="AB59" s="454"/>
      <c r="AC59" s="35" t="s">
        <v>341</v>
      </c>
      <c r="AD59" s="113">
        <f>aurora_data!D764+aurora_data!E764</f>
        <v>0</v>
      </c>
      <c r="AE59" s="253">
        <f>aurora_data!F764</f>
        <v>0</v>
      </c>
      <c r="AF59" s="253">
        <f>aurora_data!G764</f>
        <v>0</v>
      </c>
      <c r="AG59" s="254">
        <f>aurora_data!H764</f>
        <v>0</v>
      </c>
      <c r="AH59" s="350"/>
      <c r="AI59" s="113">
        <f>IFERROR(aurora_data!U764,0)</f>
        <v>0</v>
      </c>
      <c r="AJ59" s="255">
        <f t="shared" si="20"/>
        <v>0</v>
      </c>
    </row>
    <row r="60" spans="1:36" customFormat="1" ht="16.5" thickBot="1">
      <c r="A60" s="2"/>
      <c r="B60" s="561"/>
      <c r="C60" s="454"/>
      <c r="D60" s="35" t="s">
        <v>342</v>
      </c>
      <c r="E60" s="113">
        <f>aurora_data!D765</f>
        <v>0</v>
      </c>
      <c r="F60" s="253">
        <f>aurora_data!E765</f>
        <v>0</v>
      </c>
      <c r="G60" s="253">
        <f>aurora_data!F765</f>
        <v>0</v>
      </c>
      <c r="H60" s="253">
        <f>aurora_data!G765</f>
        <v>0</v>
      </c>
      <c r="I60" s="254">
        <f>aurora_data!H765</f>
        <v>0</v>
      </c>
      <c r="J60" s="113">
        <f>aurora_data!I765</f>
        <v>0</v>
      </c>
      <c r="K60" s="253">
        <f>aurora_data!J765</f>
        <v>0</v>
      </c>
      <c r="L60" s="253">
        <f>aurora_data!K765</f>
        <v>0</v>
      </c>
      <c r="M60" s="253">
        <f>aurora_data!L765</f>
        <v>0</v>
      </c>
      <c r="N60" s="254">
        <f>aurora_data!M765</f>
        <v>0</v>
      </c>
      <c r="O60" s="113">
        <f>aurora_data!N765</f>
        <v>0</v>
      </c>
      <c r="P60" s="253">
        <f>aurora_data!O765</f>
        <v>0</v>
      </c>
      <c r="Q60" s="253">
        <f>aurora_data!P765</f>
        <v>0</v>
      </c>
      <c r="R60" s="254">
        <f>aurora_data!Q765</f>
        <v>0</v>
      </c>
      <c r="S60" s="253">
        <f>aurora_data!R765</f>
        <v>0</v>
      </c>
      <c r="T60" s="253">
        <f>aurora_data!S765</f>
        <v>0</v>
      </c>
      <c r="U60" s="254">
        <f>aurora_data!T365</f>
        <v>0</v>
      </c>
      <c r="V60" s="61"/>
      <c r="W60" s="113">
        <f>IFERROR(aurora_data!U765,0)</f>
        <v>0</v>
      </c>
      <c r="X60" s="255">
        <f t="shared" si="21"/>
        <v>0</v>
      </c>
      <c r="Y60" s="2"/>
      <c r="AA60" s="452"/>
      <c r="AB60" s="454"/>
      <c r="AC60" s="35" t="s">
        <v>342</v>
      </c>
      <c r="AD60" s="113">
        <f>aurora_data!D765+aurora_data!E765</f>
        <v>0</v>
      </c>
      <c r="AE60" s="253">
        <f>aurora_data!F765</f>
        <v>0</v>
      </c>
      <c r="AF60" s="253">
        <f>aurora_data!G765</f>
        <v>0</v>
      </c>
      <c r="AG60" s="254">
        <f>aurora_data!H765</f>
        <v>0</v>
      </c>
      <c r="AH60" s="350"/>
      <c r="AI60" s="113">
        <f>IFERROR(aurora_data!U765,0)</f>
        <v>0</v>
      </c>
      <c r="AJ60" s="255">
        <f t="shared" si="20"/>
        <v>0</v>
      </c>
    </row>
    <row r="61" spans="1:36" customFormat="1" ht="16.5" thickBot="1">
      <c r="A61" s="2"/>
      <c r="B61" s="561"/>
      <c r="C61" s="454"/>
      <c r="D61" s="37" t="s">
        <v>17</v>
      </c>
      <c r="E61" s="59">
        <f>aurora_data!D766</f>
        <v>1</v>
      </c>
      <c r="F61" s="64">
        <f>aurora_data!E766</f>
        <v>1</v>
      </c>
      <c r="G61" s="64">
        <f>aurora_data!F766</f>
        <v>2</v>
      </c>
      <c r="H61" s="64">
        <f>aurora_data!G766</f>
        <v>4</v>
      </c>
      <c r="I61" s="65">
        <f>aurora_data!H766</f>
        <v>4</v>
      </c>
      <c r="J61" s="59">
        <f>aurora_data!I766</f>
        <v>0</v>
      </c>
      <c r="K61" s="64">
        <f>aurora_data!J766</f>
        <v>4</v>
      </c>
      <c r="L61" s="64">
        <f>aurora_data!K766</f>
        <v>2</v>
      </c>
      <c r="M61" s="64">
        <f>aurora_data!L766</f>
        <v>2</v>
      </c>
      <c r="N61" s="65">
        <f>aurora_data!M766</f>
        <v>4</v>
      </c>
      <c r="O61" s="59">
        <f>aurora_data!N766</f>
        <v>4</v>
      </c>
      <c r="P61" s="64">
        <f>aurora_data!O766</f>
        <v>1</v>
      </c>
      <c r="Q61" s="64">
        <f>aurora_data!P766</f>
        <v>5</v>
      </c>
      <c r="R61" s="65">
        <f>aurora_data!Q766</f>
        <v>2</v>
      </c>
      <c r="S61" s="64">
        <f>aurora_data!R766</f>
        <v>7</v>
      </c>
      <c r="T61" s="64">
        <f>aurora_data!S766</f>
        <v>5</v>
      </c>
      <c r="U61" s="65">
        <f>aurora_data!T366</f>
        <v>0</v>
      </c>
      <c r="V61" s="66"/>
      <c r="W61" s="59">
        <f>IFERROR(aurora_data!U766,0)</f>
        <v>12</v>
      </c>
      <c r="X61" s="70">
        <f t="shared" si="21"/>
        <v>1.3333333333333333</v>
      </c>
      <c r="Y61" s="2"/>
      <c r="AA61" s="452"/>
      <c r="AB61" s="454"/>
      <c r="AC61" s="37" t="s">
        <v>17</v>
      </c>
      <c r="AD61" s="59">
        <f>aurora_data!D766+aurora_data!E766</f>
        <v>2</v>
      </c>
      <c r="AE61" s="64">
        <f>aurora_data!F766</f>
        <v>2</v>
      </c>
      <c r="AF61" s="64">
        <f>aurora_data!G766</f>
        <v>4</v>
      </c>
      <c r="AG61" s="65">
        <f>aurora_data!H766</f>
        <v>4</v>
      </c>
      <c r="AH61" s="351"/>
      <c r="AI61" s="59">
        <f>IFERROR(aurora_data!U766,0)</f>
        <v>12</v>
      </c>
      <c r="AJ61" s="70">
        <f t="shared" si="20"/>
        <v>1.3333333333333333</v>
      </c>
    </row>
    <row r="62" spans="1:36" customFormat="1" ht="16.5" thickBot="1">
      <c r="A62" s="2"/>
      <c r="B62" s="561"/>
      <c r="C62" s="454"/>
      <c r="D62" s="38" t="s">
        <v>343</v>
      </c>
      <c r="E62" s="256">
        <f>aurora_data!D767</f>
        <v>0</v>
      </c>
      <c r="F62" s="257">
        <f>aurora_data!E767</f>
        <v>0</v>
      </c>
      <c r="G62" s="257">
        <f>aurora_data!F767</f>
        <v>0</v>
      </c>
      <c r="H62" s="257">
        <f>aurora_data!G767</f>
        <v>0</v>
      </c>
      <c r="I62" s="258">
        <f>aurora_data!H767</f>
        <v>0</v>
      </c>
      <c r="J62" s="256">
        <f>aurora_data!I767</f>
        <v>0</v>
      </c>
      <c r="K62" s="257">
        <f>aurora_data!J767</f>
        <v>0</v>
      </c>
      <c r="L62" s="257">
        <f>aurora_data!K767</f>
        <v>0</v>
      </c>
      <c r="M62" s="257">
        <f>aurora_data!L767</f>
        <v>0</v>
      </c>
      <c r="N62" s="258">
        <f>aurora_data!M767</f>
        <v>0</v>
      </c>
      <c r="O62" s="256">
        <f>aurora_data!N767</f>
        <v>0</v>
      </c>
      <c r="P62" s="257">
        <f>aurora_data!O767</f>
        <v>0</v>
      </c>
      <c r="Q62" s="257">
        <f>aurora_data!P767</f>
        <v>0</v>
      </c>
      <c r="R62" s="258">
        <f>aurora_data!Q767</f>
        <v>0</v>
      </c>
      <c r="S62" s="257">
        <f>aurora_data!R767</f>
        <v>0</v>
      </c>
      <c r="T62" s="257">
        <f>aurora_data!S767</f>
        <v>0</v>
      </c>
      <c r="U62" s="259">
        <f>aurora_data!T367</f>
        <v>0</v>
      </c>
      <c r="V62" s="260"/>
      <c r="W62" s="256">
        <f>IFERROR(aurora_data!U767,0)</f>
        <v>0</v>
      </c>
      <c r="X62" s="261">
        <f t="shared" si="21"/>
        <v>0</v>
      </c>
      <c r="Y62" s="2"/>
      <c r="AA62" s="452"/>
      <c r="AB62" s="454"/>
      <c r="AC62" s="38" t="s">
        <v>343</v>
      </c>
      <c r="AD62" s="256">
        <f>aurora_data!D767+aurora_data!E767</f>
        <v>0</v>
      </c>
      <c r="AE62" s="257">
        <f>aurora_data!F767</f>
        <v>0</v>
      </c>
      <c r="AF62" s="257">
        <f>aurora_data!G767</f>
        <v>0</v>
      </c>
      <c r="AG62" s="258">
        <f>aurora_data!H767</f>
        <v>0</v>
      </c>
      <c r="AH62" s="352"/>
      <c r="AI62" s="256">
        <f>IFERROR(aurora_data!U767,0)</f>
        <v>0</v>
      </c>
      <c r="AJ62" s="261">
        <f t="shared" si="20"/>
        <v>0</v>
      </c>
    </row>
    <row r="63" spans="1:36" customFormat="1" ht="16.5" outlineLevel="1" thickBot="1">
      <c r="A63" s="2"/>
      <c r="B63" s="147"/>
      <c r="C63" s="227"/>
      <c r="D63" s="199" t="s">
        <v>344</v>
      </c>
      <c r="E63" s="276">
        <f>(E65+$E$9)*($W54)</f>
        <v>0.43000000000000005</v>
      </c>
      <c r="F63" s="277">
        <f>(F65+$E$9)*($W54)</f>
        <v>0.68</v>
      </c>
      <c r="G63" s="277">
        <f>(G65+$E$9)*($W54)</f>
        <v>1.99</v>
      </c>
      <c r="H63" s="277">
        <f>(H65+$E$9)*($W54)</f>
        <v>3.0500000000000003</v>
      </c>
      <c r="I63" s="277">
        <f>(I65+$E$9)*($W54)</f>
        <v>3.75</v>
      </c>
      <c r="J63" s="294"/>
      <c r="K63" s="295"/>
      <c r="L63" s="295"/>
      <c r="M63" s="295"/>
      <c r="N63" s="296"/>
      <c r="O63" s="294"/>
      <c r="P63" s="295"/>
      <c r="Q63" s="295"/>
      <c r="R63" s="296"/>
      <c r="S63" s="295"/>
      <c r="T63" s="295"/>
      <c r="U63" s="297"/>
      <c r="V63" s="298"/>
      <c r="W63" s="294"/>
      <c r="X63" s="299"/>
      <c r="Y63" s="2"/>
      <c r="AA63" s="147"/>
      <c r="AB63" s="227"/>
      <c r="AC63" s="199" t="s">
        <v>344</v>
      </c>
      <c r="AD63" s="294"/>
      <c r="AE63" s="295"/>
      <c r="AF63" s="295"/>
      <c r="AG63" s="296"/>
      <c r="AH63" s="350"/>
      <c r="AI63" s="294"/>
      <c r="AJ63" s="299"/>
    </row>
    <row r="64" spans="1:36" customFormat="1" ht="16.5" outlineLevel="1" thickBot="1">
      <c r="A64" s="2"/>
      <c r="B64" s="147"/>
      <c r="C64" s="227"/>
      <c r="D64" s="199" t="s">
        <v>345</v>
      </c>
      <c r="E64" s="276">
        <f>IF(ROUND(((E65-$E$9)*($W54))+0.25,0) &lt;=0,1,((E65-$E$9)*($W54))+0.25)</f>
        <v>1</v>
      </c>
      <c r="F64" s="277">
        <f>IF(ROUND(((F65-$E$9)*($W54))+0.25,0) &lt;=0,1,((F65-$E$9)*($W54))+0.25)</f>
        <v>0.56999999999999995</v>
      </c>
      <c r="G64" s="277">
        <f t="shared" ref="G64:I64" si="22">IF(ROUND(((G65-$E$9)*($W54))+0.25,0) &lt;=0,1,((G65-$E$9)*($W54))+0.25)</f>
        <v>1.8800000000000003</v>
      </c>
      <c r="H64" s="277">
        <f t="shared" si="22"/>
        <v>2.94</v>
      </c>
      <c r="I64" s="277">
        <f t="shared" si="22"/>
        <v>3.6399999999999997</v>
      </c>
      <c r="J64" s="294"/>
      <c r="K64" s="295"/>
      <c r="L64" s="295"/>
      <c r="M64" s="295"/>
      <c r="N64" s="296"/>
      <c r="O64" s="294"/>
      <c r="P64" s="295"/>
      <c r="Q64" s="295"/>
      <c r="R64" s="296"/>
      <c r="S64" s="295"/>
      <c r="T64" s="295"/>
      <c r="U64" s="297"/>
      <c r="V64" s="298"/>
      <c r="W64" s="294"/>
      <c r="X64" s="299"/>
      <c r="Y64" s="2"/>
      <c r="AA64" s="147"/>
      <c r="AB64" s="227"/>
      <c r="AC64" s="199" t="s">
        <v>345</v>
      </c>
      <c r="AD64" s="294"/>
      <c r="AE64" s="295"/>
      <c r="AF64" s="295"/>
      <c r="AG64" s="296"/>
      <c r="AH64" s="350"/>
      <c r="AI64" s="294"/>
      <c r="AJ64" s="299"/>
    </row>
    <row r="65" spans="1:36" customFormat="1" ht="16.5" outlineLevel="1" thickBot="1">
      <c r="A65" s="2"/>
      <c r="B65" s="147"/>
      <c r="C65" s="227"/>
      <c r="D65" s="95" t="s">
        <v>346</v>
      </c>
      <c r="E65" s="414">
        <f>IFERROR(E54/$W54,0)</f>
        <v>2.7777777777777776E-2</v>
      </c>
      <c r="F65" s="415">
        <f t="shared" ref="F65" si="23">IFERROR(F54/$W54,0)</f>
        <v>5.5555555555555552E-2</v>
      </c>
      <c r="G65" s="415">
        <f>IFERROR(G54/$W54,0)</f>
        <v>0.20111111111111113</v>
      </c>
      <c r="H65" s="415">
        <f t="shared" ref="H65" si="24">IFERROR(H54/$W54,0)</f>
        <v>0.31888888888888889</v>
      </c>
      <c r="I65" s="415">
        <f>IFERROR(I54/$W54,0)</f>
        <v>0.39666666666666667</v>
      </c>
      <c r="J65" s="294"/>
      <c r="K65" s="295"/>
      <c r="L65" s="295"/>
      <c r="M65" s="295"/>
      <c r="N65" s="296"/>
      <c r="O65" s="294"/>
      <c r="P65" s="295"/>
      <c r="Q65" s="295"/>
      <c r="R65" s="296"/>
      <c r="S65" s="295"/>
      <c r="T65" s="295"/>
      <c r="U65" s="297"/>
      <c r="V65" s="298"/>
      <c r="W65" s="294"/>
      <c r="X65" s="299"/>
      <c r="Y65" s="2"/>
      <c r="AA65" s="147"/>
      <c r="AB65" s="227"/>
      <c r="AC65" s="95" t="s">
        <v>346</v>
      </c>
      <c r="AD65" s="294"/>
      <c r="AE65" s="295"/>
      <c r="AF65" s="295"/>
      <c r="AG65" s="296"/>
      <c r="AH65" s="350"/>
      <c r="AI65" s="294"/>
      <c r="AJ65" s="299"/>
    </row>
    <row r="66" spans="1:36" customFormat="1" ht="16.5" outlineLevel="1" thickBot="1">
      <c r="A66" s="2"/>
      <c r="B66" s="147"/>
      <c r="C66" s="227"/>
      <c r="D66" s="180" t="s">
        <v>347</v>
      </c>
      <c r="E66" s="414">
        <f>IFERROR(E55/$W54,0)</f>
        <v>0.1111111111111111</v>
      </c>
      <c r="F66" s="415">
        <f t="shared" ref="F66:I66" si="25">IFERROR(F55/$W54,0)</f>
        <v>0.1111111111111111</v>
      </c>
      <c r="G66" s="415">
        <f t="shared" si="25"/>
        <v>0.22222222222222221</v>
      </c>
      <c r="H66" s="415">
        <f t="shared" si="25"/>
        <v>0.22222222222222221</v>
      </c>
      <c r="I66" s="415">
        <f t="shared" si="25"/>
        <v>0.33333333333333331</v>
      </c>
      <c r="J66" s="294"/>
      <c r="K66" s="295"/>
      <c r="L66" s="295"/>
      <c r="M66" s="295"/>
      <c r="N66" s="296"/>
      <c r="O66" s="294"/>
      <c r="P66" s="295"/>
      <c r="Q66" s="295"/>
      <c r="R66" s="296"/>
      <c r="S66" s="295"/>
      <c r="T66" s="295"/>
      <c r="U66" s="297"/>
      <c r="V66" s="298"/>
      <c r="W66" s="294"/>
      <c r="X66" s="299"/>
      <c r="Y66" s="2"/>
      <c r="AA66" s="147"/>
      <c r="AB66" s="227"/>
      <c r="AC66" s="180" t="s">
        <v>347</v>
      </c>
      <c r="AD66" s="294"/>
      <c r="AE66" s="295"/>
      <c r="AF66" s="295"/>
      <c r="AG66" s="296"/>
      <c r="AH66" s="350"/>
      <c r="AI66" s="294"/>
      <c r="AJ66" s="299"/>
    </row>
    <row r="67" spans="1:36" customFormat="1" ht="16.5" outlineLevel="1" thickBot="1">
      <c r="A67" s="2"/>
      <c r="B67" s="147"/>
      <c r="C67" s="227"/>
      <c r="D67" s="180" t="s">
        <v>348</v>
      </c>
      <c r="E67" s="414">
        <f>E66-E65</f>
        <v>8.3333333333333329E-2</v>
      </c>
      <c r="F67" s="415">
        <f t="shared" ref="F67:I67" si="26">F66-F65</f>
        <v>5.5555555555555552E-2</v>
      </c>
      <c r="G67" s="415">
        <f t="shared" si="26"/>
        <v>2.1111111111111081E-2</v>
      </c>
      <c r="H67" s="415">
        <f t="shared" si="26"/>
        <v>-9.6666666666666679E-2</v>
      </c>
      <c r="I67" s="415">
        <f t="shared" si="26"/>
        <v>-6.3333333333333353E-2</v>
      </c>
      <c r="J67" s="294"/>
      <c r="K67" s="295"/>
      <c r="L67" s="295"/>
      <c r="M67" s="295"/>
      <c r="N67" s="296"/>
      <c r="O67" s="294"/>
      <c r="P67" s="295"/>
      <c r="Q67" s="295"/>
      <c r="R67" s="296"/>
      <c r="S67" s="295"/>
      <c r="T67" s="295"/>
      <c r="U67" s="297"/>
      <c r="V67" s="298"/>
      <c r="W67" s="294"/>
      <c r="X67" s="299"/>
      <c r="Y67" s="2"/>
      <c r="AA67" s="147"/>
      <c r="AB67" s="227"/>
      <c r="AC67" s="180" t="s">
        <v>348</v>
      </c>
      <c r="AD67" s="294"/>
      <c r="AE67" s="295"/>
      <c r="AF67" s="295"/>
      <c r="AG67" s="296"/>
      <c r="AH67" s="350"/>
      <c r="AI67" s="294"/>
      <c r="AJ67" s="299"/>
    </row>
    <row r="68" spans="1:36" customFormat="1">
      <c r="A68" s="2"/>
      <c r="B68" s="560" t="s">
        <v>362</v>
      </c>
      <c r="C68" s="453" t="str">
        <f>aurora_data!A768</f>
        <v>10.00.00-10.11.30</v>
      </c>
      <c r="D68" s="34" t="s">
        <v>306</v>
      </c>
      <c r="E68" s="39">
        <f>aurora_data!D768</f>
        <v>0.28000000000000003</v>
      </c>
      <c r="F68" s="40">
        <f>aurora_data!E768</f>
        <v>0.52</v>
      </c>
      <c r="G68" s="40">
        <f>aurora_data!F768</f>
        <v>1.81</v>
      </c>
      <c r="H68" s="40">
        <f>aurora_data!G768</f>
        <v>2.88</v>
      </c>
      <c r="I68" s="41">
        <f>aurora_data!H768</f>
        <v>3.51</v>
      </c>
      <c r="J68" s="39">
        <f>aurora_data!I768</f>
        <v>1</v>
      </c>
      <c r="K68" s="40">
        <f>aurora_data!J768</f>
        <v>1</v>
      </c>
      <c r="L68" s="40">
        <f>aurora_data!K768</f>
        <v>1</v>
      </c>
      <c r="M68" s="40">
        <f>aurora_data!L768</f>
        <v>1</v>
      </c>
      <c r="N68" s="41">
        <f>aurora_data!M768</f>
        <v>1</v>
      </c>
      <c r="O68" s="39">
        <f>aurora_data!N768</f>
        <v>1</v>
      </c>
      <c r="P68" s="40">
        <f>aurora_data!O768</f>
        <v>1</v>
      </c>
      <c r="Q68" s="40">
        <f>aurora_data!P768</f>
        <v>1</v>
      </c>
      <c r="R68" s="41">
        <f>aurora_data!Q768</f>
        <v>1</v>
      </c>
      <c r="S68" s="40">
        <f>aurora_data!R768</f>
        <v>1</v>
      </c>
      <c r="T68" s="40">
        <f>aurora_data!S768</f>
        <v>1</v>
      </c>
      <c r="U68" s="41">
        <f>aurora_data!T368</f>
        <v>0</v>
      </c>
      <c r="V68" s="61"/>
      <c r="W68" s="39">
        <f>IFERROR(aurora_data!U768,0)</f>
        <v>9</v>
      </c>
      <c r="X68" s="69">
        <f>IFERROR(W68/$W$68,0)</f>
        <v>1</v>
      </c>
      <c r="Y68" s="2"/>
      <c r="AA68" s="451" t="s">
        <v>338</v>
      </c>
      <c r="AB68" s="453" t="str">
        <f>aurora_data!A768</f>
        <v>10.00.00-10.11.30</v>
      </c>
      <c r="AC68" s="34" t="s">
        <v>306</v>
      </c>
      <c r="AD68" s="338">
        <v>2</v>
      </c>
      <c r="AE68" s="40">
        <v>2</v>
      </c>
      <c r="AF68" s="40">
        <v>3</v>
      </c>
      <c r="AG68" s="358">
        <v>3</v>
      </c>
      <c r="AH68" s="350"/>
      <c r="AI68" s="39">
        <f>IFERROR(aurora_data!U768,0)</f>
        <v>9</v>
      </c>
      <c r="AJ68" s="69">
        <f t="shared" ref="AJ68:AJ76" si="27">IFERROR(AI68/$AI$68,0)</f>
        <v>1</v>
      </c>
    </row>
    <row r="69" spans="1:36" customFormat="1">
      <c r="A69" s="2"/>
      <c r="B69" s="561"/>
      <c r="C69" s="454"/>
      <c r="D69" s="35" t="s">
        <v>339</v>
      </c>
      <c r="E69" s="113">
        <f>aurora_data!D769</f>
        <v>2</v>
      </c>
      <c r="F69" s="253">
        <f>aurora_data!E769</f>
        <v>0</v>
      </c>
      <c r="G69" s="253">
        <f>aurora_data!F769</f>
        <v>2</v>
      </c>
      <c r="H69" s="253">
        <f>aurora_data!G769</f>
        <v>3</v>
      </c>
      <c r="I69" s="254">
        <f>aurora_data!H769</f>
        <v>2</v>
      </c>
      <c r="J69" s="113">
        <f>aurora_data!I769</f>
        <v>1</v>
      </c>
      <c r="K69" s="253">
        <f>aurora_data!J769</f>
        <v>1</v>
      </c>
      <c r="L69" s="253">
        <f>aurora_data!K769</f>
        <v>1</v>
      </c>
      <c r="M69" s="253">
        <f>aurora_data!L769</f>
        <v>2</v>
      </c>
      <c r="N69" s="254">
        <f>aurora_data!M769</f>
        <v>4</v>
      </c>
      <c r="O69" s="113">
        <f>aurora_data!N769</f>
        <v>3</v>
      </c>
      <c r="P69" s="253">
        <f>aurora_data!O769</f>
        <v>2</v>
      </c>
      <c r="Q69" s="253">
        <f>aurora_data!P769</f>
        <v>2</v>
      </c>
      <c r="R69" s="254">
        <f>aurora_data!Q769</f>
        <v>2</v>
      </c>
      <c r="S69" s="253">
        <f>aurora_data!R769</f>
        <v>4</v>
      </c>
      <c r="T69" s="253">
        <f>aurora_data!S769</f>
        <v>5</v>
      </c>
      <c r="U69" s="254">
        <f>aurora_data!T369</f>
        <v>0</v>
      </c>
      <c r="V69" s="61"/>
      <c r="W69" s="113">
        <f>IFERROR(aurora_data!U769,0)</f>
        <v>9</v>
      </c>
      <c r="X69" s="255">
        <f t="shared" ref="X69:X76" si="28">IFERROR(W69/$W$68,0)</f>
        <v>1</v>
      </c>
      <c r="Y69" s="2"/>
      <c r="AA69" s="452"/>
      <c r="AB69" s="454"/>
      <c r="AC69" s="35" t="s">
        <v>339</v>
      </c>
      <c r="AD69" s="113">
        <f>aurora_data!D769+aurora_data!E769</f>
        <v>2</v>
      </c>
      <c r="AE69" s="253">
        <f>aurora_data!F769</f>
        <v>2</v>
      </c>
      <c r="AF69" s="253">
        <f>aurora_data!G769</f>
        <v>3</v>
      </c>
      <c r="AG69" s="254">
        <f>aurora_data!H769</f>
        <v>2</v>
      </c>
      <c r="AH69" s="350"/>
      <c r="AI69" s="113">
        <f>IFERROR(aurora_data!U769,0)</f>
        <v>9</v>
      </c>
      <c r="AJ69" s="255">
        <f t="shared" si="27"/>
        <v>1</v>
      </c>
    </row>
    <row r="70" spans="1:36" customFormat="1">
      <c r="A70" s="2"/>
      <c r="B70" s="561"/>
      <c r="C70" s="454"/>
      <c r="D70" s="35" t="s">
        <v>291</v>
      </c>
      <c r="E70" s="113">
        <f>aurora_data!D770</f>
        <v>1</v>
      </c>
      <c r="F70" s="253">
        <f>aurora_data!E770</f>
        <v>0</v>
      </c>
      <c r="G70" s="253">
        <f>aurora_data!F770</f>
        <v>0</v>
      </c>
      <c r="H70" s="253">
        <f>aurora_data!G770</f>
        <v>2</v>
      </c>
      <c r="I70" s="254">
        <f>aurora_data!H770</f>
        <v>2</v>
      </c>
      <c r="J70" s="113">
        <f>aurora_data!I770</f>
        <v>1</v>
      </c>
      <c r="K70" s="253">
        <f>aurora_data!J770</f>
        <v>0</v>
      </c>
      <c r="L70" s="253">
        <f>aurora_data!K770</f>
        <v>1</v>
      </c>
      <c r="M70" s="253">
        <f>aurora_data!L770</f>
        <v>0</v>
      </c>
      <c r="N70" s="254">
        <f>aurora_data!M770</f>
        <v>3</v>
      </c>
      <c r="O70" s="113">
        <f>aurora_data!N770</f>
        <v>2</v>
      </c>
      <c r="P70" s="253">
        <f>aurora_data!O770</f>
        <v>0</v>
      </c>
      <c r="Q70" s="253">
        <f>aurora_data!P770</f>
        <v>2</v>
      </c>
      <c r="R70" s="254">
        <f>aurora_data!Q770</f>
        <v>1</v>
      </c>
      <c r="S70" s="253">
        <f>aurora_data!R770</f>
        <v>4</v>
      </c>
      <c r="T70" s="253">
        <f>aurora_data!S770</f>
        <v>1</v>
      </c>
      <c r="U70" s="254">
        <f>aurora_data!T370</f>
        <v>0</v>
      </c>
      <c r="V70" s="61"/>
      <c r="W70" s="113">
        <f>IFERROR(aurora_data!U770,0)</f>
        <v>5</v>
      </c>
      <c r="X70" s="255">
        <f t="shared" si="28"/>
        <v>0.55555555555555558</v>
      </c>
      <c r="Y70" s="2"/>
      <c r="AA70" s="452"/>
      <c r="AB70" s="454"/>
      <c r="AC70" s="35" t="s">
        <v>291</v>
      </c>
      <c r="AD70" s="113">
        <f>aurora_data!D770+aurora_data!E770</f>
        <v>1</v>
      </c>
      <c r="AE70" s="253">
        <f>aurora_data!F770</f>
        <v>0</v>
      </c>
      <c r="AF70" s="253">
        <f>aurora_data!G770</f>
        <v>2</v>
      </c>
      <c r="AG70" s="254">
        <f>aurora_data!H770</f>
        <v>2</v>
      </c>
      <c r="AH70" s="350"/>
      <c r="AI70" s="113">
        <f>IFERROR(aurora_data!U770,0)</f>
        <v>5</v>
      </c>
      <c r="AJ70" s="255">
        <f t="shared" si="27"/>
        <v>0.55555555555555558</v>
      </c>
    </row>
    <row r="71" spans="1:36" customFormat="1">
      <c r="A71" s="2"/>
      <c r="B71" s="561"/>
      <c r="C71" s="454"/>
      <c r="D71" s="35" t="s">
        <v>340</v>
      </c>
      <c r="E71" s="113">
        <f>aurora_data!D771</f>
        <v>0</v>
      </c>
      <c r="F71" s="253">
        <f>aurora_data!E771</f>
        <v>0</v>
      </c>
      <c r="G71" s="253">
        <f>aurora_data!F771</f>
        <v>0</v>
      </c>
      <c r="H71" s="253">
        <f>aurora_data!G771</f>
        <v>0</v>
      </c>
      <c r="I71" s="254">
        <f>aurora_data!H771</f>
        <v>0</v>
      </c>
      <c r="J71" s="113">
        <f>aurora_data!I771</f>
        <v>0</v>
      </c>
      <c r="K71" s="253">
        <f>aurora_data!J771</f>
        <v>0</v>
      </c>
      <c r="L71" s="253">
        <f>aurora_data!K771</f>
        <v>0</v>
      </c>
      <c r="M71" s="253">
        <f>aurora_data!L771</f>
        <v>0</v>
      </c>
      <c r="N71" s="254">
        <f>aurora_data!M771</f>
        <v>0</v>
      </c>
      <c r="O71" s="113">
        <f>aurora_data!N771</f>
        <v>0</v>
      </c>
      <c r="P71" s="253">
        <f>aurora_data!O771</f>
        <v>0</v>
      </c>
      <c r="Q71" s="253">
        <f>aurora_data!P771</f>
        <v>0</v>
      </c>
      <c r="R71" s="254">
        <f>aurora_data!Q771</f>
        <v>0</v>
      </c>
      <c r="S71" s="253">
        <f>aurora_data!R771</f>
        <v>0</v>
      </c>
      <c r="T71" s="253">
        <f>aurora_data!S771</f>
        <v>0</v>
      </c>
      <c r="U71" s="254">
        <f>aurora_data!T371</f>
        <v>0</v>
      </c>
      <c r="V71" s="61"/>
      <c r="W71" s="113">
        <f>IFERROR(aurora_data!U771,0)</f>
        <v>0</v>
      </c>
      <c r="X71" s="255">
        <f t="shared" si="28"/>
        <v>0</v>
      </c>
      <c r="Y71" s="2"/>
      <c r="AA71" s="452"/>
      <c r="AB71" s="454"/>
      <c r="AC71" s="35" t="s">
        <v>340</v>
      </c>
      <c r="AD71" s="113">
        <f>aurora_data!D771+aurora_data!E771</f>
        <v>0</v>
      </c>
      <c r="AE71" s="253">
        <f>aurora_data!F771</f>
        <v>0</v>
      </c>
      <c r="AF71" s="253">
        <f>aurora_data!G771</f>
        <v>0</v>
      </c>
      <c r="AG71" s="254">
        <f>aurora_data!H771</f>
        <v>0</v>
      </c>
      <c r="AH71" s="350"/>
      <c r="AI71" s="113">
        <f>IFERROR(aurora_data!U771,0)</f>
        <v>0</v>
      </c>
      <c r="AJ71" s="255">
        <f t="shared" si="27"/>
        <v>0</v>
      </c>
    </row>
    <row r="72" spans="1:36" customFormat="1">
      <c r="A72" s="2"/>
      <c r="B72" s="561"/>
      <c r="C72" s="454"/>
      <c r="D72" s="35" t="s">
        <v>298</v>
      </c>
      <c r="E72" s="113">
        <f>aurora_data!D772</f>
        <v>0</v>
      </c>
      <c r="F72" s="253">
        <f>aurora_data!E772</f>
        <v>0</v>
      </c>
      <c r="G72" s="253">
        <f>aurora_data!F772</f>
        <v>0</v>
      </c>
      <c r="H72" s="253">
        <f>aurora_data!G772</f>
        <v>0</v>
      </c>
      <c r="I72" s="254">
        <f>aurora_data!H772</f>
        <v>0</v>
      </c>
      <c r="J72" s="113">
        <f>aurora_data!I772</f>
        <v>0</v>
      </c>
      <c r="K72" s="253">
        <f>aurora_data!J772</f>
        <v>0</v>
      </c>
      <c r="L72" s="253">
        <f>aurora_data!K772</f>
        <v>0</v>
      </c>
      <c r="M72" s="253">
        <f>aurora_data!L772</f>
        <v>0</v>
      </c>
      <c r="N72" s="254">
        <f>aurora_data!M772</f>
        <v>0</v>
      </c>
      <c r="O72" s="113">
        <f>aurora_data!N772</f>
        <v>0</v>
      </c>
      <c r="P72" s="253">
        <f>aurora_data!O772</f>
        <v>0</v>
      </c>
      <c r="Q72" s="253">
        <f>aurora_data!P772</f>
        <v>0</v>
      </c>
      <c r="R72" s="254">
        <f>aurora_data!Q772</f>
        <v>0</v>
      </c>
      <c r="S72" s="253">
        <f>aurora_data!R772</f>
        <v>0</v>
      </c>
      <c r="T72" s="253">
        <f>aurora_data!S772</f>
        <v>0</v>
      </c>
      <c r="U72" s="254">
        <f>aurora_data!T372</f>
        <v>0</v>
      </c>
      <c r="V72" s="61"/>
      <c r="W72" s="113">
        <f>IFERROR(aurora_data!U772,0)</f>
        <v>0</v>
      </c>
      <c r="X72" s="255">
        <f t="shared" si="28"/>
        <v>0</v>
      </c>
      <c r="Y72" s="2"/>
      <c r="AA72" s="452"/>
      <c r="AB72" s="454"/>
      <c r="AC72" s="35" t="s">
        <v>298</v>
      </c>
      <c r="AD72" s="113">
        <f>aurora_data!D772+aurora_data!E772</f>
        <v>0</v>
      </c>
      <c r="AE72" s="253">
        <f>aurora_data!F772</f>
        <v>0</v>
      </c>
      <c r="AF72" s="253">
        <f>aurora_data!G772</f>
        <v>0</v>
      </c>
      <c r="AG72" s="254">
        <f>aurora_data!H772</f>
        <v>0</v>
      </c>
      <c r="AH72" s="350"/>
      <c r="AI72" s="113">
        <f>IFERROR(aurora_data!U772,0)</f>
        <v>0</v>
      </c>
      <c r="AJ72" s="255">
        <f t="shared" si="27"/>
        <v>0</v>
      </c>
    </row>
    <row r="73" spans="1:36" customFormat="1">
      <c r="A73" s="2"/>
      <c r="B73" s="561"/>
      <c r="C73" s="454"/>
      <c r="D73" s="35" t="s">
        <v>341</v>
      </c>
      <c r="E73" s="113">
        <f>aurora_data!D773</f>
        <v>0</v>
      </c>
      <c r="F73" s="253">
        <f>aurora_data!E773</f>
        <v>0</v>
      </c>
      <c r="G73" s="253">
        <f>aurora_data!F773</f>
        <v>0</v>
      </c>
      <c r="H73" s="253">
        <f>aurora_data!G773</f>
        <v>0</v>
      </c>
      <c r="I73" s="254">
        <f>aurora_data!H773</f>
        <v>0</v>
      </c>
      <c r="J73" s="113">
        <f>aurora_data!I773</f>
        <v>0</v>
      </c>
      <c r="K73" s="253">
        <f>aurora_data!J773</f>
        <v>0</v>
      </c>
      <c r="L73" s="253">
        <f>aurora_data!K773</f>
        <v>0</v>
      </c>
      <c r="M73" s="253">
        <f>aurora_data!L773</f>
        <v>0</v>
      </c>
      <c r="N73" s="254">
        <f>aurora_data!M773</f>
        <v>0</v>
      </c>
      <c r="O73" s="113">
        <f>aurora_data!N773</f>
        <v>0</v>
      </c>
      <c r="P73" s="253">
        <f>aurora_data!O773</f>
        <v>0</v>
      </c>
      <c r="Q73" s="253">
        <f>aurora_data!P773</f>
        <v>0</v>
      </c>
      <c r="R73" s="254">
        <f>aurora_data!Q773</f>
        <v>0</v>
      </c>
      <c r="S73" s="253">
        <f>aurora_data!R773</f>
        <v>0</v>
      </c>
      <c r="T73" s="253">
        <f>aurora_data!S773</f>
        <v>0</v>
      </c>
      <c r="U73" s="254">
        <f>aurora_data!T373</f>
        <v>0</v>
      </c>
      <c r="V73" s="61"/>
      <c r="W73" s="113">
        <f>IFERROR(aurora_data!U773,0)</f>
        <v>0</v>
      </c>
      <c r="X73" s="255">
        <f t="shared" si="28"/>
        <v>0</v>
      </c>
      <c r="Y73" s="2"/>
      <c r="AA73" s="452"/>
      <c r="AB73" s="454"/>
      <c r="AC73" s="35" t="s">
        <v>341</v>
      </c>
      <c r="AD73" s="113">
        <f>aurora_data!D773+aurora_data!E773</f>
        <v>0</v>
      </c>
      <c r="AE73" s="253">
        <f>aurora_data!F773</f>
        <v>0</v>
      </c>
      <c r="AF73" s="253">
        <f>aurora_data!G773</f>
        <v>0</v>
      </c>
      <c r="AG73" s="254">
        <f>aurora_data!H773</f>
        <v>0</v>
      </c>
      <c r="AH73" s="350"/>
      <c r="AI73" s="113">
        <f>IFERROR(aurora_data!U773,0)</f>
        <v>0</v>
      </c>
      <c r="AJ73" s="255">
        <f t="shared" si="27"/>
        <v>0</v>
      </c>
    </row>
    <row r="74" spans="1:36" customFormat="1" ht="16.5" thickBot="1">
      <c r="A74" s="2"/>
      <c r="B74" s="561"/>
      <c r="C74" s="454"/>
      <c r="D74" s="35" t="s">
        <v>342</v>
      </c>
      <c r="E74" s="113">
        <f>aurora_data!D774</f>
        <v>0</v>
      </c>
      <c r="F74" s="253">
        <f>aurora_data!E774</f>
        <v>0</v>
      </c>
      <c r="G74" s="253">
        <f>aurora_data!F774</f>
        <v>0</v>
      </c>
      <c r="H74" s="253">
        <f>aurora_data!G774</f>
        <v>0</v>
      </c>
      <c r="I74" s="254">
        <f>aurora_data!H774</f>
        <v>0</v>
      </c>
      <c r="J74" s="113">
        <f>aurora_data!I774</f>
        <v>0</v>
      </c>
      <c r="K74" s="253">
        <f>aurora_data!J774</f>
        <v>0</v>
      </c>
      <c r="L74" s="253">
        <f>aurora_data!K774</f>
        <v>0</v>
      </c>
      <c r="M74" s="253">
        <f>aurora_data!L774</f>
        <v>0</v>
      </c>
      <c r="N74" s="254">
        <f>aurora_data!M774</f>
        <v>0</v>
      </c>
      <c r="O74" s="113">
        <f>aurora_data!N774</f>
        <v>0</v>
      </c>
      <c r="P74" s="253">
        <f>aurora_data!O774</f>
        <v>0</v>
      </c>
      <c r="Q74" s="253">
        <f>aurora_data!P774</f>
        <v>0</v>
      </c>
      <c r="R74" s="254">
        <f>aurora_data!Q774</f>
        <v>0</v>
      </c>
      <c r="S74" s="253">
        <f>aurora_data!R774</f>
        <v>0</v>
      </c>
      <c r="T74" s="253">
        <f>aurora_data!S774</f>
        <v>0</v>
      </c>
      <c r="U74" s="254">
        <f>aurora_data!T374</f>
        <v>0</v>
      </c>
      <c r="V74" s="61"/>
      <c r="W74" s="113">
        <f>IFERROR(aurora_data!U774,0)</f>
        <v>0</v>
      </c>
      <c r="X74" s="255">
        <f t="shared" si="28"/>
        <v>0</v>
      </c>
      <c r="Y74" s="2"/>
      <c r="AA74" s="452"/>
      <c r="AB74" s="454"/>
      <c r="AC74" s="35" t="s">
        <v>342</v>
      </c>
      <c r="AD74" s="113">
        <f>aurora_data!D774+aurora_data!E774</f>
        <v>0</v>
      </c>
      <c r="AE74" s="253">
        <f>aurora_data!F774</f>
        <v>0</v>
      </c>
      <c r="AF74" s="253">
        <f>aurora_data!G774</f>
        <v>0</v>
      </c>
      <c r="AG74" s="254">
        <f>aurora_data!H774</f>
        <v>0</v>
      </c>
      <c r="AH74" s="350"/>
      <c r="AI74" s="113">
        <f>IFERROR(aurora_data!U774,0)</f>
        <v>0</v>
      </c>
      <c r="AJ74" s="255">
        <f t="shared" si="27"/>
        <v>0</v>
      </c>
    </row>
    <row r="75" spans="1:36" customFormat="1" ht="16.5" thickBot="1">
      <c r="A75" s="2"/>
      <c r="B75" s="561"/>
      <c r="C75" s="454"/>
      <c r="D75" s="37" t="s">
        <v>17</v>
      </c>
      <c r="E75" s="59">
        <f>aurora_data!D775</f>
        <v>3</v>
      </c>
      <c r="F75" s="64">
        <f>aurora_data!E775</f>
        <v>0</v>
      </c>
      <c r="G75" s="64">
        <f>aurora_data!F775</f>
        <v>2</v>
      </c>
      <c r="H75" s="64">
        <f>aurora_data!G775</f>
        <v>5</v>
      </c>
      <c r="I75" s="65">
        <f>aurora_data!H775</f>
        <v>4</v>
      </c>
      <c r="J75" s="59">
        <f>aurora_data!I775</f>
        <v>2</v>
      </c>
      <c r="K75" s="64">
        <f>aurora_data!J775</f>
        <v>1</v>
      </c>
      <c r="L75" s="64">
        <f>aurora_data!K775</f>
        <v>2</v>
      </c>
      <c r="M75" s="64">
        <f>aurora_data!L775</f>
        <v>2</v>
      </c>
      <c r="N75" s="65">
        <f>aurora_data!M775</f>
        <v>7</v>
      </c>
      <c r="O75" s="59">
        <f>aurora_data!N775</f>
        <v>5</v>
      </c>
      <c r="P75" s="64">
        <f>aurora_data!O775</f>
        <v>2</v>
      </c>
      <c r="Q75" s="64">
        <f>aurora_data!P775</f>
        <v>4</v>
      </c>
      <c r="R75" s="65">
        <f>aurora_data!Q775</f>
        <v>3</v>
      </c>
      <c r="S75" s="64">
        <f>aurora_data!R775</f>
        <v>8</v>
      </c>
      <c r="T75" s="64">
        <f>aurora_data!S775</f>
        <v>6</v>
      </c>
      <c r="U75" s="65">
        <f>aurora_data!T375</f>
        <v>0</v>
      </c>
      <c r="V75" s="66"/>
      <c r="W75" s="59">
        <f>IFERROR(aurora_data!U775,0)</f>
        <v>14</v>
      </c>
      <c r="X75" s="70">
        <f t="shared" si="28"/>
        <v>1.5555555555555556</v>
      </c>
      <c r="Y75" s="2"/>
      <c r="AA75" s="452"/>
      <c r="AB75" s="454"/>
      <c r="AC75" s="37" t="s">
        <v>17</v>
      </c>
      <c r="AD75" s="59">
        <f>aurora_data!D775+aurora_data!E775</f>
        <v>3</v>
      </c>
      <c r="AE75" s="64">
        <f>aurora_data!F775</f>
        <v>2</v>
      </c>
      <c r="AF75" s="64">
        <f>aurora_data!G775</f>
        <v>5</v>
      </c>
      <c r="AG75" s="65">
        <f>aurora_data!H775</f>
        <v>4</v>
      </c>
      <c r="AH75" s="351"/>
      <c r="AI75" s="59">
        <f>IFERROR(aurora_data!U775,0)</f>
        <v>14</v>
      </c>
      <c r="AJ75" s="70">
        <f t="shared" si="27"/>
        <v>1.5555555555555556</v>
      </c>
    </row>
    <row r="76" spans="1:36" customFormat="1" ht="16.5" thickBot="1">
      <c r="A76" s="2"/>
      <c r="B76" s="561"/>
      <c r="C76" s="454"/>
      <c r="D76" s="38" t="s">
        <v>343</v>
      </c>
      <c r="E76" s="256">
        <f>aurora_data!D776</f>
        <v>0</v>
      </c>
      <c r="F76" s="257">
        <f>aurora_data!E776</f>
        <v>0</v>
      </c>
      <c r="G76" s="257">
        <f>aurora_data!F776</f>
        <v>0</v>
      </c>
      <c r="H76" s="257">
        <f>aurora_data!G776</f>
        <v>0</v>
      </c>
      <c r="I76" s="258">
        <f>aurora_data!H776</f>
        <v>0</v>
      </c>
      <c r="J76" s="256">
        <f>aurora_data!I776</f>
        <v>0</v>
      </c>
      <c r="K76" s="257">
        <f>aurora_data!J776</f>
        <v>0</v>
      </c>
      <c r="L76" s="257">
        <f>aurora_data!K776</f>
        <v>0</v>
      </c>
      <c r="M76" s="257">
        <f>aurora_data!L776</f>
        <v>0</v>
      </c>
      <c r="N76" s="258">
        <f>aurora_data!M776</f>
        <v>0</v>
      </c>
      <c r="O76" s="256">
        <f>aurora_data!N776</f>
        <v>0</v>
      </c>
      <c r="P76" s="257">
        <f>aurora_data!O776</f>
        <v>0</v>
      </c>
      <c r="Q76" s="257">
        <f>aurora_data!P776</f>
        <v>0</v>
      </c>
      <c r="R76" s="258">
        <f>aurora_data!Q776</f>
        <v>0</v>
      </c>
      <c r="S76" s="257">
        <f>aurora_data!R776</f>
        <v>0</v>
      </c>
      <c r="T76" s="257">
        <f>aurora_data!S776</f>
        <v>0</v>
      </c>
      <c r="U76" s="259">
        <f>aurora_data!T376</f>
        <v>0</v>
      </c>
      <c r="V76" s="260"/>
      <c r="W76" s="256">
        <f>IFERROR(aurora_data!U776,0)</f>
        <v>0</v>
      </c>
      <c r="X76" s="261">
        <f t="shared" si="28"/>
        <v>0</v>
      </c>
      <c r="Y76" s="2"/>
      <c r="AA76" s="452"/>
      <c r="AB76" s="454"/>
      <c r="AC76" s="38" t="s">
        <v>343</v>
      </c>
      <c r="AD76" s="256">
        <f>aurora_data!D776+aurora_data!E776</f>
        <v>0</v>
      </c>
      <c r="AE76" s="257">
        <f>aurora_data!F776</f>
        <v>0</v>
      </c>
      <c r="AF76" s="257">
        <f>aurora_data!G776</f>
        <v>0</v>
      </c>
      <c r="AG76" s="258">
        <f>aurora_data!H776</f>
        <v>0</v>
      </c>
      <c r="AH76" s="352"/>
      <c r="AI76" s="256">
        <f>IFERROR(aurora_data!U776,0)</f>
        <v>0</v>
      </c>
      <c r="AJ76" s="261">
        <f t="shared" si="27"/>
        <v>0</v>
      </c>
    </row>
    <row r="77" spans="1:36" customFormat="1" ht="16.5" outlineLevel="1" thickBot="1">
      <c r="A77" s="2"/>
      <c r="B77" s="147"/>
      <c r="C77" s="227"/>
      <c r="D77" s="199" t="s">
        <v>344</v>
      </c>
      <c r="E77" s="276">
        <f>(E79+$E$9)*($W68)</f>
        <v>0.46</v>
      </c>
      <c r="F77" s="277">
        <f>(F79+$E$9)*($W68)</f>
        <v>0.7</v>
      </c>
      <c r="G77" s="277">
        <f>(G79+$E$9)*($W68)</f>
        <v>1.99</v>
      </c>
      <c r="H77" s="277">
        <f>(H79+$E$9)*($W68)</f>
        <v>3.06</v>
      </c>
      <c r="I77" s="277">
        <f>(I79+$E$9)*($W68)</f>
        <v>3.69</v>
      </c>
      <c r="J77" s="294"/>
      <c r="K77" s="295"/>
      <c r="L77" s="295"/>
      <c r="M77" s="295"/>
      <c r="N77" s="296"/>
      <c r="O77" s="294"/>
      <c r="P77" s="295"/>
      <c r="Q77" s="295"/>
      <c r="R77" s="296"/>
      <c r="S77" s="295"/>
      <c r="T77" s="295"/>
      <c r="U77" s="297"/>
      <c r="V77" s="298"/>
      <c r="W77" s="294"/>
      <c r="X77" s="299"/>
      <c r="Y77" s="2"/>
      <c r="AA77" s="147"/>
      <c r="AB77" s="227"/>
      <c r="AC77" s="199" t="s">
        <v>344</v>
      </c>
      <c r="AD77" s="294"/>
      <c r="AE77" s="295"/>
      <c r="AF77" s="295"/>
      <c r="AG77" s="296"/>
      <c r="AH77" s="350"/>
      <c r="AI77" s="294"/>
      <c r="AJ77" s="299"/>
    </row>
    <row r="78" spans="1:36" customFormat="1" ht="16.5" outlineLevel="1" thickBot="1">
      <c r="A78" s="2"/>
      <c r="B78" s="147"/>
      <c r="C78" s="227"/>
      <c r="D78" s="199" t="s">
        <v>345</v>
      </c>
      <c r="E78" s="276">
        <f>IF(ROUND(((E79-$E$9)*($W68))+0.25,0) &lt;=0,1,((E79-$E$9)*($W68))+0.25)</f>
        <v>1</v>
      </c>
      <c r="F78" s="277">
        <f>IF(ROUND(((F79-$E$9)*($W68))+0.25,0) &lt;=0,1,((F79-$E$9)*($W68))+0.25)</f>
        <v>0.59000000000000008</v>
      </c>
      <c r="G78" s="277">
        <f t="shared" ref="G78:I78" si="29">IF(ROUND(((G79-$E$9)*($W68))+0.25,0) &lt;=0,1,((G79-$E$9)*($W68))+0.25)</f>
        <v>1.8800000000000003</v>
      </c>
      <c r="H78" s="277">
        <f t="shared" si="29"/>
        <v>2.9499999999999997</v>
      </c>
      <c r="I78" s="277">
        <f t="shared" si="29"/>
        <v>3.5799999999999996</v>
      </c>
      <c r="J78" s="294"/>
      <c r="K78" s="295"/>
      <c r="L78" s="295"/>
      <c r="M78" s="295"/>
      <c r="N78" s="296"/>
      <c r="O78" s="294"/>
      <c r="P78" s="295"/>
      <c r="Q78" s="295"/>
      <c r="R78" s="296"/>
      <c r="S78" s="295"/>
      <c r="T78" s="295"/>
      <c r="U78" s="297"/>
      <c r="V78" s="298"/>
      <c r="W78" s="294"/>
      <c r="X78" s="299"/>
      <c r="Y78" s="2"/>
      <c r="AA78" s="147"/>
      <c r="AB78" s="227"/>
      <c r="AC78" s="199" t="s">
        <v>345</v>
      </c>
      <c r="AD78" s="294"/>
      <c r="AE78" s="295"/>
      <c r="AF78" s="295"/>
      <c r="AG78" s="296"/>
      <c r="AH78" s="350"/>
      <c r="AI78" s="294"/>
      <c r="AJ78" s="299"/>
    </row>
    <row r="79" spans="1:36" customFormat="1" ht="16.5" hidden="1" outlineLevel="1" thickBot="1">
      <c r="A79" s="2"/>
      <c r="B79" s="147"/>
      <c r="C79" s="227"/>
      <c r="D79" s="95" t="s">
        <v>346</v>
      </c>
      <c r="E79" s="414">
        <f>IFERROR(E68/$W68,0)</f>
        <v>3.1111111111111114E-2</v>
      </c>
      <c r="F79" s="415">
        <f t="shared" ref="F79" si="30">IFERROR(F68/$W68,0)</f>
        <v>5.7777777777777782E-2</v>
      </c>
      <c r="G79" s="415">
        <f>IFERROR(G68/$W68,0)</f>
        <v>0.20111111111111113</v>
      </c>
      <c r="H79" s="415">
        <f t="shared" ref="H79" si="31">IFERROR(H68/$W68,0)</f>
        <v>0.32</v>
      </c>
      <c r="I79" s="415">
        <f>IFERROR(I68/$W68,0)</f>
        <v>0.38999999999999996</v>
      </c>
      <c r="J79" s="294"/>
      <c r="K79" s="295"/>
      <c r="L79" s="295"/>
      <c r="M79" s="295"/>
      <c r="N79" s="296"/>
      <c r="O79" s="294"/>
      <c r="P79" s="295"/>
      <c r="Q79" s="295"/>
      <c r="R79" s="296"/>
      <c r="S79" s="295"/>
      <c r="T79" s="295"/>
      <c r="U79" s="297"/>
      <c r="V79" s="298"/>
      <c r="W79" s="294"/>
      <c r="X79" s="299"/>
      <c r="Y79" s="2"/>
      <c r="AA79" s="147"/>
      <c r="AB79" s="227"/>
      <c r="AC79" s="95" t="s">
        <v>346</v>
      </c>
      <c r="AD79" s="294"/>
      <c r="AE79" s="295"/>
      <c r="AF79" s="295"/>
      <c r="AG79" s="296"/>
      <c r="AH79" s="350"/>
      <c r="AI79" s="294"/>
      <c r="AJ79" s="299"/>
    </row>
    <row r="80" spans="1:36" customFormat="1" ht="16.5" hidden="1" outlineLevel="1" thickBot="1">
      <c r="A80" s="2"/>
      <c r="B80" s="147"/>
      <c r="C80" s="227"/>
      <c r="D80" s="180" t="s">
        <v>347</v>
      </c>
      <c r="E80" s="414">
        <f>IFERROR(E69/$W68,0)</f>
        <v>0.22222222222222221</v>
      </c>
      <c r="F80" s="415">
        <f t="shared" ref="F80:I80" si="32">IFERROR(F69/$W68,0)</f>
        <v>0</v>
      </c>
      <c r="G80" s="415">
        <f t="shared" si="32"/>
        <v>0.22222222222222221</v>
      </c>
      <c r="H80" s="415">
        <f t="shared" si="32"/>
        <v>0.33333333333333331</v>
      </c>
      <c r="I80" s="415">
        <f t="shared" si="32"/>
        <v>0.22222222222222221</v>
      </c>
      <c r="J80" s="294"/>
      <c r="K80" s="295"/>
      <c r="L80" s="295"/>
      <c r="M80" s="295"/>
      <c r="N80" s="296"/>
      <c r="O80" s="294"/>
      <c r="P80" s="295"/>
      <c r="Q80" s="295"/>
      <c r="R80" s="296"/>
      <c r="S80" s="295"/>
      <c r="T80" s="295"/>
      <c r="U80" s="297"/>
      <c r="V80" s="298"/>
      <c r="W80" s="294"/>
      <c r="X80" s="299"/>
      <c r="Y80" s="2"/>
      <c r="AA80" s="147"/>
      <c r="AB80" s="227"/>
      <c r="AC80" s="180" t="s">
        <v>347</v>
      </c>
      <c r="AD80" s="294"/>
      <c r="AE80" s="295"/>
      <c r="AF80" s="295"/>
      <c r="AG80" s="296"/>
      <c r="AH80" s="350"/>
      <c r="AI80" s="294"/>
      <c r="AJ80" s="299"/>
    </row>
    <row r="81" spans="1:36" customFormat="1" ht="16.5" hidden="1" outlineLevel="1" thickBot="1">
      <c r="A81" s="2"/>
      <c r="B81" s="147"/>
      <c r="C81" s="227"/>
      <c r="D81" s="180" t="s">
        <v>348</v>
      </c>
      <c r="E81" s="414">
        <f>E80-E79</f>
        <v>0.19111111111111109</v>
      </c>
      <c r="F81" s="415">
        <f t="shared" ref="F81:I81" si="33">F80-F79</f>
        <v>-5.7777777777777782E-2</v>
      </c>
      <c r="G81" s="415">
        <f t="shared" si="33"/>
        <v>2.1111111111111081E-2</v>
      </c>
      <c r="H81" s="415">
        <f t="shared" si="33"/>
        <v>1.3333333333333308E-2</v>
      </c>
      <c r="I81" s="415">
        <f t="shared" si="33"/>
        <v>-0.16777777777777775</v>
      </c>
      <c r="J81" s="294"/>
      <c r="K81" s="295"/>
      <c r="L81" s="295"/>
      <c r="M81" s="295"/>
      <c r="N81" s="296"/>
      <c r="O81" s="294"/>
      <c r="P81" s="295"/>
      <c r="Q81" s="295"/>
      <c r="R81" s="296"/>
      <c r="S81" s="295"/>
      <c r="T81" s="295"/>
      <c r="U81" s="297"/>
      <c r="V81" s="298"/>
      <c r="W81" s="294"/>
      <c r="X81" s="299"/>
      <c r="Y81" s="2"/>
      <c r="AA81" s="147"/>
      <c r="AB81" s="227"/>
      <c r="AC81" s="180" t="s">
        <v>348</v>
      </c>
      <c r="AD81" s="294"/>
      <c r="AE81" s="295"/>
      <c r="AF81" s="295"/>
      <c r="AG81" s="296"/>
      <c r="AH81" s="350"/>
      <c r="AI81" s="294"/>
      <c r="AJ81" s="299"/>
    </row>
    <row r="82" spans="1:36" customFormat="1">
      <c r="A82" s="2"/>
      <c r="B82" s="451" t="s">
        <v>338</v>
      </c>
      <c r="C82" s="453" t="str">
        <f>aurora_data!A777</f>
        <v>11.00.00-11.11.30</v>
      </c>
      <c r="D82" s="34" t="s">
        <v>306</v>
      </c>
      <c r="E82" s="39">
        <f>aurora_data!D777</f>
        <v>0.3</v>
      </c>
      <c r="F82" s="40">
        <f>aurora_data!E777</f>
        <v>0.52</v>
      </c>
      <c r="G82" s="40">
        <f>aurora_data!F777</f>
        <v>1.78</v>
      </c>
      <c r="H82" s="40">
        <f>aurora_data!G777</f>
        <v>2.88</v>
      </c>
      <c r="I82" s="41">
        <f>aurora_data!H777</f>
        <v>3.52</v>
      </c>
      <c r="J82" s="39">
        <f>aurora_data!I777</f>
        <v>1</v>
      </c>
      <c r="K82" s="40">
        <f>aurora_data!J777</f>
        <v>1</v>
      </c>
      <c r="L82" s="40">
        <f>aurora_data!K777</f>
        <v>1</v>
      </c>
      <c r="M82" s="40">
        <f>aurora_data!L777</f>
        <v>1</v>
      </c>
      <c r="N82" s="41">
        <f>aurora_data!M777</f>
        <v>1</v>
      </c>
      <c r="O82" s="39">
        <f>aurora_data!N777</f>
        <v>1</v>
      </c>
      <c r="P82" s="40">
        <f>aurora_data!O777</f>
        <v>1</v>
      </c>
      <c r="Q82" s="40">
        <f>aurora_data!P777</f>
        <v>1</v>
      </c>
      <c r="R82" s="41">
        <f>aurora_data!Q777</f>
        <v>1</v>
      </c>
      <c r="S82" s="40">
        <f>aurora_data!R777</f>
        <v>1</v>
      </c>
      <c r="T82" s="40">
        <f>aurora_data!S777</f>
        <v>1</v>
      </c>
      <c r="U82" s="41">
        <f>aurora_data!T377</f>
        <v>0</v>
      </c>
      <c r="V82" s="61"/>
      <c r="W82" s="39">
        <f>IFERROR(aurora_data!U777,0)</f>
        <v>9</v>
      </c>
      <c r="X82" s="69">
        <f>IFERROR(W82/$W$82,0)</f>
        <v>1</v>
      </c>
      <c r="Y82" s="2"/>
      <c r="AA82" s="451" t="s">
        <v>338</v>
      </c>
      <c r="AB82" s="453" t="str">
        <f>aurora_data!A777</f>
        <v>11.00.00-11.11.30</v>
      </c>
      <c r="AC82" s="34" t="s">
        <v>306</v>
      </c>
      <c r="AD82" s="338">
        <v>2</v>
      </c>
      <c r="AE82" s="40">
        <v>2</v>
      </c>
      <c r="AF82" s="40">
        <v>3</v>
      </c>
      <c r="AG82" s="358">
        <v>3</v>
      </c>
      <c r="AH82" s="350"/>
      <c r="AI82" s="39">
        <f>IFERROR(aurora_data!U777,0)</f>
        <v>9</v>
      </c>
      <c r="AJ82" s="69">
        <f t="shared" ref="AJ82:AJ90" si="34">IFERROR(AI82/$AI$82,0)</f>
        <v>1</v>
      </c>
    </row>
    <row r="83" spans="1:36" customFormat="1">
      <c r="A83" s="2"/>
      <c r="B83" s="452"/>
      <c r="C83" s="454"/>
      <c r="D83" s="35" t="s">
        <v>339</v>
      </c>
      <c r="E83" s="113">
        <f>aurora_data!D778</f>
        <v>0</v>
      </c>
      <c r="F83" s="253">
        <f>aurora_data!E778</f>
        <v>1</v>
      </c>
      <c r="G83" s="253">
        <f>aurora_data!F778</f>
        <v>2</v>
      </c>
      <c r="H83" s="253">
        <f>aurora_data!G778</f>
        <v>2</v>
      </c>
      <c r="I83" s="254">
        <f>aurora_data!H778</f>
        <v>3</v>
      </c>
      <c r="J83" s="113">
        <f>aurora_data!I778</f>
        <v>0</v>
      </c>
      <c r="K83" s="253">
        <f>aurora_data!J778</f>
        <v>1</v>
      </c>
      <c r="L83" s="253">
        <f>aurora_data!K778</f>
        <v>2</v>
      </c>
      <c r="M83" s="253">
        <f>aurora_data!L778</f>
        <v>3</v>
      </c>
      <c r="N83" s="254">
        <f>aurora_data!M778</f>
        <v>2</v>
      </c>
      <c r="O83" s="113">
        <f>aurora_data!N778</f>
        <v>3</v>
      </c>
      <c r="P83" s="253">
        <f>aurora_data!O778</f>
        <v>2</v>
      </c>
      <c r="Q83" s="253">
        <f>aurora_data!P778</f>
        <v>3</v>
      </c>
      <c r="R83" s="254">
        <f>aurora_data!Q778</f>
        <v>0</v>
      </c>
      <c r="S83" s="253">
        <f>aurora_data!R778</f>
        <v>4</v>
      </c>
      <c r="T83" s="253">
        <f>aurora_data!S778</f>
        <v>4</v>
      </c>
      <c r="U83" s="254">
        <f>aurora_data!T378</f>
        <v>0</v>
      </c>
      <c r="V83" s="61"/>
      <c r="W83" s="113">
        <f>IFERROR(aurora_data!U778,0)</f>
        <v>8</v>
      </c>
      <c r="X83" s="255">
        <f t="shared" ref="X83:X90" si="35">IFERROR(W83/$W$82,0)</f>
        <v>0.88888888888888884</v>
      </c>
      <c r="Y83" s="2"/>
      <c r="AA83" s="452"/>
      <c r="AB83" s="454"/>
      <c r="AC83" s="35" t="s">
        <v>339</v>
      </c>
      <c r="AD83" s="113">
        <f>aurora_data!D778+aurora_data!E778</f>
        <v>1</v>
      </c>
      <c r="AE83" s="253">
        <f>aurora_data!F778</f>
        <v>2</v>
      </c>
      <c r="AF83" s="253">
        <f>aurora_data!G778</f>
        <v>2</v>
      </c>
      <c r="AG83" s="254">
        <f>aurora_data!H778</f>
        <v>3</v>
      </c>
      <c r="AH83" s="350"/>
      <c r="AI83" s="113">
        <f>IFERROR(aurora_data!U778,0)</f>
        <v>8</v>
      </c>
      <c r="AJ83" s="255">
        <f t="shared" si="34"/>
        <v>0.88888888888888884</v>
      </c>
    </row>
    <row r="84" spans="1:36" customFormat="1">
      <c r="A84" s="2"/>
      <c r="B84" s="452"/>
      <c r="C84" s="454"/>
      <c r="D84" s="35" t="s">
        <v>291</v>
      </c>
      <c r="E84" s="113">
        <f>aurora_data!D779</f>
        <v>0</v>
      </c>
      <c r="F84" s="253">
        <f>aurora_data!E779</f>
        <v>0</v>
      </c>
      <c r="G84" s="253">
        <f>aurora_data!F779</f>
        <v>2</v>
      </c>
      <c r="H84" s="253">
        <f>aurora_data!G779</f>
        <v>2</v>
      </c>
      <c r="I84" s="254">
        <f>aurora_data!H779</f>
        <v>2</v>
      </c>
      <c r="J84" s="113">
        <f>aurora_data!I779</f>
        <v>0</v>
      </c>
      <c r="K84" s="253">
        <f>aurora_data!J779</f>
        <v>0</v>
      </c>
      <c r="L84" s="253">
        <f>aurora_data!K779</f>
        <v>1</v>
      </c>
      <c r="M84" s="253">
        <f>aurora_data!L779</f>
        <v>1</v>
      </c>
      <c r="N84" s="254">
        <f>aurora_data!M779</f>
        <v>4</v>
      </c>
      <c r="O84" s="113">
        <f>aurora_data!N779</f>
        <v>5</v>
      </c>
      <c r="P84" s="253">
        <f>aurora_data!O779</f>
        <v>0</v>
      </c>
      <c r="Q84" s="253">
        <f>aurora_data!P779</f>
        <v>1</v>
      </c>
      <c r="R84" s="254">
        <f>aurora_data!Q779</f>
        <v>0</v>
      </c>
      <c r="S84" s="253">
        <f>aurora_data!R779</f>
        <v>3</v>
      </c>
      <c r="T84" s="253">
        <f>aurora_data!S779</f>
        <v>3</v>
      </c>
      <c r="U84" s="254">
        <f>aurora_data!T379</f>
        <v>0</v>
      </c>
      <c r="V84" s="61"/>
      <c r="W84" s="113">
        <f>IFERROR(aurora_data!U779,0)</f>
        <v>6</v>
      </c>
      <c r="X84" s="255">
        <f t="shared" si="35"/>
        <v>0.66666666666666663</v>
      </c>
      <c r="Y84" s="2"/>
      <c r="AA84" s="452"/>
      <c r="AB84" s="454"/>
      <c r="AC84" s="35" t="s">
        <v>291</v>
      </c>
      <c r="AD84" s="113">
        <f>aurora_data!D779+aurora_data!E779</f>
        <v>0</v>
      </c>
      <c r="AE84" s="253">
        <f>aurora_data!F779</f>
        <v>2</v>
      </c>
      <c r="AF84" s="253">
        <f>aurora_data!G779</f>
        <v>2</v>
      </c>
      <c r="AG84" s="254">
        <f>aurora_data!H779</f>
        <v>2</v>
      </c>
      <c r="AH84" s="350"/>
      <c r="AI84" s="113">
        <f>IFERROR(aurora_data!U779,0)</f>
        <v>6</v>
      </c>
      <c r="AJ84" s="255">
        <f t="shared" si="34"/>
        <v>0.66666666666666663</v>
      </c>
    </row>
    <row r="85" spans="1:36" customFormat="1">
      <c r="A85" s="2"/>
      <c r="B85" s="452"/>
      <c r="C85" s="454"/>
      <c r="D85" s="35" t="s">
        <v>340</v>
      </c>
      <c r="E85" s="113">
        <f>aurora_data!D780</f>
        <v>0</v>
      </c>
      <c r="F85" s="253">
        <f>aurora_data!E780</f>
        <v>0</v>
      </c>
      <c r="G85" s="253">
        <f>aurora_data!F780</f>
        <v>0</v>
      </c>
      <c r="H85" s="253">
        <f>aurora_data!G780</f>
        <v>0</v>
      </c>
      <c r="I85" s="254">
        <f>aurora_data!H780</f>
        <v>0</v>
      </c>
      <c r="J85" s="113">
        <f>aurora_data!I780</f>
        <v>0</v>
      </c>
      <c r="K85" s="253">
        <f>aurora_data!J780</f>
        <v>0</v>
      </c>
      <c r="L85" s="253">
        <f>aurora_data!K780</f>
        <v>0</v>
      </c>
      <c r="M85" s="253">
        <f>aurora_data!L780</f>
        <v>0</v>
      </c>
      <c r="N85" s="254">
        <f>aurora_data!M780</f>
        <v>0</v>
      </c>
      <c r="O85" s="113">
        <f>aurora_data!N780</f>
        <v>0</v>
      </c>
      <c r="P85" s="253">
        <f>aurora_data!O780</f>
        <v>0</v>
      </c>
      <c r="Q85" s="253">
        <f>aurora_data!P780</f>
        <v>0</v>
      </c>
      <c r="R85" s="254">
        <f>aurora_data!Q780</f>
        <v>0</v>
      </c>
      <c r="S85" s="253">
        <f>aurora_data!R780</f>
        <v>0</v>
      </c>
      <c r="T85" s="253">
        <f>aurora_data!S780</f>
        <v>0</v>
      </c>
      <c r="U85" s="254">
        <f>aurora_data!T380</f>
        <v>0</v>
      </c>
      <c r="V85" s="61"/>
      <c r="W85" s="113">
        <f>IFERROR(aurora_data!U780,0)</f>
        <v>0</v>
      </c>
      <c r="X85" s="255">
        <f t="shared" si="35"/>
        <v>0</v>
      </c>
      <c r="Y85" s="2"/>
      <c r="AA85" s="452"/>
      <c r="AB85" s="454"/>
      <c r="AC85" s="35" t="s">
        <v>340</v>
      </c>
      <c r="AD85" s="113">
        <f>aurora_data!D780+aurora_data!E780</f>
        <v>0</v>
      </c>
      <c r="AE85" s="253">
        <f>aurora_data!F780</f>
        <v>0</v>
      </c>
      <c r="AF85" s="253">
        <f>aurora_data!G780</f>
        <v>0</v>
      </c>
      <c r="AG85" s="254">
        <f>aurora_data!H780</f>
        <v>0</v>
      </c>
      <c r="AH85" s="350"/>
      <c r="AI85" s="113">
        <f>IFERROR(aurora_data!U780,0)</f>
        <v>0</v>
      </c>
      <c r="AJ85" s="255">
        <f t="shared" si="34"/>
        <v>0</v>
      </c>
    </row>
    <row r="86" spans="1:36" customFormat="1">
      <c r="A86" s="2"/>
      <c r="B86" s="452"/>
      <c r="C86" s="454"/>
      <c r="D86" s="35" t="s">
        <v>298</v>
      </c>
      <c r="E86" s="113">
        <f>aurora_data!D781</f>
        <v>1</v>
      </c>
      <c r="F86" s="253">
        <f>aurora_data!E781</f>
        <v>0</v>
      </c>
      <c r="G86" s="253">
        <f>aurora_data!F781</f>
        <v>0</v>
      </c>
      <c r="H86" s="253">
        <f>aurora_data!G781</f>
        <v>0</v>
      </c>
      <c r="I86" s="254">
        <f>aurora_data!H781</f>
        <v>0</v>
      </c>
      <c r="J86" s="113">
        <f>aurora_data!I781</f>
        <v>0</v>
      </c>
      <c r="K86" s="253">
        <f>aurora_data!J781</f>
        <v>0</v>
      </c>
      <c r="L86" s="253">
        <f>aurora_data!K781</f>
        <v>1</v>
      </c>
      <c r="M86" s="253">
        <f>aurora_data!L781</f>
        <v>0</v>
      </c>
      <c r="N86" s="254">
        <f>aurora_data!M781</f>
        <v>0</v>
      </c>
      <c r="O86" s="113">
        <f>aurora_data!N781</f>
        <v>0</v>
      </c>
      <c r="P86" s="253">
        <f>aurora_data!O781</f>
        <v>0</v>
      </c>
      <c r="Q86" s="253">
        <f>aurora_data!P781</f>
        <v>0</v>
      </c>
      <c r="R86" s="254">
        <f>aurora_data!Q781</f>
        <v>1</v>
      </c>
      <c r="S86" s="253">
        <f>aurora_data!R781</f>
        <v>0</v>
      </c>
      <c r="T86" s="253">
        <f>aurora_data!S781</f>
        <v>1</v>
      </c>
      <c r="U86" s="254">
        <f>aurora_data!T381</f>
        <v>0</v>
      </c>
      <c r="V86" s="61"/>
      <c r="W86" s="113">
        <f>IFERROR(aurora_data!U781,0)</f>
        <v>1</v>
      </c>
      <c r="X86" s="255">
        <f t="shared" si="35"/>
        <v>0.1111111111111111</v>
      </c>
      <c r="Y86" s="2"/>
      <c r="AA86" s="452"/>
      <c r="AB86" s="454"/>
      <c r="AC86" s="35" t="s">
        <v>298</v>
      </c>
      <c r="AD86" s="113">
        <f>aurora_data!D781+aurora_data!E781</f>
        <v>1</v>
      </c>
      <c r="AE86" s="253">
        <f>aurora_data!F781</f>
        <v>0</v>
      </c>
      <c r="AF86" s="253">
        <f>aurora_data!G781</f>
        <v>0</v>
      </c>
      <c r="AG86" s="254">
        <f>aurora_data!H781</f>
        <v>0</v>
      </c>
      <c r="AH86" s="350"/>
      <c r="AI86" s="113">
        <f>IFERROR(aurora_data!U781,0)</f>
        <v>1</v>
      </c>
      <c r="AJ86" s="255">
        <f t="shared" si="34"/>
        <v>0.1111111111111111</v>
      </c>
    </row>
    <row r="87" spans="1:36" customFormat="1">
      <c r="A87" s="2"/>
      <c r="B87" s="452"/>
      <c r="C87" s="454"/>
      <c r="D87" s="35" t="s">
        <v>341</v>
      </c>
      <c r="E87" s="113">
        <f>aurora_data!D782</f>
        <v>0</v>
      </c>
      <c r="F87" s="253">
        <f>aurora_data!E782</f>
        <v>0</v>
      </c>
      <c r="G87" s="253">
        <f>aurora_data!F782</f>
        <v>0</v>
      </c>
      <c r="H87" s="253">
        <f>aurora_data!G782</f>
        <v>0</v>
      </c>
      <c r="I87" s="254">
        <f>aurora_data!H782</f>
        <v>0</v>
      </c>
      <c r="J87" s="113">
        <f>aurora_data!I782</f>
        <v>0</v>
      </c>
      <c r="K87" s="253">
        <f>aurora_data!J782</f>
        <v>0</v>
      </c>
      <c r="L87" s="253">
        <f>aurora_data!K782</f>
        <v>0</v>
      </c>
      <c r="M87" s="253">
        <f>aurora_data!L782</f>
        <v>0</v>
      </c>
      <c r="N87" s="254">
        <f>aurora_data!M782</f>
        <v>0</v>
      </c>
      <c r="O87" s="113">
        <f>aurora_data!N782</f>
        <v>0</v>
      </c>
      <c r="P87" s="253">
        <f>aurora_data!O782</f>
        <v>0</v>
      </c>
      <c r="Q87" s="253">
        <f>aurora_data!P782</f>
        <v>0</v>
      </c>
      <c r="R87" s="254">
        <f>aurora_data!Q782</f>
        <v>0</v>
      </c>
      <c r="S87" s="253">
        <f>aurora_data!R782</f>
        <v>0</v>
      </c>
      <c r="T87" s="253">
        <f>aurora_data!S782</f>
        <v>0</v>
      </c>
      <c r="U87" s="254">
        <f>aurora_data!T382</f>
        <v>0</v>
      </c>
      <c r="V87" s="61"/>
      <c r="W87" s="113">
        <f>IFERROR(aurora_data!U782,0)</f>
        <v>0</v>
      </c>
      <c r="X87" s="255">
        <f t="shared" si="35"/>
        <v>0</v>
      </c>
      <c r="Y87" s="2"/>
      <c r="AA87" s="452"/>
      <c r="AB87" s="454"/>
      <c r="AC87" s="35" t="s">
        <v>341</v>
      </c>
      <c r="AD87" s="113">
        <f>aurora_data!D782+aurora_data!E782</f>
        <v>0</v>
      </c>
      <c r="AE87" s="253">
        <f>aurora_data!F782</f>
        <v>0</v>
      </c>
      <c r="AF87" s="253">
        <f>aurora_data!G782</f>
        <v>0</v>
      </c>
      <c r="AG87" s="254">
        <f>aurora_data!H782</f>
        <v>0</v>
      </c>
      <c r="AH87" s="350"/>
      <c r="AI87" s="113">
        <f>IFERROR(aurora_data!U782,0)</f>
        <v>0</v>
      </c>
      <c r="AJ87" s="255">
        <f t="shared" si="34"/>
        <v>0</v>
      </c>
    </row>
    <row r="88" spans="1:36" customFormat="1" ht="16.5" thickBot="1">
      <c r="A88" s="2"/>
      <c r="B88" s="452"/>
      <c r="C88" s="454"/>
      <c r="D88" s="35" t="s">
        <v>342</v>
      </c>
      <c r="E88" s="113">
        <f>aurora_data!D783</f>
        <v>0</v>
      </c>
      <c r="F88" s="253">
        <f>aurora_data!E783</f>
        <v>0</v>
      </c>
      <c r="G88" s="253">
        <f>aurora_data!F783</f>
        <v>0</v>
      </c>
      <c r="H88" s="253">
        <f>aurora_data!G783</f>
        <v>0</v>
      </c>
      <c r="I88" s="254">
        <f>aurora_data!H783</f>
        <v>0</v>
      </c>
      <c r="J88" s="113">
        <f>aurora_data!I783</f>
        <v>0</v>
      </c>
      <c r="K88" s="253">
        <f>aurora_data!J783</f>
        <v>0</v>
      </c>
      <c r="L88" s="253">
        <f>aurora_data!K783</f>
        <v>0</v>
      </c>
      <c r="M88" s="253">
        <f>aurora_data!L783</f>
        <v>0</v>
      </c>
      <c r="N88" s="254">
        <f>aurora_data!M783</f>
        <v>0</v>
      </c>
      <c r="O88" s="113">
        <f>aurora_data!N783</f>
        <v>0</v>
      </c>
      <c r="P88" s="253">
        <f>aurora_data!O783</f>
        <v>0</v>
      </c>
      <c r="Q88" s="253">
        <f>aurora_data!P783</f>
        <v>0</v>
      </c>
      <c r="R88" s="254">
        <f>aurora_data!Q783</f>
        <v>0</v>
      </c>
      <c r="S88" s="253">
        <f>aurora_data!R783</f>
        <v>0</v>
      </c>
      <c r="T88" s="253">
        <f>aurora_data!S783</f>
        <v>0</v>
      </c>
      <c r="U88" s="254">
        <f>aurora_data!T383</f>
        <v>0</v>
      </c>
      <c r="V88" s="61"/>
      <c r="W88" s="113">
        <f>IFERROR(aurora_data!U783,0)</f>
        <v>0</v>
      </c>
      <c r="X88" s="255">
        <f t="shared" si="35"/>
        <v>0</v>
      </c>
      <c r="Y88" s="2"/>
      <c r="AA88" s="452"/>
      <c r="AB88" s="454"/>
      <c r="AC88" s="35" t="s">
        <v>342</v>
      </c>
      <c r="AD88" s="113">
        <f>aurora_data!D783+aurora_data!E783</f>
        <v>0</v>
      </c>
      <c r="AE88" s="253">
        <f>aurora_data!F783</f>
        <v>0</v>
      </c>
      <c r="AF88" s="253">
        <f>aurora_data!G783</f>
        <v>0</v>
      </c>
      <c r="AG88" s="254">
        <f>aurora_data!H783</f>
        <v>0</v>
      </c>
      <c r="AH88" s="350"/>
      <c r="AI88" s="113">
        <f>IFERROR(aurora_data!U783,0)</f>
        <v>0</v>
      </c>
      <c r="AJ88" s="255">
        <f t="shared" si="34"/>
        <v>0</v>
      </c>
    </row>
    <row r="89" spans="1:36" customFormat="1" ht="16.5" thickBot="1">
      <c r="A89" s="2"/>
      <c r="B89" s="452"/>
      <c r="C89" s="454"/>
      <c r="D89" s="37" t="s">
        <v>17</v>
      </c>
      <c r="E89" s="59">
        <f>aurora_data!D784</f>
        <v>1</v>
      </c>
      <c r="F89" s="64">
        <f>aurora_data!E784</f>
        <v>1</v>
      </c>
      <c r="G89" s="64">
        <f>aurora_data!F784</f>
        <v>4</v>
      </c>
      <c r="H89" s="64">
        <f>aurora_data!G784</f>
        <v>4</v>
      </c>
      <c r="I89" s="65">
        <f>aurora_data!H784</f>
        <v>5</v>
      </c>
      <c r="J89" s="59">
        <f>aurora_data!I784</f>
        <v>0</v>
      </c>
      <c r="K89" s="64">
        <f>aurora_data!J784</f>
        <v>1</v>
      </c>
      <c r="L89" s="64">
        <f>aurora_data!K784</f>
        <v>4</v>
      </c>
      <c r="M89" s="64">
        <f>aurora_data!L784</f>
        <v>4</v>
      </c>
      <c r="N89" s="65">
        <f>aurora_data!M784</f>
        <v>6</v>
      </c>
      <c r="O89" s="59">
        <f>aurora_data!N784</f>
        <v>8</v>
      </c>
      <c r="P89" s="64">
        <f>aurora_data!O784</f>
        <v>2</v>
      </c>
      <c r="Q89" s="64">
        <f>aurora_data!P784</f>
        <v>4</v>
      </c>
      <c r="R89" s="65">
        <f>aurora_data!Q784</f>
        <v>1</v>
      </c>
      <c r="S89" s="64">
        <f>aurora_data!R784</f>
        <v>7</v>
      </c>
      <c r="T89" s="64">
        <f>aurora_data!S784</f>
        <v>8</v>
      </c>
      <c r="U89" s="65">
        <f>aurora_data!T384</f>
        <v>0</v>
      </c>
      <c r="V89" s="66"/>
      <c r="W89" s="59">
        <f>IFERROR(aurora_data!U784,0)</f>
        <v>15</v>
      </c>
      <c r="X89" s="70">
        <f t="shared" si="35"/>
        <v>1.6666666666666667</v>
      </c>
      <c r="Y89" s="2"/>
      <c r="AA89" s="452"/>
      <c r="AB89" s="454"/>
      <c r="AC89" s="37" t="s">
        <v>17</v>
      </c>
      <c r="AD89" s="59">
        <f>aurora_data!D784+aurora_data!E784</f>
        <v>2</v>
      </c>
      <c r="AE89" s="64">
        <f>aurora_data!F784</f>
        <v>4</v>
      </c>
      <c r="AF89" s="64">
        <f>aurora_data!G784</f>
        <v>4</v>
      </c>
      <c r="AG89" s="65">
        <f>aurora_data!H784</f>
        <v>5</v>
      </c>
      <c r="AH89" s="351"/>
      <c r="AI89" s="59">
        <f>IFERROR(aurora_data!U784,0)</f>
        <v>15</v>
      </c>
      <c r="AJ89" s="70">
        <f t="shared" si="34"/>
        <v>1.6666666666666667</v>
      </c>
    </row>
    <row r="90" spans="1:36" customFormat="1" ht="16.5" thickBot="1">
      <c r="A90" s="2"/>
      <c r="B90" s="452"/>
      <c r="C90" s="454"/>
      <c r="D90" s="38" t="s">
        <v>343</v>
      </c>
      <c r="E90" s="256">
        <f>aurora_data!D785</f>
        <v>0</v>
      </c>
      <c r="F90" s="257">
        <f>aurora_data!E785</f>
        <v>0</v>
      </c>
      <c r="G90" s="257">
        <f>aurora_data!F785</f>
        <v>0</v>
      </c>
      <c r="H90" s="257">
        <f>aurora_data!G785</f>
        <v>0</v>
      </c>
      <c r="I90" s="258">
        <f>aurora_data!H785</f>
        <v>0</v>
      </c>
      <c r="J90" s="256">
        <f>aurora_data!I785</f>
        <v>0</v>
      </c>
      <c r="K90" s="257">
        <f>aurora_data!J785</f>
        <v>0</v>
      </c>
      <c r="L90" s="257">
        <f>aurora_data!K785</f>
        <v>0</v>
      </c>
      <c r="M90" s="257">
        <f>aurora_data!L785</f>
        <v>0</v>
      </c>
      <c r="N90" s="258">
        <f>aurora_data!M785</f>
        <v>0</v>
      </c>
      <c r="O90" s="256">
        <f>aurora_data!N785</f>
        <v>0</v>
      </c>
      <c r="P90" s="257">
        <f>aurora_data!O785</f>
        <v>0</v>
      </c>
      <c r="Q90" s="257">
        <f>aurora_data!P785</f>
        <v>0</v>
      </c>
      <c r="R90" s="258">
        <f>aurora_data!Q785</f>
        <v>0</v>
      </c>
      <c r="S90" s="257">
        <f>aurora_data!R785</f>
        <v>0</v>
      </c>
      <c r="T90" s="257">
        <f>aurora_data!S785</f>
        <v>0</v>
      </c>
      <c r="U90" s="259">
        <f>aurora_data!T385</f>
        <v>0</v>
      </c>
      <c r="V90" s="260"/>
      <c r="W90" s="256">
        <f>IFERROR(aurora_data!U785,0)</f>
        <v>0</v>
      </c>
      <c r="X90" s="261">
        <f t="shared" si="35"/>
        <v>0</v>
      </c>
      <c r="Y90" s="2"/>
      <c r="AA90" s="452"/>
      <c r="AB90" s="454"/>
      <c r="AC90" s="38" t="s">
        <v>343</v>
      </c>
      <c r="AD90" s="256">
        <f>aurora_data!D785+aurora_data!E785</f>
        <v>0</v>
      </c>
      <c r="AE90" s="257">
        <f>aurora_data!F785</f>
        <v>0</v>
      </c>
      <c r="AF90" s="257">
        <f>aurora_data!G785</f>
        <v>0</v>
      </c>
      <c r="AG90" s="258">
        <f>aurora_data!H785</f>
        <v>0</v>
      </c>
      <c r="AH90" s="352"/>
      <c r="AI90" s="256">
        <f>IFERROR(aurora_data!U785,0)</f>
        <v>0</v>
      </c>
      <c r="AJ90" s="261">
        <f t="shared" si="34"/>
        <v>0</v>
      </c>
    </row>
    <row r="91" spans="1:36" customFormat="1" ht="16.5" outlineLevel="1" thickBot="1">
      <c r="A91" s="2"/>
      <c r="B91" s="147"/>
      <c r="C91" s="227"/>
      <c r="D91" s="199" t="s">
        <v>344</v>
      </c>
      <c r="E91" s="276">
        <f>(E93+$E$9)*($W82)</f>
        <v>0.48</v>
      </c>
      <c r="F91" s="277">
        <f>(F93+$E$9)*($W82)</f>
        <v>0.7</v>
      </c>
      <c r="G91" s="277">
        <f>(G93+$E$9)*($W82)</f>
        <v>1.96</v>
      </c>
      <c r="H91" s="277">
        <f>(H93+$E$9)*($W82)</f>
        <v>3.06</v>
      </c>
      <c r="I91" s="277">
        <f>(I93+$E$9)*($W82)</f>
        <v>3.7</v>
      </c>
      <c r="J91" s="294"/>
      <c r="K91" s="295"/>
      <c r="L91" s="295"/>
      <c r="M91" s="295"/>
      <c r="N91" s="296"/>
      <c r="O91" s="294"/>
      <c r="P91" s="295"/>
      <c r="Q91" s="295"/>
      <c r="R91" s="296"/>
      <c r="S91" s="295"/>
      <c r="T91" s="295"/>
      <c r="U91" s="297"/>
      <c r="V91" s="298"/>
      <c r="W91" s="294"/>
      <c r="X91" s="299"/>
      <c r="Y91" s="2"/>
      <c r="AA91" s="147"/>
      <c r="AB91" s="227"/>
      <c r="AC91" s="199" t="s">
        <v>344</v>
      </c>
      <c r="AD91" s="294"/>
      <c r="AE91" s="295"/>
      <c r="AF91" s="295"/>
      <c r="AG91" s="296"/>
      <c r="AH91" s="350"/>
      <c r="AI91" s="294"/>
      <c r="AJ91" s="299"/>
    </row>
    <row r="92" spans="1:36" customFormat="1" ht="16.5" outlineLevel="1" thickBot="1">
      <c r="A92" s="2"/>
      <c r="B92" s="147"/>
      <c r="C92" s="227"/>
      <c r="D92" s="199" t="s">
        <v>345</v>
      </c>
      <c r="E92" s="276">
        <f>IF(ROUND(((E93-$E$9)*($W82))+0.25,0) &lt;=0,1,((E93-$E$9)*($W82))+0.25)</f>
        <v>1</v>
      </c>
      <c r="F92" s="277">
        <f>IF(ROUND(((F93-$E$9)*($W82))+0.25,0) &lt;=0,1,((F93-$E$9)*($W82))+0.25)</f>
        <v>0.59000000000000008</v>
      </c>
      <c r="G92" s="277">
        <f t="shared" ref="G92:I92" si="36">IF(ROUND(((G93-$E$9)*($W82))+0.25,0) &lt;=0,1,((G93-$E$9)*($W82))+0.25)</f>
        <v>1.85</v>
      </c>
      <c r="H92" s="277">
        <f t="shared" si="36"/>
        <v>2.9499999999999997</v>
      </c>
      <c r="I92" s="277">
        <f t="shared" si="36"/>
        <v>3.59</v>
      </c>
      <c r="J92" s="294"/>
      <c r="K92" s="295"/>
      <c r="L92" s="295"/>
      <c r="M92" s="295"/>
      <c r="N92" s="296"/>
      <c r="O92" s="294"/>
      <c r="P92" s="295"/>
      <c r="Q92" s="295"/>
      <c r="R92" s="296"/>
      <c r="S92" s="295"/>
      <c r="T92" s="295"/>
      <c r="U92" s="297"/>
      <c r="V92" s="298"/>
      <c r="W92" s="294"/>
      <c r="X92" s="299"/>
      <c r="Y92" s="2"/>
      <c r="AA92" s="147"/>
      <c r="AB92" s="227"/>
      <c r="AC92" s="199" t="s">
        <v>345</v>
      </c>
      <c r="AD92" s="294"/>
      <c r="AE92" s="295"/>
      <c r="AF92" s="295"/>
      <c r="AG92" s="296"/>
      <c r="AH92" s="350"/>
      <c r="AI92" s="294"/>
      <c r="AJ92" s="299"/>
    </row>
    <row r="93" spans="1:36" customFormat="1" ht="16.5" hidden="1" outlineLevel="1" thickBot="1">
      <c r="A93" s="2"/>
      <c r="B93" s="147"/>
      <c r="C93" s="227"/>
      <c r="D93" s="95" t="s">
        <v>346</v>
      </c>
      <c r="E93" s="414">
        <f>IFERROR(E82/$W82,0)</f>
        <v>3.3333333333333333E-2</v>
      </c>
      <c r="F93" s="415">
        <f t="shared" ref="F93" si="37">IFERROR(F82/$W82,0)</f>
        <v>5.7777777777777782E-2</v>
      </c>
      <c r="G93" s="415">
        <f>IFERROR(G82/$W82,0)</f>
        <v>0.19777777777777777</v>
      </c>
      <c r="H93" s="415">
        <f t="shared" ref="H93" si="38">IFERROR(H82/$W82,0)</f>
        <v>0.32</v>
      </c>
      <c r="I93" s="415">
        <f>IFERROR(I82/$W82,0)</f>
        <v>0.39111111111111113</v>
      </c>
      <c r="J93" s="294"/>
      <c r="K93" s="295"/>
      <c r="L93" s="295"/>
      <c r="M93" s="295"/>
      <c r="N93" s="296"/>
      <c r="O93" s="294"/>
      <c r="P93" s="295"/>
      <c r="Q93" s="295"/>
      <c r="R93" s="296"/>
      <c r="S93" s="295"/>
      <c r="T93" s="295"/>
      <c r="U93" s="297"/>
      <c r="V93" s="298"/>
      <c r="W93" s="294"/>
      <c r="X93" s="299"/>
      <c r="Y93" s="2"/>
      <c r="AA93" s="147"/>
      <c r="AB93" s="227"/>
      <c r="AC93" s="95" t="s">
        <v>346</v>
      </c>
      <c r="AD93" s="294"/>
      <c r="AE93" s="295"/>
      <c r="AF93" s="295"/>
      <c r="AG93" s="296"/>
      <c r="AH93" s="350"/>
      <c r="AI93" s="294"/>
      <c r="AJ93" s="299"/>
    </row>
    <row r="94" spans="1:36" customFormat="1" ht="16.5" hidden="1" outlineLevel="1" thickBot="1">
      <c r="A94" s="2"/>
      <c r="B94" s="147"/>
      <c r="C94" s="227"/>
      <c r="D94" s="180" t="s">
        <v>347</v>
      </c>
      <c r="E94" s="414">
        <f>IFERROR(E83/$W82,0)</f>
        <v>0</v>
      </c>
      <c r="F94" s="415">
        <f t="shared" ref="F94:I94" si="39">IFERROR(F83/$W82,0)</f>
        <v>0.1111111111111111</v>
      </c>
      <c r="G94" s="415">
        <f t="shared" si="39"/>
        <v>0.22222222222222221</v>
      </c>
      <c r="H94" s="415">
        <f t="shared" si="39"/>
        <v>0.22222222222222221</v>
      </c>
      <c r="I94" s="415">
        <f t="shared" si="39"/>
        <v>0.33333333333333331</v>
      </c>
      <c r="J94" s="294"/>
      <c r="K94" s="295"/>
      <c r="L94" s="295"/>
      <c r="M94" s="295"/>
      <c r="N94" s="296"/>
      <c r="O94" s="294"/>
      <c r="P94" s="295"/>
      <c r="Q94" s="295"/>
      <c r="R94" s="296"/>
      <c r="S94" s="295"/>
      <c r="T94" s="295"/>
      <c r="U94" s="297"/>
      <c r="V94" s="298"/>
      <c r="W94" s="294"/>
      <c r="X94" s="299"/>
      <c r="Y94" s="2"/>
      <c r="AA94" s="147"/>
      <c r="AB94" s="227"/>
      <c r="AC94" s="180" t="s">
        <v>347</v>
      </c>
      <c r="AD94" s="294"/>
      <c r="AE94" s="295"/>
      <c r="AF94" s="295"/>
      <c r="AG94" s="296"/>
      <c r="AH94" s="350"/>
      <c r="AI94" s="294"/>
      <c r="AJ94" s="299"/>
    </row>
    <row r="95" spans="1:36" customFormat="1" ht="16.5" hidden="1" outlineLevel="1" thickBot="1">
      <c r="A95" s="2"/>
      <c r="B95" s="147"/>
      <c r="C95" s="227"/>
      <c r="D95" s="180" t="s">
        <v>348</v>
      </c>
      <c r="E95" s="414">
        <f>E94-E93</f>
        <v>-3.3333333333333333E-2</v>
      </c>
      <c r="F95" s="415">
        <f t="shared" ref="F95:I95" si="40">F94-F93</f>
        <v>5.3333333333333323E-2</v>
      </c>
      <c r="G95" s="415">
        <f t="shared" si="40"/>
        <v>2.4444444444444435E-2</v>
      </c>
      <c r="H95" s="415">
        <f t="shared" si="40"/>
        <v>-9.7777777777777797E-2</v>
      </c>
      <c r="I95" s="415">
        <f t="shared" si="40"/>
        <v>-5.7777777777777817E-2</v>
      </c>
      <c r="J95" s="294"/>
      <c r="K95" s="295"/>
      <c r="L95" s="295"/>
      <c r="M95" s="295"/>
      <c r="N95" s="296"/>
      <c r="O95" s="294"/>
      <c r="P95" s="295"/>
      <c r="Q95" s="295"/>
      <c r="R95" s="296"/>
      <c r="S95" s="295"/>
      <c r="T95" s="295"/>
      <c r="U95" s="297"/>
      <c r="V95" s="298"/>
      <c r="W95" s="294"/>
      <c r="X95" s="299"/>
      <c r="Y95" s="2"/>
      <c r="AA95" s="147"/>
      <c r="AB95" s="227"/>
      <c r="AC95" s="180" t="s">
        <v>348</v>
      </c>
      <c r="AD95" s="294"/>
      <c r="AE95" s="295"/>
      <c r="AF95" s="295"/>
      <c r="AG95" s="296"/>
      <c r="AH95" s="350"/>
      <c r="AI95" s="294"/>
      <c r="AJ95" s="299"/>
    </row>
    <row r="96" spans="1:36" customFormat="1">
      <c r="A96" s="2"/>
      <c r="B96" s="451" t="s">
        <v>338</v>
      </c>
      <c r="C96" s="453" t="str">
        <f>aurora_data!A786</f>
        <v>12.00.00-12.11.30</v>
      </c>
      <c r="D96" s="34" t="s">
        <v>306</v>
      </c>
      <c r="E96" s="39">
        <f>aurora_data!D786</f>
        <v>0.33</v>
      </c>
      <c r="F96" s="40">
        <f>aurora_data!E786</f>
        <v>0.53</v>
      </c>
      <c r="G96" s="40">
        <f>aurora_data!F786</f>
        <v>1.8</v>
      </c>
      <c r="H96" s="40">
        <f>aurora_data!G786</f>
        <v>2.91</v>
      </c>
      <c r="I96" s="41">
        <f>aurora_data!H786</f>
        <v>3.44</v>
      </c>
      <c r="J96" s="39">
        <f>aurora_data!I786</f>
        <v>1</v>
      </c>
      <c r="K96" s="40">
        <f>aurora_data!J786</f>
        <v>1</v>
      </c>
      <c r="L96" s="40">
        <f>aurora_data!K786</f>
        <v>1</v>
      </c>
      <c r="M96" s="40">
        <f>aurora_data!L786</f>
        <v>1</v>
      </c>
      <c r="N96" s="41">
        <f>aurora_data!M786</f>
        <v>1</v>
      </c>
      <c r="O96" s="39">
        <f>aurora_data!N786</f>
        <v>1</v>
      </c>
      <c r="P96" s="40">
        <f>aurora_data!O786</f>
        <v>1</v>
      </c>
      <c r="Q96" s="40">
        <f>aurora_data!P786</f>
        <v>1</v>
      </c>
      <c r="R96" s="41">
        <f>aurora_data!Q786</f>
        <v>1</v>
      </c>
      <c r="S96" s="40">
        <f>aurora_data!R786</f>
        <v>1</v>
      </c>
      <c r="T96" s="40">
        <f>aurora_data!S786</f>
        <v>1</v>
      </c>
      <c r="U96" s="41">
        <f>aurora_data!T386</f>
        <v>0</v>
      </c>
      <c r="V96" s="61"/>
      <c r="W96" s="39">
        <f>IFERROR(aurora_data!U786,0)</f>
        <v>9</v>
      </c>
      <c r="X96" s="69">
        <f>IFERROR(W96/$W$96,0)</f>
        <v>1</v>
      </c>
      <c r="Y96" s="2"/>
      <c r="AA96" s="451" t="s">
        <v>338</v>
      </c>
      <c r="AB96" s="453" t="str">
        <f>aurora_data!A786</f>
        <v>12.00.00-12.11.30</v>
      </c>
      <c r="AC96" s="34" t="s">
        <v>306</v>
      </c>
      <c r="AD96" s="338">
        <v>2</v>
      </c>
      <c r="AE96" s="40">
        <v>2</v>
      </c>
      <c r="AF96" s="40">
        <v>3</v>
      </c>
      <c r="AG96" s="358">
        <v>2</v>
      </c>
      <c r="AH96" s="350"/>
      <c r="AI96" s="39">
        <f>IFERROR(aurora_data!U786,0)</f>
        <v>9</v>
      </c>
      <c r="AJ96" s="69">
        <f t="shared" ref="AJ96:AJ104" si="41">IFERROR(AI96/$AI$96,0)</f>
        <v>1</v>
      </c>
    </row>
    <row r="97" spans="1:36" customFormat="1">
      <c r="A97" s="2"/>
      <c r="B97" s="452"/>
      <c r="C97" s="454"/>
      <c r="D97" s="35" t="s">
        <v>339</v>
      </c>
      <c r="E97" s="113">
        <f>aurora_data!D787</f>
        <v>0</v>
      </c>
      <c r="F97" s="253">
        <f>aurora_data!E787</f>
        <v>1</v>
      </c>
      <c r="G97" s="253">
        <f>aurora_data!F787</f>
        <v>2</v>
      </c>
      <c r="H97" s="253">
        <f>aurora_data!G787</f>
        <v>3</v>
      </c>
      <c r="I97" s="254">
        <f>aurora_data!H787</f>
        <v>2</v>
      </c>
      <c r="J97" s="113">
        <f>aurora_data!I787</f>
        <v>1</v>
      </c>
      <c r="K97" s="253">
        <f>aurora_data!J787</f>
        <v>3</v>
      </c>
      <c r="L97" s="253">
        <f>aurora_data!K787</f>
        <v>1</v>
      </c>
      <c r="M97" s="253">
        <f>aurora_data!L787</f>
        <v>1</v>
      </c>
      <c r="N97" s="254">
        <f>aurora_data!M787</f>
        <v>2</v>
      </c>
      <c r="O97" s="113">
        <f>aurora_data!N787</f>
        <v>2</v>
      </c>
      <c r="P97" s="253">
        <f>aurora_data!O787</f>
        <v>1</v>
      </c>
      <c r="Q97" s="253">
        <f>aurora_data!P787</f>
        <v>3</v>
      </c>
      <c r="R97" s="254">
        <f>aurora_data!Q787</f>
        <v>2</v>
      </c>
      <c r="S97" s="253">
        <f>aurora_data!R787</f>
        <v>6</v>
      </c>
      <c r="T97" s="253">
        <f>aurora_data!S787</f>
        <v>2</v>
      </c>
      <c r="U97" s="254">
        <f>aurora_data!T387</f>
        <v>0</v>
      </c>
      <c r="V97" s="61"/>
      <c r="W97" s="113">
        <f>IFERROR(aurora_data!U787,0)</f>
        <v>8</v>
      </c>
      <c r="X97" s="255">
        <f t="shared" ref="X97:X104" si="42">IFERROR(W97/$W$96,0)</f>
        <v>0.88888888888888884</v>
      </c>
      <c r="Y97" s="2"/>
      <c r="AA97" s="452"/>
      <c r="AB97" s="454"/>
      <c r="AC97" s="35" t="s">
        <v>339</v>
      </c>
      <c r="AD97" s="113">
        <f>aurora_data!D787+aurora_data!E787</f>
        <v>1</v>
      </c>
      <c r="AE97" s="253">
        <f>aurora_data!F787</f>
        <v>2</v>
      </c>
      <c r="AF97" s="253">
        <f>aurora_data!G787</f>
        <v>3</v>
      </c>
      <c r="AG97" s="254">
        <f>aurora_data!H787</f>
        <v>2</v>
      </c>
      <c r="AH97" s="350"/>
      <c r="AI97" s="113">
        <f>IFERROR(aurora_data!U787,0)</f>
        <v>8</v>
      </c>
      <c r="AJ97" s="255">
        <f t="shared" si="41"/>
        <v>0.88888888888888884</v>
      </c>
    </row>
    <row r="98" spans="1:36" customFormat="1">
      <c r="A98" s="2"/>
      <c r="B98" s="452"/>
      <c r="C98" s="454"/>
      <c r="D98" s="35" t="s">
        <v>291</v>
      </c>
      <c r="E98" s="113">
        <f>aurora_data!D788</f>
        <v>0</v>
      </c>
      <c r="F98" s="253">
        <f>aurora_data!E788</f>
        <v>0</v>
      </c>
      <c r="G98" s="253">
        <f>aurora_data!F788</f>
        <v>0</v>
      </c>
      <c r="H98" s="253">
        <f>aurora_data!G788</f>
        <v>0</v>
      </c>
      <c r="I98" s="254">
        <f>aurora_data!H788</f>
        <v>2</v>
      </c>
      <c r="J98" s="113">
        <f>aurora_data!I788</f>
        <v>0</v>
      </c>
      <c r="K98" s="253">
        <f>aurora_data!J788</f>
        <v>0</v>
      </c>
      <c r="L98" s="253">
        <f>aurora_data!K788</f>
        <v>0</v>
      </c>
      <c r="M98" s="253">
        <f>aurora_data!L788</f>
        <v>0</v>
      </c>
      <c r="N98" s="254">
        <f>aurora_data!M788</f>
        <v>2</v>
      </c>
      <c r="O98" s="113">
        <f>aurora_data!N788</f>
        <v>1</v>
      </c>
      <c r="P98" s="253">
        <f>aurora_data!O788</f>
        <v>0</v>
      </c>
      <c r="Q98" s="253">
        <f>aurora_data!P788</f>
        <v>0</v>
      </c>
      <c r="R98" s="254">
        <f>aurora_data!Q788</f>
        <v>1</v>
      </c>
      <c r="S98" s="253">
        <f>aurora_data!R788</f>
        <v>2</v>
      </c>
      <c r="T98" s="253">
        <f>aurora_data!S788</f>
        <v>0</v>
      </c>
      <c r="U98" s="254">
        <f>aurora_data!T388</f>
        <v>0</v>
      </c>
      <c r="V98" s="61"/>
      <c r="W98" s="113">
        <f>IFERROR(aurora_data!U788,0)</f>
        <v>2</v>
      </c>
      <c r="X98" s="255">
        <f t="shared" si="42"/>
        <v>0.22222222222222221</v>
      </c>
      <c r="Y98" s="2"/>
      <c r="AA98" s="452"/>
      <c r="AB98" s="454"/>
      <c r="AC98" s="35" t="s">
        <v>291</v>
      </c>
      <c r="AD98" s="113">
        <f>aurora_data!D788+aurora_data!E788</f>
        <v>0</v>
      </c>
      <c r="AE98" s="253">
        <f>aurora_data!F788</f>
        <v>0</v>
      </c>
      <c r="AF98" s="253">
        <f>aurora_data!G788</f>
        <v>0</v>
      </c>
      <c r="AG98" s="254">
        <f>aurora_data!H788</f>
        <v>2</v>
      </c>
      <c r="AH98" s="350"/>
      <c r="AI98" s="113">
        <f>IFERROR(aurora_data!U788,0)</f>
        <v>2</v>
      </c>
      <c r="AJ98" s="255">
        <f t="shared" si="41"/>
        <v>0.22222222222222221</v>
      </c>
    </row>
    <row r="99" spans="1:36" customFormat="1">
      <c r="A99" s="2"/>
      <c r="B99" s="452"/>
      <c r="C99" s="454"/>
      <c r="D99" s="35" t="s">
        <v>340</v>
      </c>
      <c r="E99" s="113">
        <f>aurora_data!D789</f>
        <v>0</v>
      </c>
      <c r="F99" s="253">
        <f>aurora_data!E789</f>
        <v>0</v>
      </c>
      <c r="G99" s="253">
        <f>aurora_data!F789</f>
        <v>0</v>
      </c>
      <c r="H99" s="253">
        <f>aurora_data!G789</f>
        <v>0</v>
      </c>
      <c r="I99" s="254">
        <f>aurora_data!H789</f>
        <v>0</v>
      </c>
      <c r="J99" s="113">
        <f>aurora_data!I789</f>
        <v>0</v>
      </c>
      <c r="K99" s="253">
        <f>aurora_data!J789</f>
        <v>0</v>
      </c>
      <c r="L99" s="253">
        <f>aurora_data!K789</f>
        <v>0</v>
      </c>
      <c r="M99" s="253">
        <f>aurora_data!L789</f>
        <v>0</v>
      </c>
      <c r="N99" s="254">
        <f>aurora_data!M789</f>
        <v>0</v>
      </c>
      <c r="O99" s="113">
        <f>aurora_data!N789</f>
        <v>0</v>
      </c>
      <c r="P99" s="253">
        <f>aurora_data!O789</f>
        <v>0</v>
      </c>
      <c r="Q99" s="253">
        <f>aurora_data!P789</f>
        <v>0</v>
      </c>
      <c r="R99" s="254">
        <f>aurora_data!Q789</f>
        <v>0</v>
      </c>
      <c r="S99" s="253">
        <f>aurora_data!R789</f>
        <v>0</v>
      </c>
      <c r="T99" s="253">
        <f>aurora_data!S789</f>
        <v>0</v>
      </c>
      <c r="U99" s="254">
        <f>aurora_data!T389</f>
        <v>0</v>
      </c>
      <c r="V99" s="61"/>
      <c r="W99" s="113">
        <f>IFERROR(aurora_data!U789,0)</f>
        <v>0</v>
      </c>
      <c r="X99" s="255">
        <f t="shared" si="42"/>
        <v>0</v>
      </c>
      <c r="Y99" s="2"/>
      <c r="AA99" s="452"/>
      <c r="AB99" s="454"/>
      <c r="AC99" s="35" t="s">
        <v>340</v>
      </c>
      <c r="AD99" s="113">
        <f>aurora_data!D789+aurora_data!E789</f>
        <v>0</v>
      </c>
      <c r="AE99" s="253">
        <f>aurora_data!F789</f>
        <v>0</v>
      </c>
      <c r="AF99" s="253">
        <f>aurora_data!G789</f>
        <v>0</v>
      </c>
      <c r="AG99" s="254">
        <f>aurora_data!H789</f>
        <v>0</v>
      </c>
      <c r="AH99" s="350"/>
      <c r="AI99" s="113">
        <f>IFERROR(aurora_data!U789,0)</f>
        <v>0</v>
      </c>
      <c r="AJ99" s="255">
        <f t="shared" si="41"/>
        <v>0</v>
      </c>
    </row>
    <row r="100" spans="1:36" customFormat="1">
      <c r="A100" s="2"/>
      <c r="B100" s="452"/>
      <c r="C100" s="454"/>
      <c r="D100" s="35" t="s">
        <v>298</v>
      </c>
      <c r="E100" s="113">
        <f>aurora_data!D790</f>
        <v>0</v>
      </c>
      <c r="F100" s="253">
        <f>aurora_data!E790</f>
        <v>1</v>
      </c>
      <c r="G100" s="253">
        <f>aurora_data!F790</f>
        <v>0</v>
      </c>
      <c r="H100" s="253">
        <f>aurora_data!G790</f>
        <v>0</v>
      </c>
      <c r="I100" s="254">
        <f>aurora_data!H790</f>
        <v>0</v>
      </c>
      <c r="J100" s="113">
        <f>aurora_data!I790</f>
        <v>0</v>
      </c>
      <c r="K100" s="253">
        <f>aurora_data!J790</f>
        <v>1</v>
      </c>
      <c r="L100" s="253">
        <f>aurora_data!K790</f>
        <v>0</v>
      </c>
      <c r="M100" s="253">
        <f>aurora_data!L790</f>
        <v>0</v>
      </c>
      <c r="N100" s="254">
        <f>aurora_data!M790</f>
        <v>0</v>
      </c>
      <c r="O100" s="113">
        <f>aurora_data!N790</f>
        <v>0</v>
      </c>
      <c r="P100" s="253">
        <f>aurora_data!O790</f>
        <v>0</v>
      </c>
      <c r="Q100" s="253">
        <f>aurora_data!P790</f>
        <v>1</v>
      </c>
      <c r="R100" s="254">
        <f>aurora_data!Q790</f>
        <v>0</v>
      </c>
      <c r="S100" s="253">
        <f>aurora_data!R790</f>
        <v>0</v>
      </c>
      <c r="T100" s="253">
        <f>aurora_data!S790</f>
        <v>1</v>
      </c>
      <c r="U100" s="254">
        <f>aurora_data!T390</f>
        <v>0</v>
      </c>
      <c r="V100" s="61"/>
      <c r="W100" s="113">
        <f>IFERROR(aurora_data!U790,0)</f>
        <v>1</v>
      </c>
      <c r="X100" s="255">
        <f t="shared" si="42"/>
        <v>0.1111111111111111</v>
      </c>
      <c r="Y100" s="2"/>
      <c r="AA100" s="452"/>
      <c r="AB100" s="454"/>
      <c r="AC100" s="35" t="s">
        <v>298</v>
      </c>
      <c r="AD100" s="113">
        <f>aurora_data!D790+aurora_data!E790</f>
        <v>1</v>
      </c>
      <c r="AE100" s="253">
        <f>aurora_data!F790</f>
        <v>0</v>
      </c>
      <c r="AF100" s="253">
        <f>aurora_data!G790</f>
        <v>0</v>
      </c>
      <c r="AG100" s="254">
        <f>aurora_data!H790</f>
        <v>0</v>
      </c>
      <c r="AH100" s="350"/>
      <c r="AI100" s="113">
        <f>IFERROR(aurora_data!U790,0)</f>
        <v>1</v>
      </c>
      <c r="AJ100" s="255">
        <f t="shared" si="41"/>
        <v>0.1111111111111111</v>
      </c>
    </row>
    <row r="101" spans="1:36" customFormat="1">
      <c r="A101" s="2"/>
      <c r="B101" s="452"/>
      <c r="C101" s="454"/>
      <c r="D101" s="35" t="s">
        <v>341</v>
      </c>
      <c r="E101" s="113">
        <f>aurora_data!D791</f>
        <v>0</v>
      </c>
      <c r="F101" s="253">
        <f>aurora_data!E791</f>
        <v>0</v>
      </c>
      <c r="G101" s="253">
        <f>aurora_data!F791</f>
        <v>0</v>
      </c>
      <c r="H101" s="253">
        <f>aurora_data!G791</f>
        <v>0</v>
      </c>
      <c r="I101" s="254">
        <f>aurora_data!H791</f>
        <v>0</v>
      </c>
      <c r="J101" s="113">
        <f>aurora_data!I791</f>
        <v>0</v>
      </c>
      <c r="K101" s="253">
        <f>aurora_data!J791</f>
        <v>0</v>
      </c>
      <c r="L101" s="253">
        <f>aurora_data!K791</f>
        <v>0</v>
      </c>
      <c r="M101" s="253">
        <f>aurora_data!L791</f>
        <v>0</v>
      </c>
      <c r="N101" s="254">
        <f>aurora_data!M791</f>
        <v>0</v>
      </c>
      <c r="O101" s="113">
        <f>aurora_data!N791</f>
        <v>0</v>
      </c>
      <c r="P101" s="253">
        <f>aurora_data!O791</f>
        <v>0</v>
      </c>
      <c r="Q101" s="253">
        <f>aurora_data!P791</f>
        <v>0</v>
      </c>
      <c r="R101" s="254">
        <f>aurora_data!Q791</f>
        <v>0</v>
      </c>
      <c r="S101" s="253">
        <f>aurora_data!R791</f>
        <v>0</v>
      </c>
      <c r="T101" s="253">
        <f>aurora_data!S791</f>
        <v>0</v>
      </c>
      <c r="U101" s="254">
        <f>aurora_data!T391</f>
        <v>0</v>
      </c>
      <c r="V101" s="61"/>
      <c r="W101" s="113">
        <f>IFERROR(aurora_data!U791,0)</f>
        <v>0</v>
      </c>
      <c r="X101" s="255">
        <f t="shared" si="42"/>
        <v>0</v>
      </c>
      <c r="Y101" s="2"/>
      <c r="AA101" s="452"/>
      <c r="AB101" s="454"/>
      <c r="AC101" s="35" t="s">
        <v>341</v>
      </c>
      <c r="AD101" s="113">
        <f>aurora_data!D791+aurora_data!E791</f>
        <v>0</v>
      </c>
      <c r="AE101" s="253">
        <f>aurora_data!F791</f>
        <v>0</v>
      </c>
      <c r="AF101" s="253">
        <f>aurora_data!G791</f>
        <v>0</v>
      </c>
      <c r="AG101" s="254">
        <f>aurora_data!H791</f>
        <v>0</v>
      </c>
      <c r="AH101" s="350"/>
      <c r="AI101" s="113">
        <f>IFERROR(aurora_data!U791,0)</f>
        <v>0</v>
      </c>
      <c r="AJ101" s="255">
        <f t="shared" si="41"/>
        <v>0</v>
      </c>
    </row>
    <row r="102" spans="1:36" customFormat="1" ht="16.5" thickBot="1">
      <c r="A102" s="2"/>
      <c r="B102" s="452"/>
      <c r="C102" s="454"/>
      <c r="D102" s="35" t="s">
        <v>342</v>
      </c>
      <c r="E102" s="113">
        <f>aurora_data!D792</f>
        <v>0</v>
      </c>
      <c r="F102" s="253">
        <f>aurora_data!E792</f>
        <v>0</v>
      </c>
      <c r="G102" s="253">
        <f>aurora_data!F792</f>
        <v>0</v>
      </c>
      <c r="H102" s="253">
        <f>aurora_data!G792</f>
        <v>0</v>
      </c>
      <c r="I102" s="254">
        <f>aurora_data!H792</f>
        <v>0</v>
      </c>
      <c r="J102" s="113">
        <f>aurora_data!I792</f>
        <v>0</v>
      </c>
      <c r="K102" s="253">
        <f>aurora_data!J792</f>
        <v>0</v>
      </c>
      <c r="L102" s="253">
        <f>aurora_data!K792</f>
        <v>0</v>
      </c>
      <c r="M102" s="253">
        <f>aurora_data!L792</f>
        <v>0</v>
      </c>
      <c r="N102" s="254">
        <f>aurora_data!M792</f>
        <v>0</v>
      </c>
      <c r="O102" s="113">
        <f>aurora_data!N792</f>
        <v>0</v>
      </c>
      <c r="P102" s="253">
        <f>aurora_data!O792</f>
        <v>0</v>
      </c>
      <c r="Q102" s="253">
        <f>aurora_data!P792</f>
        <v>0</v>
      </c>
      <c r="R102" s="254">
        <f>aurora_data!Q792</f>
        <v>0</v>
      </c>
      <c r="S102" s="253">
        <f>aurora_data!R792</f>
        <v>0</v>
      </c>
      <c r="T102" s="253">
        <f>aurora_data!S792</f>
        <v>0</v>
      </c>
      <c r="U102" s="254">
        <f>aurora_data!T392</f>
        <v>0</v>
      </c>
      <c r="V102" s="61"/>
      <c r="W102" s="113">
        <f>IFERROR(aurora_data!U792,0)</f>
        <v>0</v>
      </c>
      <c r="X102" s="255">
        <f t="shared" si="42"/>
        <v>0</v>
      </c>
      <c r="Y102" s="2"/>
      <c r="AA102" s="452"/>
      <c r="AB102" s="454"/>
      <c r="AC102" s="35" t="s">
        <v>342</v>
      </c>
      <c r="AD102" s="113">
        <f>aurora_data!D792+aurora_data!E792</f>
        <v>0</v>
      </c>
      <c r="AE102" s="253">
        <f>aurora_data!F792</f>
        <v>0</v>
      </c>
      <c r="AF102" s="253">
        <f>aurora_data!G792</f>
        <v>0</v>
      </c>
      <c r="AG102" s="254">
        <f>aurora_data!H792</f>
        <v>0</v>
      </c>
      <c r="AH102" s="350"/>
      <c r="AI102" s="113">
        <f>IFERROR(aurora_data!U792,0)</f>
        <v>0</v>
      </c>
      <c r="AJ102" s="255">
        <f t="shared" si="41"/>
        <v>0</v>
      </c>
    </row>
    <row r="103" spans="1:36" customFormat="1" ht="16.5" thickBot="1">
      <c r="A103" s="2"/>
      <c r="B103" s="452"/>
      <c r="C103" s="454"/>
      <c r="D103" s="37" t="s">
        <v>17</v>
      </c>
      <c r="E103" s="59">
        <f>aurora_data!D793</f>
        <v>0</v>
      </c>
      <c r="F103" s="64">
        <f>aurora_data!E793</f>
        <v>2</v>
      </c>
      <c r="G103" s="64">
        <f>aurora_data!F793</f>
        <v>2</v>
      </c>
      <c r="H103" s="64">
        <f>aurora_data!G793</f>
        <v>3</v>
      </c>
      <c r="I103" s="65">
        <f>aurora_data!H793</f>
        <v>4</v>
      </c>
      <c r="J103" s="59">
        <f>aurora_data!I793</f>
        <v>1</v>
      </c>
      <c r="K103" s="64">
        <f>aurora_data!J793</f>
        <v>4</v>
      </c>
      <c r="L103" s="64">
        <f>aurora_data!K793</f>
        <v>1</v>
      </c>
      <c r="M103" s="64">
        <f>aurora_data!L793</f>
        <v>1</v>
      </c>
      <c r="N103" s="65">
        <f>aurora_data!M793</f>
        <v>4</v>
      </c>
      <c r="O103" s="59">
        <f>aurora_data!N793</f>
        <v>3</v>
      </c>
      <c r="P103" s="64">
        <f>aurora_data!O793</f>
        <v>1</v>
      </c>
      <c r="Q103" s="64">
        <f>aurora_data!P793</f>
        <v>4</v>
      </c>
      <c r="R103" s="65">
        <f>aurora_data!Q793</f>
        <v>3</v>
      </c>
      <c r="S103" s="64">
        <f>aurora_data!R793</f>
        <v>8</v>
      </c>
      <c r="T103" s="64">
        <f>aurora_data!S793</f>
        <v>3</v>
      </c>
      <c r="U103" s="65">
        <f>aurora_data!T393</f>
        <v>0</v>
      </c>
      <c r="V103" s="66"/>
      <c r="W103" s="59">
        <f>IFERROR(aurora_data!U793,0)</f>
        <v>11</v>
      </c>
      <c r="X103" s="70">
        <f t="shared" si="42"/>
        <v>1.2222222222222223</v>
      </c>
      <c r="Y103" s="2"/>
      <c r="AA103" s="452"/>
      <c r="AB103" s="454"/>
      <c r="AC103" s="37" t="s">
        <v>17</v>
      </c>
      <c r="AD103" s="59">
        <f>aurora_data!D793+aurora_data!E793</f>
        <v>2</v>
      </c>
      <c r="AE103" s="64">
        <f>aurora_data!F793</f>
        <v>2</v>
      </c>
      <c r="AF103" s="64">
        <f>aurora_data!G793</f>
        <v>3</v>
      </c>
      <c r="AG103" s="65">
        <f>aurora_data!H793</f>
        <v>4</v>
      </c>
      <c r="AH103" s="351"/>
      <c r="AI103" s="59">
        <f>IFERROR(aurora_data!U793,0)</f>
        <v>11</v>
      </c>
      <c r="AJ103" s="70">
        <f t="shared" si="41"/>
        <v>1.2222222222222223</v>
      </c>
    </row>
    <row r="104" spans="1:36" customFormat="1" ht="16.5" thickBot="1">
      <c r="A104" s="2"/>
      <c r="B104" s="452"/>
      <c r="C104" s="454"/>
      <c r="D104" s="38" t="s">
        <v>343</v>
      </c>
      <c r="E104" s="256">
        <f>aurora_data!D794</f>
        <v>0</v>
      </c>
      <c r="F104" s="257">
        <f>aurora_data!E794</f>
        <v>0</v>
      </c>
      <c r="G104" s="257">
        <f>aurora_data!F794</f>
        <v>0</v>
      </c>
      <c r="H104" s="257">
        <f>aurora_data!G794</f>
        <v>0</v>
      </c>
      <c r="I104" s="258">
        <f>aurora_data!H794</f>
        <v>0</v>
      </c>
      <c r="J104" s="256">
        <f>aurora_data!I794</f>
        <v>0</v>
      </c>
      <c r="K104" s="257">
        <f>aurora_data!J794</f>
        <v>0</v>
      </c>
      <c r="L104" s="257">
        <f>aurora_data!K794</f>
        <v>0</v>
      </c>
      <c r="M104" s="257">
        <f>aurora_data!L794</f>
        <v>0</v>
      </c>
      <c r="N104" s="258">
        <f>aurora_data!M794</f>
        <v>0</v>
      </c>
      <c r="O104" s="256">
        <f>aurora_data!N794</f>
        <v>0</v>
      </c>
      <c r="P104" s="257">
        <f>aurora_data!O794</f>
        <v>0</v>
      </c>
      <c r="Q104" s="257">
        <f>aurora_data!P794</f>
        <v>0</v>
      </c>
      <c r="R104" s="258">
        <f>aurora_data!Q794</f>
        <v>0</v>
      </c>
      <c r="S104" s="257">
        <f>aurora_data!R794</f>
        <v>0</v>
      </c>
      <c r="T104" s="257">
        <f>aurora_data!S794</f>
        <v>0</v>
      </c>
      <c r="U104" s="259">
        <f>aurora_data!T394</f>
        <v>0</v>
      </c>
      <c r="V104" s="260"/>
      <c r="W104" s="256">
        <f>IFERROR(aurora_data!U794,0)</f>
        <v>0</v>
      </c>
      <c r="X104" s="261">
        <f t="shared" si="42"/>
        <v>0</v>
      </c>
      <c r="Y104" s="2"/>
      <c r="AA104" s="452"/>
      <c r="AB104" s="454"/>
      <c r="AC104" s="38" t="s">
        <v>343</v>
      </c>
      <c r="AD104" s="256">
        <f>aurora_data!D794+aurora_data!E794</f>
        <v>0</v>
      </c>
      <c r="AE104" s="257">
        <f>aurora_data!F794</f>
        <v>0</v>
      </c>
      <c r="AF104" s="257">
        <f>aurora_data!G794</f>
        <v>0</v>
      </c>
      <c r="AG104" s="258">
        <f>aurora_data!H794</f>
        <v>0</v>
      </c>
      <c r="AH104" s="352"/>
      <c r="AI104" s="256">
        <f>IFERROR(aurora_data!U794,0)</f>
        <v>0</v>
      </c>
      <c r="AJ104" s="261">
        <f t="shared" si="41"/>
        <v>0</v>
      </c>
    </row>
    <row r="105" spans="1:36" customFormat="1" ht="16.5" outlineLevel="1" thickBot="1">
      <c r="A105" s="2"/>
      <c r="B105" s="147"/>
      <c r="C105" s="227"/>
      <c r="D105" s="199" t="s">
        <v>344</v>
      </c>
      <c r="E105" s="276">
        <f>(E107+$E$9)*($W96)</f>
        <v>0.51</v>
      </c>
      <c r="F105" s="277">
        <f>(F107+$E$9)*($W96)</f>
        <v>0.71000000000000008</v>
      </c>
      <c r="G105" s="277">
        <f>(G107+$E$9)*($W96)</f>
        <v>1.98</v>
      </c>
      <c r="H105" s="277">
        <f>(H107+$E$9)*($W96)</f>
        <v>3.0900000000000003</v>
      </c>
      <c r="I105" s="277">
        <f>(I107+$E$9)*($W96)</f>
        <v>3.62</v>
      </c>
      <c r="J105" s="294"/>
      <c r="K105" s="295"/>
      <c r="L105" s="295"/>
      <c r="M105" s="295"/>
      <c r="N105" s="296"/>
      <c r="O105" s="294"/>
      <c r="P105" s="295"/>
      <c r="Q105" s="295"/>
      <c r="R105" s="296"/>
      <c r="S105" s="295"/>
      <c r="T105" s="295"/>
      <c r="U105" s="297"/>
      <c r="V105" s="298"/>
      <c r="W105" s="294"/>
      <c r="X105" s="299"/>
      <c r="Y105" s="2"/>
      <c r="AA105" s="147"/>
      <c r="AB105" s="227"/>
      <c r="AC105" s="199" t="s">
        <v>344</v>
      </c>
      <c r="AD105" s="294"/>
      <c r="AE105" s="295"/>
      <c r="AF105" s="295"/>
      <c r="AG105" s="296"/>
      <c r="AH105" s="350"/>
      <c r="AI105" s="294"/>
      <c r="AJ105" s="299"/>
    </row>
    <row r="106" spans="1:36" customFormat="1" ht="16.5" outlineLevel="1" thickBot="1">
      <c r="A106" s="2"/>
      <c r="B106" s="147"/>
      <c r="C106" s="227"/>
      <c r="D106" s="199" t="s">
        <v>345</v>
      </c>
      <c r="E106" s="276">
        <f>IF(ROUND(((E107-$E$9)*($W96))+0.25,0) &lt;=0,1,((E107-$E$9)*($W96))+0.25)</f>
        <v>1</v>
      </c>
      <c r="F106" s="277">
        <f>IF(ROUND(((F107-$E$9)*($W96))+0.25,0) &lt;=0,1,((F107-$E$9)*($W96))+0.25)</f>
        <v>0.6</v>
      </c>
      <c r="G106" s="277">
        <f t="shared" ref="G106:I106" si="43">IF(ROUND(((G107-$E$9)*($W96))+0.25,0) &lt;=0,1,((G107-$E$9)*($W96))+0.25)</f>
        <v>1.87</v>
      </c>
      <c r="H106" s="277">
        <f t="shared" si="43"/>
        <v>2.98</v>
      </c>
      <c r="I106" s="277">
        <f t="shared" si="43"/>
        <v>3.51</v>
      </c>
      <c r="J106" s="294"/>
      <c r="K106" s="295"/>
      <c r="L106" s="295"/>
      <c r="M106" s="295"/>
      <c r="N106" s="296"/>
      <c r="O106" s="294"/>
      <c r="P106" s="295"/>
      <c r="Q106" s="295"/>
      <c r="R106" s="296"/>
      <c r="S106" s="295"/>
      <c r="T106" s="295"/>
      <c r="U106" s="297"/>
      <c r="V106" s="298"/>
      <c r="W106" s="294"/>
      <c r="X106" s="299"/>
      <c r="Y106" s="2"/>
      <c r="AA106" s="147"/>
      <c r="AB106" s="227"/>
      <c r="AC106" s="199" t="s">
        <v>345</v>
      </c>
      <c r="AD106" s="294"/>
      <c r="AE106" s="295"/>
      <c r="AF106" s="295"/>
      <c r="AG106" s="296"/>
      <c r="AH106" s="350"/>
      <c r="AI106" s="294"/>
      <c r="AJ106" s="299"/>
    </row>
    <row r="107" spans="1:36" customFormat="1" ht="16.5" hidden="1" outlineLevel="1" thickBot="1">
      <c r="A107" s="2"/>
      <c r="B107" s="147"/>
      <c r="C107" s="227"/>
      <c r="D107" s="95" t="s">
        <v>346</v>
      </c>
      <c r="E107" s="414">
        <f>IFERROR(E96/$W96,0)</f>
        <v>3.6666666666666667E-2</v>
      </c>
      <c r="F107" s="415">
        <f>IFERROR(F96/$W96,0)</f>
        <v>5.8888888888888893E-2</v>
      </c>
      <c r="G107" s="415">
        <f>IFERROR(G96/$W96,0)</f>
        <v>0.2</v>
      </c>
      <c r="H107" s="415">
        <f t="shared" ref="H107" si="44">IFERROR(H96/$W96,0)</f>
        <v>0.32333333333333336</v>
      </c>
      <c r="I107" s="415">
        <f>IFERROR(I96/$W96,0)</f>
        <v>0.38222222222222224</v>
      </c>
      <c r="J107" s="294"/>
      <c r="K107" s="295"/>
      <c r="L107" s="295"/>
      <c r="M107" s="295"/>
      <c r="N107" s="296"/>
      <c r="O107" s="294"/>
      <c r="P107" s="295"/>
      <c r="Q107" s="295"/>
      <c r="R107" s="296"/>
      <c r="S107" s="295"/>
      <c r="T107" s="295"/>
      <c r="U107" s="297"/>
      <c r="V107" s="298"/>
      <c r="W107" s="294"/>
      <c r="X107" s="299"/>
      <c r="Y107" s="2"/>
      <c r="AA107" s="147"/>
      <c r="AB107" s="227"/>
      <c r="AC107" s="95" t="s">
        <v>346</v>
      </c>
      <c r="AD107" s="294"/>
      <c r="AE107" s="295"/>
      <c r="AF107" s="295"/>
      <c r="AG107" s="296"/>
      <c r="AH107" s="350"/>
      <c r="AI107" s="294"/>
      <c r="AJ107" s="299"/>
    </row>
    <row r="108" spans="1:36" customFormat="1" ht="16.5" hidden="1" outlineLevel="1" thickBot="1">
      <c r="A108" s="2"/>
      <c r="B108" s="147"/>
      <c r="C108" s="227"/>
      <c r="D108" s="180" t="s">
        <v>347</v>
      </c>
      <c r="E108" s="414">
        <f>IFERROR(E97/$W96,0)</f>
        <v>0</v>
      </c>
      <c r="F108" s="415">
        <f t="shared" ref="F108:I108" si="45">IFERROR(F97/$W96,0)</f>
        <v>0.1111111111111111</v>
      </c>
      <c r="G108" s="415">
        <f t="shared" si="45"/>
        <v>0.22222222222222221</v>
      </c>
      <c r="H108" s="415">
        <f t="shared" si="45"/>
        <v>0.33333333333333331</v>
      </c>
      <c r="I108" s="415">
        <f t="shared" si="45"/>
        <v>0.22222222222222221</v>
      </c>
      <c r="J108" s="294"/>
      <c r="K108" s="295"/>
      <c r="L108" s="295"/>
      <c r="M108" s="295"/>
      <c r="N108" s="296"/>
      <c r="O108" s="294"/>
      <c r="P108" s="295"/>
      <c r="Q108" s="295"/>
      <c r="R108" s="296"/>
      <c r="S108" s="295"/>
      <c r="T108" s="295"/>
      <c r="U108" s="297"/>
      <c r="V108" s="298"/>
      <c r="W108" s="294"/>
      <c r="X108" s="299"/>
      <c r="Y108" s="2"/>
      <c r="AA108" s="147"/>
      <c r="AB108" s="227"/>
      <c r="AC108" s="180" t="s">
        <v>347</v>
      </c>
      <c r="AD108" s="294"/>
      <c r="AE108" s="295"/>
      <c r="AF108" s="295"/>
      <c r="AG108" s="296"/>
      <c r="AH108" s="350"/>
      <c r="AI108" s="294"/>
      <c r="AJ108" s="299"/>
    </row>
    <row r="109" spans="1:36" customFormat="1" ht="16.5" hidden="1" outlineLevel="1" thickBot="1">
      <c r="A109" s="2"/>
      <c r="B109" s="147"/>
      <c r="C109" s="227"/>
      <c r="D109" s="180" t="s">
        <v>348</v>
      </c>
      <c r="E109" s="414">
        <f>E108-E107</f>
        <v>-3.6666666666666667E-2</v>
      </c>
      <c r="F109" s="415">
        <f t="shared" ref="F109:I109" si="46">F108-F107</f>
        <v>5.2222222222222212E-2</v>
      </c>
      <c r="G109" s="415">
        <f t="shared" si="46"/>
        <v>2.2222222222222199E-2</v>
      </c>
      <c r="H109" s="415">
        <f t="shared" si="46"/>
        <v>9.9999999999999534E-3</v>
      </c>
      <c r="I109" s="415">
        <f t="shared" si="46"/>
        <v>-0.16000000000000003</v>
      </c>
      <c r="J109" s="294"/>
      <c r="K109" s="295"/>
      <c r="L109" s="295"/>
      <c r="M109" s="295"/>
      <c r="N109" s="296"/>
      <c r="O109" s="294"/>
      <c r="P109" s="295"/>
      <c r="Q109" s="295"/>
      <c r="R109" s="296"/>
      <c r="S109" s="295"/>
      <c r="T109" s="295"/>
      <c r="U109" s="297"/>
      <c r="V109" s="298"/>
      <c r="W109" s="294"/>
      <c r="X109" s="299"/>
      <c r="Y109" s="2"/>
      <c r="AA109" s="147"/>
      <c r="AB109" s="227"/>
      <c r="AC109" s="180" t="s">
        <v>348</v>
      </c>
      <c r="AD109" s="294"/>
      <c r="AE109" s="295"/>
      <c r="AF109" s="295"/>
      <c r="AG109" s="296"/>
      <c r="AH109" s="350"/>
      <c r="AI109" s="294"/>
      <c r="AJ109" s="299"/>
    </row>
    <row r="110" spans="1:36" customFormat="1">
      <c r="A110" s="2"/>
      <c r="B110" s="560" t="s">
        <v>362</v>
      </c>
      <c r="C110" s="453" t="str">
        <f>aurora_data!A795</f>
        <v>13.00.00-13.11.30</v>
      </c>
      <c r="D110" s="34" t="s">
        <v>306</v>
      </c>
      <c r="E110" s="39">
        <f>aurora_data!D795</f>
        <v>0.34</v>
      </c>
      <c r="F110" s="40">
        <f>aurora_data!E795</f>
        <v>0.56000000000000005</v>
      </c>
      <c r="G110" s="40">
        <f>aurora_data!F795</f>
        <v>1.8</v>
      </c>
      <c r="H110" s="40">
        <f>aurora_data!G795</f>
        <v>2.84</v>
      </c>
      <c r="I110" s="41">
        <f>aurora_data!H795</f>
        <v>3.44</v>
      </c>
      <c r="J110" s="39">
        <f>aurora_data!I795</f>
        <v>1</v>
      </c>
      <c r="K110" s="40">
        <f>aurora_data!J795</f>
        <v>1</v>
      </c>
      <c r="L110" s="40">
        <f>aurora_data!K795</f>
        <v>1</v>
      </c>
      <c r="M110" s="40">
        <f>aurora_data!L795</f>
        <v>1</v>
      </c>
      <c r="N110" s="41">
        <f>aurora_data!M795</f>
        <v>1</v>
      </c>
      <c r="O110" s="39">
        <f>aurora_data!N795</f>
        <v>1</v>
      </c>
      <c r="P110" s="40">
        <f>aurora_data!O795</f>
        <v>1</v>
      </c>
      <c r="Q110" s="40">
        <f>aurora_data!P795</f>
        <v>1</v>
      </c>
      <c r="R110" s="41">
        <f>aurora_data!Q795</f>
        <v>1</v>
      </c>
      <c r="S110" s="40">
        <f>aurora_data!R795</f>
        <v>1</v>
      </c>
      <c r="T110" s="40">
        <f>aurora_data!S795</f>
        <v>1</v>
      </c>
      <c r="U110" s="41">
        <f>aurora_data!T395</f>
        <v>0</v>
      </c>
      <c r="V110" s="61"/>
      <c r="W110" s="39">
        <f>IFERROR(aurora_data!U795,0)</f>
        <v>9</v>
      </c>
      <c r="X110" s="69">
        <f>IFERROR(W110/$W$110,0)</f>
        <v>1</v>
      </c>
      <c r="Y110" s="2"/>
      <c r="AA110" s="560" t="s">
        <v>362</v>
      </c>
      <c r="AB110" s="453" t="str">
        <f>aurora_data!A795</f>
        <v>13.00.00-13.11.30</v>
      </c>
      <c r="AC110" s="34" t="s">
        <v>306</v>
      </c>
      <c r="AD110" s="338">
        <v>2</v>
      </c>
      <c r="AE110" s="40">
        <v>2</v>
      </c>
      <c r="AF110" s="40">
        <v>3</v>
      </c>
      <c r="AG110" s="358">
        <v>2</v>
      </c>
      <c r="AH110" s="350"/>
      <c r="AI110" s="39">
        <f>IFERROR(aurora_data!U795,0)</f>
        <v>9</v>
      </c>
      <c r="AJ110" s="69">
        <f t="shared" ref="AJ110:AJ118" si="47">IFERROR(AI110/$AI$110,0)</f>
        <v>1</v>
      </c>
    </row>
    <row r="111" spans="1:36" customFormat="1">
      <c r="A111" s="2"/>
      <c r="B111" s="561"/>
      <c r="C111" s="454"/>
      <c r="D111" s="35" t="s">
        <v>339</v>
      </c>
      <c r="E111" s="113">
        <f>aurora_data!D796</f>
        <v>0</v>
      </c>
      <c r="F111" s="253">
        <f>aurora_data!E796</f>
        <v>2</v>
      </c>
      <c r="G111" s="253">
        <f>aurora_data!F796</f>
        <v>2</v>
      </c>
      <c r="H111" s="253">
        <f>aurora_data!G796</f>
        <v>3</v>
      </c>
      <c r="I111" s="254">
        <f>aurora_data!H796</f>
        <v>2</v>
      </c>
      <c r="J111" s="113">
        <f>aurora_data!I796</f>
        <v>1</v>
      </c>
      <c r="K111" s="253">
        <f>aurora_data!J796</f>
        <v>3</v>
      </c>
      <c r="L111" s="253">
        <f>aurora_data!K796</f>
        <v>1</v>
      </c>
      <c r="M111" s="253">
        <f>aurora_data!L796</f>
        <v>1</v>
      </c>
      <c r="N111" s="254">
        <f>aurora_data!M796</f>
        <v>3</v>
      </c>
      <c r="O111" s="113">
        <f>aurora_data!N796</f>
        <v>0</v>
      </c>
      <c r="P111" s="253">
        <f>aurora_data!O796</f>
        <v>1</v>
      </c>
      <c r="Q111" s="253">
        <f>aurora_data!P796</f>
        <v>3</v>
      </c>
      <c r="R111" s="254">
        <f>aurora_data!Q796</f>
        <v>5</v>
      </c>
      <c r="S111" s="253">
        <f>aurora_data!R796</f>
        <v>6</v>
      </c>
      <c r="T111" s="253">
        <f>aurora_data!S796</f>
        <v>3</v>
      </c>
      <c r="U111" s="254">
        <f>aurora_data!T396</f>
        <v>0</v>
      </c>
      <c r="V111" s="61"/>
      <c r="W111" s="113">
        <f>IFERROR(aurora_data!U796,0)</f>
        <v>9</v>
      </c>
      <c r="X111" s="255">
        <f t="shared" ref="X111:X118" si="48">IFERROR(W111/$W$110,0)</f>
        <v>1</v>
      </c>
      <c r="Y111" s="2"/>
      <c r="AA111" s="561"/>
      <c r="AB111" s="454"/>
      <c r="AC111" s="35" t="s">
        <v>339</v>
      </c>
      <c r="AD111" s="113">
        <f>aurora_data!D796+aurora_data!E796</f>
        <v>2</v>
      </c>
      <c r="AE111" s="253">
        <f>aurora_data!F796</f>
        <v>2</v>
      </c>
      <c r="AF111" s="253">
        <f>aurora_data!G796</f>
        <v>3</v>
      </c>
      <c r="AG111" s="254">
        <f>aurora_data!H796</f>
        <v>2</v>
      </c>
      <c r="AH111" s="350"/>
      <c r="AI111" s="113">
        <f>IFERROR(aurora_data!U796,0)</f>
        <v>9</v>
      </c>
      <c r="AJ111" s="255">
        <f t="shared" si="47"/>
        <v>1</v>
      </c>
    </row>
    <row r="112" spans="1:36" customFormat="1">
      <c r="A112" s="2"/>
      <c r="B112" s="561"/>
      <c r="C112" s="454"/>
      <c r="D112" s="35" t="s">
        <v>291</v>
      </c>
      <c r="E112" s="113">
        <f>aurora_data!D797</f>
        <v>0</v>
      </c>
      <c r="F112" s="253">
        <f>aurora_data!E797</f>
        <v>0</v>
      </c>
      <c r="G112" s="253">
        <f>aurora_data!F797</f>
        <v>0</v>
      </c>
      <c r="H112" s="253">
        <f>aurora_data!G797</f>
        <v>0</v>
      </c>
      <c r="I112" s="254">
        <f>aurora_data!H797</f>
        <v>1</v>
      </c>
      <c r="J112" s="113">
        <f>aurora_data!I797</f>
        <v>0</v>
      </c>
      <c r="K112" s="253">
        <f>aurora_data!J797</f>
        <v>0</v>
      </c>
      <c r="L112" s="253">
        <f>aurora_data!K797</f>
        <v>0</v>
      </c>
      <c r="M112" s="253">
        <f>aurora_data!L797</f>
        <v>0</v>
      </c>
      <c r="N112" s="254">
        <f>aurora_data!M797</f>
        <v>1</v>
      </c>
      <c r="O112" s="113">
        <f>aurora_data!N797</f>
        <v>1</v>
      </c>
      <c r="P112" s="253">
        <f>aurora_data!O797</f>
        <v>0</v>
      </c>
      <c r="Q112" s="253">
        <f>aurora_data!P797</f>
        <v>0</v>
      </c>
      <c r="R112" s="254">
        <f>aurora_data!Q797</f>
        <v>0</v>
      </c>
      <c r="S112" s="253">
        <f>aurora_data!R797</f>
        <v>0</v>
      </c>
      <c r="T112" s="253">
        <f>aurora_data!S797</f>
        <v>1</v>
      </c>
      <c r="U112" s="254">
        <f>aurora_data!T397</f>
        <v>0</v>
      </c>
      <c r="V112" s="61"/>
      <c r="W112" s="113">
        <f>IFERROR(aurora_data!U797,0)</f>
        <v>1</v>
      </c>
      <c r="X112" s="255">
        <f t="shared" si="48"/>
        <v>0.1111111111111111</v>
      </c>
      <c r="Y112" s="2"/>
      <c r="AA112" s="561"/>
      <c r="AB112" s="454"/>
      <c r="AC112" s="35" t="s">
        <v>291</v>
      </c>
      <c r="AD112" s="113">
        <f>aurora_data!D797+aurora_data!E797</f>
        <v>0</v>
      </c>
      <c r="AE112" s="253">
        <f>aurora_data!F797</f>
        <v>0</v>
      </c>
      <c r="AF112" s="253">
        <f>aurora_data!G797</f>
        <v>0</v>
      </c>
      <c r="AG112" s="254">
        <f>aurora_data!H797</f>
        <v>1</v>
      </c>
      <c r="AH112" s="350"/>
      <c r="AI112" s="113">
        <f>IFERROR(aurora_data!U797,0)</f>
        <v>1</v>
      </c>
      <c r="AJ112" s="255">
        <f t="shared" si="47"/>
        <v>0.1111111111111111</v>
      </c>
    </row>
    <row r="113" spans="1:36" customFormat="1">
      <c r="A113" s="2"/>
      <c r="B113" s="561"/>
      <c r="C113" s="454"/>
      <c r="D113" s="35" t="s">
        <v>340</v>
      </c>
      <c r="E113" s="113">
        <f>aurora_data!D798</f>
        <v>0</v>
      </c>
      <c r="F113" s="253">
        <f>aurora_data!E798</f>
        <v>0</v>
      </c>
      <c r="G113" s="253">
        <f>aurora_data!F798</f>
        <v>0</v>
      </c>
      <c r="H113" s="253">
        <f>aurora_data!G798</f>
        <v>0</v>
      </c>
      <c r="I113" s="254">
        <f>aurora_data!H798</f>
        <v>0</v>
      </c>
      <c r="J113" s="113">
        <f>aurora_data!I798</f>
        <v>0</v>
      </c>
      <c r="K113" s="253">
        <f>aurora_data!J798</f>
        <v>0</v>
      </c>
      <c r="L113" s="253">
        <f>aurora_data!K798</f>
        <v>0</v>
      </c>
      <c r="M113" s="253">
        <f>aurora_data!L798</f>
        <v>0</v>
      </c>
      <c r="N113" s="254">
        <f>aurora_data!M798</f>
        <v>0</v>
      </c>
      <c r="O113" s="113">
        <f>aurora_data!N798</f>
        <v>0</v>
      </c>
      <c r="P113" s="253">
        <f>aurora_data!O798</f>
        <v>0</v>
      </c>
      <c r="Q113" s="253">
        <f>aurora_data!P798</f>
        <v>0</v>
      </c>
      <c r="R113" s="254">
        <f>aurora_data!Q798</f>
        <v>0</v>
      </c>
      <c r="S113" s="253">
        <f>aurora_data!R798</f>
        <v>0</v>
      </c>
      <c r="T113" s="253">
        <f>aurora_data!S798</f>
        <v>0</v>
      </c>
      <c r="U113" s="254">
        <f>aurora_data!T398</f>
        <v>0</v>
      </c>
      <c r="V113" s="61"/>
      <c r="W113" s="113">
        <f>IFERROR(aurora_data!U798,0)</f>
        <v>0</v>
      </c>
      <c r="X113" s="255">
        <f t="shared" si="48"/>
        <v>0</v>
      </c>
      <c r="Y113" s="2"/>
      <c r="AA113" s="561"/>
      <c r="AB113" s="454"/>
      <c r="AC113" s="35" t="s">
        <v>340</v>
      </c>
      <c r="AD113" s="113">
        <f>aurora_data!D798+aurora_data!E798</f>
        <v>0</v>
      </c>
      <c r="AE113" s="253">
        <f>aurora_data!F798</f>
        <v>0</v>
      </c>
      <c r="AF113" s="253">
        <f>aurora_data!G798</f>
        <v>0</v>
      </c>
      <c r="AG113" s="254">
        <f>aurora_data!H798</f>
        <v>0</v>
      </c>
      <c r="AH113" s="350"/>
      <c r="AI113" s="113">
        <f>IFERROR(aurora_data!U798,0)</f>
        <v>0</v>
      </c>
      <c r="AJ113" s="255">
        <f t="shared" si="47"/>
        <v>0</v>
      </c>
    </row>
    <row r="114" spans="1:36" customFormat="1">
      <c r="A114" s="2"/>
      <c r="B114" s="561"/>
      <c r="C114" s="454"/>
      <c r="D114" s="35" t="s">
        <v>298</v>
      </c>
      <c r="E114" s="113">
        <f>aurora_data!D799</f>
        <v>0</v>
      </c>
      <c r="F114" s="253">
        <f>aurora_data!E799</f>
        <v>0</v>
      </c>
      <c r="G114" s="253">
        <f>aurora_data!F799</f>
        <v>0</v>
      </c>
      <c r="H114" s="253">
        <f>aurora_data!G799</f>
        <v>0</v>
      </c>
      <c r="I114" s="254">
        <f>aurora_data!H799</f>
        <v>0</v>
      </c>
      <c r="J114" s="113">
        <f>aurora_data!I799</f>
        <v>0</v>
      </c>
      <c r="K114" s="253">
        <f>aurora_data!J799</f>
        <v>0</v>
      </c>
      <c r="L114" s="253">
        <f>aurora_data!K799</f>
        <v>0</v>
      </c>
      <c r="M114" s="253">
        <f>aurora_data!L799</f>
        <v>0</v>
      </c>
      <c r="N114" s="254">
        <f>aurora_data!M799</f>
        <v>0</v>
      </c>
      <c r="O114" s="113">
        <f>aurora_data!N799</f>
        <v>0</v>
      </c>
      <c r="P114" s="253">
        <f>aurora_data!O799</f>
        <v>0</v>
      </c>
      <c r="Q114" s="253">
        <f>aurora_data!P799</f>
        <v>0</v>
      </c>
      <c r="R114" s="254">
        <f>aurora_data!Q799</f>
        <v>0</v>
      </c>
      <c r="S114" s="253">
        <f>aurora_data!R799</f>
        <v>0</v>
      </c>
      <c r="T114" s="253">
        <f>aurora_data!S799</f>
        <v>0</v>
      </c>
      <c r="U114" s="254">
        <f>aurora_data!T399</f>
        <v>0</v>
      </c>
      <c r="V114" s="61"/>
      <c r="W114" s="113">
        <f>IFERROR(aurora_data!U799,0)</f>
        <v>0</v>
      </c>
      <c r="X114" s="255">
        <f t="shared" si="48"/>
        <v>0</v>
      </c>
      <c r="Y114" s="2"/>
      <c r="AA114" s="561"/>
      <c r="AB114" s="454"/>
      <c r="AC114" s="35" t="s">
        <v>298</v>
      </c>
      <c r="AD114" s="113">
        <f>aurora_data!D799+aurora_data!E799</f>
        <v>0</v>
      </c>
      <c r="AE114" s="253">
        <f>aurora_data!F799</f>
        <v>0</v>
      </c>
      <c r="AF114" s="253">
        <f>aurora_data!G799</f>
        <v>0</v>
      </c>
      <c r="AG114" s="254">
        <f>aurora_data!H799</f>
        <v>0</v>
      </c>
      <c r="AH114" s="350"/>
      <c r="AI114" s="113">
        <f>IFERROR(aurora_data!U799,0)</f>
        <v>0</v>
      </c>
      <c r="AJ114" s="255">
        <f t="shared" si="47"/>
        <v>0</v>
      </c>
    </row>
    <row r="115" spans="1:36" customFormat="1">
      <c r="A115" s="2"/>
      <c r="B115" s="561"/>
      <c r="C115" s="454"/>
      <c r="D115" s="35" t="s">
        <v>341</v>
      </c>
      <c r="E115" s="113">
        <f>aurora_data!D800</f>
        <v>0</v>
      </c>
      <c r="F115" s="253">
        <f>aurora_data!E800</f>
        <v>0</v>
      </c>
      <c r="G115" s="253">
        <f>aurora_data!F800</f>
        <v>0</v>
      </c>
      <c r="H115" s="253">
        <f>aurora_data!G800</f>
        <v>0</v>
      </c>
      <c r="I115" s="254">
        <f>aurora_data!H800</f>
        <v>0</v>
      </c>
      <c r="J115" s="113">
        <f>aurora_data!I800</f>
        <v>0</v>
      </c>
      <c r="K115" s="253">
        <f>aurora_data!J800</f>
        <v>0</v>
      </c>
      <c r="L115" s="253">
        <f>aurora_data!K800</f>
        <v>0</v>
      </c>
      <c r="M115" s="253">
        <f>aurora_data!L800</f>
        <v>0</v>
      </c>
      <c r="N115" s="254">
        <f>aurora_data!M800</f>
        <v>0</v>
      </c>
      <c r="O115" s="113">
        <f>aurora_data!N800</f>
        <v>0</v>
      </c>
      <c r="P115" s="253">
        <f>aurora_data!O800</f>
        <v>0</v>
      </c>
      <c r="Q115" s="253">
        <f>aurora_data!P800</f>
        <v>0</v>
      </c>
      <c r="R115" s="254">
        <f>aurora_data!Q800</f>
        <v>0</v>
      </c>
      <c r="S115" s="253">
        <f>aurora_data!R800</f>
        <v>0</v>
      </c>
      <c r="T115" s="253">
        <f>aurora_data!S800</f>
        <v>0</v>
      </c>
      <c r="U115" s="254">
        <f>aurora_data!T400</f>
        <v>0</v>
      </c>
      <c r="V115" s="61"/>
      <c r="W115" s="113">
        <f>IFERROR(aurora_data!U800,0)</f>
        <v>0</v>
      </c>
      <c r="X115" s="255">
        <f t="shared" si="48"/>
        <v>0</v>
      </c>
      <c r="Y115" s="2"/>
      <c r="AA115" s="561"/>
      <c r="AB115" s="454"/>
      <c r="AC115" s="35" t="s">
        <v>341</v>
      </c>
      <c r="AD115" s="113">
        <f>aurora_data!D800+aurora_data!E800</f>
        <v>0</v>
      </c>
      <c r="AE115" s="253">
        <f>aurora_data!F800</f>
        <v>0</v>
      </c>
      <c r="AF115" s="253">
        <f>aurora_data!G800</f>
        <v>0</v>
      </c>
      <c r="AG115" s="254">
        <f>aurora_data!H800</f>
        <v>0</v>
      </c>
      <c r="AH115" s="350"/>
      <c r="AI115" s="113">
        <f>IFERROR(aurora_data!U800,0)</f>
        <v>0</v>
      </c>
      <c r="AJ115" s="255">
        <f t="shared" si="47"/>
        <v>0</v>
      </c>
    </row>
    <row r="116" spans="1:36" customFormat="1" ht="16.5" thickBot="1">
      <c r="A116" s="2"/>
      <c r="B116" s="561"/>
      <c r="C116" s="454"/>
      <c r="D116" s="35" t="s">
        <v>342</v>
      </c>
      <c r="E116" s="113">
        <f>aurora_data!D801</f>
        <v>0</v>
      </c>
      <c r="F116" s="253">
        <f>aurora_data!E801</f>
        <v>0</v>
      </c>
      <c r="G116" s="253">
        <f>aurora_data!F801</f>
        <v>0</v>
      </c>
      <c r="H116" s="253">
        <f>aurora_data!G801</f>
        <v>0</v>
      </c>
      <c r="I116" s="254">
        <f>aurora_data!H801</f>
        <v>0</v>
      </c>
      <c r="J116" s="113">
        <f>aurora_data!I801</f>
        <v>0</v>
      </c>
      <c r="K116" s="253">
        <f>aurora_data!J801</f>
        <v>0</v>
      </c>
      <c r="L116" s="253">
        <f>aurora_data!K801</f>
        <v>0</v>
      </c>
      <c r="M116" s="253">
        <f>aurora_data!L801</f>
        <v>0</v>
      </c>
      <c r="N116" s="254">
        <f>aurora_data!M801</f>
        <v>0</v>
      </c>
      <c r="O116" s="113">
        <f>aurora_data!N801</f>
        <v>0</v>
      </c>
      <c r="P116" s="253">
        <f>aurora_data!O801</f>
        <v>0</v>
      </c>
      <c r="Q116" s="253">
        <f>aurora_data!P801</f>
        <v>0</v>
      </c>
      <c r="R116" s="254">
        <f>aurora_data!Q801</f>
        <v>0</v>
      </c>
      <c r="S116" s="253">
        <f>aurora_data!R801</f>
        <v>0</v>
      </c>
      <c r="T116" s="253">
        <f>aurora_data!S801</f>
        <v>0</v>
      </c>
      <c r="U116" s="254">
        <f>aurora_data!T401</f>
        <v>0</v>
      </c>
      <c r="V116" s="61"/>
      <c r="W116" s="113">
        <f>IFERROR(aurora_data!U801,0)</f>
        <v>0</v>
      </c>
      <c r="X116" s="255">
        <f t="shared" si="48"/>
        <v>0</v>
      </c>
      <c r="Y116" s="2"/>
      <c r="AA116" s="561"/>
      <c r="AB116" s="454"/>
      <c r="AC116" s="35" t="s">
        <v>342</v>
      </c>
      <c r="AD116" s="113">
        <f>aurora_data!D801+aurora_data!E801</f>
        <v>0</v>
      </c>
      <c r="AE116" s="253">
        <f>aurora_data!F801</f>
        <v>0</v>
      </c>
      <c r="AF116" s="253">
        <f>aurora_data!G801</f>
        <v>0</v>
      </c>
      <c r="AG116" s="254">
        <f>aurora_data!H801</f>
        <v>0</v>
      </c>
      <c r="AH116" s="350"/>
      <c r="AI116" s="113">
        <f>IFERROR(aurora_data!U801,0)</f>
        <v>0</v>
      </c>
      <c r="AJ116" s="255">
        <f t="shared" si="47"/>
        <v>0</v>
      </c>
    </row>
    <row r="117" spans="1:36" customFormat="1" ht="16.5" thickBot="1">
      <c r="A117" s="2"/>
      <c r="B117" s="561"/>
      <c r="C117" s="454"/>
      <c r="D117" s="37" t="s">
        <v>17</v>
      </c>
      <c r="E117" s="59">
        <f>aurora_data!D802</f>
        <v>0</v>
      </c>
      <c r="F117" s="64">
        <f>aurora_data!E802</f>
        <v>2</v>
      </c>
      <c r="G117" s="64">
        <f>aurora_data!F802</f>
        <v>2</v>
      </c>
      <c r="H117" s="64">
        <f>aurora_data!G802</f>
        <v>3</v>
      </c>
      <c r="I117" s="65">
        <f>aurora_data!H802</f>
        <v>3</v>
      </c>
      <c r="J117" s="59">
        <f>aurora_data!I802</f>
        <v>1</v>
      </c>
      <c r="K117" s="64">
        <f>aurora_data!J802</f>
        <v>3</v>
      </c>
      <c r="L117" s="64">
        <f>aurora_data!K802</f>
        <v>1</v>
      </c>
      <c r="M117" s="64">
        <f>aurora_data!L802</f>
        <v>1</v>
      </c>
      <c r="N117" s="65">
        <f>aurora_data!M802</f>
        <v>4</v>
      </c>
      <c r="O117" s="59">
        <f>aurora_data!N802</f>
        <v>1</v>
      </c>
      <c r="P117" s="64">
        <f>aurora_data!O802</f>
        <v>1</v>
      </c>
      <c r="Q117" s="64">
        <f>aurora_data!P802</f>
        <v>3</v>
      </c>
      <c r="R117" s="65">
        <f>aurora_data!Q802</f>
        <v>5</v>
      </c>
      <c r="S117" s="64">
        <f>aurora_data!R802</f>
        <v>6</v>
      </c>
      <c r="T117" s="64">
        <f>aurora_data!S802</f>
        <v>4</v>
      </c>
      <c r="U117" s="65">
        <f>aurora_data!T402</f>
        <v>0</v>
      </c>
      <c r="V117" s="66"/>
      <c r="W117" s="59">
        <f>IFERROR(aurora_data!U802,0)</f>
        <v>10</v>
      </c>
      <c r="X117" s="70">
        <f t="shared" si="48"/>
        <v>1.1111111111111112</v>
      </c>
      <c r="Y117" s="2"/>
      <c r="AA117" s="561"/>
      <c r="AB117" s="454"/>
      <c r="AC117" s="37" t="s">
        <v>17</v>
      </c>
      <c r="AD117" s="59">
        <f>aurora_data!D802+aurora_data!E802</f>
        <v>2</v>
      </c>
      <c r="AE117" s="64">
        <f>aurora_data!F802</f>
        <v>2</v>
      </c>
      <c r="AF117" s="64">
        <f>aurora_data!G802</f>
        <v>3</v>
      </c>
      <c r="AG117" s="65">
        <f>aurora_data!H802</f>
        <v>3</v>
      </c>
      <c r="AH117" s="351"/>
      <c r="AI117" s="59">
        <f>IFERROR(aurora_data!U802,0)</f>
        <v>10</v>
      </c>
      <c r="AJ117" s="70">
        <f t="shared" si="47"/>
        <v>1.1111111111111112</v>
      </c>
    </row>
    <row r="118" spans="1:36" customFormat="1" ht="16.5" thickBot="1">
      <c r="A118" s="2"/>
      <c r="B118" s="561"/>
      <c r="C118" s="454"/>
      <c r="D118" s="38" t="s">
        <v>343</v>
      </c>
      <c r="E118" s="256">
        <f>aurora_data!D803</f>
        <v>0</v>
      </c>
      <c r="F118" s="257">
        <f>aurora_data!E803</f>
        <v>0</v>
      </c>
      <c r="G118" s="257">
        <f>aurora_data!F803</f>
        <v>0</v>
      </c>
      <c r="H118" s="257">
        <f>aurora_data!G803</f>
        <v>0</v>
      </c>
      <c r="I118" s="258">
        <f>aurora_data!H803</f>
        <v>0</v>
      </c>
      <c r="J118" s="256">
        <f>aurora_data!I803</f>
        <v>0</v>
      </c>
      <c r="K118" s="257">
        <f>aurora_data!J803</f>
        <v>0</v>
      </c>
      <c r="L118" s="257">
        <f>aurora_data!K803</f>
        <v>0</v>
      </c>
      <c r="M118" s="257">
        <f>aurora_data!L803</f>
        <v>0</v>
      </c>
      <c r="N118" s="258">
        <f>aurora_data!M803</f>
        <v>0</v>
      </c>
      <c r="O118" s="256">
        <f>aurora_data!N803</f>
        <v>0</v>
      </c>
      <c r="P118" s="257">
        <f>aurora_data!O803</f>
        <v>0</v>
      </c>
      <c r="Q118" s="257">
        <f>aurora_data!P803</f>
        <v>0</v>
      </c>
      <c r="R118" s="258">
        <f>aurora_data!Q803</f>
        <v>0</v>
      </c>
      <c r="S118" s="257">
        <f>aurora_data!R803</f>
        <v>0</v>
      </c>
      <c r="T118" s="257">
        <f>aurora_data!S803</f>
        <v>0</v>
      </c>
      <c r="U118" s="259">
        <f>aurora_data!T403</f>
        <v>0</v>
      </c>
      <c r="V118" s="260"/>
      <c r="W118" s="256">
        <f>IFERROR(aurora_data!U803,0)</f>
        <v>0</v>
      </c>
      <c r="X118" s="261">
        <f t="shared" si="48"/>
        <v>0</v>
      </c>
      <c r="Y118" s="2"/>
      <c r="AA118" s="561"/>
      <c r="AB118" s="454"/>
      <c r="AC118" s="38" t="s">
        <v>343</v>
      </c>
      <c r="AD118" s="256">
        <f>aurora_data!D803+aurora_data!E803</f>
        <v>0</v>
      </c>
      <c r="AE118" s="257">
        <f>aurora_data!F803</f>
        <v>0</v>
      </c>
      <c r="AF118" s="257">
        <f>aurora_data!G803</f>
        <v>0</v>
      </c>
      <c r="AG118" s="258">
        <f>aurora_data!H803</f>
        <v>0</v>
      </c>
      <c r="AH118" s="352"/>
      <c r="AI118" s="256">
        <f>IFERROR(aurora_data!U803,0)</f>
        <v>0</v>
      </c>
      <c r="AJ118" s="261">
        <f t="shared" si="47"/>
        <v>0</v>
      </c>
    </row>
    <row r="119" spans="1:36" customFormat="1" ht="16.5" hidden="1" outlineLevel="1" thickBot="1">
      <c r="A119" s="2"/>
      <c r="B119" s="147"/>
      <c r="C119" s="227"/>
      <c r="D119" s="199" t="s">
        <v>344</v>
      </c>
      <c r="E119" s="276">
        <f>(E121+$E$9)*($W110)</f>
        <v>0.52</v>
      </c>
      <c r="F119" s="277">
        <f>(F121+$E$9)*($W110)</f>
        <v>0.74</v>
      </c>
      <c r="G119" s="277">
        <f>(G121+$E$9)*($W110)</f>
        <v>1.98</v>
      </c>
      <c r="H119" s="277">
        <f>(H121+$E$9)*($W110)</f>
        <v>3.02</v>
      </c>
      <c r="I119" s="277">
        <f>(I121+$E$9)*($W110)</f>
        <v>3.62</v>
      </c>
      <c r="J119" s="294"/>
      <c r="K119" s="295"/>
      <c r="L119" s="295"/>
      <c r="M119" s="295"/>
      <c r="N119" s="296"/>
      <c r="O119" s="294"/>
      <c r="P119" s="295"/>
      <c r="Q119" s="295"/>
      <c r="R119" s="296"/>
      <c r="S119" s="295"/>
      <c r="T119" s="295"/>
      <c r="U119" s="297"/>
      <c r="V119" s="298"/>
      <c r="W119" s="294"/>
      <c r="X119" s="299"/>
      <c r="Y119" s="2"/>
      <c r="AA119" s="147"/>
      <c r="AB119" s="227"/>
      <c r="AC119" s="199" t="s">
        <v>344</v>
      </c>
      <c r="AD119" s="294"/>
      <c r="AE119" s="295"/>
      <c r="AF119" s="295"/>
      <c r="AG119" s="296"/>
      <c r="AH119" s="350"/>
      <c r="AI119" s="294"/>
      <c r="AJ119" s="299"/>
    </row>
    <row r="120" spans="1:36" customFormat="1" ht="16.5" hidden="1" outlineLevel="1" thickBot="1">
      <c r="A120" s="2"/>
      <c r="B120" s="147"/>
      <c r="C120" s="227"/>
      <c r="D120" s="199" t="s">
        <v>345</v>
      </c>
      <c r="E120" s="276">
        <f>IF(ROUND(((E121-$E$9)*($W110))+0.25,0) &lt;=0,1,((E121-$E$9)*($W110))+0.25)</f>
        <v>1</v>
      </c>
      <c r="F120" s="277">
        <f>IF(ROUND(((F121-$E$9)*($W110))+0.25,0) &lt;=0,1,((F121-$E$9)*($W110))+0.25)</f>
        <v>0.63000000000000012</v>
      </c>
      <c r="G120" s="277">
        <f t="shared" ref="G120:I120" si="49">IF(ROUND(((G121-$E$9)*($W110))+0.25,0) &lt;=0,1,((G121-$E$9)*($W110))+0.25)</f>
        <v>1.87</v>
      </c>
      <c r="H120" s="277">
        <f t="shared" si="49"/>
        <v>2.9099999999999997</v>
      </c>
      <c r="I120" s="277">
        <f t="shared" si="49"/>
        <v>3.51</v>
      </c>
      <c r="J120" s="294"/>
      <c r="K120" s="295"/>
      <c r="L120" s="295"/>
      <c r="M120" s="295"/>
      <c r="N120" s="296"/>
      <c r="O120" s="294"/>
      <c r="P120" s="295"/>
      <c r="Q120" s="295"/>
      <c r="R120" s="296"/>
      <c r="S120" s="295"/>
      <c r="T120" s="295"/>
      <c r="U120" s="297"/>
      <c r="V120" s="298"/>
      <c r="W120" s="294"/>
      <c r="X120" s="299"/>
      <c r="Y120" s="2"/>
      <c r="AA120" s="147"/>
      <c r="AB120" s="227"/>
      <c r="AC120" s="199" t="s">
        <v>345</v>
      </c>
      <c r="AD120" s="294"/>
      <c r="AE120" s="295"/>
      <c r="AF120" s="295"/>
      <c r="AG120" s="296"/>
      <c r="AH120" s="350"/>
      <c r="AI120" s="294"/>
      <c r="AJ120" s="299"/>
    </row>
    <row r="121" spans="1:36" customFormat="1" ht="16.5" hidden="1" outlineLevel="1" thickBot="1">
      <c r="A121" s="2"/>
      <c r="B121" s="147"/>
      <c r="C121" s="227"/>
      <c r="D121" s="95" t="s">
        <v>346</v>
      </c>
      <c r="E121" s="414">
        <f>IFERROR(E110/$W110,0)</f>
        <v>3.7777777777777778E-2</v>
      </c>
      <c r="F121" s="415">
        <f>IFERROR(F110/$W110,0)</f>
        <v>6.2222222222222227E-2</v>
      </c>
      <c r="G121" s="415">
        <f>IFERROR(G110/$W110,0)</f>
        <v>0.2</v>
      </c>
      <c r="H121" s="415">
        <f t="shared" ref="H121" si="50">IFERROR(H110/$W110,0)</f>
        <v>0.31555555555555553</v>
      </c>
      <c r="I121" s="415">
        <f>IFERROR(I110/$W110,0)</f>
        <v>0.38222222222222224</v>
      </c>
      <c r="J121" s="294"/>
      <c r="K121" s="295"/>
      <c r="L121" s="295"/>
      <c r="M121" s="295"/>
      <c r="N121" s="296"/>
      <c r="O121" s="294"/>
      <c r="P121" s="295"/>
      <c r="Q121" s="295"/>
      <c r="R121" s="296"/>
      <c r="S121" s="295"/>
      <c r="T121" s="295"/>
      <c r="U121" s="297"/>
      <c r="V121" s="298"/>
      <c r="W121" s="294"/>
      <c r="X121" s="299"/>
      <c r="Y121" s="2"/>
      <c r="AA121" s="147"/>
      <c r="AB121" s="227"/>
      <c r="AC121" s="95" t="s">
        <v>346</v>
      </c>
      <c r="AD121" s="294"/>
      <c r="AE121" s="295"/>
      <c r="AF121" s="295"/>
      <c r="AG121" s="296"/>
      <c r="AH121" s="350"/>
      <c r="AI121" s="294"/>
      <c r="AJ121" s="299"/>
    </row>
    <row r="122" spans="1:36" customFormat="1" ht="16.5" hidden="1" outlineLevel="1" thickBot="1">
      <c r="A122" s="2"/>
      <c r="B122" s="147"/>
      <c r="C122" s="227"/>
      <c r="D122" s="180" t="s">
        <v>347</v>
      </c>
      <c r="E122" s="414">
        <f>IFERROR(E111/$W110,0)</f>
        <v>0</v>
      </c>
      <c r="F122" s="415">
        <f t="shared" ref="F122:I122" si="51">IFERROR(F111/$W110,0)</f>
        <v>0.22222222222222221</v>
      </c>
      <c r="G122" s="415">
        <f t="shared" si="51"/>
        <v>0.22222222222222221</v>
      </c>
      <c r="H122" s="415">
        <f t="shared" si="51"/>
        <v>0.33333333333333331</v>
      </c>
      <c r="I122" s="415">
        <f t="shared" si="51"/>
        <v>0.22222222222222221</v>
      </c>
      <c r="J122" s="294"/>
      <c r="K122" s="295"/>
      <c r="L122" s="295"/>
      <c r="M122" s="295"/>
      <c r="N122" s="296"/>
      <c r="O122" s="294"/>
      <c r="P122" s="295"/>
      <c r="Q122" s="295"/>
      <c r="R122" s="296"/>
      <c r="S122" s="295"/>
      <c r="T122" s="295"/>
      <c r="U122" s="297"/>
      <c r="V122" s="298"/>
      <c r="W122" s="294"/>
      <c r="X122" s="299"/>
      <c r="Y122" s="2"/>
      <c r="AA122" s="147"/>
      <c r="AB122" s="227"/>
      <c r="AC122" s="180" t="s">
        <v>347</v>
      </c>
      <c r="AD122" s="294"/>
      <c r="AE122" s="295"/>
      <c r="AF122" s="295"/>
      <c r="AG122" s="296"/>
      <c r="AH122" s="350"/>
      <c r="AI122" s="294"/>
      <c r="AJ122" s="299"/>
    </row>
    <row r="123" spans="1:36" customFormat="1" ht="16.5" hidden="1" outlineLevel="1" thickBot="1">
      <c r="A123" s="2"/>
      <c r="B123" s="147"/>
      <c r="C123" s="227"/>
      <c r="D123" s="180" t="s">
        <v>348</v>
      </c>
      <c r="E123" s="414">
        <f>E122-E121</f>
        <v>-3.7777777777777778E-2</v>
      </c>
      <c r="F123" s="415">
        <f t="shared" ref="F123:I123" si="52">F122-F121</f>
        <v>0.15999999999999998</v>
      </c>
      <c r="G123" s="415">
        <f t="shared" si="52"/>
        <v>2.2222222222222199E-2</v>
      </c>
      <c r="H123" s="415">
        <f t="shared" si="52"/>
        <v>1.7777777777777781E-2</v>
      </c>
      <c r="I123" s="415">
        <f t="shared" si="52"/>
        <v>-0.16000000000000003</v>
      </c>
      <c r="J123" s="294"/>
      <c r="K123" s="295"/>
      <c r="L123" s="295"/>
      <c r="M123" s="295"/>
      <c r="N123" s="296"/>
      <c r="O123" s="294"/>
      <c r="P123" s="295"/>
      <c r="Q123" s="295"/>
      <c r="R123" s="296"/>
      <c r="S123" s="295"/>
      <c r="T123" s="295"/>
      <c r="U123" s="297"/>
      <c r="V123" s="298"/>
      <c r="W123" s="294"/>
      <c r="X123" s="299"/>
      <c r="Y123" s="2"/>
      <c r="AA123" s="147"/>
      <c r="AB123" s="227"/>
      <c r="AC123" s="180" t="s">
        <v>348</v>
      </c>
      <c r="AD123" s="294"/>
      <c r="AE123" s="295"/>
      <c r="AF123" s="295"/>
      <c r="AG123" s="296"/>
      <c r="AH123" s="350"/>
      <c r="AI123" s="294"/>
      <c r="AJ123" s="299"/>
    </row>
    <row r="124" spans="1:36" customFormat="1" collapsed="1">
      <c r="A124" s="2"/>
      <c r="B124" s="451" t="s">
        <v>338</v>
      </c>
      <c r="C124" s="453" t="str">
        <f>aurora_data!A804</f>
        <v>14.00.00-14.11.30</v>
      </c>
      <c r="D124" s="34" t="s">
        <v>306</v>
      </c>
      <c r="E124" s="39">
        <f>aurora_data!D804</f>
        <v>0.36</v>
      </c>
      <c r="F124" s="40">
        <f>aurora_data!E804</f>
        <v>0.61</v>
      </c>
      <c r="G124" s="40">
        <f>aurora_data!F804</f>
        <v>1.81</v>
      </c>
      <c r="H124" s="40">
        <f>aurora_data!G804</f>
        <v>2.84</v>
      </c>
      <c r="I124" s="41">
        <f>aurora_data!H804</f>
        <v>3.38</v>
      </c>
      <c r="J124" s="39">
        <f>aurora_data!I804</f>
        <v>1</v>
      </c>
      <c r="K124" s="40">
        <f>aurora_data!J804</f>
        <v>1</v>
      </c>
      <c r="L124" s="40">
        <f>aurora_data!K804</f>
        <v>1</v>
      </c>
      <c r="M124" s="40">
        <f>aurora_data!L804</f>
        <v>1</v>
      </c>
      <c r="N124" s="41">
        <f>aurora_data!M804</f>
        <v>1</v>
      </c>
      <c r="O124" s="39">
        <f>aurora_data!N804</f>
        <v>1</v>
      </c>
      <c r="P124" s="40">
        <f>aurora_data!O804</f>
        <v>1</v>
      </c>
      <c r="Q124" s="40">
        <f>aurora_data!P804</f>
        <v>1</v>
      </c>
      <c r="R124" s="41">
        <f>aurora_data!Q804</f>
        <v>1</v>
      </c>
      <c r="S124" s="40">
        <f>aurora_data!R804</f>
        <v>1</v>
      </c>
      <c r="T124" s="40">
        <f>aurora_data!S804</f>
        <v>1</v>
      </c>
      <c r="U124" s="41">
        <f>aurora_data!T404</f>
        <v>0</v>
      </c>
      <c r="V124" s="61"/>
      <c r="W124" s="39">
        <f>IFERROR(aurora_data!U804,0)</f>
        <v>9</v>
      </c>
      <c r="X124" s="69">
        <f>IFERROR(W124/$W$124,0)</f>
        <v>1</v>
      </c>
      <c r="Y124" s="2"/>
      <c r="AA124" s="451" t="s">
        <v>338</v>
      </c>
      <c r="AB124" s="453" t="str">
        <f>aurora_data!A804</f>
        <v>14.00.00-14.11.30</v>
      </c>
      <c r="AC124" s="34" t="s">
        <v>306</v>
      </c>
      <c r="AD124" s="338">
        <v>2</v>
      </c>
      <c r="AE124" s="40">
        <v>2</v>
      </c>
      <c r="AF124" s="40">
        <v>3</v>
      </c>
      <c r="AG124" s="358">
        <v>2</v>
      </c>
      <c r="AH124" s="350"/>
      <c r="AI124" s="39">
        <f>IFERROR(aurora_data!U804,0)</f>
        <v>9</v>
      </c>
      <c r="AJ124" s="69">
        <f t="shared" ref="AJ124:AJ132" si="53">IFERROR(AI124/$AI$124,0)</f>
        <v>1</v>
      </c>
    </row>
    <row r="125" spans="1:36" customFormat="1">
      <c r="A125" s="2"/>
      <c r="B125" s="452"/>
      <c r="C125" s="454"/>
      <c r="D125" s="35" t="s">
        <v>339</v>
      </c>
      <c r="E125" s="113">
        <f>aurora_data!D805</f>
        <v>0</v>
      </c>
      <c r="F125" s="253">
        <f>aurora_data!E805</f>
        <v>1</v>
      </c>
      <c r="G125" s="253">
        <f>aurora_data!F805</f>
        <v>2</v>
      </c>
      <c r="H125" s="253">
        <f>aurora_data!G805</f>
        <v>2</v>
      </c>
      <c r="I125" s="254">
        <f>aurora_data!H805</f>
        <v>3</v>
      </c>
      <c r="J125" s="113">
        <f>aurora_data!I805</f>
        <v>0</v>
      </c>
      <c r="K125" s="253">
        <f>aurora_data!J805</f>
        <v>1</v>
      </c>
      <c r="L125" s="253">
        <f>aurora_data!K805</f>
        <v>2</v>
      </c>
      <c r="M125" s="253">
        <f>aurora_data!L805</f>
        <v>1</v>
      </c>
      <c r="N125" s="254">
        <f>aurora_data!M805</f>
        <v>4</v>
      </c>
      <c r="O125" s="113">
        <f>aurora_data!N805</f>
        <v>3</v>
      </c>
      <c r="P125" s="253">
        <f>aurora_data!O805</f>
        <v>3</v>
      </c>
      <c r="Q125" s="253">
        <f>aurora_data!P805</f>
        <v>2</v>
      </c>
      <c r="R125" s="254">
        <f>aurora_data!Q805</f>
        <v>0</v>
      </c>
      <c r="S125" s="253">
        <f>aurora_data!R805</f>
        <v>6</v>
      </c>
      <c r="T125" s="253">
        <f>aurora_data!S805</f>
        <v>2</v>
      </c>
      <c r="U125" s="254">
        <f>aurora_data!T405</f>
        <v>0</v>
      </c>
      <c r="V125" s="61"/>
      <c r="W125" s="113">
        <f>IFERROR(aurora_data!U805,0)</f>
        <v>8</v>
      </c>
      <c r="X125" s="255">
        <f t="shared" ref="X125:X132" si="54">IFERROR(W125/$W$124,0)</f>
        <v>0.88888888888888884</v>
      </c>
      <c r="Y125" s="2"/>
      <c r="AA125" s="452"/>
      <c r="AB125" s="454"/>
      <c r="AC125" s="35" t="s">
        <v>339</v>
      </c>
      <c r="AD125" s="113">
        <f>aurora_data!D805+aurora_data!E805</f>
        <v>1</v>
      </c>
      <c r="AE125" s="253">
        <f>aurora_data!F805</f>
        <v>2</v>
      </c>
      <c r="AF125" s="253">
        <f>aurora_data!AG805</f>
        <v>0</v>
      </c>
      <c r="AG125" s="254">
        <f>aurora_data!H805</f>
        <v>3</v>
      </c>
      <c r="AH125" s="350"/>
      <c r="AI125" s="113">
        <f>IFERROR(aurora_data!U805,0)</f>
        <v>8</v>
      </c>
      <c r="AJ125" s="255">
        <f t="shared" si="53"/>
        <v>0.88888888888888884</v>
      </c>
    </row>
    <row r="126" spans="1:36" customFormat="1">
      <c r="A126" s="2"/>
      <c r="B126" s="452"/>
      <c r="C126" s="454"/>
      <c r="D126" s="35" t="s">
        <v>291</v>
      </c>
      <c r="E126" s="113">
        <f>aurora_data!D806</f>
        <v>0</v>
      </c>
      <c r="F126" s="253">
        <f>aurora_data!E806</f>
        <v>0</v>
      </c>
      <c r="G126" s="253">
        <f>aurora_data!F806</f>
        <v>1</v>
      </c>
      <c r="H126" s="253">
        <f>aurora_data!G806</f>
        <v>0</v>
      </c>
      <c r="I126" s="254">
        <f>aurora_data!H806</f>
        <v>2</v>
      </c>
      <c r="J126" s="113">
        <f>aurora_data!I806</f>
        <v>0</v>
      </c>
      <c r="K126" s="253">
        <f>aurora_data!J806</f>
        <v>1</v>
      </c>
      <c r="L126" s="253">
        <f>aurora_data!K806</f>
        <v>0</v>
      </c>
      <c r="M126" s="253">
        <f>aurora_data!L806</f>
        <v>0</v>
      </c>
      <c r="N126" s="254">
        <f>aurora_data!M806</f>
        <v>2</v>
      </c>
      <c r="O126" s="113">
        <f>aurora_data!N806</f>
        <v>1</v>
      </c>
      <c r="P126" s="253">
        <f>aurora_data!O806</f>
        <v>0</v>
      </c>
      <c r="Q126" s="253">
        <f>aurora_data!P806</f>
        <v>2</v>
      </c>
      <c r="R126" s="254">
        <f>aurora_data!Q806</f>
        <v>0</v>
      </c>
      <c r="S126" s="253">
        <f>aurora_data!R806</f>
        <v>3</v>
      </c>
      <c r="T126" s="253">
        <f>aurora_data!S806</f>
        <v>0</v>
      </c>
      <c r="U126" s="254">
        <f>aurora_data!T406</f>
        <v>0</v>
      </c>
      <c r="V126" s="61"/>
      <c r="W126" s="113">
        <f>IFERROR(aurora_data!U806,0)</f>
        <v>3</v>
      </c>
      <c r="X126" s="255">
        <f t="shared" si="54"/>
        <v>0.33333333333333331</v>
      </c>
      <c r="Y126" s="2"/>
      <c r="AA126" s="452"/>
      <c r="AB126" s="454"/>
      <c r="AC126" s="35" t="s">
        <v>291</v>
      </c>
      <c r="AD126" s="113">
        <f>aurora_data!D806+aurora_data!E806</f>
        <v>0</v>
      </c>
      <c r="AE126" s="253">
        <f>aurora_data!F806</f>
        <v>1</v>
      </c>
      <c r="AF126" s="253">
        <f>aurora_data!AG806</f>
        <v>0</v>
      </c>
      <c r="AG126" s="254">
        <f>aurora_data!H806</f>
        <v>2</v>
      </c>
      <c r="AH126" s="350"/>
      <c r="AI126" s="113">
        <f>IFERROR(aurora_data!U806,0)</f>
        <v>3</v>
      </c>
      <c r="AJ126" s="255">
        <f t="shared" si="53"/>
        <v>0.33333333333333331</v>
      </c>
    </row>
    <row r="127" spans="1:36" customFormat="1">
      <c r="A127" s="2"/>
      <c r="B127" s="452"/>
      <c r="C127" s="454"/>
      <c r="D127" s="35" t="s">
        <v>340</v>
      </c>
      <c r="E127" s="113">
        <f>aurora_data!D807</f>
        <v>0</v>
      </c>
      <c r="F127" s="253">
        <f>aurora_data!E807</f>
        <v>0</v>
      </c>
      <c r="G127" s="253">
        <f>aurora_data!F807</f>
        <v>0</v>
      </c>
      <c r="H127" s="253">
        <f>aurora_data!G807</f>
        <v>0</v>
      </c>
      <c r="I127" s="254">
        <f>aurora_data!H807</f>
        <v>0</v>
      </c>
      <c r="J127" s="113">
        <f>aurora_data!I807</f>
        <v>0</v>
      </c>
      <c r="K127" s="253">
        <f>aurora_data!J807</f>
        <v>0</v>
      </c>
      <c r="L127" s="253">
        <f>aurora_data!K807</f>
        <v>0</v>
      </c>
      <c r="M127" s="253">
        <f>aurora_data!L807</f>
        <v>0</v>
      </c>
      <c r="N127" s="254">
        <f>aurora_data!M807</f>
        <v>0</v>
      </c>
      <c r="O127" s="113">
        <f>aurora_data!N807</f>
        <v>0</v>
      </c>
      <c r="P127" s="253">
        <f>aurora_data!O807</f>
        <v>0</v>
      </c>
      <c r="Q127" s="253">
        <f>aurora_data!P807</f>
        <v>0</v>
      </c>
      <c r="R127" s="254">
        <f>aurora_data!Q807</f>
        <v>0</v>
      </c>
      <c r="S127" s="253">
        <f>aurora_data!R807</f>
        <v>0</v>
      </c>
      <c r="T127" s="253">
        <f>aurora_data!S807</f>
        <v>0</v>
      </c>
      <c r="U127" s="254">
        <f>aurora_data!T407</f>
        <v>0</v>
      </c>
      <c r="V127" s="61"/>
      <c r="W127" s="113">
        <f>IFERROR(aurora_data!U807,0)</f>
        <v>0</v>
      </c>
      <c r="X127" s="255">
        <f t="shared" si="54"/>
        <v>0</v>
      </c>
      <c r="Y127" s="2"/>
      <c r="AA127" s="452"/>
      <c r="AB127" s="454"/>
      <c r="AC127" s="35" t="s">
        <v>340</v>
      </c>
      <c r="AD127" s="113">
        <f>aurora_data!D807+aurora_data!E807</f>
        <v>0</v>
      </c>
      <c r="AE127" s="253">
        <f>aurora_data!F807</f>
        <v>0</v>
      </c>
      <c r="AF127" s="253">
        <f>aurora_data!AG807</f>
        <v>0</v>
      </c>
      <c r="AG127" s="254">
        <f>aurora_data!H807</f>
        <v>0</v>
      </c>
      <c r="AH127" s="350"/>
      <c r="AI127" s="113">
        <f>IFERROR(aurora_data!U807,0)</f>
        <v>0</v>
      </c>
      <c r="AJ127" s="255">
        <f t="shared" si="53"/>
        <v>0</v>
      </c>
    </row>
    <row r="128" spans="1:36" customFormat="1">
      <c r="A128" s="2"/>
      <c r="B128" s="452"/>
      <c r="C128" s="454"/>
      <c r="D128" s="35" t="s">
        <v>298</v>
      </c>
      <c r="E128" s="113">
        <f>aurora_data!D808</f>
        <v>0</v>
      </c>
      <c r="F128" s="253">
        <f>aurora_data!E808</f>
        <v>0</v>
      </c>
      <c r="G128" s="253">
        <f>aurora_data!F808</f>
        <v>1</v>
      </c>
      <c r="H128" s="253">
        <f>aurora_data!G808</f>
        <v>0</v>
      </c>
      <c r="I128" s="254">
        <f>aurora_data!H808</f>
        <v>0</v>
      </c>
      <c r="J128" s="113">
        <f>aurora_data!I808</f>
        <v>0</v>
      </c>
      <c r="K128" s="253">
        <f>aurora_data!J808</f>
        <v>0</v>
      </c>
      <c r="L128" s="253">
        <f>aurora_data!K808</f>
        <v>1</v>
      </c>
      <c r="M128" s="253">
        <f>aurora_data!L808</f>
        <v>0</v>
      </c>
      <c r="N128" s="254">
        <f>aurora_data!M808</f>
        <v>0</v>
      </c>
      <c r="O128" s="113">
        <f>aurora_data!N808</f>
        <v>1</v>
      </c>
      <c r="P128" s="253">
        <f>aurora_data!O808</f>
        <v>0</v>
      </c>
      <c r="Q128" s="253">
        <f>aurora_data!P808</f>
        <v>0</v>
      </c>
      <c r="R128" s="254">
        <f>aurora_data!Q808</f>
        <v>0</v>
      </c>
      <c r="S128" s="253">
        <f>aurora_data!R808</f>
        <v>0</v>
      </c>
      <c r="T128" s="253">
        <f>aurora_data!S808</f>
        <v>1</v>
      </c>
      <c r="U128" s="254">
        <f>aurora_data!T408</f>
        <v>0</v>
      </c>
      <c r="V128" s="61"/>
      <c r="W128" s="113">
        <f>IFERROR(aurora_data!U808,0)</f>
        <v>1</v>
      </c>
      <c r="X128" s="255">
        <f t="shared" si="54"/>
        <v>0.1111111111111111</v>
      </c>
      <c r="Y128" s="2"/>
      <c r="AA128" s="452"/>
      <c r="AB128" s="454"/>
      <c r="AC128" s="35" t="s">
        <v>298</v>
      </c>
      <c r="AD128" s="113">
        <f>aurora_data!D808+aurora_data!E808</f>
        <v>0</v>
      </c>
      <c r="AE128" s="253">
        <f>aurora_data!F808</f>
        <v>1</v>
      </c>
      <c r="AF128" s="253">
        <f>aurora_data!AG808</f>
        <v>0</v>
      </c>
      <c r="AG128" s="254">
        <f>aurora_data!H808</f>
        <v>0</v>
      </c>
      <c r="AH128" s="350"/>
      <c r="AI128" s="113">
        <f>IFERROR(aurora_data!U808,0)</f>
        <v>1</v>
      </c>
      <c r="AJ128" s="255">
        <f t="shared" si="53"/>
        <v>0.1111111111111111</v>
      </c>
    </row>
    <row r="129" spans="1:36" customFormat="1">
      <c r="A129" s="2"/>
      <c r="B129" s="452"/>
      <c r="C129" s="454"/>
      <c r="D129" s="35" t="s">
        <v>341</v>
      </c>
      <c r="E129" s="113">
        <f>aurora_data!D809</f>
        <v>0</v>
      </c>
      <c r="F129" s="253">
        <f>aurora_data!E809</f>
        <v>0</v>
      </c>
      <c r="G129" s="253">
        <f>aurora_data!F809</f>
        <v>0</v>
      </c>
      <c r="H129" s="253">
        <f>aurora_data!G809</f>
        <v>0</v>
      </c>
      <c r="I129" s="254">
        <f>aurora_data!H809</f>
        <v>0</v>
      </c>
      <c r="J129" s="113">
        <f>aurora_data!I809</f>
        <v>0</v>
      </c>
      <c r="K129" s="253">
        <f>aurora_data!J809</f>
        <v>0</v>
      </c>
      <c r="L129" s="253">
        <f>aurora_data!K809</f>
        <v>0</v>
      </c>
      <c r="M129" s="253">
        <f>aurora_data!L809</f>
        <v>0</v>
      </c>
      <c r="N129" s="254">
        <f>aurora_data!M809</f>
        <v>0</v>
      </c>
      <c r="O129" s="113">
        <f>aurora_data!N809</f>
        <v>0</v>
      </c>
      <c r="P129" s="253">
        <f>aurora_data!O809</f>
        <v>0</v>
      </c>
      <c r="Q129" s="253">
        <f>aurora_data!P809</f>
        <v>0</v>
      </c>
      <c r="R129" s="254">
        <f>aurora_data!Q809</f>
        <v>0</v>
      </c>
      <c r="S129" s="253">
        <f>aurora_data!R809</f>
        <v>0</v>
      </c>
      <c r="T129" s="253">
        <f>aurora_data!S809</f>
        <v>0</v>
      </c>
      <c r="U129" s="254">
        <f>aurora_data!T409</f>
        <v>0</v>
      </c>
      <c r="V129" s="61"/>
      <c r="W129" s="113">
        <f>IFERROR(aurora_data!U809,0)</f>
        <v>0</v>
      </c>
      <c r="X129" s="255">
        <f t="shared" si="54"/>
        <v>0</v>
      </c>
      <c r="Y129" s="2"/>
      <c r="AA129" s="452"/>
      <c r="AB129" s="454"/>
      <c r="AC129" s="35" t="s">
        <v>341</v>
      </c>
      <c r="AD129" s="113">
        <f>aurora_data!D809+aurora_data!E809</f>
        <v>0</v>
      </c>
      <c r="AE129" s="253">
        <f>aurora_data!F809</f>
        <v>0</v>
      </c>
      <c r="AF129" s="253">
        <f>aurora_data!AG809</f>
        <v>0</v>
      </c>
      <c r="AG129" s="254">
        <f>aurora_data!H809</f>
        <v>0</v>
      </c>
      <c r="AH129" s="350"/>
      <c r="AI129" s="113">
        <f>IFERROR(aurora_data!U809,0)</f>
        <v>0</v>
      </c>
      <c r="AJ129" s="255">
        <f t="shared" si="53"/>
        <v>0</v>
      </c>
    </row>
    <row r="130" spans="1:36" customFormat="1" ht="16.5" thickBot="1">
      <c r="A130" s="2"/>
      <c r="B130" s="452"/>
      <c r="C130" s="454"/>
      <c r="D130" s="35" t="s">
        <v>342</v>
      </c>
      <c r="E130" s="113">
        <f>aurora_data!D810</f>
        <v>0</v>
      </c>
      <c r="F130" s="253">
        <f>aurora_data!E810</f>
        <v>0</v>
      </c>
      <c r="G130" s="253">
        <f>aurora_data!F810</f>
        <v>0</v>
      </c>
      <c r="H130" s="253">
        <f>aurora_data!G810</f>
        <v>0</v>
      </c>
      <c r="I130" s="254">
        <f>aurora_data!H810</f>
        <v>0</v>
      </c>
      <c r="J130" s="113">
        <f>aurora_data!I810</f>
        <v>0</v>
      </c>
      <c r="K130" s="253">
        <f>aurora_data!J810</f>
        <v>0</v>
      </c>
      <c r="L130" s="253">
        <f>aurora_data!K810</f>
        <v>0</v>
      </c>
      <c r="M130" s="253">
        <f>aurora_data!L810</f>
        <v>0</v>
      </c>
      <c r="N130" s="254">
        <f>aurora_data!M810</f>
        <v>0</v>
      </c>
      <c r="O130" s="113">
        <f>aurora_data!N810</f>
        <v>0</v>
      </c>
      <c r="P130" s="253">
        <f>aurora_data!O810</f>
        <v>0</v>
      </c>
      <c r="Q130" s="253">
        <f>aurora_data!P810</f>
        <v>0</v>
      </c>
      <c r="R130" s="254">
        <f>aurora_data!Q810</f>
        <v>0</v>
      </c>
      <c r="S130" s="253">
        <f>aurora_data!R810</f>
        <v>0</v>
      </c>
      <c r="T130" s="253">
        <f>aurora_data!S810</f>
        <v>0</v>
      </c>
      <c r="U130" s="254">
        <f>aurora_data!T410</f>
        <v>0</v>
      </c>
      <c r="V130" s="61"/>
      <c r="W130" s="113">
        <f>IFERROR(aurora_data!U810,0)</f>
        <v>0</v>
      </c>
      <c r="X130" s="255">
        <f t="shared" si="54"/>
        <v>0</v>
      </c>
      <c r="Y130" s="2"/>
      <c r="AA130" s="452"/>
      <c r="AB130" s="454"/>
      <c r="AC130" s="35" t="s">
        <v>342</v>
      </c>
      <c r="AD130" s="113">
        <f>aurora_data!D810+aurora_data!E810</f>
        <v>0</v>
      </c>
      <c r="AE130" s="253">
        <f>aurora_data!F810</f>
        <v>0</v>
      </c>
      <c r="AF130" s="253">
        <f>aurora_data!AG810</f>
        <v>0</v>
      </c>
      <c r="AG130" s="254">
        <f>aurora_data!H810</f>
        <v>0</v>
      </c>
      <c r="AH130" s="350"/>
      <c r="AI130" s="113">
        <f>IFERROR(aurora_data!U810,0)</f>
        <v>0</v>
      </c>
      <c r="AJ130" s="255">
        <f t="shared" si="53"/>
        <v>0</v>
      </c>
    </row>
    <row r="131" spans="1:36" customFormat="1" ht="16.5" thickBot="1">
      <c r="A131" s="2"/>
      <c r="B131" s="452"/>
      <c r="C131" s="454"/>
      <c r="D131" s="37" t="s">
        <v>17</v>
      </c>
      <c r="E131" s="59">
        <f>aurora_data!D811</f>
        <v>0</v>
      </c>
      <c r="F131" s="64">
        <f>aurora_data!E811</f>
        <v>1</v>
      </c>
      <c r="G131" s="64">
        <f>aurora_data!F811</f>
        <v>4</v>
      </c>
      <c r="H131" s="64">
        <f>aurora_data!G811</f>
        <v>2</v>
      </c>
      <c r="I131" s="65">
        <f>aurora_data!H811</f>
        <v>5</v>
      </c>
      <c r="J131" s="59">
        <f>aurora_data!I811</f>
        <v>0</v>
      </c>
      <c r="K131" s="64">
        <f>aurora_data!J811</f>
        <v>2</v>
      </c>
      <c r="L131" s="64">
        <f>aurora_data!K811</f>
        <v>3</v>
      </c>
      <c r="M131" s="64">
        <f>aurora_data!L811</f>
        <v>1</v>
      </c>
      <c r="N131" s="65">
        <f>aurora_data!M811</f>
        <v>6</v>
      </c>
      <c r="O131" s="59">
        <f>aurora_data!N811</f>
        <v>5</v>
      </c>
      <c r="P131" s="64">
        <f>aurora_data!O811</f>
        <v>3</v>
      </c>
      <c r="Q131" s="64">
        <f>aurora_data!P811</f>
        <v>4</v>
      </c>
      <c r="R131" s="65">
        <f>aurora_data!Q811</f>
        <v>0</v>
      </c>
      <c r="S131" s="64">
        <f>aurora_data!R811</f>
        <v>9</v>
      </c>
      <c r="T131" s="64">
        <f>aurora_data!S811</f>
        <v>3</v>
      </c>
      <c r="U131" s="65">
        <f>aurora_data!T411</f>
        <v>0</v>
      </c>
      <c r="V131" s="66"/>
      <c r="W131" s="59">
        <f>IFERROR(aurora_data!U811,0)</f>
        <v>12</v>
      </c>
      <c r="X131" s="70">
        <f t="shared" si="54"/>
        <v>1.3333333333333333</v>
      </c>
      <c r="Y131" s="2"/>
      <c r="AA131" s="452"/>
      <c r="AB131" s="454"/>
      <c r="AC131" s="37" t="s">
        <v>17</v>
      </c>
      <c r="AD131" s="59">
        <f>aurora_data!D811+aurora_data!E811</f>
        <v>1</v>
      </c>
      <c r="AE131" s="64">
        <f>aurora_data!F811</f>
        <v>4</v>
      </c>
      <c r="AF131" s="64">
        <f>aurora_data!AG811</f>
        <v>0</v>
      </c>
      <c r="AG131" s="65">
        <f>aurora_data!H811</f>
        <v>5</v>
      </c>
      <c r="AH131" s="351"/>
      <c r="AI131" s="59">
        <f>IFERROR(aurora_data!U811,0)</f>
        <v>12</v>
      </c>
      <c r="AJ131" s="70">
        <f t="shared" si="53"/>
        <v>1.3333333333333333</v>
      </c>
    </row>
    <row r="132" spans="1:36" customFormat="1" ht="16.5" thickBot="1">
      <c r="A132" s="2"/>
      <c r="B132" s="452"/>
      <c r="C132" s="454"/>
      <c r="D132" s="38" t="s">
        <v>343</v>
      </c>
      <c r="E132" s="256">
        <f>aurora_data!D812</f>
        <v>0</v>
      </c>
      <c r="F132" s="257">
        <f>aurora_data!E812</f>
        <v>0</v>
      </c>
      <c r="G132" s="257">
        <f>aurora_data!F812</f>
        <v>0</v>
      </c>
      <c r="H132" s="257">
        <f>aurora_data!G812</f>
        <v>0</v>
      </c>
      <c r="I132" s="258">
        <f>aurora_data!H812</f>
        <v>0</v>
      </c>
      <c r="J132" s="256">
        <f>aurora_data!I812</f>
        <v>0</v>
      </c>
      <c r="K132" s="257">
        <f>aurora_data!J812</f>
        <v>0</v>
      </c>
      <c r="L132" s="257">
        <f>aurora_data!K812</f>
        <v>0</v>
      </c>
      <c r="M132" s="257">
        <f>aurora_data!L812</f>
        <v>0</v>
      </c>
      <c r="N132" s="258">
        <f>aurora_data!M812</f>
        <v>0</v>
      </c>
      <c r="O132" s="256">
        <f>aurora_data!N812</f>
        <v>0</v>
      </c>
      <c r="P132" s="257">
        <f>aurora_data!O812</f>
        <v>0</v>
      </c>
      <c r="Q132" s="257">
        <f>aurora_data!P812</f>
        <v>0</v>
      </c>
      <c r="R132" s="258">
        <f>aurora_data!Q812</f>
        <v>0</v>
      </c>
      <c r="S132" s="257">
        <f>aurora_data!R812</f>
        <v>0</v>
      </c>
      <c r="T132" s="257">
        <f>aurora_data!S812</f>
        <v>0</v>
      </c>
      <c r="U132" s="259">
        <f>aurora_data!T412</f>
        <v>0</v>
      </c>
      <c r="V132" s="260"/>
      <c r="W132" s="256">
        <f>IFERROR(aurora_data!U812,0)</f>
        <v>0</v>
      </c>
      <c r="X132" s="261">
        <f t="shared" si="54"/>
        <v>0</v>
      </c>
      <c r="Y132" s="2"/>
      <c r="AA132" s="452"/>
      <c r="AB132" s="454"/>
      <c r="AC132" s="38" t="s">
        <v>343</v>
      </c>
      <c r="AD132" s="256">
        <f>aurora_data!D812+aurora_data!E812</f>
        <v>0</v>
      </c>
      <c r="AE132" s="257">
        <f>aurora_data!F812</f>
        <v>0</v>
      </c>
      <c r="AF132" s="257">
        <f>aurora_data!AG812</f>
        <v>0</v>
      </c>
      <c r="AG132" s="258">
        <f>aurora_data!H812</f>
        <v>0</v>
      </c>
      <c r="AH132" s="352"/>
      <c r="AI132" s="256">
        <f>IFERROR(aurora_data!U812,0)</f>
        <v>0</v>
      </c>
      <c r="AJ132" s="261">
        <f t="shared" si="53"/>
        <v>0</v>
      </c>
    </row>
    <row r="133" spans="1:36" customFormat="1" ht="16.5" hidden="1" outlineLevel="1" thickBot="1">
      <c r="A133" s="2"/>
      <c r="B133" s="147"/>
      <c r="C133" s="227"/>
      <c r="D133" s="199" t="s">
        <v>344</v>
      </c>
      <c r="E133" s="276">
        <f>(E135+$E$9)*($W124)</f>
        <v>0.54</v>
      </c>
      <c r="F133" s="277">
        <f>(F135+$E$9)*($W124)</f>
        <v>0.78999999999999992</v>
      </c>
      <c r="G133" s="277">
        <f>(G135+$E$9)*($W124)</f>
        <v>1.99</v>
      </c>
      <c r="H133" s="277">
        <f>(H135+$E$9)*($W124)</f>
        <v>3.02</v>
      </c>
      <c r="I133" s="277">
        <f>(I135+$E$9)*($W124)</f>
        <v>3.56</v>
      </c>
      <c r="J133" s="294"/>
      <c r="K133" s="295"/>
      <c r="L133" s="295"/>
      <c r="M133" s="295"/>
      <c r="N133" s="296"/>
      <c r="O133" s="294"/>
      <c r="P133" s="295"/>
      <c r="Q133" s="295"/>
      <c r="R133" s="296"/>
      <c r="S133" s="295"/>
      <c r="T133" s="295"/>
      <c r="U133" s="297"/>
      <c r="V133" s="298"/>
      <c r="W133" s="294"/>
      <c r="X133" s="299"/>
      <c r="Y133" s="2"/>
      <c r="AA133" s="147"/>
      <c r="AB133" s="227"/>
      <c r="AC133" s="199" t="s">
        <v>344</v>
      </c>
      <c r="AD133" s="294"/>
      <c r="AE133" s="295"/>
      <c r="AF133" s="295"/>
      <c r="AG133" s="296"/>
      <c r="AH133" s="350"/>
      <c r="AI133" s="294"/>
      <c r="AJ133" s="299"/>
    </row>
    <row r="134" spans="1:36" customFormat="1" ht="16.5" hidden="1" outlineLevel="1" thickBot="1">
      <c r="A134" s="2"/>
      <c r="B134" s="147"/>
      <c r="C134" s="227"/>
      <c r="D134" s="199" t="s">
        <v>345</v>
      </c>
      <c r="E134" s="276">
        <f>IF(ROUND(((E135-$E$9)*($W124))+0.25,0) &lt;=0,1,((E135-$E$9)*($W124))+0.25)</f>
        <v>1</v>
      </c>
      <c r="F134" s="277">
        <f>IF(ROUND(((F135-$E$9)*($W124))+0.25,0) &lt;=0,1,((F135-$E$9)*($W124))+0.25)</f>
        <v>0.67999999999999994</v>
      </c>
      <c r="G134" s="277">
        <f t="shared" ref="G134:I134" si="55">IF(ROUND(((G135-$E$9)*($W124))+0.25,0) &lt;=0,1,((G135-$E$9)*($W124))+0.25)</f>
        <v>1.8800000000000003</v>
      </c>
      <c r="H134" s="277">
        <f t="shared" si="55"/>
        <v>2.9099999999999997</v>
      </c>
      <c r="I134" s="277">
        <f t="shared" si="55"/>
        <v>3.4499999999999997</v>
      </c>
      <c r="J134" s="294"/>
      <c r="K134" s="295"/>
      <c r="L134" s="295"/>
      <c r="M134" s="295"/>
      <c r="N134" s="296"/>
      <c r="O134" s="294"/>
      <c r="P134" s="295"/>
      <c r="Q134" s="295"/>
      <c r="R134" s="296"/>
      <c r="S134" s="295"/>
      <c r="T134" s="295"/>
      <c r="U134" s="297"/>
      <c r="V134" s="298"/>
      <c r="W134" s="294"/>
      <c r="X134" s="299"/>
      <c r="Y134" s="2"/>
      <c r="AA134" s="147"/>
      <c r="AB134" s="227"/>
      <c r="AC134" s="199" t="s">
        <v>345</v>
      </c>
      <c r="AD134" s="294"/>
      <c r="AE134" s="295"/>
      <c r="AF134" s="295"/>
      <c r="AG134" s="296"/>
      <c r="AH134" s="350"/>
      <c r="AI134" s="294"/>
      <c r="AJ134" s="299"/>
    </row>
    <row r="135" spans="1:36" customFormat="1" ht="16.5" hidden="1" outlineLevel="1" thickBot="1">
      <c r="A135" s="2"/>
      <c r="B135" s="147"/>
      <c r="C135" s="227"/>
      <c r="D135" s="95" t="s">
        <v>346</v>
      </c>
      <c r="E135" s="414">
        <f>IFERROR(E124/$W124,0)</f>
        <v>0.04</v>
      </c>
      <c r="F135" s="415">
        <f t="shared" ref="F135" si="56">IFERROR(F124/$W124,0)</f>
        <v>6.777777777777777E-2</v>
      </c>
      <c r="G135" s="415">
        <f>IFERROR(G124/$W124,0)</f>
        <v>0.20111111111111113</v>
      </c>
      <c r="H135" s="415">
        <f t="shared" ref="H135" si="57">IFERROR(H124/$W124,0)</f>
        <v>0.31555555555555553</v>
      </c>
      <c r="I135" s="415">
        <f>IFERROR(I124/$W124,0)</f>
        <v>0.37555555555555553</v>
      </c>
      <c r="J135" s="294"/>
      <c r="K135" s="295"/>
      <c r="L135" s="295"/>
      <c r="M135" s="295"/>
      <c r="N135" s="296"/>
      <c r="O135" s="294"/>
      <c r="P135" s="295"/>
      <c r="Q135" s="295"/>
      <c r="R135" s="296"/>
      <c r="S135" s="295"/>
      <c r="T135" s="295"/>
      <c r="U135" s="297"/>
      <c r="V135" s="298"/>
      <c r="W135" s="294"/>
      <c r="X135" s="299"/>
      <c r="Y135" s="2"/>
      <c r="AA135" s="147"/>
      <c r="AB135" s="227"/>
      <c r="AC135" s="95" t="s">
        <v>346</v>
      </c>
      <c r="AD135" s="294"/>
      <c r="AE135" s="295"/>
      <c r="AF135" s="295"/>
      <c r="AG135" s="296"/>
      <c r="AH135" s="350"/>
      <c r="AI135" s="294"/>
      <c r="AJ135" s="299"/>
    </row>
    <row r="136" spans="1:36" customFormat="1" ht="16.5" hidden="1" outlineLevel="1" thickBot="1">
      <c r="A136" s="2"/>
      <c r="B136" s="147"/>
      <c r="C136" s="227"/>
      <c r="D136" s="180" t="s">
        <v>347</v>
      </c>
      <c r="E136" s="414">
        <f>IFERROR(E125/$W124,0)</f>
        <v>0</v>
      </c>
      <c r="F136" s="415">
        <f t="shared" ref="F136:I136" si="58">IFERROR(F125/$W124,0)</f>
        <v>0.1111111111111111</v>
      </c>
      <c r="G136" s="415">
        <f t="shared" si="58"/>
        <v>0.22222222222222221</v>
      </c>
      <c r="H136" s="415">
        <f t="shared" si="58"/>
        <v>0.22222222222222221</v>
      </c>
      <c r="I136" s="415">
        <f t="shared" si="58"/>
        <v>0.33333333333333331</v>
      </c>
      <c r="J136" s="294"/>
      <c r="K136" s="295"/>
      <c r="L136" s="295"/>
      <c r="M136" s="295"/>
      <c r="N136" s="296"/>
      <c r="O136" s="294"/>
      <c r="P136" s="295"/>
      <c r="Q136" s="295"/>
      <c r="R136" s="296"/>
      <c r="S136" s="295"/>
      <c r="T136" s="295"/>
      <c r="U136" s="297"/>
      <c r="V136" s="298"/>
      <c r="W136" s="294"/>
      <c r="X136" s="299"/>
      <c r="Y136" s="2"/>
      <c r="AA136" s="147"/>
      <c r="AB136" s="227"/>
      <c r="AC136" s="180" t="s">
        <v>347</v>
      </c>
      <c r="AD136" s="294"/>
      <c r="AE136" s="295"/>
      <c r="AF136" s="295"/>
      <c r="AG136" s="296"/>
      <c r="AH136" s="350"/>
      <c r="AI136" s="294"/>
      <c r="AJ136" s="299"/>
    </row>
    <row r="137" spans="1:36" customFormat="1" ht="16.5" hidden="1" outlineLevel="1" thickBot="1">
      <c r="A137" s="2"/>
      <c r="B137" s="147"/>
      <c r="C137" s="227"/>
      <c r="D137" s="180" t="s">
        <v>348</v>
      </c>
      <c r="E137" s="414">
        <f>E136-E135</f>
        <v>-0.04</v>
      </c>
      <c r="F137" s="415">
        <f t="shared" ref="F137:I137" si="59">F136-F135</f>
        <v>4.3333333333333335E-2</v>
      </c>
      <c r="G137" s="415">
        <f t="shared" si="59"/>
        <v>2.1111111111111081E-2</v>
      </c>
      <c r="H137" s="415">
        <f t="shared" si="59"/>
        <v>-9.3333333333333324E-2</v>
      </c>
      <c r="I137" s="415">
        <f t="shared" si="59"/>
        <v>-4.2222222222222217E-2</v>
      </c>
      <c r="J137" s="294"/>
      <c r="K137" s="295"/>
      <c r="L137" s="295"/>
      <c r="M137" s="295"/>
      <c r="N137" s="296"/>
      <c r="O137" s="294"/>
      <c r="P137" s="295"/>
      <c r="Q137" s="295"/>
      <c r="R137" s="296"/>
      <c r="S137" s="295"/>
      <c r="T137" s="295"/>
      <c r="U137" s="297"/>
      <c r="V137" s="298"/>
      <c r="W137" s="294"/>
      <c r="X137" s="299"/>
      <c r="Y137" s="2"/>
      <c r="AA137" s="147"/>
      <c r="AB137" s="227"/>
      <c r="AC137" s="180" t="s">
        <v>348</v>
      </c>
      <c r="AD137" s="294"/>
      <c r="AE137" s="295"/>
      <c r="AF137" s="295"/>
      <c r="AG137" s="296"/>
      <c r="AH137" s="350"/>
      <c r="AI137" s="294"/>
      <c r="AJ137" s="299"/>
    </row>
    <row r="138" spans="1:36" customFormat="1" collapsed="1">
      <c r="A138" s="2"/>
      <c r="B138" s="560" t="s">
        <v>362</v>
      </c>
      <c r="C138" s="453" t="str">
        <f>aurora_data!A813</f>
        <v>15.00.00-15.11.30</v>
      </c>
      <c r="D138" s="34" t="s">
        <v>306</v>
      </c>
      <c r="E138" s="39">
        <f>aurora_data!D813</f>
        <v>0.35</v>
      </c>
      <c r="F138" s="40">
        <f>aurora_data!E813</f>
        <v>0.61</v>
      </c>
      <c r="G138" s="40">
        <f>aurora_data!F813</f>
        <v>1.79</v>
      </c>
      <c r="H138" s="40">
        <f>aurora_data!G813</f>
        <v>2.82</v>
      </c>
      <c r="I138" s="41">
        <f>aurora_data!H813</f>
        <v>3.43</v>
      </c>
      <c r="J138" s="39">
        <f>aurora_data!I813</f>
        <v>1</v>
      </c>
      <c r="K138" s="40">
        <f>aurora_data!J813</f>
        <v>1</v>
      </c>
      <c r="L138" s="40">
        <f>aurora_data!K813</f>
        <v>1</v>
      </c>
      <c r="M138" s="40">
        <f>aurora_data!L813</f>
        <v>1</v>
      </c>
      <c r="N138" s="41">
        <f>aurora_data!M813</f>
        <v>1</v>
      </c>
      <c r="O138" s="39">
        <f>aurora_data!N813</f>
        <v>1</v>
      </c>
      <c r="P138" s="40">
        <f>aurora_data!O813</f>
        <v>1</v>
      </c>
      <c r="Q138" s="40">
        <f>aurora_data!P813</f>
        <v>1</v>
      </c>
      <c r="R138" s="41">
        <f>aurora_data!Q813</f>
        <v>1</v>
      </c>
      <c r="S138" s="40">
        <f>aurora_data!R813</f>
        <v>1</v>
      </c>
      <c r="T138" s="40">
        <f>aurora_data!S813</f>
        <v>1</v>
      </c>
      <c r="U138" s="41">
        <f>aurora_data!T413</f>
        <v>0</v>
      </c>
      <c r="V138" s="61"/>
      <c r="W138" s="39">
        <f>IFERROR(aurora_data!U813,0)</f>
        <v>9</v>
      </c>
      <c r="X138" s="69">
        <f>IFERROR(W138/$W$138,0)</f>
        <v>1</v>
      </c>
      <c r="Y138" s="2"/>
      <c r="AA138" s="451" t="s">
        <v>338</v>
      </c>
      <c r="AB138" s="453" t="str">
        <f>aurora_data!A813</f>
        <v>15.00.00-15.11.30</v>
      </c>
      <c r="AC138" s="34" t="s">
        <v>306</v>
      </c>
      <c r="AD138" s="338">
        <v>2</v>
      </c>
      <c r="AE138" s="40">
        <v>2</v>
      </c>
      <c r="AF138" s="40">
        <v>3</v>
      </c>
      <c r="AG138" s="358">
        <v>2</v>
      </c>
      <c r="AH138" s="350"/>
      <c r="AI138" s="39">
        <f>IFERROR(aurora_data!U813,0)</f>
        <v>9</v>
      </c>
      <c r="AJ138" s="69">
        <f t="shared" ref="AJ138:AJ146" si="60">IFERROR(AI138/$AI$138,0)</f>
        <v>1</v>
      </c>
    </row>
    <row r="139" spans="1:36" customFormat="1">
      <c r="A139" s="2"/>
      <c r="B139" s="561"/>
      <c r="C139" s="454"/>
      <c r="D139" s="35" t="s">
        <v>339</v>
      </c>
      <c r="E139" s="113">
        <f>aurora_data!D814</f>
        <v>1</v>
      </c>
      <c r="F139" s="253">
        <f>aurora_data!E814</f>
        <v>2</v>
      </c>
      <c r="G139" s="253">
        <f>aurora_data!F814</f>
        <v>2</v>
      </c>
      <c r="H139" s="253">
        <f>aurora_data!G814</f>
        <v>2</v>
      </c>
      <c r="I139" s="254">
        <f>aurora_data!H814</f>
        <v>2</v>
      </c>
      <c r="J139" s="113">
        <f>aurora_data!I814</f>
        <v>1</v>
      </c>
      <c r="K139" s="253">
        <f>aurora_data!J814</f>
        <v>0</v>
      </c>
      <c r="L139" s="253">
        <f>aurora_data!K814</f>
        <v>1</v>
      </c>
      <c r="M139" s="253">
        <f>aurora_data!L814</f>
        <v>3</v>
      </c>
      <c r="N139" s="254">
        <f>aurora_data!M814</f>
        <v>4</v>
      </c>
      <c r="O139" s="113">
        <f>aurora_data!N814</f>
        <v>3</v>
      </c>
      <c r="P139" s="253">
        <f>aurora_data!O814</f>
        <v>2</v>
      </c>
      <c r="Q139" s="253">
        <f>aurora_data!P814</f>
        <v>2</v>
      </c>
      <c r="R139" s="254">
        <f>aurora_data!Q814</f>
        <v>2</v>
      </c>
      <c r="S139" s="253">
        <f>aurora_data!R814</f>
        <v>4</v>
      </c>
      <c r="T139" s="253">
        <f>aurora_data!S814</f>
        <v>5</v>
      </c>
      <c r="U139" s="254">
        <f>aurora_data!T414</f>
        <v>0</v>
      </c>
      <c r="V139" s="61"/>
      <c r="W139" s="113">
        <f>IFERROR(aurora_data!U814,0)</f>
        <v>9</v>
      </c>
      <c r="X139" s="255">
        <f t="shared" ref="X139:X146" si="61">IFERROR(W139/$W$138,0)</f>
        <v>1</v>
      </c>
      <c r="Y139" s="2"/>
      <c r="AA139" s="452"/>
      <c r="AB139" s="454"/>
      <c r="AC139" s="35" t="s">
        <v>339</v>
      </c>
      <c r="AD139" s="113">
        <f>aurora_data!D814+aurora_data!E814</f>
        <v>3</v>
      </c>
      <c r="AE139" s="253">
        <f>aurora_data!F814</f>
        <v>2</v>
      </c>
      <c r="AF139" s="253">
        <f>aurora_data!G814</f>
        <v>2</v>
      </c>
      <c r="AG139" s="254">
        <f>aurora_data!H814</f>
        <v>2</v>
      </c>
      <c r="AH139" s="350"/>
      <c r="AI139" s="113">
        <f>IFERROR(aurora_data!U814,0)</f>
        <v>9</v>
      </c>
      <c r="AJ139" s="255">
        <f t="shared" si="60"/>
        <v>1</v>
      </c>
    </row>
    <row r="140" spans="1:36" customFormat="1">
      <c r="A140" s="2"/>
      <c r="B140" s="561"/>
      <c r="C140" s="454"/>
      <c r="D140" s="35" t="s">
        <v>291</v>
      </c>
      <c r="E140" s="113">
        <f>aurora_data!D815</f>
        <v>0</v>
      </c>
      <c r="F140" s="253">
        <f>aurora_data!E815</f>
        <v>0</v>
      </c>
      <c r="G140" s="253">
        <f>aurora_data!F815</f>
        <v>0</v>
      </c>
      <c r="H140" s="253">
        <f>aurora_data!G815</f>
        <v>1</v>
      </c>
      <c r="I140" s="254">
        <f>aurora_data!H815</f>
        <v>1</v>
      </c>
      <c r="J140" s="113">
        <f>aurora_data!I815</f>
        <v>0</v>
      </c>
      <c r="K140" s="253">
        <f>aurora_data!J815</f>
        <v>0</v>
      </c>
      <c r="L140" s="253">
        <f>aurora_data!K815</f>
        <v>0</v>
      </c>
      <c r="M140" s="253">
        <f>aurora_data!L815</f>
        <v>0</v>
      </c>
      <c r="N140" s="254">
        <f>aurora_data!M815</f>
        <v>2</v>
      </c>
      <c r="O140" s="113">
        <f>aurora_data!N815</f>
        <v>1</v>
      </c>
      <c r="P140" s="253">
        <f>aurora_data!O815</f>
        <v>0</v>
      </c>
      <c r="Q140" s="253">
        <f>aurora_data!P815</f>
        <v>1</v>
      </c>
      <c r="R140" s="254">
        <f>aurora_data!Q815</f>
        <v>0</v>
      </c>
      <c r="S140" s="253">
        <f>aurora_data!R815</f>
        <v>1</v>
      </c>
      <c r="T140" s="253">
        <f>aurora_data!S815</f>
        <v>1</v>
      </c>
      <c r="U140" s="254">
        <f>aurora_data!T415</f>
        <v>0</v>
      </c>
      <c r="V140" s="61"/>
      <c r="W140" s="113">
        <f>IFERROR(aurora_data!U815,0)</f>
        <v>2</v>
      </c>
      <c r="X140" s="255">
        <f t="shared" si="61"/>
        <v>0.22222222222222221</v>
      </c>
      <c r="Y140" s="2"/>
      <c r="AA140" s="452"/>
      <c r="AB140" s="454"/>
      <c r="AC140" s="35" t="s">
        <v>291</v>
      </c>
      <c r="AD140" s="113">
        <f>aurora_data!D815+aurora_data!E815</f>
        <v>0</v>
      </c>
      <c r="AE140" s="253">
        <f>aurora_data!F815</f>
        <v>0</v>
      </c>
      <c r="AF140" s="253">
        <f>aurora_data!G815</f>
        <v>1</v>
      </c>
      <c r="AG140" s="254">
        <f>aurora_data!H815</f>
        <v>1</v>
      </c>
      <c r="AH140" s="350"/>
      <c r="AI140" s="113">
        <f>IFERROR(aurora_data!U815,0)</f>
        <v>2</v>
      </c>
      <c r="AJ140" s="255">
        <f t="shared" si="60"/>
        <v>0.22222222222222221</v>
      </c>
    </row>
    <row r="141" spans="1:36" customFormat="1">
      <c r="A141" s="2"/>
      <c r="B141" s="561"/>
      <c r="C141" s="454"/>
      <c r="D141" s="35" t="s">
        <v>340</v>
      </c>
      <c r="E141" s="113">
        <f>aurora_data!D816</f>
        <v>0</v>
      </c>
      <c r="F141" s="253">
        <f>aurora_data!E816</f>
        <v>0</v>
      </c>
      <c r="G141" s="253">
        <f>aurora_data!F816</f>
        <v>0</v>
      </c>
      <c r="H141" s="253">
        <f>aurora_data!G816</f>
        <v>0</v>
      </c>
      <c r="I141" s="254">
        <f>aurora_data!H816</f>
        <v>0</v>
      </c>
      <c r="J141" s="113">
        <f>aurora_data!I816</f>
        <v>0</v>
      </c>
      <c r="K141" s="253">
        <f>aurora_data!J816</f>
        <v>0</v>
      </c>
      <c r="L141" s="253">
        <f>aurora_data!K816</f>
        <v>0</v>
      </c>
      <c r="M141" s="253">
        <f>aurora_data!L816</f>
        <v>0</v>
      </c>
      <c r="N141" s="254">
        <f>aurora_data!M816</f>
        <v>0</v>
      </c>
      <c r="O141" s="113">
        <f>aurora_data!N816</f>
        <v>0</v>
      </c>
      <c r="P141" s="253">
        <f>aurora_data!O816</f>
        <v>0</v>
      </c>
      <c r="Q141" s="253">
        <f>aurora_data!P816</f>
        <v>0</v>
      </c>
      <c r="R141" s="254">
        <f>aurora_data!Q816</f>
        <v>0</v>
      </c>
      <c r="S141" s="253">
        <f>aurora_data!R816</f>
        <v>0</v>
      </c>
      <c r="T141" s="253">
        <f>aurora_data!S816</f>
        <v>0</v>
      </c>
      <c r="U141" s="254">
        <f>aurora_data!T416</f>
        <v>0</v>
      </c>
      <c r="V141" s="61"/>
      <c r="W141" s="113">
        <f>IFERROR(aurora_data!U816,0)</f>
        <v>0</v>
      </c>
      <c r="X141" s="255">
        <f t="shared" si="61"/>
        <v>0</v>
      </c>
      <c r="Y141" s="2"/>
      <c r="AA141" s="452"/>
      <c r="AB141" s="454"/>
      <c r="AC141" s="35" t="s">
        <v>340</v>
      </c>
      <c r="AD141" s="113">
        <f>aurora_data!D816+aurora_data!E816</f>
        <v>0</v>
      </c>
      <c r="AE141" s="253">
        <f>aurora_data!F816</f>
        <v>0</v>
      </c>
      <c r="AF141" s="253">
        <f>aurora_data!G816</f>
        <v>0</v>
      </c>
      <c r="AG141" s="254">
        <f>aurora_data!H816</f>
        <v>0</v>
      </c>
      <c r="AH141" s="350"/>
      <c r="AI141" s="113">
        <f>IFERROR(aurora_data!U816,0)</f>
        <v>0</v>
      </c>
      <c r="AJ141" s="255">
        <f t="shared" si="60"/>
        <v>0</v>
      </c>
    </row>
    <row r="142" spans="1:36" customFormat="1">
      <c r="A142" s="2"/>
      <c r="B142" s="561"/>
      <c r="C142" s="454"/>
      <c r="D142" s="35" t="s">
        <v>298</v>
      </c>
      <c r="E142" s="113">
        <f>aurora_data!D817</f>
        <v>0</v>
      </c>
      <c r="F142" s="253">
        <f>aurora_data!E817</f>
        <v>0</v>
      </c>
      <c r="G142" s="253">
        <f>aurora_data!F817</f>
        <v>0</v>
      </c>
      <c r="H142" s="253">
        <f>aurora_data!G817</f>
        <v>0</v>
      </c>
      <c r="I142" s="254">
        <f>aurora_data!H817</f>
        <v>0</v>
      </c>
      <c r="J142" s="113">
        <f>aurora_data!I817</f>
        <v>0</v>
      </c>
      <c r="K142" s="253">
        <f>aurora_data!J817</f>
        <v>0</v>
      </c>
      <c r="L142" s="253">
        <f>aurora_data!K817</f>
        <v>0</v>
      </c>
      <c r="M142" s="253">
        <f>aurora_data!L817</f>
        <v>0</v>
      </c>
      <c r="N142" s="254">
        <f>aurora_data!M817</f>
        <v>0</v>
      </c>
      <c r="O142" s="113">
        <f>aurora_data!N817</f>
        <v>0</v>
      </c>
      <c r="P142" s="253">
        <f>aurora_data!O817</f>
        <v>0</v>
      </c>
      <c r="Q142" s="253">
        <f>aurora_data!P817</f>
        <v>0</v>
      </c>
      <c r="R142" s="254">
        <f>aurora_data!Q817</f>
        <v>0</v>
      </c>
      <c r="S142" s="253">
        <f>aurora_data!R817</f>
        <v>0</v>
      </c>
      <c r="T142" s="253">
        <f>aurora_data!S817</f>
        <v>0</v>
      </c>
      <c r="U142" s="254">
        <f>aurora_data!T417</f>
        <v>0</v>
      </c>
      <c r="V142" s="61"/>
      <c r="W142" s="113">
        <f>IFERROR(aurora_data!U817,0)</f>
        <v>0</v>
      </c>
      <c r="X142" s="255">
        <f t="shared" si="61"/>
        <v>0</v>
      </c>
      <c r="Y142" s="2"/>
      <c r="AA142" s="452"/>
      <c r="AB142" s="454"/>
      <c r="AC142" s="35" t="s">
        <v>298</v>
      </c>
      <c r="AD142" s="113">
        <f>aurora_data!D817+aurora_data!E817</f>
        <v>0</v>
      </c>
      <c r="AE142" s="253">
        <f>aurora_data!F817</f>
        <v>0</v>
      </c>
      <c r="AF142" s="253">
        <f>aurora_data!G817</f>
        <v>0</v>
      </c>
      <c r="AG142" s="254">
        <f>aurora_data!H817</f>
        <v>0</v>
      </c>
      <c r="AH142" s="350"/>
      <c r="AI142" s="113">
        <f>IFERROR(aurora_data!U817,0)</f>
        <v>0</v>
      </c>
      <c r="AJ142" s="255">
        <f t="shared" si="60"/>
        <v>0</v>
      </c>
    </row>
    <row r="143" spans="1:36" customFormat="1">
      <c r="A143" s="2"/>
      <c r="B143" s="561"/>
      <c r="C143" s="454"/>
      <c r="D143" s="35" t="s">
        <v>341</v>
      </c>
      <c r="E143" s="113">
        <f>aurora_data!D818</f>
        <v>0</v>
      </c>
      <c r="F143" s="253">
        <f>aurora_data!E818</f>
        <v>0</v>
      </c>
      <c r="G143" s="253">
        <f>aurora_data!F818</f>
        <v>0</v>
      </c>
      <c r="H143" s="253">
        <f>aurora_data!G818</f>
        <v>0</v>
      </c>
      <c r="I143" s="254">
        <f>aurora_data!H818</f>
        <v>0</v>
      </c>
      <c r="J143" s="113">
        <f>aurora_data!I818</f>
        <v>0</v>
      </c>
      <c r="K143" s="253">
        <f>aurora_data!J818</f>
        <v>0</v>
      </c>
      <c r="L143" s="253">
        <f>aurora_data!K818</f>
        <v>0</v>
      </c>
      <c r="M143" s="253">
        <f>aurora_data!L818</f>
        <v>0</v>
      </c>
      <c r="N143" s="254">
        <f>aurora_data!M818</f>
        <v>0</v>
      </c>
      <c r="O143" s="113">
        <f>aurora_data!N818</f>
        <v>0</v>
      </c>
      <c r="P143" s="253">
        <f>aurora_data!O818</f>
        <v>0</v>
      </c>
      <c r="Q143" s="253">
        <f>aurora_data!P818</f>
        <v>0</v>
      </c>
      <c r="R143" s="254">
        <f>aurora_data!Q818</f>
        <v>0</v>
      </c>
      <c r="S143" s="253">
        <f>aurora_data!R818</f>
        <v>0</v>
      </c>
      <c r="T143" s="253">
        <f>aurora_data!S818</f>
        <v>0</v>
      </c>
      <c r="U143" s="254">
        <f>aurora_data!T418</f>
        <v>0</v>
      </c>
      <c r="V143" s="61"/>
      <c r="W143" s="113">
        <f>IFERROR(aurora_data!U818,0)</f>
        <v>0</v>
      </c>
      <c r="X143" s="255">
        <f t="shared" si="61"/>
        <v>0</v>
      </c>
      <c r="Y143" s="2"/>
      <c r="AA143" s="452"/>
      <c r="AB143" s="454"/>
      <c r="AC143" s="35" t="s">
        <v>341</v>
      </c>
      <c r="AD143" s="113">
        <f>aurora_data!D818+aurora_data!E818</f>
        <v>0</v>
      </c>
      <c r="AE143" s="253">
        <f>aurora_data!F818</f>
        <v>0</v>
      </c>
      <c r="AF143" s="253">
        <f>aurora_data!G818</f>
        <v>0</v>
      </c>
      <c r="AG143" s="254">
        <f>aurora_data!H818</f>
        <v>0</v>
      </c>
      <c r="AH143" s="350"/>
      <c r="AI143" s="113">
        <f>IFERROR(aurora_data!U818,0)</f>
        <v>0</v>
      </c>
      <c r="AJ143" s="255">
        <f t="shared" si="60"/>
        <v>0</v>
      </c>
    </row>
    <row r="144" spans="1:36" customFormat="1" ht="16.5" thickBot="1">
      <c r="A144" s="2"/>
      <c r="B144" s="561"/>
      <c r="C144" s="454"/>
      <c r="D144" s="35" t="s">
        <v>342</v>
      </c>
      <c r="E144" s="113">
        <f>aurora_data!D819</f>
        <v>0</v>
      </c>
      <c r="F144" s="253">
        <f>aurora_data!E819</f>
        <v>0</v>
      </c>
      <c r="G144" s="253">
        <f>aurora_data!F819</f>
        <v>0</v>
      </c>
      <c r="H144" s="253">
        <f>aurora_data!G819</f>
        <v>0</v>
      </c>
      <c r="I144" s="254">
        <f>aurora_data!H819</f>
        <v>0</v>
      </c>
      <c r="J144" s="113">
        <f>aurora_data!I819</f>
        <v>0</v>
      </c>
      <c r="K144" s="253">
        <f>aurora_data!J819</f>
        <v>0</v>
      </c>
      <c r="L144" s="253">
        <f>aurora_data!K819</f>
        <v>0</v>
      </c>
      <c r="M144" s="253">
        <f>aurora_data!L819</f>
        <v>0</v>
      </c>
      <c r="N144" s="254">
        <f>aurora_data!M819</f>
        <v>0</v>
      </c>
      <c r="O144" s="113">
        <f>aurora_data!N819</f>
        <v>0</v>
      </c>
      <c r="P144" s="253">
        <f>aurora_data!O819</f>
        <v>0</v>
      </c>
      <c r="Q144" s="253">
        <f>aurora_data!P819</f>
        <v>0</v>
      </c>
      <c r="R144" s="254">
        <f>aurora_data!Q819</f>
        <v>0</v>
      </c>
      <c r="S144" s="253">
        <f>aurora_data!R819</f>
        <v>0</v>
      </c>
      <c r="T144" s="253">
        <f>aurora_data!S819</f>
        <v>0</v>
      </c>
      <c r="U144" s="254">
        <f>aurora_data!T419</f>
        <v>0</v>
      </c>
      <c r="V144" s="61"/>
      <c r="W144" s="113">
        <f>IFERROR(aurora_data!U819,0)</f>
        <v>0</v>
      </c>
      <c r="X144" s="255">
        <f t="shared" si="61"/>
        <v>0</v>
      </c>
      <c r="Y144" s="2"/>
      <c r="AA144" s="452"/>
      <c r="AB144" s="454"/>
      <c r="AC144" s="35" t="s">
        <v>342</v>
      </c>
      <c r="AD144" s="113">
        <f>aurora_data!D819+aurora_data!E819</f>
        <v>0</v>
      </c>
      <c r="AE144" s="253">
        <f>aurora_data!F819</f>
        <v>0</v>
      </c>
      <c r="AF144" s="253">
        <f>aurora_data!G819</f>
        <v>0</v>
      </c>
      <c r="AG144" s="254">
        <f>aurora_data!H819</f>
        <v>0</v>
      </c>
      <c r="AH144" s="350"/>
      <c r="AI144" s="113">
        <f>IFERROR(aurora_data!U819,0)</f>
        <v>0</v>
      </c>
      <c r="AJ144" s="255">
        <f t="shared" si="60"/>
        <v>0</v>
      </c>
    </row>
    <row r="145" spans="1:36" customFormat="1" ht="16.5" thickBot="1">
      <c r="A145" s="2"/>
      <c r="B145" s="561"/>
      <c r="C145" s="454"/>
      <c r="D145" s="37" t="s">
        <v>17</v>
      </c>
      <c r="E145" s="59">
        <f>aurora_data!D820</f>
        <v>1</v>
      </c>
      <c r="F145" s="64">
        <f>aurora_data!E820</f>
        <v>2</v>
      </c>
      <c r="G145" s="64">
        <f>aurora_data!F820</f>
        <v>2</v>
      </c>
      <c r="H145" s="64">
        <f>aurora_data!G820</f>
        <v>3</v>
      </c>
      <c r="I145" s="65">
        <f>aurora_data!H820</f>
        <v>3</v>
      </c>
      <c r="J145" s="59">
        <f>aurora_data!I820</f>
        <v>1</v>
      </c>
      <c r="K145" s="64">
        <f>aurora_data!J820</f>
        <v>0</v>
      </c>
      <c r="L145" s="64">
        <f>aurora_data!K820</f>
        <v>1</v>
      </c>
      <c r="M145" s="64">
        <f>aurora_data!L820</f>
        <v>3</v>
      </c>
      <c r="N145" s="65">
        <f>aurora_data!M820</f>
        <v>6</v>
      </c>
      <c r="O145" s="59">
        <f>aurora_data!N820</f>
        <v>4</v>
      </c>
      <c r="P145" s="64">
        <f>aurora_data!O820</f>
        <v>2</v>
      </c>
      <c r="Q145" s="64">
        <f>aurora_data!P820</f>
        <v>3</v>
      </c>
      <c r="R145" s="65">
        <f>aurora_data!Q820</f>
        <v>2</v>
      </c>
      <c r="S145" s="64">
        <f>aurora_data!R820</f>
        <v>5</v>
      </c>
      <c r="T145" s="64">
        <f>aurora_data!S820</f>
        <v>6</v>
      </c>
      <c r="U145" s="65">
        <f>aurora_data!T420</f>
        <v>0</v>
      </c>
      <c r="V145" s="66"/>
      <c r="W145" s="59">
        <f>IFERROR(aurora_data!U820,0)</f>
        <v>11</v>
      </c>
      <c r="X145" s="70">
        <f t="shared" si="61"/>
        <v>1.2222222222222223</v>
      </c>
      <c r="Y145" s="2"/>
      <c r="AA145" s="452"/>
      <c r="AB145" s="454"/>
      <c r="AC145" s="37" t="s">
        <v>17</v>
      </c>
      <c r="AD145" s="59">
        <f>aurora_data!D820+aurora_data!E820</f>
        <v>3</v>
      </c>
      <c r="AE145" s="64">
        <f>aurora_data!F820</f>
        <v>2</v>
      </c>
      <c r="AF145" s="64">
        <f>aurora_data!G820</f>
        <v>3</v>
      </c>
      <c r="AG145" s="65">
        <f>aurora_data!H820</f>
        <v>3</v>
      </c>
      <c r="AH145" s="351"/>
      <c r="AI145" s="59">
        <f>IFERROR(aurora_data!U820,0)</f>
        <v>11</v>
      </c>
      <c r="AJ145" s="70">
        <f t="shared" si="60"/>
        <v>1.2222222222222223</v>
      </c>
    </row>
    <row r="146" spans="1:36" customFormat="1" ht="16.5" thickBot="1">
      <c r="A146" s="2"/>
      <c r="B146" s="561"/>
      <c r="C146" s="454"/>
      <c r="D146" s="38" t="s">
        <v>343</v>
      </c>
      <c r="E146" s="256">
        <f>aurora_data!D821</f>
        <v>0</v>
      </c>
      <c r="F146" s="257">
        <f>aurora_data!E821</f>
        <v>0</v>
      </c>
      <c r="G146" s="257">
        <f>aurora_data!F821</f>
        <v>0</v>
      </c>
      <c r="H146" s="257">
        <f>aurora_data!G821</f>
        <v>0</v>
      </c>
      <c r="I146" s="258">
        <f>aurora_data!H821</f>
        <v>0</v>
      </c>
      <c r="J146" s="256">
        <f>aurora_data!I821</f>
        <v>0</v>
      </c>
      <c r="K146" s="257">
        <f>aurora_data!J821</f>
        <v>0</v>
      </c>
      <c r="L146" s="257">
        <f>aurora_data!K821</f>
        <v>0</v>
      </c>
      <c r="M146" s="257">
        <f>aurora_data!L821</f>
        <v>0</v>
      </c>
      <c r="N146" s="258">
        <f>aurora_data!M821</f>
        <v>0</v>
      </c>
      <c r="O146" s="256">
        <f>aurora_data!N821</f>
        <v>0</v>
      </c>
      <c r="P146" s="257">
        <f>aurora_data!O821</f>
        <v>0</v>
      </c>
      <c r="Q146" s="257">
        <f>aurora_data!P821</f>
        <v>0</v>
      </c>
      <c r="R146" s="258">
        <f>aurora_data!Q821</f>
        <v>0</v>
      </c>
      <c r="S146" s="257">
        <f>aurora_data!R821</f>
        <v>0</v>
      </c>
      <c r="T146" s="257">
        <f>aurora_data!S821</f>
        <v>0</v>
      </c>
      <c r="U146" s="259">
        <f>aurora_data!T421</f>
        <v>0</v>
      </c>
      <c r="V146" s="260"/>
      <c r="W146" s="256">
        <f>IFERROR(aurora_data!U821,0)</f>
        <v>0</v>
      </c>
      <c r="X146" s="261">
        <f t="shared" si="61"/>
        <v>0</v>
      </c>
      <c r="Y146" s="2"/>
      <c r="AA146" s="452"/>
      <c r="AB146" s="454"/>
      <c r="AC146" s="38" t="s">
        <v>343</v>
      </c>
      <c r="AD146" s="256">
        <f>aurora_data!D821+aurora_data!E821</f>
        <v>0</v>
      </c>
      <c r="AE146" s="257">
        <f>aurora_data!F821</f>
        <v>0</v>
      </c>
      <c r="AF146" s="257">
        <f>aurora_data!G821</f>
        <v>0</v>
      </c>
      <c r="AG146" s="258">
        <f>aurora_data!H821</f>
        <v>0</v>
      </c>
      <c r="AH146" s="352"/>
      <c r="AI146" s="256">
        <f>IFERROR(aurora_data!U821,0)</f>
        <v>0</v>
      </c>
      <c r="AJ146" s="261">
        <f t="shared" si="60"/>
        <v>0</v>
      </c>
    </row>
    <row r="147" spans="1:36" customFormat="1" ht="16.5" hidden="1" outlineLevel="2" thickBot="1">
      <c r="A147" s="2"/>
      <c r="B147" s="147"/>
      <c r="C147" s="227"/>
      <c r="D147" s="199" t="s">
        <v>344</v>
      </c>
      <c r="E147" s="276">
        <f>(E149+$E$9)*($W138)</f>
        <v>0.53</v>
      </c>
      <c r="F147" s="277">
        <f>(F149+$E$9)*($W138)</f>
        <v>0.78999999999999992</v>
      </c>
      <c r="G147" s="277">
        <f>(G149+$E$9)*($W138)</f>
        <v>1.97</v>
      </c>
      <c r="H147" s="277">
        <f>(H149+$E$9)*($W138)</f>
        <v>3</v>
      </c>
      <c r="I147" s="277">
        <f>(I149+$E$9)*($W138)</f>
        <v>3.6100000000000003</v>
      </c>
      <c r="J147" s="294"/>
      <c r="K147" s="295"/>
      <c r="L147" s="295"/>
      <c r="M147" s="295"/>
      <c r="N147" s="296"/>
      <c r="O147" s="294"/>
      <c r="P147" s="295"/>
      <c r="Q147" s="295"/>
      <c r="R147" s="296"/>
      <c r="S147" s="295"/>
      <c r="T147" s="295"/>
      <c r="U147" s="297"/>
      <c r="V147" s="298"/>
      <c r="W147" s="294"/>
      <c r="X147" s="299"/>
      <c r="Y147" s="2"/>
      <c r="AA147" s="147"/>
      <c r="AB147" s="227"/>
      <c r="AC147" s="199" t="s">
        <v>344</v>
      </c>
      <c r="AD147" s="294"/>
      <c r="AE147" s="295"/>
      <c r="AF147" s="295"/>
      <c r="AG147" s="296"/>
      <c r="AH147" s="350"/>
      <c r="AI147" s="294"/>
      <c r="AJ147" s="299"/>
    </row>
    <row r="148" spans="1:36" customFormat="1" ht="16.5" hidden="1" outlineLevel="2" thickBot="1">
      <c r="A148" s="2"/>
      <c r="B148" s="147"/>
      <c r="C148" s="227"/>
      <c r="D148" s="199" t="s">
        <v>345</v>
      </c>
      <c r="E148" s="276">
        <f>IF(ROUND(((E149-$E$9)*($W138))+0.25,0) &lt;=0,1,((E149-$E$9)*($W138))+0.25)</f>
        <v>1</v>
      </c>
      <c r="F148" s="277">
        <f>IF(ROUND(((F149-$E$9)*($W138))+0.25,0) &lt;=0,1,((F149-$E$9)*($W138))+0.25)</f>
        <v>0.67999999999999994</v>
      </c>
      <c r="G148" s="277">
        <f t="shared" ref="G148:I148" si="62">IF(ROUND(((G149-$E$9)*($W138))+0.25,0) &lt;=0,1,((G149-$E$9)*($W138))+0.25)</f>
        <v>1.86</v>
      </c>
      <c r="H148" s="277">
        <f t="shared" si="62"/>
        <v>2.8899999999999997</v>
      </c>
      <c r="I148" s="277">
        <f t="shared" si="62"/>
        <v>3.5</v>
      </c>
      <c r="J148" s="294"/>
      <c r="K148" s="295"/>
      <c r="L148" s="295"/>
      <c r="M148" s="295"/>
      <c r="N148" s="296"/>
      <c r="O148" s="294"/>
      <c r="P148" s="295"/>
      <c r="Q148" s="295"/>
      <c r="R148" s="296"/>
      <c r="S148" s="295"/>
      <c r="T148" s="295"/>
      <c r="U148" s="297"/>
      <c r="V148" s="298"/>
      <c r="W148" s="294"/>
      <c r="X148" s="299"/>
      <c r="Y148" s="2"/>
      <c r="AA148" s="147"/>
      <c r="AB148" s="227"/>
      <c r="AC148" s="199" t="s">
        <v>345</v>
      </c>
      <c r="AD148" s="294"/>
      <c r="AE148" s="295"/>
      <c r="AF148" s="295"/>
      <c r="AG148" s="296"/>
      <c r="AH148" s="350"/>
      <c r="AI148" s="294"/>
      <c r="AJ148" s="299"/>
    </row>
    <row r="149" spans="1:36" customFormat="1" ht="16.5" hidden="1" outlineLevel="2" thickBot="1">
      <c r="A149" s="2"/>
      <c r="B149" s="147"/>
      <c r="C149" s="227"/>
      <c r="D149" s="95" t="s">
        <v>346</v>
      </c>
      <c r="E149" s="414">
        <f>IFERROR(E138/$W138,0)</f>
        <v>3.888888888888889E-2</v>
      </c>
      <c r="F149" s="415">
        <f t="shared" ref="F149" si="63">IFERROR(F138/$W138,0)</f>
        <v>6.777777777777777E-2</v>
      </c>
      <c r="G149" s="415">
        <f>IFERROR(G138/$W138,0)</f>
        <v>0.19888888888888889</v>
      </c>
      <c r="H149" s="415">
        <f t="shared" ref="H149" si="64">IFERROR(H138/$W138,0)</f>
        <v>0.3133333333333333</v>
      </c>
      <c r="I149" s="415">
        <f>IFERROR(I138/$W138,0)</f>
        <v>0.38111111111111112</v>
      </c>
      <c r="J149" s="294"/>
      <c r="K149" s="295"/>
      <c r="L149" s="295"/>
      <c r="M149" s="295"/>
      <c r="N149" s="296"/>
      <c r="O149" s="294"/>
      <c r="P149" s="295"/>
      <c r="Q149" s="295"/>
      <c r="R149" s="296"/>
      <c r="S149" s="295"/>
      <c r="T149" s="295"/>
      <c r="U149" s="297"/>
      <c r="V149" s="298"/>
      <c r="W149" s="294"/>
      <c r="X149" s="299"/>
      <c r="Y149" s="2"/>
      <c r="AA149" s="147"/>
      <c r="AB149" s="227"/>
      <c r="AC149" s="95" t="s">
        <v>346</v>
      </c>
      <c r="AD149" s="294"/>
      <c r="AE149" s="295"/>
      <c r="AF149" s="295"/>
      <c r="AG149" s="296"/>
      <c r="AH149" s="350"/>
      <c r="AI149" s="294"/>
      <c r="AJ149" s="299"/>
    </row>
    <row r="150" spans="1:36" customFormat="1" ht="16.5" hidden="1" outlineLevel="2" thickBot="1">
      <c r="A150" s="2"/>
      <c r="B150" s="147"/>
      <c r="C150" s="227"/>
      <c r="D150" s="180" t="s">
        <v>347</v>
      </c>
      <c r="E150" s="414">
        <f>IFERROR(E139/$W138,0)</f>
        <v>0.1111111111111111</v>
      </c>
      <c r="F150" s="415">
        <f t="shared" ref="F150:I150" si="65">IFERROR(F139/$W138,0)</f>
        <v>0.22222222222222221</v>
      </c>
      <c r="G150" s="415">
        <f t="shared" si="65"/>
        <v>0.22222222222222221</v>
      </c>
      <c r="H150" s="415">
        <f t="shared" si="65"/>
        <v>0.22222222222222221</v>
      </c>
      <c r="I150" s="415">
        <f t="shared" si="65"/>
        <v>0.22222222222222221</v>
      </c>
      <c r="J150" s="294"/>
      <c r="K150" s="295"/>
      <c r="L150" s="295"/>
      <c r="M150" s="295"/>
      <c r="N150" s="296"/>
      <c r="O150" s="294"/>
      <c r="P150" s="295"/>
      <c r="Q150" s="295"/>
      <c r="R150" s="296"/>
      <c r="S150" s="295"/>
      <c r="T150" s="295"/>
      <c r="U150" s="297"/>
      <c r="V150" s="298"/>
      <c r="W150" s="294"/>
      <c r="X150" s="299"/>
      <c r="Y150" s="2"/>
      <c r="AA150" s="147"/>
      <c r="AB150" s="227"/>
      <c r="AC150" s="180" t="s">
        <v>347</v>
      </c>
      <c r="AD150" s="294"/>
      <c r="AE150" s="295"/>
      <c r="AF150" s="295"/>
      <c r="AG150" s="296"/>
      <c r="AH150" s="350"/>
      <c r="AI150" s="294"/>
      <c r="AJ150" s="299"/>
    </row>
    <row r="151" spans="1:36" customFormat="1" ht="16.5" hidden="1" outlineLevel="2" thickBot="1">
      <c r="A151" s="2"/>
      <c r="B151" s="147"/>
      <c r="C151" s="227"/>
      <c r="D151" s="180" t="s">
        <v>348</v>
      </c>
      <c r="E151" s="414">
        <f>E150-E149</f>
        <v>7.2222222222222215E-2</v>
      </c>
      <c r="F151" s="415">
        <f t="shared" ref="F151:I151" si="66">F150-F149</f>
        <v>0.15444444444444444</v>
      </c>
      <c r="G151" s="415">
        <f t="shared" si="66"/>
        <v>2.3333333333333317E-2</v>
      </c>
      <c r="H151" s="415">
        <f t="shared" si="66"/>
        <v>-9.1111111111111087E-2</v>
      </c>
      <c r="I151" s="415">
        <f t="shared" si="66"/>
        <v>-0.15888888888888891</v>
      </c>
      <c r="J151" s="294"/>
      <c r="K151" s="295"/>
      <c r="L151" s="295"/>
      <c r="M151" s="295"/>
      <c r="N151" s="296"/>
      <c r="O151" s="294"/>
      <c r="P151" s="295"/>
      <c r="Q151" s="295"/>
      <c r="R151" s="296"/>
      <c r="S151" s="295"/>
      <c r="T151" s="295"/>
      <c r="U151" s="297"/>
      <c r="V151" s="298"/>
      <c r="W151" s="294"/>
      <c r="X151" s="299"/>
      <c r="Y151" s="2"/>
      <c r="AA151" s="147"/>
      <c r="AB151" s="227"/>
      <c r="AC151" s="180" t="s">
        <v>348</v>
      </c>
      <c r="AD151" s="294"/>
      <c r="AE151" s="295"/>
      <c r="AF151" s="295"/>
      <c r="AG151" s="296"/>
      <c r="AH151" s="350"/>
      <c r="AI151" s="294"/>
      <c r="AJ151" s="299"/>
    </row>
    <row r="152" spans="1:36" customFormat="1" collapsed="1">
      <c r="A152" s="2"/>
      <c r="B152" s="560" t="s">
        <v>362</v>
      </c>
      <c r="C152" s="453" t="str">
        <f>aurora_data!A822</f>
        <v>16.00.00-16.11.30</v>
      </c>
      <c r="D152" s="34" t="s">
        <v>306</v>
      </c>
      <c r="E152" s="39">
        <f>aurora_data!D822</f>
        <v>0.36</v>
      </c>
      <c r="F152" s="40">
        <f>aurora_data!E822</f>
        <v>0.57999999999999996</v>
      </c>
      <c r="G152" s="40">
        <f>aurora_data!F822</f>
        <v>1.82</v>
      </c>
      <c r="H152" s="40">
        <f>aurora_data!G822</f>
        <v>2.84</v>
      </c>
      <c r="I152" s="41">
        <f>aurora_data!H822</f>
        <v>3.4</v>
      </c>
      <c r="J152" s="39">
        <f>aurora_data!I822</f>
        <v>1</v>
      </c>
      <c r="K152" s="40">
        <f>aurora_data!J822</f>
        <v>1</v>
      </c>
      <c r="L152" s="40">
        <f>aurora_data!K822</f>
        <v>1</v>
      </c>
      <c r="M152" s="40">
        <f>aurora_data!L822</f>
        <v>1</v>
      </c>
      <c r="N152" s="41">
        <f>aurora_data!M822</f>
        <v>1</v>
      </c>
      <c r="O152" s="39">
        <f>aurora_data!N822</f>
        <v>1</v>
      </c>
      <c r="P152" s="40">
        <f>aurora_data!O822</f>
        <v>1</v>
      </c>
      <c r="Q152" s="40">
        <f>aurora_data!P822</f>
        <v>1</v>
      </c>
      <c r="R152" s="41">
        <f>aurora_data!Q822</f>
        <v>1</v>
      </c>
      <c r="S152" s="40">
        <f>aurora_data!R822</f>
        <v>1</v>
      </c>
      <c r="T152" s="40">
        <f>aurora_data!S822</f>
        <v>1</v>
      </c>
      <c r="U152" s="41">
        <f>aurora_data!T422</f>
        <v>0</v>
      </c>
      <c r="V152" s="61"/>
      <c r="W152" s="39">
        <f>IFERROR(aurora_data!U822,0)</f>
        <v>9</v>
      </c>
      <c r="X152" s="69">
        <f>IFERROR(W152/$W$152,0)</f>
        <v>1</v>
      </c>
      <c r="Y152" s="2"/>
      <c r="AA152" s="451" t="s">
        <v>338</v>
      </c>
      <c r="AB152" s="453" t="str">
        <f>aurora_data!A822</f>
        <v>16.00.00-16.11.30</v>
      </c>
      <c r="AC152" s="34" t="s">
        <v>306</v>
      </c>
      <c r="AD152" s="338">
        <v>2</v>
      </c>
      <c r="AE152" s="40">
        <v>2</v>
      </c>
      <c r="AF152" s="40">
        <v>3</v>
      </c>
      <c r="AG152" s="358">
        <v>2</v>
      </c>
      <c r="AH152" s="350"/>
      <c r="AI152" s="39">
        <f>IFERROR(aurora_data!U822,0)</f>
        <v>9</v>
      </c>
      <c r="AJ152" s="69">
        <f t="shared" ref="AJ152:AJ160" si="67">IFERROR(AI152/$AI$152,0)</f>
        <v>1</v>
      </c>
    </row>
    <row r="153" spans="1:36" customFormat="1">
      <c r="A153" s="2"/>
      <c r="B153" s="561"/>
      <c r="C153" s="454"/>
      <c r="D153" s="35" t="s">
        <v>339</v>
      </c>
      <c r="E153" s="113">
        <f>aurora_data!D823</f>
        <v>1</v>
      </c>
      <c r="F153" s="253">
        <f>aurora_data!E823</f>
        <v>0</v>
      </c>
      <c r="G153" s="253">
        <f>aurora_data!F823</f>
        <v>1</v>
      </c>
      <c r="H153" s="253">
        <f>aurora_data!G823</f>
        <v>5</v>
      </c>
      <c r="I153" s="254">
        <f>aurora_data!H823</f>
        <v>4</v>
      </c>
      <c r="J153" s="113">
        <f>aurora_data!I823</f>
        <v>0</v>
      </c>
      <c r="K153" s="253">
        <f>aurora_data!J823</f>
        <v>1</v>
      </c>
      <c r="L153" s="253">
        <f>aurora_data!K823</f>
        <v>2</v>
      </c>
      <c r="M153" s="253">
        <f>aurora_data!L823</f>
        <v>2</v>
      </c>
      <c r="N153" s="254">
        <f>aurora_data!M823</f>
        <v>6</v>
      </c>
      <c r="O153" s="113">
        <f>aurora_data!N823</f>
        <v>4</v>
      </c>
      <c r="P153" s="253">
        <f>aurora_data!O823</f>
        <v>2</v>
      </c>
      <c r="Q153" s="253">
        <f>aurora_data!P823</f>
        <v>3</v>
      </c>
      <c r="R153" s="254">
        <f>aurora_data!Q823</f>
        <v>2</v>
      </c>
      <c r="S153" s="253">
        <f>aurora_data!R823</f>
        <v>8</v>
      </c>
      <c r="T153" s="253">
        <f>aurora_data!S823</f>
        <v>3</v>
      </c>
      <c r="U153" s="254">
        <f>aurora_data!T423</f>
        <v>0</v>
      </c>
      <c r="V153" s="61"/>
      <c r="W153" s="113">
        <f>IFERROR(aurora_data!U823,0)</f>
        <v>11</v>
      </c>
      <c r="X153" s="255">
        <f t="shared" ref="X153:X160" si="68">IFERROR(W153/$W$152,0)</f>
        <v>1.2222222222222223</v>
      </c>
      <c r="Y153" s="2"/>
      <c r="AA153" s="452"/>
      <c r="AB153" s="454"/>
      <c r="AC153" s="35" t="s">
        <v>339</v>
      </c>
      <c r="AD153" s="113">
        <f>aurora_data!D823+aurora_data!E823</f>
        <v>1</v>
      </c>
      <c r="AE153" s="253">
        <f>aurora_data!F823</f>
        <v>1</v>
      </c>
      <c r="AF153" s="253">
        <f>aurora_data!G823</f>
        <v>5</v>
      </c>
      <c r="AG153" s="254">
        <f>aurora_data!H823</f>
        <v>4</v>
      </c>
      <c r="AH153" s="350"/>
      <c r="AI153" s="113">
        <f>IFERROR(aurora_data!U823,0)</f>
        <v>11</v>
      </c>
      <c r="AJ153" s="255">
        <f t="shared" si="67"/>
        <v>1.2222222222222223</v>
      </c>
    </row>
    <row r="154" spans="1:36" customFormat="1">
      <c r="A154" s="2"/>
      <c r="B154" s="561"/>
      <c r="C154" s="454"/>
      <c r="D154" s="35" t="s">
        <v>291</v>
      </c>
      <c r="E154" s="113">
        <f>aurora_data!D824</f>
        <v>0</v>
      </c>
      <c r="F154" s="253">
        <f>aurora_data!E824</f>
        <v>0</v>
      </c>
      <c r="G154" s="253">
        <f>aurora_data!F824</f>
        <v>0</v>
      </c>
      <c r="H154" s="253">
        <f>aurora_data!G824</f>
        <v>0</v>
      </c>
      <c r="I154" s="254">
        <f>aurora_data!H824</f>
        <v>0</v>
      </c>
      <c r="J154" s="113">
        <f>aurora_data!I824</f>
        <v>0</v>
      </c>
      <c r="K154" s="253">
        <f>aurora_data!J824</f>
        <v>0</v>
      </c>
      <c r="L154" s="253">
        <f>aurora_data!K824</f>
        <v>0</v>
      </c>
      <c r="M154" s="253">
        <f>aurora_data!L824</f>
        <v>0</v>
      </c>
      <c r="N154" s="254">
        <f>aurora_data!M824</f>
        <v>0</v>
      </c>
      <c r="O154" s="113">
        <f>aurora_data!N824</f>
        <v>0</v>
      </c>
      <c r="P154" s="253">
        <f>aurora_data!O824</f>
        <v>0</v>
      </c>
      <c r="Q154" s="253">
        <f>aurora_data!P824</f>
        <v>0</v>
      </c>
      <c r="R154" s="254">
        <f>aurora_data!Q824</f>
        <v>0</v>
      </c>
      <c r="S154" s="253">
        <f>aurora_data!R824</f>
        <v>0</v>
      </c>
      <c r="T154" s="253">
        <f>aurora_data!S824</f>
        <v>0</v>
      </c>
      <c r="U154" s="254">
        <f>aurora_data!T424</f>
        <v>0</v>
      </c>
      <c r="V154" s="61"/>
      <c r="W154" s="113">
        <f>IFERROR(aurora_data!U824,0)</f>
        <v>0</v>
      </c>
      <c r="X154" s="255">
        <f t="shared" si="68"/>
        <v>0</v>
      </c>
      <c r="Y154" s="2"/>
      <c r="AA154" s="452"/>
      <c r="AB154" s="454"/>
      <c r="AC154" s="35" t="s">
        <v>291</v>
      </c>
      <c r="AD154" s="113">
        <f>aurora_data!D824+aurora_data!E824</f>
        <v>0</v>
      </c>
      <c r="AE154" s="253">
        <f>aurora_data!F824</f>
        <v>0</v>
      </c>
      <c r="AF154" s="253">
        <f>aurora_data!G824</f>
        <v>0</v>
      </c>
      <c r="AG154" s="254">
        <f>aurora_data!H824</f>
        <v>0</v>
      </c>
      <c r="AH154" s="350"/>
      <c r="AI154" s="113">
        <f>IFERROR(aurora_data!U824,0)</f>
        <v>0</v>
      </c>
      <c r="AJ154" s="255">
        <f t="shared" si="67"/>
        <v>0</v>
      </c>
    </row>
    <row r="155" spans="1:36" customFormat="1">
      <c r="A155" s="2"/>
      <c r="B155" s="561"/>
      <c r="C155" s="454"/>
      <c r="D155" s="35" t="s">
        <v>340</v>
      </c>
      <c r="E155" s="113">
        <f>aurora_data!D825</f>
        <v>0</v>
      </c>
      <c r="F155" s="253">
        <f>aurora_data!E825</f>
        <v>0</v>
      </c>
      <c r="G155" s="253">
        <f>aurora_data!F825</f>
        <v>1</v>
      </c>
      <c r="H155" s="253">
        <f>aurora_data!G825</f>
        <v>0</v>
      </c>
      <c r="I155" s="254">
        <f>aurora_data!H825</f>
        <v>0</v>
      </c>
      <c r="J155" s="113">
        <f>aurora_data!I825</f>
        <v>0</v>
      </c>
      <c r="K155" s="253">
        <f>aurora_data!J825</f>
        <v>0</v>
      </c>
      <c r="L155" s="253">
        <f>aurora_data!K825</f>
        <v>1</v>
      </c>
      <c r="M155" s="253">
        <f>aurora_data!L825</f>
        <v>0</v>
      </c>
      <c r="N155" s="254">
        <f>aurora_data!M825</f>
        <v>0</v>
      </c>
      <c r="O155" s="113">
        <f>aurora_data!N825</f>
        <v>0</v>
      </c>
      <c r="P155" s="253">
        <f>aurora_data!O825</f>
        <v>0</v>
      </c>
      <c r="Q155" s="253">
        <f>aurora_data!P825</f>
        <v>1</v>
      </c>
      <c r="R155" s="254">
        <f>aurora_data!Q825</f>
        <v>0</v>
      </c>
      <c r="S155" s="253">
        <f>aurora_data!R825</f>
        <v>1</v>
      </c>
      <c r="T155" s="253">
        <f>aurora_data!S825</f>
        <v>0</v>
      </c>
      <c r="U155" s="254">
        <f>aurora_data!T425</f>
        <v>0</v>
      </c>
      <c r="V155" s="61"/>
      <c r="W155" s="113">
        <f>IFERROR(aurora_data!U825,0)</f>
        <v>1</v>
      </c>
      <c r="X155" s="255">
        <f t="shared" si="68"/>
        <v>0.1111111111111111</v>
      </c>
      <c r="Y155" s="2"/>
      <c r="AA155" s="452"/>
      <c r="AB155" s="454"/>
      <c r="AC155" s="35" t="s">
        <v>340</v>
      </c>
      <c r="AD155" s="113">
        <f>aurora_data!D825+aurora_data!E825</f>
        <v>0</v>
      </c>
      <c r="AE155" s="253">
        <f>aurora_data!F825</f>
        <v>1</v>
      </c>
      <c r="AF155" s="253">
        <f>aurora_data!G825</f>
        <v>0</v>
      </c>
      <c r="AG155" s="254">
        <f>aurora_data!H825</f>
        <v>0</v>
      </c>
      <c r="AH155" s="350"/>
      <c r="AI155" s="113">
        <f>IFERROR(aurora_data!U825,0)</f>
        <v>1</v>
      </c>
      <c r="AJ155" s="255">
        <f t="shared" si="67"/>
        <v>0.1111111111111111</v>
      </c>
    </row>
    <row r="156" spans="1:36" customFormat="1">
      <c r="A156" s="2"/>
      <c r="B156" s="561"/>
      <c r="C156" s="454"/>
      <c r="D156" s="35" t="s">
        <v>298</v>
      </c>
      <c r="E156" s="113">
        <f>aurora_data!D826</f>
        <v>0</v>
      </c>
      <c r="F156" s="253">
        <f>aurora_data!E826</f>
        <v>0</v>
      </c>
      <c r="G156" s="253">
        <f>aurora_data!F826</f>
        <v>0</v>
      </c>
      <c r="H156" s="253">
        <f>aurora_data!G826</f>
        <v>0</v>
      </c>
      <c r="I156" s="254">
        <f>aurora_data!H826</f>
        <v>0</v>
      </c>
      <c r="J156" s="113">
        <f>aurora_data!I826</f>
        <v>0</v>
      </c>
      <c r="K156" s="253">
        <f>aurora_data!J826</f>
        <v>0</v>
      </c>
      <c r="L156" s="253">
        <f>aurora_data!K826</f>
        <v>0</v>
      </c>
      <c r="M156" s="253">
        <f>aurora_data!L826</f>
        <v>0</v>
      </c>
      <c r="N156" s="254">
        <f>aurora_data!M826</f>
        <v>0</v>
      </c>
      <c r="O156" s="113">
        <f>aurora_data!N826</f>
        <v>0</v>
      </c>
      <c r="P156" s="253">
        <f>aurora_data!O826</f>
        <v>0</v>
      </c>
      <c r="Q156" s="253">
        <f>aurora_data!P826</f>
        <v>0</v>
      </c>
      <c r="R156" s="254">
        <f>aurora_data!Q826</f>
        <v>0</v>
      </c>
      <c r="S156" s="253">
        <f>aurora_data!R826</f>
        <v>0</v>
      </c>
      <c r="T156" s="253">
        <f>aurora_data!S826</f>
        <v>0</v>
      </c>
      <c r="U156" s="254">
        <f>aurora_data!T426</f>
        <v>0</v>
      </c>
      <c r="V156" s="61"/>
      <c r="W156" s="113">
        <f>IFERROR(aurora_data!U826,0)</f>
        <v>0</v>
      </c>
      <c r="X156" s="255">
        <f t="shared" si="68"/>
        <v>0</v>
      </c>
      <c r="Y156" s="2"/>
      <c r="AA156" s="452"/>
      <c r="AB156" s="454"/>
      <c r="AC156" s="35" t="s">
        <v>298</v>
      </c>
      <c r="AD156" s="113">
        <f>aurora_data!D826+aurora_data!E826</f>
        <v>0</v>
      </c>
      <c r="AE156" s="253">
        <f>aurora_data!F826</f>
        <v>0</v>
      </c>
      <c r="AF156" s="253">
        <f>aurora_data!G826</f>
        <v>0</v>
      </c>
      <c r="AG156" s="254">
        <f>aurora_data!H826</f>
        <v>0</v>
      </c>
      <c r="AH156" s="350"/>
      <c r="AI156" s="113">
        <f>IFERROR(aurora_data!U826,0)</f>
        <v>0</v>
      </c>
      <c r="AJ156" s="255">
        <f t="shared" si="67"/>
        <v>0</v>
      </c>
    </row>
    <row r="157" spans="1:36" customFormat="1">
      <c r="A157" s="2"/>
      <c r="B157" s="561"/>
      <c r="C157" s="454"/>
      <c r="D157" s="35" t="s">
        <v>341</v>
      </c>
      <c r="E157" s="113">
        <f>aurora_data!D827</f>
        <v>0</v>
      </c>
      <c r="F157" s="253">
        <f>aurora_data!E827</f>
        <v>0</v>
      </c>
      <c r="G157" s="253">
        <f>aurora_data!F827</f>
        <v>0</v>
      </c>
      <c r="H157" s="253">
        <f>aurora_data!G827</f>
        <v>0</v>
      </c>
      <c r="I157" s="254">
        <f>aurora_data!H827</f>
        <v>0</v>
      </c>
      <c r="J157" s="113">
        <f>aurora_data!I827</f>
        <v>0</v>
      </c>
      <c r="K157" s="253">
        <f>aurora_data!J827</f>
        <v>0</v>
      </c>
      <c r="L157" s="253">
        <f>aurora_data!K827</f>
        <v>0</v>
      </c>
      <c r="M157" s="253">
        <f>aurora_data!L827</f>
        <v>0</v>
      </c>
      <c r="N157" s="254">
        <f>aurora_data!M827</f>
        <v>0</v>
      </c>
      <c r="O157" s="113">
        <f>aurora_data!N827</f>
        <v>0</v>
      </c>
      <c r="P157" s="253">
        <f>aurora_data!O827</f>
        <v>0</v>
      </c>
      <c r="Q157" s="253">
        <f>aurora_data!P827</f>
        <v>0</v>
      </c>
      <c r="R157" s="254">
        <f>aurora_data!Q827</f>
        <v>0</v>
      </c>
      <c r="S157" s="253">
        <f>aurora_data!R827</f>
        <v>0</v>
      </c>
      <c r="T157" s="253">
        <f>aurora_data!S827</f>
        <v>0</v>
      </c>
      <c r="U157" s="254">
        <f>aurora_data!T427</f>
        <v>0</v>
      </c>
      <c r="V157" s="61"/>
      <c r="W157" s="113">
        <f>IFERROR(aurora_data!U827,0)</f>
        <v>0</v>
      </c>
      <c r="X157" s="255">
        <f t="shared" si="68"/>
        <v>0</v>
      </c>
      <c r="Y157" s="2"/>
      <c r="AA157" s="452"/>
      <c r="AB157" s="454"/>
      <c r="AC157" s="35" t="s">
        <v>341</v>
      </c>
      <c r="AD157" s="113">
        <f>aurora_data!D827+aurora_data!E827</f>
        <v>0</v>
      </c>
      <c r="AE157" s="253">
        <f>aurora_data!F827</f>
        <v>0</v>
      </c>
      <c r="AF157" s="253">
        <f>aurora_data!G827</f>
        <v>0</v>
      </c>
      <c r="AG157" s="254">
        <f>aurora_data!H827</f>
        <v>0</v>
      </c>
      <c r="AH157" s="350"/>
      <c r="AI157" s="113">
        <f>IFERROR(aurora_data!U827,0)</f>
        <v>0</v>
      </c>
      <c r="AJ157" s="255">
        <f t="shared" si="67"/>
        <v>0</v>
      </c>
    </row>
    <row r="158" spans="1:36" customFormat="1" ht="16.5" thickBot="1">
      <c r="A158" s="2"/>
      <c r="B158" s="561"/>
      <c r="C158" s="454"/>
      <c r="D158" s="35" t="s">
        <v>342</v>
      </c>
      <c r="E158" s="113">
        <f>aurora_data!D828</f>
        <v>0</v>
      </c>
      <c r="F158" s="253">
        <f>aurora_data!E828</f>
        <v>0</v>
      </c>
      <c r="G158" s="253">
        <f>aurora_data!F828</f>
        <v>0</v>
      </c>
      <c r="H158" s="253">
        <f>aurora_data!G828</f>
        <v>0</v>
      </c>
      <c r="I158" s="254">
        <f>aurora_data!H828</f>
        <v>0</v>
      </c>
      <c r="J158" s="113">
        <f>aurora_data!I828</f>
        <v>0</v>
      </c>
      <c r="K158" s="253">
        <f>aurora_data!J828</f>
        <v>0</v>
      </c>
      <c r="L158" s="253">
        <f>aurora_data!K828</f>
        <v>0</v>
      </c>
      <c r="M158" s="253">
        <f>aurora_data!L828</f>
        <v>0</v>
      </c>
      <c r="N158" s="254">
        <f>aurora_data!M828</f>
        <v>0</v>
      </c>
      <c r="O158" s="113">
        <f>aurora_data!N828</f>
        <v>0</v>
      </c>
      <c r="P158" s="253">
        <f>aurora_data!O828</f>
        <v>0</v>
      </c>
      <c r="Q158" s="253">
        <f>aurora_data!P828</f>
        <v>0</v>
      </c>
      <c r="R158" s="254">
        <f>aurora_data!Q828</f>
        <v>0</v>
      </c>
      <c r="S158" s="253">
        <f>aurora_data!R828</f>
        <v>0</v>
      </c>
      <c r="T158" s="253">
        <f>aurora_data!S828</f>
        <v>0</v>
      </c>
      <c r="U158" s="254">
        <f>aurora_data!T428</f>
        <v>0</v>
      </c>
      <c r="V158" s="61"/>
      <c r="W158" s="113">
        <f>IFERROR(aurora_data!U828,0)</f>
        <v>0</v>
      </c>
      <c r="X158" s="255">
        <f t="shared" si="68"/>
        <v>0</v>
      </c>
      <c r="Y158" s="2"/>
      <c r="AA158" s="452"/>
      <c r="AB158" s="454"/>
      <c r="AC158" s="35" t="s">
        <v>342</v>
      </c>
      <c r="AD158" s="113">
        <f>aurora_data!D828+aurora_data!E828</f>
        <v>0</v>
      </c>
      <c r="AE158" s="253">
        <f>aurora_data!F828</f>
        <v>0</v>
      </c>
      <c r="AF158" s="253">
        <f>aurora_data!G828</f>
        <v>0</v>
      </c>
      <c r="AG158" s="254">
        <f>aurora_data!H828</f>
        <v>0</v>
      </c>
      <c r="AH158" s="350"/>
      <c r="AI158" s="113">
        <f>IFERROR(aurora_data!U828,0)</f>
        <v>0</v>
      </c>
      <c r="AJ158" s="255">
        <f t="shared" si="67"/>
        <v>0</v>
      </c>
    </row>
    <row r="159" spans="1:36" customFormat="1" ht="16.5" thickBot="1">
      <c r="A159" s="2"/>
      <c r="B159" s="561"/>
      <c r="C159" s="454"/>
      <c r="D159" s="37" t="s">
        <v>17</v>
      </c>
      <c r="E159" s="59">
        <f>aurora_data!D829</f>
        <v>1</v>
      </c>
      <c r="F159" s="64">
        <f>aurora_data!E829</f>
        <v>0</v>
      </c>
      <c r="G159" s="64">
        <f>aurora_data!F829</f>
        <v>2</v>
      </c>
      <c r="H159" s="64">
        <f>aurora_data!G829</f>
        <v>5</v>
      </c>
      <c r="I159" s="65">
        <f>aurora_data!H829</f>
        <v>4</v>
      </c>
      <c r="J159" s="59">
        <f>aurora_data!I829</f>
        <v>0</v>
      </c>
      <c r="K159" s="64">
        <f>aurora_data!J829</f>
        <v>1</v>
      </c>
      <c r="L159" s="64">
        <f>aurora_data!K829</f>
        <v>3</v>
      </c>
      <c r="M159" s="64">
        <f>aurora_data!L829</f>
        <v>2</v>
      </c>
      <c r="N159" s="65">
        <f>aurora_data!M829</f>
        <v>6</v>
      </c>
      <c r="O159" s="59">
        <f>aurora_data!N829</f>
        <v>4</v>
      </c>
      <c r="P159" s="64">
        <f>aurora_data!O829</f>
        <v>2</v>
      </c>
      <c r="Q159" s="64">
        <f>aurora_data!P829</f>
        <v>4</v>
      </c>
      <c r="R159" s="65">
        <f>aurora_data!Q829</f>
        <v>2</v>
      </c>
      <c r="S159" s="64">
        <f>aurora_data!R829</f>
        <v>9</v>
      </c>
      <c r="T159" s="64">
        <f>aurora_data!S829</f>
        <v>3</v>
      </c>
      <c r="U159" s="65">
        <f>aurora_data!T429</f>
        <v>0</v>
      </c>
      <c r="V159" s="66"/>
      <c r="W159" s="59">
        <f>IFERROR(aurora_data!U829,0)</f>
        <v>12</v>
      </c>
      <c r="X159" s="70">
        <f t="shared" si="68"/>
        <v>1.3333333333333333</v>
      </c>
      <c r="Y159" s="2"/>
      <c r="AA159" s="452"/>
      <c r="AB159" s="454"/>
      <c r="AC159" s="37" t="s">
        <v>17</v>
      </c>
      <c r="AD159" s="59">
        <f>aurora_data!D829+aurora_data!E829</f>
        <v>1</v>
      </c>
      <c r="AE159" s="64">
        <f>aurora_data!F829</f>
        <v>2</v>
      </c>
      <c r="AF159" s="64">
        <f>aurora_data!G829</f>
        <v>5</v>
      </c>
      <c r="AG159" s="65">
        <f>aurora_data!H829</f>
        <v>4</v>
      </c>
      <c r="AH159" s="351"/>
      <c r="AI159" s="59">
        <f>IFERROR(aurora_data!U829,0)</f>
        <v>12</v>
      </c>
      <c r="AJ159" s="70">
        <f t="shared" si="67"/>
        <v>1.3333333333333333</v>
      </c>
    </row>
    <row r="160" spans="1:36" customFormat="1" ht="16.5" thickBot="1">
      <c r="A160" s="2"/>
      <c r="B160" s="561"/>
      <c r="C160" s="454"/>
      <c r="D160" s="38" t="s">
        <v>343</v>
      </c>
      <c r="E160" s="256">
        <f>aurora_data!D830</f>
        <v>0</v>
      </c>
      <c r="F160" s="257">
        <f>aurora_data!E830</f>
        <v>0</v>
      </c>
      <c r="G160" s="257">
        <f>aurora_data!F830</f>
        <v>0</v>
      </c>
      <c r="H160" s="257">
        <f>aurora_data!G830</f>
        <v>0</v>
      </c>
      <c r="I160" s="258">
        <f>aurora_data!H830</f>
        <v>0</v>
      </c>
      <c r="J160" s="256">
        <f>aurora_data!I830</f>
        <v>0</v>
      </c>
      <c r="K160" s="257">
        <f>aurora_data!J830</f>
        <v>0</v>
      </c>
      <c r="L160" s="257">
        <f>aurora_data!K830</f>
        <v>0</v>
      </c>
      <c r="M160" s="257">
        <f>aurora_data!L830</f>
        <v>0</v>
      </c>
      <c r="N160" s="258">
        <f>aurora_data!M830</f>
        <v>0</v>
      </c>
      <c r="O160" s="256">
        <f>aurora_data!N830</f>
        <v>0</v>
      </c>
      <c r="P160" s="257">
        <f>aurora_data!O830</f>
        <v>0</v>
      </c>
      <c r="Q160" s="257">
        <f>aurora_data!P830</f>
        <v>0</v>
      </c>
      <c r="R160" s="258">
        <f>aurora_data!Q830</f>
        <v>0</v>
      </c>
      <c r="S160" s="257">
        <f>aurora_data!R830</f>
        <v>0</v>
      </c>
      <c r="T160" s="257">
        <f>aurora_data!S830</f>
        <v>0</v>
      </c>
      <c r="U160" s="259">
        <f>aurora_data!T430</f>
        <v>0</v>
      </c>
      <c r="V160" s="260"/>
      <c r="W160" s="256">
        <f>IFERROR(aurora_data!U830,0)</f>
        <v>0</v>
      </c>
      <c r="X160" s="261">
        <f t="shared" si="68"/>
        <v>0</v>
      </c>
      <c r="Y160" s="2"/>
      <c r="AA160" s="452"/>
      <c r="AB160" s="454"/>
      <c r="AC160" s="38" t="s">
        <v>343</v>
      </c>
      <c r="AD160" s="256">
        <f>aurora_data!D830+aurora_data!E830</f>
        <v>0</v>
      </c>
      <c r="AE160" s="257">
        <f>aurora_data!F830</f>
        <v>0</v>
      </c>
      <c r="AF160" s="257">
        <f>aurora_data!G830</f>
        <v>0</v>
      </c>
      <c r="AG160" s="258">
        <f>aurora_data!H830</f>
        <v>0</v>
      </c>
      <c r="AH160" s="352"/>
      <c r="AI160" s="256">
        <f>IFERROR(aurora_data!U830,0)</f>
        <v>0</v>
      </c>
      <c r="AJ160" s="261">
        <f t="shared" si="67"/>
        <v>0</v>
      </c>
    </row>
    <row r="161" spans="1:36" customFormat="1" ht="16.5" hidden="1" outlineLevel="1" thickBot="1">
      <c r="A161" s="2"/>
      <c r="B161" s="147"/>
      <c r="C161" s="227"/>
      <c r="D161" s="199" t="s">
        <v>344</v>
      </c>
      <c r="E161" s="276">
        <f>(E163+$E$9)*($W152)</f>
        <v>0.54</v>
      </c>
      <c r="F161" s="277">
        <f>(F163+$E$9)*($W152)</f>
        <v>0.76</v>
      </c>
      <c r="G161" s="277">
        <f>(G163+$E$9)*($W152)</f>
        <v>2</v>
      </c>
      <c r="H161" s="277">
        <f>(H163+$E$9)*($W152)</f>
        <v>3.02</v>
      </c>
      <c r="I161" s="277">
        <f>(I163+$E$9)*($W152)</f>
        <v>3.58</v>
      </c>
      <c r="J161" s="294"/>
      <c r="K161" s="295"/>
      <c r="L161" s="295"/>
      <c r="M161" s="295"/>
      <c r="N161" s="296"/>
      <c r="O161" s="294"/>
      <c r="P161" s="295"/>
      <c r="Q161" s="295"/>
      <c r="R161" s="296"/>
      <c r="S161" s="295"/>
      <c r="T161" s="295"/>
      <c r="U161" s="297"/>
      <c r="V161" s="298"/>
      <c r="W161" s="294"/>
      <c r="X161" s="299"/>
      <c r="Y161" s="2"/>
      <c r="AA161" s="147"/>
      <c r="AB161" s="227"/>
      <c r="AC161" s="199" t="s">
        <v>344</v>
      </c>
      <c r="AD161" s="294"/>
      <c r="AE161" s="295"/>
      <c r="AF161" s="295"/>
      <c r="AG161" s="296"/>
      <c r="AH161" s="350"/>
      <c r="AI161" s="294"/>
      <c r="AJ161" s="299"/>
    </row>
    <row r="162" spans="1:36" customFormat="1" ht="16.5" hidden="1" outlineLevel="1" thickBot="1">
      <c r="A162" s="2"/>
      <c r="B162" s="147"/>
      <c r="C162" s="227"/>
      <c r="D162" s="199" t="s">
        <v>345</v>
      </c>
      <c r="E162" s="276">
        <f>IF(ROUND(((E163-$E$9)*($W152))+0.25,0) &lt;=0,1,((E163-$E$9)*($W152))+0.25)</f>
        <v>1</v>
      </c>
      <c r="F162" s="277">
        <f>IF(ROUND(((F163-$E$9)*($W152))+0.25,0) &lt;=0,1,((F163-$E$9)*($W152))+0.25)</f>
        <v>0.64999999999999991</v>
      </c>
      <c r="G162" s="277">
        <f t="shared" ref="G162:I162" si="69">IF(ROUND(((G163-$E$9)*($W152))+0.25,0) &lt;=0,1,((G163-$E$9)*($W152))+0.25)</f>
        <v>1.8900000000000001</v>
      </c>
      <c r="H162" s="277">
        <f t="shared" si="69"/>
        <v>2.9099999999999997</v>
      </c>
      <c r="I162" s="277">
        <f t="shared" si="69"/>
        <v>3.4699999999999998</v>
      </c>
      <c r="J162" s="294"/>
      <c r="K162" s="295"/>
      <c r="L162" s="295"/>
      <c r="M162" s="295"/>
      <c r="N162" s="296"/>
      <c r="O162" s="294"/>
      <c r="P162" s="295"/>
      <c r="Q162" s="295"/>
      <c r="R162" s="296"/>
      <c r="S162" s="295"/>
      <c r="T162" s="295"/>
      <c r="U162" s="297"/>
      <c r="V162" s="298"/>
      <c r="W162" s="294"/>
      <c r="X162" s="299"/>
      <c r="Y162" s="2"/>
      <c r="AA162" s="147"/>
      <c r="AB162" s="227"/>
      <c r="AC162" s="199" t="s">
        <v>345</v>
      </c>
      <c r="AD162" s="294"/>
      <c r="AE162" s="295"/>
      <c r="AF162" s="295"/>
      <c r="AG162" s="296"/>
      <c r="AH162" s="350"/>
      <c r="AI162" s="294"/>
      <c r="AJ162" s="299"/>
    </row>
    <row r="163" spans="1:36" customFormat="1" ht="16.5" hidden="1" outlineLevel="1" thickBot="1">
      <c r="A163" s="2"/>
      <c r="B163" s="147"/>
      <c r="C163" s="227"/>
      <c r="D163" s="95" t="s">
        <v>346</v>
      </c>
      <c r="E163" s="414">
        <f>IFERROR(E152/$W152,0)</f>
        <v>0.04</v>
      </c>
      <c r="F163" s="415">
        <f t="shared" ref="F163" si="70">IFERROR(F152/$W152,0)</f>
        <v>6.4444444444444443E-2</v>
      </c>
      <c r="G163" s="415">
        <f>IFERROR(G152/$W152,0)</f>
        <v>0.20222222222222222</v>
      </c>
      <c r="H163" s="415">
        <f t="shared" ref="H163" si="71">IFERROR(H152/$W152,0)</f>
        <v>0.31555555555555553</v>
      </c>
      <c r="I163" s="415">
        <f>IFERROR(I152/$W152,0)</f>
        <v>0.37777777777777777</v>
      </c>
      <c r="J163" s="294"/>
      <c r="K163" s="295"/>
      <c r="L163" s="295"/>
      <c r="M163" s="295"/>
      <c r="N163" s="296"/>
      <c r="O163" s="294"/>
      <c r="P163" s="295"/>
      <c r="Q163" s="295"/>
      <c r="R163" s="296"/>
      <c r="S163" s="295"/>
      <c r="T163" s="295"/>
      <c r="U163" s="297"/>
      <c r="V163" s="298"/>
      <c r="W163" s="294"/>
      <c r="X163" s="299"/>
      <c r="Y163" s="2"/>
      <c r="AA163" s="147"/>
      <c r="AB163" s="227"/>
      <c r="AC163" s="95" t="s">
        <v>346</v>
      </c>
      <c r="AD163" s="294"/>
      <c r="AE163" s="295"/>
      <c r="AF163" s="295"/>
      <c r="AG163" s="296"/>
      <c r="AH163" s="350"/>
      <c r="AI163" s="294"/>
      <c r="AJ163" s="299"/>
    </row>
    <row r="164" spans="1:36" customFormat="1" ht="16.5" hidden="1" outlineLevel="1" thickBot="1">
      <c r="A164" s="2"/>
      <c r="B164" s="147"/>
      <c r="C164" s="227"/>
      <c r="D164" s="180" t="s">
        <v>347</v>
      </c>
      <c r="E164" s="414">
        <f>IFERROR(E153/$W152,0)</f>
        <v>0.1111111111111111</v>
      </c>
      <c r="F164" s="415">
        <f t="shared" ref="F164:I164" si="72">IFERROR(F153/$W152,0)</f>
        <v>0</v>
      </c>
      <c r="G164" s="415">
        <f t="shared" si="72"/>
        <v>0.1111111111111111</v>
      </c>
      <c r="H164" s="415">
        <f t="shared" si="72"/>
        <v>0.55555555555555558</v>
      </c>
      <c r="I164" s="415">
        <f t="shared" si="72"/>
        <v>0.44444444444444442</v>
      </c>
      <c r="J164" s="294"/>
      <c r="K164" s="295"/>
      <c r="L164" s="295"/>
      <c r="M164" s="295"/>
      <c r="N164" s="296"/>
      <c r="O164" s="294"/>
      <c r="P164" s="295"/>
      <c r="Q164" s="295"/>
      <c r="R164" s="296"/>
      <c r="S164" s="295"/>
      <c r="T164" s="295"/>
      <c r="U164" s="297"/>
      <c r="V164" s="298"/>
      <c r="W164" s="294"/>
      <c r="X164" s="299"/>
      <c r="Y164" s="2"/>
      <c r="AA164" s="147"/>
      <c r="AB164" s="227"/>
      <c r="AC164" s="180" t="s">
        <v>347</v>
      </c>
      <c r="AD164" s="294"/>
      <c r="AE164" s="295"/>
      <c r="AF164" s="295"/>
      <c r="AG164" s="296"/>
      <c r="AH164" s="350"/>
      <c r="AI164" s="294"/>
      <c r="AJ164" s="299"/>
    </row>
    <row r="165" spans="1:36" customFormat="1" ht="16.5" hidden="1" outlineLevel="1" thickBot="1">
      <c r="A165" s="2"/>
      <c r="B165" s="147"/>
      <c r="C165" s="227"/>
      <c r="D165" s="180" t="s">
        <v>348</v>
      </c>
      <c r="E165" s="414">
        <f>E164-E163</f>
        <v>7.1111111111111097E-2</v>
      </c>
      <c r="F165" s="415">
        <f t="shared" ref="F165:I165" si="73">F164-F163</f>
        <v>-6.4444444444444443E-2</v>
      </c>
      <c r="G165" s="415">
        <f t="shared" si="73"/>
        <v>-9.1111111111111115E-2</v>
      </c>
      <c r="H165" s="415">
        <f t="shared" si="73"/>
        <v>0.24000000000000005</v>
      </c>
      <c r="I165" s="415">
        <f t="shared" si="73"/>
        <v>6.6666666666666652E-2</v>
      </c>
      <c r="J165" s="294"/>
      <c r="K165" s="295"/>
      <c r="L165" s="295"/>
      <c r="M165" s="295"/>
      <c r="N165" s="296"/>
      <c r="O165" s="294"/>
      <c r="P165" s="295"/>
      <c r="Q165" s="295"/>
      <c r="R165" s="296"/>
      <c r="S165" s="295"/>
      <c r="T165" s="295"/>
      <c r="U165" s="297"/>
      <c r="V165" s="298"/>
      <c r="W165" s="294"/>
      <c r="X165" s="299"/>
      <c r="Y165" s="2"/>
      <c r="AA165" s="147"/>
      <c r="AB165" s="227"/>
      <c r="AC165" s="180" t="s">
        <v>348</v>
      </c>
      <c r="AD165" s="294"/>
      <c r="AE165" s="295"/>
      <c r="AF165" s="295"/>
      <c r="AG165" s="296"/>
      <c r="AH165" s="350"/>
      <c r="AI165" s="294"/>
      <c r="AJ165" s="299"/>
    </row>
    <row r="166" spans="1:36" customFormat="1" collapsed="1">
      <c r="A166" s="2"/>
      <c r="B166" s="451" t="s">
        <v>338</v>
      </c>
      <c r="C166" s="449" t="s">
        <v>150</v>
      </c>
      <c r="D166" s="34" t="s">
        <v>306</v>
      </c>
      <c r="E166" s="39">
        <f>aurora_data!D831</f>
        <v>3.32</v>
      </c>
      <c r="F166" s="40">
        <f>aurora_data!E831</f>
        <v>5.9</v>
      </c>
      <c r="G166" s="40">
        <f>aurora_data!F831</f>
        <v>19.940000000000001</v>
      </c>
      <c r="H166" s="40">
        <f>aurora_data!G831</f>
        <v>31.94</v>
      </c>
      <c r="I166" s="41">
        <f>aurora_data!H831</f>
        <v>38.9</v>
      </c>
      <c r="J166" s="39">
        <f>aurora_data!I831</f>
        <v>11</v>
      </c>
      <c r="K166" s="40">
        <f>aurora_data!J831</f>
        <v>11</v>
      </c>
      <c r="L166" s="40">
        <f>aurora_data!K831</f>
        <v>11</v>
      </c>
      <c r="M166" s="40">
        <f>aurora_data!L831</f>
        <v>11</v>
      </c>
      <c r="N166" s="41">
        <f>aurora_data!M831</f>
        <v>11</v>
      </c>
      <c r="O166" s="39">
        <f>aurora_data!N831</f>
        <v>11</v>
      </c>
      <c r="P166" s="40">
        <f>aurora_data!O831</f>
        <v>11</v>
      </c>
      <c r="Q166" s="40">
        <f>aurora_data!P831</f>
        <v>11</v>
      </c>
      <c r="R166" s="41">
        <f>aurora_data!Q831</f>
        <v>11</v>
      </c>
      <c r="S166" s="40">
        <f>aurora_data!R831</f>
        <v>11</v>
      </c>
      <c r="T166" s="40">
        <f>aurora_data!S831</f>
        <v>11</v>
      </c>
      <c r="U166" s="41">
        <f>aurora_data!T431</f>
        <v>0</v>
      </c>
      <c r="V166" s="61"/>
      <c r="W166" s="39">
        <f>IFERROR(aurora_data!U831,0)</f>
        <v>100</v>
      </c>
      <c r="X166" s="69">
        <f>IFERROR(W166/$W$166,0)</f>
        <v>1</v>
      </c>
      <c r="Y166" s="2"/>
      <c r="AA166" s="451" t="s">
        <v>338</v>
      </c>
      <c r="AB166" s="449" t="s">
        <v>150</v>
      </c>
      <c r="AC166" s="34" t="s">
        <v>306</v>
      </c>
      <c r="AD166" s="338">
        <v>22</v>
      </c>
      <c r="AE166" s="337">
        <v>22</v>
      </c>
      <c r="AF166" s="337">
        <v>31</v>
      </c>
      <c r="AG166" s="358">
        <v>28</v>
      </c>
      <c r="AH166" s="350"/>
      <c r="AI166" s="39">
        <f>IFERROR(aurora_data!U831,0)</f>
        <v>100</v>
      </c>
      <c r="AJ166" s="69">
        <f t="shared" ref="AJ166:AJ174" si="74">IFERROR(AI166/$AI$166,0)</f>
        <v>1</v>
      </c>
    </row>
    <row r="167" spans="1:36" customFormat="1" ht="16.5" customHeight="1">
      <c r="A167" s="2"/>
      <c r="B167" s="452"/>
      <c r="C167" s="450"/>
      <c r="D167" s="35" t="s">
        <v>339</v>
      </c>
      <c r="E167" s="113">
        <f>aurora_data!D832</f>
        <v>7</v>
      </c>
      <c r="F167" s="253">
        <f>aurora_data!E832</f>
        <v>11</v>
      </c>
      <c r="G167" s="253">
        <f>aurora_data!F832</f>
        <v>20</v>
      </c>
      <c r="H167" s="253">
        <f>aurora_data!G832</f>
        <v>29</v>
      </c>
      <c r="I167" s="254">
        <f>aurora_data!H832</f>
        <v>30</v>
      </c>
      <c r="J167" s="113">
        <f>aurora_data!I832</f>
        <v>7</v>
      </c>
      <c r="K167" s="253">
        <f>aurora_data!J832</f>
        <v>15</v>
      </c>
      <c r="L167" s="253">
        <f>aurora_data!K832</f>
        <v>20</v>
      </c>
      <c r="M167" s="253">
        <f>aurora_data!L832</f>
        <v>20</v>
      </c>
      <c r="N167" s="254">
        <f>aurora_data!M832</f>
        <v>35</v>
      </c>
      <c r="O167" s="113">
        <f>aurora_data!N832</f>
        <v>27</v>
      </c>
      <c r="P167" s="253">
        <f>aurora_data!O832</f>
        <v>18</v>
      </c>
      <c r="Q167" s="253">
        <f>aurora_data!P832</f>
        <v>32</v>
      </c>
      <c r="R167" s="254">
        <f>aurora_data!Q832</f>
        <v>20</v>
      </c>
      <c r="S167" s="253">
        <f>aurora_data!R832</f>
        <v>60</v>
      </c>
      <c r="T167" s="253">
        <f>aurora_data!S832</f>
        <v>37</v>
      </c>
      <c r="U167" s="254">
        <f>aurora_data!T432</f>
        <v>0</v>
      </c>
      <c r="V167" s="61"/>
      <c r="W167" s="113">
        <f>IFERROR(aurora_data!U832,0)</f>
        <v>97</v>
      </c>
      <c r="X167" s="255">
        <f t="shared" ref="X167:X174" si="75">IFERROR(W167/$W$166,0)</f>
        <v>0.97</v>
      </c>
      <c r="Y167" s="2"/>
      <c r="AA167" s="452"/>
      <c r="AB167" s="450"/>
      <c r="AC167" s="35" t="s">
        <v>339</v>
      </c>
      <c r="AD167" s="113">
        <f>aurora_data!D832+aurora_data!E832</f>
        <v>18</v>
      </c>
      <c r="AE167" s="253">
        <f>aurora_data!F832</f>
        <v>20</v>
      </c>
      <c r="AF167" s="253">
        <f>aurora_data!G832</f>
        <v>29</v>
      </c>
      <c r="AG167" s="254">
        <f>aurora_data!H832</f>
        <v>30</v>
      </c>
      <c r="AH167" s="350"/>
      <c r="AI167" s="359">
        <f>IFERROR(aurora_data!U832,0)</f>
        <v>97</v>
      </c>
      <c r="AJ167" s="255">
        <f t="shared" si="74"/>
        <v>0.97</v>
      </c>
    </row>
    <row r="168" spans="1:36" customFormat="1" ht="16.5" customHeight="1">
      <c r="A168" s="2"/>
      <c r="B168" s="452"/>
      <c r="C168" s="450"/>
      <c r="D168" s="35" t="s">
        <v>291</v>
      </c>
      <c r="E168" s="113">
        <f>aurora_data!D833</f>
        <v>1</v>
      </c>
      <c r="F168" s="253">
        <f>aurora_data!E833</f>
        <v>0</v>
      </c>
      <c r="G168" s="253">
        <f>aurora_data!F833</f>
        <v>4</v>
      </c>
      <c r="H168" s="253">
        <f>aurora_data!G833</f>
        <v>12</v>
      </c>
      <c r="I168" s="254">
        <f>aurora_data!H833</f>
        <v>15</v>
      </c>
      <c r="J168" s="113">
        <f>aurora_data!I833</f>
        <v>1</v>
      </c>
      <c r="K168" s="253">
        <f>aurora_data!J833</f>
        <v>3</v>
      </c>
      <c r="L168" s="253">
        <f>aurora_data!K833</f>
        <v>3</v>
      </c>
      <c r="M168" s="253">
        <f>aurora_data!L833</f>
        <v>2</v>
      </c>
      <c r="N168" s="254">
        <f>aurora_data!M833</f>
        <v>23</v>
      </c>
      <c r="O168" s="113">
        <f>aurora_data!N833</f>
        <v>16</v>
      </c>
      <c r="P168" s="253">
        <f>aurora_data!O833</f>
        <v>1</v>
      </c>
      <c r="Q168" s="253">
        <f>aurora_data!P833</f>
        <v>11</v>
      </c>
      <c r="R168" s="254">
        <f>aurora_data!Q833</f>
        <v>4</v>
      </c>
      <c r="S168" s="253">
        <f>aurora_data!R833</f>
        <v>19</v>
      </c>
      <c r="T168" s="253">
        <f>aurora_data!S833</f>
        <v>13</v>
      </c>
      <c r="U168" s="254">
        <f>aurora_data!T433</f>
        <v>0</v>
      </c>
      <c r="V168" s="61"/>
      <c r="W168" s="113">
        <f>IFERROR(aurora_data!U833,0)</f>
        <v>32</v>
      </c>
      <c r="X168" s="255">
        <f t="shared" si="75"/>
        <v>0.32</v>
      </c>
      <c r="Y168" s="2"/>
      <c r="AA168" s="452"/>
      <c r="AB168" s="450"/>
      <c r="AC168" s="35" t="s">
        <v>291</v>
      </c>
      <c r="AD168" s="113">
        <f>aurora_data!D833+aurora_data!E833</f>
        <v>1</v>
      </c>
      <c r="AE168" s="253">
        <f>aurora_data!F833</f>
        <v>4</v>
      </c>
      <c r="AF168" s="253">
        <f>aurora_data!G833</f>
        <v>12</v>
      </c>
      <c r="AG168" s="254">
        <f>aurora_data!H833</f>
        <v>15</v>
      </c>
      <c r="AH168" s="350"/>
      <c r="AI168" s="113">
        <f>IFERROR(aurora_data!U833,0)</f>
        <v>32</v>
      </c>
      <c r="AJ168" s="255">
        <f t="shared" si="74"/>
        <v>0.32</v>
      </c>
    </row>
    <row r="169" spans="1:36" customFormat="1">
      <c r="A169" s="2"/>
      <c r="B169" s="452"/>
      <c r="C169" s="450"/>
      <c r="D169" s="35" t="s">
        <v>340</v>
      </c>
      <c r="E169" s="113">
        <f>aurora_data!D834</f>
        <v>0</v>
      </c>
      <c r="F169" s="253">
        <f>aurora_data!E834</f>
        <v>0</v>
      </c>
      <c r="G169" s="253">
        <f>aurora_data!F834</f>
        <v>1</v>
      </c>
      <c r="H169" s="253">
        <f>aurora_data!G834</f>
        <v>0</v>
      </c>
      <c r="I169" s="254">
        <f>aurora_data!H834</f>
        <v>0</v>
      </c>
      <c r="J169" s="113">
        <f>aurora_data!I834</f>
        <v>0</v>
      </c>
      <c r="K169" s="253">
        <f>aurora_data!J834</f>
        <v>0</v>
      </c>
      <c r="L169" s="253">
        <f>aurora_data!K834</f>
        <v>1</v>
      </c>
      <c r="M169" s="253">
        <f>aurora_data!L834</f>
        <v>0</v>
      </c>
      <c r="N169" s="254">
        <f>aurora_data!M834</f>
        <v>0</v>
      </c>
      <c r="O169" s="113">
        <f>aurora_data!N834</f>
        <v>0</v>
      </c>
      <c r="P169" s="253">
        <f>aurora_data!O834</f>
        <v>0</v>
      </c>
      <c r="Q169" s="253">
        <f>aurora_data!P834</f>
        <v>1</v>
      </c>
      <c r="R169" s="254">
        <f>aurora_data!Q834</f>
        <v>0</v>
      </c>
      <c r="S169" s="253">
        <f>aurora_data!R834</f>
        <v>1</v>
      </c>
      <c r="T169" s="253">
        <f>aurora_data!S834</f>
        <v>0</v>
      </c>
      <c r="U169" s="254">
        <f>aurora_data!T434</f>
        <v>0</v>
      </c>
      <c r="V169" s="61"/>
      <c r="W169" s="113">
        <f>IFERROR(aurora_data!U834,0)</f>
        <v>1</v>
      </c>
      <c r="X169" s="255">
        <f t="shared" si="75"/>
        <v>0.01</v>
      </c>
      <c r="Y169" s="2"/>
      <c r="AA169" s="452"/>
      <c r="AB169" s="450"/>
      <c r="AC169" s="35" t="s">
        <v>340</v>
      </c>
      <c r="AD169" s="113">
        <f>aurora_data!D834+aurora_data!E834</f>
        <v>0</v>
      </c>
      <c r="AE169" s="253">
        <f>aurora_data!F834</f>
        <v>1</v>
      </c>
      <c r="AF169" s="253">
        <f>aurora_data!G834</f>
        <v>0</v>
      </c>
      <c r="AG169" s="254">
        <f>aurora_data!H834</f>
        <v>0</v>
      </c>
      <c r="AH169" s="350"/>
      <c r="AI169" s="113">
        <f>IFERROR(aurora_data!U834,0)</f>
        <v>1</v>
      </c>
      <c r="AJ169" s="255">
        <f t="shared" si="74"/>
        <v>0.01</v>
      </c>
    </row>
    <row r="170" spans="1:36" customFormat="1">
      <c r="A170" s="2"/>
      <c r="B170" s="452"/>
      <c r="C170" s="450"/>
      <c r="D170" s="35" t="s">
        <v>298</v>
      </c>
      <c r="E170" s="113">
        <f>aurora_data!D835</f>
        <v>1</v>
      </c>
      <c r="F170" s="253">
        <f>aurora_data!E835</f>
        <v>1</v>
      </c>
      <c r="G170" s="253">
        <f>aurora_data!F835</f>
        <v>2</v>
      </c>
      <c r="H170" s="253">
        <f>aurora_data!G835</f>
        <v>0</v>
      </c>
      <c r="I170" s="254">
        <f>aurora_data!H835</f>
        <v>0</v>
      </c>
      <c r="J170" s="113">
        <f>aurora_data!I835</f>
        <v>0</v>
      </c>
      <c r="K170" s="253">
        <f>aurora_data!J835</f>
        <v>1</v>
      </c>
      <c r="L170" s="253">
        <f>aurora_data!K835</f>
        <v>2</v>
      </c>
      <c r="M170" s="253">
        <f>aurora_data!L835</f>
        <v>0</v>
      </c>
      <c r="N170" s="254">
        <f>aurora_data!M835</f>
        <v>1</v>
      </c>
      <c r="O170" s="113">
        <f>aurora_data!N835</f>
        <v>1</v>
      </c>
      <c r="P170" s="253">
        <f>aurora_data!O835</f>
        <v>0</v>
      </c>
      <c r="Q170" s="253">
        <f>aurora_data!P835</f>
        <v>1</v>
      </c>
      <c r="R170" s="254">
        <f>aurora_data!Q835</f>
        <v>2</v>
      </c>
      <c r="S170" s="253">
        <f>aurora_data!R835</f>
        <v>0</v>
      </c>
      <c r="T170" s="253">
        <f>aurora_data!S835</f>
        <v>4</v>
      </c>
      <c r="U170" s="254">
        <f>aurora_data!T435</f>
        <v>0</v>
      </c>
      <c r="V170" s="61"/>
      <c r="W170" s="113">
        <f>IFERROR(aurora_data!U835,0)</f>
        <v>4</v>
      </c>
      <c r="X170" s="255">
        <f t="shared" si="75"/>
        <v>0.04</v>
      </c>
      <c r="Y170" s="2"/>
      <c r="AA170" s="452"/>
      <c r="AB170" s="450"/>
      <c r="AC170" s="35" t="s">
        <v>298</v>
      </c>
      <c r="AD170" s="113">
        <f>aurora_data!D835+aurora_data!E835</f>
        <v>2</v>
      </c>
      <c r="AE170" s="253">
        <f>aurora_data!F835</f>
        <v>2</v>
      </c>
      <c r="AF170" s="253">
        <f>aurora_data!G835</f>
        <v>0</v>
      </c>
      <c r="AG170" s="254">
        <f>aurora_data!H835</f>
        <v>0</v>
      </c>
      <c r="AH170" s="350"/>
      <c r="AI170" s="113">
        <f>IFERROR(aurora_data!U835,0)</f>
        <v>4</v>
      </c>
      <c r="AJ170" s="255">
        <f t="shared" si="74"/>
        <v>0.04</v>
      </c>
    </row>
    <row r="171" spans="1:36" customFormat="1" ht="16.5" customHeight="1">
      <c r="A171" s="2"/>
      <c r="B171" s="452"/>
      <c r="C171" s="450"/>
      <c r="D171" s="35" t="s">
        <v>341</v>
      </c>
      <c r="E171" s="113">
        <f>aurora_data!D836</f>
        <v>1</v>
      </c>
      <c r="F171" s="253">
        <f>aurora_data!E836</f>
        <v>1</v>
      </c>
      <c r="G171" s="253">
        <f>aurora_data!F836</f>
        <v>1</v>
      </c>
      <c r="H171" s="253">
        <f>aurora_data!G836</f>
        <v>0</v>
      </c>
      <c r="I171" s="254">
        <f>aurora_data!H836</f>
        <v>0</v>
      </c>
      <c r="J171" s="113">
        <f>aurora_data!I836</f>
        <v>0</v>
      </c>
      <c r="K171" s="253">
        <f>aurora_data!J836</f>
        <v>0</v>
      </c>
      <c r="L171" s="253">
        <f>aurora_data!K836</f>
        <v>2</v>
      </c>
      <c r="M171" s="253">
        <f>aurora_data!L836</f>
        <v>0</v>
      </c>
      <c r="N171" s="254">
        <f>aurora_data!M836</f>
        <v>1</v>
      </c>
      <c r="O171" s="113">
        <f>aurora_data!N836</f>
        <v>0</v>
      </c>
      <c r="P171" s="253">
        <f>aurora_data!O836</f>
        <v>1</v>
      </c>
      <c r="Q171" s="253">
        <f>aurora_data!P836</f>
        <v>0</v>
      </c>
      <c r="R171" s="254">
        <f>aurora_data!Q836</f>
        <v>2</v>
      </c>
      <c r="S171" s="253">
        <f>aurora_data!R836</f>
        <v>3</v>
      </c>
      <c r="T171" s="253">
        <f>aurora_data!S836</f>
        <v>0</v>
      </c>
      <c r="U171" s="254">
        <f>aurora_data!T436</f>
        <v>0</v>
      </c>
      <c r="V171" s="61"/>
      <c r="W171" s="113">
        <f>IFERROR(aurora_data!U836,0)</f>
        <v>3</v>
      </c>
      <c r="X171" s="255">
        <f t="shared" si="75"/>
        <v>0.03</v>
      </c>
      <c r="Y171" s="2"/>
      <c r="AA171" s="452"/>
      <c r="AB171" s="450"/>
      <c r="AC171" s="35" t="s">
        <v>341</v>
      </c>
      <c r="AD171" s="113">
        <f>aurora_data!D836+aurora_data!E836</f>
        <v>2</v>
      </c>
      <c r="AE171" s="253">
        <f>aurora_data!F836</f>
        <v>1</v>
      </c>
      <c r="AF171" s="253">
        <f>aurora_data!G836</f>
        <v>0</v>
      </c>
      <c r="AG171" s="254">
        <f>aurora_data!H836</f>
        <v>0</v>
      </c>
      <c r="AH171" s="350"/>
      <c r="AI171" s="113">
        <f>IFERROR(aurora_data!U836,0)</f>
        <v>3</v>
      </c>
      <c r="AJ171" s="255">
        <f t="shared" si="74"/>
        <v>0.03</v>
      </c>
    </row>
    <row r="172" spans="1:36" customFormat="1" ht="16.5" customHeight="1" thickBot="1">
      <c r="A172" s="2"/>
      <c r="B172" s="452"/>
      <c r="C172" s="450"/>
      <c r="D172" s="35" t="s">
        <v>342</v>
      </c>
      <c r="E172" s="113">
        <f>aurora_data!D837</f>
        <v>0</v>
      </c>
      <c r="F172" s="253">
        <f>aurora_data!E837</f>
        <v>0</v>
      </c>
      <c r="G172" s="253">
        <f>aurora_data!F837</f>
        <v>0</v>
      </c>
      <c r="H172" s="253">
        <f>aurora_data!G837</f>
        <v>0</v>
      </c>
      <c r="I172" s="254">
        <f>aurora_data!H837</f>
        <v>0</v>
      </c>
      <c r="J172" s="113">
        <f>aurora_data!I837</f>
        <v>0</v>
      </c>
      <c r="K172" s="253">
        <f>aurora_data!J837</f>
        <v>0</v>
      </c>
      <c r="L172" s="253">
        <f>aurora_data!K837</f>
        <v>0</v>
      </c>
      <c r="M172" s="253">
        <f>aurora_data!L837</f>
        <v>0</v>
      </c>
      <c r="N172" s="254">
        <f>aurora_data!M837</f>
        <v>0</v>
      </c>
      <c r="O172" s="113">
        <f>aurora_data!N837</f>
        <v>0</v>
      </c>
      <c r="P172" s="253">
        <f>aurora_data!O837</f>
        <v>0</v>
      </c>
      <c r="Q172" s="253">
        <f>aurora_data!P837</f>
        <v>0</v>
      </c>
      <c r="R172" s="254">
        <f>aurora_data!Q837</f>
        <v>0</v>
      </c>
      <c r="S172" s="253">
        <f>aurora_data!R837</f>
        <v>0</v>
      </c>
      <c r="T172" s="253">
        <f>aurora_data!S837</f>
        <v>0</v>
      </c>
      <c r="U172" s="254">
        <f>aurora_data!T437</f>
        <v>0</v>
      </c>
      <c r="V172" s="61"/>
      <c r="W172" s="113">
        <f>IFERROR(aurora_data!U837,0)</f>
        <v>0</v>
      </c>
      <c r="X172" s="255">
        <f t="shared" si="75"/>
        <v>0</v>
      </c>
      <c r="Y172" s="2"/>
      <c r="AA172" s="452"/>
      <c r="AB172" s="450"/>
      <c r="AC172" s="35" t="s">
        <v>342</v>
      </c>
      <c r="AD172" s="113">
        <f>aurora_data!D837+aurora_data!E837</f>
        <v>0</v>
      </c>
      <c r="AE172" s="253">
        <f>aurora_data!F837</f>
        <v>0</v>
      </c>
      <c r="AF172" s="253">
        <f>aurora_data!G837</f>
        <v>0</v>
      </c>
      <c r="AG172" s="254">
        <f>aurora_data!H837</f>
        <v>0</v>
      </c>
      <c r="AH172" s="350"/>
      <c r="AI172" s="113">
        <f>IFERROR(aurora_data!U837,0)</f>
        <v>0</v>
      </c>
      <c r="AJ172" s="255">
        <f t="shared" si="74"/>
        <v>0</v>
      </c>
    </row>
    <row r="173" spans="1:36" customFormat="1" ht="16.5" customHeight="1" thickBot="1">
      <c r="A173" s="2"/>
      <c r="B173" s="452"/>
      <c r="C173" s="450"/>
      <c r="D173" s="37" t="s">
        <v>17</v>
      </c>
      <c r="E173" s="59">
        <f>aurora_data!D838</f>
        <v>10</v>
      </c>
      <c r="F173" s="64">
        <f>aurora_data!E838</f>
        <v>13</v>
      </c>
      <c r="G173" s="64">
        <f>aurora_data!F838</f>
        <v>28</v>
      </c>
      <c r="H173" s="64">
        <f>aurora_data!G838</f>
        <v>41</v>
      </c>
      <c r="I173" s="65">
        <f>aurora_data!H838</f>
        <v>45</v>
      </c>
      <c r="J173" s="59">
        <f>aurora_data!I838</f>
        <v>8</v>
      </c>
      <c r="K173" s="64">
        <f>aurora_data!J838</f>
        <v>19</v>
      </c>
      <c r="L173" s="64">
        <f>aurora_data!K838</f>
        <v>28</v>
      </c>
      <c r="M173" s="64">
        <f>aurora_data!L838</f>
        <v>22</v>
      </c>
      <c r="N173" s="65">
        <f>aurora_data!M838</f>
        <v>60</v>
      </c>
      <c r="O173" s="59">
        <f>aurora_data!N838</f>
        <v>44</v>
      </c>
      <c r="P173" s="64">
        <f>aurora_data!O838</f>
        <v>20</v>
      </c>
      <c r="Q173" s="64">
        <f>aurora_data!P838</f>
        <v>45</v>
      </c>
      <c r="R173" s="65">
        <f>aurora_data!Q838</f>
        <v>28</v>
      </c>
      <c r="S173" s="64">
        <f>aurora_data!R838</f>
        <v>83</v>
      </c>
      <c r="T173" s="64">
        <f>aurora_data!S838</f>
        <v>54</v>
      </c>
      <c r="U173" s="65">
        <f>aurora_data!T438</f>
        <v>0</v>
      </c>
      <c r="V173" s="66"/>
      <c r="W173" s="59">
        <f>IFERROR(aurora_data!U838,0)</f>
        <v>137</v>
      </c>
      <c r="X173" s="70">
        <f t="shared" si="75"/>
        <v>1.37</v>
      </c>
      <c r="Y173" s="2"/>
      <c r="AA173" s="452"/>
      <c r="AB173" s="450"/>
      <c r="AC173" s="37" t="s">
        <v>17</v>
      </c>
      <c r="AD173" s="59">
        <f>aurora_data!D838+aurora_data!E838</f>
        <v>23</v>
      </c>
      <c r="AE173" s="64">
        <f>aurora_data!F838</f>
        <v>28</v>
      </c>
      <c r="AF173" s="64">
        <f>aurora_data!G838</f>
        <v>41</v>
      </c>
      <c r="AG173" s="65">
        <f>aurora_data!H838</f>
        <v>45</v>
      </c>
      <c r="AH173" s="351"/>
      <c r="AI173" s="59">
        <f>IFERROR(aurora_data!U838,0)</f>
        <v>137</v>
      </c>
      <c r="AJ173" s="70">
        <f t="shared" si="74"/>
        <v>1.37</v>
      </c>
    </row>
    <row r="174" spans="1:36" customFormat="1" ht="16.5" thickBot="1">
      <c r="A174" s="2"/>
      <c r="B174" s="456"/>
      <c r="C174" s="567"/>
      <c r="D174" s="38" t="s">
        <v>343</v>
      </c>
      <c r="E174" s="256">
        <f>aurora_data!D839</f>
        <v>0</v>
      </c>
      <c r="F174" s="257">
        <f>aurora_data!E839</f>
        <v>0</v>
      </c>
      <c r="G174" s="257">
        <f>aurora_data!F839</f>
        <v>0</v>
      </c>
      <c r="H174" s="257">
        <f>aurora_data!G839</f>
        <v>0</v>
      </c>
      <c r="I174" s="258">
        <f>aurora_data!H839</f>
        <v>0</v>
      </c>
      <c r="J174" s="256">
        <f>aurora_data!I839</f>
        <v>0</v>
      </c>
      <c r="K174" s="257">
        <f>aurora_data!J839</f>
        <v>0</v>
      </c>
      <c r="L174" s="257">
        <f>aurora_data!K839</f>
        <v>0</v>
      </c>
      <c r="M174" s="257">
        <f>aurora_data!L839</f>
        <v>0</v>
      </c>
      <c r="N174" s="258">
        <f>aurora_data!M839</f>
        <v>0</v>
      </c>
      <c r="O174" s="256">
        <f>aurora_data!N839</f>
        <v>0</v>
      </c>
      <c r="P174" s="257">
        <f>aurora_data!O839</f>
        <v>0</v>
      </c>
      <c r="Q174" s="257">
        <f>aurora_data!P839</f>
        <v>0</v>
      </c>
      <c r="R174" s="258">
        <f>aurora_data!Q839</f>
        <v>0</v>
      </c>
      <c r="S174" s="257">
        <f>aurora_data!R839</f>
        <v>0</v>
      </c>
      <c r="T174" s="257">
        <f>aurora_data!S839</f>
        <v>0</v>
      </c>
      <c r="U174" s="259">
        <f>aurora_data!T439</f>
        <v>0</v>
      </c>
      <c r="V174" s="260"/>
      <c r="W174" s="256">
        <f>IFERROR(aurora_data!U839,0)</f>
        <v>0</v>
      </c>
      <c r="X174" s="261">
        <f t="shared" si="75"/>
        <v>0</v>
      </c>
      <c r="Y174" s="2"/>
      <c r="AA174" s="456"/>
      <c r="AB174" s="567"/>
      <c r="AC174" s="38" t="s">
        <v>343</v>
      </c>
      <c r="AD174" s="256">
        <f>aurora_data!D839+aurora_data!E839</f>
        <v>0</v>
      </c>
      <c r="AE174" s="257">
        <f>aurora_data!F839</f>
        <v>0</v>
      </c>
      <c r="AF174" s="257">
        <f>aurora_data!G839</f>
        <v>0</v>
      </c>
      <c r="AG174" s="258">
        <f>aurora_data!H839</f>
        <v>0</v>
      </c>
      <c r="AH174" s="352"/>
      <c r="AI174" s="256">
        <f>IFERROR(aurora_data!U839,0)</f>
        <v>0</v>
      </c>
      <c r="AJ174" s="261">
        <f t="shared" si="74"/>
        <v>0</v>
      </c>
    </row>
    <row r="175" spans="1:36" customFormat="1" ht="16.5" outlineLevel="1" thickBot="1">
      <c r="A175" s="2"/>
      <c r="B175" s="147"/>
      <c r="C175" s="227"/>
      <c r="D175" s="199" t="s">
        <v>344</v>
      </c>
      <c r="E175" s="276">
        <f>(E177+$E$9)*($W166)</f>
        <v>5.3199999999999994</v>
      </c>
      <c r="F175" s="277">
        <f>(F177+$E$9)*($W166)</f>
        <v>7.9</v>
      </c>
      <c r="G175" s="277">
        <f>(G177+$E$9)*($W166)</f>
        <v>21.94</v>
      </c>
      <c r="H175" s="277">
        <f>(H177+$E$9)*($W166)</f>
        <v>33.940000000000005</v>
      </c>
      <c r="I175" s="277">
        <f>(I177+$E$9)*($W166)</f>
        <v>40.900000000000006</v>
      </c>
      <c r="J175" s="229"/>
      <c r="K175" s="230"/>
      <c r="L175" s="230"/>
      <c r="M175" s="230"/>
      <c r="N175" s="231"/>
      <c r="O175" s="229"/>
      <c r="P175" s="230"/>
      <c r="Q175" s="230"/>
      <c r="R175" s="231"/>
      <c r="S175" s="230"/>
      <c r="T175" s="230"/>
      <c r="U175" s="232"/>
      <c r="V175" s="233"/>
      <c r="W175" s="229"/>
      <c r="X175" s="234"/>
      <c r="Y175" s="2"/>
      <c r="AA175" s="147"/>
      <c r="AB175" s="227"/>
      <c r="AC175" s="199" t="s">
        <v>344</v>
      </c>
      <c r="AD175" s="294"/>
      <c r="AE175" s="295"/>
      <c r="AF175" s="295"/>
      <c r="AG175" s="296"/>
      <c r="AH175" s="354"/>
      <c r="AI175" s="229"/>
      <c r="AJ175" s="234"/>
    </row>
    <row r="176" spans="1:36" customFormat="1" ht="16.5" outlineLevel="1" thickBot="1">
      <c r="A176" s="2"/>
      <c r="B176" s="147"/>
      <c r="C176" s="227"/>
      <c r="D176" s="199" t="s">
        <v>345</v>
      </c>
      <c r="E176" s="276">
        <f>IF(ROUND(((E177-$E$9)*($W166))+0.25,0) &lt;=0,1,((E177-$E$9)*($W166))+0.25)</f>
        <v>1.57</v>
      </c>
      <c r="F176" s="277">
        <f>IF(ROUND(((F177-$E$9)*($W166))+0.25,0) &lt;=0,1,((F177-$E$9)*($W166))+0.25)</f>
        <v>4.1500000000000004</v>
      </c>
      <c r="G176" s="277">
        <f t="shared" ref="G176:I176" si="76">IF(ROUND(((G177-$E$9)*($W166))+0.25,0) &lt;=0,1,((G177-$E$9)*($W166))+0.25)</f>
        <v>18.190000000000005</v>
      </c>
      <c r="H176" s="277">
        <f t="shared" si="76"/>
        <v>30.19</v>
      </c>
      <c r="I176" s="277">
        <f t="shared" si="76"/>
        <v>37.15</v>
      </c>
      <c r="J176" s="229"/>
      <c r="K176" s="230"/>
      <c r="L176" s="230"/>
      <c r="M176" s="230"/>
      <c r="N176" s="231"/>
      <c r="O176" s="229"/>
      <c r="P176" s="230"/>
      <c r="Q176" s="230"/>
      <c r="R176" s="231"/>
      <c r="S176" s="230"/>
      <c r="T176" s="230"/>
      <c r="U176" s="232"/>
      <c r="V176" s="233"/>
      <c r="W176" s="229"/>
      <c r="X176" s="234"/>
      <c r="Y176" s="2"/>
      <c r="AA176" s="147"/>
      <c r="AB176" s="227"/>
      <c r="AC176" s="199" t="s">
        <v>345</v>
      </c>
      <c r="AD176" s="294"/>
      <c r="AE176" s="295"/>
      <c r="AF176" s="295"/>
      <c r="AG176" s="296"/>
      <c r="AH176" s="354"/>
      <c r="AI176" s="229"/>
      <c r="AJ176" s="234"/>
    </row>
    <row r="177" spans="1:36" customFormat="1" ht="16.5" outlineLevel="1" thickBot="1">
      <c r="A177" s="2"/>
      <c r="B177" s="147"/>
      <c r="C177" s="227"/>
      <c r="D177" s="95" t="s">
        <v>346</v>
      </c>
      <c r="E177" s="159">
        <f>IFERROR(E166/$W166,0)</f>
        <v>3.32E-2</v>
      </c>
      <c r="F177" s="160">
        <f t="shared" ref="F177" si="77">IFERROR(F166/$W166,0)</f>
        <v>5.9000000000000004E-2</v>
      </c>
      <c r="G177" s="160">
        <f>IFERROR(G166/$W166,0)</f>
        <v>0.19940000000000002</v>
      </c>
      <c r="H177" s="160">
        <f t="shared" ref="H177" si="78">IFERROR(H166/$W166,0)</f>
        <v>0.31940000000000002</v>
      </c>
      <c r="I177" s="160">
        <f>IFERROR(I166/$W166,0)</f>
        <v>0.38900000000000001</v>
      </c>
      <c r="J177" s="229"/>
      <c r="K177" s="230"/>
      <c r="L177" s="230"/>
      <c r="M177" s="230"/>
      <c r="N177" s="231"/>
      <c r="O177" s="229"/>
      <c r="P177" s="230"/>
      <c r="Q177" s="230"/>
      <c r="R177" s="231"/>
      <c r="S177" s="230"/>
      <c r="T177" s="230"/>
      <c r="U177" s="232"/>
      <c r="V177" s="233"/>
      <c r="W177" s="229"/>
      <c r="X177" s="234"/>
      <c r="Y177" s="2"/>
      <c r="AA177" s="147"/>
      <c r="AB177" s="227"/>
      <c r="AC177" s="95" t="s">
        <v>346</v>
      </c>
      <c r="AD177" s="294"/>
      <c r="AE177" s="295"/>
      <c r="AF177" s="295"/>
      <c r="AG177" s="296"/>
      <c r="AH177" s="354"/>
      <c r="AI177" s="229"/>
      <c r="AJ177" s="234"/>
    </row>
    <row r="178" spans="1:36" customFormat="1" ht="16.5" outlineLevel="1" thickBot="1">
      <c r="A178" s="2"/>
      <c r="B178" s="147"/>
      <c r="C178" s="227"/>
      <c r="D178" s="180" t="s">
        <v>347</v>
      </c>
      <c r="E178" s="159">
        <f>IFERROR(E167/$W166,0)</f>
        <v>7.0000000000000007E-2</v>
      </c>
      <c r="F178" s="160">
        <f t="shared" ref="F178:I178" si="79">IFERROR(F167/$W166,0)</f>
        <v>0.11</v>
      </c>
      <c r="G178" s="160">
        <f t="shared" si="79"/>
        <v>0.2</v>
      </c>
      <c r="H178" s="160">
        <f t="shared" si="79"/>
        <v>0.28999999999999998</v>
      </c>
      <c r="I178" s="160">
        <f t="shared" si="79"/>
        <v>0.3</v>
      </c>
      <c r="J178" s="229"/>
      <c r="K178" s="230"/>
      <c r="L178" s="230"/>
      <c r="M178" s="230"/>
      <c r="N178" s="231"/>
      <c r="O178" s="229"/>
      <c r="P178" s="230"/>
      <c r="Q178" s="230"/>
      <c r="R178" s="231"/>
      <c r="S178" s="230"/>
      <c r="T178" s="230"/>
      <c r="U178" s="232"/>
      <c r="V178" s="233"/>
      <c r="W178" s="229"/>
      <c r="X178" s="234"/>
      <c r="Y178" s="2"/>
      <c r="AA178" s="147"/>
      <c r="AB178" s="227"/>
      <c r="AC178" s="180" t="s">
        <v>347</v>
      </c>
      <c r="AD178" s="294"/>
      <c r="AE178" s="295"/>
      <c r="AF178" s="295"/>
      <c r="AG178" s="296"/>
      <c r="AH178" s="354"/>
      <c r="AI178" s="229"/>
      <c r="AJ178" s="234"/>
    </row>
    <row r="179" spans="1:36" customFormat="1" outlineLevel="1">
      <c r="A179" s="2"/>
      <c r="B179" s="235"/>
      <c r="C179" s="236"/>
      <c r="D179" s="237" t="s">
        <v>348</v>
      </c>
      <c r="E179" s="238">
        <f>E178-E177</f>
        <v>3.6800000000000006E-2</v>
      </c>
      <c r="F179" s="239">
        <f t="shared" ref="F179:I179" si="80">F178-F177</f>
        <v>5.0999999999999997E-2</v>
      </c>
      <c r="G179" s="239">
        <f t="shared" si="80"/>
        <v>5.9999999999998943E-4</v>
      </c>
      <c r="H179" s="239">
        <f t="shared" si="80"/>
        <v>-2.9400000000000037E-2</v>
      </c>
      <c r="I179" s="239">
        <f t="shared" si="80"/>
        <v>-8.9000000000000024E-2</v>
      </c>
      <c r="J179" s="240"/>
      <c r="K179" s="241"/>
      <c r="L179" s="241"/>
      <c r="M179" s="241"/>
      <c r="N179" s="242"/>
      <c r="O179" s="240"/>
      <c r="P179" s="241"/>
      <c r="Q179" s="241"/>
      <c r="R179" s="242"/>
      <c r="S179" s="241"/>
      <c r="T179" s="241"/>
      <c r="U179" s="243"/>
      <c r="V179" s="244"/>
      <c r="W179" s="240"/>
      <c r="X179" s="245"/>
      <c r="Y179" s="2"/>
      <c r="AA179" s="235"/>
      <c r="AB179" s="236"/>
      <c r="AC179" s="237" t="s">
        <v>348</v>
      </c>
      <c r="AD179" s="300"/>
      <c r="AE179" s="301"/>
      <c r="AF179" s="301"/>
      <c r="AG179" s="302"/>
      <c r="AH179" s="355"/>
      <c r="AI179" s="240"/>
      <c r="AJ179" s="245"/>
    </row>
  </sheetData>
  <mergeCells count="78">
    <mergeCell ref="C12:C20"/>
    <mergeCell ref="B12:B20"/>
    <mergeCell ref="B26:B34"/>
    <mergeCell ref="C26:C34"/>
    <mergeCell ref="B166:B174"/>
    <mergeCell ref="C166:C174"/>
    <mergeCell ref="B40:B48"/>
    <mergeCell ref="C40:C48"/>
    <mergeCell ref="B54:B62"/>
    <mergeCell ref="C54:C62"/>
    <mergeCell ref="B68:B76"/>
    <mergeCell ref="C68:C76"/>
    <mergeCell ref="B82:B90"/>
    <mergeCell ref="C82:C90"/>
    <mergeCell ref="B96:B104"/>
    <mergeCell ref="C96:C104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152:B160"/>
    <mergeCell ref="C152:C160"/>
    <mergeCell ref="B110:B118"/>
    <mergeCell ref="C110:C118"/>
    <mergeCell ref="B124:B132"/>
    <mergeCell ref="C124:C132"/>
    <mergeCell ref="B138:B146"/>
    <mergeCell ref="C138:C146"/>
    <mergeCell ref="AB40:AB48"/>
    <mergeCell ref="AA8:AC8"/>
    <mergeCell ref="AD8:AG8"/>
    <mergeCell ref="AI8:AJ11"/>
    <mergeCell ref="AA9:AB9"/>
    <mergeCell ref="AD9:AG9"/>
    <mergeCell ref="AA10:AA11"/>
    <mergeCell ref="AD10:AG10"/>
    <mergeCell ref="AA166:AA174"/>
    <mergeCell ref="AB166:AB174"/>
    <mergeCell ref="AA96:AA104"/>
    <mergeCell ref="AB96:AB104"/>
    <mergeCell ref="AA110:AA118"/>
    <mergeCell ref="AB110:AB118"/>
    <mergeCell ref="AA124:AA132"/>
    <mergeCell ref="AB124:AB132"/>
    <mergeCell ref="AA5:AG6"/>
    <mergeCell ref="AA138:AA146"/>
    <mergeCell ref="AB138:AB146"/>
    <mergeCell ref="AA152:AA160"/>
    <mergeCell ref="AB152:AB160"/>
    <mergeCell ref="AA54:AA62"/>
    <mergeCell ref="AB54:AB62"/>
    <mergeCell ref="AA68:AA76"/>
    <mergeCell ref="AB68:AB76"/>
    <mergeCell ref="AA82:AA90"/>
    <mergeCell ref="AB82:AB90"/>
    <mergeCell ref="AA12:AA20"/>
    <mergeCell ref="AB12:AB20"/>
    <mergeCell ref="AA26:AA34"/>
    <mergeCell ref="AB26:AB34"/>
    <mergeCell ref="AA40:AA48"/>
  </mergeCells>
  <conditionalFormatting sqref="E13:W13 AD13:AI13 AD27:AI27 AD41:AI41 AD55:AI55 AD69:AI69 AD83:AI83 AE97:AI97 AD111:AI111 AD125:AI125 AD139:AI139 AD153:AI153">
    <cfRule type="expression" dxfId="87" priority="66">
      <formula>ROUND(E$13,0) &gt;= ROUND(E$12,0)</formula>
    </cfRule>
  </conditionalFormatting>
  <conditionalFormatting sqref="E19:W19 AD19:AI19 AD33:AI33 AD47:AI47 AD61:AI61 AD75:AI75 AD89:AI89 AD103:AI103 AD117:AI117 AD131:AI131 AD145:AI145 AD159:AI159">
    <cfRule type="expression" dxfId="86" priority="72">
      <formula>ROUND(E$19,0) &lt; ROUND(E$12,0)</formula>
    </cfRule>
  </conditionalFormatting>
  <conditionalFormatting sqref="E27:W27">
    <cfRule type="expression" dxfId="85" priority="52">
      <formula>ROUND(E$13,0) &gt;= ROUND(E$12,0)</formula>
    </cfRule>
  </conditionalFormatting>
  <conditionalFormatting sqref="E33:W33">
    <cfRule type="expression" dxfId="84" priority="58">
      <formula>ROUND(E$19,0) &lt; ROUND(E$12,0)</formula>
    </cfRule>
  </conditionalFormatting>
  <conditionalFormatting sqref="E41:W41">
    <cfRule type="expression" dxfId="83" priority="41">
      <formula>ROUND(E$13,0) &gt;= ROUND(E$12,0)</formula>
    </cfRule>
  </conditionalFormatting>
  <conditionalFormatting sqref="E47:W47">
    <cfRule type="expression" dxfId="82" priority="42">
      <formula>ROUND(E$19,0) &lt; ROUND(E$12,0)</formula>
    </cfRule>
  </conditionalFormatting>
  <conditionalFormatting sqref="E55:W55">
    <cfRule type="expression" dxfId="81" priority="39">
      <formula>ROUND(E$13,0) &gt;= ROUND(E$12,0)</formula>
    </cfRule>
  </conditionalFormatting>
  <conditionalFormatting sqref="E61:W61">
    <cfRule type="expression" dxfId="80" priority="40">
      <formula>ROUND(E$19,0) &lt; ROUND(E$12,0)</formula>
    </cfRule>
  </conditionalFormatting>
  <conditionalFormatting sqref="E69:W69">
    <cfRule type="expression" dxfId="79" priority="37">
      <formula>ROUND(E$13,0) &gt;= ROUND(E$12,0)</formula>
    </cfRule>
  </conditionalFormatting>
  <conditionalFormatting sqref="E75:W75">
    <cfRule type="expression" dxfId="78" priority="38">
      <formula>ROUND(E$19,0) &lt; ROUND(E$12,0)</formula>
    </cfRule>
  </conditionalFormatting>
  <conditionalFormatting sqref="E83:W83">
    <cfRule type="expression" dxfId="77" priority="35">
      <formula>ROUND(E$13,0) &gt;= ROUND(E$12,0)</formula>
    </cfRule>
  </conditionalFormatting>
  <conditionalFormatting sqref="E89:W89">
    <cfRule type="expression" dxfId="76" priority="36">
      <formula>ROUND(E$19,0) &lt; ROUND(E$12,0)</formula>
    </cfRule>
  </conditionalFormatting>
  <conditionalFormatting sqref="E97:W97">
    <cfRule type="expression" dxfId="75" priority="33">
      <formula>ROUND(E$13,0) &gt;= ROUND(E$12,0)</formula>
    </cfRule>
  </conditionalFormatting>
  <conditionalFormatting sqref="E103:W103">
    <cfRule type="expression" dxfId="74" priority="34">
      <formula>ROUND(E$19,0) &lt; ROUND(E$12,0)</formula>
    </cfRule>
  </conditionalFormatting>
  <conditionalFormatting sqref="E111:W111">
    <cfRule type="expression" dxfId="73" priority="31">
      <formula>ROUND(E$13,0) &gt;= ROUND(E$12,0)</formula>
    </cfRule>
  </conditionalFormatting>
  <conditionalFormatting sqref="E117:W117">
    <cfRule type="expression" dxfId="72" priority="32">
      <formula>ROUND(E$19,0) &lt; ROUND(E$12,0)</formula>
    </cfRule>
  </conditionalFormatting>
  <conditionalFormatting sqref="E125:W125">
    <cfRule type="expression" dxfId="71" priority="29">
      <formula>ROUND(E$13,0) &gt;= ROUND(E$12,0)</formula>
    </cfRule>
  </conditionalFormatting>
  <conditionalFormatting sqref="E131:W131">
    <cfRule type="expression" dxfId="70" priority="30">
      <formula>ROUND(E$19,0) &lt; ROUND(E$12,0)</formula>
    </cfRule>
  </conditionalFormatting>
  <conditionalFormatting sqref="E139:W139">
    <cfRule type="expression" dxfId="69" priority="27">
      <formula>ROUND(E$13,0) &gt;= ROUND(E$12,0)</formula>
    </cfRule>
  </conditionalFormatting>
  <conditionalFormatting sqref="E145:W145">
    <cfRule type="expression" dxfId="68" priority="28">
      <formula>ROUND(E$19,0) &lt; ROUND(E$12,0)</formula>
    </cfRule>
  </conditionalFormatting>
  <conditionalFormatting sqref="E153:W153">
    <cfRule type="expression" dxfId="67" priority="25">
      <formula>ROUND(E$13,0) &gt;= ROUND(E$12,0)</formula>
    </cfRule>
  </conditionalFormatting>
  <conditionalFormatting sqref="E159:W159">
    <cfRule type="expression" dxfId="66" priority="26">
      <formula>ROUND(E$19,0) &lt; ROUND(E$12,0)</formula>
    </cfRule>
  </conditionalFormatting>
  <conditionalFormatting sqref="E167:W167 AD167:AI167">
    <cfRule type="expression" dxfId="65" priority="57">
      <formula>ROUND(#REF!,0) &gt;= ROUND(#REF!,0)</formula>
    </cfRule>
  </conditionalFormatting>
  <conditionalFormatting sqref="E173:W173 AD173:AI173">
    <cfRule type="expression" dxfId="64" priority="51">
      <formula>ROUND(#REF!,0) &lt; ROUND(#REF!,0)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87EE9-7CDD-42DE-9D19-8C107B571C97}">
  <sheetPr>
    <tabColor rgb="FFB482DA"/>
  </sheetPr>
  <dimension ref="A1:AJ43"/>
  <sheetViews>
    <sheetView zoomScale="72" zoomScaleNormal="90" workbookViewId="0">
      <selection activeCell="N22" sqref="N22"/>
    </sheetView>
  </sheetViews>
  <sheetFormatPr defaultColWidth="2.5" defaultRowHeight="15.75" outlineLevelRow="1"/>
  <cols>
    <col min="1" max="1" width="3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4.12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27" width="7.5" style="2" customWidth="1"/>
    <col min="28" max="28" width="17.125" style="2" customWidth="1"/>
    <col min="29" max="29" width="24.375" style="2" customWidth="1"/>
    <col min="30" max="33" width="7.5" style="2" customWidth="1"/>
    <col min="34" max="34" width="0.625" style="2" customWidth="1"/>
    <col min="35" max="51" width="7.5" style="2" customWidth="1"/>
    <col min="52" max="16310" width="2.5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t="31.5" customHeight="1">
      <c r="A2" s="499" t="s">
        <v>327</v>
      </c>
      <c r="B2" s="499"/>
      <c r="C2" s="500"/>
      <c r="D2" s="580" t="str">
        <f>_xlfn.CONCAT("Study Name: ","
Counterbalance WPPSI-4/WISC-6 -Paper")</f>
        <v>Study Name: 
Counterbalance WPPSI-4/WISC-6 -Paper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36" customFormat="1" ht="30.75" customHeight="1" thickBot="1">
      <c r="A3" s="2"/>
      <c r="B3" s="2"/>
      <c r="C3" s="2"/>
      <c r="D3" s="536" t="str">
        <f>_xlfn.CONCAT("Study Acronym: ","
CB_WPPSI4_P")</f>
        <v>Study Acronym: 
CB_WPPSI4_P</v>
      </c>
      <c r="E3" s="512"/>
      <c r="F3" s="583" t="s">
        <v>390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36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36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542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149.25" customHeight="1" thickBot="1">
      <c r="A6" s="2"/>
      <c r="B6" s="2"/>
      <c r="C6" s="98"/>
      <c r="D6" s="585" t="s">
        <v>391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>
      <c r="A8" s="2"/>
      <c r="B8" s="482" t="str">
        <f>_xlfn.CONCAT("Last Refreshed at: ",aurora_data!V1932)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 t="s">
        <v>332</v>
      </c>
      <c r="AE8" s="541"/>
      <c r="AF8" s="541"/>
      <c r="AG8" s="541"/>
      <c r="AH8" s="44"/>
      <c r="AI8" s="546" t="s">
        <v>337</v>
      </c>
      <c r="AJ8" s="547"/>
    </row>
    <row r="9" spans="1:36" customFormat="1" ht="16.5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28"/>
      <c r="AI9" s="548"/>
      <c r="AJ9" s="549"/>
    </row>
    <row r="10" spans="1:36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6"/>
      <c r="AH10" s="32"/>
      <c r="AI10" s="548"/>
      <c r="AJ10" s="549"/>
    </row>
    <row r="11" spans="1:36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2">
        <v>3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451" t="s">
        <v>338</v>
      </c>
      <c r="C12" s="453" t="str">
        <f>aurora_data!A1932</f>
        <v>06.00.00-06.11.30</v>
      </c>
      <c r="D12" s="34" t="s">
        <v>306</v>
      </c>
      <c r="E12" s="39">
        <f>IFERROR(aurora_data!D1932,0)</f>
        <v>0.65</v>
      </c>
      <c r="F12" s="40">
        <f>IFERROR(aurora_data!E1932,0)</f>
        <v>1.24</v>
      </c>
      <c r="G12" s="40">
        <f>IFERROR(aurora_data!F1932,0)</f>
        <v>4.96</v>
      </c>
      <c r="H12" s="40">
        <f>IFERROR(aurora_data!G1932,0)</f>
        <v>8.0399999999999991</v>
      </c>
      <c r="I12" s="41">
        <f>IFERROR(aurora_data!H1932,0)</f>
        <v>10.11</v>
      </c>
      <c r="J12" s="39">
        <f>IFERROR(aurora_data!I1932,0)</f>
        <v>1</v>
      </c>
      <c r="K12" s="40">
        <f>IFERROR(aurora_data!J1932,0)</f>
        <v>1</v>
      </c>
      <c r="L12" s="40">
        <f>IFERROR(aurora_data!K1932,0)</f>
        <v>1</v>
      </c>
      <c r="M12" s="40">
        <f>IFERROR(aurora_data!L1932,0)</f>
        <v>1</v>
      </c>
      <c r="N12" s="41">
        <f>IFERROR(aurora_data!M1932,0)</f>
        <v>1</v>
      </c>
      <c r="O12" s="39">
        <f>IFERROR(aurora_data!N1932,0)</f>
        <v>1</v>
      </c>
      <c r="P12" s="40">
        <f>IFERROR(aurora_data!O1932,0)</f>
        <v>1</v>
      </c>
      <c r="Q12" s="40">
        <f>IFERROR(aurora_data!P1932,0)</f>
        <v>1</v>
      </c>
      <c r="R12" s="41">
        <f>IFERROR(aurora_data!Q1932,0)</f>
        <v>1</v>
      </c>
      <c r="S12" s="40">
        <f>IFERROR(aurora_data!R1932,0)</f>
        <v>1</v>
      </c>
      <c r="T12" s="40">
        <f>IFERROR(aurora_data!S1932,0)</f>
        <v>1</v>
      </c>
      <c r="U12" s="74">
        <f>IFERROR(aurora_data!T1532,0)</f>
        <v>0</v>
      </c>
      <c r="V12" s="61" t="s">
        <v>354</v>
      </c>
      <c r="W12" s="39">
        <f>IFERROR(aurora_data!U1932,0)</f>
        <v>25</v>
      </c>
      <c r="X12" s="69">
        <f>IFERROR(W12/$W$12,0)</f>
        <v>1</v>
      </c>
      <c r="Y12" s="2"/>
      <c r="AA12" s="451" t="s">
        <v>338</v>
      </c>
      <c r="AB12" s="453" t="str">
        <f>aurora_data!A1932</f>
        <v>06.00.00-06.11.30</v>
      </c>
      <c r="AC12" s="34" t="s">
        <v>306</v>
      </c>
      <c r="AD12" s="338">
        <f>IFERROR(aurora_data!D1932,0)+IFERROR(aurora_data!E1932,0)</f>
        <v>1.8900000000000001</v>
      </c>
      <c r="AE12" s="40">
        <f>IFERROR(aurora_data!F1932,0)</f>
        <v>4.96</v>
      </c>
      <c r="AF12" s="40">
        <f>IFERROR(aurora_data!G1932,0)</f>
        <v>8.0399999999999991</v>
      </c>
      <c r="AG12" s="40">
        <f>IFERROR(aurora_data!H1932,0)</f>
        <v>10.11</v>
      </c>
      <c r="AH12" s="61" t="s">
        <v>354</v>
      </c>
      <c r="AI12" s="39">
        <f>IFERROR(aurora_data!U1932,0)</f>
        <v>25</v>
      </c>
      <c r="AJ12" s="69">
        <f t="shared" ref="AJ12:AJ20" si="0">IFERROR(AI12/$AI$12,0)</f>
        <v>1</v>
      </c>
    </row>
    <row r="13" spans="1:36" customFormat="1">
      <c r="A13" s="2"/>
      <c r="B13" s="452"/>
      <c r="C13" s="454"/>
      <c r="D13" s="35" t="s">
        <v>339</v>
      </c>
      <c r="E13" s="113">
        <f>IFERROR(aurora_data!D1933,0)</f>
        <v>0</v>
      </c>
      <c r="F13" s="253">
        <f>IFERROR(aurora_data!E1933,0)</f>
        <v>1</v>
      </c>
      <c r="G13" s="253">
        <f>IFERROR(aurora_data!F1933,0)</f>
        <v>3</v>
      </c>
      <c r="H13" s="253">
        <f>IFERROR(aurora_data!G1933,0)</f>
        <v>8</v>
      </c>
      <c r="I13" s="254">
        <f>IFERROR(aurora_data!H1933,0)</f>
        <v>10</v>
      </c>
      <c r="J13" s="113">
        <f>IFERROR(aurora_data!I1933,0)</f>
        <v>2</v>
      </c>
      <c r="K13" s="253">
        <f>IFERROR(aurora_data!J1933,0)</f>
        <v>3</v>
      </c>
      <c r="L13" s="253">
        <f>IFERROR(aurora_data!K1933,0)</f>
        <v>3</v>
      </c>
      <c r="M13" s="253">
        <f>IFERROR(aurora_data!L1933,0)</f>
        <v>3</v>
      </c>
      <c r="N13" s="254">
        <f>IFERROR(aurora_data!M1933,0)</f>
        <v>11</v>
      </c>
      <c r="O13" s="113">
        <f>IFERROR(aurora_data!N1933,0)</f>
        <v>5</v>
      </c>
      <c r="P13" s="253">
        <f>IFERROR(aurora_data!O1933,0)</f>
        <v>4</v>
      </c>
      <c r="Q13" s="253">
        <f>IFERROR(aurora_data!P1933,0)</f>
        <v>6</v>
      </c>
      <c r="R13" s="254">
        <f>IFERROR(aurora_data!Q1933,0)</f>
        <v>7</v>
      </c>
      <c r="S13" s="253">
        <f>IFERROR(aurora_data!R1933,0)</f>
        <v>13</v>
      </c>
      <c r="T13" s="253">
        <f>IFERROR(aurora_data!S1933,0)</f>
        <v>9</v>
      </c>
      <c r="U13" s="254">
        <f>IFERROR(aurora_data!T1533,0)</f>
        <v>0</v>
      </c>
      <c r="V13" s="61" t="s">
        <v>354</v>
      </c>
      <c r="W13" s="113">
        <f>IFERROR(aurora_data!U1933,0)</f>
        <v>22</v>
      </c>
      <c r="X13" s="255">
        <f t="shared" ref="X13:X20" si="1">IFERROR(W13/$W$12,0)</f>
        <v>0.88</v>
      </c>
      <c r="Y13" s="2"/>
      <c r="AA13" s="452"/>
      <c r="AB13" s="454"/>
      <c r="AC13" s="35" t="s">
        <v>339</v>
      </c>
      <c r="AD13" s="113">
        <f>IFERROR(aurora_data!D1933,0)+IFERROR(aurora_data!E1933,0)</f>
        <v>1</v>
      </c>
      <c r="AE13" s="253">
        <f>IFERROR(aurora_data!F1933,0)</f>
        <v>3</v>
      </c>
      <c r="AF13" s="253">
        <f>IFERROR(aurora_data!G1933,0)</f>
        <v>8</v>
      </c>
      <c r="AG13" s="253">
        <f>IFERROR(aurora_data!H1933,0)</f>
        <v>10</v>
      </c>
      <c r="AH13" s="61" t="s">
        <v>354</v>
      </c>
      <c r="AI13" s="113">
        <f>IFERROR(aurora_data!U1933,0)</f>
        <v>22</v>
      </c>
      <c r="AJ13" s="255">
        <f t="shared" si="0"/>
        <v>0.88</v>
      </c>
    </row>
    <row r="14" spans="1:36" customFormat="1">
      <c r="A14" s="2"/>
      <c r="B14" s="452"/>
      <c r="C14" s="454"/>
      <c r="D14" s="35" t="s">
        <v>291</v>
      </c>
      <c r="E14" s="113">
        <f>IFERROR(aurora_data!D1934,0)</f>
        <v>0</v>
      </c>
      <c r="F14" s="253">
        <f>IFERROR(aurora_data!E1934,0)</f>
        <v>0</v>
      </c>
      <c r="G14" s="253">
        <f>IFERROR(aurora_data!F1934,0)</f>
        <v>0</v>
      </c>
      <c r="H14" s="253">
        <f>IFERROR(aurora_data!G1934,0)</f>
        <v>0</v>
      </c>
      <c r="I14" s="254">
        <f>IFERROR(aurora_data!H1934,0)</f>
        <v>0</v>
      </c>
      <c r="J14" s="113">
        <f>IFERROR(aurora_data!I1934,0)</f>
        <v>0</v>
      </c>
      <c r="K14" s="253">
        <f>IFERROR(aurora_data!J1934,0)</f>
        <v>0</v>
      </c>
      <c r="L14" s="253">
        <f>IFERROR(aurora_data!K1934,0)</f>
        <v>0</v>
      </c>
      <c r="M14" s="253">
        <f>IFERROR(aurora_data!L1934,0)</f>
        <v>0</v>
      </c>
      <c r="N14" s="254">
        <f>IFERROR(aurora_data!M1934,0)</f>
        <v>0</v>
      </c>
      <c r="O14" s="113">
        <f>IFERROR(aurora_data!N1934,0)</f>
        <v>0</v>
      </c>
      <c r="P14" s="253">
        <f>IFERROR(aurora_data!O1934,0)</f>
        <v>0</v>
      </c>
      <c r="Q14" s="253">
        <f>IFERROR(aurora_data!P1934,0)</f>
        <v>0</v>
      </c>
      <c r="R14" s="254">
        <f>IFERROR(aurora_data!Q1934,0)</f>
        <v>0</v>
      </c>
      <c r="S14" s="253">
        <f>IFERROR(aurora_data!R1934,0)</f>
        <v>0</v>
      </c>
      <c r="T14" s="253">
        <f>IFERROR(aurora_data!S1934,0)</f>
        <v>0</v>
      </c>
      <c r="U14" s="254">
        <f>IFERROR(aurora_data!T1534,0)</f>
        <v>0</v>
      </c>
      <c r="V14" s="61" t="s">
        <v>354</v>
      </c>
      <c r="W14" s="113">
        <f>IFERROR(aurora_data!U1934,0)</f>
        <v>0</v>
      </c>
      <c r="X14" s="255">
        <f t="shared" si="1"/>
        <v>0</v>
      </c>
      <c r="Y14" s="2"/>
      <c r="AA14" s="452"/>
      <c r="AB14" s="454"/>
      <c r="AC14" s="35" t="s">
        <v>291</v>
      </c>
      <c r="AD14" s="113">
        <f>IFERROR(aurora_data!D1934,0)+IFERROR(aurora_data!E1934,0)</f>
        <v>0</v>
      </c>
      <c r="AE14" s="253">
        <f>IFERROR(aurora_data!F1934,0)</f>
        <v>0</v>
      </c>
      <c r="AF14" s="253">
        <f>IFERROR(aurora_data!G1934,0)</f>
        <v>0</v>
      </c>
      <c r="AG14" s="253">
        <f>IFERROR(aurora_data!H1934,0)</f>
        <v>0</v>
      </c>
      <c r="AH14" s="61" t="s">
        <v>354</v>
      </c>
      <c r="AI14" s="113">
        <f>IFERROR(aurora_data!U1934,0)</f>
        <v>0</v>
      </c>
      <c r="AJ14" s="255">
        <f t="shared" si="0"/>
        <v>0</v>
      </c>
    </row>
    <row r="15" spans="1:36" customFormat="1">
      <c r="A15" s="2"/>
      <c r="B15" s="452"/>
      <c r="C15" s="454"/>
      <c r="D15" s="35" t="s">
        <v>340</v>
      </c>
      <c r="E15" s="113">
        <f>IFERROR(aurora_data!D1935,0)</f>
        <v>0</v>
      </c>
      <c r="F15" s="253">
        <f>IFERROR(aurora_data!E1935,0)</f>
        <v>0</v>
      </c>
      <c r="G15" s="253">
        <f>IFERROR(aurora_data!F1935,0)</f>
        <v>0</v>
      </c>
      <c r="H15" s="253">
        <f>IFERROR(aurora_data!G1935,0)</f>
        <v>0</v>
      </c>
      <c r="I15" s="254">
        <f>IFERROR(aurora_data!H1935,0)</f>
        <v>0</v>
      </c>
      <c r="J15" s="113">
        <f>IFERROR(aurora_data!I1935,0)</f>
        <v>0</v>
      </c>
      <c r="K15" s="253">
        <f>IFERROR(aurora_data!J1935,0)</f>
        <v>0</v>
      </c>
      <c r="L15" s="253">
        <f>IFERROR(aurora_data!K1935,0)</f>
        <v>0</v>
      </c>
      <c r="M15" s="253">
        <f>IFERROR(aurora_data!L1935,0)</f>
        <v>0</v>
      </c>
      <c r="N15" s="254">
        <f>IFERROR(aurora_data!M1935,0)</f>
        <v>0</v>
      </c>
      <c r="O15" s="113">
        <f>IFERROR(aurora_data!N1935,0)</f>
        <v>0</v>
      </c>
      <c r="P15" s="253">
        <f>IFERROR(aurora_data!O1935,0)</f>
        <v>0</v>
      </c>
      <c r="Q15" s="253">
        <f>IFERROR(aurora_data!P1935,0)</f>
        <v>0</v>
      </c>
      <c r="R15" s="254">
        <f>IFERROR(aurora_data!Q1935,0)</f>
        <v>0</v>
      </c>
      <c r="S15" s="253">
        <f>IFERROR(aurora_data!R1935,0)</f>
        <v>0</v>
      </c>
      <c r="T15" s="253">
        <f>IFERROR(aurora_data!S1935,0)</f>
        <v>0</v>
      </c>
      <c r="U15" s="254">
        <f>IFERROR(aurora_data!T1535,0)</f>
        <v>0</v>
      </c>
      <c r="V15" s="61" t="s">
        <v>354</v>
      </c>
      <c r="W15" s="113">
        <f>IFERROR(aurora_data!U1935,0)</f>
        <v>0</v>
      </c>
      <c r="X15" s="255">
        <f t="shared" si="1"/>
        <v>0</v>
      </c>
      <c r="Y15" s="2"/>
      <c r="AA15" s="452"/>
      <c r="AB15" s="454"/>
      <c r="AC15" s="35" t="s">
        <v>340</v>
      </c>
      <c r="AD15" s="113">
        <f>IFERROR(aurora_data!D1935,0)+IFERROR(aurora_data!E1935,0)</f>
        <v>0</v>
      </c>
      <c r="AE15" s="253">
        <f>IFERROR(aurora_data!F1935,0)</f>
        <v>0</v>
      </c>
      <c r="AF15" s="253">
        <f>IFERROR(aurora_data!G1935,0)</f>
        <v>0</v>
      </c>
      <c r="AG15" s="253">
        <f>IFERROR(aurora_data!H1935,0)</f>
        <v>0</v>
      </c>
      <c r="AH15" s="61" t="s">
        <v>354</v>
      </c>
      <c r="AI15" s="113">
        <f>IFERROR(aurora_data!U1935,0)</f>
        <v>0</v>
      </c>
      <c r="AJ15" s="255">
        <f t="shared" si="0"/>
        <v>0</v>
      </c>
    </row>
    <row r="16" spans="1:36" customFormat="1" ht="15" customHeight="1">
      <c r="A16" s="2"/>
      <c r="B16" s="452"/>
      <c r="C16" s="454"/>
      <c r="D16" s="35" t="s">
        <v>298</v>
      </c>
      <c r="E16" s="113">
        <f>IFERROR(aurora_data!D1936,0)</f>
        <v>0</v>
      </c>
      <c r="F16" s="253">
        <f>IFERROR(aurora_data!E1936,0)</f>
        <v>1</v>
      </c>
      <c r="G16" s="253">
        <f>IFERROR(aurora_data!F1936,0)</f>
        <v>0</v>
      </c>
      <c r="H16" s="253">
        <f>IFERROR(aurora_data!G1936,0)</f>
        <v>2</v>
      </c>
      <c r="I16" s="254">
        <f>IFERROR(aurora_data!H1936,0)</f>
        <v>0</v>
      </c>
      <c r="J16" s="113">
        <f>IFERROR(aurora_data!I1936,0)</f>
        <v>0</v>
      </c>
      <c r="K16" s="253">
        <f>IFERROR(aurora_data!J1936,0)</f>
        <v>0</v>
      </c>
      <c r="L16" s="253">
        <f>IFERROR(aurora_data!K1936,0)</f>
        <v>2</v>
      </c>
      <c r="M16" s="253">
        <f>IFERROR(aurora_data!L1936,0)</f>
        <v>0</v>
      </c>
      <c r="N16" s="254">
        <f>IFERROR(aurora_data!M1936,0)</f>
        <v>1</v>
      </c>
      <c r="O16" s="113">
        <f>IFERROR(aurora_data!N1936,0)</f>
        <v>1</v>
      </c>
      <c r="P16" s="253">
        <f>IFERROR(aurora_data!O1936,0)</f>
        <v>0</v>
      </c>
      <c r="Q16" s="253">
        <f>IFERROR(aurora_data!P1936,0)</f>
        <v>1</v>
      </c>
      <c r="R16" s="254">
        <f>IFERROR(aurora_data!Q1936,0)</f>
        <v>1</v>
      </c>
      <c r="S16" s="253">
        <f>IFERROR(aurora_data!R1936,0)</f>
        <v>3</v>
      </c>
      <c r="T16" s="253">
        <f>IFERROR(aurora_data!S1936,0)</f>
        <v>0</v>
      </c>
      <c r="U16" s="254">
        <f>IFERROR(aurora_data!T1536,0)</f>
        <v>0</v>
      </c>
      <c r="V16" s="61" t="s">
        <v>354</v>
      </c>
      <c r="W16" s="113">
        <f>IFERROR(aurora_data!U1936,0)</f>
        <v>3</v>
      </c>
      <c r="X16" s="255">
        <f t="shared" si="1"/>
        <v>0.12</v>
      </c>
      <c r="Y16" s="2"/>
      <c r="AA16" s="452"/>
      <c r="AB16" s="454"/>
      <c r="AC16" s="35" t="s">
        <v>298</v>
      </c>
      <c r="AD16" s="113">
        <f>IFERROR(aurora_data!D1936,0)+IFERROR(aurora_data!E1936,0)</f>
        <v>1</v>
      </c>
      <c r="AE16" s="253">
        <f>IFERROR(aurora_data!F1936,0)</f>
        <v>0</v>
      </c>
      <c r="AF16" s="253">
        <f>IFERROR(aurora_data!G1936,0)</f>
        <v>2</v>
      </c>
      <c r="AG16" s="253">
        <f>IFERROR(aurora_data!H1936,0)</f>
        <v>0</v>
      </c>
      <c r="AH16" s="61" t="s">
        <v>354</v>
      </c>
      <c r="AI16" s="113">
        <f>IFERROR(aurora_data!U1936,0)</f>
        <v>3</v>
      </c>
      <c r="AJ16" s="255">
        <f t="shared" si="0"/>
        <v>0.12</v>
      </c>
    </row>
    <row r="17" spans="1:36" customFormat="1">
      <c r="A17" s="2"/>
      <c r="B17" s="452"/>
      <c r="C17" s="454"/>
      <c r="D17" s="35" t="s">
        <v>341</v>
      </c>
      <c r="E17" s="113">
        <f>IFERROR(aurora_data!D1937,0)</f>
        <v>0</v>
      </c>
      <c r="F17" s="253">
        <f>IFERROR(aurora_data!E1937,0)</f>
        <v>0</v>
      </c>
      <c r="G17" s="253">
        <f>IFERROR(aurora_data!F1937,0)</f>
        <v>4</v>
      </c>
      <c r="H17" s="253">
        <f>IFERROR(aurora_data!G1937,0)</f>
        <v>0</v>
      </c>
      <c r="I17" s="254">
        <f>IFERROR(aurora_data!H1937,0)</f>
        <v>0</v>
      </c>
      <c r="J17" s="113">
        <f>IFERROR(aurora_data!I1937,0)</f>
        <v>0</v>
      </c>
      <c r="K17" s="253">
        <f>IFERROR(aurora_data!J1937,0)</f>
        <v>0</v>
      </c>
      <c r="L17" s="253">
        <f>IFERROR(aurora_data!K1937,0)</f>
        <v>3</v>
      </c>
      <c r="M17" s="253">
        <f>IFERROR(aurora_data!L1937,0)</f>
        <v>1</v>
      </c>
      <c r="N17" s="254">
        <f>IFERROR(aurora_data!M1937,0)</f>
        <v>0</v>
      </c>
      <c r="O17" s="113">
        <f>IFERROR(aurora_data!N1937,0)</f>
        <v>2</v>
      </c>
      <c r="P17" s="253">
        <f>IFERROR(aurora_data!O1937,0)</f>
        <v>0</v>
      </c>
      <c r="Q17" s="253">
        <f>IFERROR(aurora_data!P1937,0)</f>
        <v>2</v>
      </c>
      <c r="R17" s="254">
        <f>IFERROR(aurora_data!Q1937,0)</f>
        <v>0</v>
      </c>
      <c r="S17" s="253">
        <f>IFERROR(aurora_data!R1937,0)</f>
        <v>2</v>
      </c>
      <c r="T17" s="253">
        <f>IFERROR(aurora_data!S1937,0)</f>
        <v>2</v>
      </c>
      <c r="U17" s="254">
        <f>IFERROR(aurora_data!T1537,0)</f>
        <v>0</v>
      </c>
      <c r="V17" s="61" t="s">
        <v>354</v>
      </c>
      <c r="W17" s="113">
        <f>IFERROR(aurora_data!U1937,0)</f>
        <v>4</v>
      </c>
      <c r="X17" s="255">
        <f t="shared" si="1"/>
        <v>0.16</v>
      </c>
      <c r="Y17" s="2"/>
      <c r="AA17" s="452"/>
      <c r="AB17" s="454"/>
      <c r="AC17" s="35" t="s">
        <v>341</v>
      </c>
      <c r="AD17" s="113">
        <f>IFERROR(aurora_data!D1937,0)+IFERROR(aurora_data!E1937,0)</f>
        <v>0</v>
      </c>
      <c r="AE17" s="253">
        <f>IFERROR(aurora_data!F1937,0)</f>
        <v>4</v>
      </c>
      <c r="AF17" s="253">
        <f>IFERROR(aurora_data!G1937,0)</f>
        <v>0</v>
      </c>
      <c r="AG17" s="253">
        <f>IFERROR(aurora_data!H1937,0)</f>
        <v>0</v>
      </c>
      <c r="AH17" s="61" t="s">
        <v>354</v>
      </c>
      <c r="AI17" s="113">
        <f>IFERROR(aurora_data!U1937,0)</f>
        <v>4</v>
      </c>
      <c r="AJ17" s="255">
        <f t="shared" si="0"/>
        <v>0.16</v>
      </c>
    </row>
    <row r="18" spans="1:36" customFormat="1" ht="16.5" thickBot="1">
      <c r="A18" s="2"/>
      <c r="B18" s="452"/>
      <c r="C18" s="454"/>
      <c r="D18" s="35" t="s">
        <v>342</v>
      </c>
      <c r="E18" s="113">
        <f>IFERROR(aurora_data!D1938,0)</f>
        <v>0</v>
      </c>
      <c r="F18" s="253">
        <f>IFERROR(aurora_data!E1938,0)</f>
        <v>0</v>
      </c>
      <c r="G18" s="253">
        <f>IFERROR(aurora_data!F1938,0)</f>
        <v>0</v>
      </c>
      <c r="H18" s="253">
        <f>IFERROR(aurora_data!G1938,0)</f>
        <v>0</v>
      </c>
      <c r="I18" s="254">
        <f>IFERROR(aurora_data!H1938,0)</f>
        <v>1</v>
      </c>
      <c r="J18" s="113">
        <f>IFERROR(aurora_data!I1938,0)</f>
        <v>0</v>
      </c>
      <c r="K18" s="253">
        <f>IFERROR(aurora_data!J1938,0)</f>
        <v>0</v>
      </c>
      <c r="L18" s="253">
        <f>IFERROR(aurora_data!K1938,0)</f>
        <v>0</v>
      </c>
      <c r="M18" s="253">
        <f>IFERROR(aurora_data!L1938,0)</f>
        <v>1</v>
      </c>
      <c r="N18" s="254">
        <f>IFERROR(aurora_data!M1938,0)</f>
        <v>0</v>
      </c>
      <c r="O18" s="113">
        <f>IFERROR(aurora_data!N1938,0)</f>
        <v>1</v>
      </c>
      <c r="P18" s="253">
        <f>IFERROR(aurora_data!O1938,0)</f>
        <v>0</v>
      </c>
      <c r="Q18" s="253">
        <f>IFERROR(aurora_data!P1938,0)</f>
        <v>0</v>
      </c>
      <c r="R18" s="254">
        <f>IFERROR(aurora_data!Q1938,0)</f>
        <v>0</v>
      </c>
      <c r="S18" s="253">
        <f>IFERROR(aurora_data!R1938,0)</f>
        <v>0</v>
      </c>
      <c r="T18" s="253">
        <f>IFERROR(aurora_data!S1938,0)</f>
        <v>1</v>
      </c>
      <c r="U18" s="254">
        <f>IFERROR(aurora_data!T1538,0)</f>
        <v>0</v>
      </c>
      <c r="V18" s="61" t="s">
        <v>354</v>
      </c>
      <c r="W18" s="113">
        <f>IFERROR(aurora_data!U1938,0)</f>
        <v>1</v>
      </c>
      <c r="X18" s="255">
        <f t="shared" si="1"/>
        <v>0.04</v>
      </c>
      <c r="Y18" s="2"/>
      <c r="AA18" s="452"/>
      <c r="AB18" s="454"/>
      <c r="AC18" s="35" t="s">
        <v>342</v>
      </c>
      <c r="AD18" s="113">
        <f>IFERROR(aurora_data!D1938,0)+IFERROR(aurora_data!E1938,0)</f>
        <v>0</v>
      </c>
      <c r="AE18" s="253">
        <f>IFERROR(aurora_data!F1938,0)</f>
        <v>0</v>
      </c>
      <c r="AF18" s="253">
        <f>IFERROR(aurora_data!G1938,0)</f>
        <v>0</v>
      </c>
      <c r="AG18" s="253">
        <f>IFERROR(aurora_data!H1938,0)</f>
        <v>1</v>
      </c>
      <c r="AH18" s="61" t="s">
        <v>354</v>
      </c>
      <c r="AI18" s="113">
        <f>IFERROR(aurora_data!U1938,0)</f>
        <v>1</v>
      </c>
      <c r="AJ18" s="255">
        <f t="shared" si="0"/>
        <v>0.04</v>
      </c>
    </row>
    <row r="19" spans="1:36" customFormat="1" ht="16.5" thickBot="1">
      <c r="A19" s="2"/>
      <c r="B19" s="452"/>
      <c r="C19" s="454"/>
      <c r="D19" s="37" t="s">
        <v>17</v>
      </c>
      <c r="E19" s="59">
        <f>IFERROR(aurora_data!D1939,0)</f>
        <v>0</v>
      </c>
      <c r="F19" s="64">
        <f>IFERROR(aurora_data!E1939,0)</f>
        <v>2</v>
      </c>
      <c r="G19" s="64">
        <f>IFERROR(aurora_data!F1939,0)</f>
        <v>7</v>
      </c>
      <c r="H19" s="64">
        <f>IFERROR(aurora_data!G1939,0)</f>
        <v>10</v>
      </c>
      <c r="I19" s="65">
        <f>IFERROR(aurora_data!H1939,0)</f>
        <v>11</v>
      </c>
      <c r="J19" s="59">
        <f>IFERROR(aurora_data!I1939,0)</f>
        <v>2</v>
      </c>
      <c r="K19" s="64">
        <f>IFERROR(aurora_data!J1939,0)</f>
        <v>3</v>
      </c>
      <c r="L19" s="64">
        <f>IFERROR(aurora_data!K1939,0)</f>
        <v>8</v>
      </c>
      <c r="M19" s="64">
        <f>IFERROR(aurora_data!L1939,0)</f>
        <v>5</v>
      </c>
      <c r="N19" s="65">
        <f>IFERROR(aurora_data!M1939,0)</f>
        <v>12</v>
      </c>
      <c r="O19" s="59">
        <f>IFERROR(aurora_data!N1939,0)</f>
        <v>9</v>
      </c>
      <c r="P19" s="64">
        <f>IFERROR(aurora_data!O1939,0)</f>
        <v>4</v>
      </c>
      <c r="Q19" s="64">
        <f>IFERROR(aurora_data!P1939,0)</f>
        <v>9</v>
      </c>
      <c r="R19" s="65">
        <f>IFERROR(aurora_data!Q1939,0)</f>
        <v>8</v>
      </c>
      <c r="S19" s="64">
        <f>IFERROR(aurora_data!R1939,0)</f>
        <v>18</v>
      </c>
      <c r="T19" s="64">
        <f>IFERROR(aurora_data!S1939,0)</f>
        <v>12</v>
      </c>
      <c r="U19" s="65">
        <f>IFERROR(aurora_data!T1539,0)</f>
        <v>0</v>
      </c>
      <c r="V19" s="66" t="s">
        <v>354</v>
      </c>
      <c r="W19" s="59">
        <f>IFERROR(aurora_data!U1939,0)</f>
        <v>30</v>
      </c>
      <c r="X19" s="70">
        <f t="shared" si="1"/>
        <v>1.2</v>
      </c>
      <c r="Y19" s="2"/>
      <c r="AA19" s="452"/>
      <c r="AB19" s="454"/>
      <c r="AC19" s="37" t="s">
        <v>17</v>
      </c>
      <c r="AD19" s="59">
        <f>IFERROR(aurora_data!D1939,0)+IFERROR(aurora_data!E1939,0)</f>
        <v>2</v>
      </c>
      <c r="AE19" s="64">
        <f>IFERROR(aurora_data!F1939,0)</f>
        <v>7</v>
      </c>
      <c r="AF19" s="64">
        <f>IFERROR(aurora_data!G1939,0)</f>
        <v>10</v>
      </c>
      <c r="AG19" s="64">
        <f>IFERROR(aurora_data!H1939,0)</f>
        <v>11</v>
      </c>
      <c r="AH19" s="66" t="s">
        <v>354</v>
      </c>
      <c r="AI19" s="59">
        <f>IFERROR(aurora_data!U1939,0)</f>
        <v>30</v>
      </c>
      <c r="AJ19" s="70">
        <f t="shared" si="0"/>
        <v>1.2</v>
      </c>
    </row>
    <row r="20" spans="1:36" customFormat="1" ht="17.25" customHeight="1" thickBot="1">
      <c r="A20" s="2"/>
      <c r="B20" s="452"/>
      <c r="C20" s="454"/>
      <c r="D20" s="38" t="s">
        <v>343</v>
      </c>
      <c r="E20" s="256">
        <f>IFERROR(aurora_data!D1940,0)</f>
        <v>0</v>
      </c>
      <c r="F20" s="257">
        <f>IFERROR(aurora_data!E1940,0)</f>
        <v>0</v>
      </c>
      <c r="G20" s="257">
        <f>IFERROR(aurora_data!F1940,0)</f>
        <v>0</v>
      </c>
      <c r="H20" s="257">
        <f>IFERROR(aurora_data!G1940,0)</f>
        <v>0</v>
      </c>
      <c r="I20" s="258">
        <f>IFERROR(aurora_data!H1940,0)</f>
        <v>0</v>
      </c>
      <c r="J20" s="256">
        <f>IFERROR(aurora_data!I1940,0)</f>
        <v>0</v>
      </c>
      <c r="K20" s="257">
        <f>IFERROR(aurora_data!J1940,0)</f>
        <v>0</v>
      </c>
      <c r="L20" s="257">
        <f>IFERROR(aurora_data!K1940,0)</f>
        <v>0</v>
      </c>
      <c r="M20" s="257">
        <f>IFERROR(aurora_data!L1940,0)</f>
        <v>0</v>
      </c>
      <c r="N20" s="258">
        <f>IFERROR(aurora_data!M1940,0)</f>
        <v>0</v>
      </c>
      <c r="O20" s="256">
        <f>IFERROR(aurora_data!N1940,0)</f>
        <v>0</v>
      </c>
      <c r="P20" s="257">
        <f>IFERROR(aurora_data!O1940,0)</f>
        <v>0</v>
      </c>
      <c r="Q20" s="257">
        <f>IFERROR(aurora_data!P1940,0)</f>
        <v>0</v>
      </c>
      <c r="R20" s="258">
        <f>IFERROR(aurora_data!Q1940,0)</f>
        <v>0</v>
      </c>
      <c r="S20" s="257">
        <f>IFERROR(aurora_data!R1940,0)</f>
        <v>0</v>
      </c>
      <c r="T20" s="257">
        <f>IFERROR(aurora_data!S1940,0)</f>
        <v>0</v>
      </c>
      <c r="U20" s="259">
        <f>IFERROR(aurora_data!T1540,0)</f>
        <v>0</v>
      </c>
      <c r="V20" s="260" t="s">
        <v>354</v>
      </c>
      <c r="W20" s="256">
        <f>IFERROR(aurora_data!U1940,0)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IFERROR(aurora_data!D1940,0)+IFERROR(aurora_data!E1940,0)</f>
        <v>0</v>
      </c>
      <c r="AE20" s="257">
        <f>IFERROR(aurora_data!F1940,0)</f>
        <v>0</v>
      </c>
      <c r="AF20" s="257">
        <f>IFERROR(aurora_data!G1940,0)</f>
        <v>0</v>
      </c>
      <c r="AG20" s="257">
        <f>IFERROR(aurora_data!H1940,0)</f>
        <v>0</v>
      </c>
      <c r="AH20" s="260" t="s">
        <v>354</v>
      </c>
      <c r="AI20" s="256">
        <f>IFERROR(aurora_data!U1940,0)</f>
        <v>0</v>
      </c>
      <c r="AJ20" s="261">
        <f t="shared" si="0"/>
        <v>0</v>
      </c>
    </row>
    <row r="21" spans="1:36" customFormat="1">
      <c r="A21" s="2"/>
      <c r="B21" s="451" t="s">
        <v>338</v>
      </c>
      <c r="C21" s="453" t="str">
        <f>aurora_data!A1941</f>
        <v>07.00.00-07.07.30</v>
      </c>
      <c r="D21" s="34" t="s">
        <v>306</v>
      </c>
      <c r="E21" s="39">
        <f>IFERROR(aurora_data!D1941,0)</f>
        <v>0.68</v>
      </c>
      <c r="F21" s="40">
        <f>IFERROR(aurora_data!E1941,0)</f>
        <v>1.32</v>
      </c>
      <c r="G21" s="40">
        <f>IFERROR(aurora_data!F1941,0)</f>
        <v>4.9000000000000004</v>
      </c>
      <c r="H21" s="40">
        <f>IFERROR(aurora_data!G1941,0)</f>
        <v>8.1300000000000008</v>
      </c>
      <c r="I21" s="41">
        <f>IFERROR(aurora_data!H1941,0)</f>
        <v>9.9700000000000006</v>
      </c>
      <c r="J21" s="39">
        <f>IFERROR(aurora_data!I1941,0)</f>
        <v>1</v>
      </c>
      <c r="K21" s="40">
        <f>IFERROR(aurora_data!J1941,0)</f>
        <v>1</v>
      </c>
      <c r="L21" s="40">
        <f>IFERROR(aurora_data!K1941,0)</f>
        <v>1</v>
      </c>
      <c r="M21" s="40">
        <f>IFERROR(aurora_data!L1941,0)</f>
        <v>1</v>
      </c>
      <c r="N21" s="41">
        <f>IFERROR(aurora_data!M1941,0)</f>
        <v>1</v>
      </c>
      <c r="O21" s="39">
        <f>IFERROR(aurora_data!N1941,0)</f>
        <v>1</v>
      </c>
      <c r="P21" s="40">
        <f>IFERROR(aurora_data!O1941,0)</f>
        <v>1</v>
      </c>
      <c r="Q21" s="40">
        <f>IFERROR(aurora_data!P1941,0)</f>
        <v>1</v>
      </c>
      <c r="R21" s="41">
        <f>IFERROR(aurora_data!Q1941,0)</f>
        <v>1</v>
      </c>
      <c r="S21" s="40">
        <f>IFERROR(aurora_data!R1941,0)</f>
        <v>1</v>
      </c>
      <c r="T21" s="40">
        <f>IFERROR(aurora_data!S1941,0)</f>
        <v>1</v>
      </c>
      <c r="U21" s="41">
        <f>IFERROR(aurora_data!T1541,0)</f>
        <v>0</v>
      </c>
      <c r="V21" s="61" t="s">
        <v>354</v>
      </c>
      <c r="W21" s="39">
        <f>IFERROR(aurora_data!U1941,0)</f>
        <v>25</v>
      </c>
      <c r="X21" s="69">
        <f>IFERROR(W21/$W$21,0)</f>
        <v>1</v>
      </c>
      <c r="Y21" s="2"/>
      <c r="AA21" s="451" t="s">
        <v>338</v>
      </c>
      <c r="AB21" s="453" t="str">
        <f>aurora_data!A1941</f>
        <v>07.00.00-07.07.30</v>
      </c>
      <c r="AC21" s="34" t="s">
        <v>306</v>
      </c>
      <c r="AD21" s="338">
        <f>IFERROR(aurora_data!D1941,0)+IFERROR(aurora_data!E1941,0)</f>
        <v>2</v>
      </c>
      <c r="AE21" s="40">
        <f>IFERROR(aurora_data!F1941,0)</f>
        <v>4.9000000000000004</v>
      </c>
      <c r="AF21" s="40">
        <f>IFERROR(aurora_data!G1941,0)</f>
        <v>8.1300000000000008</v>
      </c>
      <c r="AG21" s="40">
        <f>IFERROR(aurora_data!H1941,0)</f>
        <v>9.9700000000000006</v>
      </c>
      <c r="AH21" s="61" t="s">
        <v>354</v>
      </c>
      <c r="AI21" s="39">
        <f>IFERROR(aurora_data!U1941,0)</f>
        <v>25</v>
      </c>
      <c r="AJ21" s="69">
        <f t="shared" ref="AJ21:AJ29" si="2">IFERROR(AI21/$AI$21,0)</f>
        <v>1</v>
      </c>
    </row>
    <row r="22" spans="1:36" customFormat="1">
      <c r="A22" s="2"/>
      <c r="B22" s="452"/>
      <c r="C22" s="454"/>
      <c r="D22" s="35" t="s">
        <v>339</v>
      </c>
      <c r="E22" s="113">
        <f>IFERROR(aurora_data!D1942,0)</f>
        <v>1</v>
      </c>
      <c r="F22" s="253">
        <f>IFERROR(aurora_data!E1942,0)</f>
        <v>0</v>
      </c>
      <c r="G22" s="253">
        <f>IFERROR(aurora_data!F1942,0)</f>
        <v>2</v>
      </c>
      <c r="H22" s="253">
        <f>IFERROR(aurora_data!G1942,0)</f>
        <v>8</v>
      </c>
      <c r="I22" s="254">
        <f>IFERROR(aurora_data!H1942,0)</f>
        <v>10</v>
      </c>
      <c r="J22" s="113">
        <f>IFERROR(aurora_data!I1942,0)</f>
        <v>0</v>
      </c>
      <c r="K22" s="253">
        <f>IFERROR(aurora_data!J1942,0)</f>
        <v>4</v>
      </c>
      <c r="L22" s="253">
        <f>IFERROR(aurora_data!K1942,0)</f>
        <v>3</v>
      </c>
      <c r="M22" s="253">
        <f>IFERROR(aurora_data!L1942,0)</f>
        <v>4</v>
      </c>
      <c r="N22" s="254">
        <f>IFERROR(aurora_data!M1942,0)</f>
        <v>10</v>
      </c>
      <c r="O22" s="113">
        <f>IFERROR(aurora_data!N1942,0)</f>
        <v>8</v>
      </c>
      <c r="P22" s="253">
        <f>IFERROR(aurora_data!O1942,0)</f>
        <v>11</v>
      </c>
      <c r="Q22" s="253">
        <f>IFERROR(aurora_data!P1942,0)</f>
        <v>1</v>
      </c>
      <c r="R22" s="254">
        <f>IFERROR(aurora_data!Q1942,0)</f>
        <v>1</v>
      </c>
      <c r="S22" s="253">
        <f>IFERROR(aurora_data!R1942,0)</f>
        <v>9</v>
      </c>
      <c r="T22" s="253">
        <f>IFERROR(aurora_data!S1942,0)</f>
        <v>12</v>
      </c>
      <c r="U22" s="254">
        <f>IFERROR(aurora_data!T1542,0)</f>
        <v>0</v>
      </c>
      <c r="V22" s="61" t="s">
        <v>354</v>
      </c>
      <c r="W22" s="113">
        <f>IFERROR(aurora_data!U1942,0)</f>
        <v>21</v>
      </c>
      <c r="X22" s="255">
        <f t="shared" ref="X22:X29" si="3">IFERROR(W22/$W$21,0)</f>
        <v>0.84</v>
      </c>
      <c r="Y22" s="2"/>
      <c r="AA22" s="452"/>
      <c r="AB22" s="454"/>
      <c r="AC22" s="35" t="s">
        <v>339</v>
      </c>
      <c r="AD22" s="113">
        <f>IFERROR(aurora_data!D1942,0)+IFERROR(aurora_data!E1942,0)</f>
        <v>1</v>
      </c>
      <c r="AE22" s="253">
        <f>IFERROR(aurora_data!F1942,0)</f>
        <v>2</v>
      </c>
      <c r="AF22" s="253">
        <f>IFERROR(aurora_data!G1942,0)</f>
        <v>8</v>
      </c>
      <c r="AG22" s="253">
        <f>IFERROR(aurora_data!H1942,0)</f>
        <v>10</v>
      </c>
      <c r="AH22" s="61" t="s">
        <v>354</v>
      </c>
      <c r="AI22" s="113">
        <f>IFERROR(aurora_data!U1942,0)</f>
        <v>21</v>
      </c>
      <c r="AJ22" s="281">
        <f t="shared" si="2"/>
        <v>0.84</v>
      </c>
    </row>
    <row r="23" spans="1:36" customFormat="1">
      <c r="A23" s="2"/>
      <c r="B23" s="452"/>
      <c r="C23" s="454"/>
      <c r="D23" s="35" t="s">
        <v>291</v>
      </c>
      <c r="E23" s="113">
        <f>IFERROR(aurora_data!D1943,0)</f>
        <v>0</v>
      </c>
      <c r="F23" s="253">
        <f>IFERROR(aurora_data!E1943,0)</f>
        <v>0</v>
      </c>
      <c r="G23" s="253">
        <f>IFERROR(aurora_data!F1943,0)</f>
        <v>0</v>
      </c>
      <c r="H23" s="253">
        <f>IFERROR(aurora_data!G1943,0)</f>
        <v>1</v>
      </c>
      <c r="I23" s="254">
        <f>IFERROR(aurora_data!H1943,0)</f>
        <v>0</v>
      </c>
      <c r="J23" s="113">
        <f>IFERROR(aurora_data!I1943,0)</f>
        <v>0</v>
      </c>
      <c r="K23" s="253">
        <f>IFERROR(aurora_data!J1943,0)</f>
        <v>0</v>
      </c>
      <c r="L23" s="253">
        <f>IFERROR(aurora_data!K1943,0)</f>
        <v>0</v>
      </c>
      <c r="M23" s="253">
        <f>IFERROR(aurora_data!L1943,0)</f>
        <v>0</v>
      </c>
      <c r="N23" s="254">
        <f>IFERROR(aurora_data!M1943,0)</f>
        <v>1</v>
      </c>
      <c r="O23" s="113">
        <f>IFERROR(aurora_data!N1943,0)</f>
        <v>0</v>
      </c>
      <c r="P23" s="253">
        <f>IFERROR(aurora_data!O1943,0)</f>
        <v>0</v>
      </c>
      <c r="Q23" s="253">
        <f>IFERROR(aurora_data!P1943,0)</f>
        <v>0</v>
      </c>
      <c r="R23" s="254">
        <f>IFERROR(aurora_data!Q1943,0)</f>
        <v>1</v>
      </c>
      <c r="S23" s="253">
        <f>IFERROR(aurora_data!R1943,0)</f>
        <v>0</v>
      </c>
      <c r="T23" s="253">
        <f>IFERROR(aurora_data!S1943,0)</f>
        <v>1</v>
      </c>
      <c r="U23" s="254">
        <f>IFERROR(aurora_data!T1543,0)</f>
        <v>0</v>
      </c>
      <c r="V23" s="61" t="s">
        <v>354</v>
      </c>
      <c r="W23" s="113">
        <f>IFERROR(aurora_data!U1943,0)</f>
        <v>1</v>
      </c>
      <c r="X23" s="255">
        <f t="shared" si="3"/>
        <v>0.04</v>
      </c>
      <c r="Y23" s="2"/>
      <c r="AA23" s="452"/>
      <c r="AB23" s="454"/>
      <c r="AC23" s="35" t="s">
        <v>291</v>
      </c>
      <c r="AD23" s="113">
        <f>IFERROR(aurora_data!D1943,0)+IFERROR(aurora_data!E1943,0)</f>
        <v>0</v>
      </c>
      <c r="AE23" s="253">
        <f>IFERROR(aurora_data!F1943,0)</f>
        <v>0</v>
      </c>
      <c r="AF23" s="253">
        <f>IFERROR(aurora_data!G1943,0)</f>
        <v>1</v>
      </c>
      <c r="AG23" s="253">
        <f>IFERROR(aurora_data!H1943,0)</f>
        <v>0</v>
      </c>
      <c r="AH23" s="61" t="s">
        <v>354</v>
      </c>
      <c r="AI23" s="113">
        <f>IFERROR(aurora_data!U1943,0)</f>
        <v>1</v>
      </c>
      <c r="AJ23" s="255">
        <f t="shared" si="2"/>
        <v>0.04</v>
      </c>
    </row>
    <row r="24" spans="1:36" customFormat="1">
      <c r="A24" s="2"/>
      <c r="B24" s="452"/>
      <c r="C24" s="454"/>
      <c r="D24" s="35" t="s">
        <v>340</v>
      </c>
      <c r="E24" s="113">
        <f>IFERROR(aurora_data!D1944,0)</f>
        <v>0</v>
      </c>
      <c r="F24" s="253">
        <f>IFERROR(aurora_data!E1944,0)</f>
        <v>0</v>
      </c>
      <c r="G24" s="253">
        <f>IFERROR(aurora_data!F1944,0)</f>
        <v>0</v>
      </c>
      <c r="H24" s="253">
        <f>IFERROR(aurora_data!G1944,0)</f>
        <v>0</v>
      </c>
      <c r="I24" s="254">
        <f>IFERROR(aurora_data!H1944,0)</f>
        <v>0</v>
      </c>
      <c r="J24" s="113">
        <f>IFERROR(aurora_data!I1944,0)</f>
        <v>0</v>
      </c>
      <c r="K24" s="253">
        <f>IFERROR(aurora_data!J1944,0)</f>
        <v>0</v>
      </c>
      <c r="L24" s="253">
        <f>IFERROR(aurora_data!K1944,0)</f>
        <v>0</v>
      </c>
      <c r="M24" s="253">
        <f>IFERROR(aurora_data!L1944,0)</f>
        <v>0</v>
      </c>
      <c r="N24" s="254">
        <f>IFERROR(aurora_data!M1944,0)</f>
        <v>0</v>
      </c>
      <c r="O24" s="113">
        <f>IFERROR(aurora_data!N1944,0)</f>
        <v>0</v>
      </c>
      <c r="P24" s="253">
        <f>IFERROR(aurora_data!O1944,0)</f>
        <v>0</v>
      </c>
      <c r="Q24" s="253">
        <f>IFERROR(aurora_data!P1944,0)</f>
        <v>0</v>
      </c>
      <c r="R24" s="254">
        <f>IFERROR(aurora_data!Q1944,0)</f>
        <v>0</v>
      </c>
      <c r="S24" s="253">
        <f>IFERROR(aurora_data!R1944,0)</f>
        <v>0</v>
      </c>
      <c r="T24" s="253">
        <f>IFERROR(aurora_data!S1944,0)</f>
        <v>0</v>
      </c>
      <c r="U24" s="254">
        <f>IFERROR(aurora_data!T1544,0)</f>
        <v>0</v>
      </c>
      <c r="V24" s="61" t="s">
        <v>354</v>
      </c>
      <c r="W24" s="113">
        <f>IFERROR(aurora_data!U1944,0)</f>
        <v>0</v>
      </c>
      <c r="X24" s="255">
        <f t="shared" si="3"/>
        <v>0</v>
      </c>
      <c r="Y24" s="2"/>
      <c r="AA24" s="452"/>
      <c r="AB24" s="454"/>
      <c r="AC24" s="35" t="s">
        <v>340</v>
      </c>
      <c r="AD24" s="113">
        <f>IFERROR(aurora_data!D1944,0)+IFERROR(aurora_data!E1944,0)</f>
        <v>0</v>
      </c>
      <c r="AE24" s="253">
        <f>IFERROR(aurora_data!F1944,0)</f>
        <v>0</v>
      </c>
      <c r="AF24" s="253">
        <f>IFERROR(aurora_data!G1944,0)</f>
        <v>0</v>
      </c>
      <c r="AG24" s="253">
        <f>IFERROR(aurora_data!H1944,0)</f>
        <v>0</v>
      </c>
      <c r="AH24" s="61" t="s">
        <v>354</v>
      </c>
      <c r="AI24" s="113">
        <f>IFERROR(aurora_data!U1944,0)</f>
        <v>0</v>
      </c>
      <c r="AJ24" s="255">
        <f t="shared" si="2"/>
        <v>0</v>
      </c>
    </row>
    <row r="25" spans="1:36" customFormat="1">
      <c r="A25" s="2"/>
      <c r="B25" s="452"/>
      <c r="C25" s="454"/>
      <c r="D25" s="35" t="s">
        <v>298</v>
      </c>
      <c r="E25" s="113">
        <f>IFERROR(aurora_data!D1945,0)</f>
        <v>0</v>
      </c>
      <c r="F25" s="253">
        <f>IFERROR(aurora_data!E1945,0)</f>
        <v>0</v>
      </c>
      <c r="G25" s="253">
        <f>IFERROR(aurora_data!F1945,0)</f>
        <v>0</v>
      </c>
      <c r="H25" s="253">
        <f>IFERROR(aurora_data!G1945,0)</f>
        <v>0</v>
      </c>
      <c r="I25" s="254">
        <f>IFERROR(aurora_data!H1945,0)</f>
        <v>1</v>
      </c>
      <c r="J25" s="113">
        <f>IFERROR(aurora_data!I1945,0)</f>
        <v>1</v>
      </c>
      <c r="K25" s="253">
        <f>IFERROR(aurora_data!J1945,0)</f>
        <v>0</v>
      </c>
      <c r="L25" s="253">
        <f>IFERROR(aurora_data!K1945,0)</f>
        <v>0</v>
      </c>
      <c r="M25" s="253">
        <f>IFERROR(aurora_data!L1945,0)</f>
        <v>0</v>
      </c>
      <c r="N25" s="254">
        <f>IFERROR(aurora_data!M1945,0)</f>
        <v>0</v>
      </c>
      <c r="O25" s="113">
        <f>IFERROR(aurora_data!N1945,0)</f>
        <v>1</v>
      </c>
      <c r="P25" s="253">
        <f>IFERROR(aurora_data!O1945,0)</f>
        <v>0</v>
      </c>
      <c r="Q25" s="253">
        <f>IFERROR(aurora_data!P1945,0)</f>
        <v>0</v>
      </c>
      <c r="R25" s="254">
        <f>IFERROR(aurora_data!Q1945,0)</f>
        <v>0</v>
      </c>
      <c r="S25" s="253">
        <f>IFERROR(aurora_data!R1945,0)</f>
        <v>1</v>
      </c>
      <c r="T25" s="253">
        <f>IFERROR(aurora_data!S1945,0)</f>
        <v>0</v>
      </c>
      <c r="U25" s="254">
        <f>IFERROR(aurora_data!T1545,0)</f>
        <v>0</v>
      </c>
      <c r="V25" s="61" t="s">
        <v>354</v>
      </c>
      <c r="W25" s="113">
        <f>IFERROR(aurora_data!U1945,0)</f>
        <v>1</v>
      </c>
      <c r="X25" s="255">
        <f t="shared" si="3"/>
        <v>0.04</v>
      </c>
      <c r="Y25" s="2"/>
      <c r="AA25" s="452"/>
      <c r="AB25" s="454"/>
      <c r="AC25" s="35" t="s">
        <v>298</v>
      </c>
      <c r="AD25" s="113">
        <f>IFERROR(aurora_data!D1945,0)+IFERROR(aurora_data!E1945,0)</f>
        <v>0</v>
      </c>
      <c r="AE25" s="253">
        <f>IFERROR(aurora_data!F1945,0)</f>
        <v>0</v>
      </c>
      <c r="AF25" s="253">
        <f>IFERROR(aurora_data!G1945,0)</f>
        <v>0</v>
      </c>
      <c r="AG25" s="253">
        <f>IFERROR(aurora_data!H1945,0)</f>
        <v>1</v>
      </c>
      <c r="AH25" s="61" t="s">
        <v>354</v>
      </c>
      <c r="AI25" s="113">
        <f>IFERROR(aurora_data!U1945,0)</f>
        <v>1</v>
      </c>
      <c r="AJ25" s="255">
        <f t="shared" si="2"/>
        <v>0.04</v>
      </c>
    </row>
    <row r="26" spans="1:36" customFormat="1">
      <c r="A26" s="2"/>
      <c r="B26" s="452"/>
      <c r="C26" s="454"/>
      <c r="D26" s="35" t="s">
        <v>341</v>
      </c>
      <c r="E26" s="113">
        <f>IFERROR(aurora_data!D1946,0)</f>
        <v>0</v>
      </c>
      <c r="F26" s="253">
        <f>IFERROR(aurora_data!E1946,0)</f>
        <v>0</v>
      </c>
      <c r="G26" s="253">
        <f>IFERROR(aurora_data!F1946,0)</f>
        <v>1</v>
      </c>
      <c r="H26" s="253">
        <f>IFERROR(aurora_data!G1946,0)</f>
        <v>2</v>
      </c>
      <c r="I26" s="254">
        <f>IFERROR(aurora_data!H1946,0)</f>
        <v>0</v>
      </c>
      <c r="J26" s="113">
        <f>IFERROR(aurora_data!I1946,0)</f>
        <v>0</v>
      </c>
      <c r="K26" s="253">
        <f>IFERROR(aurora_data!J1946,0)</f>
        <v>1</v>
      </c>
      <c r="L26" s="253">
        <f>IFERROR(aurora_data!K1946,0)</f>
        <v>0</v>
      </c>
      <c r="M26" s="253">
        <f>IFERROR(aurora_data!L1946,0)</f>
        <v>1</v>
      </c>
      <c r="N26" s="254">
        <f>IFERROR(aurora_data!M1946,0)</f>
        <v>1</v>
      </c>
      <c r="O26" s="113">
        <f>IFERROR(aurora_data!N1946,0)</f>
        <v>1</v>
      </c>
      <c r="P26" s="253">
        <f>IFERROR(aurora_data!O1946,0)</f>
        <v>1</v>
      </c>
      <c r="Q26" s="253">
        <f>IFERROR(aurora_data!P1946,0)</f>
        <v>1</v>
      </c>
      <c r="R26" s="254">
        <f>IFERROR(aurora_data!Q1946,0)</f>
        <v>0</v>
      </c>
      <c r="S26" s="253">
        <f>IFERROR(aurora_data!R1946,0)</f>
        <v>2</v>
      </c>
      <c r="T26" s="253">
        <f>IFERROR(aurora_data!S1946,0)</f>
        <v>1</v>
      </c>
      <c r="U26" s="254">
        <f>IFERROR(aurora_data!T1546,0)</f>
        <v>0</v>
      </c>
      <c r="V26" s="61" t="s">
        <v>354</v>
      </c>
      <c r="W26" s="113">
        <f>IFERROR(aurora_data!U1946,0)</f>
        <v>3</v>
      </c>
      <c r="X26" s="255">
        <f t="shared" si="3"/>
        <v>0.12</v>
      </c>
      <c r="Y26" s="2"/>
      <c r="AA26" s="452"/>
      <c r="AB26" s="454"/>
      <c r="AC26" s="35" t="s">
        <v>341</v>
      </c>
      <c r="AD26" s="113">
        <f>IFERROR(aurora_data!D1946,0)+IFERROR(aurora_data!E1946,0)</f>
        <v>0</v>
      </c>
      <c r="AE26" s="253">
        <f>IFERROR(aurora_data!F1946,0)</f>
        <v>1</v>
      </c>
      <c r="AF26" s="253">
        <f>IFERROR(aurora_data!G1946,0)</f>
        <v>2</v>
      </c>
      <c r="AG26" s="253">
        <f>IFERROR(aurora_data!H1946,0)</f>
        <v>0</v>
      </c>
      <c r="AH26" s="61" t="s">
        <v>354</v>
      </c>
      <c r="AI26" s="113">
        <f>IFERROR(aurora_data!U1946,0)</f>
        <v>3</v>
      </c>
      <c r="AJ26" s="255">
        <f t="shared" si="2"/>
        <v>0.12</v>
      </c>
    </row>
    <row r="27" spans="1:36" customFormat="1" ht="16.5" thickBot="1">
      <c r="A27" s="2"/>
      <c r="B27" s="452"/>
      <c r="C27" s="454"/>
      <c r="D27" s="35" t="s">
        <v>342</v>
      </c>
      <c r="E27" s="113">
        <f>IFERROR(aurora_data!D1947,0)</f>
        <v>0</v>
      </c>
      <c r="F27" s="253">
        <f>IFERROR(aurora_data!E1947,0)</f>
        <v>0</v>
      </c>
      <c r="G27" s="253">
        <f>IFERROR(aurora_data!F1947,0)</f>
        <v>0</v>
      </c>
      <c r="H27" s="253">
        <f>IFERROR(aurora_data!G1947,0)</f>
        <v>0</v>
      </c>
      <c r="I27" s="254">
        <f>IFERROR(aurora_data!H1947,0)</f>
        <v>0</v>
      </c>
      <c r="J27" s="113">
        <f>IFERROR(aurora_data!I1947,0)</f>
        <v>0</v>
      </c>
      <c r="K27" s="253">
        <f>IFERROR(aurora_data!J1947,0)</f>
        <v>0</v>
      </c>
      <c r="L27" s="253">
        <f>IFERROR(aurora_data!K1947,0)</f>
        <v>0</v>
      </c>
      <c r="M27" s="253">
        <f>IFERROR(aurora_data!L1947,0)</f>
        <v>0</v>
      </c>
      <c r="N27" s="254">
        <f>IFERROR(aurora_data!M1947,0)</f>
        <v>0</v>
      </c>
      <c r="O27" s="113">
        <f>IFERROR(aurora_data!N1947,0)</f>
        <v>0</v>
      </c>
      <c r="P27" s="253">
        <f>IFERROR(aurora_data!O1947,0)</f>
        <v>0</v>
      </c>
      <c r="Q27" s="253">
        <f>IFERROR(aurora_data!P1947,0)</f>
        <v>0</v>
      </c>
      <c r="R27" s="254">
        <f>IFERROR(aurora_data!Q1947,0)</f>
        <v>0</v>
      </c>
      <c r="S27" s="253">
        <f>IFERROR(aurora_data!R1947,0)</f>
        <v>0</v>
      </c>
      <c r="T27" s="253">
        <f>IFERROR(aurora_data!S1947,0)</f>
        <v>0</v>
      </c>
      <c r="U27" s="254">
        <f>IFERROR(aurora_data!T1547,0)</f>
        <v>0</v>
      </c>
      <c r="V27" s="61" t="s">
        <v>354</v>
      </c>
      <c r="W27" s="113">
        <f>IFERROR(aurora_data!U1947,0)</f>
        <v>0</v>
      </c>
      <c r="X27" s="255">
        <f t="shared" si="3"/>
        <v>0</v>
      </c>
      <c r="Y27" s="2"/>
      <c r="AA27" s="452"/>
      <c r="AB27" s="454"/>
      <c r="AC27" s="35" t="s">
        <v>342</v>
      </c>
      <c r="AD27" s="113">
        <f>IFERROR(aurora_data!D1947,0)+IFERROR(aurora_data!E1947,0)</f>
        <v>0</v>
      </c>
      <c r="AE27" s="253">
        <f>IFERROR(aurora_data!F1947,0)</f>
        <v>0</v>
      </c>
      <c r="AF27" s="253">
        <f>IFERROR(aurora_data!G1947,0)</f>
        <v>0</v>
      </c>
      <c r="AG27" s="253">
        <f>IFERROR(aurora_data!H1947,0)</f>
        <v>0</v>
      </c>
      <c r="AH27" s="61" t="s">
        <v>354</v>
      </c>
      <c r="AI27" s="113">
        <f>IFERROR(aurora_data!U1947,0)</f>
        <v>0</v>
      </c>
      <c r="AJ27" s="255">
        <f t="shared" si="2"/>
        <v>0</v>
      </c>
    </row>
    <row r="28" spans="1:36" customFormat="1" ht="16.5" thickBot="1">
      <c r="A28" s="2"/>
      <c r="B28" s="452"/>
      <c r="C28" s="454"/>
      <c r="D28" s="37" t="s">
        <v>17</v>
      </c>
      <c r="E28" s="59">
        <f>IFERROR(aurora_data!D1948,0)</f>
        <v>1</v>
      </c>
      <c r="F28" s="64">
        <f>IFERROR(aurora_data!E1948,0)</f>
        <v>0</v>
      </c>
      <c r="G28" s="64">
        <f>IFERROR(aurora_data!F1948,0)</f>
        <v>3</v>
      </c>
      <c r="H28" s="64">
        <f>IFERROR(aurora_data!G1948,0)</f>
        <v>11</v>
      </c>
      <c r="I28" s="65">
        <f>IFERROR(aurora_data!H1948,0)</f>
        <v>11</v>
      </c>
      <c r="J28" s="59">
        <f>IFERROR(aurora_data!I1948,0)</f>
        <v>1</v>
      </c>
      <c r="K28" s="64">
        <f>IFERROR(aurora_data!J1948,0)</f>
        <v>5</v>
      </c>
      <c r="L28" s="64">
        <f>IFERROR(aurora_data!K1948,0)</f>
        <v>3</v>
      </c>
      <c r="M28" s="64">
        <f>IFERROR(aurora_data!L1948,0)</f>
        <v>5</v>
      </c>
      <c r="N28" s="65">
        <f>IFERROR(aurora_data!M1948,0)</f>
        <v>12</v>
      </c>
      <c r="O28" s="59">
        <f>IFERROR(aurora_data!N1948,0)</f>
        <v>10</v>
      </c>
      <c r="P28" s="64">
        <f>IFERROR(aurora_data!O1948,0)</f>
        <v>12</v>
      </c>
      <c r="Q28" s="64">
        <f>IFERROR(aurora_data!P1948,0)</f>
        <v>2</v>
      </c>
      <c r="R28" s="65">
        <f>IFERROR(aurora_data!Q1948,0)</f>
        <v>2</v>
      </c>
      <c r="S28" s="64">
        <f>IFERROR(aurora_data!R1948,0)</f>
        <v>12</v>
      </c>
      <c r="T28" s="64">
        <f>IFERROR(aurora_data!S1948,0)</f>
        <v>14</v>
      </c>
      <c r="U28" s="65">
        <f>IFERROR(aurora_data!T1548,0)</f>
        <v>0</v>
      </c>
      <c r="V28" s="66" t="s">
        <v>354</v>
      </c>
      <c r="W28" s="59">
        <f>IFERROR(aurora_data!U1948,0)</f>
        <v>26</v>
      </c>
      <c r="X28" s="70">
        <f t="shared" si="3"/>
        <v>1.04</v>
      </c>
      <c r="Y28" s="2"/>
      <c r="AA28" s="452"/>
      <c r="AB28" s="454"/>
      <c r="AC28" s="37" t="s">
        <v>17</v>
      </c>
      <c r="AD28" s="59">
        <f>IFERROR(aurora_data!D1948,0)+IFERROR(aurora_data!E1948,0)</f>
        <v>1</v>
      </c>
      <c r="AE28" s="64">
        <f>IFERROR(aurora_data!F1948,0)</f>
        <v>3</v>
      </c>
      <c r="AF28" s="64">
        <f>IFERROR(aurora_data!G1948,0)</f>
        <v>11</v>
      </c>
      <c r="AG28" s="64">
        <f>IFERROR(aurora_data!H1948,0)</f>
        <v>11</v>
      </c>
      <c r="AH28" s="66" t="s">
        <v>354</v>
      </c>
      <c r="AI28" s="59">
        <f>IFERROR(aurora_data!U1948,0)</f>
        <v>26</v>
      </c>
      <c r="AJ28" s="70">
        <f t="shared" si="2"/>
        <v>1.04</v>
      </c>
    </row>
    <row r="29" spans="1:36" customFormat="1" ht="16.5" thickBot="1">
      <c r="A29" s="2"/>
      <c r="B29" s="452"/>
      <c r="C29" s="454"/>
      <c r="D29" s="38" t="s">
        <v>343</v>
      </c>
      <c r="E29" s="256">
        <f>IFERROR(aurora_data!D1949,0)</f>
        <v>0</v>
      </c>
      <c r="F29" s="257">
        <f>IFERROR(aurora_data!E1949,0)</f>
        <v>0</v>
      </c>
      <c r="G29" s="257">
        <f>IFERROR(aurora_data!F1949,0)</f>
        <v>0</v>
      </c>
      <c r="H29" s="257">
        <f>IFERROR(aurora_data!G1949,0)</f>
        <v>0</v>
      </c>
      <c r="I29" s="258">
        <f>IFERROR(aurora_data!H1949,0)</f>
        <v>0</v>
      </c>
      <c r="J29" s="256">
        <f>IFERROR(aurora_data!I1949,0)</f>
        <v>0</v>
      </c>
      <c r="K29" s="257">
        <f>IFERROR(aurora_data!J1949,0)</f>
        <v>0</v>
      </c>
      <c r="L29" s="257">
        <f>IFERROR(aurora_data!K1949,0)</f>
        <v>0</v>
      </c>
      <c r="M29" s="257">
        <f>IFERROR(aurora_data!L1949,0)</f>
        <v>0</v>
      </c>
      <c r="N29" s="258">
        <f>IFERROR(aurora_data!M1949,0)</f>
        <v>0</v>
      </c>
      <c r="O29" s="256">
        <f>IFERROR(aurora_data!N1949,0)</f>
        <v>0</v>
      </c>
      <c r="P29" s="257">
        <f>IFERROR(aurora_data!O1949,0)</f>
        <v>0</v>
      </c>
      <c r="Q29" s="257">
        <f>IFERROR(aurora_data!P1949,0)</f>
        <v>0</v>
      </c>
      <c r="R29" s="258">
        <f>IFERROR(aurora_data!Q1949,0)</f>
        <v>0</v>
      </c>
      <c r="S29" s="257">
        <f>IFERROR(aurora_data!R1949,0)</f>
        <v>0</v>
      </c>
      <c r="T29" s="257">
        <f>IFERROR(aurora_data!S1949,0)</f>
        <v>0</v>
      </c>
      <c r="U29" s="259">
        <f>IFERROR(aurora_data!T1549,0)</f>
        <v>0</v>
      </c>
      <c r="V29" s="260" t="s">
        <v>354</v>
      </c>
      <c r="W29" s="256">
        <f>IFERROR(aurora_data!U1949,0)</f>
        <v>0</v>
      </c>
      <c r="X29" s="261">
        <f t="shared" si="3"/>
        <v>0</v>
      </c>
      <c r="Y29" s="2"/>
      <c r="AA29" s="452"/>
      <c r="AB29" s="454"/>
      <c r="AC29" s="38" t="s">
        <v>343</v>
      </c>
      <c r="AD29" s="256">
        <f>IFERROR(aurora_data!D1949,0)+IFERROR(aurora_data!E1949,0)</f>
        <v>0</v>
      </c>
      <c r="AE29" s="257">
        <f>IFERROR(aurora_data!F1949,0)</f>
        <v>0</v>
      </c>
      <c r="AF29" s="257">
        <f>IFERROR(aurora_data!G1949,0)</f>
        <v>0</v>
      </c>
      <c r="AG29" s="257">
        <f>IFERROR(aurora_data!H1949,0)</f>
        <v>0</v>
      </c>
      <c r="AH29" s="260" t="s">
        <v>354</v>
      </c>
      <c r="AI29" s="256">
        <f>IFERROR(aurora_data!U1949,0)</f>
        <v>0</v>
      </c>
      <c r="AJ29" s="261">
        <f t="shared" si="2"/>
        <v>0</v>
      </c>
    </row>
    <row r="30" spans="1:36" customFormat="1">
      <c r="A30" s="2"/>
      <c r="B30" s="451" t="s">
        <v>338</v>
      </c>
      <c r="C30" s="449" t="s">
        <v>150</v>
      </c>
      <c r="D30" s="34" t="s">
        <v>306</v>
      </c>
      <c r="E30" s="39">
        <f>IFERROR(aurora_data!D1950,0)</f>
        <v>1.33</v>
      </c>
      <c r="F30" s="40">
        <f>IFERROR(aurora_data!E1950,0)</f>
        <v>2.56</v>
      </c>
      <c r="G30" s="40">
        <f>IFERROR(aurora_data!F1950,0)</f>
        <v>9.86</v>
      </c>
      <c r="H30" s="40">
        <f>IFERROR(aurora_data!G1950,0)</f>
        <v>16.170000000000002</v>
      </c>
      <c r="I30" s="41">
        <f>IFERROR(aurora_data!H1950,0)</f>
        <v>20.079999999999998</v>
      </c>
      <c r="J30" s="39">
        <f>IFERROR(aurora_data!I1950,0)</f>
        <v>2</v>
      </c>
      <c r="K30" s="40">
        <f>IFERROR(aurora_data!J1950,0)</f>
        <v>2</v>
      </c>
      <c r="L30" s="40">
        <f>IFERROR(aurora_data!K1950,0)</f>
        <v>2</v>
      </c>
      <c r="M30" s="40">
        <f>IFERROR(aurora_data!L1950,0)</f>
        <v>2</v>
      </c>
      <c r="N30" s="41">
        <f>IFERROR(aurora_data!M1950,0)</f>
        <v>2</v>
      </c>
      <c r="O30" s="39">
        <f>IFERROR(aurora_data!N1950,0)</f>
        <v>2</v>
      </c>
      <c r="P30" s="40">
        <f>IFERROR(aurora_data!O1950,0)</f>
        <v>2</v>
      </c>
      <c r="Q30" s="40">
        <f>IFERROR(aurora_data!P1950,0)</f>
        <v>2</v>
      </c>
      <c r="R30" s="41">
        <f>IFERROR(aurora_data!Q1950,0)</f>
        <v>2</v>
      </c>
      <c r="S30" s="40">
        <f>IFERROR(aurora_data!R1950,0)</f>
        <v>2</v>
      </c>
      <c r="T30" s="40">
        <f>IFERROR(aurora_data!S1950,0)</f>
        <v>2</v>
      </c>
      <c r="U30" s="41">
        <f>IFERROR(aurora_data!T1550,0)</f>
        <v>0</v>
      </c>
      <c r="V30" s="61" t="s">
        <v>354</v>
      </c>
      <c r="W30" s="39">
        <f>IFERROR(aurora_data!U1950,0)</f>
        <v>50</v>
      </c>
      <c r="X30" s="69">
        <f>IFERROR(W30/$W$30,0)</f>
        <v>1</v>
      </c>
      <c r="Y30" s="2"/>
      <c r="AA30" s="451" t="s">
        <v>338</v>
      </c>
      <c r="AB30" s="449" t="s">
        <v>150</v>
      </c>
      <c r="AC30" s="34" t="s">
        <v>306</v>
      </c>
      <c r="AD30" s="338">
        <f>IFERROR(aurora_data!D1950,0)+IFERROR(aurora_data!E1950,0)</f>
        <v>3.89</v>
      </c>
      <c r="AE30" s="40">
        <f>IFERROR(aurora_data!F1950,0)</f>
        <v>9.86</v>
      </c>
      <c r="AF30" s="40">
        <f>IFERROR(aurora_data!G1950,0)</f>
        <v>16.170000000000002</v>
      </c>
      <c r="AG30" s="40">
        <f>IFERROR(aurora_data!H1950,0)</f>
        <v>20.079999999999998</v>
      </c>
      <c r="AH30" s="61" t="s">
        <v>354</v>
      </c>
      <c r="AI30" s="39">
        <f>IFERROR(aurora_data!U1950,0)</f>
        <v>50</v>
      </c>
      <c r="AJ30" s="69">
        <f t="shared" ref="AJ30:AJ38" si="4">IFERROR(AI30/$AI$30,0)</f>
        <v>1</v>
      </c>
    </row>
    <row r="31" spans="1:36" customFormat="1" ht="16.5" customHeight="1">
      <c r="A31" s="2"/>
      <c r="B31" s="452"/>
      <c r="C31" s="450"/>
      <c r="D31" s="35" t="s">
        <v>339</v>
      </c>
      <c r="E31" s="113">
        <f>IFERROR(aurora_data!D1951,0)</f>
        <v>1</v>
      </c>
      <c r="F31" s="253">
        <f>IFERROR(aurora_data!E1951,0)</f>
        <v>1</v>
      </c>
      <c r="G31" s="253">
        <f>IFERROR(aurora_data!F1951,0)</f>
        <v>5</v>
      </c>
      <c r="H31" s="253">
        <f>IFERROR(aurora_data!G1951,0)</f>
        <v>16</v>
      </c>
      <c r="I31" s="254">
        <f>IFERROR(aurora_data!H1951,0)</f>
        <v>20</v>
      </c>
      <c r="J31" s="113">
        <f>IFERROR(aurora_data!I1951,0)</f>
        <v>2</v>
      </c>
      <c r="K31" s="253">
        <f>IFERROR(aurora_data!J1951,0)</f>
        <v>7</v>
      </c>
      <c r="L31" s="253">
        <f>IFERROR(aurora_data!K1951,0)</f>
        <v>6</v>
      </c>
      <c r="M31" s="253">
        <f>IFERROR(aurora_data!L1951,0)</f>
        <v>7</v>
      </c>
      <c r="N31" s="254">
        <f>IFERROR(aurora_data!M1951,0)</f>
        <v>21</v>
      </c>
      <c r="O31" s="113">
        <f>IFERROR(aurora_data!N1951,0)</f>
        <v>13</v>
      </c>
      <c r="P31" s="253">
        <f>IFERROR(aurora_data!O1951,0)</f>
        <v>15</v>
      </c>
      <c r="Q31" s="253">
        <f>IFERROR(aurora_data!P1951,0)</f>
        <v>7</v>
      </c>
      <c r="R31" s="254">
        <f>IFERROR(aurora_data!Q1951,0)</f>
        <v>8</v>
      </c>
      <c r="S31" s="253">
        <f>IFERROR(aurora_data!R1951,0)</f>
        <v>22</v>
      </c>
      <c r="T31" s="253">
        <f>IFERROR(aurora_data!S1951,0)</f>
        <v>21</v>
      </c>
      <c r="U31" s="254">
        <f>IFERROR(aurora_data!T1551,0)</f>
        <v>0</v>
      </c>
      <c r="V31" s="61" t="s">
        <v>354</v>
      </c>
      <c r="W31" s="113">
        <f>IFERROR(aurora_data!U1951,0)</f>
        <v>43</v>
      </c>
      <c r="X31" s="255">
        <f t="shared" ref="X31:X38" si="5">IFERROR(W31/$W$30,0)</f>
        <v>0.86</v>
      </c>
      <c r="Y31" s="2"/>
      <c r="AA31" s="452"/>
      <c r="AB31" s="450"/>
      <c r="AC31" s="35" t="s">
        <v>339</v>
      </c>
      <c r="AD31" s="113">
        <f>IFERROR(aurora_data!D1951,0)+IFERROR(aurora_data!E1951,0)</f>
        <v>2</v>
      </c>
      <c r="AE31" s="253">
        <f>IFERROR(aurora_data!F1951,0)</f>
        <v>5</v>
      </c>
      <c r="AF31" s="253">
        <f>IFERROR(aurora_data!G1951,0)</f>
        <v>16</v>
      </c>
      <c r="AG31" s="253">
        <f>IFERROR(aurora_data!H1951,0)</f>
        <v>20</v>
      </c>
      <c r="AH31" s="61" t="s">
        <v>354</v>
      </c>
      <c r="AI31" s="113">
        <f>IFERROR(aurora_data!U1951,0)</f>
        <v>43</v>
      </c>
      <c r="AJ31" s="255">
        <f t="shared" si="4"/>
        <v>0.86</v>
      </c>
    </row>
    <row r="32" spans="1:36" customFormat="1" ht="16.5" customHeight="1">
      <c r="A32" s="2"/>
      <c r="B32" s="452"/>
      <c r="C32" s="450"/>
      <c r="D32" s="35" t="s">
        <v>291</v>
      </c>
      <c r="E32" s="113">
        <f>IFERROR(aurora_data!D1952,0)</f>
        <v>0</v>
      </c>
      <c r="F32" s="253">
        <f>IFERROR(aurora_data!E1952,0)</f>
        <v>0</v>
      </c>
      <c r="G32" s="253">
        <f>IFERROR(aurora_data!F1952,0)</f>
        <v>0</v>
      </c>
      <c r="H32" s="253">
        <f>IFERROR(aurora_data!G1952,0)</f>
        <v>1</v>
      </c>
      <c r="I32" s="254">
        <f>IFERROR(aurora_data!H1952,0)</f>
        <v>0</v>
      </c>
      <c r="J32" s="113">
        <f>IFERROR(aurora_data!I1952,0)</f>
        <v>0</v>
      </c>
      <c r="K32" s="253">
        <f>IFERROR(aurora_data!J1952,0)</f>
        <v>0</v>
      </c>
      <c r="L32" s="253">
        <f>IFERROR(aurora_data!K1952,0)</f>
        <v>0</v>
      </c>
      <c r="M32" s="253">
        <f>IFERROR(aurora_data!L1952,0)</f>
        <v>0</v>
      </c>
      <c r="N32" s="254">
        <f>IFERROR(aurora_data!M1952,0)</f>
        <v>1</v>
      </c>
      <c r="O32" s="113">
        <f>IFERROR(aurora_data!N1952,0)</f>
        <v>0</v>
      </c>
      <c r="P32" s="253">
        <f>IFERROR(aurora_data!O1952,0)</f>
        <v>0</v>
      </c>
      <c r="Q32" s="253">
        <f>IFERROR(aurora_data!P1952,0)</f>
        <v>0</v>
      </c>
      <c r="R32" s="254">
        <f>IFERROR(aurora_data!Q1952,0)</f>
        <v>1</v>
      </c>
      <c r="S32" s="253">
        <f>IFERROR(aurora_data!R1952,0)</f>
        <v>0</v>
      </c>
      <c r="T32" s="253">
        <f>IFERROR(aurora_data!S1952,0)</f>
        <v>1</v>
      </c>
      <c r="U32" s="254">
        <f>IFERROR(aurora_data!T1552,0)</f>
        <v>0</v>
      </c>
      <c r="V32" s="61" t="s">
        <v>354</v>
      </c>
      <c r="W32" s="113">
        <f>IFERROR(aurora_data!U1952,0)</f>
        <v>1</v>
      </c>
      <c r="X32" s="255">
        <f t="shared" si="5"/>
        <v>0.02</v>
      </c>
      <c r="Y32" s="2"/>
      <c r="AA32" s="452"/>
      <c r="AB32" s="450"/>
      <c r="AC32" s="35" t="s">
        <v>291</v>
      </c>
      <c r="AD32" s="113">
        <f>IFERROR(aurora_data!D1952,0)+IFERROR(aurora_data!E1952,0)</f>
        <v>0</v>
      </c>
      <c r="AE32" s="253">
        <f>IFERROR(aurora_data!F1952,0)</f>
        <v>0</v>
      </c>
      <c r="AF32" s="253">
        <f>IFERROR(aurora_data!G1952,0)</f>
        <v>1</v>
      </c>
      <c r="AG32" s="253">
        <f>IFERROR(aurora_data!H1952,0)</f>
        <v>0</v>
      </c>
      <c r="AH32" s="61" t="s">
        <v>354</v>
      </c>
      <c r="AI32" s="113">
        <f>IFERROR(aurora_data!U1952,0)</f>
        <v>1</v>
      </c>
      <c r="AJ32" s="255">
        <f t="shared" si="4"/>
        <v>0.02</v>
      </c>
    </row>
    <row r="33" spans="1:36" customFormat="1">
      <c r="A33" s="2"/>
      <c r="B33" s="452"/>
      <c r="C33" s="450"/>
      <c r="D33" s="35" t="s">
        <v>340</v>
      </c>
      <c r="E33" s="113">
        <f>IFERROR(aurora_data!D1953,0)</f>
        <v>0</v>
      </c>
      <c r="F33" s="253">
        <f>IFERROR(aurora_data!E1953,0)</f>
        <v>0</v>
      </c>
      <c r="G33" s="253">
        <f>IFERROR(aurora_data!F1953,0)</f>
        <v>0</v>
      </c>
      <c r="H33" s="253">
        <f>IFERROR(aurora_data!G1953,0)</f>
        <v>0</v>
      </c>
      <c r="I33" s="254">
        <f>IFERROR(aurora_data!H1953,0)</f>
        <v>0</v>
      </c>
      <c r="J33" s="113">
        <f>IFERROR(aurora_data!I1953,0)</f>
        <v>0</v>
      </c>
      <c r="K33" s="253">
        <f>IFERROR(aurora_data!J1953,0)</f>
        <v>0</v>
      </c>
      <c r="L33" s="253">
        <f>IFERROR(aurora_data!K1953,0)</f>
        <v>0</v>
      </c>
      <c r="M33" s="253">
        <f>IFERROR(aurora_data!L1953,0)</f>
        <v>0</v>
      </c>
      <c r="N33" s="254">
        <f>IFERROR(aurora_data!M1953,0)</f>
        <v>0</v>
      </c>
      <c r="O33" s="113">
        <f>IFERROR(aurora_data!N1953,0)</f>
        <v>0</v>
      </c>
      <c r="P33" s="253">
        <f>IFERROR(aurora_data!O1953,0)</f>
        <v>0</v>
      </c>
      <c r="Q33" s="253">
        <f>IFERROR(aurora_data!P1953,0)</f>
        <v>0</v>
      </c>
      <c r="R33" s="254">
        <f>IFERROR(aurora_data!Q1953,0)</f>
        <v>0</v>
      </c>
      <c r="S33" s="253">
        <f>IFERROR(aurora_data!R1953,0)</f>
        <v>0</v>
      </c>
      <c r="T33" s="253">
        <f>IFERROR(aurora_data!S1953,0)</f>
        <v>0</v>
      </c>
      <c r="U33" s="254">
        <f>IFERROR(aurora_data!T1553,0)</f>
        <v>0</v>
      </c>
      <c r="V33" s="61" t="s">
        <v>354</v>
      </c>
      <c r="W33" s="113">
        <f>IFERROR(aurora_data!U1953,0)</f>
        <v>0</v>
      </c>
      <c r="X33" s="255">
        <f t="shared" si="5"/>
        <v>0</v>
      </c>
      <c r="Y33" s="2"/>
      <c r="AA33" s="452"/>
      <c r="AB33" s="450"/>
      <c r="AC33" s="35" t="s">
        <v>340</v>
      </c>
      <c r="AD33" s="113">
        <f>IFERROR(aurora_data!D1953,0)+IFERROR(aurora_data!E1953,0)</f>
        <v>0</v>
      </c>
      <c r="AE33" s="253">
        <f>IFERROR(aurora_data!F1953,0)</f>
        <v>0</v>
      </c>
      <c r="AF33" s="253">
        <f>IFERROR(aurora_data!G1953,0)</f>
        <v>0</v>
      </c>
      <c r="AG33" s="253">
        <f>IFERROR(aurora_data!H1953,0)</f>
        <v>0</v>
      </c>
      <c r="AH33" s="61" t="s">
        <v>354</v>
      </c>
      <c r="AI33" s="113">
        <f>IFERROR(aurora_data!U1953,0)</f>
        <v>0</v>
      </c>
      <c r="AJ33" s="255">
        <f t="shared" si="4"/>
        <v>0</v>
      </c>
    </row>
    <row r="34" spans="1:36" customFormat="1">
      <c r="A34" s="2"/>
      <c r="B34" s="452"/>
      <c r="C34" s="450"/>
      <c r="D34" s="35" t="s">
        <v>298</v>
      </c>
      <c r="E34" s="113">
        <f>IFERROR(aurora_data!D1954,0)</f>
        <v>0</v>
      </c>
      <c r="F34" s="253">
        <f>IFERROR(aurora_data!E1954,0)</f>
        <v>1</v>
      </c>
      <c r="G34" s="253">
        <f>IFERROR(aurora_data!F1954,0)</f>
        <v>0</v>
      </c>
      <c r="H34" s="253">
        <f>IFERROR(aurora_data!G1954,0)</f>
        <v>2</v>
      </c>
      <c r="I34" s="254">
        <f>IFERROR(aurora_data!H1954,0)</f>
        <v>1</v>
      </c>
      <c r="J34" s="113">
        <f>IFERROR(aurora_data!I1954,0)</f>
        <v>1</v>
      </c>
      <c r="K34" s="253">
        <f>IFERROR(aurora_data!J1954,0)</f>
        <v>0</v>
      </c>
      <c r="L34" s="253">
        <f>IFERROR(aurora_data!K1954,0)</f>
        <v>2</v>
      </c>
      <c r="M34" s="253">
        <f>IFERROR(aurora_data!L1954,0)</f>
        <v>0</v>
      </c>
      <c r="N34" s="254">
        <f>IFERROR(aurora_data!M1954,0)</f>
        <v>1</v>
      </c>
      <c r="O34" s="113">
        <f>IFERROR(aurora_data!N1954,0)</f>
        <v>2</v>
      </c>
      <c r="P34" s="253">
        <f>IFERROR(aurora_data!O1954,0)</f>
        <v>0</v>
      </c>
      <c r="Q34" s="253">
        <f>IFERROR(aurora_data!P1954,0)</f>
        <v>1</v>
      </c>
      <c r="R34" s="254">
        <f>IFERROR(aurora_data!Q1954,0)</f>
        <v>1</v>
      </c>
      <c r="S34" s="253">
        <f>IFERROR(aurora_data!R1954,0)</f>
        <v>4</v>
      </c>
      <c r="T34" s="253">
        <f>IFERROR(aurora_data!S1954,0)</f>
        <v>0</v>
      </c>
      <c r="U34" s="254">
        <f>IFERROR(aurora_data!T1554,0)</f>
        <v>0</v>
      </c>
      <c r="V34" s="61" t="s">
        <v>354</v>
      </c>
      <c r="W34" s="113">
        <f>IFERROR(aurora_data!U1954,0)</f>
        <v>4</v>
      </c>
      <c r="X34" s="255">
        <f t="shared" si="5"/>
        <v>0.08</v>
      </c>
      <c r="Y34" s="2"/>
      <c r="AA34" s="452"/>
      <c r="AB34" s="450"/>
      <c r="AC34" s="35" t="s">
        <v>298</v>
      </c>
      <c r="AD34" s="113">
        <f>IFERROR(aurora_data!D1954,0)+IFERROR(aurora_data!E1954,0)</f>
        <v>1</v>
      </c>
      <c r="AE34" s="253">
        <f>IFERROR(aurora_data!F1954,0)</f>
        <v>0</v>
      </c>
      <c r="AF34" s="253">
        <f>IFERROR(aurora_data!G1954,0)</f>
        <v>2</v>
      </c>
      <c r="AG34" s="253">
        <f>IFERROR(aurora_data!H1954,0)</f>
        <v>1</v>
      </c>
      <c r="AH34" s="61" t="s">
        <v>354</v>
      </c>
      <c r="AI34" s="113">
        <f>IFERROR(aurora_data!U1954,0)</f>
        <v>4</v>
      </c>
      <c r="AJ34" s="255">
        <f t="shared" si="4"/>
        <v>0.08</v>
      </c>
    </row>
    <row r="35" spans="1:36" customFormat="1" ht="16.5" customHeight="1">
      <c r="A35" s="2"/>
      <c r="B35" s="452"/>
      <c r="C35" s="450"/>
      <c r="D35" s="35" t="s">
        <v>341</v>
      </c>
      <c r="E35" s="113">
        <f>IFERROR(aurora_data!D1955,0)</f>
        <v>0</v>
      </c>
      <c r="F35" s="253">
        <f>IFERROR(aurora_data!E1955,0)</f>
        <v>0</v>
      </c>
      <c r="G35" s="253">
        <f>IFERROR(aurora_data!F1955,0)</f>
        <v>5</v>
      </c>
      <c r="H35" s="253">
        <f>IFERROR(aurora_data!G1955,0)</f>
        <v>2</v>
      </c>
      <c r="I35" s="254">
        <f>IFERROR(aurora_data!H1955,0)</f>
        <v>0</v>
      </c>
      <c r="J35" s="113">
        <f>IFERROR(aurora_data!I1955,0)</f>
        <v>0</v>
      </c>
      <c r="K35" s="253">
        <f>IFERROR(aurora_data!J1955,0)</f>
        <v>1</v>
      </c>
      <c r="L35" s="253">
        <f>IFERROR(aurora_data!K1955,0)</f>
        <v>3</v>
      </c>
      <c r="M35" s="253">
        <f>IFERROR(aurora_data!L1955,0)</f>
        <v>2</v>
      </c>
      <c r="N35" s="254">
        <f>IFERROR(aurora_data!M1955,0)</f>
        <v>1</v>
      </c>
      <c r="O35" s="113">
        <f>IFERROR(aurora_data!N1955,0)</f>
        <v>3</v>
      </c>
      <c r="P35" s="253">
        <f>IFERROR(aurora_data!O1955,0)</f>
        <v>1</v>
      </c>
      <c r="Q35" s="253">
        <f>IFERROR(aurora_data!P1955,0)</f>
        <v>3</v>
      </c>
      <c r="R35" s="254">
        <f>IFERROR(aurora_data!Q1955,0)</f>
        <v>0</v>
      </c>
      <c r="S35" s="253">
        <f>IFERROR(aurora_data!R1955,0)</f>
        <v>4</v>
      </c>
      <c r="T35" s="253">
        <f>IFERROR(aurora_data!S1955,0)</f>
        <v>3</v>
      </c>
      <c r="U35" s="254">
        <f>IFERROR(aurora_data!T1555,0)</f>
        <v>0</v>
      </c>
      <c r="V35" s="61" t="s">
        <v>354</v>
      </c>
      <c r="W35" s="113">
        <f>IFERROR(aurora_data!U1955,0)</f>
        <v>7</v>
      </c>
      <c r="X35" s="255">
        <f t="shared" si="5"/>
        <v>0.14000000000000001</v>
      </c>
      <c r="Y35" s="2"/>
      <c r="AA35" s="452"/>
      <c r="AB35" s="450"/>
      <c r="AC35" s="35" t="s">
        <v>341</v>
      </c>
      <c r="AD35" s="113">
        <f>IFERROR(aurora_data!D1955,0)+IFERROR(aurora_data!E1955,0)</f>
        <v>0</v>
      </c>
      <c r="AE35" s="253">
        <f>IFERROR(aurora_data!F1955,0)</f>
        <v>5</v>
      </c>
      <c r="AF35" s="253">
        <f>IFERROR(aurora_data!G1955,0)</f>
        <v>2</v>
      </c>
      <c r="AG35" s="253">
        <f>IFERROR(aurora_data!H1955,0)</f>
        <v>0</v>
      </c>
      <c r="AH35" s="61" t="s">
        <v>354</v>
      </c>
      <c r="AI35" s="113">
        <f>IFERROR(aurora_data!U1955,0)</f>
        <v>7</v>
      </c>
      <c r="AJ35" s="255">
        <f t="shared" si="4"/>
        <v>0.14000000000000001</v>
      </c>
    </row>
    <row r="36" spans="1:36" customFormat="1" ht="16.5" customHeight="1" thickBot="1">
      <c r="A36" s="2"/>
      <c r="B36" s="452"/>
      <c r="C36" s="450"/>
      <c r="D36" s="35" t="s">
        <v>342</v>
      </c>
      <c r="E36" s="113">
        <f>IFERROR(aurora_data!D1956,0)</f>
        <v>0</v>
      </c>
      <c r="F36" s="253">
        <f>IFERROR(aurora_data!E1956,0)</f>
        <v>0</v>
      </c>
      <c r="G36" s="253">
        <f>IFERROR(aurora_data!F1956,0)</f>
        <v>0</v>
      </c>
      <c r="H36" s="253">
        <f>IFERROR(aurora_data!G1956,0)</f>
        <v>0</v>
      </c>
      <c r="I36" s="254">
        <f>IFERROR(aurora_data!H1956,0)</f>
        <v>1</v>
      </c>
      <c r="J36" s="113">
        <f>IFERROR(aurora_data!I1956,0)</f>
        <v>0</v>
      </c>
      <c r="K36" s="253">
        <f>IFERROR(aurora_data!J1956,0)</f>
        <v>0</v>
      </c>
      <c r="L36" s="253">
        <f>IFERROR(aurora_data!K1956,0)</f>
        <v>0</v>
      </c>
      <c r="M36" s="253">
        <f>IFERROR(aurora_data!L1956,0)</f>
        <v>1</v>
      </c>
      <c r="N36" s="254">
        <f>IFERROR(aurora_data!M1956,0)</f>
        <v>0</v>
      </c>
      <c r="O36" s="113">
        <f>IFERROR(aurora_data!N1956,0)</f>
        <v>1</v>
      </c>
      <c r="P36" s="253">
        <f>IFERROR(aurora_data!O1956,0)</f>
        <v>0</v>
      </c>
      <c r="Q36" s="253">
        <f>IFERROR(aurora_data!P1956,0)</f>
        <v>0</v>
      </c>
      <c r="R36" s="254">
        <f>IFERROR(aurora_data!Q1956,0)</f>
        <v>0</v>
      </c>
      <c r="S36" s="253">
        <f>IFERROR(aurora_data!R1956,0)</f>
        <v>0</v>
      </c>
      <c r="T36" s="253">
        <f>IFERROR(aurora_data!S1956,0)</f>
        <v>1</v>
      </c>
      <c r="U36" s="254">
        <f>IFERROR(aurora_data!T1556,0)</f>
        <v>0</v>
      </c>
      <c r="V36" s="61" t="s">
        <v>354</v>
      </c>
      <c r="W36" s="113">
        <f>IFERROR(aurora_data!U1956,0)</f>
        <v>1</v>
      </c>
      <c r="X36" s="255">
        <f t="shared" si="5"/>
        <v>0.02</v>
      </c>
      <c r="Y36" s="2"/>
      <c r="AA36" s="452"/>
      <c r="AB36" s="450"/>
      <c r="AC36" s="35" t="s">
        <v>342</v>
      </c>
      <c r="AD36" s="113">
        <f>IFERROR(aurora_data!D1956,0)+IFERROR(aurora_data!E1956,0)</f>
        <v>0</v>
      </c>
      <c r="AE36" s="253">
        <f>IFERROR(aurora_data!F1956,0)</f>
        <v>0</v>
      </c>
      <c r="AF36" s="253">
        <f>IFERROR(aurora_data!G1956,0)</f>
        <v>0</v>
      </c>
      <c r="AG36" s="253">
        <f>IFERROR(aurora_data!H1956,0)</f>
        <v>1</v>
      </c>
      <c r="AH36" s="61" t="s">
        <v>354</v>
      </c>
      <c r="AI36" s="113">
        <f>IFERROR(aurora_data!U1956,0)</f>
        <v>1</v>
      </c>
      <c r="AJ36" s="255">
        <f t="shared" si="4"/>
        <v>0.02</v>
      </c>
    </row>
    <row r="37" spans="1:36" customFormat="1" ht="16.5" customHeight="1" thickBot="1">
      <c r="A37" s="2"/>
      <c r="B37" s="452"/>
      <c r="C37" s="450"/>
      <c r="D37" s="37" t="s">
        <v>17</v>
      </c>
      <c r="E37" s="59">
        <f>IFERROR(aurora_data!D1957,0)</f>
        <v>1</v>
      </c>
      <c r="F37" s="64">
        <f>IFERROR(aurora_data!E1957,0)</f>
        <v>2</v>
      </c>
      <c r="G37" s="64">
        <f>IFERROR(aurora_data!F1957,0)</f>
        <v>10</v>
      </c>
      <c r="H37" s="64">
        <f>IFERROR(aurora_data!G1957,0)</f>
        <v>21</v>
      </c>
      <c r="I37" s="65">
        <f>IFERROR(aurora_data!H1957,0)</f>
        <v>22</v>
      </c>
      <c r="J37" s="59">
        <f>IFERROR(aurora_data!I1957,0)</f>
        <v>3</v>
      </c>
      <c r="K37" s="64">
        <f>IFERROR(aurora_data!J1957,0)</f>
        <v>8</v>
      </c>
      <c r="L37" s="64">
        <f>IFERROR(aurora_data!K1957,0)</f>
        <v>11</v>
      </c>
      <c r="M37" s="64">
        <f>IFERROR(aurora_data!L1957,0)</f>
        <v>10</v>
      </c>
      <c r="N37" s="65">
        <f>IFERROR(aurora_data!M1957,0)</f>
        <v>24</v>
      </c>
      <c r="O37" s="59">
        <f>IFERROR(aurora_data!N1957,0)</f>
        <v>19</v>
      </c>
      <c r="P37" s="64">
        <f>IFERROR(aurora_data!O1957,0)</f>
        <v>16</v>
      </c>
      <c r="Q37" s="64">
        <f>IFERROR(aurora_data!P1957,0)</f>
        <v>11</v>
      </c>
      <c r="R37" s="65">
        <f>IFERROR(aurora_data!Q1957,0)</f>
        <v>10</v>
      </c>
      <c r="S37" s="64">
        <f>IFERROR(aurora_data!R1957,0)</f>
        <v>30</v>
      </c>
      <c r="T37" s="64">
        <f>IFERROR(aurora_data!S1957,0)</f>
        <v>26</v>
      </c>
      <c r="U37" s="65">
        <f>IFERROR(aurora_data!T1557,0)</f>
        <v>0</v>
      </c>
      <c r="V37" s="66" t="s">
        <v>354</v>
      </c>
      <c r="W37" s="59">
        <f>IFERROR(aurora_data!U1957,0)</f>
        <v>56</v>
      </c>
      <c r="X37" s="70">
        <f t="shared" si="5"/>
        <v>1.1200000000000001</v>
      </c>
      <c r="Y37" s="2"/>
      <c r="AA37" s="452"/>
      <c r="AB37" s="450"/>
      <c r="AC37" s="37" t="s">
        <v>17</v>
      </c>
      <c r="AD37" s="59">
        <f>IFERROR(aurora_data!D1957,0)+IFERROR(aurora_data!E1957,0)</f>
        <v>3</v>
      </c>
      <c r="AE37" s="64">
        <f>IFERROR(aurora_data!F1957,0)</f>
        <v>10</v>
      </c>
      <c r="AF37" s="64">
        <f>IFERROR(aurora_data!G1957,0)</f>
        <v>21</v>
      </c>
      <c r="AG37" s="64">
        <f>IFERROR(aurora_data!H1957,0)</f>
        <v>22</v>
      </c>
      <c r="AH37" s="66" t="s">
        <v>354</v>
      </c>
      <c r="AI37" s="59">
        <f>IFERROR(aurora_data!U1957,0)</f>
        <v>56</v>
      </c>
      <c r="AJ37" s="70">
        <f t="shared" si="4"/>
        <v>1.1200000000000001</v>
      </c>
    </row>
    <row r="38" spans="1:36" customFormat="1" ht="16.5" thickBot="1">
      <c r="A38" s="2"/>
      <c r="B38" s="452"/>
      <c r="C38" s="450"/>
      <c r="D38" s="38" t="s">
        <v>343</v>
      </c>
      <c r="E38" s="60">
        <f>IFERROR(aurora_data!D1958,0)</f>
        <v>0</v>
      </c>
      <c r="F38" s="67">
        <f>IFERROR(aurora_data!E1958,0)</f>
        <v>0</v>
      </c>
      <c r="G38" s="67">
        <f>IFERROR(aurora_data!F1958,0)</f>
        <v>0</v>
      </c>
      <c r="H38" s="67">
        <f>IFERROR(aurora_data!G1958,0)</f>
        <v>0</v>
      </c>
      <c r="I38" s="68">
        <f>IFERROR(aurora_data!H1958,0)</f>
        <v>0</v>
      </c>
      <c r="J38" s="60">
        <f>IFERROR(aurora_data!I1958,0)</f>
        <v>0</v>
      </c>
      <c r="K38" s="67">
        <f>IFERROR(aurora_data!J1958,0)</f>
        <v>0</v>
      </c>
      <c r="L38" s="67">
        <f>IFERROR(aurora_data!K1958,0)</f>
        <v>0</v>
      </c>
      <c r="M38" s="67">
        <f>IFERROR(aurora_data!L1958,0)</f>
        <v>0</v>
      </c>
      <c r="N38" s="68">
        <f>IFERROR(aurora_data!M1958,0)</f>
        <v>0</v>
      </c>
      <c r="O38" s="60">
        <f>IFERROR(aurora_data!N1958,0)</f>
        <v>0</v>
      </c>
      <c r="P38" s="67">
        <f>IFERROR(aurora_data!O1958,0)</f>
        <v>0</v>
      </c>
      <c r="Q38" s="67">
        <f>IFERROR(aurora_data!P1958,0)</f>
        <v>0</v>
      </c>
      <c r="R38" s="68">
        <f>IFERROR(aurora_data!Q1958,0)</f>
        <v>0</v>
      </c>
      <c r="S38" s="67">
        <f>IFERROR(aurora_data!R1958,0)</f>
        <v>0</v>
      </c>
      <c r="T38" s="67">
        <f>IFERROR(aurora_data!S1958,0)</f>
        <v>0</v>
      </c>
      <c r="U38" s="72">
        <f>IFERROR(aurora_data!T1558,0)</f>
        <v>0</v>
      </c>
      <c r="V38" s="73" t="s">
        <v>354</v>
      </c>
      <c r="W38" s="60">
        <f>IFERROR(aurora_data!U1958,0)</f>
        <v>0</v>
      </c>
      <c r="X38" s="71">
        <f t="shared" si="5"/>
        <v>0</v>
      </c>
      <c r="Y38" s="2"/>
      <c r="AA38" s="456"/>
      <c r="AB38" s="567"/>
      <c r="AC38" s="38" t="s">
        <v>343</v>
      </c>
      <c r="AD38" s="60">
        <f>IFERROR(aurora_data!D1958,0)+IFERROR(aurora_data!E1958,0)</f>
        <v>0</v>
      </c>
      <c r="AE38" s="67">
        <f>IFERROR(aurora_data!F1958,0)</f>
        <v>0</v>
      </c>
      <c r="AF38" s="67">
        <f>IFERROR(aurora_data!G1958,0)</f>
        <v>0</v>
      </c>
      <c r="AG38" s="67">
        <f>IFERROR(aurora_data!H1958,0)</f>
        <v>0</v>
      </c>
      <c r="AH38" s="361" t="s">
        <v>354</v>
      </c>
      <c r="AI38" s="60">
        <f>IFERROR(aurora_data!U1958,0)</f>
        <v>0</v>
      </c>
      <c r="AJ38" s="71">
        <f t="shared" si="4"/>
        <v>0</v>
      </c>
    </row>
    <row r="39" spans="1:36" ht="16.5" customHeight="1" outlineLevel="1" thickBot="1">
      <c r="B39" s="147"/>
      <c r="C39" s="227"/>
      <c r="D39" s="199" t="s">
        <v>344</v>
      </c>
      <c r="E39" s="271">
        <f>ROUNDDOWN((E41+$E$9)*($W30),0)</f>
        <v>2</v>
      </c>
      <c r="F39" s="272">
        <f>ROUNDDOWN((F41+$E$9)*($W30),0)</f>
        <v>3</v>
      </c>
      <c r="G39" s="272">
        <f>ROUNDDOWN((G41+$E$9)*($W30),0)</f>
        <v>10</v>
      </c>
      <c r="H39" s="272">
        <f>ROUNDDOWN((H41+$E$9)*($W30),0)</f>
        <v>17</v>
      </c>
      <c r="I39" s="272">
        <f>ROUNDDOWN((I41+$E$9)*($W30),0)</f>
        <v>21</v>
      </c>
      <c r="J39" s="229"/>
      <c r="K39" s="230"/>
      <c r="L39" s="230"/>
      <c r="M39" s="230"/>
      <c r="N39" s="231"/>
      <c r="O39" s="229"/>
      <c r="P39" s="230"/>
      <c r="Q39" s="230"/>
      <c r="R39" s="231"/>
      <c r="S39" s="230"/>
      <c r="T39" s="230"/>
      <c r="U39" s="232"/>
      <c r="V39" s="233"/>
      <c r="W39" s="229"/>
      <c r="X39" s="234"/>
    </row>
    <row r="40" spans="1:36" ht="16.5" outlineLevel="1" thickBot="1">
      <c r="B40" s="147"/>
      <c r="C40" s="227"/>
      <c r="D40" s="199" t="s">
        <v>345</v>
      </c>
      <c r="E40" s="276">
        <f>IF(ROUND(((E41-$E$9)*($W30))+0.25,0) &lt;=0,1,((E41-$E$9)*($W30))+0.25)</f>
        <v>0.58000000000000007</v>
      </c>
      <c r="F40" s="277">
        <f>IF(ROUND(((F41-$E$9)*($W30))+0.25,0) &lt;=0,1,((F41-$E$9)*($W30))+0.25)</f>
        <v>1.81</v>
      </c>
      <c r="G40" s="277">
        <f t="shared" ref="G40:I40" si="6">IF(ROUND(((G41-$E$9)*($W30))+0.25,0) &lt;=0,1,((G41-$E$9)*($W30))+0.25)</f>
        <v>9.11</v>
      </c>
      <c r="H40" s="277">
        <f t="shared" si="6"/>
        <v>15.42</v>
      </c>
      <c r="I40" s="277">
        <f t="shared" si="6"/>
        <v>19.329999999999998</v>
      </c>
      <c r="J40" s="229"/>
      <c r="K40" s="230"/>
      <c r="L40" s="230"/>
      <c r="M40" s="230"/>
      <c r="N40" s="231"/>
      <c r="O40" s="229"/>
      <c r="P40" s="230"/>
      <c r="Q40" s="230"/>
      <c r="R40" s="231"/>
      <c r="S40" s="230"/>
      <c r="T40" s="230"/>
      <c r="U40" s="232"/>
      <c r="V40" s="233"/>
      <c r="W40" s="229"/>
      <c r="X40" s="234"/>
    </row>
    <row r="41" spans="1:36" ht="16.5" outlineLevel="1" thickBot="1">
      <c r="B41" s="147"/>
      <c r="C41" s="227"/>
      <c r="D41" s="95" t="s">
        <v>346</v>
      </c>
      <c r="E41" s="159">
        <f>IFERROR(E30/$W30,0)</f>
        <v>2.6600000000000002E-2</v>
      </c>
      <c r="F41" s="160">
        <f t="shared" ref="F41" si="7">IFERROR(F30/$W30,0)</f>
        <v>5.1200000000000002E-2</v>
      </c>
      <c r="G41" s="160">
        <f>IFERROR(G30/$W30,0)</f>
        <v>0.19719999999999999</v>
      </c>
      <c r="H41" s="160">
        <f t="shared" ref="H41" si="8">IFERROR(H30/$W30,0)</f>
        <v>0.32340000000000002</v>
      </c>
      <c r="I41" s="160">
        <f>IFERROR(I30/$W30,0)</f>
        <v>0.40159999999999996</v>
      </c>
      <c r="J41" s="229"/>
      <c r="K41" s="230"/>
      <c r="L41" s="230"/>
      <c r="M41" s="230"/>
      <c r="N41" s="231"/>
      <c r="O41" s="229"/>
      <c r="P41" s="230"/>
      <c r="Q41" s="230"/>
      <c r="R41" s="231"/>
      <c r="S41" s="230"/>
      <c r="T41" s="230"/>
      <c r="U41" s="232"/>
      <c r="V41" s="233"/>
      <c r="W41" s="229"/>
      <c r="X41" s="234"/>
    </row>
    <row r="42" spans="1:36" ht="16.5" outlineLevel="1" thickBot="1">
      <c r="B42" s="147"/>
      <c r="C42" s="227"/>
      <c r="D42" s="180" t="s">
        <v>347</v>
      </c>
      <c r="E42" s="159">
        <f>IFERROR(E31/$W30,0)</f>
        <v>0.02</v>
      </c>
      <c r="F42" s="160">
        <f t="shared" ref="F42:I42" si="9">IFERROR(F31/$W30,0)</f>
        <v>0.02</v>
      </c>
      <c r="G42" s="160">
        <f t="shared" si="9"/>
        <v>0.1</v>
      </c>
      <c r="H42" s="160">
        <f t="shared" si="9"/>
        <v>0.32</v>
      </c>
      <c r="I42" s="160">
        <f t="shared" si="9"/>
        <v>0.4</v>
      </c>
      <c r="J42" s="229"/>
      <c r="K42" s="230"/>
      <c r="L42" s="230"/>
      <c r="M42" s="230"/>
      <c r="N42" s="231"/>
      <c r="O42" s="229"/>
      <c r="P42" s="230"/>
      <c r="Q42" s="230"/>
      <c r="R42" s="231"/>
      <c r="S42" s="230"/>
      <c r="T42" s="230"/>
      <c r="U42" s="232"/>
      <c r="V42" s="233"/>
      <c r="W42" s="229"/>
      <c r="X42" s="234"/>
    </row>
    <row r="43" spans="1:36" outlineLevel="1">
      <c r="B43" s="235"/>
      <c r="C43" s="236"/>
      <c r="D43" s="237" t="s">
        <v>348</v>
      </c>
      <c r="E43" s="238">
        <f>E42-E41</f>
        <v>-6.6000000000000017E-3</v>
      </c>
      <c r="F43" s="239">
        <f t="shared" ref="F43:I43" si="10">F42-F41</f>
        <v>-3.1200000000000002E-2</v>
      </c>
      <c r="G43" s="239">
        <f t="shared" si="10"/>
        <v>-9.7199999999999981E-2</v>
      </c>
      <c r="H43" s="239">
        <f t="shared" si="10"/>
        <v>-3.4000000000000141E-3</v>
      </c>
      <c r="I43" s="239">
        <f t="shared" si="10"/>
        <v>-1.5999999999999348E-3</v>
      </c>
      <c r="J43" s="240"/>
      <c r="K43" s="241"/>
      <c r="L43" s="241"/>
      <c r="M43" s="241"/>
      <c r="N43" s="242"/>
      <c r="O43" s="240"/>
      <c r="P43" s="241"/>
      <c r="Q43" s="241"/>
      <c r="R43" s="242"/>
      <c r="S43" s="241"/>
      <c r="T43" s="241"/>
      <c r="U43" s="243"/>
      <c r="V43" s="244"/>
      <c r="W43" s="240"/>
      <c r="X43" s="245"/>
    </row>
  </sheetData>
  <mergeCells count="42">
    <mergeCell ref="A1:C1"/>
    <mergeCell ref="D1:H1"/>
    <mergeCell ref="A2:C2"/>
    <mergeCell ref="D2:H2"/>
    <mergeCell ref="K2:X6"/>
    <mergeCell ref="D3:E3"/>
    <mergeCell ref="F3:H3"/>
    <mergeCell ref="D6:H6"/>
    <mergeCell ref="D5:H5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30:B38"/>
    <mergeCell ref="C30:C38"/>
    <mergeCell ref="J10:N10"/>
    <mergeCell ref="O10:R10"/>
    <mergeCell ref="S10:U10"/>
    <mergeCell ref="B12:B20"/>
    <mergeCell ref="C12:C20"/>
    <mergeCell ref="B21:B29"/>
    <mergeCell ref="C21:C29"/>
    <mergeCell ref="AA30:AA38"/>
    <mergeCell ref="AB30:AB38"/>
    <mergeCell ref="AA8:AC8"/>
    <mergeCell ref="AD8:AG8"/>
    <mergeCell ref="AI8:AJ11"/>
    <mergeCell ref="AA9:AB9"/>
    <mergeCell ref="AD9:AG9"/>
    <mergeCell ref="AA10:AA11"/>
    <mergeCell ref="AD10:AG10"/>
    <mergeCell ref="AA5:AG6"/>
    <mergeCell ref="AA12:AA20"/>
    <mergeCell ref="AB12:AB20"/>
    <mergeCell ref="AA21:AA29"/>
    <mergeCell ref="AB21:AB29"/>
  </mergeCells>
  <conditionalFormatting sqref="E13:W13">
    <cfRule type="expression" dxfId="63" priority="3">
      <formula>ROUND(E$13,0) &gt;= ROUND(E$12,0)</formula>
    </cfRule>
  </conditionalFormatting>
  <conditionalFormatting sqref="E22:W22">
    <cfRule type="expression" dxfId="62" priority="5">
      <formula>ROUND(E$13,0) &gt;= ROUND(E$12,0)</formula>
    </cfRule>
  </conditionalFormatting>
  <conditionalFormatting sqref="E28:W28">
    <cfRule type="expression" dxfId="61" priority="36">
      <formula>ROUND(E$28,0) &lt; ROUND(E$21,0)</formula>
    </cfRule>
  </conditionalFormatting>
  <conditionalFormatting sqref="E31:W31">
    <cfRule type="expression" dxfId="60" priority="4">
      <formula>ROUND(E$13,0) &gt;= ROUND(E$12,0)</formula>
    </cfRule>
  </conditionalFormatting>
  <conditionalFormatting sqref="E37:W37">
    <cfRule type="expression" dxfId="59" priority="8">
      <formula>ROUND(E$37,0) &lt; ROUND(E$30,0)</formula>
    </cfRule>
  </conditionalFormatting>
  <conditionalFormatting sqref="AD13:AI13">
    <cfRule type="expression" dxfId="58" priority="37">
      <formula>ROUND(AD$13,0) &gt;= ROUND(AD$12,0)</formula>
    </cfRule>
  </conditionalFormatting>
  <conditionalFormatting sqref="AD19:AI19">
    <cfRule type="expression" dxfId="57" priority="38">
      <formula>ROUND(AD$19,0) &lt; ROUND(AD$12,0)</formula>
    </cfRule>
  </conditionalFormatting>
  <conditionalFormatting sqref="AD22:AI22">
    <cfRule type="expression" dxfId="56" priority="2">
      <formula>ROUND(AD$13,0) &gt;= ROUND(AD$12,0)</formula>
    </cfRule>
  </conditionalFormatting>
  <conditionalFormatting sqref="AD28:AI28">
    <cfRule type="expression" dxfId="55" priority="7">
      <formula>ROUND(AD$28,0) &lt; ROUND(AD$21,0)</formula>
    </cfRule>
  </conditionalFormatting>
  <conditionalFormatting sqref="AD31:AI31">
    <cfRule type="expression" dxfId="54" priority="1">
      <formula>ROUND(AD$13,0) &gt;= ROUND(AD$12,0)</formula>
    </cfRule>
  </conditionalFormatting>
  <conditionalFormatting sqref="AD37:AI37">
    <cfRule type="expression" dxfId="53" priority="6">
      <formula>ROUND(AD$37,0) &lt; ROUND(AD$30,0)</formula>
    </cfRule>
  </conditionalFormatting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6EE0-A167-42A4-897F-0892EF6B5B43}">
  <sheetPr>
    <tabColor rgb="FFB482DA"/>
  </sheetPr>
  <dimension ref="A1:AJ124"/>
  <sheetViews>
    <sheetView zoomScale="75" zoomScaleNormal="75" workbookViewId="0">
      <pane ySplit="11" topLeftCell="A89" activePane="bottomLeft" state="frozen"/>
      <selection pane="bottomLeft" activeCell="K106" sqref="K106"/>
    </sheetView>
  </sheetViews>
  <sheetFormatPr defaultColWidth="9" defaultRowHeight="15.75" outlineLevelRow="1"/>
  <cols>
    <col min="1" max="1" width="1.125" style="2" customWidth="1"/>
    <col min="2" max="2" width="9.125" style="2" customWidth="1"/>
    <col min="3" max="3" width="16.125" style="2" customWidth="1"/>
    <col min="4" max="4" width="22.5" style="4" customWidth="1"/>
    <col min="5" max="20" width="7.5" style="4" customWidth="1"/>
    <col min="21" max="21" width="4.125" style="4" customWidth="1"/>
    <col min="22" max="22" width="0.5" style="2" customWidth="1"/>
    <col min="23" max="24" width="5.625" style="2" customWidth="1"/>
    <col min="25" max="25" width="4.5" style="2" customWidth="1"/>
    <col min="26" max="26" width="2.5" style="2" customWidth="1"/>
    <col min="27" max="27" width="7.5" style="2" customWidth="1"/>
    <col min="28" max="28" width="15.125" style="2" customWidth="1"/>
    <col min="29" max="29" width="23.125" style="2" customWidth="1"/>
    <col min="30" max="33" width="7.5" style="2" customWidth="1"/>
    <col min="34" max="34" width="0.625" style="2" customWidth="1"/>
    <col min="35" max="51" width="7.5" style="2" customWidth="1"/>
    <col min="52" max="16310" width="9" style="2"/>
    <col min="16311" max="16311" width="1.125" style="2" customWidth="1"/>
    <col min="16312" max="16312" width="2.5" style="2" customWidth="1"/>
    <col min="16313" max="16313" width="3.5" style="2" customWidth="1"/>
    <col min="16314" max="16314" width="1" style="2" customWidth="1"/>
    <col min="16315" max="16315" width="0.625" style="2" customWidth="1"/>
    <col min="16316" max="16316" width="2.125" style="2" customWidth="1"/>
    <col min="16317" max="16384" width="20.125" style="2" customWidth="1"/>
  </cols>
  <sheetData>
    <row r="1" spans="1:36" customFormat="1" hidden="1">
      <c r="A1" s="494">
        <v>5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36" customFormat="1" hidden="1">
      <c r="A2" s="499" t="s">
        <v>327</v>
      </c>
      <c r="B2" s="499"/>
      <c r="C2" s="500"/>
      <c r="D2" s="580" t="str">
        <f>_xlfn.CONCAT("Study Name: ","
Counterbalance WISC-5 Plus/WISC-6 - Paper")</f>
        <v>Study Name: 
Counterbalance WISC-5 Plus/WISC-6 - 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36" customFormat="1" ht="16.5" hidden="1" thickBot="1">
      <c r="A3" s="2"/>
      <c r="B3" s="2"/>
      <c r="C3" s="2"/>
      <c r="D3" s="536" t="str">
        <f>_xlfn.CONCAT("Study Acronym: ","
CB_WISC5P_P")</f>
        <v>Study Acronym: 
CB_WISC5P_P</v>
      </c>
      <c r="E3" s="512"/>
      <c r="F3" s="583" t="s">
        <v>392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36" customFormat="1" hidden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36" customFormat="1" ht="16.5" hidden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  <c r="AA5" s="588" t="s">
        <v>377</v>
      </c>
      <c r="AB5" s="588"/>
      <c r="AC5" s="588"/>
      <c r="AD5" s="588"/>
      <c r="AE5" s="588"/>
      <c r="AF5" s="588"/>
      <c r="AG5" s="588"/>
    </row>
    <row r="6" spans="1:36" customFormat="1" ht="87" hidden="1" customHeight="1" thickBot="1">
      <c r="A6" s="2"/>
      <c r="B6" s="2"/>
      <c r="C6" s="98"/>
      <c r="D6" s="585" t="s">
        <v>393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  <c r="AA6" s="588"/>
      <c r="AB6" s="588"/>
      <c r="AC6" s="588"/>
      <c r="AD6" s="588"/>
      <c r="AE6" s="588"/>
      <c r="AF6" s="588"/>
      <c r="AG6" s="588"/>
    </row>
    <row r="7" spans="1:36" customFormat="1" ht="16.5" hidden="1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36" customFormat="1" hidden="1">
      <c r="A8" s="2"/>
      <c r="B8" s="482" t="str">
        <f>_xlfn.CONCAT("Last Refreshed at: ",aurora_data!V1732)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  <c r="AA8" s="482"/>
      <c r="AB8" s="483"/>
      <c r="AC8" s="483"/>
      <c r="AD8" s="540" t="s">
        <v>332</v>
      </c>
      <c r="AE8" s="541"/>
      <c r="AF8" s="541"/>
      <c r="AG8" s="541"/>
      <c r="AH8" s="44"/>
      <c r="AI8" s="546" t="s">
        <v>337</v>
      </c>
      <c r="AJ8" s="547"/>
    </row>
    <row r="9" spans="1:36" customFormat="1" ht="16.5" hidden="1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  <c r="AA9" s="486"/>
      <c r="AB9" s="487"/>
      <c r="AC9" s="29" t="s">
        <v>333</v>
      </c>
      <c r="AD9" s="591"/>
      <c r="AE9" s="529"/>
      <c r="AF9" s="529"/>
      <c r="AG9" s="529"/>
      <c r="AH9" s="28"/>
      <c r="AI9" s="548"/>
      <c r="AJ9" s="549"/>
    </row>
    <row r="10" spans="1:36" customFormat="1" ht="17.25" hidden="1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  <c r="AA10" s="463" t="s">
        <v>334</v>
      </c>
      <c r="AB10" s="30"/>
      <c r="AC10" s="31"/>
      <c r="AD10" s="543" t="s">
        <v>350</v>
      </c>
      <c r="AE10" s="476"/>
      <c r="AF10" s="476"/>
      <c r="AG10" s="476"/>
      <c r="AH10" s="32"/>
      <c r="AI10" s="548"/>
      <c r="AJ10" s="549"/>
    </row>
    <row r="11" spans="1:36" customFormat="1" ht="17.25" hidden="1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  <c r="AA11" s="463"/>
      <c r="AB11" s="30" t="s">
        <v>5</v>
      </c>
      <c r="AC11" s="33" t="s">
        <v>260</v>
      </c>
      <c r="AD11" s="94" t="s">
        <v>379</v>
      </c>
      <c r="AE11" s="92">
        <v>3</v>
      </c>
      <c r="AF11" s="93">
        <v>4</v>
      </c>
      <c r="AG11" s="93">
        <v>5</v>
      </c>
      <c r="AH11" s="28"/>
      <c r="AI11" s="550"/>
      <c r="AJ11" s="551"/>
    </row>
    <row r="12" spans="1:36" customFormat="1">
      <c r="A12" s="2"/>
      <c r="B12" s="560" t="s">
        <v>362</v>
      </c>
      <c r="C12" s="453" t="str">
        <f>aurora_data!A1732</f>
        <v>06.00.00-06.11.30</v>
      </c>
      <c r="D12" s="34" t="s">
        <v>306</v>
      </c>
      <c r="E12" s="39">
        <f>IFERROR(aurora_data!D1732,0)</f>
        <v>0.26</v>
      </c>
      <c r="F12" s="40">
        <f>IFERROR(aurora_data!E1732,0)</f>
        <v>0.5</v>
      </c>
      <c r="G12" s="40">
        <f>IFERROR(aurora_data!F1732,0)</f>
        <v>1.98</v>
      </c>
      <c r="H12" s="40">
        <f>IFERROR(aurora_data!G1732,0)</f>
        <v>3.22</v>
      </c>
      <c r="I12" s="41">
        <f>IFERROR(aurora_data!H1732,0)</f>
        <v>4.04</v>
      </c>
      <c r="J12" s="39">
        <f>IFERROR(aurora_data!I1732,0)</f>
        <v>1</v>
      </c>
      <c r="K12" s="40">
        <f>IFERROR(aurora_data!J1732,0)</f>
        <v>1</v>
      </c>
      <c r="L12" s="40">
        <f>IFERROR(aurora_data!K1732,0)</f>
        <v>1</v>
      </c>
      <c r="M12" s="40">
        <f>IFERROR(aurora_data!L1732,0)</f>
        <v>1</v>
      </c>
      <c r="N12" s="41">
        <f>IFERROR(aurora_data!M1732,0)</f>
        <v>1</v>
      </c>
      <c r="O12" s="39">
        <f>IFERROR(aurora_data!N1732,0)</f>
        <v>1</v>
      </c>
      <c r="P12" s="40">
        <f>IFERROR(aurora_data!O1732,0)</f>
        <v>1</v>
      </c>
      <c r="Q12" s="40">
        <f>IFERROR(aurora_data!P1732,0)</f>
        <v>1</v>
      </c>
      <c r="R12" s="41">
        <f>IFERROR(aurora_data!Q1732,0)</f>
        <v>1</v>
      </c>
      <c r="S12" s="40">
        <f>IFERROR(aurora_data!R1732,0)</f>
        <v>1</v>
      </c>
      <c r="T12" s="40">
        <f>IFERROR(aurora_data!S1732,0)</f>
        <v>1</v>
      </c>
      <c r="U12" s="74">
        <f>IFERROR(aurora_data!T1332,0)</f>
        <v>0</v>
      </c>
      <c r="V12" s="61" t="s">
        <v>354</v>
      </c>
      <c r="W12" s="39">
        <f>IFERROR(aurora_data!U1732,0)</f>
        <v>10</v>
      </c>
      <c r="X12" s="69">
        <f>IFERROR(W12/$W$12,0)</f>
        <v>1</v>
      </c>
      <c r="Y12" s="2"/>
      <c r="AA12" s="451" t="s">
        <v>338</v>
      </c>
      <c r="AB12" s="453" t="str">
        <f>aurora_data!A1732</f>
        <v>06.00.00-06.11.30</v>
      </c>
      <c r="AC12" s="34" t="s">
        <v>306</v>
      </c>
      <c r="AD12" s="338">
        <v>2</v>
      </c>
      <c r="AE12" s="40">
        <v>2</v>
      </c>
      <c r="AF12" s="40">
        <v>3</v>
      </c>
      <c r="AG12" s="337">
        <v>3</v>
      </c>
      <c r="AH12" s="61" t="s">
        <v>354</v>
      </c>
      <c r="AI12" s="39">
        <f>IFERROR(aurora_data!U1732,0)</f>
        <v>10</v>
      </c>
      <c r="AJ12" s="69">
        <f t="shared" ref="AJ12:AJ20" si="0">IFERROR(AI12/$AI$12,0)</f>
        <v>1</v>
      </c>
    </row>
    <row r="13" spans="1:36" customFormat="1">
      <c r="A13" s="2"/>
      <c r="B13" s="561"/>
      <c r="C13" s="454"/>
      <c r="D13" s="35" t="s">
        <v>339</v>
      </c>
      <c r="E13" s="113">
        <f>IFERROR(aurora_data!D1733,0)</f>
        <v>1</v>
      </c>
      <c r="F13" s="253">
        <f>IFERROR(aurora_data!E1733,0)</f>
        <v>1</v>
      </c>
      <c r="G13" s="253">
        <f>IFERROR(aurora_data!F1733,0)</f>
        <v>2</v>
      </c>
      <c r="H13" s="253">
        <f>IFERROR(aurora_data!G1733,0)</f>
        <v>2</v>
      </c>
      <c r="I13" s="254">
        <f>IFERROR(aurora_data!H1733,0)</f>
        <v>4</v>
      </c>
      <c r="J13" s="113">
        <f>IFERROR(aurora_data!I1733,0)</f>
        <v>1</v>
      </c>
      <c r="K13" s="253">
        <f>IFERROR(aurora_data!J1733,0)</f>
        <v>2</v>
      </c>
      <c r="L13" s="253">
        <f>IFERROR(aurora_data!K1733,0)</f>
        <v>2</v>
      </c>
      <c r="M13" s="253">
        <f>IFERROR(aurora_data!L1733,0)</f>
        <v>3</v>
      </c>
      <c r="N13" s="254">
        <f>IFERROR(aurora_data!M1733,0)</f>
        <v>2</v>
      </c>
      <c r="O13" s="113">
        <f>IFERROR(aurora_data!N1733,0)</f>
        <v>3</v>
      </c>
      <c r="P13" s="253">
        <f>IFERROR(aurora_data!O1733,0)</f>
        <v>3</v>
      </c>
      <c r="Q13" s="253">
        <f>IFERROR(aurora_data!P1733,0)</f>
        <v>2</v>
      </c>
      <c r="R13" s="254">
        <f>IFERROR(aurora_data!Q1733,0)</f>
        <v>2</v>
      </c>
      <c r="S13" s="253">
        <f>IFERROR(aurora_data!R1733,0)</f>
        <v>4</v>
      </c>
      <c r="T13" s="253">
        <f>IFERROR(aurora_data!S1733,0)</f>
        <v>6</v>
      </c>
      <c r="U13" s="254">
        <f>IFERROR(aurora_data!T1333,0)</f>
        <v>0</v>
      </c>
      <c r="V13" s="61" t="s">
        <v>354</v>
      </c>
      <c r="W13" s="113">
        <f>IFERROR(aurora_data!U1733,0)</f>
        <v>10</v>
      </c>
      <c r="X13" s="255">
        <f t="shared" ref="X13:X20" si="1">IFERROR(W13/$W$12,0)</f>
        <v>1</v>
      </c>
      <c r="Y13" s="2"/>
      <c r="AA13" s="452"/>
      <c r="AB13" s="454"/>
      <c r="AC13" s="35" t="s">
        <v>339</v>
      </c>
      <c r="AD13" s="113">
        <f>IFERROR(aurora_data!D1733,0)+IFERROR(aurora_data!E1733,0)</f>
        <v>2</v>
      </c>
      <c r="AE13" s="253">
        <f>IFERROR(aurora_data!F1733,0)</f>
        <v>2</v>
      </c>
      <c r="AF13" s="253">
        <f>IFERROR(aurora_data!G1733,0)</f>
        <v>2</v>
      </c>
      <c r="AG13" s="253">
        <f>IFERROR(aurora_data!H1733,0)</f>
        <v>4</v>
      </c>
      <c r="AH13" s="61" t="s">
        <v>354</v>
      </c>
      <c r="AI13" s="113">
        <f>IFERROR(aurora_data!U1733,0)</f>
        <v>10</v>
      </c>
      <c r="AJ13" s="255">
        <f t="shared" si="0"/>
        <v>1</v>
      </c>
    </row>
    <row r="14" spans="1:36" customFormat="1">
      <c r="A14" s="2"/>
      <c r="B14" s="561"/>
      <c r="C14" s="454"/>
      <c r="D14" s="35" t="s">
        <v>291</v>
      </c>
      <c r="E14" s="113">
        <f>IFERROR(aurora_data!D1734,0)</f>
        <v>0</v>
      </c>
      <c r="F14" s="253">
        <f>IFERROR(aurora_data!E1734,0)</f>
        <v>0</v>
      </c>
      <c r="G14" s="253">
        <f>IFERROR(aurora_data!F1734,0)</f>
        <v>1</v>
      </c>
      <c r="H14" s="253">
        <f>IFERROR(aurora_data!G1734,0)</f>
        <v>0</v>
      </c>
      <c r="I14" s="254">
        <f>IFERROR(aurora_data!H1734,0)</f>
        <v>1</v>
      </c>
      <c r="J14" s="113">
        <f>IFERROR(aurora_data!I1734,0)</f>
        <v>0</v>
      </c>
      <c r="K14" s="253">
        <f>IFERROR(aurora_data!J1734,0)</f>
        <v>0</v>
      </c>
      <c r="L14" s="253">
        <f>IFERROR(aurora_data!K1734,0)</f>
        <v>0</v>
      </c>
      <c r="M14" s="253">
        <f>IFERROR(aurora_data!L1734,0)</f>
        <v>0</v>
      </c>
      <c r="N14" s="254">
        <f>IFERROR(aurora_data!M1734,0)</f>
        <v>2</v>
      </c>
      <c r="O14" s="113">
        <f>IFERROR(aurora_data!N1734,0)</f>
        <v>1</v>
      </c>
      <c r="P14" s="253">
        <f>IFERROR(aurora_data!O1734,0)</f>
        <v>0</v>
      </c>
      <c r="Q14" s="253">
        <f>IFERROR(aurora_data!P1734,0)</f>
        <v>0</v>
      </c>
      <c r="R14" s="254">
        <f>IFERROR(aurora_data!Q1734,0)</f>
        <v>1</v>
      </c>
      <c r="S14" s="253">
        <f>IFERROR(aurora_data!R1734,0)</f>
        <v>2</v>
      </c>
      <c r="T14" s="253">
        <f>IFERROR(aurora_data!S1734,0)</f>
        <v>0</v>
      </c>
      <c r="U14" s="254">
        <f>IFERROR(aurora_data!T1334,0)</f>
        <v>0</v>
      </c>
      <c r="V14" s="61" t="s">
        <v>354</v>
      </c>
      <c r="W14" s="113">
        <f>IFERROR(aurora_data!U1734,0)</f>
        <v>2</v>
      </c>
      <c r="X14" s="255">
        <f t="shared" si="1"/>
        <v>0.2</v>
      </c>
      <c r="Y14" s="2"/>
      <c r="AA14" s="452"/>
      <c r="AB14" s="454"/>
      <c r="AC14" s="35" t="s">
        <v>291</v>
      </c>
      <c r="AD14" s="113">
        <f>IFERROR(aurora_data!D1734,0)+IFERROR(aurora_data!E1734,0)</f>
        <v>0</v>
      </c>
      <c r="AE14" s="253">
        <f>IFERROR(aurora_data!F1734,0)</f>
        <v>1</v>
      </c>
      <c r="AF14" s="253">
        <f>IFERROR(aurora_data!G1734,0)</f>
        <v>0</v>
      </c>
      <c r="AG14" s="253">
        <f>IFERROR(aurora_data!H1734,0)</f>
        <v>1</v>
      </c>
      <c r="AH14" s="61" t="s">
        <v>354</v>
      </c>
      <c r="AI14" s="113">
        <f>IFERROR(aurora_data!U1734,0)</f>
        <v>2</v>
      </c>
      <c r="AJ14" s="255">
        <f t="shared" si="0"/>
        <v>0.2</v>
      </c>
    </row>
    <row r="15" spans="1:36" customFormat="1">
      <c r="A15" s="2"/>
      <c r="B15" s="561"/>
      <c r="C15" s="454"/>
      <c r="D15" s="35" t="s">
        <v>340</v>
      </c>
      <c r="E15" s="113">
        <f>IFERROR(aurora_data!D1735,0)</f>
        <v>1</v>
      </c>
      <c r="F15" s="253">
        <f>IFERROR(aurora_data!E1735,0)</f>
        <v>0</v>
      </c>
      <c r="G15" s="253">
        <f>IFERROR(aurora_data!F1735,0)</f>
        <v>0</v>
      </c>
      <c r="H15" s="253">
        <f>IFERROR(aurora_data!G1735,0)</f>
        <v>0</v>
      </c>
      <c r="I15" s="254">
        <f>IFERROR(aurora_data!H1735,0)</f>
        <v>0</v>
      </c>
      <c r="J15" s="113">
        <f>IFERROR(aurora_data!I1735,0)</f>
        <v>0</v>
      </c>
      <c r="K15" s="253">
        <f>IFERROR(aurora_data!J1735,0)</f>
        <v>0</v>
      </c>
      <c r="L15" s="253">
        <f>IFERROR(aurora_data!K1735,0)</f>
        <v>1</v>
      </c>
      <c r="M15" s="253">
        <f>IFERROR(aurora_data!L1735,0)</f>
        <v>0</v>
      </c>
      <c r="N15" s="254">
        <f>IFERROR(aurora_data!M1735,0)</f>
        <v>0</v>
      </c>
      <c r="O15" s="113">
        <f>IFERROR(aurora_data!N1735,0)</f>
        <v>0</v>
      </c>
      <c r="P15" s="253">
        <f>IFERROR(aurora_data!O1735,0)</f>
        <v>0</v>
      </c>
      <c r="Q15" s="253">
        <f>IFERROR(aurora_data!P1735,0)</f>
        <v>1</v>
      </c>
      <c r="R15" s="254">
        <f>IFERROR(aurora_data!Q1735,0)</f>
        <v>0</v>
      </c>
      <c r="S15" s="253">
        <f>IFERROR(aurora_data!R1735,0)</f>
        <v>0</v>
      </c>
      <c r="T15" s="253">
        <f>IFERROR(aurora_data!S1735,0)</f>
        <v>1</v>
      </c>
      <c r="U15" s="254">
        <f>IFERROR(aurora_data!T1335,0)</f>
        <v>0</v>
      </c>
      <c r="V15" s="61" t="s">
        <v>354</v>
      </c>
      <c r="W15" s="113">
        <f>IFERROR(aurora_data!U1735,0)</f>
        <v>1</v>
      </c>
      <c r="X15" s="255">
        <f t="shared" si="1"/>
        <v>0.1</v>
      </c>
      <c r="Y15" s="2"/>
      <c r="AA15" s="452"/>
      <c r="AB15" s="454"/>
      <c r="AC15" s="35" t="s">
        <v>340</v>
      </c>
      <c r="AD15" s="113">
        <f>IFERROR(aurora_data!D1735,0)+IFERROR(aurora_data!E1735,0)</f>
        <v>1</v>
      </c>
      <c r="AE15" s="253">
        <f>IFERROR(aurora_data!F1735,0)</f>
        <v>0</v>
      </c>
      <c r="AF15" s="253">
        <f>IFERROR(aurora_data!G1735,0)</f>
        <v>0</v>
      </c>
      <c r="AG15" s="253">
        <f>IFERROR(aurora_data!H1735,0)</f>
        <v>0</v>
      </c>
      <c r="AH15" s="61" t="s">
        <v>354</v>
      </c>
      <c r="AI15" s="113">
        <f>IFERROR(aurora_data!U1735,0)</f>
        <v>1</v>
      </c>
      <c r="AJ15" s="255">
        <f t="shared" si="0"/>
        <v>0.1</v>
      </c>
    </row>
    <row r="16" spans="1:36" customFormat="1">
      <c r="A16" s="2"/>
      <c r="B16" s="561"/>
      <c r="C16" s="454"/>
      <c r="D16" s="35" t="s">
        <v>298</v>
      </c>
      <c r="E16" s="113">
        <f>IFERROR(aurora_data!D1736,0)</f>
        <v>0</v>
      </c>
      <c r="F16" s="253">
        <f>IFERROR(aurora_data!E1736,0)</f>
        <v>0</v>
      </c>
      <c r="G16" s="253">
        <f>IFERROR(aurora_data!F1736,0)</f>
        <v>0</v>
      </c>
      <c r="H16" s="253">
        <f>IFERROR(aurora_data!G1736,0)</f>
        <v>0</v>
      </c>
      <c r="I16" s="254">
        <f>IFERROR(aurora_data!H1736,0)</f>
        <v>0</v>
      </c>
      <c r="J16" s="113">
        <f>IFERROR(aurora_data!I1736,0)</f>
        <v>0</v>
      </c>
      <c r="K16" s="253">
        <f>IFERROR(aurora_data!J1736,0)</f>
        <v>0</v>
      </c>
      <c r="L16" s="253">
        <f>IFERROR(aurora_data!K1736,0)</f>
        <v>0</v>
      </c>
      <c r="M16" s="253">
        <f>IFERROR(aurora_data!L1736,0)</f>
        <v>0</v>
      </c>
      <c r="N16" s="254">
        <f>IFERROR(aurora_data!M1736,0)</f>
        <v>0</v>
      </c>
      <c r="O16" s="113">
        <f>IFERROR(aurora_data!N1736,0)</f>
        <v>0</v>
      </c>
      <c r="P16" s="253">
        <f>IFERROR(aurora_data!O1736,0)</f>
        <v>0</v>
      </c>
      <c r="Q16" s="253">
        <f>IFERROR(aurora_data!P1736,0)</f>
        <v>0</v>
      </c>
      <c r="R16" s="254">
        <f>IFERROR(aurora_data!Q1736,0)</f>
        <v>0</v>
      </c>
      <c r="S16" s="253">
        <f>IFERROR(aurora_data!R1736,0)</f>
        <v>0</v>
      </c>
      <c r="T16" s="253">
        <f>IFERROR(aurora_data!S1736,0)</f>
        <v>0</v>
      </c>
      <c r="U16" s="254">
        <f>IFERROR(aurora_data!T1336,0)</f>
        <v>0</v>
      </c>
      <c r="V16" s="61" t="s">
        <v>354</v>
      </c>
      <c r="W16" s="113">
        <f>IFERROR(aurora_data!U1736,0)</f>
        <v>0</v>
      </c>
      <c r="X16" s="255">
        <f t="shared" si="1"/>
        <v>0</v>
      </c>
      <c r="Y16" s="2"/>
      <c r="AA16" s="452"/>
      <c r="AB16" s="454"/>
      <c r="AC16" s="35" t="s">
        <v>298</v>
      </c>
      <c r="AD16" s="113">
        <f>IFERROR(aurora_data!D1736,0)+IFERROR(aurora_data!E1736,0)</f>
        <v>0</v>
      </c>
      <c r="AE16" s="253">
        <f>IFERROR(aurora_data!F1736,0)</f>
        <v>0</v>
      </c>
      <c r="AF16" s="253">
        <f>IFERROR(aurora_data!G1736,0)</f>
        <v>0</v>
      </c>
      <c r="AG16" s="253">
        <f>IFERROR(aurora_data!H1736,0)</f>
        <v>0</v>
      </c>
      <c r="AH16" s="61" t="s">
        <v>354</v>
      </c>
      <c r="AI16" s="113">
        <f>IFERROR(aurora_data!U1736,0)</f>
        <v>0</v>
      </c>
      <c r="AJ16" s="255">
        <f t="shared" si="0"/>
        <v>0</v>
      </c>
    </row>
    <row r="17" spans="1:36" customFormat="1">
      <c r="A17" s="2"/>
      <c r="B17" s="561"/>
      <c r="C17" s="454"/>
      <c r="D17" s="35" t="s">
        <v>341</v>
      </c>
      <c r="E17" s="113">
        <f>IFERROR(aurora_data!D1737,0)</f>
        <v>0</v>
      </c>
      <c r="F17" s="253">
        <f>IFERROR(aurora_data!E1737,0)</f>
        <v>0</v>
      </c>
      <c r="G17" s="253">
        <f>IFERROR(aurora_data!F1737,0)</f>
        <v>1</v>
      </c>
      <c r="H17" s="253">
        <f>IFERROR(aurora_data!G1737,0)</f>
        <v>1</v>
      </c>
      <c r="I17" s="254">
        <f>IFERROR(aurora_data!H1737,0)</f>
        <v>0</v>
      </c>
      <c r="J17" s="113">
        <f>IFERROR(aurora_data!I1737,0)</f>
        <v>0</v>
      </c>
      <c r="K17" s="253">
        <f>IFERROR(aurora_data!J1737,0)</f>
        <v>0</v>
      </c>
      <c r="L17" s="253">
        <f>IFERROR(aurora_data!K1737,0)</f>
        <v>1</v>
      </c>
      <c r="M17" s="253">
        <f>IFERROR(aurora_data!L1737,0)</f>
        <v>0</v>
      </c>
      <c r="N17" s="254">
        <f>IFERROR(aurora_data!M1737,0)</f>
        <v>1</v>
      </c>
      <c r="O17" s="113">
        <f>IFERROR(aurora_data!N1737,0)</f>
        <v>1</v>
      </c>
      <c r="P17" s="253">
        <f>IFERROR(aurora_data!O1737,0)</f>
        <v>0</v>
      </c>
      <c r="Q17" s="253">
        <f>IFERROR(aurora_data!P1737,0)</f>
        <v>0</v>
      </c>
      <c r="R17" s="254">
        <f>IFERROR(aurora_data!Q1737,0)</f>
        <v>1</v>
      </c>
      <c r="S17" s="253">
        <f>IFERROR(aurora_data!R1737,0)</f>
        <v>2</v>
      </c>
      <c r="T17" s="253">
        <f>IFERROR(aurora_data!S1737,0)</f>
        <v>0</v>
      </c>
      <c r="U17" s="254">
        <f>IFERROR(aurora_data!T1337,0)</f>
        <v>0</v>
      </c>
      <c r="V17" s="61" t="s">
        <v>354</v>
      </c>
      <c r="W17" s="113">
        <f>IFERROR(aurora_data!U1737,0)</f>
        <v>2</v>
      </c>
      <c r="X17" s="255">
        <f t="shared" si="1"/>
        <v>0.2</v>
      </c>
      <c r="Y17" s="2"/>
      <c r="AA17" s="452"/>
      <c r="AB17" s="454"/>
      <c r="AC17" s="35" t="s">
        <v>341</v>
      </c>
      <c r="AD17" s="113">
        <f>IFERROR(aurora_data!D1737,0)+IFERROR(aurora_data!E1737,0)</f>
        <v>0</v>
      </c>
      <c r="AE17" s="253">
        <f>IFERROR(aurora_data!F1737,0)</f>
        <v>1</v>
      </c>
      <c r="AF17" s="253">
        <f>IFERROR(aurora_data!G1737,0)</f>
        <v>1</v>
      </c>
      <c r="AG17" s="253">
        <f>IFERROR(aurora_data!H1737,0)</f>
        <v>0</v>
      </c>
      <c r="AH17" s="61" t="s">
        <v>354</v>
      </c>
      <c r="AI17" s="113">
        <f>IFERROR(aurora_data!U1737,0)</f>
        <v>2</v>
      </c>
      <c r="AJ17" s="255">
        <f t="shared" si="0"/>
        <v>0.2</v>
      </c>
    </row>
    <row r="18" spans="1:36" customFormat="1" ht="16.5" thickBot="1">
      <c r="A18" s="2"/>
      <c r="B18" s="561"/>
      <c r="C18" s="454"/>
      <c r="D18" s="35" t="s">
        <v>342</v>
      </c>
      <c r="E18" s="113">
        <f>IFERROR(aurora_data!D1738,0)</f>
        <v>0</v>
      </c>
      <c r="F18" s="253">
        <f>IFERROR(aurora_data!E1738,0)</f>
        <v>0</v>
      </c>
      <c r="G18" s="253">
        <f>IFERROR(aurora_data!F1738,0)</f>
        <v>0</v>
      </c>
      <c r="H18" s="253">
        <f>IFERROR(aurora_data!G1738,0)</f>
        <v>0</v>
      </c>
      <c r="I18" s="254">
        <f>IFERROR(aurora_data!H1738,0)</f>
        <v>0</v>
      </c>
      <c r="J18" s="113">
        <f>IFERROR(aurora_data!I1738,0)</f>
        <v>0</v>
      </c>
      <c r="K18" s="253">
        <f>IFERROR(aurora_data!J1738,0)</f>
        <v>0</v>
      </c>
      <c r="L18" s="253">
        <f>IFERROR(aurora_data!K1738,0)</f>
        <v>0</v>
      </c>
      <c r="M18" s="253">
        <f>IFERROR(aurora_data!L1738,0)</f>
        <v>0</v>
      </c>
      <c r="N18" s="254">
        <f>IFERROR(aurora_data!M1738,0)</f>
        <v>0</v>
      </c>
      <c r="O18" s="113">
        <f>IFERROR(aurora_data!N1738,0)</f>
        <v>0</v>
      </c>
      <c r="P18" s="253">
        <f>IFERROR(aurora_data!O1738,0)</f>
        <v>0</v>
      </c>
      <c r="Q18" s="253">
        <f>IFERROR(aurora_data!P1738,0)</f>
        <v>0</v>
      </c>
      <c r="R18" s="254">
        <f>IFERROR(aurora_data!Q1738,0)</f>
        <v>0</v>
      </c>
      <c r="S18" s="253">
        <f>IFERROR(aurora_data!R1738,0)</f>
        <v>0</v>
      </c>
      <c r="T18" s="253">
        <f>IFERROR(aurora_data!S1738,0)</f>
        <v>0</v>
      </c>
      <c r="U18" s="254">
        <f>IFERROR(aurora_data!T1338,0)</f>
        <v>0</v>
      </c>
      <c r="V18" s="61" t="s">
        <v>354</v>
      </c>
      <c r="W18" s="113">
        <f>IFERROR(aurora_data!U1738,0)</f>
        <v>0</v>
      </c>
      <c r="X18" s="255">
        <f t="shared" si="1"/>
        <v>0</v>
      </c>
      <c r="Y18" s="2"/>
      <c r="AA18" s="452"/>
      <c r="AB18" s="454"/>
      <c r="AC18" s="35" t="s">
        <v>342</v>
      </c>
      <c r="AD18" s="113">
        <f>IFERROR(aurora_data!D1738,0)+IFERROR(aurora_data!E1738,0)</f>
        <v>0</v>
      </c>
      <c r="AE18" s="253">
        <f>IFERROR(aurora_data!F1738,0)</f>
        <v>0</v>
      </c>
      <c r="AF18" s="253">
        <f>IFERROR(aurora_data!G1738,0)</f>
        <v>0</v>
      </c>
      <c r="AG18" s="253">
        <f>IFERROR(aurora_data!H1738,0)</f>
        <v>0</v>
      </c>
      <c r="AH18" s="61" t="s">
        <v>354</v>
      </c>
      <c r="AI18" s="113">
        <f>IFERROR(aurora_data!U1738,0)</f>
        <v>0</v>
      </c>
      <c r="AJ18" s="255">
        <f t="shared" si="0"/>
        <v>0</v>
      </c>
    </row>
    <row r="19" spans="1:36" customFormat="1" ht="16.5" thickBot="1">
      <c r="A19" s="2"/>
      <c r="B19" s="561"/>
      <c r="C19" s="454"/>
      <c r="D19" s="37" t="s">
        <v>17</v>
      </c>
      <c r="E19" s="59">
        <f>IFERROR(aurora_data!D1739,0)</f>
        <v>2</v>
      </c>
      <c r="F19" s="64">
        <f>IFERROR(aurora_data!E1739,0)</f>
        <v>1</v>
      </c>
      <c r="G19" s="64">
        <f>IFERROR(aurora_data!F1739,0)</f>
        <v>4</v>
      </c>
      <c r="H19" s="64">
        <f>IFERROR(aurora_data!G1739,0)</f>
        <v>3</v>
      </c>
      <c r="I19" s="65">
        <f>IFERROR(aurora_data!H1739,0)</f>
        <v>5</v>
      </c>
      <c r="J19" s="59">
        <f>IFERROR(aurora_data!I1739,0)</f>
        <v>1</v>
      </c>
      <c r="K19" s="64">
        <f>IFERROR(aurora_data!J1739,0)</f>
        <v>2</v>
      </c>
      <c r="L19" s="64">
        <f>IFERROR(aurora_data!K1739,0)</f>
        <v>4</v>
      </c>
      <c r="M19" s="64">
        <f>IFERROR(aurora_data!L1739,0)</f>
        <v>3</v>
      </c>
      <c r="N19" s="65">
        <f>IFERROR(aurora_data!M1739,0)</f>
        <v>5</v>
      </c>
      <c r="O19" s="59">
        <f>IFERROR(aurora_data!N1739,0)</f>
        <v>5</v>
      </c>
      <c r="P19" s="64">
        <f>IFERROR(aurora_data!O1739,0)</f>
        <v>3</v>
      </c>
      <c r="Q19" s="64">
        <f>IFERROR(aurora_data!P1739,0)</f>
        <v>3</v>
      </c>
      <c r="R19" s="65">
        <f>IFERROR(aurora_data!Q1739,0)</f>
        <v>4</v>
      </c>
      <c r="S19" s="64">
        <f>IFERROR(aurora_data!R1739,0)</f>
        <v>8</v>
      </c>
      <c r="T19" s="64">
        <f>IFERROR(aurora_data!S1739,0)</f>
        <v>7</v>
      </c>
      <c r="U19" s="65">
        <f>IFERROR(aurora_data!T1339,0)</f>
        <v>0</v>
      </c>
      <c r="V19" s="66" t="s">
        <v>354</v>
      </c>
      <c r="W19" s="59">
        <f>IFERROR(aurora_data!U1739,0)</f>
        <v>15</v>
      </c>
      <c r="X19" s="70">
        <f t="shared" si="1"/>
        <v>1.5</v>
      </c>
      <c r="Y19" s="2"/>
      <c r="AA19" s="452"/>
      <c r="AB19" s="454"/>
      <c r="AC19" s="37" t="s">
        <v>17</v>
      </c>
      <c r="AD19" s="59">
        <f>IFERROR(aurora_data!D1739,0)+IFERROR(aurora_data!E1739,0)</f>
        <v>3</v>
      </c>
      <c r="AE19" s="64">
        <f>IFERROR(aurora_data!F1739,0)</f>
        <v>4</v>
      </c>
      <c r="AF19" s="64">
        <f>IFERROR(aurora_data!G1739,0)</f>
        <v>3</v>
      </c>
      <c r="AG19" s="64">
        <f>IFERROR(aurora_data!H1739,0)</f>
        <v>5</v>
      </c>
      <c r="AH19" s="66" t="s">
        <v>354</v>
      </c>
      <c r="AI19" s="59">
        <f>IFERROR(aurora_data!U1739,0)</f>
        <v>15</v>
      </c>
      <c r="AJ19" s="70">
        <f t="shared" si="0"/>
        <v>1.5</v>
      </c>
    </row>
    <row r="20" spans="1:36" customFormat="1" ht="17.25" customHeight="1" thickBot="1">
      <c r="A20" s="2"/>
      <c r="B20" s="561"/>
      <c r="C20" s="454"/>
      <c r="D20" s="38" t="s">
        <v>343</v>
      </c>
      <c r="E20" s="256">
        <f>IFERROR(aurora_data!D1740,0)</f>
        <v>0</v>
      </c>
      <c r="F20" s="257">
        <f>IFERROR(aurora_data!E1740,0)</f>
        <v>0</v>
      </c>
      <c r="G20" s="257">
        <f>IFERROR(aurora_data!F1740,0)</f>
        <v>0</v>
      </c>
      <c r="H20" s="257">
        <f>IFERROR(aurora_data!G1740,0)</f>
        <v>0</v>
      </c>
      <c r="I20" s="258">
        <f>IFERROR(aurora_data!H1740,0)</f>
        <v>0</v>
      </c>
      <c r="J20" s="256">
        <f>IFERROR(aurora_data!I1740,0)</f>
        <v>0</v>
      </c>
      <c r="K20" s="257">
        <f>IFERROR(aurora_data!J1740,0)</f>
        <v>0</v>
      </c>
      <c r="L20" s="257">
        <f>IFERROR(aurora_data!K1740,0)</f>
        <v>0</v>
      </c>
      <c r="M20" s="257">
        <f>IFERROR(aurora_data!L1740,0)</f>
        <v>0</v>
      </c>
      <c r="N20" s="258">
        <f>IFERROR(aurora_data!M1740,0)</f>
        <v>0</v>
      </c>
      <c r="O20" s="256">
        <f>IFERROR(aurora_data!N1740,0)</f>
        <v>0</v>
      </c>
      <c r="P20" s="257">
        <f>IFERROR(aurora_data!O1740,0)</f>
        <v>0</v>
      </c>
      <c r="Q20" s="257">
        <f>IFERROR(aurora_data!P1740,0)</f>
        <v>0</v>
      </c>
      <c r="R20" s="258">
        <f>IFERROR(aurora_data!Q1740,0)</f>
        <v>0</v>
      </c>
      <c r="S20" s="257">
        <f>IFERROR(aurora_data!R1740,0)</f>
        <v>0</v>
      </c>
      <c r="T20" s="257">
        <f>IFERROR(aurora_data!S1740,0)</f>
        <v>0</v>
      </c>
      <c r="U20" s="259">
        <f>IFERROR(aurora_data!T1340,0)</f>
        <v>0</v>
      </c>
      <c r="V20" s="260" t="s">
        <v>354</v>
      </c>
      <c r="W20" s="256">
        <f>IFERROR(aurora_data!U1740,0)</f>
        <v>0</v>
      </c>
      <c r="X20" s="261">
        <f t="shared" si="1"/>
        <v>0</v>
      </c>
      <c r="Y20" s="2"/>
      <c r="AA20" s="452"/>
      <c r="AB20" s="454"/>
      <c r="AC20" s="38" t="s">
        <v>343</v>
      </c>
      <c r="AD20" s="256">
        <f>IFERROR(aurora_data!D1740,0)+IFERROR(aurora_data!E1740,0)</f>
        <v>0</v>
      </c>
      <c r="AE20" s="257">
        <f>IFERROR(aurora_data!F1740,0)</f>
        <v>0</v>
      </c>
      <c r="AF20" s="257">
        <f>IFERROR(aurora_data!G1740,0)</f>
        <v>0</v>
      </c>
      <c r="AG20" s="257">
        <f>IFERROR(aurora_data!H1740,0)</f>
        <v>0</v>
      </c>
      <c r="AH20" s="260" t="s">
        <v>354</v>
      </c>
      <c r="AI20" s="256">
        <f>IFERROR(aurora_data!U1740,0)</f>
        <v>0</v>
      </c>
      <c r="AJ20" s="261">
        <f t="shared" si="0"/>
        <v>0</v>
      </c>
    </row>
    <row r="21" spans="1:36" customFormat="1">
      <c r="A21" s="2"/>
      <c r="B21" s="451" t="s">
        <v>338</v>
      </c>
      <c r="C21" s="453" t="str">
        <f>aurora_data!A1741</f>
        <v>07.00.00-07.11.30</v>
      </c>
      <c r="D21" s="34" t="s">
        <v>306</v>
      </c>
      <c r="E21" s="39">
        <f>IFERROR(aurora_data!D1741,0)</f>
        <v>0.24</v>
      </c>
      <c r="F21" s="40">
        <f>IFERROR(aurora_data!E1741,0)</f>
        <v>0.48</v>
      </c>
      <c r="G21" s="40">
        <f>IFERROR(aurora_data!F1741,0)</f>
        <v>1.76</v>
      </c>
      <c r="H21" s="40">
        <f>IFERROR(aurora_data!G1741,0)</f>
        <v>2.93</v>
      </c>
      <c r="I21" s="41">
        <f>IFERROR(aurora_data!H1741,0)</f>
        <v>3.59</v>
      </c>
      <c r="J21" s="39">
        <f>IFERROR(aurora_data!I1741,0)</f>
        <v>1</v>
      </c>
      <c r="K21" s="40">
        <f>IFERROR(aurora_data!J1741,0)</f>
        <v>1</v>
      </c>
      <c r="L21" s="40">
        <f>IFERROR(aurora_data!K1741,0)</f>
        <v>1</v>
      </c>
      <c r="M21" s="40">
        <f>IFERROR(aurora_data!L1741,0)</f>
        <v>1</v>
      </c>
      <c r="N21" s="41">
        <f>IFERROR(aurora_data!M1741,0)</f>
        <v>1</v>
      </c>
      <c r="O21" s="39">
        <f>IFERROR(aurora_data!N1741,0)</f>
        <v>1</v>
      </c>
      <c r="P21" s="40">
        <f>IFERROR(aurora_data!O1741,0)</f>
        <v>1</v>
      </c>
      <c r="Q21" s="40">
        <f>IFERROR(aurora_data!P1741,0)</f>
        <v>1</v>
      </c>
      <c r="R21" s="41">
        <f>IFERROR(aurora_data!Q1741,0)</f>
        <v>1</v>
      </c>
      <c r="S21" s="40">
        <f>IFERROR(aurora_data!R1741,0)</f>
        <v>1</v>
      </c>
      <c r="T21" s="40">
        <f>IFERROR(aurora_data!S1741,0)</f>
        <v>1</v>
      </c>
      <c r="U21" s="41">
        <f>IFERROR(aurora_data!T1341,0)</f>
        <v>0</v>
      </c>
      <c r="V21" s="61" t="s">
        <v>354</v>
      </c>
      <c r="W21" s="39">
        <f>IFERROR(aurora_data!U1741,0)</f>
        <v>9</v>
      </c>
      <c r="X21" s="69">
        <f>IFERROR(W21/$W$21,0)</f>
        <v>1</v>
      </c>
      <c r="Y21" s="2"/>
      <c r="AA21" s="451" t="s">
        <v>338</v>
      </c>
      <c r="AB21" s="453" t="str">
        <f>aurora_data!A1741</f>
        <v>07.00.00-07.11.30</v>
      </c>
      <c r="AC21" s="34" t="s">
        <v>306</v>
      </c>
      <c r="AD21" s="338">
        <v>2</v>
      </c>
      <c r="AE21" s="40">
        <f>IFERROR(aurora_data!F1741,0)</f>
        <v>1.76</v>
      </c>
      <c r="AF21" s="337">
        <v>2</v>
      </c>
      <c r="AG21" s="337">
        <v>3</v>
      </c>
      <c r="AH21" s="61" t="s">
        <v>354</v>
      </c>
      <c r="AI21" s="39">
        <f>IFERROR(aurora_data!U1741,0)</f>
        <v>9</v>
      </c>
      <c r="AJ21" s="69">
        <f t="shared" ref="AJ21:AJ29" si="2">IFERROR(AI21/$AI$21,0)</f>
        <v>1</v>
      </c>
    </row>
    <row r="22" spans="1:36" customFormat="1">
      <c r="A22" s="2"/>
      <c r="B22" s="452"/>
      <c r="C22" s="454"/>
      <c r="D22" s="35" t="s">
        <v>339</v>
      </c>
      <c r="E22" s="113">
        <f>IFERROR(aurora_data!D1742,0)</f>
        <v>0</v>
      </c>
      <c r="F22" s="253">
        <f>IFERROR(aurora_data!E1742,0)</f>
        <v>0</v>
      </c>
      <c r="G22" s="253">
        <f>IFERROR(aurora_data!F1742,0)</f>
        <v>2</v>
      </c>
      <c r="H22" s="253">
        <f>IFERROR(aurora_data!G1742,0)</f>
        <v>2</v>
      </c>
      <c r="I22" s="254">
        <f>IFERROR(aurora_data!H1742,0)</f>
        <v>3</v>
      </c>
      <c r="J22" s="113">
        <f>IFERROR(aurora_data!I1742,0)</f>
        <v>0</v>
      </c>
      <c r="K22" s="253">
        <f>IFERROR(aurora_data!J1742,0)</f>
        <v>1</v>
      </c>
      <c r="L22" s="253">
        <f>IFERROR(aurora_data!K1742,0)</f>
        <v>2</v>
      </c>
      <c r="M22" s="253">
        <f>IFERROR(aurora_data!L1742,0)</f>
        <v>1</v>
      </c>
      <c r="N22" s="254">
        <f>IFERROR(aurora_data!M1742,0)</f>
        <v>3</v>
      </c>
      <c r="O22" s="113">
        <f>IFERROR(aurora_data!N1742,0)</f>
        <v>2</v>
      </c>
      <c r="P22" s="253">
        <f>IFERROR(aurora_data!O1742,0)</f>
        <v>1</v>
      </c>
      <c r="Q22" s="253">
        <f>IFERROR(aurora_data!P1742,0)</f>
        <v>3</v>
      </c>
      <c r="R22" s="254">
        <f>IFERROR(aurora_data!Q1742,0)</f>
        <v>1</v>
      </c>
      <c r="S22" s="253">
        <f>IFERROR(aurora_data!R1742,0)</f>
        <v>4</v>
      </c>
      <c r="T22" s="253">
        <f>IFERROR(aurora_data!S1742,0)</f>
        <v>3</v>
      </c>
      <c r="U22" s="254">
        <f>IFERROR(aurora_data!T1342,0)</f>
        <v>0</v>
      </c>
      <c r="V22" s="61" t="s">
        <v>354</v>
      </c>
      <c r="W22" s="113">
        <f>IFERROR(aurora_data!U1742,0)</f>
        <v>7</v>
      </c>
      <c r="X22" s="255">
        <f t="shared" ref="X22:X29" si="3">IFERROR(W22/$W$21,0)</f>
        <v>0.77777777777777779</v>
      </c>
      <c r="Y22" s="2"/>
      <c r="AA22" s="452"/>
      <c r="AB22" s="454"/>
      <c r="AC22" s="35" t="s">
        <v>339</v>
      </c>
      <c r="AD22" s="113">
        <f>IFERROR(aurora_data!D1742,0)+IFERROR(aurora_data!E1742,0)</f>
        <v>0</v>
      </c>
      <c r="AE22" s="253">
        <f>IFERROR(aurora_data!F1742,0)</f>
        <v>2</v>
      </c>
      <c r="AF22" s="253">
        <f>IFERROR(aurora_data!G1742,0)</f>
        <v>2</v>
      </c>
      <c r="AG22" s="253">
        <f>IFERROR(aurora_data!H1742,0)</f>
        <v>3</v>
      </c>
      <c r="AH22" s="61" t="s">
        <v>354</v>
      </c>
      <c r="AI22" s="113">
        <f>IFERROR(aurora_data!U1742,0)</f>
        <v>7</v>
      </c>
      <c r="AJ22" s="255">
        <f t="shared" si="2"/>
        <v>0.77777777777777779</v>
      </c>
    </row>
    <row r="23" spans="1:36" customFormat="1">
      <c r="A23" s="2"/>
      <c r="B23" s="452"/>
      <c r="C23" s="454"/>
      <c r="D23" s="35" t="s">
        <v>291</v>
      </c>
      <c r="E23" s="113">
        <f>IFERROR(aurora_data!D1743,0)</f>
        <v>0</v>
      </c>
      <c r="F23" s="253">
        <f>IFERROR(aurora_data!E1743,0)</f>
        <v>0</v>
      </c>
      <c r="G23" s="253">
        <f>IFERROR(aurora_data!F1743,0)</f>
        <v>0</v>
      </c>
      <c r="H23" s="253">
        <f>IFERROR(aurora_data!G1743,0)</f>
        <v>1</v>
      </c>
      <c r="I23" s="254">
        <f>IFERROR(aurora_data!H1743,0)</f>
        <v>3</v>
      </c>
      <c r="J23" s="113">
        <f>IFERROR(aurora_data!I1743,0)</f>
        <v>0</v>
      </c>
      <c r="K23" s="253">
        <f>IFERROR(aurora_data!J1743,0)</f>
        <v>0</v>
      </c>
      <c r="L23" s="253">
        <f>IFERROR(aurora_data!K1743,0)</f>
        <v>1</v>
      </c>
      <c r="M23" s="253">
        <f>IFERROR(aurora_data!L1743,0)</f>
        <v>0</v>
      </c>
      <c r="N23" s="254">
        <f>IFERROR(aurora_data!M1743,0)</f>
        <v>3</v>
      </c>
      <c r="O23" s="113">
        <f>IFERROR(aurora_data!N1743,0)</f>
        <v>1</v>
      </c>
      <c r="P23" s="253">
        <f>IFERROR(aurora_data!O1743,0)</f>
        <v>0</v>
      </c>
      <c r="Q23" s="253">
        <f>IFERROR(aurora_data!P1743,0)</f>
        <v>1</v>
      </c>
      <c r="R23" s="254">
        <f>IFERROR(aurora_data!Q1743,0)</f>
        <v>2</v>
      </c>
      <c r="S23" s="253">
        <f>IFERROR(aurora_data!R1743,0)</f>
        <v>4</v>
      </c>
      <c r="T23" s="253">
        <f>IFERROR(aurora_data!S1743,0)</f>
        <v>0</v>
      </c>
      <c r="U23" s="254">
        <f>IFERROR(aurora_data!T1343,0)</f>
        <v>0</v>
      </c>
      <c r="V23" s="61" t="s">
        <v>354</v>
      </c>
      <c r="W23" s="113">
        <f>IFERROR(aurora_data!U1743,0)</f>
        <v>4</v>
      </c>
      <c r="X23" s="255">
        <f t="shared" si="3"/>
        <v>0.44444444444444442</v>
      </c>
      <c r="Y23" s="2"/>
      <c r="AA23" s="452"/>
      <c r="AB23" s="454"/>
      <c r="AC23" s="35" t="s">
        <v>291</v>
      </c>
      <c r="AD23" s="113">
        <f>IFERROR(aurora_data!D1743,0)+IFERROR(aurora_data!E1743,0)</f>
        <v>0</v>
      </c>
      <c r="AE23" s="253">
        <f>IFERROR(aurora_data!F1743,0)</f>
        <v>0</v>
      </c>
      <c r="AF23" s="253">
        <f>IFERROR(aurora_data!G1743,0)</f>
        <v>1</v>
      </c>
      <c r="AG23" s="253">
        <f>IFERROR(aurora_data!H1743,0)</f>
        <v>3</v>
      </c>
      <c r="AH23" s="61" t="s">
        <v>354</v>
      </c>
      <c r="AI23" s="113">
        <f>IFERROR(aurora_data!U1743,0)</f>
        <v>4</v>
      </c>
      <c r="AJ23" s="255">
        <f t="shared" si="2"/>
        <v>0.44444444444444442</v>
      </c>
    </row>
    <row r="24" spans="1:36" customFormat="1">
      <c r="A24" s="2"/>
      <c r="B24" s="452"/>
      <c r="C24" s="454"/>
      <c r="D24" s="35" t="s">
        <v>340</v>
      </c>
      <c r="E24" s="113">
        <f>IFERROR(aurora_data!D1744,0)</f>
        <v>0</v>
      </c>
      <c r="F24" s="253">
        <f>IFERROR(aurora_data!E1744,0)</f>
        <v>0</v>
      </c>
      <c r="G24" s="253">
        <f>IFERROR(aurora_data!F1744,0)</f>
        <v>0</v>
      </c>
      <c r="H24" s="253">
        <f>IFERROR(aurora_data!G1744,0)</f>
        <v>0</v>
      </c>
      <c r="I24" s="254">
        <f>IFERROR(aurora_data!H1744,0)</f>
        <v>0</v>
      </c>
      <c r="J24" s="113">
        <f>IFERROR(aurora_data!I1744,0)</f>
        <v>0</v>
      </c>
      <c r="K24" s="253">
        <f>IFERROR(aurora_data!J1744,0)</f>
        <v>0</v>
      </c>
      <c r="L24" s="253">
        <f>IFERROR(aurora_data!K1744,0)</f>
        <v>0</v>
      </c>
      <c r="M24" s="253">
        <f>IFERROR(aurora_data!L1744,0)</f>
        <v>0</v>
      </c>
      <c r="N24" s="254">
        <f>IFERROR(aurora_data!M1744,0)</f>
        <v>0</v>
      </c>
      <c r="O24" s="113">
        <f>IFERROR(aurora_data!N1744,0)</f>
        <v>0</v>
      </c>
      <c r="P24" s="253">
        <f>IFERROR(aurora_data!O1744,0)</f>
        <v>0</v>
      </c>
      <c r="Q24" s="253">
        <f>IFERROR(aurora_data!P1744,0)</f>
        <v>0</v>
      </c>
      <c r="R24" s="254">
        <f>IFERROR(aurora_data!Q1744,0)</f>
        <v>0</v>
      </c>
      <c r="S24" s="253">
        <f>IFERROR(aurora_data!R1744,0)</f>
        <v>0</v>
      </c>
      <c r="T24" s="253">
        <f>IFERROR(aurora_data!S1744,0)</f>
        <v>0</v>
      </c>
      <c r="U24" s="254">
        <f>IFERROR(aurora_data!T1344,0)</f>
        <v>0</v>
      </c>
      <c r="V24" s="61" t="s">
        <v>354</v>
      </c>
      <c r="W24" s="113">
        <f>IFERROR(aurora_data!U1744,0)</f>
        <v>0</v>
      </c>
      <c r="X24" s="255">
        <f t="shared" si="3"/>
        <v>0</v>
      </c>
      <c r="Y24" s="2"/>
      <c r="AA24" s="452"/>
      <c r="AB24" s="454"/>
      <c r="AC24" s="35" t="s">
        <v>340</v>
      </c>
      <c r="AD24" s="113">
        <f>IFERROR(aurora_data!D1744,0)+IFERROR(aurora_data!E1744,0)</f>
        <v>0</v>
      </c>
      <c r="AE24" s="253">
        <f>IFERROR(aurora_data!F1744,0)</f>
        <v>0</v>
      </c>
      <c r="AF24" s="253">
        <f>IFERROR(aurora_data!G1744,0)</f>
        <v>0</v>
      </c>
      <c r="AG24" s="253">
        <f>IFERROR(aurora_data!H1744,0)</f>
        <v>0</v>
      </c>
      <c r="AH24" s="61" t="s">
        <v>354</v>
      </c>
      <c r="AI24" s="113">
        <f>IFERROR(aurora_data!U1744,0)</f>
        <v>0</v>
      </c>
      <c r="AJ24" s="255">
        <f t="shared" si="2"/>
        <v>0</v>
      </c>
    </row>
    <row r="25" spans="1:36" customFormat="1">
      <c r="A25" s="2"/>
      <c r="B25" s="452"/>
      <c r="C25" s="454"/>
      <c r="D25" s="35" t="s">
        <v>298</v>
      </c>
      <c r="E25" s="113">
        <f>IFERROR(aurora_data!D1745,0)</f>
        <v>0</v>
      </c>
      <c r="F25" s="253">
        <f>IFERROR(aurora_data!E1745,0)</f>
        <v>0</v>
      </c>
      <c r="G25" s="253">
        <f>IFERROR(aurora_data!F1745,0)</f>
        <v>0</v>
      </c>
      <c r="H25" s="253">
        <f>IFERROR(aurora_data!G1745,0)</f>
        <v>0</v>
      </c>
      <c r="I25" s="254">
        <f>IFERROR(aurora_data!H1745,0)</f>
        <v>0</v>
      </c>
      <c r="J25" s="113">
        <f>IFERROR(aurora_data!I1745,0)</f>
        <v>0</v>
      </c>
      <c r="K25" s="253">
        <f>IFERROR(aurora_data!J1745,0)</f>
        <v>0</v>
      </c>
      <c r="L25" s="253">
        <f>IFERROR(aurora_data!K1745,0)</f>
        <v>0</v>
      </c>
      <c r="M25" s="253">
        <f>IFERROR(aurora_data!L1745,0)</f>
        <v>0</v>
      </c>
      <c r="N25" s="254">
        <f>IFERROR(aurora_data!M1745,0)</f>
        <v>0</v>
      </c>
      <c r="O25" s="113">
        <f>IFERROR(aurora_data!N1745,0)</f>
        <v>0</v>
      </c>
      <c r="P25" s="253">
        <f>IFERROR(aurora_data!O1745,0)</f>
        <v>0</v>
      </c>
      <c r="Q25" s="253">
        <f>IFERROR(aurora_data!P1745,0)</f>
        <v>0</v>
      </c>
      <c r="R25" s="254">
        <f>IFERROR(aurora_data!Q1745,0)</f>
        <v>0</v>
      </c>
      <c r="S25" s="253">
        <f>IFERROR(aurora_data!R1745,0)</f>
        <v>0</v>
      </c>
      <c r="T25" s="253">
        <f>IFERROR(aurora_data!S1745,0)</f>
        <v>0</v>
      </c>
      <c r="U25" s="254">
        <f>IFERROR(aurora_data!T1345,0)</f>
        <v>0</v>
      </c>
      <c r="V25" s="61" t="s">
        <v>354</v>
      </c>
      <c r="W25" s="113">
        <f>IFERROR(aurora_data!U1745,0)</f>
        <v>0</v>
      </c>
      <c r="X25" s="255">
        <f t="shared" si="3"/>
        <v>0</v>
      </c>
      <c r="Y25" s="2"/>
      <c r="AA25" s="452"/>
      <c r="AB25" s="454"/>
      <c r="AC25" s="35" t="s">
        <v>298</v>
      </c>
      <c r="AD25" s="113">
        <f>IFERROR(aurora_data!D1745,0)+IFERROR(aurora_data!E1745,0)</f>
        <v>0</v>
      </c>
      <c r="AE25" s="253">
        <f>IFERROR(aurora_data!F1745,0)</f>
        <v>0</v>
      </c>
      <c r="AF25" s="253">
        <f>IFERROR(aurora_data!G1745,0)</f>
        <v>0</v>
      </c>
      <c r="AG25" s="253">
        <f>IFERROR(aurora_data!H1745,0)</f>
        <v>0</v>
      </c>
      <c r="AH25" s="61" t="s">
        <v>354</v>
      </c>
      <c r="AI25" s="113">
        <f>IFERROR(aurora_data!U1745,0)</f>
        <v>0</v>
      </c>
      <c r="AJ25" s="255">
        <f t="shared" si="2"/>
        <v>0</v>
      </c>
    </row>
    <row r="26" spans="1:36" customFormat="1">
      <c r="A26" s="2"/>
      <c r="B26" s="452"/>
      <c r="C26" s="454"/>
      <c r="D26" s="35" t="s">
        <v>341</v>
      </c>
      <c r="E26" s="113">
        <f>IFERROR(aurora_data!D1746,0)</f>
        <v>0</v>
      </c>
      <c r="F26" s="253">
        <f>IFERROR(aurora_data!E1746,0)</f>
        <v>0</v>
      </c>
      <c r="G26" s="253">
        <f>IFERROR(aurora_data!F1746,0)</f>
        <v>0</v>
      </c>
      <c r="H26" s="253">
        <f>IFERROR(aurora_data!G1746,0)</f>
        <v>0</v>
      </c>
      <c r="I26" s="254">
        <f>IFERROR(aurora_data!H1746,0)</f>
        <v>1</v>
      </c>
      <c r="J26" s="113">
        <f>IFERROR(aurora_data!I1746,0)</f>
        <v>1</v>
      </c>
      <c r="K26" s="253">
        <f>IFERROR(aurora_data!J1746,0)</f>
        <v>0</v>
      </c>
      <c r="L26" s="253">
        <f>IFERROR(aurora_data!K1746,0)</f>
        <v>0</v>
      </c>
      <c r="M26" s="253">
        <f>IFERROR(aurora_data!L1746,0)</f>
        <v>0</v>
      </c>
      <c r="N26" s="254">
        <f>IFERROR(aurora_data!M1746,0)</f>
        <v>0</v>
      </c>
      <c r="O26" s="113">
        <f>IFERROR(aurora_data!N1746,0)</f>
        <v>0</v>
      </c>
      <c r="P26" s="253">
        <f>IFERROR(aurora_data!O1746,0)</f>
        <v>1</v>
      </c>
      <c r="Q26" s="253">
        <f>IFERROR(aurora_data!P1746,0)</f>
        <v>0</v>
      </c>
      <c r="R26" s="254">
        <f>IFERROR(aurora_data!Q1746,0)</f>
        <v>0</v>
      </c>
      <c r="S26" s="253">
        <f>IFERROR(aurora_data!R1746,0)</f>
        <v>0</v>
      </c>
      <c r="T26" s="253">
        <f>IFERROR(aurora_data!S1746,0)</f>
        <v>1</v>
      </c>
      <c r="U26" s="254">
        <f>IFERROR(aurora_data!T1346,0)</f>
        <v>0</v>
      </c>
      <c r="V26" s="61" t="s">
        <v>354</v>
      </c>
      <c r="W26" s="113">
        <f>IFERROR(aurora_data!U1746,0)</f>
        <v>1</v>
      </c>
      <c r="X26" s="255">
        <f t="shared" si="3"/>
        <v>0.1111111111111111</v>
      </c>
      <c r="Y26" s="2"/>
      <c r="AA26" s="452"/>
      <c r="AB26" s="454"/>
      <c r="AC26" s="35" t="s">
        <v>341</v>
      </c>
      <c r="AD26" s="113">
        <f>IFERROR(aurora_data!D1746,0)+IFERROR(aurora_data!E1746,0)</f>
        <v>0</v>
      </c>
      <c r="AE26" s="253">
        <f>IFERROR(aurora_data!F1746,0)</f>
        <v>0</v>
      </c>
      <c r="AF26" s="253">
        <f>IFERROR(aurora_data!G1746,0)</f>
        <v>0</v>
      </c>
      <c r="AG26" s="253">
        <f>IFERROR(aurora_data!H1746,0)</f>
        <v>1</v>
      </c>
      <c r="AH26" s="61" t="s">
        <v>354</v>
      </c>
      <c r="AI26" s="113">
        <f>IFERROR(aurora_data!U1746,0)</f>
        <v>1</v>
      </c>
      <c r="AJ26" s="255">
        <f t="shared" si="2"/>
        <v>0.1111111111111111</v>
      </c>
    </row>
    <row r="27" spans="1:36" customFormat="1" ht="16.5" thickBot="1">
      <c r="A27" s="2"/>
      <c r="B27" s="452"/>
      <c r="C27" s="454"/>
      <c r="D27" s="35" t="s">
        <v>342</v>
      </c>
      <c r="E27" s="113">
        <f>IFERROR(aurora_data!D1747,0)</f>
        <v>0</v>
      </c>
      <c r="F27" s="253">
        <f>IFERROR(aurora_data!E1747,0)</f>
        <v>0</v>
      </c>
      <c r="G27" s="253">
        <f>IFERROR(aurora_data!F1747,0)</f>
        <v>0</v>
      </c>
      <c r="H27" s="253">
        <f>IFERROR(aurora_data!G1747,0)</f>
        <v>0</v>
      </c>
      <c r="I27" s="254">
        <f>IFERROR(aurora_data!H1747,0)</f>
        <v>0</v>
      </c>
      <c r="J27" s="113">
        <f>IFERROR(aurora_data!I1747,0)</f>
        <v>0</v>
      </c>
      <c r="K27" s="253">
        <f>IFERROR(aurora_data!J1747,0)</f>
        <v>0</v>
      </c>
      <c r="L27" s="253">
        <f>IFERROR(aurora_data!K1747,0)</f>
        <v>0</v>
      </c>
      <c r="M27" s="253">
        <f>IFERROR(aurora_data!L1747,0)</f>
        <v>0</v>
      </c>
      <c r="N27" s="254">
        <f>IFERROR(aurora_data!M1747,0)</f>
        <v>0</v>
      </c>
      <c r="O27" s="113">
        <f>IFERROR(aurora_data!N1747,0)</f>
        <v>0</v>
      </c>
      <c r="P27" s="253">
        <f>IFERROR(aurora_data!O1747,0)</f>
        <v>0</v>
      </c>
      <c r="Q27" s="253">
        <f>IFERROR(aurora_data!P1747,0)</f>
        <v>0</v>
      </c>
      <c r="R27" s="254">
        <f>IFERROR(aurora_data!Q1747,0)</f>
        <v>0</v>
      </c>
      <c r="S27" s="253">
        <f>IFERROR(aurora_data!R1747,0)</f>
        <v>0</v>
      </c>
      <c r="T27" s="253">
        <f>IFERROR(aurora_data!S1747,0)</f>
        <v>0</v>
      </c>
      <c r="U27" s="254">
        <f>IFERROR(aurora_data!T1347,0)</f>
        <v>0</v>
      </c>
      <c r="V27" s="61" t="s">
        <v>354</v>
      </c>
      <c r="W27" s="113">
        <f>IFERROR(aurora_data!U1747,0)</f>
        <v>0</v>
      </c>
      <c r="X27" s="255">
        <f t="shared" si="3"/>
        <v>0</v>
      </c>
      <c r="Y27" s="2"/>
      <c r="AA27" s="452"/>
      <c r="AB27" s="454"/>
      <c r="AC27" s="35" t="s">
        <v>342</v>
      </c>
      <c r="AD27" s="113">
        <f>IFERROR(aurora_data!D1747,0)+IFERROR(aurora_data!E1747,0)</f>
        <v>0</v>
      </c>
      <c r="AE27" s="253">
        <f>IFERROR(aurora_data!F1747,0)</f>
        <v>0</v>
      </c>
      <c r="AF27" s="253">
        <f>IFERROR(aurora_data!G1747,0)</f>
        <v>0</v>
      </c>
      <c r="AG27" s="253">
        <f>IFERROR(aurora_data!H1747,0)</f>
        <v>0</v>
      </c>
      <c r="AH27" s="61" t="s">
        <v>354</v>
      </c>
      <c r="AI27" s="113">
        <f>IFERROR(aurora_data!U1747,0)</f>
        <v>0</v>
      </c>
      <c r="AJ27" s="255">
        <f t="shared" si="2"/>
        <v>0</v>
      </c>
    </row>
    <row r="28" spans="1:36" customFormat="1" ht="16.5" thickBot="1">
      <c r="A28" s="2"/>
      <c r="B28" s="452"/>
      <c r="C28" s="454"/>
      <c r="D28" s="37" t="s">
        <v>17</v>
      </c>
      <c r="E28" s="59">
        <f>IFERROR(aurora_data!D1748,0)</f>
        <v>0</v>
      </c>
      <c r="F28" s="64">
        <f>IFERROR(aurora_data!E1748,0)</f>
        <v>0</v>
      </c>
      <c r="G28" s="64">
        <f>IFERROR(aurora_data!F1748,0)</f>
        <v>2</v>
      </c>
      <c r="H28" s="64">
        <f>IFERROR(aurora_data!G1748,0)</f>
        <v>3</v>
      </c>
      <c r="I28" s="65">
        <f>IFERROR(aurora_data!H1748,0)</f>
        <v>7</v>
      </c>
      <c r="J28" s="59">
        <f>IFERROR(aurora_data!I1748,0)</f>
        <v>1</v>
      </c>
      <c r="K28" s="64">
        <f>IFERROR(aurora_data!J1748,0)</f>
        <v>1</v>
      </c>
      <c r="L28" s="64">
        <f>IFERROR(aurora_data!K1748,0)</f>
        <v>3</v>
      </c>
      <c r="M28" s="64">
        <f>IFERROR(aurora_data!L1748,0)</f>
        <v>1</v>
      </c>
      <c r="N28" s="65">
        <f>IFERROR(aurora_data!M1748,0)</f>
        <v>6</v>
      </c>
      <c r="O28" s="59">
        <f>IFERROR(aurora_data!N1748,0)</f>
        <v>3</v>
      </c>
      <c r="P28" s="64">
        <f>IFERROR(aurora_data!O1748,0)</f>
        <v>2</v>
      </c>
      <c r="Q28" s="64">
        <f>IFERROR(aurora_data!P1748,0)</f>
        <v>4</v>
      </c>
      <c r="R28" s="65">
        <f>IFERROR(aurora_data!Q1748,0)</f>
        <v>3</v>
      </c>
      <c r="S28" s="64">
        <f>IFERROR(aurora_data!R1748,0)</f>
        <v>8</v>
      </c>
      <c r="T28" s="64">
        <f>IFERROR(aurora_data!S1748,0)</f>
        <v>4</v>
      </c>
      <c r="U28" s="65">
        <f>IFERROR(aurora_data!T1348,0)</f>
        <v>0</v>
      </c>
      <c r="V28" s="66" t="s">
        <v>354</v>
      </c>
      <c r="W28" s="59">
        <f>IFERROR(aurora_data!U1748,0)</f>
        <v>12</v>
      </c>
      <c r="X28" s="70">
        <f t="shared" si="3"/>
        <v>1.3333333333333333</v>
      </c>
      <c r="Y28" s="2"/>
      <c r="AA28" s="452"/>
      <c r="AB28" s="454"/>
      <c r="AC28" s="37" t="s">
        <v>17</v>
      </c>
      <c r="AD28" s="59">
        <f>IFERROR(aurora_data!D1748,0)+IFERROR(aurora_data!E1748,0)</f>
        <v>0</v>
      </c>
      <c r="AE28" s="64">
        <f>IFERROR(aurora_data!F1748,0)</f>
        <v>2</v>
      </c>
      <c r="AF28" s="64">
        <f>IFERROR(aurora_data!G1748,0)</f>
        <v>3</v>
      </c>
      <c r="AG28" s="64">
        <f>IFERROR(aurora_data!H1748,0)</f>
        <v>7</v>
      </c>
      <c r="AH28" s="66" t="s">
        <v>354</v>
      </c>
      <c r="AI28" s="59">
        <f>IFERROR(aurora_data!U1748,0)</f>
        <v>12</v>
      </c>
      <c r="AJ28" s="70">
        <f t="shared" si="2"/>
        <v>1.3333333333333333</v>
      </c>
    </row>
    <row r="29" spans="1:36" customFormat="1" ht="16.5" thickBot="1">
      <c r="A29" s="2"/>
      <c r="B29" s="452"/>
      <c r="C29" s="454"/>
      <c r="D29" s="38" t="s">
        <v>343</v>
      </c>
      <c r="E29" s="256">
        <f>IFERROR(aurora_data!D1749,0)</f>
        <v>0</v>
      </c>
      <c r="F29" s="257">
        <f>IFERROR(aurora_data!E1749,0)</f>
        <v>0</v>
      </c>
      <c r="G29" s="257">
        <f>IFERROR(aurora_data!F1749,0)</f>
        <v>0</v>
      </c>
      <c r="H29" s="257">
        <f>IFERROR(aurora_data!G1749,0)</f>
        <v>0</v>
      </c>
      <c r="I29" s="258">
        <f>IFERROR(aurora_data!H1749,0)</f>
        <v>0</v>
      </c>
      <c r="J29" s="256">
        <f>IFERROR(aurora_data!I1749,0)</f>
        <v>0</v>
      </c>
      <c r="K29" s="257">
        <f>IFERROR(aurora_data!J1749,0)</f>
        <v>0</v>
      </c>
      <c r="L29" s="257">
        <f>IFERROR(aurora_data!K1749,0)</f>
        <v>0</v>
      </c>
      <c r="M29" s="257">
        <f>IFERROR(aurora_data!L1749,0)</f>
        <v>0</v>
      </c>
      <c r="N29" s="258">
        <f>IFERROR(aurora_data!M1749,0)</f>
        <v>0</v>
      </c>
      <c r="O29" s="256">
        <f>IFERROR(aurora_data!N1749,0)</f>
        <v>0</v>
      </c>
      <c r="P29" s="257">
        <f>IFERROR(aurora_data!O1749,0)</f>
        <v>0</v>
      </c>
      <c r="Q29" s="257">
        <f>IFERROR(aurora_data!P1749,0)</f>
        <v>0</v>
      </c>
      <c r="R29" s="258">
        <f>IFERROR(aurora_data!Q1749,0)</f>
        <v>0</v>
      </c>
      <c r="S29" s="257">
        <f>IFERROR(aurora_data!R1749,0)</f>
        <v>0</v>
      </c>
      <c r="T29" s="257">
        <f>IFERROR(aurora_data!S1749,0)</f>
        <v>0</v>
      </c>
      <c r="U29" s="259">
        <f>IFERROR(aurora_data!T1349,0)</f>
        <v>0</v>
      </c>
      <c r="V29" s="260" t="s">
        <v>354</v>
      </c>
      <c r="W29" s="256">
        <f>IFERROR(aurora_data!U1749,0)</f>
        <v>0</v>
      </c>
      <c r="X29" s="261">
        <f t="shared" si="3"/>
        <v>0</v>
      </c>
      <c r="Y29" s="2"/>
      <c r="AA29" s="452"/>
      <c r="AB29" s="454"/>
      <c r="AC29" s="38" t="s">
        <v>343</v>
      </c>
      <c r="AD29" s="256">
        <f>IFERROR(aurora_data!D1749,0)+IFERROR(aurora_data!E1749,0)</f>
        <v>0</v>
      </c>
      <c r="AE29" s="257">
        <f>IFERROR(aurora_data!F1749,0)</f>
        <v>0</v>
      </c>
      <c r="AF29" s="257">
        <f>IFERROR(aurora_data!G1749,0)</f>
        <v>0</v>
      </c>
      <c r="AG29" s="257">
        <f>IFERROR(aurora_data!H1749,0)</f>
        <v>0</v>
      </c>
      <c r="AH29" s="260" t="s">
        <v>354</v>
      </c>
      <c r="AI29" s="256">
        <f>IFERROR(aurora_data!U1749,0)</f>
        <v>0</v>
      </c>
      <c r="AJ29" s="261">
        <f t="shared" si="2"/>
        <v>0</v>
      </c>
    </row>
    <row r="30" spans="1:36" customFormat="1">
      <c r="A30" s="2"/>
      <c r="B30" s="560" t="s">
        <v>362</v>
      </c>
      <c r="C30" s="453" t="str">
        <f>aurora_data!A1750</f>
        <v>08.00.00-08.11.30</v>
      </c>
      <c r="D30" s="34" t="s">
        <v>306</v>
      </c>
      <c r="E30" s="39">
        <f>IFERROR(aurora_data!D1750,0)</f>
        <v>0.25</v>
      </c>
      <c r="F30" s="40">
        <f>IFERROR(aurora_data!E1750,0)</f>
        <v>0.49</v>
      </c>
      <c r="G30" s="40">
        <f>IFERROR(aurora_data!F1750,0)</f>
        <v>1.78</v>
      </c>
      <c r="H30" s="40">
        <f>IFERROR(aurora_data!G1750,0)</f>
        <v>2.91</v>
      </c>
      <c r="I30" s="41">
        <f>IFERROR(aurora_data!H1750,0)</f>
        <v>3.58</v>
      </c>
      <c r="J30" s="39">
        <f>IFERROR(aurora_data!I1750,0)</f>
        <v>1</v>
      </c>
      <c r="K30" s="40">
        <f>IFERROR(aurora_data!J1750,0)</f>
        <v>1</v>
      </c>
      <c r="L30" s="40">
        <f>IFERROR(aurora_data!K1750,0)</f>
        <v>1</v>
      </c>
      <c r="M30" s="40">
        <f>IFERROR(aurora_data!L1750,0)</f>
        <v>1</v>
      </c>
      <c r="N30" s="41">
        <f>IFERROR(aurora_data!M1750,0)</f>
        <v>1</v>
      </c>
      <c r="O30" s="39">
        <f>IFERROR(aurora_data!N1750,0)</f>
        <v>1</v>
      </c>
      <c r="P30" s="40">
        <f>IFERROR(aurora_data!O1750,0)</f>
        <v>1</v>
      </c>
      <c r="Q30" s="40">
        <f>IFERROR(aurora_data!P1750,0)</f>
        <v>1</v>
      </c>
      <c r="R30" s="41">
        <f>IFERROR(aurora_data!Q1750,0)</f>
        <v>1</v>
      </c>
      <c r="S30" s="40">
        <f>IFERROR(aurora_data!R1750,0)</f>
        <v>1</v>
      </c>
      <c r="T30" s="40">
        <f>IFERROR(aurora_data!S1750,0)</f>
        <v>1</v>
      </c>
      <c r="U30" s="41">
        <f>IFERROR(aurora_data!T1350,0)</f>
        <v>0</v>
      </c>
      <c r="V30" s="61" t="s">
        <v>354</v>
      </c>
      <c r="W30" s="39">
        <f>IFERROR(aurora_data!U1750,0)</f>
        <v>9</v>
      </c>
      <c r="X30" s="69">
        <f>IFERROR(W30/$W$30,0)</f>
        <v>1</v>
      </c>
      <c r="Y30" s="2"/>
      <c r="AA30" s="451" t="s">
        <v>338</v>
      </c>
      <c r="AB30" s="453" t="str">
        <f>aurora_data!A1750</f>
        <v>08.00.00-08.11.30</v>
      </c>
      <c r="AC30" s="34" t="s">
        <v>306</v>
      </c>
      <c r="AD30" s="338">
        <v>2</v>
      </c>
      <c r="AE30" s="40">
        <f>IFERROR(aurora_data!F1750,0)</f>
        <v>1.78</v>
      </c>
      <c r="AF30" s="337">
        <v>2</v>
      </c>
      <c r="AG30" s="337">
        <v>3</v>
      </c>
      <c r="AH30" s="61" t="s">
        <v>354</v>
      </c>
      <c r="AI30" s="39">
        <f>IFERROR(aurora_data!U1750,0)</f>
        <v>9</v>
      </c>
      <c r="AJ30" s="69">
        <f t="shared" ref="AJ30:AJ38" si="4">IFERROR(AI30/$AI$30,0)</f>
        <v>1</v>
      </c>
    </row>
    <row r="31" spans="1:36" customFormat="1">
      <c r="A31" s="2"/>
      <c r="B31" s="561"/>
      <c r="C31" s="454"/>
      <c r="D31" s="35" t="s">
        <v>339</v>
      </c>
      <c r="E31" s="113">
        <f>IFERROR(aurora_data!D1751,0)</f>
        <v>0</v>
      </c>
      <c r="F31" s="253">
        <f>IFERROR(aurora_data!E1751,0)</f>
        <v>1</v>
      </c>
      <c r="G31" s="253">
        <f>IFERROR(aurora_data!F1751,0)</f>
        <v>2</v>
      </c>
      <c r="H31" s="253">
        <f>IFERROR(aurora_data!G1751,0)</f>
        <v>3</v>
      </c>
      <c r="I31" s="254">
        <f>IFERROR(aurora_data!H1751,0)</f>
        <v>3</v>
      </c>
      <c r="J31" s="113">
        <f>IFERROR(aurora_data!I1751,0)</f>
        <v>1</v>
      </c>
      <c r="K31" s="253">
        <f>IFERROR(aurora_data!J1751,0)</f>
        <v>3</v>
      </c>
      <c r="L31" s="253">
        <f>IFERROR(aurora_data!K1751,0)</f>
        <v>3</v>
      </c>
      <c r="M31" s="253">
        <f>IFERROR(aurora_data!L1751,0)</f>
        <v>1</v>
      </c>
      <c r="N31" s="254">
        <f>IFERROR(aurora_data!M1751,0)</f>
        <v>1</v>
      </c>
      <c r="O31" s="113">
        <f>IFERROR(aurora_data!N1751,0)</f>
        <v>2</v>
      </c>
      <c r="P31" s="253">
        <f>IFERROR(aurora_data!O1751,0)</f>
        <v>1</v>
      </c>
      <c r="Q31" s="253">
        <f>IFERROR(aurora_data!P1751,0)</f>
        <v>2</v>
      </c>
      <c r="R31" s="254">
        <f>IFERROR(aurora_data!Q1751,0)</f>
        <v>4</v>
      </c>
      <c r="S31" s="253">
        <f>IFERROR(aurora_data!R1751,0)</f>
        <v>4</v>
      </c>
      <c r="T31" s="253">
        <f>IFERROR(aurora_data!S1751,0)</f>
        <v>5</v>
      </c>
      <c r="U31" s="254">
        <f>IFERROR(aurora_data!T1351,0)</f>
        <v>0</v>
      </c>
      <c r="V31" s="61" t="s">
        <v>354</v>
      </c>
      <c r="W31" s="113">
        <f>IFERROR(aurora_data!U1751,0)</f>
        <v>9</v>
      </c>
      <c r="X31" s="255">
        <f t="shared" ref="X31:X38" si="5">IFERROR(W31/$W$30,0)</f>
        <v>1</v>
      </c>
      <c r="Y31" s="2"/>
      <c r="AA31" s="452"/>
      <c r="AB31" s="454"/>
      <c r="AC31" s="35" t="s">
        <v>339</v>
      </c>
      <c r="AD31" s="113">
        <f>IFERROR(aurora_data!D1751,0)+IFERROR(aurora_data!E1751,0)</f>
        <v>1</v>
      </c>
      <c r="AE31" s="253">
        <f>IFERROR(aurora_data!F1751,0)</f>
        <v>2</v>
      </c>
      <c r="AF31" s="253">
        <f>IFERROR(aurora_data!G1751,0)</f>
        <v>3</v>
      </c>
      <c r="AG31" s="253">
        <f>IFERROR(aurora_data!H1751,0)</f>
        <v>3</v>
      </c>
      <c r="AH31" s="61" t="s">
        <v>354</v>
      </c>
      <c r="AI31" s="113">
        <f>IFERROR(aurora_data!U1751,0)</f>
        <v>9</v>
      </c>
      <c r="AJ31" s="255">
        <f t="shared" si="4"/>
        <v>1</v>
      </c>
    </row>
    <row r="32" spans="1:36" customFormat="1">
      <c r="A32" s="2"/>
      <c r="B32" s="561"/>
      <c r="C32" s="454"/>
      <c r="D32" s="35" t="s">
        <v>291</v>
      </c>
      <c r="E32" s="113">
        <f>IFERROR(aurora_data!D1752,0)</f>
        <v>0</v>
      </c>
      <c r="F32" s="253">
        <f>IFERROR(aurora_data!E1752,0)</f>
        <v>0</v>
      </c>
      <c r="G32" s="253">
        <f>IFERROR(aurora_data!F1752,0)</f>
        <v>1</v>
      </c>
      <c r="H32" s="253">
        <f>IFERROR(aurora_data!G1752,0)</f>
        <v>0</v>
      </c>
      <c r="I32" s="254">
        <f>IFERROR(aurora_data!H1752,0)</f>
        <v>2</v>
      </c>
      <c r="J32" s="113">
        <f>IFERROR(aurora_data!I1752,0)</f>
        <v>0</v>
      </c>
      <c r="K32" s="253">
        <f>IFERROR(aurora_data!J1752,0)</f>
        <v>0</v>
      </c>
      <c r="L32" s="253">
        <f>IFERROR(aurora_data!K1752,0)</f>
        <v>1</v>
      </c>
      <c r="M32" s="253">
        <f>IFERROR(aurora_data!L1752,0)</f>
        <v>1</v>
      </c>
      <c r="N32" s="254">
        <f>IFERROR(aurora_data!M1752,0)</f>
        <v>1</v>
      </c>
      <c r="O32" s="113">
        <f>IFERROR(aurora_data!N1752,0)</f>
        <v>1</v>
      </c>
      <c r="P32" s="253">
        <f>IFERROR(aurora_data!O1752,0)</f>
        <v>1</v>
      </c>
      <c r="Q32" s="253">
        <f>IFERROR(aurora_data!P1752,0)</f>
        <v>0</v>
      </c>
      <c r="R32" s="254">
        <f>IFERROR(aurora_data!Q1752,0)</f>
        <v>1</v>
      </c>
      <c r="S32" s="253">
        <f>IFERROR(aurora_data!R1752,0)</f>
        <v>1</v>
      </c>
      <c r="T32" s="253">
        <f>IFERROR(aurora_data!S1752,0)</f>
        <v>2</v>
      </c>
      <c r="U32" s="254">
        <f>IFERROR(aurora_data!T1352,0)</f>
        <v>0</v>
      </c>
      <c r="V32" s="61" t="s">
        <v>354</v>
      </c>
      <c r="W32" s="113">
        <f>IFERROR(aurora_data!U1752,0)</f>
        <v>3</v>
      </c>
      <c r="X32" s="255">
        <f t="shared" si="5"/>
        <v>0.33333333333333331</v>
      </c>
      <c r="Y32" s="2"/>
      <c r="AA32" s="452"/>
      <c r="AB32" s="454"/>
      <c r="AC32" s="35" t="s">
        <v>291</v>
      </c>
      <c r="AD32" s="113">
        <f>IFERROR(aurora_data!D1752,0)+IFERROR(aurora_data!E1752,0)</f>
        <v>0</v>
      </c>
      <c r="AE32" s="253">
        <f>IFERROR(aurora_data!F1752,0)</f>
        <v>1</v>
      </c>
      <c r="AF32" s="253">
        <f>IFERROR(aurora_data!G1752,0)</f>
        <v>0</v>
      </c>
      <c r="AG32" s="253">
        <f>IFERROR(aurora_data!H1752,0)</f>
        <v>2</v>
      </c>
      <c r="AH32" s="61" t="s">
        <v>354</v>
      </c>
      <c r="AI32" s="113">
        <f>IFERROR(aurora_data!U1752,0)</f>
        <v>3</v>
      </c>
      <c r="AJ32" s="255">
        <f t="shared" si="4"/>
        <v>0.33333333333333331</v>
      </c>
    </row>
    <row r="33" spans="1:36" customFormat="1">
      <c r="A33" s="2"/>
      <c r="B33" s="561"/>
      <c r="C33" s="454"/>
      <c r="D33" s="35" t="s">
        <v>340</v>
      </c>
      <c r="E33" s="113">
        <f>IFERROR(aurora_data!D1753,0)</f>
        <v>0</v>
      </c>
      <c r="F33" s="253">
        <f>IFERROR(aurora_data!E1753,0)</f>
        <v>0</v>
      </c>
      <c r="G33" s="253">
        <f>IFERROR(aurora_data!F1753,0)</f>
        <v>0</v>
      </c>
      <c r="H33" s="253">
        <f>IFERROR(aurora_data!G1753,0)</f>
        <v>0</v>
      </c>
      <c r="I33" s="254">
        <f>IFERROR(aurora_data!H1753,0)</f>
        <v>0</v>
      </c>
      <c r="J33" s="113">
        <f>IFERROR(aurora_data!I1753,0)</f>
        <v>0</v>
      </c>
      <c r="K33" s="253">
        <f>IFERROR(aurora_data!J1753,0)</f>
        <v>0</v>
      </c>
      <c r="L33" s="253">
        <f>IFERROR(aurora_data!K1753,0)</f>
        <v>0</v>
      </c>
      <c r="M33" s="253">
        <f>IFERROR(aurora_data!L1753,0)</f>
        <v>0</v>
      </c>
      <c r="N33" s="254">
        <f>IFERROR(aurora_data!M1753,0)</f>
        <v>0</v>
      </c>
      <c r="O33" s="113">
        <f>IFERROR(aurora_data!N1753,0)</f>
        <v>0</v>
      </c>
      <c r="P33" s="253">
        <f>IFERROR(aurora_data!O1753,0)</f>
        <v>0</v>
      </c>
      <c r="Q33" s="253">
        <f>IFERROR(aurora_data!P1753,0)</f>
        <v>0</v>
      </c>
      <c r="R33" s="254">
        <f>IFERROR(aurora_data!Q1753,0)</f>
        <v>0</v>
      </c>
      <c r="S33" s="253">
        <f>IFERROR(aurora_data!R1753,0)</f>
        <v>0</v>
      </c>
      <c r="T33" s="253">
        <f>IFERROR(aurora_data!S1753,0)</f>
        <v>0</v>
      </c>
      <c r="U33" s="254">
        <f>IFERROR(aurora_data!T1353,0)</f>
        <v>0</v>
      </c>
      <c r="V33" s="61" t="s">
        <v>354</v>
      </c>
      <c r="W33" s="113">
        <f>IFERROR(aurora_data!U1753,0)</f>
        <v>0</v>
      </c>
      <c r="X33" s="255">
        <f t="shared" si="5"/>
        <v>0</v>
      </c>
      <c r="Y33" s="2"/>
      <c r="AA33" s="452"/>
      <c r="AB33" s="454"/>
      <c r="AC33" s="35" t="s">
        <v>340</v>
      </c>
      <c r="AD33" s="113">
        <f>IFERROR(aurora_data!D1753,0)+IFERROR(aurora_data!E1753,0)</f>
        <v>0</v>
      </c>
      <c r="AE33" s="253">
        <f>IFERROR(aurora_data!F1753,0)</f>
        <v>0</v>
      </c>
      <c r="AF33" s="253">
        <f>IFERROR(aurora_data!G1753,0)</f>
        <v>0</v>
      </c>
      <c r="AG33" s="253">
        <f>IFERROR(aurora_data!H1753,0)</f>
        <v>0</v>
      </c>
      <c r="AH33" s="61" t="s">
        <v>354</v>
      </c>
      <c r="AI33" s="113">
        <f>IFERROR(aurora_data!U1753,0)</f>
        <v>0</v>
      </c>
      <c r="AJ33" s="255">
        <f t="shared" si="4"/>
        <v>0</v>
      </c>
    </row>
    <row r="34" spans="1:36" customFormat="1">
      <c r="A34" s="2"/>
      <c r="B34" s="561"/>
      <c r="C34" s="454"/>
      <c r="D34" s="35" t="s">
        <v>298</v>
      </c>
      <c r="E34" s="113">
        <f>IFERROR(aurora_data!D1754,0)</f>
        <v>0</v>
      </c>
      <c r="F34" s="253">
        <f>IFERROR(aurora_data!E1754,0)</f>
        <v>0</v>
      </c>
      <c r="G34" s="253">
        <f>IFERROR(aurora_data!F1754,0)</f>
        <v>0</v>
      </c>
      <c r="H34" s="253">
        <f>IFERROR(aurora_data!G1754,0)</f>
        <v>0</v>
      </c>
      <c r="I34" s="254">
        <f>IFERROR(aurora_data!H1754,0)</f>
        <v>0</v>
      </c>
      <c r="J34" s="113">
        <f>IFERROR(aurora_data!I1754,0)</f>
        <v>0</v>
      </c>
      <c r="K34" s="253">
        <f>IFERROR(aurora_data!J1754,0)</f>
        <v>0</v>
      </c>
      <c r="L34" s="253">
        <f>IFERROR(aurora_data!K1754,0)</f>
        <v>0</v>
      </c>
      <c r="M34" s="253">
        <f>IFERROR(aurora_data!L1754,0)</f>
        <v>0</v>
      </c>
      <c r="N34" s="254">
        <f>IFERROR(aurora_data!M1754,0)</f>
        <v>0</v>
      </c>
      <c r="O34" s="113">
        <f>IFERROR(aurora_data!N1754,0)</f>
        <v>0</v>
      </c>
      <c r="P34" s="253">
        <f>IFERROR(aurora_data!O1754,0)</f>
        <v>0</v>
      </c>
      <c r="Q34" s="253">
        <f>IFERROR(aurora_data!P1754,0)</f>
        <v>0</v>
      </c>
      <c r="R34" s="254">
        <f>IFERROR(aurora_data!Q1754,0)</f>
        <v>0</v>
      </c>
      <c r="S34" s="253">
        <f>IFERROR(aurora_data!R1754,0)</f>
        <v>0</v>
      </c>
      <c r="T34" s="253">
        <f>IFERROR(aurora_data!S1754,0)</f>
        <v>0</v>
      </c>
      <c r="U34" s="254">
        <f>IFERROR(aurora_data!T1354,0)</f>
        <v>0</v>
      </c>
      <c r="V34" s="61" t="s">
        <v>354</v>
      </c>
      <c r="W34" s="113">
        <f>IFERROR(aurora_data!U1754,0)</f>
        <v>0</v>
      </c>
      <c r="X34" s="255">
        <f t="shared" si="5"/>
        <v>0</v>
      </c>
      <c r="Y34" s="2"/>
      <c r="AA34" s="452"/>
      <c r="AB34" s="454"/>
      <c r="AC34" s="35" t="s">
        <v>298</v>
      </c>
      <c r="AD34" s="113">
        <f>IFERROR(aurora_data!D1754,0)+IFERROR(aurora_data!E1754,0)</f>
        <v>0</v>
      </c>
      <c r="AE34" s="253">
        <f>IFERROR(aurora_data!F1754,0)</f>
        <v>0</v>
      </c>
      <c r="AF34" s="253">
        <f>IFERROR(aurora_data!G1754,0)</f>
        <v>0</v>
      </c>
      <c r="AG34" s="253">
        <f>IFERROR(aurora_data!H1754,0)</f>
        <v>0</v>
      </c>
      <c r="AH34" s="61" t="s">
        <v>354</v>
      </c>
      <c r="AI34" s="113">
        <f>IFERROR(aurora_data!U1754,0)</f>
        <v>0</v>
      </c>
      <c r="AJ34" s="255">
        <f t="shared" si="4"/>
        <v>0</v>
      </c>
    </row>
    <row r="35" spans="1:36" customFormat="1">
      <c r="A35" s="2"/>
      <c r="B35" s="561"/>
      <c r="C35" s="454"/>
      <c r="D35" s="35" t="s">
        <v>341</v>
      </c>
      <c r="E35" s="113">
        <f>IFERROR(aurora_data!D1755,0)</f>
        <v>2</v>
      </c>
      <c r="F35" s="253">
        <f>IFERROR(aurora_data!E1755,0)</f>
        <v>0</v>
      </c>
      <c r="G35" s="253">
        <f>IFERROR(aurora_data!F1755,0)</f>
        <v>0</v>
      </c>
      <c r="H35" s="253">
        <f>IFERROR(aurora_data!G1755,0)</f>
        <v>0</v>
      </c>
      <c r="I35" s="254">
        <f>IFERROR(aurora_data!H1755,0)</f>
        <v>0</v>
      </c>
      <c r="J35" s="113">
        <f>IFERROR(aurora_data!I1755,0)</f>
        <v>0</v>
      </c>
      <c r="K35" s="253">
        <f>IFERROR(aurora_data!J1755,0)</f>
        <v>1</v>
      </c>
      <c r="L35" s="253">
        <f>IFERROR(aurora_data!K1755,0)</f>
        <v>1</v>
      </c>
      <c r="M35" s="253">
        <f>IFERROR(aurora_data!L1755,0)</f>
        <v>0</v>
      </c>
      <c r="N35" s="254">
        <f>IFERROR(aurora_data!M1755,0)</f>
        <v>0</v>
      </c>
      <c r="O35" s="113">
        <f>IFERROR(aurora_data!N1755,0)</f>
        <v>0</v>
      </c>
      <c r="P35" s="253">
        <f>IFERROR(aurora_data!O1755,0)</f>
        <v>0</v>
      </c>
      <c r="Q35" s="253">
        <f>IFERROR(aurora_data!P1755,0)</f>
        <v>1</v>
      </c>
      <c r="R35" s="254">
        <f>IFERROR(aurora_data!Q1755,0)</f>
        <v>1</v>
      </c>
      <c r="S35" s="253">
        <f>IFERROR(aurora_data!R1755,0)</f>
        <v>1</v>
      </c>
      <c r="T35" s="253">
        <f>IFERROR(aurora_data!S1755,0)</f>
        <v>1</v>
      </c>
      <c r="U35" s="254">
        <f>IFERROR(aurora_data!T1355,0)</f>
        <v>0</v>
      </c>
      <c r="V35" s="61" t="s">
        <v>354</v>
      </c>
      <c r="W35" s="113">
        <f>IFERROR(aurora_data!U1755,0)</f>
        <v>2</v>
      </c>
      <c r="X35" s="255">
        <f t="shared" si="5"/>
        <v>0.22222222222222221</v>
      </c>
      <c r="Y35" s="2"/>
      <c r="AA35" s="452"/>
      <c r="AB35" s="454"/>
      <c r="AC35" s="35" t="s">
        <v>341</v>
      </c>
      <c r="AD35" s="113">
        <f>IFERROR(aurora_data!D1755,0)+IFERROR(aurora_data!E1755,0)</f>
        <v>2</v>
      </c>
      <c r="AE35" s="253">
        <f>IFERROR(aurora_data!F1755,0)</f>
        <v>0</v>
      </c>
      <c r="AF35" s="253">
        <f>IFERROR(aurora_data!G1755,0)</f>
        <v>0</v>
      </c>
      <c r="AG35" s="253">
        <f>IFERROR(aurora_data!H1755,0)</f>
        <v>0</v>
      </c>
      <c r="AH35" s="61" t="s">
        <v>354</v>
      </c>
      <c r="AI35" s="113">
        <f>IFERROR(aurora_data!U1755,0)</f>
        <v>2</v>
      </c>
      <c r="AJ35" s="255">
        <f t="shared" si="4"/>
        <v>0.22222222222222221</v>
      </c>
    </row>
    <row r="36" spans="1:36" customFormat="1" ht="16.5" thickBot="1">
      <c r="A36" s="2"/>
      <c r="B36" s="561"/>
      <c r="C36" s="454"/>
      <c r="D36" s="35" t="s">
        <v>342</v>
      </c>
      <c r="E36" s="113">
        <f>IFERROR(aurora_data!D1756,0)</f>
        <v>0</v>
      </c>
      <c r="F36" s="253">
        <f>IFERROR(aurora_data!E1756,0)</f>
        <v>0</v>
      </c>
      <c r="G36" s="253">
        <f>IFERROR(aurora_data!F1756,0)</f>
        <v>0</v>
      </c>
      <c r="H36" s="253">
        <f>IFERROR(aurora_data!G1756,0)</f>
        <v>0</v>
      </c>
      <c r="I36" s="254">
        <f>IFERROR(aurora_data!H1756,0)</f>
        <v>0</v>
      </c>
      <c r="J36" s="113">
        <f>IFERROR(aurora_data!I1756,0)</f>
        <v>0</v>
      </c>
      <c r="K36" s="253">
        <f>IFERROR(aurora_data!J1756,0)</f>
        <v>0</v>
      </c>
      <c r="L36" s="253">
        <f>IFERROR(aurora_data!K1756,0)</f>
        <v>0</v>
      </c>
      <c r="M36" s="253">
        <f>IFERROR(aurora_data!L1756,0)</f>
        <v>0</v>
      </c>
      <c r="N36" s="254">
        <f>IFERROR(aurora_data!M1756,0)</f>
        <v>0</v>
      </c>
      <c r="O36" s="113">
        <f>IFERROR(aurora_data!N1756,0)</f>
        <v>0</v>
      </c>
      <c r="P36" s="253">
        <f>IFERROR(aurora_data!O1756,0)</f>
        <v>0</v>
      </c>
      <c r="Q36" s="253">
        <f>IFERROR(aurora_data!P1756,0)</f>
        <v>0</v>
      </c>
      <c r="R36" s="254">
        <f>IFERROR(aurora_data!Q1756,0)</f>
        <v>0</v>
      </c>
      <c r="S36" s="253">
        <f>IFERROR(aurora_data!R1756,0)</f>
        <v>0</v>
      </c>
      <c r="T36" s="253">
        <f>IFERROR(aurora_data!S1756,0)</f>
        <v>0</v>
      </c>
      <c r="U36" s="254">
        <f>IFERROR(aurora_data!T1356,0)</f>
        <v>0</v>
      </c>
      <c r="V36" s="61" t="s">
        <v>354</v>
      </c>
      <c r="W36" s="113">
        <f>IFERROR(aurora_data!U1756,0)</f>
        <v>0</v>
      </c>
      <c r="X36" s="255">
        <f t="shared" si="5"/>
        <v>0</v>
      </c>
      <c r="Y36" s="2"/>
      <c r="AA36" s="452"/>
      <c r="AB36" s="454"/>
      <c r="AC36" s="35" t="s">
        <v>342</v>
      </c>
      <c r="AD36" s="113">
        <f>IFERROR(aurora_data!D1756,0)+IFERROR(aurora_data!E1756,0)</f>
        <v>0</v>
      </c>
      <c r="AE36" s="253">
        <f>IFERROR(aurora_data!F1756,0)</f>
        <v>0</v>
      </c>
      <c r="AF36" s="253">
        <f>IFERROR(aurora_data!G1756,0)</f>
        <v>0</v>
      </c>
      <c r="AG36" s="253">
        <f>IFERROR(aurora_data!H1756,0)</f>
        <v>0</v>
      </c>
      <c r="AH36" s="61" t="s">
        <v>354</v>
      </c>
      <c r="AI36" s="113">
        <f>IFERROR(aurora_data!U1756,0)</f>
        <v>0</v>
      </c>
      <c r="AJ36" s="255">
        <f t="shared" si="4"/>
        <v>0</v>
      </c>
    </row>
    <row r="37" spans="1:36" customFormat="1" ht="16.5" thickBot="1">
      <c r="A37" s="2"/>
      <c r="B37" s="561"/>
      <c r="C37" s="454"/>
      <c r="D37" s="37" t="s">
        <v>17</v>
      </c>
      <c r="E37" s="59">
        <f>IFERROR(aurora_data!D1757,0)</f>
        <v>2</v>
      </c>
      <c r="F37" s="64">
        <f>IFERROR(aurora_data!E1757,0)</f>
        <v>1</v>
      </c>
      <c r="G37" s="64">
        <f>IFERROR(aurora_data!F1757,0)</f>
        <v>3</v>
      </c>
      <c r="H37" s="64">
        <f>IFERROR(aurora_data!G1757,0)</f>
        <v>3</v>
      </c>
      <c r="I37" s="65">
        <f>IFERROR(aurora_data!H1757,0)</f>
        <v>5</v>
      </c>
      <c r="J37" s="59">
        <f>IFERROR(aurora_data!I1757,0)</f>
        <v>1</v>
      </c>
      <c r="K37" s="64">
        <f>IFERROR(aurora_data!J1757,0)</f>
        <v>4</v>
      </c>
      <c r="L37" s="64">
        <f>IFERROR(aurora_data!K1757,0)</f>
        <v>5</v>
      </c>
      <c r="M37" s="64">
        <f>IFERROR(aurora_data!L1757,0)</f>
        <v>2</v>
      </c>
      <c r="N37" s="65">
        <f>IFERROR(aurora_data!M1757,0)</f>
        <v>2</v>
      </c>
      <c r="O37" s="59">
        <f>IFERROR(aurora_data!N1757,0)</f>
        <v>3</v>
      </c>
      <c r="P37" s="64">
        <f>IFERROR(aurora_data!O1757,0)</f>
        <v>2</v>
      </c>
      <c r="Q37" s="64">
        <f>IFERROR(aurora_data!P1757,0)</f>
        <v>3</v>
      </c>
      <c r="R37" s="65">
        <f>IFERROR(aurora_data!Q1757,0)</f>
        <v>6</v>
      </c>
      <c r="S37" s="64">
        <f>IFERROR(aurora_data!R1757,0)</f>
        <v>6</v>
      </c>
      <c r="T37" s="64">
        <f>IFERROR(aurora_data!S1757,0)</f>
        <v>8</v>
      </c>
      <c r="U37" s="65">
        <f>IFERROR(aurora_data!T1357,0)</f>
        <v>0</v>
      </c>
      <c r="V37" s="66" t="s">
        <v>354</v>
      </c>
      <c r="W37" s="59">
        <f>IFERROR(aurora_data!U1757,0)</f>
        <v>14</v>
      </c>
      <c r="X37" s="70">
        <f t="shared" si="5"/>
        <v>1.5555555555555556</v>
      </c>
      <c r="Y37" s="2"/>
      <c r="AA37" s="452"/>
      <c r="AB37" s="454"/>
      <c r="AC37" s="37" t="s">
        <v>17</v>
      </c>
      <c r="AD37" s="59">
        <f>IFERROR(aurora_data!D1757,0)+IFERROR(aurora_data!E1757,0)</f>
        <v>3</v>
      </c>
      <c r="AE37" s="64">
        <f>IFERROR(aurora_data!F1757,0)</f>
        <v>3</v>
      </c>
      <c r="AF37" s="64">
        <f>IFERROR(aurora_data!G1757,0)</f>
        <v>3</v>
      </c>
      <c r="AG37" s="64">
        <f>IFERROR(aurora_data!H1757,0)</f>
        <v>5</v>
      </c>
      <c r="AH37" s="66" t="s">
        <v>354</v>
      </c>
      <c r="AI37" s="59">
        <f>IFERROR(aurora_data!U1757,0)</f>
        <v>14</v>
      </c>
      <c r="AJ37" s="70">
        <f t="shared" si="4"/>
        <v>1.5555555555555556</v>
      </c>
    </row>
    <row r="38" spans="1:36" customFormat="1" ht="16.5" thickBot="1">
      <c r="A38" s="2"/>
      <c r="B38" s="561"/>
      <c r="C38" s="454"/>
      <c r="D38" s="38" t="s">
        <v>343</v>
      </c>
      <c r="E38" s="256">
        <f>IFERROR(aurora_data!D1758,0)</f>
        <v>0</v>
      </c>
      <c r="F38" s="257">
        <f>IFERROR(aurora_data!E1758,0)</f>
        <v>0</v>
      </c>
      <c r="G38" s="257">
        <f>IFERROR(aurora_data!F1758,0)</f>
        <v>0</v>
      </c>
      <c r="H38" s="257">
        <f>IFERROR(aurora_data!G1758,0)</f>
        <v>0</v>
      </c>
      <c r="I38" s="258">
        <f>IFERROR(aurora_data!H1758,0)</f>
        <v>0</v>
      </c>
      <c r="J38" s="256">
        <f>IFERROR(aurora_data!I1758,0)</f>
        <v>0</v>
      </c>
      <c r="K38" s="257">
        <f>IFERROR(aurora_data!J1758,0)</f>
        <v>0</v>
      </c>
      <c r="L38" s="257">
        <f>IFERROR(aurora_data!K1758,0)</f>
        <v>0</v>
      </c>
      <c r="M38" s="257">
        <f>IFERROR(aurora_data!L1758,0)</f>
        <v>0</v>
      </c>
      <c r="N38" s="258">
        <f>IFERROR(aurora_data!M1758,0)</f>
        <v>0</v>
      </c>
      <c r="O38" s="256">
        <f>IFERROR(aurora_data!N1758,0)</f>
        <v>0</v>
      </c>
      <c r="P38" s="257">
        <f>IFERROR(aurora_data!O1758,0)</f>
        <v>0</v>
      </c>
      <c r="Q38" s="257">
        <f>IFERROR(aurora_data!P1758,0)</f>
        <v>0</v>
      </c>
      <c r="R38" s="258">
        <f>IFERROR(aurora_data!Q1758,0)</f>
        <v>0</v>
      </c>
      <c r="S38" s="257">
        <f>IFERROR(aurora_data!R1758,0)</f>
        <v>0</v>
      </c>
      <c r="T38" s="257">
        <f>IFERROR(aurora_data!S1758,0)</f>
        <v>0</v>
      </c>
      <c r="U38" s="259">
        <f>IFERROR(aurora_data!T1358,0)</f>
        <v>0</v>
      </c>
      <c r="V38" s="260" t="s">
        <v>354</v>
      </c>
      <c r="W38" s="256">
        <f>IFERROR(aurora_data!U1758,0)</f>
        <v>0</v>
      </c>
      <c r="X38" s="261">
        <f t="shared" si="5"/>
        <v>0</v>
      </c>
      <c r="Y38" s="2"/>
      <c r="AA38" s="452"/>
      <c r="AB38" s="454"/>
      <c r="AC38" s="38" t="s">
        <v>343</v>
      </c>
      <c r="AD38" s="256">
        <f>IFERROR(aurora_data!D1758,0)+IFERROR(aurora_data!E1758,0)</f>
        <v>0</v>
      </c>
      <c r="AE38" s="257">
        <f>IFERROR(aurora_data!F1758,0)</f>
        <v>0</v>
      </c>
      <c r="AF38" s="257">
        <f>IFERROR(aurora_data!G1758,0)</f>
        <v>0</v>
      </c>
      <c r="AG38" s="257">
        <f>IFERROR(aurora_data!H1758,0)</f>
        <v>0</v>
      </c>
      <c r="AH38" s="260" t="s">
        <v>354</v>
      </c>
      <c r="AI38" s="256">
        <f>IFERROR(aurora_data!U1758,0)</f>
        <v>0</v>
      </c>
      <c r="AJ38" s="261">
        <f t="shared" si="4"/>
        <v>0</v>
      </c>
    </row>
    <row r="39" spans="1:36" customFormat="1">
      <c r="A39" s="2"/>
      <c r="B39" s="560" t="s">
        <v>362</v>
      </c>
      <c r="C39" s="453" t="str">
        <f>aurora_data!A1759</f>
        <v>09.00.00-09.11.30</v>
      </c>
      <c r="D39" s="34" t="s">
        <v>306</v>
      </c>
      <c r="E39" s="39">
        <f>IFERROR(aurora_data!D1759,0)</f>
        <v>0.25</v>
      </c>
      <c r="F39" s="40">
        <f>IFERROR(aurora_data!E1759,0)</f>
        <v>0.5</v>
      </c>
      <c r="G39" s="40">
        <f>IFERROR(aurora_data!F1759,0)</f>
        <v>1.81</v>
      </c>
      <c r="H39" s="40">
        <f>IFERROR(aurora_data!G1759,0)</f>
        <v>2.87</v>
      </c>
      <c r="I39" s="41">
        <f>IFERROR(aurora_data!H1759,0)</f>
        <v>3.57</v>
      </c>
      <c r="J39" s="39">
        <f>IFERROR(aurora_data!I1759,0)</f>
        <v>1</v>
      </c>
      <c r="K39" s="40">
        <f>IFERROR(aurora_data!J1759,0)</f>
        <v>1</v>
      </c>
      <c r="L39" s="40">
        <f>IFERROR(aurora_data!K1759,0)</f>
        <v>1</v>
      </c>
      <c r="M39" s="40">
        <f>IFERROR(aurora_data!L1759,0)</f>
        <v>1</v>
      </c>
      <c r="N39" s="41">
        <f>IFERROR(aurora_data!M1759,0)</f>
        <v>1</v>
      </c>
      <c r="O39" s="39">
        <f>IFERROR(aurora_data!N1759,0)</f>
        <v>1</v>
      </c>
      <c r="P39" s="40">
        <f>IFERROR(aurora_data!O1759,0)</f>
        <v>1</v>
      </c>
      <c r="Q39" s="40">
        <f>IFERROR(aurora_data!P1759,0)</f>
        <v>1</v>
      </c>
      <c r="R39" s="41">
        <f>IFERROR(aurora_data!Q1759,0)</f>
        <v>1</v>
      </c>
      <c r="S39" s="40">
        <f>IFERROR(aurora_data!R1759,0)</f>
        <v>1</v>
      </c>
      <c r="T39" s="40">
        <f>IFERROR(aurora_data!S1759,0)</f>
        <v>1</v>
      </c>
      <c r="U39" s="41">
        <f>IFERROR(aurora_data!T1359,0)</f>
        <v>0</v>
      </c>
      <c r="V39" s="61" t="s">
        <v>354</v>
      </c>
      <c r="W39" s="39">
        <f>IFERROR(aurora_data!U1759,0)</f>
        <v>9</v>
      </c>
      <c r="X39" s="69">
        <f>IFERROR(W39/$W$39,0)</f>
        <v>1</v>
      </c>
      <c r="Y39" s="2"/>
      <c r="AA39" s="451" t="s">
        <v>338</v>
      </c>
      <c r="AB39" s="453" t="str">
        <f>aurora_data!A1759</f>
        <v>09.00.00-09.11.30</v>
      </c>
      <c r="AC39" s="34" t="s">
        <v>306</v>
      </c>
      <c r="AD39" s="338">
        <v>2</v>
      </c>
      <c r="AE39" s="40">
        <v>2</v>
      </c>
      <c r="AF39" s="337">
        <v>2</v>
      </c>
      <c r="AG39" s="337">
        <v>3</v>
      </c>
      <c r="AH39" s="61" t="s">
        <v>354</v>
      </c>
      <c r="AI39" s="39">
        <f>IFERROR(aurora_data!U1759,0)</f>
        <v>9</v>
      </c>
      <c r="AJ39" s="69">
        <f t="shared" ref="AJ39:AJ47" si="6">IFERROR(AI39/$AI$39,0)</f>
        <v>1</v>
      </c>
    </row>
    <row r="40" spans="1:36" customFormat="1">
      <c r="A40" s="2"/>
      <c r="B40" s="561"/>
      <c r="C40" s="454"/>
      <c r="D40" s="35" t="s">
        <v>339</v>
      </c>
      <c r="E40" s="113">
        <f>IFERROR(aurora_data!D1760,0)</f>
        <v>1</v>
      </c>
      <c r="F40" s="253">
        <f>IFERROR(aurora_data!E1760,0)</f>
        <v>2</v>
      </c>
      <c r="G40" s="253">
        <f>IFERROR(aurora_data!F1760,0)</f>
        <v>2</v>
      </c>
      <c r="H40" s="253">
        <f>IFERROR(aurora_data!G1760,0)</f>
        <v>2</v>
      </c>
      <c r="I40" s="254">
        <f>IFERROR(aurora_data!H1760,0)</f>
        <v>2</v>
      </c>
      <c r="J40" s="113">
        <f>IFERROR(aurora_data!I1760,0)</f>
        <v>1</v>
      </c>
      <c r="K40" s="253">
        <f>IFERROR(aurora_data!J1760,0)</f>
        <v>1</v>
      </c>
      <c r="L40" s="253">
        <f>IFERROR(aurora_data!K1760,0)</f>
        <v>4</v>
      </c>
      <c r="M40" s="253">
        <f>IFERROR(aurora_data!L1760,0)</f>
        <v>1</v>
      </c>
      <c r="N40" s="254">
        <f>IFERROR(aurora_data!M1760,0)</f>
        <v>2</v>
      </c>
      <c r="O40" s="113">
        <f>IFERROR(aurora_data!N1760,0)</f>
        <v>2</v>
      </c>
      <c r="P40" s="253">
        <f>IFERROR(aurora_data!O1760,0)</f>
        <v>1</v>
      </c>
      <c r="Q40" s="253">
        <f>IFERROR(aurora_data!P1760,0)</f>
        <v>3</v>
      </c>
      <c r="R40" s="254">
        <f>IFERROR(aurora_data!Q1760,0)</f>
        <v>3</v>
      </c>
      <c r="S40" s="253">
        <f>IFERROR(aurora_data!R1760,0)</f>
        <v>7</v>
      </c>
      <c r="T40" s="253">
        <f>IFERROR(aurora_data!S1760,0)</f>
        <v>2</v>
      </c>
      <c r="U40" s="254">
        <f>IFERROR(aurora_data!T1360,0)</f>
        <v>0</v>
      </c>
      <c r="V40" s="61" t="s">
        <v>354</v>
      </c>
      <c r="W40" s="113">
        <f>IFERROR(aurora_data!U1760,0)</f>
        <v>9</v>
      </c>
      <c r="X40" s="255">
        <f t="shared" ref="X40:X47" si="7">IFERROR(W40/$W$39,0)</f>
        <v>1</v>
      </c>
      <c r="Y40" s="2"/>
      <c r="AA40" s="452"/>
      <c r="AB40" s="454"/>
      <c r="AC40" s="35" t="s">
        <v>339</v>
      </c>
      <c r="AD40" s="113">
        <f>IFERROR(aurora_data!D1760,0)+IFERROR(aurora_data!E1760,0)</f>
        <v>3</v>
      </c>
      <c r="AE40" s="253">
        <f>IFERROR(aurora_data!F1760,0)</f>
        <v>2</v>
      </c>
      <c r="AF40" s="253">
        <f>IFERROR(aurora_data!G1760,0)</f>
        <v>2</v>
      </c>
      <c r="AG40" s="253">
        <f>IFERROR(aurora_data!H1760,0)</f>
        <v>2</v>
      </c>
      <c r="AH40" s="61" t="s">
        <v>354</v>
      </c>
      <c r="AI40" s="113">
        <f>IFERROR(aurora_data!U1760,0)</f>
        <v>9</v>
      </c>
      <c r="AJ40" s="255">
        <f t="shared" si="6"/>
        <v>1</v>
      </c>
    </row>
    <row r="41" spans="1:36" customFormat="1">
      <c r="A41" s="2"/>
      <c r="B41" s="561"/>
      <c r="C41" s="454"/>
      <c r="D41" s="35" t="s">
        <v>291</v>
      </c>
      <c r="E41" s="113">
        <f>IFERROR(aurora_data!D1761,0)</f>
        <v>0</v>
      </c>
      <c r="F41" s="253">
        <f>IFERROR(aurora_data!E1761,0)</f>
        <v>0</v>
      </c>
      <c r="G41" s="253">
        <f>IFERROR(aurora_data!F1761,0)</f>
        <v>0</v>
      </c>
      <c r="H41" s="253">
        <f>IFERROR(aurora_data!G1761,0)</f>
        <v>1</v>
      </c>
      <c r="I41" s="254">
        <f>IFERROR(aurora_data!H1761,0)</f>
        <v>4</v>
      </c>
      <c r="J41" s="113">
        <f>IFERROR(aurora_data!I1761,0)</f>
        <v>0</v>
      </c>
      <c r="K41" s="253">
        <f>IFERROR(aurora_data!J1761,0)</f>
        <v>0</v>
      </c>
      <c r="L41" s="253">
        <f>IFERROR(aurora_data!K1761,0)</f>
        <v>0</v>
      </c>
      <c r="M41" s="253">
        <f>IFERROR(aurora_data!L1761,0)</f>
        <v>0</v>
      </c>
      <c r="N41" s="254">
        <f>IFERROR(aurora_data!M1761,0)</f>
        <v>5</v>
      </c>
      <c r="O41" s="113">
        <f>IFERROR(aurora_data!N1761,0)</f>
        <v>1</v>
      </c>
      <c r="P41" s="253">
        <f>IFERROR(aurora_data!O1761,0)</f>
        <v>1</v>
      </c>
      <c r="Q41" s="253">
        <f>IFERROR(aurora_data!P1761,0)</f>
        <v>1</v>
      </c>
      <c r="R41" s="254">
        <f>IFERROR(aurora_data!Q1761,0)</f>
        <v>2</v>
      </c>
      <c r="S41" s="253">
        <f>IFERROR(aurora_data!R1761,0)</f>
        <v>3</v>
      </c>
      <c r="T41" s="253">
        <f>IFERROR(aurora_data!S1761,0)</f>
        <v>2</v>
      </c>
      <c r="U41" s="254">
        <f>IFERROR(aurora_data!T1361,0)</f>
        <v>0</v>
      </c>
      <c r="V41" s="61" t="s">
        <v>354</v>
      </c>
      <c r="W41" s="113">
        <f>IFERROR(aurora_data!U1761,0)</f>
        <v>5</v>
      </c>
      <c r="X41" s="255">
        <f t="shared" si="7"/>
        <v>0.55555555555555558</v>
      </c>
      <c r="Y41" s="2"/>
      <c r="AA41" s="452"/>
      <c r="AB41" s="454"/>
      <c r="AC41" s="35" t="s">
        <v>291</v>
      </c>
      <c r="AD41" s="113">
        <f>IFERROR(aurora_data!D1761,0)+IFERROR(aurora_data!E1761,0)</f>
        <v>0</v>
      </c>
      <c r="AE41" s="253">
        <f>IFERROR(aurora_data!F1761,0)</f>
        <v>0</v>
      </c>
      <c r="AF41" s="253">
        <f>IFERROR(aurora_data!G1761,0)</f>
        <v>1</v>
      </c>
      <c r="AG41" s="253">
        <f>IFERROR(aurora_data!H1761,0)</f>
        <v>4</v>
      </c>
      <c r="AH41" s="61" t="s">
        <v>354</v>
      </c>
      <c r="AI41" s="113">
        <f>IFERROR(aurora_data!U1761,0)</f>
        <v>5</v>
      </c>
      <c r="AJ41" s="255">
        <f t="shared" si="6"/>
        <v>0.55555555555555558</v>
      </c>
    </row>
    <row r="42" spans="1:36" customFormat="1">
      <c r="A42" s="2"/>
      <c r="B42" s="561"/>
      <c r="C42" s="454"/>
      <c r="D42" s="35" t="s">
        <v>340</v>
      </c>
      <c r="E42" s="113">
        <f>IFERROR(aurora_data!D1762,0)</f>
        <v>0</v>
      </c>
      <c r="F42" s="253">
        <f>IFERROR(aurora_data!E1762,0)</f>
        <v>0</v>
      </c>
      <c r="G42" s="253">
        <f>IFERROR(aurora_data!F1762,0)</f>
        <v>0</v>
      </c>
      <c r="H42" s="253">
        <f>IFERROR(aurora_data!G1762,0)</f>
        <v>0</v>
      </c>
      <c r="I42" s="254">
        <f>IFERROR(aurora_data!H1762,0)</f>
        <v>0</v>
      </c>
      <c r="J42" s="113">
        <f>IFERROR(aurora_data!I1762,0)</f>
        <v>0</v>
      </c>
      <c r="K42" s="253">
        <f>IFERROR(aurora_data!J1762,0)</f>
        <v>0</v>
      </c>
      <c r="L42" s="253">
        <f>IFERROR(aurora_data!K1762,0)</f>
        <v>0</v>
      </c>
      <c r="M42" s="253">
        <f>IFERROR(aurora_data!L1762,0)</f>
        <v>0</v>
      </c>
      <c r="N42" s="254">
        <f>IFERROR(aurora_data!M1762,0)</f>
        <v>0</v>
      </c>
      <c r="O42" s="113">
        <f>IFERROR(aurora_data!N1762,0)</f>
        <v>0</v>
      </c>
      <c r="P42" s="253">
        <f>IFERROR(aurora_data!O1762,0)</f>
        <v>0</v>
      </c>
      <c r="Q42" s="253">
        <f>IFERROR(aurora_data!P1762,0)</f>
        <v>0</v>
      </c>
      <c r="R42" s="254">
        <f>IFERROR(aurora_data!Q1762,0)</f>
        <v>0</v>
      </c>
      <c r="S42" s="253">
        <f>IFERROR(aurora_data!R1762,0)</f>
        <v>0</v>
      </c>
      <c r="T42" s="253">
        <f>IFERROR(aurora_data!S1762,0)</f>
        <v>0</v>
      </c>
      <c r="U42" s="254">
        <f>IFERROR(aurora_data!T1362,0)</f>
        <v>0</v>
      </c>
      <c r="V42" s="61" t="s">
        <v>354</v>
      </c>
      <c r="W42" s="113">
        <f>IFERROR(aurora_data!U1762,0)</f>
        <v>0</v>
      </c>
      <c r="X42" s="255">
        <f t="shared" si="7"/>
        <v>0</v>
      </c>
      <c r="Y42" s="2"/>
      <c r="AA42" s="452"/>
      <c r="AB42" s="454"/>
      <c r="AC42" s="35" t="s">
        <v>340</v>
      </c>
      <c r="AD42" s="113">
        <f>IFERROR(aurora_data!D1762,0)+IFERROR(aurora_data!E1762,0)</f>
        <v>0</v>
      </c>
      <c r="AE42" s="253">
        <f>IFERROR(aurora_data!F1762,0)</f>
        <v>0</v>
      </c>
      <c r="AF42" s="253">
        <f>IFERROR(aurora_data!G1762,0)</f>
        <v>0</v>
      </c>
      <c r="AG42" s="253">
        <f>IFERROR(aurora_data!H1762,0)</f>
        <v>0</v>
      </c>
      <c r="AH42" s="61" t="s">
        <v>354</v>
      </c>
      <c r="AI42" s="113">
        <f>IFERROR(aurora_data!U1762,0)</f>
        <v>0</v>
      </c>
      <c r="AJ42" s="255">
        <f t="shared" si="6"/>
        <v>0</v>
      </c>
    </row>
    <row r="43" spans="1:36" customFormat="1">
      <c r="A43" s="2"/>
      <c r="B43" s="561"/>
      <c r="C43" s="454"/>
      <c r="D43" s="35" t="s">
        <v>298</v>
      </c>
      <c r="E43" s="113">
        <f>IFERROR(aurora_data!D1763,0)</f>
        <v>0</v>
      </c>
      <c r="F43" s="253">
        <f>IFERROR(aurora_data!E1763,0)</f>
        <v>0</v>
      </c>
      <c r="G43" s="253">
        <f>IFERROR(aurora_data!F1763,0)</f>
        <v>0</v>
      </c>
      <c r="H43" s="253">
        <f>IFERROR(aurora_data!G1763,0)</f>
        <v>0</v>
      </c>
      <c r="I43" s="254">
        <f>IFERROR(aurora_data!H1763,0)</f>
        <v>0</v>
      </c>
      <c r="J43" s="113">
        <f>IFERROR(aurora_data!I1763,0)</f>
        <v>0</v>
      </c>
      <c r="K43" s="253">
        <f>IFERROR(aurora_data!J1763,0)</f>
        <v>0</v>
      </c>
      <c r="L43" s="253">
        <f>IFERROR(aurora_data!K1763,0)</f>
        <v>0</v>
      </c>
      <c r="M43" s="253">
        <f>IFERROR(aurora_data!L1763,0)</f>
        <v>0</v>
      </c>
      <c r="N43" s="254">
        <f>IFERROR(aurora_data!M1763,0)</f>
        <v>0</v>
      </c>
      <c r="O43" s="113">
        <f>IFERROR(aurora_data!N1763,0)</f>
        <v>0</v>
      </c>
      <c r="P43" s="253">
        <f>IFERROR(aurora_data!O1763,0)</f>
        <v>0</v>
      </c>
      <c r="Q43" s="253">
        <f>IFERROR(aurora_data!P1763,0)</f>
        <v>0</v>
      </c>
      <c r="R43" s="254">
        <f>IFERROR(aurora_data!Q1763,0)</f>
        <v>0</v>
      </c>
      <c r="S43" s="253">
        <f>IFERROR(aurora_data!R1763,0)</f>
        <v>0</v>
      </c>
      <c r="T43" s="253">
        <f>IFERROR(aurora_data!S1763,0)</f>
        <v>0</v>
      </c>
      <c r="U43" s="254">
        <f>IFERROR(aurora_data!T1363,0)</f>
        <v>0</v>
      </c>
      <c r="V43" s="61" t="s">
        <v>354</v>
      </c>
      <c r="W43" s="113">
        <f>IFERROR(aurora_data!U1763,0)</f>
        <v>0</v>
      </c>
      <c r="X43" s="255">
        <f t="shared" si="7"/>
        <v>0</v>
      </c>
      <c r="Y43" s="2"/>
      <c r="AA43" s="452"/>
      <c r="AB43" s="454"/>
      <c r="AC43" s="35" t="s">
        <v>298</v>
      </c>
      <c r="AD43" s="113">
        <f>IFERROR(aurora_data!D1763,0)+IFERROR(aurora_data!E1763,0)</f>
        <v>0</v>
      </c>
      <c r="AE43" s="253">
        <f>IFERROR(aurora_data!F1763,0)</f>
        <v>0</v>
      </c>
      <c r="AF43" s="253">
        <f>IFERROR(aurora_data!G1763,0)</f>
        <v>0</v>
      </c>
      <c r="AG43" s="253">
        <f>IFERROR(aurora_data!H1763,0)</f>
        <v>0</v>
      </c>
      <c r="AH43" s="61" t="s">
        <v>354</v>
      </c>
      <c r="AI43" s="113">
        <f>IFERROR(aurora_data!U1763,0)</f>
        <v>0</v>
      </c>
      <c r="AJ43" s="255">
        <f t="shared" si="6"/>
        <v>0</v>
      </c>
    </row>
    <row r="44" spans="1:36" customFormat="1">
      <c r="A44" s="2"/>
      <c r="B44" s="561"/>
      <c r="C44" s="454"/>
      <c r="D44" s="35" t="s">
        <v>341</v>
      </c>
      <c r="E44" s="113">
        <f>IFERROR(aurora_data!D1764,0)</f>
        <v>0</v>
      </c>
      <c r="F44" s="253">
        <f>IFERROR(aurora_data!E1764,0)</f>
        <v>0</v>
      </c>
      <c r="G44" s="253">
        <f>IFERROR(aurora_data!F1764,0)</f>
        <v>0</v>
      </c>
      <c r="H44" s="253">
        <f>IFERROR(aurora_data!G1764,0)</f>
        <v>0</v>
      </c>
      <c r="I44" s="254">
        <f>IFERROR(aurora_data!H1764,0)</f>
        <v>0</v>
      </c>
      <c r="J44" s="113">
        <f>IFERROR(aurora_data!I1764,0)</f>
        <v>0</v>
      </c>
      <c r="K44" s="253">
        <f>IFERROR(aurora_data!J1764,0)</f>
        <v>0</v>
      </c>
      <c r="L44" s="253">
        <f>IFERROR(aurora_data!K1764,0)</f>
        <v>0</v>
      </c>
      <c r="M44" s="253">
        <f>IFERROR(aurora_data!L1764,0)</f>
        <v>0</v>
      </c>
      <c r="N44" s="254">
        <f>IFERROR(aurora_data!M1764,0)</f>
        <v>0</v>
      </c>
      <c r="O44" s="113">
        <f>IFERROR(aurora_data!N1764,0)</f>
        <v>0</v>
      </c>
      <c r="P44" s="253">
        <f>IFERROR(aurora_data!O1764,0)</f>
        <v>0</v>
      </c>
      <c r="Q44" s="253">
        <f>IFERROR(aurora_data!P1764,0)</f>
        <v>0</v>
      </c>
      <c r="R44" s="254">
        <f>IFERROR(aurora_data!Q1764,0)</f>
        <v>0</v>
      </c>
      <c r="S44" s="253">
        <f>IFERROR(aurora_data!R1764,0)</f>
        <v>0</v>
      </c>
      <c r="T44" s="253">
        <f>IFERROR(aurora_data!S1764,0)</f>
        <v>0</v>
      </c>
      <c r="U44" s="254">
        <f>IFERROR(aurora_data!T1364,0)</f>
        <v>0</v>
      </c>
      <c r="V44" s="61" t="s">
        <v>354</v>
      </c>
      <c r="W44" s="113">
        <f>IFERROR(aurora_data!U1764,0)</f>
        <v>0</v>
      </c>
      <c r="X44" s="255">
        <f t="shared" si="7"/>
        <v>0</v>
      </c>
      <c r="Y44" s="2"/>
      <c r="AA44" s="452"/>
      <c r="AB44" s="454"/>
      <c r="AC44" s="35" t="s">
        <v>341</v>
      </c>
      <c r="AD44" s="113">
        <f>IFERROR(aurora_data!D1764,0)+IFERROR(aurora_data!E1764,0)</f>
        <v>0</v>
      </c>
      <c r="AE44" s="253">
        <f>IFERROR(aurora_data!F1764,0)</f>
        <v>0</v>
      </c>
      <c r="AF44" s="253">
        <f>IFERROR(aurora_data!G1764,0)</f>
        <v>0</v>
      </c>
      <c r="AG44" s="253">
        <f>IFERROR(aurora_data!H1764,0)</f>
        <v>0</v>
      </c>
      <c r="AH44" s="61" t="s">
        <v>354</v>
      </c>
      <c r="AI44" s="113">
        <f>IFERROR(aurora_data!U1764,0)</f>
        <v>0</v>
      </c>
      <c r="AJ44" s="255">
        <f t="shared" si="6"/>
        <v>0</v>
      </c>
    </row>
    <row r="45" spans="1:36" customFormat="1" ht="16.5" thickBot="1">
      <c r="A45" s="2"/>
      <c r="B45" s="561"/>
      <c r="C45" s="454"/>
      <c r="D45" s="35" t="s">
        <v>342</v>
      </c>
      <c r="E45" s="113">
        <f>IFERROR(aurora_data!D1765,0)</f>
        <v>0</v>
      </c>
      <c r="F45" s="253">
        <f>IFERROR(aurora_data!E1765,0)</f>
        <v>0</v>
      </c>
      <c r="G45" s="253">
        <f>IFERROR(aurora_data!F1765,0)</f>
        <v>0</v>
      </c>
      <c r="H45" s="253">
        <f>IFERROR(aurora_data!G1765,0)</f>
        <v>0</v>
      </c>
      <c r="I45" s="254">
        <f>IFERROR(aurora_data!H1765,0)</f>
        <v>0</v>
      </c>
      <c r="J45" s="113">
        <f>IFERROR(aurora_data!I1765,0)</f>
        <v>0</v>
      </c>
      <c r="K45" s="253">
        <f>IFERROR(aurora_data!J1765,0)</f>
        <v>0</v>
      </c>
      <c r="L45" s="253">
        <f>IFERROR(aurora_data!K1765,0)</f>
        <v>0</v>
      </c>
      <c r="M45" s="253">
        <f>IFERROR(aurora_data!L1765,0)</f>
        <v>0</v>
      </c>
      <c r="N45" s="254">
        <f>IFERROR(aurora_data!M1765,0)</f>
        <v>0</v>
      </c>
      <c r="O45" s="113">
        <f>IFERROR(aurora_data!N1765,0)</f>
        <v>0</v>
      </c>
      <c r="P45" s="253">
        <f>IFERROR(aurora_data!O1765,0)</f>
        <v>0</v>
      </c>
      <c r="Q45" s="253">
        <f>IFERROR(aurora_data!P1765,0)</f>
        <v>0</v>
      </c>
      <c r="R45" s="254">
        <f>IFERROR(aurora_data!Q1765,0)</f>
        <v>0</v>
      </c>
      <c r="S45" s="253">
        <f>IFERROR(aurora_data!R1765,0)</f>
        <v>0</v>
      </c>
      <c r="T45" s="253">
        <f>IFERROR(aurora_data!S1765,0)</f>
        <v>0</v>
      </c>
      <c r="U45" s="254">
        <f>IFERROR(aurora_data!T1365,0)</f>
        <v>0</v>
      </c>
      <c r="V45" s="61" t="s">
        <v>354</v>
      </c>
      <c r="W45" s="113">
        <f>IFERROR(aurora_data!U1765,0)</f>
        <v>0</v>
      </c>
      <c r="X45" s="255">
        <f t="shared" si="7"/>
        <v>0</v>
      </c>
      <c r="Y45" s="2"/>
      <c r="AA45" s="452"/>
      <c r="AB45" s="454"/>
      <c r="AC45" s="35" t="s">
        <v>342</v>
      </c>
      <c r="AD45" s="113">
        <f>IFERROR(aurora_data!D1765,0)+IFERROR(aurora_data!E1765,0)</f>
        <v>0</v>
      </c>
      <c r="AE45" s="253">
        <f>IFERROR(aurora_data!F1765,0)</f>
        <v>0</v>
      </c>
      <c r="AF45" s="253">
        <f>IFERROR(aurora_data!G1765,0)</f>
        <v>0</v>
      </c>
      <c r="AG45" s="253">
        <f>IFERROR(aurora_data!H1765,0)</f>
        <v>0</v>
      </c>
      <c r="AH45" s="61" t="s">
        <v>354</v>
      </c>
      <c r="AI45" s="113">
        <f>IFERROR(aurora_data!U1765,0)</f>
        <v>0</v>
      </c>
      <c r="AJ45" s="255">
        <f t="shared" si="6"/>
        <v>0</v>
      </c>
    </row>
    <row r="46" spans="1:36" customFormat="1" ht="16.5" thickBot="1">
      <c r="A46" s="2"/>
      <c r="B46" s="561"/>
      <c r="C46" s="454"/>
      <c r="D46" s="37" t="s">
        <v>17</v>
      </c>
      <c r="E46" s="59">
        <f>IFERROR(aurora_data!D1766,0)</f>
        <v>1</v>
      </c>
      <c r="F46" s="64">
        <f>IFERROR(aurora_data!E1766,0)</f>
        <v>2</v>
      </c>
      <c r="G46" s="64">
        <f>IFERROR(aurora_data!F1766,0)</f>
        <v>2</v>
      </c>
      <c r="H46" s="64">
        <f>IFERROR(aurora_data!G1766,0)</f>
        <v>3</v>
      </c>
      <c r="I46" s="65">
        <f>IFERROR(aurora_data!H1766,0)</f>
        <v>6</v>
      </c>
      <c r="J46" s="59">
        <f>IFERROR(aurora_data!I1766,0)</f>
        <v>1</v>
      </c>
      <c r="K46" s="64">
        <f>IFERROR(aurora_data!J1766,0)</f>
        <v>1</v>
      </c>
      <c r="L46" s="64">
        <f>IFERROR(aurora_data!K1766,0)</f>
        <v>4</v>
      </c>
      <c r="M46" s="64">
        <f>IFERROR(aurora_data!L1766,0)</f>
        <v>1</v>
      </c>
      <c r="N46" s="65">
        <f>IFERROR(aurora_data!M1766,0)</f>
        <v>7</v>
      </c>
      <c r="O46" s="59">
        <f>IFERROR(aurora_data!N1766,0)</f>
        <v>3</v>
      </c>
      <c r="P46" s="64">
        <f>IFERROR(aurora_data!O1766,0)</f>
        <v>2</v>
      </c>
      <c r="Q46" s="64">
        <f>IFERROR(aurora_data!P1766,0)</f>
        <v>4</v>
      </c>
      <c r="R46" s="65">
        <f>IFERROR(aurora_data!Q1766,0)</f>
        <v>5</v>
      </c>
      <c r="S46" s="64">
        <f>IFERROR(aurora_data!R1766,0)</f>
        <v>10</v>
      </c>
      <c r="T46" s="64">
        <f>IFERROR(aurora_data!S1766,0)</f>
        <v>4</v>
      </c>
      <c r="U46" s="65">
        <f>IFERROR(aurora_data!T1366,0)</f>
        <v>0</v>
      </c>
      <c r="V46" s="66" t="s">
        <v>354</v>
      </c>
      <c r="W46" s="59">
        <f>IFERROR(aurora_data!U1766,0)</f>
        <v>14</v>
      </c>
      <c r="X46" s="70">
        <f t="shared" si="7"/>
        <v>1.5555555555555556</v>
      </c>
      <c r="Y46" s="2"/>
      <c r="AA46" s="452"/>
      <c r="AB46" s="454"/>
      <c r="AC46" s="37" t="s">
        <v>17</v>
      </c>
      <c r="AD46" s="59">
        <f>IFERROR(aurora_data!D1766,0)+IFERROR(aurora_data!E1766,0)</f>
        <v>3</v>
      </c>
      <c r="AE46" s="64">
        <f>IFERROR(aurora_data!F1766,0)</f>
        <v>2</v>
      </c>
      <c r="AF46" s="64">
        <f>IFERROR(aurora_data!G1766,0)</f>
        <v>3</v>
      </c>
      <c r="AG46" s="64">
        <f>IFERROR(aurora_data!H1766,0)</f>
        <v>6</v>
      </c>
      <c r="AH46" s="66" t="s">
        <v>354</v>
      </c>
      <c r="AI46" s="59">
        <f>IFERROR(aurora_data!U1766,0)</f>
        <v>14</v>
      </c>
      <c r="AJ46" s="70">
        <f t="shared" si="6"/>
        <v>1.5555555555555556</v>
      </c>
    </row>
    <row r="47" spans="1:36" customFormat="1" ht="16.5" thickBot="1">
      <c r="A47" s="2"/>
      <c r="B47" s="561"/>
      <c r="C47" s="454"/>
      <c r="D47" s="38" t="s">
        <v>343</v>
      </c>
      <c r="E47" s="256">
        <f>IFERROR(aurora_data!D1767,0)</f>
        <v>0</v>
      </c>
      <c r="F47" s="257">
        <f>IFERROR(aurora_data!E1767,0)</f>
        <v>0</v>
      </c>
      <c r="G47" s="257">
        <f>IFERROR(aurora_data!F1767,0)</f>
        <v>0</v>
      </c>
      <c r="H47" s="257">
        <f>IFERROR(aurora_data!G1767,0)</f>
        <v>0</v>
      </c>
      <c r="I47" s="258">
        <f>IFERROR(aurora_data!H1767,0)</f>
        <v>0</v>
      </c>
      <c r="J47" s="256">
        <f>IFERROR(aurora_data!I1767,0)</f>
        <v>0</v>
      </c>
      <c r="K47" s="257">
        <f>IFERROR(aurora_data!J1767,0)</f>
        <v>0</v>
      </c>
      <c r="L47" s="257">
        <f>IFERROR(aurora_data!K1767,0)</f>
        <v>0</v>
      </c>
      <c r="M47" s="257">
        <f>IFERROR(aurora_data!L1767,0)</f>
        <v>0</v>
      </c>
      <c r="N47" s="258">
        <f>IFERROR(aurora_data!M1767,0)</f>
        <v>0</v>
      </c>
      <c r="O47" s="256">
        <f>IFERROR(aurora_data!N1767,0)</f>
        <v>0</v>
      </c>
      <c r="P47" s="257">
        <f>IFERROR(aurora_data!O1767,0)</f>
        <v>0</v>
      </c>
      <c r="Q47" s="257">
        <f>IFERROR(aurora_data!P1767,0)</f>
        <v>0</v>
      </c>
      <c r="R47" s="258">
        <f>IFERROR(aurora_data!Q1767,0)</f>
        <v>0</v>
      </c>
      <c r="S47" s="257">
        <f>IFERROR(aurora_data!R1767,0)</f>
        <v>0</v>
      </c>
      <c r="T47" s="257">
        <f>IFERROR(aurora_data!S1767,0)</f>
        <v>0</v>
      </c>
      <c r="U47" s="259">
        <f>IFERROR(aurora_data!T1367,0)</f>
        <v>0</v>
      </c>
      <c r="V47" s="260" t="s">
        <v>354</v>
      </c>
      <c r="W47" s="256">
        <f>IFERROR(aurora_data!U1767,0)</f>
        <v>0</v>
      </c>
      <c r="X47" s="261">
        <f t="shared" si="7"/>
        <v>0</v>
      </c>
      <c r="Y47" s="2"/>
      <c r="AA47" s="452"/>
      <c r="AB47" s="454"/>
      <c r="AC47" s="38" t="s">
        <v>343</v>
      </c>
      <c r="AD47" s="256">
        <f>IFERROR(aurora_data!D1767,0)+IFERROR(aurora_data!E1767,0)</f>
        <v>0</v>
      </c>
      <c r="AE47" s="257">
        <f>IFERROR(aurora_data!F1767,0)</f>
        <v>0</v>
      </c>
      <c r="AF47" s="257">
        <f>IFERROR(aurora_data!G1767,0)</f>
        <v>0</v>
      </c>
      <c r="AG47" s="257">
        <f>IFERROR(aurora_data!H1767,0)</f>
        <v>0</v>
      </c>
      <c r="AH47" s="260" t="s">
        <v>354</v>
      </c>
      <c r="AI47" s="256">
        <f>IFERROR(aurora_data!U1767,0)</f>
        <v>0</v>
      </c>
      <c r="AJ47" s="261">
        <f t="shared" si="6"/>
        <v>0</v>
      </c>
    </row>
    <row r="48" spans="1:36" customFormat="1">
      <c r="A48" s="2"/>
      <c r="B48" s="560" t="s">
        <v>362</v>
      </c>
      <c r="C48" s="453" t="str">
        <f>aurora_data!A1768</f>
        <v>10.00.00-10.11.30</v>
      </c>
      <c r="D48" s="34" t="s">
        <v>306</v>
      </c>
      <c r="E48" s="39">
        <f>IFERROR(aurora_data!D1768,0)</f>
        <v>0.28000000000000003</v>
      </c>
      <c r="F48" s="40">
        <f>IFERROR(aurora_data!E1768,0)</f>
        <v>0.52</v>
      </c>
      <c r="G48" s="40">
        <f>IFERROR(aurora_data!F1768,0)</f>
        <v>1.81</v>
      </c>
      <c r="H48" s="40">
        <f>IFERROR(aurora_data!G1768,0)</f>
        <v>2.88</v>
      </c>
      <c r="I48" s="41">
        <f>IFERROR(aurora_data!H1768,0)</f>
        <v>3.51</v>
      </c>
      <c r="J48" s="39">
        <f>IFERROR(aurora_data!I1768,0)</f>
        <v>1</v>
      </c>
      <c r="K48" s="40">
        <f>IFERROR(aurora_data!J1768,0)</f>
        <v>1</v>
      </c>
      <c r="L48" s="40">
        <f>IFERROR(aurora_data!K1768,0)</f>
        <v>1</v>
      </c>
      <c r="M48" s="40">
        <f>IFERROR(aurora_data!L1768,0)</f>
        <v>1</v>
      </c>
      <c r="N48" s="41">
        <f>IFERROR(aurora_data!M1768,0)</f>
        <v>1</v>
      </c>
      <c r="O48" s="39">
        <f>IFERROR(aurora_data!N1768,0)</f>
        <v>1</v>
      </c>
      <c r="P48" s="40">
        <f>IFERROR(aurora_data!O1768,0)</f>
        <v>1</v>
      </c>
      <c r="Q48" s="40">
        <f>IFERROR(aurora_data!P1768,0)</f>
        <v>1</v>
      </c>
      <c r="R48" s="41">
        <f>IFERROR(aurora_data!Q1768,0)</f>
        <v>1</v>
      </c>
      <c r="S48" s="40">
        <f>IFERROR(aurora_data!R1768,0)</f>
        <v>1</v>
      </c>
      <c r="T48" s="40">
        <f>IFERROR(aurora_data!S1768,0)</f>
        <v>1</v>
      </c>
      <c r="U48" s="41">
        <f>IFERROR(aurora_data!T1368,0)</f>
        <v>0</v>
      </c>
      <c r="V48" s="61" t="s">
        <v>354</v>
      </c>
      <c r="W48" s="39">
        <f>IFERROR(aurora_data!U1768,0)</f>
        <v>9</v>
      </c>
      <c r="X48" s="69">
        <f>IFERROR(W48/$W$48,0)</f>
        <v>1</v>
      </c>
      <c r="Y48" s="2"/>
      <c r="AA48" s="451" t="s">
        <v>338</v>
      </c>
      <c r="AB48" s="453" t="str">
        <f>aurora_data!A1768</f>
        <v>10.00.00-10.11.30</v>
      </c>
      <c r="AC48" s="34" t="s">
        <v>306</v>
      </c>
      <c r="AD48" s="338">
        <v>2</v>
      </c>
      <c r="AE48" s="40">
        <v>2</v>
      </c>
      <c r="AF48" s="337">
        <v>2</v>
      </c>
      <c r="AG48" s="337">
        <v>3</v>
      </c>
      <c r="AH48" s="61" t="s">
        <v>354</v>
      </c>
      <c r="AI48" s="39">
        <f>IFERROR(aurora_data!U1768,0)</f>
        <v>9</v>
      </c>
      <c r="AJ48" s="69">
        <f t="shared" ref="AJ48:AJ56" si="8">IFERROR(AI48/$AI$48,0)</f>
        <v>1</v>
      </c>
    </row>
    <row r="49" spans="1:36" customFormat="1">
      <c r="A49" s="2"/>
      <c r="B49" s="561"/>
      <c r="C49" s="454"/>
      <c r="D49" s="35" t="s">
        <v>339</v>
      </c>
      <c r="E49" s="113">
        <f>IFERROR(aurora_data!D1769,0)</f>
        <v>1</v>
      </c>
      <c r="F49" s="253">
        <f>IFERROR(aurora_data!E1769,0)</f>
        <v>1</v>
      </c>
      <c r="G49" s="253">
        <f>IFERROR(aurora_data!F1769,0)</f>
        <v>2</v>
      </c>
      <c r="H49" s="253">
        <f>IFERROR(aurora_data!G1769,0)</f>
        <v>3</v>
      </c>
      <c r="I49" s="254">
        <f>IFERROR(aurora_data!H1769,0)</f>
        <v>2</v>
      </c>
      <c r="J49" s="113">
        <f>IFERROR(aurora_data!I1769,0)</f>
        <v>2</v>
      </c>
      <c r="K49" s="253">
        <f>IFERROR(aurora_data!J1769,0)</f>
        <v>1</v>
      </c>
      <c r="L49" s="253">
        <f>IFERROR(aurora_data!K1769,0)</f>
        <v>2</v>
      </c>
      <c r="M49" s="253">
        <f>IFERROR(aurora_data!L1769,0)</f>
        <v>1</v>
      </c>
      <c r="N49" s="254">
        <f>IFERROR(aurora_data!M1769,0)</f>
        <v>3</v>
      </c>
      <c r="O49" s="113">
        <f>IFERROR(aurora_data!N1769,0)</f>
        <v>1</v>
      </c>
      <c r="P49" s="253">
        <f>IFERROR(aurora_data!O1769,0)</f>
        <v>2</v>
      </c>
      <c r="Q49" s="253">
        <f>IFERROR(aurora_data!P1769,0)</f>
        <v>1</v>
      </c>
      <c r="R49" s="254">
        <f>IFERROR(aurora_data!Q1769,0)</f>
        <v>5</v>
      </c>
      <c r="S49" s="253">
        <f>IFERROR(aurora_data!R1769,0)</f>
        <v>5</v>
      </c>
      <c r="T49" s="253">
        <f>IFERROR(aurora_data!S1769,0)</f>
        <v>4</v>
      </c>
      <c r="U49" s="254">
        <f>IFERROR(aurora_data!T1369,0)</f>
        <v>0</v>
      </c>
      <c r="V49" s="61" t="s">
        <v>354</v>
      </c>
      <c r="W49" s="113">
        <f>IFERROR(aurora_data!U1769,0)</f>
        <v>9</v>
      </c>
      <c r="X49" s="255">
        <f t="shared" ref="X49:X56" si="9">IFERROR(W49/$W$48,0)</f>
        <v>1</v>
      </c>
      <c r="Y49" s="2"/>
      <c r="AA49" s="452"/>
      <c r="AB49" s="454"/>
      <c r="AC49" s="35" t="s">
        <v>339</v>
      </c>
      <c r="AD49" s="113">
        <f>IFERROR(aurora_data!D1769,0)+IFERROR(aurora_data!E1769,0)</f>
        <v>2</v>
      </c>
      <c r="AE49" s="253">
        <f>IFERROR(aurora_data!F1769,0)</f>
        <v>2</v>
      </c>
      <c r="AF49" s="253">
        <f>IFERROR(aurora_data!G1769,0)</f>
        <v>3</v>
      </c>
      <c r="AG49" s="253">
        <f>IFERROR(aurora_data!H1769,0)</f>
        <v>2</v>
      </c>
      <c r="AH49" s="61" t="s">
        <v>354</v>
      </c>
      <c r="AI49" s="113">
        <f>IFERROR(aurora_data!U1769,0)</f>
        <v>9</v>
      </c>
      <c r="AJ49" s="255">
        <f t="shared" si="8"/>
        <v>1</v>
      </c>
    </row>
    <row r="50" spans="1:36" customFormat="1">
      <c r="A50" s="2"/>
      <c r="B50" s="561"/>
      <c r="C50" s="454"/>
      <c r="D50" s="35" t="s">
        <v>291</v>
      </c>
      <c r="E50" s="113">
        <f>IFERROR(aurora_data!D1770,0)</f>
        <v>0</v>
      </c>
      <c r="F50" s="253">
        <f>IFERROR(aurora_data!E1770,0)</f>
        <v>0</v>
      </c>
      <c r="G50" s="253">
        <f>IFERROR(aurora_data!F1770,0)</f>
        <v>1</v>
      </c>
      <c r="H50" s="253">
        <f>IFERROR(aurora_data!G1770,0)</f>
        <v>0</v>
      </c>
      <c r="I50" s="254">
        <f>IFERROR(aurora_data!H1770,0)</f>
        <v>2</v>
      </c>
      <c r="J50" s="113">
        <f>IFERROR(aurora_data!I1770,0)</f>
        <v>0</v>
      </c>
      <c r="K50" s="253">
        <f>IFERROR(aurora_data!J1770,0)</f>
        <v>0</v>
      </c>
      <c r="L50" s="253">
        <f>IFERROR(aurora_data!K1770,0)</f>
        <v>0</v>
      </c>
      <c r="M50" s="253">
        <f>IFERROR(aurora_data!L1770,0)</f>
        <v>1</v>
      </c>
      <c r="N50" s="254">
        <f>IFERROR(aurora_data!M1770,0)</f>
        <v>2</v>
      </c>
      <c r="O50" s="113">
        <f>IFERROR(aurora_data!N1770,0)</f>
        <v>0</v>
      </c>
      <c r="P50" s="253">
        <f>IFERROR(aurora_data!O1770,0)</f>
        <v>1</v>
      </c>
      <c r="Q50" s="253">
        <f>IFERROR(aurora_data!P1770,0)</f>
        <v>1</v>
      </c>
      <c r="R50" s="254">
        <f>IFERROR(aurora_data!Q1770,0)</f>
        <v>1</v>
      </c>
      <c r="S50" s="253">
        <f>IFERROR(aurora_data!R1770,0)</f>
        <v>1</v>
      </c>
      <c r="T50" s="253">
        <f>IFERROR(aurora_data!S1770,0)</f>
        <v>2</v>
      </c>
      <c r="U50" s="254">
        <f>IFERROR(aurora_data!T1370,0)</f>
        <v>0</v>
      </c>
      <c r="V50" s="61" t="s">
        <v>354</v>
      </c>
      <c r="W50" s="113">
        <f>IFERROR(aurora_data!U1770,0)</f>
        <v>3</v>
      </c>
      <c r="X50" s="255">
        <f t="shared" si="9"/>
        <v>0.33333333333333331</v>
      </c>
      <c r="Y50" s="2"/>
      <c r="AA50" s="452"/>
      <c r="AB50" s="454"/>
      <c r="AC50" s="35" t="s">
        <v>291</v>
      </c>
      <c r="AD50" s="113">
        <f>IFERROR(aurora_data!D1770,0)+IFERROR(aurora_data!E1770,0)</f>
        <v>0</v>
      </c>
      <c r="AE50" s="253">
        <f>IFERROR(aurora_data!F1770,0)</f>
        <v>1</v>
      </c>
      <c r="AF50" s="253">
        <f>IFERROR(aurora_data!G1770,0)</f>
        <v>0</v>
      </c>
      <c r="AG50" s="253">
        <f>IFERROR(aurora_data!H1770,0)</f>
        <v>2</v>
      </c>
      <c r="AH50" s="61" t="s">
        <v>354</v>
      </c>
      <c r="AI50" s="113">
        <f>IFERROR(aurora_data!U1770,0)</f>
        <v>3</v>
      </c>
      <c r="AJ50" s="255">
        <f t="shared" si="8"/>
        <v>0.33333333333333331</v>
      </c>
    </row>
    <row r="51" spans="1:36" customFormat="1">
      <c r="A51" s="2"/>
      <c r="B51" s="561"/>
      <c r="C51" s="454"/>
      <c r="D51" s="35" t="s">
        <v>340</v>
      </c>
      <c r="E51" s="113">
        <f>IFERROR(aurora_data!D1771,0)</f>
        <v>0</v>
      </c>
      <c r="F51" s="253">
        <f>IFERROR(aurora_data!E1771,0)</f>
        <v>0</v>
      </c>
      <c r="G51" s="253">
        <f>IFERROR(aurora_data!F1771,0)</f>
        <v>0</v>
      </c>
      <c r="H51" s="253">
        <f>IFERROR(aurora_data!G1771,0)</f>
        <v>0</v>
      </c>
      <c r="I51" s="254">
        <f>IFERROR(aurora_data!H1771,0)</f>
        <v>0</v>
      </c>
      <c r="J51" s="113">
        <f>IFERROR(aurora_data!I1771,0)</f>
        <v>0</v>
      </c>
      <c r="K51" s="253">
        <f>IFERROR(aurora_data!J1771,0)</f>
        <v>0</v>
      </c>
      <c r="L51" s="253">
        <f>IFERROR(aurora_data!K1771,0)</f>
        <v>0</v>
      </c>
      <c r="M51" s="253">
        <f>IFERROR(aurora_data!L1771,0)</f>
        <v>0</v>
      </c>
      <c r="N51" s="254">
        <f>IFERROR(aurora_data!M1771,0)</f>
        <v>0</v>
      </c>
      <c r="O51" s="113">
        <f>IFERROR(aurora_data!N1771,0)</f>
        <v>0</v>
      </c>
      <c r="P51" s="253">
        <f>IFERROR(aurora_data!O1771,0)</f>
        <v>0</v>
      </c>
      <c r="Q51" s="253">
        <f>IFERROR(aurora_data!P1771,0)</f>
        <v>0</v>
      </c>
      <c r="R51" s="254">
        <f>IFERROR(aurora_data!Q1771,0)</f>
        <v>0</v>
      </c>
      <c r="S51" s="253">
        <f>IFERROR(aurora_data!R1771,0)</f>
        <v>0</v>
      </c>
      <c r="T51" s="253">
        <f>IFERROR(aurora_data!S1771,0)</f>
        <v>0</v>
      </c>
      <c r="U51" s="254">
        <f>IFERROR(aurora_data!T1371,0)</f>
        <v>0</v>
      </c>
      <c r="V51" s="61" t="s">
        <v>354</v>
      </c>
      <c r="W51" s="113">
        <f>IFERROR(aurora_data!U1771,0)</f>
        <v>0</v>
      </c>
      <c r="X51" s="255">
        <f t="shared" si="9"/>
        <v>0</v>
      </c>
      <c r="Y51" s="2"/>
      <c r="AA51" s="452"/>
      <c r="AB51" s="454"/>
      <c r="AC51" s="35" t="s">
        <v>340</v>
      </c>
      <c r="AD51" s="113">
        <f>IFERROR(aurora_data!D1771,0)+IFERROR(aurora_data!E1771,0)</f>
        <v>0</v>
      </c>
      <c r="AE51" s="253">
        <f>IFERROR(aurora_data!F1771,0)</f>
        <v>0</v>
      </c>
      <c r="AF51" s="253">
        <f>IFERROR(aurora_data!G1771,0)</f>
        <v>0</v>
      </c>
      <c r="AG51" s="253">
        <f>IFERROR(aurora_data!H1771,0)</f>
        <v>0</v>
      </c>
      <c r="AH51" s="61" t="s">
        <v>354</v>
      </c>
      <c r="AI51" s="113">
        <f>IFERROR(aurora_data!U1771,0)</f>
        <v>0</v>
      </c>
      <c r="AJ51" s="255">
        <f t="shared" si="8"/>
        <v>0</v>
      </c>
    </row>
    <row r="52" spans="1:36" customFormat="1">
      <c r="A52" s="2"/>
      <c r="B52" s="561"/>
      <c r="C52" s="454"/>
      <c r="D52" s="35" t="s">
        <v>298</v>
      </c>
      <c r="E52" s="113">
        <f>IFERROR(aurora_data!D1772,0)</f>
        <v>0</v>
      </c>
      <c r="F52" s="253">
        <f>IFERROR(aurora_data!E1772,0)</f>
        <v>0</v>
      </c>
      <c r="G52" s="253">
        <f>IFERROR(aurora_data!F1772,0)</f>
        <v>0</v>
      </c>
      <c r="H52" s="253">
        <f>IFERROR(aurora_data!G1772,0)</f>
        <v>0</v>
      </c>
      <c r="I52" s="254">
        <f>IFERROR(aurora_data!H1772,0)</f>
        <v>0</v>
      </c>
      <c r="J52" s="113">
        <f>IFERROR(aurora_data!I1772,0)</f>
        <v>0</v>
      </c>
      <c r="K52" s="253">
        <f>IFERROR(aurora_data!J1772,0)</f>
        <v>0</v>
      </c>
      <c r="L52" s="253">
        <f>IFERROR(aurora_data!K1772,0)</f>
        <v>0</v>
      </c>
      <c r="M52" s="253">
        <f>IFERROR(aurora_data!L1772,0)</f>
        <v>0</v>
      </c>
      <c r="N52" s="254">
        <f>IFERROR(aurora_data!M1772,0)</f>
        <v>0</v>
      </c>
      <c r="O52" s="113">
        <f>IFERROR(aurora_data!N1772,0)</f>
        <v>0</v>
      </c>
      <c r="P52" s="253">
        <f>IFERROR(aurora_data!O1772,0)</f>
        <v>0</v>
      </c>
      <c r="Q52" s="253">
        <f>IFERROR(aurora_data!P1772,0)</f>
        <v>0</v>
      </c>
      <c r="R52" s="254">
        <f>IFERROR(aurora_data!Q1772,0)</f>
        <v>0</v>
      </c>
      <c r="S52" s="253">
        <f>IFERROR(aurora_data!R1772,0)</f>
        <v>0</v>
      </c>
      <c r="T52" s="253">
        <f>IFERROR(aurora_data!S1772,0)</f>
        <v>0</v>
      </c>
      <c r="U52" s="254">
        <f>IFERROR(aurora_data!T1372,0)</f>
        <v>0</v>
      </c>
      <c r="V52" s="61" t="s">
        <v>354</v>
      </c>
      <c r="W52" s="113">
        <f>IFERROR(aurora_data!U1772,0)</f>
        <v>0</v>
      </c>
      <c r="X52" s="255">
        <f t="shared" si="9"/>
        <v>0</v>
      </c>
      <c r="Y52" s="2"/>
      <c r="AA52" s="452"/>
      <c r="AB52" s="454"/>
      <c r="AC52" s="35" t="s">
        <v>298</v>
      </c>
      <c r="AD52" s="113">
        <f>IFERROR(aurora_data!D1772,0)+IFERROR(aurora_data!E1772,0)</f>
        <v>0</v>
      </c>
      <c r="AE52" s="253">
        <f>IFERROR(aurora_data!F1772,0)</f>
        <v>0</v>
      </c>
      <c r="AF52" s="253">
        <f>IFERROR(aurora_data!G1772,0)</f>
        <v>0</v>
      </c>
      <c r="AG52" s="253">
        <f>IFERROR(aurora_data!H1772,0)</f>
        <v>0</v>
      </c>
      <c r="AH52" s="61" t="s">
        <v>354</v>
      </c>
      <c r="AI52" s="113">
        <f>IFERROR(aurora_data!U1772,0)</f>
        <v>0</v>
      </c>
      <c r="AJ52" s="255">
        <f t="shared" si="8"/>
        <v>0</v>
      </c>
    </row>
    <row r="53" spans="1:36" customFormat="1">
      <c r="A53" s="2"/>
      <c r="B53" s="561"/>
      <c r="C53" s="454"/>
      <c r="D53" s="35" t="s">
        <v>341</v>
      </c>
      <c r="E53" s="113">
        <f>IFERROR(aurora_data!D1773,0)</f>
        <v>0</v>
      </c>
      <c r="F53" s="253">
        <f>IFERROR(aurora_data!E1773,0)</f>
        <v>0</v>
      </c>
      <c r="G53" s="253">
        <f>IFERROR(aurora_data!F1773,0)</f>
        <v>0</v>
      </c>
      <c r="H53" s="253">
        <f>IFERROR(aurora_data!G1773,0)</f>
        <v>0</v>
      </c>
      <c r="I53" s="254">
        <f>IFERROR(aurora_data!H1773,0)</f>
        <v>0</v>
      </c>
      <c r="J53" s="113">
        <f>IFERROR(aurora_data!I1773,0)</f>
        <v>0</v>
      </c>
      <c r="K53" s="253">
        <f>IFERROR(aurora_data!J1773,0)</f>
        <v>0</v>
      </c>
      <c r="L53" s="253">
        <f>IFERROR(aurora_data!K1773,0)</f>
        <v>0</v>
      </c>
      <c r="M53" s="253">
        <f>IFERROR(aurora_data!L1773,0)</f>
        <v>0</v>
      </c>
      <c r="N53" s="254">
        <f>IFERROR(aurora_data!M1773,0)</f>
        <v>0</v>
      </c>
      <c r="O53" s="113">
        <f>IFERROR(aurora_data!N1773,0)</f>
        <v>0</v>
      </c>
      <c r="P53" s="253">
        <f>IFERROR(aurora_data!O1773,0)</f>
        <v>0</v>
      </c>
      <c r="Q53" s="253">
        <f>IFERROR(aurora_data!P1773,0)</f>
        <v>0</v>
      </c>
      <c r="R53" s="254">
        <f>IFERROR(aurora_data!Q1773,0)</f>
        <v>0</v>
      </c>
      <c r="S53" s="253">
        <f>IFERROR(aurora_data!R1773,0)</f>
        <v>0</v>
      </c>
      <c r="T53" s="253">
        <f>IFERROR(aurora_data!S1773,0)</f>
        <v>0</v>
      </c>
      <c r="U53" s="254">
        <f>IFERROR(aurora_data!T1373,0)</f>
        <v>0</v>
      </c>
      <c r="V53" s="61" t="s">
        <v>354</v>
      </c>
      <c r="W53" s="113">
        <f>IFERROR(aurora_data!U1773,0)</f>
        <v>0</v>
      </c>
      <c r="X53" s="255">
        <f t="shared" si="9"/>
        <v>0</v>
      </c>
      <c r="Y53" s="2"/>
      <c r="AA53" s="452"/>
      <c r="AB53" s="454"/>
      <c r="AC53" s="35" t="s">
        <v>341</v>
      </c>
      <c r="AD53" s="113">
        <f>IFERROR(aurora_data!D1773,0)+IFERROR(aurora_data!E1773,0)</f>
        <v>0</v>
      </c>
      <c r="AE53" s="253">
        <f>IFERROR(aurora_data!F1773,0)</f>
        <v>0</v>
      </c>
      <c r="AF53" s="253">
        <f>IFERROR(aurora_data!G1773,0)</f>
        <v>0</v>
      </c>
      <c r="AG53" s="253">
        <f>IFERROR(aurora_data!H1773,0)</f>
        <v>0</v>
      </c>
      <c r="AH53" s="61" t="s">
        <v>354</v>
      </c>
      <c r="AI53" s="113">
        <f>IFERROR(aurora_data!U1773,0)</f>
        <v>0</v>
      </c>
      <c r="AJ53" s="255">
        <f t="shared" si="8"/>
        <v>0</v>
      </c>
    </row>
    <row r="54" spans="1:36" customFormat="1" ht="16.5" thickBot="1">
      <c r="A54" s="2"/>
      <c r="B54" s="561"/>
      <c r="C54" s="454"/>
      <c r="D54" s="35" t="s">
        <v>342</v>
      </c>
      <c r="E54" s="113">
        <f>IFERROR(aurora_data!D1774,0)</f>
        <v>0</v>
      </c>
      <c r="F54" s="253">
        <f>IFERROR(aurora_data!E1774,0)</f>
        <v>0</v>
      </c>
      <c r="G54" s="253">
        <f>IFERROR(aurora_data!F1774,0)</f>
        <v>0</v>
      </c>
      <c r="H54" s="253">
        <f>IFERROR(aurora_data!G1774,0)</f>
        <v>0</v>
      </c>
      <c r="I54" s="254">
        <f>IFERROR(aurora_data!H1774,0)</f>
        <v>0</v>
      </c>
      <c r="J54" s="113">
        <f>IFERROR(aurora_data!I1774,0)</f>
        <v>0</v>
      </c>
      <c r="K54" s="253">
        <f>IFERROR(aurora_data!J1774,0)</f>
        <v>0</v>
      </c>
      <c r="L54" s="253">
        <f>IFERROR(aurora_data!K1774,0)</f>
        <v>0</v>
      </c>
      <c r="M54" s="253">
        <f>IFERROR(aurora_data!L1774,0)</f>
        <v>0</v>
      </c>
      <c r="N54" s="254">
        <f>IFERROR(aurora_data!M1774,0)</f>
        <v>0</v>
      </c>
      <c r="O54" s="113">
        <f>IFERROR(aurora_data!N1774,0)</f>
        <v>0</v>
      </c>
      <c r="P54" s="253">
        <f>IFERROR(aurora_data!O1774,0)</f>
        <v>0</v>
      </c>
      <c r="Q54" s="253">
        <f>IFERROR(aurora_data!P1774,0)</f>
        <v>0</v>
      </c>
      <c r="R54" s="254">
        <f>IFERROR(aurora_data!Q1774,0)</f>
        <v>0</v>
      </c>
      <c r="S54" s="253">
        <f>IFERROR(aurora_data!R1774,0)</f>
        <v>0</v>
      </c>
      <c r="T54" s="253">
        <f>IFERROR(aurora_data!S1774,0)</f>
        <v>0</v>
      </c>
      <c r="U54" s="254">
        <f>IFERROR(aurora_data!T1374,0)</f>
        <v>0</v>
      </c>
      <c r="V54" s="61" t="s">
        <v>354</v>
      </c>
      <c r="W54" s="113">
        <f>IFERROR(aurora_data!U1774,0)</f>
        <v>0</v>
      </c>
      <c r="X54" s="255">
        <f t="shared" si="9"/>
        <v>0</v>
      </c>
      <c r="Y54" s="2"/>
      <c r="AA54" s="452"/>
      <c r="AB54" s="454"/>
      <c r="AC54" s="35" t="s">
        <v>342</v>
      </c>
      <c r="AD54" s="113">
        <f>IFERROR(aurora_data!D1774,0)+IFERROR(aurora_data!E1774,0)</f>
        <v>0</v>
      </c>
      <c r="AE54" s="253">
        <f>IFERROR(aurora_data!F1774,0)</f>
        <v>0</v>
      </c>
      <c r="AF54" s="253">
        <f>IFERROR(aurora_data!G1774,0)</f>
        <v>0</v>
      </c>
      <c r="AG54" s="253">
        <f>IFERROR(aurora_data!H1774,0)</f>
        <v>0</v>
      </c>
      <c r="AH54" s="61" t="s">
        <v>354</v>
      </c>
      <c r="AI54" s="113">
        <f>IFERROR(aurora_data!U1774,0)</f>
        <v>0</v>
      </c>
      <c r="AJ54" s="255">
        <f t="shared" si="8"/>
        <v>0</v>
      </c>
    </row>
    <row r="55" spans="1:36" customFormat="1" ht="16.5" thickBot="1">
      <c r="A55" s="2"/>
      <c r="B55" s="561"/>
      <c r="C55" s="454"/>
      <c r="D55" s="37" t="s">
        <v>17</v>
      </c>
      <c r="E55" s="59">
        <f>IFERROR(aurora_data!D1775,0)</f>
        <v>1</v>
      </c>
      <c r="F55" s="64">
        <f>IFERROR(aurora_data!E1775,0)</f>
        <v>1</v>
      </c>
      <c r="G55" s="64">
        <f>IFERROR(aurora_data!F1775,0)</f>
        <v>3</v>
      </c>
      <c r="H55" s="64">
        <f>IFERROR(aurora_data!G1775,0)</f>
        <v>3</v>
      </c>
      <c r="I55" s="65">
        <f>IFERROR(aurora_data!H1775,0)</f>
        <v>4</v>
      </c>
      <c r="J55" s="59">
        <f>IFERROR(aurora_data!I1775,0)</f>
        <v>2</v>
      </c>
      <c r="K55" s="64">
        <f>IFERROR(aurora_data!J1775,0)</f>
        <v>1</v>
      </c>
      <c r="L55" s="64">
        <f>IFERROR(aurora_data!K1775,0)</f>
        <v>2</v>
      </c>
      <c r="M55" s="64">
        <f>IFERROR(aurora_data!L1775,0)</f>
        <v>2</v>
      </c>
      <c r="N55" s="65">
        <f>IFERROR(aurora_data!M1775,0)</f>
        <v>5</v>
      </c>
      <c r="O55" s="59">
        <f>IFERROR(aurora_data!N1775,0)</f>
        <v>1</v>
      </c>
      <c r="P55" s="64">
        <f>IFERROR(aurora_data!O1775,0)</f>
        <v>3</v>
      </c>
      <c r="Q55" s="64">
        <f>IFERROR(aurora_data!P1775,0)</f>
        <v>2</v>
      </c>
      <c r="R55" s="65">
        <f>IFERROR(aurora_data!Q1775,0)</f>
        <v>6</v>
      </c>
      <c r="S55" s="64">
        <f>IFERROR(aurora_data!R1775,0)</f>
        <v>6</v>
      </c>
      <c r="T55" s="64">
        <f>IFERROR(aurora_data!S1775,0)</f>
        <v>6</v>
      </c>
      <c r="U55" s="65">
        <f>IFERROR(aurora_data!T1375,0)</f>
        <v>0</v>
      </c>
      <c r="V55" s="66" t="s">
        <v>354</v>
      </c>
      <c r="W55" s="59">
        <f>IFERROR(aurora_data!U1775,0)</f>
        <v>12</v>
      </c>
      <c r="X55" s="70">
        <f t="shared" si="9"/>
        <v>1.3333333333333333</v>
      </c>
      <c r="Y55" s="2"/>
      <c r="AA55" s="452"/>
      <c r="AB55" s="454"/>
      <c r="AC55" s="37" t="s">
        <v>17</v>
      </c>
      <c r="AD55" s="59">
        <f>IFERROR(aurora_data!D1775,0)+IFERROR(aurora_data!E1775,0)</f>
        <v>2</v>
      </c>
      <c r="AE55" s="64">
        <f>IFERROR(aurora_data!F1775,0)</f>
        <v>3</v>
      </c>
      <c r="AF55" s="64">
        <f>IFERROR(aurora_data!G1775,0)</f>
        <v>3</v>
      </c>
      <c r="AG55" s="64">
        <f>IFERROR(aurora_data!H1775,0)</f>
        <v>4</v>
      </c>
      <c r="AH55" s="66" t="s">
        <v>354</v>
      </c>
      <c r="AI55" s="59">
        <f>IFERROR(aurora_data!U1775,0)</f>
        <v>12</v>
      </c>
      <c r="AJ55" s="70">
        <f t="shared" si="8"/>
        <v>1.3333333333333333</v>
      </c>
    </row>
    <row r="56" spans="1:36" customFormat="1" ht="16.5" thickBot="1">
      <c r="A56" s="2"/>
      <c r="B56" s="561"/>
      <c r="C56" s="454"/>
      <c r="D56" s="38" t="s">
        <v>343</v>
      </c>
      <c r="E56" s="256">
        <f>IFERROR(aurora_data!D1776,0)</f>
        <v>0</v>
      </c>
      <c r="F56" s="257">
        <f>IFERROR(aurora_data!E1776,0)</f>
        <v>0</v>
      </c>
      <c r="G56" s="257">
        <f>IFERROR(aurora_data!F1776,0)</f>
        <v>0</v>
      </c>
      <c r="H56" s="257">
        <f>IFERROR(aurora_data!G1776,0)</f>
        <v>0</v>
      </c>
      <c r="I56" s="258">
        <f>IFERROR(aurora_data!H1776,0)</f>
        <v>0</v>
      </c>
      <c r="J56" s="256">
        <f>IFERROR(aurora_data!I1776,0)</f>
        <v>0</v>
      </c>
      <c r="K56" s="257">
        <f>IFERROR(aurora_data!J1776,0)</f>
        <v>0</v>
      </c>
      <c r="L56" s="257">
        <f>IFERROR(aurora_data!K1776,0)</f>
        <v>0</v>
      </c>
      <c r="M56" s="257">
        <f>IFERROR(aurora_data!L1776,0)</f>
        <v>0</v>
      </c>
      <c r="N56" s="258">
        <f>IFERROR(aurora_data!M1776,0)</f>
        <v>0</v>
      </c>
      <c r="O56" s="256">
        <f>IFERROR(aurora_data!N1776,0)</f>
        <v>0</v>
      </c>
      <c r="P56" s="257">
        <f>IFERROR(aurora_data!O1776,0)</f>
        <v>0</v>
      </c>
      <c r="Q56" s="257">
        <f>IFERROR(aurora_data!P1776,0)</f>
        <v>0</v>
      </c>
      <c r="R56" s="258">
        <f>IFERROR(aurora_data!Q1776,0)</f>
        <v>0</v>
      </c>
      <c r="S56" s="257">
        <f>IFERROR(aurora_data!R1776,0)</f>
        <v>0</v>
      </c>
      <c r="T56" s="257">
        <f>IFERROR(aurora_data!S1776,0)</f>
        <v>0</v>
      </c>
      <c r="U56" s="259">
        <f>IFERROR(aurora_data!T1376,0)</f>
        <v>0</v>
      </c>
      <c r="V56" s="260" t="s">
        <v>354</v>
      </c>
      <c r="W56" s="256">
        <f>IFERROR(aurora_data!U1776,0)</f>
        <v>0</v>
      </c>
      <c r="X56" s="261">
        <f t="shared" si="9"/>
        <v>0</v>
      </c>
      <c r="Y56" s="2"/>
      <c r="AA56" s="452"/>
      <c r="AB56" s="454"/>
      <c r="AC56" s="38" t="s">
        <v>343</v>
      </c>
      <c r="AD56" s="256">
        <f>IFERROR(aurora_data!D1776,0)+IFERROR(aurora_data!E1776,0)</f>
        <v>0</v>
      </c>
      <c r="AE56" s="257">
        <f>IFERROR(aurora_data!F1776,0)</f>
        <v>0</v>
      </c>
      <c r="AF56" s="257">
        <f>IFERROR(aurora_data!G1776,0)</f>
        <v>0</v>
      </c>
      <c r="AG56" s="257">
        <f>IFERROR(aurora_data!H1776,0)</f>
        <v>0</v>
      </c>
      <c r="AH56" s="260" t="s">
        <v>354</v>
      </c>
      <c r="AI56" s="256">
        <f>IFERROR(aurora_data!U1776,0)</f>
        <v>0</v>
      </c>
      <c r="AJ56" s="261">
        <f t="shared" si="8"/>
        <v>0</v>
      </c>
    </row>
    <row r="57" spans="1:36" customFormat="1">
      <c r="A57" s="2"/>
      <c r="B57" s="560" t="s">
        <v>362</v>
      </c>
      <c r="C57" s="453" t="str">
        <f>aurora_data!A1777</f>
        <v>11.00.00-11.11.30</v>
      </c>
      <c r="D57" s="34" t="s">
        <v>306</v>
      </c>
      <c r="E57" s="39">
        <f>IFERROR(aurora_data!D1777,0)</f>
        <v>0.3</v>
      </c>
      <c r="F57" s="40">
        <f>IFERROR(aurora_data!E1777,0)</f>
        <v>0.52</v>
      </c>
      <c r="G57" s="40">
        <f>IFERROR(aurora_data!F1777,0)</f>
        <v>1.78</v>
      </c>
      <c r="H57" s="40">
        <f>IFERROR(aurora_data!G1777,0)</f>
        <v>2.88</v>
      </c>
      <c r="I57" s="41">
        <f>IFERROR(aurora_data!H1777,0)</f>
        <v>3.52</v>
      </c>
      <c r="J57" s="39">
        <f>IFERROR(aurora_data!I1777,0)</f>
        <v>1</v>
      </c>
      <c r="K57" s="40">
        <f>IFERROR(aurora_data!J1777,0)</f>
        <v>1</v>
      </c>
      <c r="L57" s="40">
        <f>IFERROR(aurora_data!K1777,0)</f>
        <v>1</v>
      </c>
      <c r="M57" s="40">
        <f>IFERROR(aurora_data!L1777,0)</f>
        <v>1</v>
      </c>
      <c r="N57" s="41">
        <f>IFERROR(aurora_data!M1777,0)</f>
        <v>1</v>
      </c>
      <c r="O57" s="39">
        <f>IFERROR(aurora_data!N1777,0)</f>
        <v>1</v>
      </c>
      <c r="P57" s="40">
        <f>IFERROR(aurora_data!O1777,0)</f>
        <v>1</v>
      </c>
      <c r="Q57" s="40">
        <f>IFERROR(aurora_data!P1777,0)</f>
        <v>1</v>
      </c>
      <c r="R57" s="41">
        <f>IFERROR(aurora_data!Q1777,0)</f>
        <v>1</v>
      </c>
      <c r="S57" s="40">
        <f>IFERROR(aurora_data!R1777,0)</f>
        <v>1</v>
      </c>
      <c r="T57" s="40">
        <f>IFERROR(aurora_data!S1777,0)</f>
        <v>1</v>
      </c>
      <c r="U57" s="41">
        <f>IFERROR(aurora_data!T1377,0)</f>
        <v>0</v>
      </c>
      <c r="V57" s="61" t="s">
        <v>354</v>
      </c>
      <c r="W57" s="39">
        <f>IFERROR(aurora_data!U1777,0)</f>
        <v>9</v>
      </c>
      <c r="X57" s="69">
        <f>IFERROR(W57/$W$57,0)</f>
        <v>1</v>
      </c>
      <c r="Y57" s="2"/>
      <c r="AA57" s="451" t="s">
        <v>338</v>
      </c>
      <c r="AB57" s="453" t="str">
        <f>aurora_data!A1777</f>
        <v>11.00.00-11.11.30</v>
      </c>
      <c r="AC57" s="34" t="s">
        <v>306</v>
      </c>
      <c r="AD57" s="338">
        <v>2</v>
      </c>
      <c r="AE57" s="40">
        <v>2</v>
      </c>
      <c r="AF57" s="337">
        <v>2</v>
      </c>
      <c r="AG57" s="337">
        <v>3</v>
      </c>
      <c r="AH57" s="61" t="s">
        <v>354</v>
      </c>
      <c r="AI57" s="39">
        <f>IFERROR(aurora_data!U1777,0)</f>
        <v>9</v>
      </c>
      <c r="AJ57" s="69">
        <f t="shared" ref="AJ57:AJ65" si="10">IFERROR(AI57/$AI$57,0)</f>
        <v>1</v>
      </c>
    </row>
    <row r="58" spans="1:36" customFormat="1">
      <c r="A58" s="2"/>
      <c r="B58" s="561"/>
      <c r="C58" s="454"/>
      <c r="D58" s="35" t="s">
        <v>339</v>
      </c>
      <c r="E58" s="113">
        <f>IFERROR(aurora_data!D1778,0)</f>
        <v>1</v>
      </c>
      <c r="F58" s="253">
        <f>IFERROR(aurora_data!E1778,0)</f>
        <v>1</v>
      </c>
      <c r="G58" s="253">
        <f>IFERROR(aurora_data!F1778,0)</f>
        <v>2</v>
      </c>
      <c r="H58" s="253">
        <f>IFERROR(aurora_data!G1778,0)</f>
        <v>2</v>
      </c>
      <c r="I58" s="254">
        <f>IFERROR(aurora_data!H1778,0)</f>
        <v>3</v>
      </c>
      <c r="J58" s="113">
        <f>IFERROR(aurora_data!I1778,0)</f>
        <v>0</v>
      </c>
      <c r="K58" s="253">
        <f>IFERROR(aurora_data!J1778,0)</f>
        <v>3</v>
      </c>
      <c r="L58" s="253">
        <f>IFERROR(aurora_data!K1778,0)</f>
        <v>2</v>
      </c>
      <c r="M58" s="253">
        <f>IFERROR(aurora_data!L1778,0)</f>
        <v>2</v>
      </c>
      <c r="N58" s="254">
        <f>IFERROR(aurora_data!M1778,0)</f>
        <v>2</v>
      </c>
      <c r="O58" s="113">
        <f>IFERROR(aurora_data!N1778,0)</f>
        <v>3</v>
      </c>
      <c r="P58" s="253">
        <f>IFERROR(aurora_data!O1778,0)</f>
        <v>2</v>
      </c>
      <c r="Q58" s="253">
        <f>IFERROR(aurora_data!P1778,0)</f>
        <v>3</v>
      </c>
      <c r="R58" s="254">
        <f>IFERROR(aurora_data!Q1778,0)</f>
        <v>1</v>
      </c>
      <c r="S58" s="253">
        <f>IFERROR(aurora_data!R1778,0)</f>
        <v>5</v>
      </c>
      <c r="T58" s="253">
        <f>IFERROR(aurora_data!S1778,0)</f>
        <v>4</v>
      </c>
      <c r="U58" s="254">
        <f>IFERROR(aurora_data!T1378,0)</f>
        <v>0</v>
      </c>
      <c r="V58" s="61" t="s">
        <v>354</v>
      </c>
      <c r="W58" s="113">
        <f>IFERROR(aurora_data!U1778,0)</f>
        <v>9</v>
      </c>
      <c r="X58" s="255">
        <f t="shared" ref="X58:X65" si="11">IFERROR(W58/$W$57,0)</f>
        <v>1</v>
      </c>
      <c r="Y58" s="2"/>
      <c r="AA58" s="452"/>
      <c r="AB58" s="454"/>
      <c r="AC58" s="35" t="s">
        <v>339</v>
      </c>
      <c r="AD58" s="113">
        <f>IFERROR(aurora_data!D1778,0)+IFERROR(aurora_data!E1778,0)</f>
        <v>2</v>
      </c>
      <c r="AE58" s="253">
        <f>IFERROR(aurora_data!F1778,0)</f>
        <v>2</v>
      </c>
      <c r="AF58" s="253">
        <f>IFERROR(aurora_data!G1778,0)</f>
        <v>2</v>
      </c>
      <c r="AG58" s="253">
        <f>IFERROR(aurora_data!H1778,0)</f>
        <v>3</v>
      </c>
      <c r="AH58" s="61" t="s">
        <v>354</v>
      </c>
      <c r="AI58" s="113">
        <f>IFERROR(aurora_data!U1778,0)</f>
        <v>9</v>
      </c>
      <c r="AJ58" s="255">
        <f t="shared" si="10"/>
        <v>1</v>
      </c>
    </row>
    <row r="59" spans="1:36" customFormat="1">
      <c r="A59" s="2"/>
      <c r="B59" s="561"/>
      <c r="C59" s="454"/>
      <c r="D59" s="35" t="s">
        <v>291</v>
      </c>
      <c r="E59" s="113">
        <f>IFERROR(aurora_data!D1779,0)</f>
        <v>0</v>
      </c>
      <c r="F59" s="253">
        <f>IFERROR(aurora_data!E1779,0)</f>
        <v>0</v>
      </c>
      <c r="G59" s="253">
        <f>IFERROR(aurora_data!F1779,0)</f>
        <v>0</v>
      </c>
      <c r="H59" s="253">
        <f>IFERROR(aurora_data!G1779,0)</f>
        <v>1</v>
      </c>
      <c r="I59" s="254">
        <f>IFERROR(aurora_data!H1779,0)</f>
        <v>1</v>
      </c>
      <c r="J59" s="113">
        <f>IFERROR(aurora_data!I1779,0)</f>
        <v>0</v>
      </c>
      <c r="K59" s="253">
        <f>IFERROR(aurora_data!J1779,0)</f>
        <v>1</v>
      </c>
      <c r="L59" s="253">
        <f>IFERROR(aurora_data!K1779,0)</f>
        <v>0</v>
      </c>
      <c r="M59" s="253">
        <f>IFERROR(aurora_data!L1779,0)</f>
        <v>0</v>
      </c>
      <c r="N59" s="254">
        <f>IFERROR(aurora_data!M1779,0)</f>
        <v>1</v>
      </c>
      <c r="O59" s="113">
        <f>IFERROR(aurora_data!N1779,0)</f>
        <v>1</v>
      </c>
      <c r="P59" s="253">
        <f>IFERROR(aurora_data!O1779,0)</f>
        <v>1</v>
      </c>
      <c r="Q59" s="253">
        <f>IFERROR(aurora_data!P1779,0)</f>
        <v>0</v>
      </c>
      <c r="R59" s="254">
        <f>IFERROR(aurora_data!Q1779,0)</f>
        <v>0</v>
      </c>
      <c r="S59" s="253">
        <f>IFERROR(aurora_data!R1779,0)</f>
        <v>2</v>
      </c>
      <c r="T59" s="253">
        <f>IFERROR(aurora_data!S1779,0)</f>
        <v>0</v>
      </c>
      <c r="U59" s="254">
        <f>IFERROR(aurora_data!T1379,0)</f>
        <v>0</v>
      </c>
      <c r="V59" s="61" t="s">
        <v>354</v>
      </c>
      <c r="W59" s="113">
        <f>IFERROR(aurora_data!U1779,0)</f>
        <v>2</v>
      </c>
      <c r="X59" s="255">
        <f t="shared" si="11"/>
        <v>0.22222222222222221</v>
      </c>
      <c r="Y59" s="2"/>
      <c r="AA59" s="452"/>
      <c r="AB59" s="454"/>
      <c r="AC59" s="35" t="s">
        <v>291</v>
      </c>
      <c r="AD59" s="113">
        <f>IFERROR(aurora_data!D1779,0)+IFERROR(aurora_data!E1779,0)</f>
        <v>0</v>
      </c>
      <c r="AE59" s="253">
        <f>IFERROR(aurora_data!F1779,0)</f>
        <v>0</v>
      </c>
      <c r="AF59" s="253">
        <f>IFERROR(aurora_data!G1779,0)</f>
        <v>1</v>
      </c>
      <c r="AG59" s="253">
        <f>IFERROR(aurora_data!H1779,0)</f>
        <v>1</v>
      </c>
      <c r="AH59" s="61" t="s">
        <v>354</v>
      </c>
      <c r="AI59" s="113">
        <f>IFERROR(aurora_data!U1779,0)</f>
        <v>2</v>
      </c>
      <c r="AJ59" s="255">
        <f t="shared" si="10"/>
        <v>0.22222222222222221</v>
      </c>
    </row>
    <row r="60" spans="1:36" customFormat="1">
      <c r="A60" s="2"/>
      <c r="B60" s="561"/>
      <c r="C60" s="454"/>
      <c r="D60" s="35" t="s">
        <v>340</v>
      </c>
      <c r="E60" s="113">
        <f>IFERROR(aurora_data!D1780,0)</f>
        <v>0</v>
      </c>
      <c r="F60" s="253">
        <f>IFERROR(aurora_data!E1780,0)</f>
        <v>0</v>
      </c>
      <c r="G60" s="253">
        <f>IFERROR(aurora_data!F1780,0)</f>
        <v>0</v>
      </c>
      <c r="H60" s="253">
        <f>IFERROR(aurora_data!G1780,0)</f>
        <v>0</v>
      </c>
      <c r="I60" s="254">
        <f>IFERROR(aurora_data!H1780,0)</f>
        <v>0</v>
      </c>
      <c r="J60" s="113">
        <f>IFERROR(aurora_data!I1780,0)</f>
        <v>0</v>
      </c>
      <c r="K60" s="253">
        <f>IFERROR(aurora_data!J1780,0)</f>
        <v>0</v>
      </c>
      <c r="L60" s="253">
        <f>IFERROR(aurora_data!K1780,0)</f>
        <v>0</v>
      </c>
      <c r="M60" s="253">
        <f>IFERROR(aurora_data!L1780,0)</f>
        <v>0</v>
      </c>
      <c r="N60" s="254">
        <f>IFERROR(aurora_data!M1780,0)</f>
        <v>0</v>
      </c>
      <c r="O60" s="113">
        <f>IFERROR(aurora_data!N1780,0)</f>
        <v>0</v>
      </c>
      <c r="P60" s="253">
        <f>IFERROR(aurora_data!O1780,0)</f>
        <v>0</v>
      </c>
      <c r="Q60" s="253">
        <f>IFERROR(aurora_data!P1780,0)</f>
        <v>0</v>
      </c>
      <c r="R60" s="254">
        <f>IFERROR(aurora_data!Q1780,0)</f>
        <v>0</v>
      </c>
      <c r="S60" s="253">
        <f>IFERROR(aurora_data!R1780,0)</f>
        <v>0</v>
      </c>
      <c r="T60" s="253">
        <f>IFERROR(aurora_data!S1780,0)</f>
        <v>0</v>
      </c>
      <c r="U60" s="254">
        <f>IFERROR(aurora_data!T1380,0)</f>
        <v>0</v>
      </c>
      <c r="V60" s="61" t="s">
        <v>354</v>
      </c>
      <c r="W60" s="113">
        <f>IFERROR(aurora_data!U1780,0)</f>
        <v>0</v>
      </c>
      <c r="X60" s="255">
        <f t="shared" si="11"/>
        <v>0</v>
      </c>
      <c r="Y60" s="2"/>
      <c r="AA60" s="452"/>
      <c r="AB60" s="454"/>
      <c r="AC60" s="35" t="s">
        <v>340</v>
      </c>
      <c r="AD60" s="113">
        <f>IFERROR(aurora_data!D1780,0)+IFERROR(aurora_data!E1780,0)</f>
        <v>0</v>
      </c>
      <c r="AE60" s="253">
        <f>IFERROR(aurora_data!F1780,0)</f>
        <v>0</v>
      </c>
      <c r="AF60" s="253">
        <f>IFERROR(aurora_data!G1780,0)</f>
        <v>0</v>
      </c>
      <c r="AG60" s="253">
        <f>IFERROR(aurora_data!H1780,0)</f>
        <v>0</v>
      </c>
      <c r="AH60" s="61" t="s">
        <v>354</v>
      </c>
      <c r="AI60" s="113">
        <f>IFERROR(aurora_data!U1780,0)</f>
        <v>0</v>
      </c>
      <c r="AJ60" s="255">
        <f t="shared" si="10"/>
        <v>0</v>
      </c>
    </row>
    <row r="61" spans="1:36" customFormat="1">
      <c r="A61" s="2"/>
      <c r="B61" s="561"/>
      <c r="C61" s="454"/>
      <c r="D61" s="35" t="s">
        <v>298</v>
      </c>
      <c r="E61" s="113">
        <f>IFERROR(aurora_data!D1781,0)</f>
        <v>0</v>
      </c>
      <c r="F61" s="253">
        <f>IFERROR(aurora_data!E1781,0)</f>
        <v>0</v>
      </c>
      <c r="G61" s="253">
        <f>IFERROR(aurora_data!F1781,0)</f>
        <v>0</v>
      </c>
      <c r="H61" s="253">
        <f>IFERROR(aurora_data!G1781,0)</f>
        <v>0</v>
      </c>
      <c r="I61" s="254">
        <f>IFERROR(aurora_data!H1781,0)</f>
        <v>1</v>
      </c>
      <c r="J61" s="113">
        <f>IFERROR(aurora_data!I1781,0)</f>
        <v>1</v>
      </c>
      <c r="K61" s="253">
        <f>IFERROR(aurora_data!J1781,0)</f>
        <v>0</v>
      </c>
      <c r="L61" s="253">
        <f>IFERROR(aurora_data!K1781,0)</f>
        <v>0</v>
      </c>
      <c r="M61" s="253">
        <f>IFERROR(aurora_data!L1781,0)</f>
        <v>0</v>
      </c>
      <c r="N61" s="254">
        <f>IFERROR(aurora_data!M1781,0)</f>
        <v>0</v>
      </c>
      <c r="O61" s="113">
        <f>IFERROR(aurora_data!N1781,0)</f>
        <v>0</v>
      </c>
      <c r="P61" s="253">
        <f>IFERROR(aurora_data!O1781,0)</f>
        <v>0</v>
      </c>
      <c r="Q61" s="253">
        <f>IFERROR(aurora_data!P1781,0)</f>
        <v>1</v>
      </c>
      <c r="R61" s="254">
        <f>IFERROR(aurora_data!Q1781,0)</f>
        <v>0</v>
      </c>
      <c r="S61" s="253">
        <f>IFERROR(aurora_data!R1781,0)</f>
        <v>0</v>
      </c>
      <c r="T61" s="253">
        <f>IFERROR(aurora_data!S1781,0)</f>
        <v>1</v>
      </c>
      <c r="U61" s="254">
        <f>IFERROR(aurora_data!T1381,0)</f>
        <v>0</v>
      </c>
      <c r="V61" s="61" t="s">
        <v>354</v>
      </c>
      <c r="W61" s="113">
        <f>IFERROR(aurora_data!U1781,0)</f>
        <v>1</v>
      </c>
      <c r="X61" s="255">
        <f t="shared" si="11"/>
        <v>0.1111111111111111</v>
      </c>
      <c r="Y61" s="2"/>
      <c r="AA61" s="452"/>
      <c r="AB61" s="454"/>
      <c r="AC61" s="35" t="s">
        <v>298</v>
      </c>
      <c r="AD61" s="113">
        <f>IFERROR(aurora_data!D1781,0)+IFERROR(aurora_data!E1781,0)</f>
        <v>0</v>
      </c>
      <c r="AE61" s="253">
        <f>IFERROR(aurora_data!F1781,0)</f>
        <v>0</v>
      </c>
      <c r="AF61" s="253">
        <f>IFERROR(aurora_data!G1781,0)</f>
        <v>0</v>
      </c>
      <c r="AG61" s="253">
        <f>IFERROR(aurora_data!H1781,0)</f>
        <v>1</v>
      </c>
      <c r="AH61" s="61" t="s">
        <v>354</v>
      </c>
      <c r="AI61" s="113">
        <f>IFERROR(aurora_data!U1781,0)</f>
        <v>1</v>
      </c>
      <c r="AJ61" s="255">
        <f t="shared" si="10"/>
        <v>0.1111111111111111</v>
      </c>
    </row>
    <row r="62" spans="1:36" customFormat="1">
      <c r="A62" s="2"/>
      <c r="B62" s="561"/>
      <c r="C62" s="454"/>
      <c r="D62" s="35" t="s">
        <v>341</v>
      </c>
      <c r="E62" s="113">
        <f>IFERROR(aurora_data!D1782,0)</f>
        <v>0</v>
      </c>
      <c r="F62" s="253">
        <f>IFERROR(aurora_data!E1782,0)</f>
        <v>0</v>
      </c>
      <c r="G62" s="253">
        <f>IFERROR(aurora_data!F1782,0)</f>
        <v>0</v>
      </c>
      <c r="H62" s="253">
        <f>IFERROR(aurora_data!G1782,0)</f>
        <v>0</v>
      </c>
      <c r="I62" s="254">
        <f>IFERROR(aurora_data!H1782,0)</f>
        <v>0</v>
      </c>
      <c r="J62" s="113">
        <f>IFERROR(aurora_data!I1782,0)</f>
        <v>0</v>
      </c>
      <c r="K62" s="253">
        <f>IFERROR(aurora_data!J1782,0)</f>
        <v>0</v>
      </c>
      <c r="L62" s="253">
        <f>IFERROR(aurora_data!K1782,0)</f>
        <v>0</v>
      </c>
      <c r="M62" s="253">
        <f>IFERROR(aurora_data!L1782,0)</f>
        <v>0</v>
      </c>
      <c r="N62" s="254">
        <f>IFERROR(aurora_data!M1782,0)</f>
        <v>0</v>
      </c>
      <c r="O62" s="113">
        <f>IFERROR(aurora_data!N1782,0)</f>
        <v>0</v>
      </c>
      <c r="P62" s="253">
        <f>IFERROR(aurora_data!O1782,0)</f>
        <v>0</v>
      </c>
      <c r="Q62" s="253">
        <f>IFERROR(aurora_data!P1782,0)</f>
        <v>0</v>
      </c>
      <c r="R62" s="254">
        <f>IFERROR(aurora_data!Q1782,0)</f>
        <v>0</v>
      </c>
      <c r="S62" s="253">
        <f>IFERROR(aurora_data!R1782,0)</f>
        <v>0</v>
      </c>
      <c r="T62" s="253">
        <f>IFERROR(aurora_data!S1782,0)</f>
        <v>0</v>
      </c>
      <c r="U62" s="254">
        <f>IFERROR(aurora_data!T1382,0)</f>
        <v>0</v>
      </c>
      <c r="V62" s="61" t="s">
        <v>354</v>
      </c>
      <c r="W62" s="113">
        <f>IFERROR(aurora_data!U1782,0)</f>
        <v>0</v>
      </c>
      <c r="X62" s="255">
        <f t="shared" si="11"/>
        <v>0</v>
      </c>
      <c r="Y62" s="2"/>
      <c r="AA62" s="452"/>
      <c r="AB62" s="454"/>
      <c r="AC62" s="35" t="s">
        <v>341</v>
      </c>
      <c r="AD62" s="113">
        <f>IFERROR(aurora_data!D1782,0)+IFERROR(aurora_data!E1782,0)</f>
        <v>0</v>
      </c>
      <c r="AE62" s="253">
        <f>IFERROR(aurora_data!F1782,0)</f>
        <v>0</v>
      </c>
      <c r="AF62" s="253">
        <f>IFERROR(aurora_data!G1782,0)</f>
        <v>0</v>
      </c>
      <c r="AG62" s="253">
        <f>IFERROR(aurora_data!H1782,0)</f>
        <v>0</v>
      </c>
      <c r="AH62" s="61" t="s">
        <v>354</v>
      </c>
      <c r="AI62" s="113">
        <f>IFERROR(aurora_data!U1782,0)</f>
        <v>0</v>
      </c>
      <c r="AJ62" s="255">
        <f t="shared" si="10"/>
        <v>0</v>
      </c>
    </row>
    <row r="63" spans="1:36" customFormat="1" ht="16.5" thickBot="1">
      <c r="A63" s="2"/>
      <c r="B63" s="561"/>
      <c r="C63" s="454"/>
      <c r="D63" s="35" t="s">
        <v>342</v>
      </c>
      <c r="E63" s="113">
        <f>IFERROR(aurora_data!D1783,0)</f>
        <v>0</v>
      </c>
      <c r="F63" s="253">
        <f>IFERROR(aurora_data!E1783,0)</f>
        <v>0</v>
      </c>
      <c r="G63" s="253">
        <f>IFERROR(aurora_data!F1783,0)</f>
        <v>0</v>
      </c>
      <c r="H63" s="253">
        <f>IFERROR(aurora_data!G1783,0)</f>
        <v>0</v>
      </c>
      <c r="I63" s="254">
        <f>IFERROR(aurora_data!H1783,0)</f>
        <v>0</v>
      </c>
      <c r="J63" s="113">
        <f>IFERROR(aurora_data!I1783,0)</f>
        <v>0</v>
      </c>
      <c r="K63" s="253">
        <f>IFERROR(aurora_data!J1783,0)</f>
        <v>0</v>
      </c>
      <c r="L63" s="253">
        <f>IFERROR(aurora_data!K1783,0)</f>
        <v>0</v>
      </c>
      <c r="M63" s="253">
        <f>IFERROR(aurora_data!L1783,0)</f>
        <v>0</v>
      </c>
      <c r="N63" s="254">
        <f>IFERROR(aurora_data!M1783,0)</f>
        <v>0</v>
      </c>
      <c r="O63" s="113">
        <f>IFERROR(aurora_data!N1783,0)</f>
        <v>0</v>
      </c>
      <c r="P63" s="253">
        <f>IFERROR(aurora_data!O1783,0)</f>
        <v>0</v>
      </c>
      <c r="Q63" s="253">
        <f>IFERROR(aurora_data!P1783,0)</f>
        <v>0</v>
      </c>
      <c r="R63" s="254">
        <f>IFERROR(aurora_data!Q1783,0)</f>
        <v>0</v>
      </c>
      <c r="S63" s="253">
        <f>IFERROR(aurora_data!R1783,0)</f>
        <v>0</v>
      </c>
      <c r="T63" s="253">
        <f>IFERROR(aurora_data!S1783,0)</f>
        <v>0</v>
      </c>
      <c r="U63" s="254">
        <f>IFERROR(aurora_data!T1383,0)</f>
        <v>0</v>
      </c>
      <c r="V63" s="61" t="s">
        <v>354</v>
      </c>
      <c r="W63" s="113">
        <f>IFERROR(aurora_data!U1783,0)</f>
        <v>0</v>
      </c>
      <c r="X63" s="255">
        <f t="shared" si="11"/>
        <v>0</v>
      </c>
      <c r="Y63" s="2"/>
      <c r="AA63" s="452"/>
      <c r="AB63" s="454"/>
      <c r="AC63" s="35" t="s">
        <v>342</v>
      </c>
      <c r="AD63" s="113">
        <f>IFERROR(aurora_data!D1783,0)+IFERROR(aurora_data!E1783,0)</f>
        <v>0</v>
      </c>
      <c r="AE63" s="253">
        <f>IFERROR(aurora_data!F1783,0)</f>
        <v>0</v>
      </c>
      <c r="AF63" s="253">
        <f>IFERROR(aurora_data!G1783,0)</f>
        <v>0</v>
      </c>
      <c r="AG63" s="253">
        <f>IFERROR(aurora_data!H1783,0)</f>
        <v>0</v>
      </c>
      <c r="AH63" s="61" t="s">
        <v>354</v>
      </c>
      <c r="AI63" s="113">
        <f>IFERROR(aurora_data!U1783,0)</f>
        <v>0</v>
      </c>
      <c r="AJ63" s="255">
        <f t="shared" si="10"/>
        <v>0</v>
      </c>
    </row>
    <row r="64" spans="1:36" customFormat="1" ht="16.5" thickBot="1">
      <c r="A64" s="2"/>
      <c r="B64" s="561"/>
      <c r="C64" s="454"/>
      <c r="D64" s="37" t="s">
        <v>17</v>
      </c>
      <c r="E64" s="59">
        <f>IFERROR(aurora_data!D1784,0)</f>
        <v>1</v>
      </c>
      <c r="F64" s="64">
        <f>IFERROR(aurora_data!E1784,0)</f>
        <v>1</v>
      </c>
      <c r="G64" s="64">
        <f>IFERROR(aurora_data!F1784,0)</f>
        <v>2</v>
      </c>
      <c r="H64" s="64">
        <f>IFERROR(aurora_data!G1784,0)</f>
        <v>3</v>
      </c>
      <c r="I64" s="65">
        <f>IFERROR(aurora_data!H1784,0)</f>
        <v>5</v>
      </c>
      <c r="J64" s="59">
        <f>IFERROR(aurora_data!I1784,0)</f>
        <v>1</v>
      </c>
      <c r="K64" s="64">
        <f>IFERROR(aurora_data!J1784,0)</f>
        <v>4</v>
      </c>
      <c r="L64" s="64">
        <f>IFERROR(aurora_data!K1784,0)</f>
        <v>2</v>
      </c>
      <c r="M64" s="64">
        <f>IFERROR(aurora_data!L1784,0)</f>
        <v>2</v>
      </c>
      <c r="N64" s="65">
        <f>IFERROR(aurora_data!M1784,0)</f>
        <v>3</v>
      </c>
      <c r="O64" s="59">
        <f>IFERROR(aurora_data!N1784,0)</f>
        <v>4</v>
      </c>
      <c r="P64" s="64">
        <f>IFERROR(aurora_data!O1784,0)</f>
        <v>3</v>
      </c>
      <c r="Q64" s="64">
        <f>IFERROR(aurora_data!P1784,0)</f>
        <v>4</v>
      </c>
      <c r="R64" s="65">
        <f>IFERROR(aurora_data!Q1784,0)</f>
        <v>1</v>
      </c>
      <c r="S64" s="64">
        <f>IFERROR(aurora_data!R1784,0)</f>
        <v>7</v>
      </c>
      <c r="T64" s="64">
        <f>IFERROR(aurora_data!S1784,0)</f>
        <v>5</v>
      </c>
      <c r="U64" s="65">
        <f>IFERROR(aurora_data!T1384,0)</f>
        <v>0</v>
      </c>
      <c r="V64" s="66" t="s">
        <v>354</v>
      </c>
      <c r="W64" s="59">
        <f>IFERROR(aurora_data!U1784,0)</f>
        <v>12</v>
      </c>
      <c r="X64" s="70">
        <f t="shared" si="11"/>
        <v>1.3333333333333333</v>
      </c>
      <c r="Y64" s="2"/>
      <c r="AA64" s="452"/>
      <c r="AB64" s="454"/>
      <c r="AC64" s="37" t="s">
        <v>17</v>
      </c>
      <c r="AD64" s="59">
        <f>IFERROR(aurora_data!D1784,0)+IFERROR(aurora_data!E1784,0)</f>
        <v>2</v>
      </c>
      <c r="AE64" s="64">
        <f>IFERROR(aurora_data!F1784,0)</f>
        <v>2</v>
      </c>
      <c r="AF64" s="64">
        <f>IFERROR(aurora_data!G1784,0)</f>
        <v>3</v>
      </c>
      <c r="AG64" s="64">
        <f>IFERROR(aurora_data!H1784,0)</f>
        <v>5</v>
      </c>
      <c r="AH64" s="66" t="s">
        <v>354</v>
      </c>
      <c r="AI64" s="59">
        <f>IFERROR(aurora_data!U1784,0)</f>
        <v>12</v>
      </c>
      <c r="AJ64" s="70">
        <f t="shared" si="10"/>
        <v>1.3333333333333333</v>
      </c>
    </row>
    <row r="65" spans="1:36" customFormat="1" ht="16.5" thickBot="1">
      <c r="A65" s="2"/>
      <c r="B65" s="561"/>
      <c r="C65" s="454"/>
      <c r="D65" s="38" t="s">
        <v>343</v>
      </c>
      <c r="E65" s="256">
        <f>IFERROR(aurora_data!D1785,0)</f>
        <v>0</v>
      </c>
      <c r="F65" s="257">
        <f>IFERROR(aurora_data!E1785,0)</f>
        <v>0</v>
      </c>
      <c r="G65" s="257">
        <f>IFERROR(aurora_data!F1785,0)</f>
        <v>0</v>
      </c>
      <c r="H65" s="257">
        <f>IFERROR(aurora_data!G1785,0)</f>
        <v>0</v>
      </c>
      <c r="I65" s="258">
        <f>IFERROR(aurora_data!H1785,0)</f>
        <v>0</v>
      </c>
      <c r="J65" s="256">
        <f>IFERROR(aurora_data!I1785,0)</f>
        <v>0</v>
      </c>
      <c r="K65" s="257">
        <f>IFERROR(aurora_data!J1785,0)</f>
        <v>0</v>
      </c>
      <c r="L65" s="257">
        <f>IFERROR(aurora_data!K1785,0)</f>
        <v>0</v>
      </c>
      <c r="M65" s="257">
        <f>IFERROR(aurora_data!L1785,0)</f>
        <v>0</v>
      </c>
      <c r="N65" s="258">
        <f>IFERROR(aurora_data!M1785,0)</f>
        <v>0</v>
      </c>
      <c r="O65" s="256">
        <f>IFERROR(aurora_data!N1785,0)</f>
        <v>0</v>
      </c>
      <c r="P65" s="257">
        <f>IFERROR(aurora_data!O1785,0)</f>
        <v>0</v>
      </c>
      <c r="Q65" s="257">
        <f>IFERROR(aurora_data!P1785,0)</f>
        <v>0</v>
      </c>
      <c r="R65" s="258">
        <f>IFERROR(aurora_data!Q1785,0)</f>
        <v>0</v>
      </c>
      <c r="S65" s="257">
        <f>IFERROR(aurora_data!R1785,0)</f>
        <v>0</v>
      </c>
      <c r="T65" s="257">
        <f>IFERROR(aurora_data!S1785,0)</f>
        <v>0</v>
      </c>
      <c r="U65" s="259">
        <f>IFERROR(aurora_data!T1385,0)</f>
        <v>0</v>
      </c>
      <c r="V65" s="260" t="s">
        <v>354</v>
      </c>
      <c r="W65" s="256">
        <f>IFERROR(aurora_data!U1785,0)</f>
        <v>0</v>
      </c>
      <c r="X65" s="261">
        <f t="shared" si="11"/>
        <v>0</v>
      </c>
      <c r="Y65" s="2"/>
      <c r="AA65" s="452"/>
      <c r="AB65" s="454"/>
      <c r="AC65" s="38" t="s">
        <v>343</v>
      </c>
      <c r="AD65" s="256">
        <f>IFERROR(aurora_data!D1785,0)+IFERROR(aurora_data!E1785,0)</f>
        <v>0</v>
      </c>
      <c r="AE65" s="257">
        <f>IFERROR(aurora_data!F1785,0)</f>
        <v>0</v>
      </c>
      <c r="AF65" s="257">
        <f>IFERROR(aurora_data!G1785,0)</f>
        <v>0</v>
      </c>
      <c r="AG65" s="257">
        <f>IFERROR(aurora_data!H1785,0)</f>
        <v>0</v>
      </c>
      <c r="AH65" s="260" t="s">
        <v>354</v>
      </c>
      <c r="AI65" s="256">
        <f>IFERROR(aurora_data!U1785,0)</f>
        <v>0</v>
      </c>
      <c r="AJ65" s="261">
        <f t="shared" si="10"/>
        <v>0</v>
      </c>
    </row>
    <row r="66" spans="1:36" customFormat="1">
      <c r="A66" s="2"/>
      <c r="B66" s="451" t="s">
        <v>338</v>
      </c>
      <c r="C66" s="453" t="str">
        <f>aurora_data!A1786</f>
        <v>12.00.00-12.11.30</v>
      </c>
      <c r="D66" s="34" t="s">
        <v>306</v>
      </c>
      <c r="E66" s="39">
        <f>IFERROR(aurora_data!D1786,0)</f>
        <v>0.33</v>
      </c>
      <c r="F66" s="40">
        <f>IFERROR(aurora_data!E1786,0)</f>
        <v>0.53</v>
      </c>
      <c r="G66" s="40">
        <f>IFERROR(aurora_data!F1786,0)</f>
        <v>1.8</v>
      </c>
      <c r="H66" s="40">
        <f>IFERROR(aurora_data!G1786,0)</f>
        <v>2.91</v>
      </c>
      <c r="I66" s="41">
        <f>IFERROR(aurora_data!H1786,0)</f>
        <v>3.44</v>
      </c>
      <c r="J66" s="39">
        <f>IFERROR(aurora_data!I1786,0)</f>
        <v>1</v>
      </c>
      <c r="K66" s="40">
        <f>IFERROR(aurora_data!J1786,0)</f>
        <v>1</v>
      </c>
      <c r="L66" s="40">
        <f>IFERROR(aurora_data!K1786,0)</f>
        <v>1</v>
      </c>
      <c r="M66" s="40">
        <f>IFERROR(aurora_data!L1786,0)</f>
        <v>1</v>
      </c>
      <c r="N66" s="41">
        <f>IFERROR(aurora_data!M1786,0)</f>
        <v>1</v>
      </c>
      <c r="O66" s="39">
        <f>IFERROR(aurora_data!N1786,0)</f>
        <v>1</v>
      </c>
      <c r="P66" s="40">
        <f>IFERROR(aurora_data!O1786,0)</f>
        <v>1</v>
      </c>
      <c r="Q66" s="40">
        <f>IFERROR(aurora_data!P1786,0)</f>
        <v>1</v>
      </c>
      <c r="R66" s="41">
        <f>IFERROR(aurora_data!Q1786,0)</f>
        <v>1</v>
      </c>
      <c r="S66" s="40">
        <f>IFERROR(aurora_data!R1786,0)</f>
        <v>1</v>
      </c>
      <c r="T66" s="40">
        <f>IFERROR(aurora_data!S1786,0)</f>
        <v>1</v>
      </c>
      <c r="U66" s="41">
        <f>IFERROR(aurora_data!T1386,0)</f>
        <v>0</v>
      </c>
      <c r="V66" s="61" t="s">
        <v>354</v>
      </c>
      <c r="W66" s="39">
        <f>IFERROR(aurora_data!U1786,0)</f>
        <v>9</v>
      </c>
      <c r="X66" s="69">
        <f>IFERROR(W66/$W$66,0)</f>
        <v>1</v>
      </c>
      <c r="Y66" s="2"/>
      <c r="AA66" s="451" t="s">
        <v>338</v>
      </c>
      <c r="AB66" s="453" t="str">
        <f>aurora_data!A1786</f>
        <v>12.00.00-12.11.30</v>
      </c>
      <c r="AC66" s="34" t="s">
        <v>306</v>
      </c>
      <c r="AD66" s="338">
        <v>2</v>
      </c>
      <c r="AE66" s="40">
        <v>2</v>
      </c>
      <c r="AF66" s="337">
        <v>2</v>
      </c>
      <c r="AG66" s="337">
        <v>3</v>
      </c>
      <c r="AH66" s="61" t="s">
        <v>354</v>
      </c>
      <c r="AI66" s="39">
        <f>IFERROR(aurora_data!U1786,0)</f>
        <v>9</v>
      </c>
      <c r="AJ66" s="69">
        <f t="shared" ref="AJ66:AJ74" si="12">IFERROR(AI66/$AI$66,0)</f>
        <v>1</v>
      </c>
    </row>
    <row r="67" spans="1:36" customFormat="1">
      <c r="A67" s="2"/>
      <c r="B67" s="452"/>
      <c r="C67" s="454"/>
      <c r="D67" s="35" t="s">
        <v>339</v>
      </c>
      <c r="E67" s="113">
        <f>IFERROR(aurora_data!D1787,0)</f>
        <v>0</v>
      </c>
      <c r="F67" s="253">
        <f>IFERROR(aurora_data!E1787,0)</f>
        <v>1</v>
      </c>
      <c r="G67" s="253">
        <f>IFERROR(aurora_data!F1787,0)</f>
        <v>2</v>
      </c>
      <c r="H67" s="253">
        <f>IFERROR(aurora_data!G1787,0)</f>
        <v>3</v>
      </c>
      <c r="I67" s="254">
        <f>IFERROR(aurora_data!H1787,0)</f>
        <v>2</v>
      </c>
      <c r="J67" s="113">
        <f>IFERROR(aurora_data!I1787,0)</f>
        <v>0</v>
      </c>
      <c r="K67" s="253">
        <f>IFERROR(aurora_data!J1787,0)</f>
        <v>2</v>
      </c>
      <c r="L67" s="253">
        <f>IFERROR(aurora_data!K1787,0)</f>
        <v>4</v>
      </c>
      <c r="M67" s="253">
        <f>IFERROR(aurora_data!L1787,0)</f>
        <v>2</v>
      </c>
      <c r="N67" s="254">
        <f>IFERROR(aurora_data!M1787,0)</f>
        <v>0</v>
      </c>
      <c r="O67" s="113">
        <f>IFERROR(aurora_data!N1787,0)</f>
        <v>2</v>
      </c>
      <c r="P67" s="253">
        <f>IFERROR(aurora_data!O1787,0)</f>
        <v>1</v>
      </c>
      <c r="Q67" s="253">
        <f>IFERROR(aurora_data!P1787,0)</f>
        <v>4</v>
      </c>
      <c r="R67" s="254">
        <f>IFERROR(aurora_data!Q1787,0)</f>
        <v>1</v>
      </c>
      <c r="S67" s="253">
        <f>IFERROR(aurora_data!R1787,0)</f>
        <v>3</v>
      </c>
      <c r="T67" s="253">
        <f>IFERROR(aurora_data!S1787,0)</f>
        <v>5</v>
      </c>
      <c r="U67" s="254">
        <f>IFERROR(aurora_data!T1387,0)</f>
        <v>0</v>
      </c>
      <c r="V67" s="61" t="s">
        <v>354</v>
      </c>
      <c r="W67" s="113">
        <f>IFERROR(aurora_data!U1787,0)</f>
        <v>8</v>
      </c>
      <c r="X67" s="255">
        <f t="shared" ref="X67:X74" si="13">IFERROR(W67/$W$66,0)</f>
        <v>0.88888888888888884</v>
      </c>
      <c r="Y67" s="2"/>
      <c r="AA67" s="452"/>
      <c r="AB67" s="454"/>
      <c r="AC67" s="35" t="s">
        <v>339</v>
      </c>
      <c r="AD67" s="113">
        <f>IFERROR(aurora_data!D1787,0)+IFERROR(aurora_data!E1787,0)</f>
        <v>1</v>
      </c>
      <c r="AE67" s="253">
        <f>IFERROR(aurora_data!F1787,0)</f>
        <v>2</v>
      </c>
      <c r="AF67" s="253">
        <f>IFERROR(aurora_data!G1787,0)</f>
        <v>3</v>
      </c>
      <c r="AG67" s="253">
        <f>IFERROR(aurora_data!H1787,0)</f>
        <v>2</v>
      </c>
      <c r="AH67" s="61" t="s">
        <v>354</v>
      </c>
      <c r="AI67" s="113">
        <f>IFERROR(aurora_data!U1787,0)</f>
        <v>8</v>
      </c>
      <c r="AJ67" s="255">
        <f t="shared" si="12"/>
        <v>0.88888888888888884</v>
      </c>
    </row>
    <row r="68" spans="1:36" customFormat="1">
      <c r="A68" s="2"/>
      <c r="B68" s="452"/>
      <c r="C68" s="454"/>
      <c r="D68" s="35" t="s">
        <v>291</v>
      </c>
      <c r="E68" s="113">
        <f>IFERROR(aurora_data!D1788,0)</f>
        <v>0</v>
      </c>
      <c r="F68" s="253">
        <f>IFERROR(aurora_data!E1788,0)</f>
        <v>0</v>
      </c>
      <c r="G68" s="253">
        <f>IFERROR(aurora_data!F1788,0)</f>
        <v>0</v>
      </c>
      <c r="H68" s="253">
        <f>IFERROR(aurora_data!G1788,0)</f>
        <v>0</v>
      </c>
      <c r="I68" s="254">
        <f>IFERROR(aurora_data!H1788,0)</f>
        <v>2</v>
      </c>
      <c r="J68" s="113">
        <f>IFERROR(aurora_data!I1788,0)</f>
        <v>0</v>
      </c>
      <c r="K68" s="253">
        <f>IFERROR(aurora_data!J1788,0)</f>
        <v>0</v>
      </c>
      <c r="L68" s="253">
        <f>IFERROR(aurora_data!K1788,0)</f>
        <v>0</v>
      </c>
      <c r="M68" s="253">
        <f>IFERROR(aurora_data!L1788,0)</f>
        <v>0</v>
      </c>
      <c r="N68" s="254">
        <f>IFERROR(aurora_data!M1788,0)</f>
        <v>2</v>
      </c>
      <c r="O68" s="113">
        <f>IFERROR(aurora_data!N1788,0)</f>
        <v>0</v>
      </c>
      <c r="P68" s="253">
        <f>IFERROR(aurora_data!O1788,0)</f>
        <v>1</v>
      </c>
      <c r="Q68" s="253">
        <f>IFERROR(aurora_data!P1788,0)</f>
        <v>1</v>
      </c>
      <c r="R68" s="254">
        <f>IFERROR(aurora_data!Q1788,0)</f>
        <v>0</v>
      </c>
      <c r="S68" s="253">
        <f>IFERROR(aurora_data!R1788,0)</f>
        <v>2</v>
      </c>
      <c r="T68" s="253">
        <f>IFERROR(aurora_data!S1788,0)</f>
        <v>0</v>
      </c>
      <c r="U68" s="254">
        <f>IFERROR(aurora_data!T1388,0)</f>
        <v>0</v>
      </c>
      <c r="V68" s="61" t="s">
        <v>354</v>
      </c>
      <c r="W68" s="113">
        <f>IFERROR(aurora_data!U1788,0)</f>
        <v>2</v>
      </c>
      <c r="X68" s="255">
        <f t="shared" si="13"/>
        <v>0.22222222222222221</v>
      </c>
      <c r="Y68" s="2"/>
      <c r="AA68" s="452"/>
      <c r="AB68" s="454"/>
      <c r="AC68" s="35" t="s">
        <v>291</v>
      </c>
      <c r="AD68" s="113">
        <f>IFERROR(aurora_data!D1788,0)+IFERROR(aurora_data!E1788,0)</f>
        <v>0</v>
      </c>
      <c r="AE68" s="253">
        <f>IFERROR(aurora_data!F1788,0)</f>
        <v>0</v>
      </c>
      <c r="AF68" s="253">
        <f>IFERROR(aurora_data!G1788,0)</f>
        <v>0</v>
      </c>
      <c r="AG68" s="253">
        <f>IFERROR(aurora_data!H1788,0)</f>
        <v>2</v>
      </c>
      <c r="AH68" s="61" t="s">
        <v>354</v>
      </c>
      <c r="AI68" s="113">
        <f>IFERROR(aurora_data!U1788,0)</f>
        <v>2</v>
      </c>
      <c r="AJ68" s="255">
        <f t="shared" si="12"/>
        <v>0.22222222222222221</v>
      </c>
    </row>
    <row r="69" spans="1:36" customFormat="1">
      <c r="A69" s="2"/>
      <c r="B69" s="452"/>
      <c r="C69" s="454"/>
      <c r="D69" s="35" t="s">
        <v>340</v>
      </c>
      <c r="E69" s="113">
        <f>IFERROR(aurora_data!D1789,0)</f>
        <v>0</v>
      </c>
      <c r="F69" s="253">
        <f>IFERROR(aurora_data!E1789,0)</f>
        <v>0</v>
      </c>
      <c r="G69" s="253">
        <f>IFERROR(aurora_data!F1789,0)</f>
        <v>0</v>
      </c>
      <c r="H69" s="253">
        <f>IFERROR(aurora_data!G1789,0)</f>
        <v>0</v>
      </c>
      <c r="I69" s="254">
        <f>IFERROR(aurora_data!H1789,0)</f>
        <v>0</v>
      </c>
      <c r="J69" s="113">
        <f>IFERROR(aurora_data!I1789,0)</f>
        <v>0</v>
      </c>
      <c r="K69" s="253">
        <f>IFERROR(aurora_data!J1789,0)</f>
        <v>0</v>
      </c>
      <c r="L69" s="253">
        <f>IFERROR(aurora_data!K1789,0)</f>
        <v>0</v>
      </c>
      <c r="M69" s="253">
        <f>IFERROR(aurora_data!L1789,0)</f>
        <v>0</v>
      </c>
      <c r="N69" s="254">
        <f>IFERROR(aurora_data!M1789,0)</f>
        <v>0</v>
      </c>
      <c r="O69" s="113">
        <f>IFERROR(aurora_data!N1789,0)</f>
        <v>0</v>
      </c>
      <c r="P69" s="253">
        <f>IFERROR(aurora_data!O1789,0)</f>
        <v>0</v>
      </c>
      <c r="Q69" s="253">
        <f>IFERROR(aurora_data!P1789,0)</f>
        <v>0</v>
      </c>
      <c r="R69" s="254">
        <f>IFERROR(aurora_data!Q1789,0)</f>
        <v>0</v>
      </c>
      <c r="S69" s="253">
        <f>IFERROR(aurora_data!R1789,0)</f>
        <v>0</v>
      </c>
      <c r="T69" s="253">
        <f>IFERROR(aurora_data!S1789,0)</f>
        <v>0</v>
      </c>
      <c r="U69" s="254">
        <f>IFERROR(aurora_data!T1389,0)</f>
        <v>0</v>
      </c>
      <c r="V69" s="61" t="s">
        <v>354</v>
      </c>
      <c r="W69" s="113">
        <f>IFERROR(aurora_data!U1789,0)</f>
        <v>0</v>
      </c>
      <c r="X69" s="255">
        <f t="shared" si="13"/>
        <v>0</v>
      </c>
      <c r="Y69" s="2"/>
      <c r="AA69" s="452"/>
      <c r="AB69" s="454"/>
      <c r="AC69" s="35" t="s">
        <v>340</v>
      </c>
      <c r="AD69" s="113">
        <f>IFERROR(aurora_data!D1789,0)+IFERROR(aurora_data!E1789,0)</f>
        <v>0</v>
      </c>
      <c r="AE69" s="253">
        <f>IFERROR(aurora_data!F1789,0)</f>
        <v>0</v>
      </c>
      <c r="AF69" s="253">
        <f>IFERROR(aurora_data!G1789,0)</f>
        <v>0</v>
      </c>
      <c r="AG69" s="253">
        <f>IFERROR(aurora_data!H1789,0)</f>
        <v>0</v>
      </c>
      <c r="AH69" s="61" t="s">
        <v>354</v>
      </c>
      <c r="AI69" s="113">
        <f>IFERROR(aurora_data!U1789,0)</f>
        <v>0</v>
      </c>
      <c r="AJ69" s="255">
        <f t="shared" si="12"/>
        <v>0</v>
      </c>
    </row>
    <row r="70" spans="1:36" customFormat="1">
      <c r="A70" s="2"/>
      <c r="B70" s="452"/>
      <c r="C70" s="454"/>
      <c r="D70" s="35" t="s">
        <v>298</v>
      </c>
      <c r="E70" s="113">
        <f>IFERROR(aurora_data!D1790,0)</f>
        <v>0</v>
      </c>
      <c r="F70" s="253">
        <f>IFERROR(aurora_data!E1790,0)</f>
        <v>0</v>
      </c>
      <c r="G70" s="253">
        <f>IFERROR(aurora_data!F1790,0)</f>
        <v>1</v>
      </c>
      <c r="H70" s="253">
        <f>IFERROR(aurora_data!G1790,0)</f>
        <v>0</v>
      </c>
      <c r="I70" s="254">
        <f>IFERROR(aurora_data!H1790,0)</f>
        <v>0</v>
      </c>
      <c r="J70" s="113">
        <f>IFERROR(aurora_data!I1790,0)</f>
        <v>1</v>
      </c>
      <c r="K70" s="253">
        <f>IFERROR(aurora_data!J1790,0)</f>
        <v>0</v>
      </c>
      <c r="L70" s="253">
        <f>IFERROR(aurora_data!K1790,0)</f>
        <v>0</v>
      </c>
      <c r="M70" s="253">
        <f>IFERROR(aurora_data!L1790,0)</f>
        <v>0</v>
      </c>
      <c r="N70" s="254">
        <f>IFERROR(aurora_data!M1790,0)</f>
        <v>0</v>
      </c>
      <c r="O70" s="113">
        <f>IFERROR(aurora_data!N1790,0)</f>
        <v>0</v>
      </c>
      <c r="P70" s="253">
        <f>IFERROR(aurora_data!O1790,0)</f>
        <v>0</v>
      </c>
      <c r="Q70" s="253">
        <f>IFERROR(aurora_data!P1790,0)</f>
        <v>0</v>
      </c>
      <c r="R70" s="254">
        <f>IFERROR(aurora_data!Q1790,0)</f>
        <v>1</v>
      </c>
      <c r="S70" s="253">
        <f>IFERROR(aurora_data!R1790,0)</f>
        <v>0</v>
      </c>
      <c r="T70" s="253">
        <f>IFERROR(aurora_data!S1790,0)</f>
        <v>1</v>
      </c>
      <c r="U70" s="254">
        <f>IFERROR(aurora_data!T1390,0)</f>
        <v>0</v>
      </c>
      <c r="V70" s="61" t="s">
        <v>354</v>
      </c>
      <c r="W70" s="113">
        <f>IFERROR(aurora_data!U1790,0)</f>
        <v>1</v>
      </c>
      <c r="X70" s="255">
        <f t="shared" si="13"/>
        <v>0.1111111111111111</v>
      </c>
      <c r="Y70" s="2"/>
      <c r="AA70" s="452"/>
      <c r="AB70" s="454"/>
      <c r="AC70" s="35" t="s">
        <v>298</v>
      </c>
      <c r="AD70" s="113">
        <f>IFERROR(aurora_data!D1790,0)+IFERROR(aurora_data!E1790,0)</f>
        <v>0</v>
      </c>
      <c r="AE70" s="253">
        <f>IFERROR(aurora_data!F1790,0)</f>
        <v>1</v>
      </c>
      <c r="AF70" s="253">
        <f>IFERROR(aurora_data!G1790,0)</f>
        <v>0</v>
      </c>
      <c r="AG70" s="253">
        <f>IFERROR(aurora_data!H1790,0)</f>
        <v>0</v>
      </c>
      <c r="AH70" s="61" t="s">
        <v>354</v>
      </c>
      <c r="AI70" s="113">
        <f>IFERROR(aurora_data!U1790,0)</f>
        <v>1</v>
      </c>
      <c r="AJ70" s="255">
        <f t="shared" si="12"/>
        <v>0.1111111111111111</v>
      </c>
    </row>
    <row r="71" spans="1:36" customFormat="1">
      <c r="A71" s="2"/>
      <c r="B71" s="452"/>
      <c r="C71" s="454"/>
      <c r="D71" s="35" t="s">
        <v>341</v>
      </c>
      <c r="E71" s="113">
        <f>IFERROR(aurora_data!D1791,0)</f>
        <v>1</v>
      </c>
      <c r="F71" s="253">
        <f>IFERROR(aurora_data!E1791,0)</f>
        <v>0</v>
      </c>
      <c r="G71" s="253">
        <f>IFERROR(aurora_data!F1791,0)</f>
        <v>0</v>
      </c>
      <c r="H71" s="253">
        <f>IFERROR(aurora_data!G1791,0)</f>
        <v>0</v>
      </c>
      <c r="I71" s="254">
        <f>IFERROR(aurora_data!H1791,0)</f>
        <v>0</v>
      </c>
      <c r="J71" s="113">
        <f>IFERROR(aurora_data!I1791,0)</f>
        <v>0</v>
      </c>
      <c r="K71" s="253">
        <f>IFERROR(aurora_data!J1791,0)</f>
        <v>1</v>
      </c>
      <c r="L71" s="253">
        <f>IFERROR(aurora_data!K1791,0)</f>
        <v>0</v>
      </c>
      <c r="M71" s="253">
        <f>IFERROR(aurora_data!L1791,0)</f>
        <v>0</v>
      </c>
      <c r="N71" s="254">
        <f>IFERROR(aurora_data!M1791,0)</f>
        <v>0</v>
      </c>
      <c r="O71" s="113">
        <f>IFERROR(aurora_data!N1791,0)</f>
        <v>0</v>
      </c>
      <c r="P71" s="253">
        <f>IFERROR(aurora_data!O1791,0)</f>
        <v>0</v>
      </c>
      <c r="Q71" s="253">
        <f>IFERROR(aurora_data!P1791,0)</f>
        <v>1</v>
      </c>
      <c r="R71" s="254">
        <f>IFERROR(aurora_data!Q1791,0)</f>
        <v>0</v>
      </c>
      <c r="S71" s="253">
        <f>IFERROR(aurora_data!R1791,0)</f>
        <v>0</v>
      </c>
      <c r="T71" s="253">
        <f>IFERROR(aurora_data!S1791,0)</f>
        <v>1</v>
      </c>
      <c r="U71" s="254">
        <f>IFERROR(aurora_data!T1391,0)</f>
        <v>0</v>
      </c>
      <c r="V71" s="61" t="s">
        <v>354</v>
      </c>
      <c r="W71" s="113">
        <f>IFERROR(aurora_data!U1791,0)</f>
        <v>1</v>
      </c>
      <c r="X71" s="255">
        <f t="shared" si="13"/>
        <v>0.1111111111111111</v>
      </c>
      <c r="Y71" s="2"/>
      <c r="AA71" s="452"/>
      <c r="AB71" s="454"/>
      <c r="AC71" s="35" t="s">
        <v>341</v>
      </c>
      <c r="AD71" s="113">
        <f>IFERROR(aurora_data!D1791,0)+IFERROR(aurora_data!E1791,0)</f>
        <v>1</v>
      </c>
      <c r="AE71" s="253">
        <f>IFERROR(aurora_data!F1791,0)</f>
        <v>0</v>
      </c>
      <c r="AF71" s="253">
        <f>IFERROR(aurora_data!G1791,0)</f>
        <v>0</v>
      </c>
      <c r="AG71" s="253">
        <f>IFERROR(aurora_data!H1791,0)</f>
        <v>0</v>
      </c>
      <c r="AH71" s="61" t="s">
        <v>354</v>
      </c>
      <c r="AI71" s="113">
        <f>IFERROR(aurora_data!U1791,0)</f>
        <v>1</v>
      </c>
      <c r="AJ71" s="255">
        <f t="shared" si="12"/>
        <v>0.1111111111111111</v>
      </c>
    </row>
    <row r="72" spans="1:36" customFormat="1" ht="16.5" thickBot="1">
      <c r="A72" s="2"/>
      <c r="B72" s="452"/>
      <c r="C72" s="454"/>
      <c r="D72" s="35" t="s">
        <v>342</v>
      </c>
      <c r="E72" s="113">
        <f>IFERROR(aurora_data!D1792,0)</f>
        <v>0</v>
      </c>
      <c r="F72" s="253">
        <f>IFERROR(aurora_data!E1792,0)</f>
        <v>0</v>
      </c>
      <c r="G72" s="253">
        <f>IFERROR(aurora_data!F1792,0)</f>
        <v>0</v>
      </c>
      <c r="H72" s="253">
        <f>IFERROR(aurora_data!G1792,0)</f>
        <v>0</v>
      </c>
      <c r="I72" s="254">
        <f>IFERROR(aurora_data!H1792,0)</f>
        <v>0</v>
      </c>
      <c r="J72" s="113">
        <f>IFERROR(aurora_data!I1792,0)</f>
        <v>0</v>
      </c>
      <c r="K72" s="253">
        <f>IFERROR(aurora_data!J1792,0)</f>
        <v>0</v>
      </c>
      <c r="L72" s="253">
        <f>IFERROR(aurora_data!K1792,0)</f>
        <v>0</v>
      </c>
      <c r="M72" s="253">
        <f>IFERROR(aurora_data!L1792,0)</f>
        <v>0</v>
      </c>
      <c r="N72" s="254">
        <f>IFERROR(aurora_data!M1792,0)</f>
        <v>0</v>
      </c>
      <c r="O72" s="113">
        <f>IFERROR(aurora_data!N1792,0)</f>
        <v>0</v>
      </c>
      <c r="P72" s="253">
        <f>IFERROR(aurora_data!O1792,0)</f>
        <v>0</v>
      </c>
      <c r="Q72" s="253">
        <f>IFERROR(aurora_data!P1792,0)</f>
        <v>0</v>
      </c>
      <c r="R72" s="254">
        <f>IFERROR(aurora_data!Q1792,0)</f>
        <v>0</v>
      </c>
      <c r="S72" s="253">
        <f>IFERROR(aurora_data!R1792,0)</f>
        <v>0</v>
      </c>
      <c r="T72" s="253">
        <f>IFERROR(aurora_data!S1792,0)</f>
        <v>0</v>
      </c>
      <c r="U72" s="254">
        <f>IFERROR(aurora_data!T1392,0)</f>
        <v>0</v>
      </c>
      <c r="V72" s="61" t="s">
        <v>354</v>
      </c>
      <c r="W72" s="113">
        <f>IFERROR(aurora_data!U1792,0)</f>
        <v>0</v>
      </c>
      <c r="X72" s="255">
        <f t="shared" si="13"/>
        <v>0</v>
      </c>
      <c r="Y72" s="2"/>
      <c r="AA72" s="452"/>
      <c r="AB72" s="454"/>
      <c r="AC72" s="35" t="s">
        <v>342</v>
      </c>
      <c r="AD72" s="113">
        <f>IFERROR(aurora_data!D1792,0)+IFERROR(aurora_data!E1792,0)</f>
        <v>0</v>
      </c>
      <c r="AE72" s="253">
        <f>IFERROR(aurora_data!F1792,0)</f>
        <v>0</v>
      </c>
      <c r="AF72" s="253">
        <f>IFERROR(aurora_data!G1792,0)</f>
        <v>0</v>
      </c>
      <c r="AG72" s="253">
        <f>IFERROR(aurora_data!H1792,0)</f>
        <v>0</v>
      </c>
      <c r="AH72" s="61" t="s">
        <v>354</v>
      </c>
      <c r="AI72" s="113">
        <f>IFERROR(aurora_data!U1792,0)</f>
        <v>0</v>
      </c>
      <c r="AJ72" s="255">
        <f t="shared" si="12"/>
        <v>0</v>
      </c>
    </row>
    <row r="73" spans="1:36" customFormat="1" ht="16.5" thickBot="1">
      <c r="A73" s="2"/>
      <c r="B73" s="452"/>
      <c r="C73" s="454"/>
      <c r="D73" s="37" t="s">
        <v>17</v>
      </c>
      <c r="E73" s="59">
        <f>IFERROR(aurora_data!D1793,0)</f>
        <v>1</v>
      </c>
      <c r="F73" s="64">
        <f>IFERROR(aurora_data!E1793,0)</f>
        <v>1</v>
      </c>
      <c r="G73" s="64">
        <f>IFERROR(aurora_data!F1793,0)</f>
        <v>3</v>
      </c>
      <c r="H73" s="64">
        <f>IFERROR(aurora_data!G1793,0)</f>
        <v>3</v>
      </c>
      <c r="I73" s="65">
        <f>IFERROR(aurora_data!H1793,0)</f>
        <v>4</v>
      </c>
      <c r="J73" s="59">
        <f>IFERROR(aurora_data!I1793,0)</f>
        <v>1</v>
      </c>
      <c r="K73" s="64">
        <f>IFERROR(aurora_data!J1793,0)</f>
        <v>3</v>
      </c>
      <c r="L73" s="64">
        <f>IFERROR(aurora_data!K1793,0)</f>
        <v>4</v>
      </c>
      <c r="M73" s="64">
        <f>IFERROR(aurora_data!L1793,0)</f>
        <v>2</v>
      </c>
      <c r="N73" s="65">
        <f>IFERROR(aurora_data!M1793,0)</f>
        <v>2</v>
      </c>
      <c r="O73" s="59">
        <f>IFERROR(aurora_data!N1793,0)</f>
        <v>2</v>
      </c>
      <c r="P73" s="64">
        <f>IFERROR(aurora_data!O1793,0)</f>
        <v>2</v>
      </c>
      <c r="Q73" s="64">
        <f>IFERROR(aurora_data!P1793,0)</f>
        <v>6</v>
      </c>
      <c r="R73" s="65">
        <f>IFERROR(aurora_data!Q1793,0)</f>
        <v>2</v>
      </c>
      <c r="S73" s="64">
        <f>IFERROR(aurora_data!R1793,0)</f>
        <v>5</v>
      </c>
      <c r="T73" s="64">
        <f>IFERROR(aurora_data!S1793,0)</f>
        <v>7</v>
      </c>
      <c r="U73" s="65">
        <f>IFERROR(aurora_data!T1393,0)</f>
        <v>0</v>
      </c>
      <c r="V73" s="66" t="s">
        <v>354</v>
      </c>
      <c r="W73" s="59">
        <f>IFERROR(aurora_data!U1793,0)</f>
        <v>12</v>
      </c>
      <c r="X73" s="70">
        <f t="shared" si="13"/>
        <v>1.3333333333333333</v>
      </c>
      <c r="Y73" s="2"/>
      <c r="AA73" s="452"/>
      <c r="AB73" s="454"/>
      <c r="AC73" s="37" t="s">
        <v>17</v>
      </c>
      <c r="AD73" s="59">
        <f>IFERROR(aurora_data!D1793,0)+IFERROR(aurora_data!E1793,0)</f>
        <v>2</v>
      </c>
      <c r="AE73" s="64">
        <f>IFERROR(aurora_data!F1793,0)</f>
        <v>3</v>
      </c>
      <c r="AF73" s="64">
        <f>IFERROR(aurora_data!G1793,0)</f>
        <v>3</v>
      </c>
      <c r="AG73" s="64">
        <f>IFERROR(aurora_data!H1793,0)</f>
        <v>4</v>
      </c>
      <c r="AH73" s="66" t="s">
        <v>354</v>
      </c>
      <c r="AI73" s="59">
        <f>IFERROR(aurora_data!U1793,0)</f>
        <v>12</v>
      </c>
      <c r="AJ73" s="70">
        <f t="shared" si="12"/>
        <v>1.3333333333333333</v>
      </c>
    </row>
    <row r="74" spans="1:36" customFormat="1" ht="16.5" thickBot="1">
      <c r="A74" s="2"/>
      <c r="B74" s="452"/>
      <c r="C74" s="454"/>
      <c r="D74" s="38" t="s">
        <v>343</v>
      </c>
      <c r="E74" s="256">
        <f>IFERROR(aurora_data!D1794,0)</f>
        <v>0</v>
      </c>
      <c r="F74" s="257">
        <f>IFERROR(aurora_data!E1794,0)</f>
        <v>0</v>
      </c>
      <c r="G74" s="257">
        <f>IFERROR(aurora_data!F1794,0)</f>
        <v>0</v>
      </c>
      <c r="H74" s="257">
        <f>IFERROR(aurora_data!G1794,0)</f>
        <v>0</v>
      </c>
      <c r="I74" s="258">
        <f>IFERROR(aurora_data!H1794,0)</f>
        <v>0</v>
      </c>
      <c r="J74" s="256">
        <f>IFERROR(aurora_data!I1794,0)</f>
        <v>0</v>
      </c>
      <c r="K74" s="257">
        <f>IFERROR(aurora_data!J1794,0)</f>
        <v>0</v>
      </c>
      <c r="L74" s="257">
        <f>IFERROR(aurora_data!K1794,0)</f>
        <v>0</v>
      </c>
      <c r="M74" s="257">
        <f>IFERROR(aurora_data!L1794,0)</f>
        <v>0</v>
      </c>
      <c r="N74" s="258">
        <f>IFERROR(aurora_data!M1794,0)</f>
        <v>0</v>
      </c>
      <c r="O74" s="256">
        <f>IFERROR(aurora_data!N1794,0)</f>
        <v>0</v>
      </c>
      <c r="P74" s="257">
        <f>IFERROR(aurora_data!O1794,0)</f>
        <v>0</v>
      </c>
      <c r="Q74" s="257">
        <f>IFERROR(aurora_data!P1794,0)</f>
        <v>0</v>
      </c>
      <c r="R74" s="258">
        <f>IFERROR(aurora_data!Q1794,0)</f>
        <v>0</v>
      </c>
      <c r="S74" s="257">
        <f>IFERROR(aurora_data!R1794,0)</f>
        <v>0</v>
      </c>
      <c r="T74" s="257">
        <f>IFERROR(aurora_data!S1794,0)</f>
        <v>0</v>
      </c>
      <c r="U74" s="259">
        <f>IFERROR(aurora_data!T1394,0)</f>
        <v>0</v>
      </c>
      <c r="V74" s="260" t="s">
        <v>354</v>
      </c>
      <c r="W74" s="256">
        <f>IFERROR(aurora_data!U1794,0)</f>
        <v>0</v>
      </c>
      <c r="X74" s="261">
        <f t="shared" si="13"/>
        <v>0</v>
      </c>
      <c r="Y74" s="2"/>
      <c r="AA74" s="452"/>
      <c r="AB74" s="454"/>
      <c r="AC74" s="38" t="s">
        <v>343</v>
      </c>
      <c r="AD74" s="256">
        <f>IFERROR(aurora_data!D1794,0)+IFERROR(aurora_data!E1794,0)</f>
        <v>0</v>
      </c>
      <c r="AE74" s="257">
        <f>IFERROR(aurora_data!F1794,0)</f>
        <v>0</v>
      </c>
      <c r="AF74" s="257">
        <f>IFERROR(aurora_data!G1794,0)</f>
        <v>0</v>
      </c>
      <c r="AG74" s="257">
        <f>IFERROR(aurora_data!H1794,0)</f>
        <v>0</v>
      </c>
      <c r="AH74" s="260" t="s">
        <v>354</v>
      </c>
      <c r="AI74" s="256">
        <f>IFERROR(aurora_data!U1794,0)</f>
        <v>0</v>
      </c>
      <c r="AJ74" s="261">
        <f t="shared" si="12"/>
        <v>0</v>
      </c>
    </row>
    <row r="75" spans="1:36" customFormat="1">
      <c r="A75" s="2"/>
      <c r="B75" s="560" t="s">
        <v>362</v>
      </c>
      <c r="C75" s="453" t="str">
        <f>aurora_data!A1795</f>
        <v>13.00.00-13.11.30</v>
      </c>
      <c r="D75" s="34" t="s">
        <v>306</v>
      </c>
      <c r="E75" s="39">
        <f>IFERROR(aurora_data!D1795,0)</f>
        <v>0.34</v>
      </c>
      <c r="F75" s="40">
        <f>IFERROR(aurora_data!E1795,0)</f>
        <v>0.56000000000000005</v>
      </c>
      <c r="G75" s="40">
        <f>IFERROR(aurora_data!F1795,0)</f>
        <v>1.8</v>
      </c>
      <c r="H75" s="40">
        <f>IFERROR(aurora_data!G1795,0)</f>
        <v>2.84</v>
      </c>
      <c r="I75" s="41">
        <f>IFERROR(aurora_data!H1795,0)</f>
        <v>3.44</v>
      </c>
      <c r="J75" s="39">
        <f>IFERROR(aurora_data!I1795,0)</f>
        <v>1</v>
      </c>
      <c r="K75" s="40">
        <f>IFERROR(aurora_data!J1795,0)</f>
        <v>1</v>
      </c>
      <c r="L75" s="40">
        <f>IFERROR(aurora_data!K1795,0)</f>
        <v>1</v>
      </c>
      <c r="M75" s="40">
        <f>IFERROR(aurora_data!L1795,0)</f>
        <v>1</v>
      </c>
      <c r="N75" s="41">
        <f>IFERROR(aurora_data!M1795,0)</f>
        <v>1</v>
      </c>
      <c r="O75" s="39">
        <f>IFERROR(aurora_data!N1795,0)</f>
        <v>1</v>
      </c>
      <c r="P75" s="40">
        <f>IFERROR(aurora_data!O1795,0)</f>
        <v>1</v>
      </c>
      <c r="Q75" s="40">
        <f>IFERROR(aurora_data!P1795,0)</f>
        <v>1</v>
      </c>
      <c r="R75" s="41">
        <f>IFERROR(aurora_data!Q1795,0)</f>
        <v>1</v>
      </c>
      <c r="S75" s="40">
        <f>IFERROR(aurora_data!R1795,0)</f>
        <v>1</v>
      </c>
      <c r="T75" s="40">
        <f>IFERROR(aurora_data!S1795,0)</f>
        <v>1</v>
      </c>
      <c r="U75" s="41">
        <f>IFERROR(aurora_data!T1395,0)</f>
        <v>0</v>
      </c>
      <c r="V75" s="61" t="s">
        <v>354</v>
      </c>
      <c r="W75" s="39">
        <f>IFERROR(aurora_data!U1795,0)</f>
        <v>9</v>
      </c>
      <c r="X75" s="69">
        <f>IFERROR(W75/$W$75,0)</f>
        <v>1</v>
      </c>
      <c r="Y75" s="2"/>
      <c r="AA75" s="451" t="s">
        <v>338</v>
      </c>
      <c r="AB75" s="453" t="str">
        <f>aurora_data!A1795</f>
        <v>13.00.00-13.11.30</v>
      </c>
      <c r="AC75" s="34" t="s">
        <v>306</v>
      </c>
      <c r="AD75" s="338">
        <v>2</v>
      </c>
      <c r="AE75" s="40">
        <f>IFERROR(aurora_data!F1795,0)</f>
        <v>1.8</v>
      </c>
      <c r="AF75" s="40">
        <f>IFERROR(aurora_data!G1795,0)</f>
        <v>2.84</v>
      </c>
      <c r="AG75" s="337">
        <v>2</v>
      </c>
      <c r="AH75" s="61" t="s">
        <v>354</v>
      </c>
      <c r="AI75" s="39">
        <f>IFERROR(aurora_data!U1795,0)</f>
        <v>9</v>
      </c>
      <c r="AJ75" s="69">
        <f t="shared" ref="AJ75:AJ83" si="14">IFERROR(AI75/$AI$75,0)</f>
        <v>1</v>
      </c>
    </row>
    <row r="76" spans="1:36" customFormat="1">
      <c r="A76" s="2"/>
      <c r="B76" s="561"/>
      <c r="C76" s="454"/>
      <c r="D76" s="35" t="s">
        <v>339</v>
      </c>
      <c r="E76" s="113">
        <f>IFERROR(aurora_data!D1796,0)</f>
        <v>1</v>
      </c>
      <c r="F76" s="253">
        <f>IFERROR(aurora_data!E1796,0)</f>
        <v>1</v>
      </c>
      <c r="G76" s="253">
        <f>IFERROR(aurora_data!F1796,0)</f>
        <v>2</v>
      </c>
      <c r="H76" s="253">
        <f>IFERROR(aurora_data!G1796,0)</f>
        <v>3</v>
      </c>
      <c r="I76" s="254">
        <f>IFERROR(aurora_data!H1796,0)</f>
        <v>2</v>
      </c>
      <c r="J76" s="113">
        <f>IFERROR(aurora_data!I1796,0)</f>
        <v>1</v>
      </c>
      <c r="K76" s="253">
        <f>IFERROR(aurora_data!J1796,0)</f>
        <v>2</v>
      </c>
      <c r="L76" s="253">
        <f>IFERROR(aurora_data!K1796,0)</f>
        <v>3</v>
      </c>
      <c r="M76" s="253">
        <f>IFERROR(aurora_data!L1796,0)</f>
        <v>1</v>
      </c>
      <c r="N76" s="254">
        <f>IFERROR(aurora_data!M1796,0)</f>
        <v>2</v>
      </c>
      <c r="O76" s="113">
        <f>IFERROR(aurora_data!N1796,0)</f>
        <v>1</v>
      </c>
      <c r="P76" s="253">
        <f>IFERROR(aurora_data!O1796,0)</f>
        <v>1</v>
      </c>
      <c r="Q76" s="253">
        <f>IFERROR(aurora_data!P1796,0)</f>
        <v>5</v>
      </c>
      <c r="R76" s="254">
        <f>IFERROR(aurora_data!Q1796,0)</f>
        <v>2</v>
      </c>
      <c r="S76" s="253">
        <f>IFERROR(aurora_data!R1796,0)</f>
        <v>4</v>
      </c>
      <c r="T76" s="253">
        <f>IFERROR(aurora_data!S1796,0)</f>
        <v>5</v>
      </c>
      <c r="U76" s="254">
        <f>IFERROR(aurora_data!T1396,0)</f>
        <v>0</v>
      </c>
      <c r="V76" s="61" t="s">
        <v>354</v>
      </c>
      <c r="W76" s="113">
        <f>IFERROR(aurora_data!U1796,0)</f>
        <v>9</v>
      </c>
      <c r="X76" s="255">
        <f t="shared" ref="X76:X83" si="15">IFERROR(W76/$W$75,0)</f>
        <v>1</v>
      </c>
      <c r="Y76" s="2"/>
      <c r="AA76" s="452"/>
      <c r="AB76" s="454"/>
      <c r="AC76" s="35" t="s">
        <v>339</v>
      </c>
      <c r="AD76" s="113">
        <f>IFERROR(aurora_data!D1796,0)+IFERROR(aurora_data!E1796,0)</f>
        <v>2</v>
      </c>
      <c r="AE76" s="253">
        <f>IFERROR(aurora_data!F1796,0)</f>
        <v>2</v>
      </c>
      <c r="AF76" s="253">
        <f>IFERROR(aurora_data!G1796,0)</f>
        <v>3</v>
      </c>
      <c r="AG76" s="253">
        <f>IFERROR(aurora_data!H1796,0)</f>
        <v>2</v>
      </c>
      <c r="AH76" s="61" t="s">
        <v>354</v>
      </c>
      <c r="AI76" s="113">
        <f>IFERROR(aurora_data!U1796,0)</f>
        <v>9</v>
      </c>
      <c r="AJ76" s="255">
        <f t="shared" si="14"/>
        <v>1</v>
      </c>
    </row>
    <row r="77" spans="1:36" customFormat="1">
      <c r="A77" s="2"/>
      <c r="B77" s="561"/>
      <c r="C77" s="454"/>
      <c r="D77" s="35" t="s">
        <v>291</v>
      </c>
      <c r="E77" s="113">
        <f>IFERROR(aurora_data!D1797,0)</f>
        <v>0</v>
      </c>
      <c r="F77" s="253">
        <f>IFERROR(aurora_data!E1797,0)</f>
        <v>0</v>
      </c>
      <c r="G77" s="253">
        <f>IFERROR(aurora_data!F1797,0)</f>
        <v>0</v>
      </c>
      <c r="H77" s="253">
        <f>IFERROR(aurora_data!G1797,0)</f>
        <v>0</v>
      </c>
      <c r="I77" s="254">
        <f>IFERROR(aurora_data!H1797,0)</f>
        <v>1</v>
      </c>
      <c r="J77" s="113">
        <f>IFERROR(aurora_data!I1797,0)</f>
        <v>0</v>
      </c>
      <c r="K77" s="253">
        <f>IFERROR(aurora_data!J1797,0)</f>
        <v>1</v>
      </c>
      <c r="L77" s="253">
        <f>IFERROR(aurora_data!K1797,0)</f>
        <v>0</v>
      </c>
      <c r="M77" s="253">
        <f>IFERROR(aurora_data!L1797,0)</f>
        <v>0</v>
      </c>
      <c r="N77" s="254">
        <f>IFERROR(aurora_data!M1797,0)</f>
        <v>0</v>
      </c>
      <c r="O77" s="113">
        <f>IFERROR(aurora_data!N1797,0)</f>
        <v>0</v>
      </c>
      <c r="P77" s="253">
        <f>IFERROR(aurora_data!O1797,0)</f>
        <v>0</v>
      </c>
      <c r="Q77" s="253">
        <f>IFERROR(aurora_data!P1797,0)</f>
        <v>1</v>
      </c>
      <c r="R77" s="254">
        <f>IFERROR(aurora_data!Q1797,0)</f>
        <v>0</v>
      </c>
      <c r="S77" s="253">
        <f>IFERROR(aurora_data!R1797,0)</f>
        <v>1</v>
      </c>
      <c r="T77" s="253">
        <f>IFERROR(aurora_data!S1797,0)</f>
        <v>0</v>
      </c>
      <c r="U77" s="254">
        <f>IFERROR(aurora_data!T1397,0)</f>
        <v>0</v>
      </c>
      <c r="V77" s="61" t="s">
        <v>354</v>
      </c>
      <c r="W77" s="113">
        <f>IFERROR(aurora_data!U1797,0)</f>
        <v>1</v>
      </c>
      <c r="X77" s="255">
        <f t="shared" si="15"/>
        <v>0.1111111111111111</v>
      </c>
      <c r="Y77" s="2"/>
      <c r="AA77" s="452"/>
      <c r="AB77" s="454"/>
      <c r="AC77" s="35" t="s">
        <v>291</v>
      </c>
      <c r="AD77" s="113">
        <f>IFERROR(aurora_data!D1797,0)+IFERROR(aurora_data!E1797,0)</f>
        <v>0</v>
      </c>
      <c r="AE77" s="253">
        <f>IFERROR(aurora_data!F1797,0)</f>
        <v>0</v>
      </c>
      <c r="AF77" s="253">
        <f>IFERROR(aurora_data!G1797,0)</f>
        <v>0</v>
      </c>
      <c r="AG77" s="253">
        <f>IFERROR(aurora_data!H1797,0)</f>
        <v>1</v>
      </c>
      <c r="AH77" s="61" t="s">
        <v>354</v>
      </c>
      <c r="AI77" s="113">
        <f>IFERROR(aurora_data!U1797,0)</f>
        <v>1</v>
      </c>
      <c r="AJ77" s="255">
        <f t="shared" si="14"/>
        <v>0.1111111111111111</v>
      </c>
    </row>
    <row r="78" spans="1:36" customFormat="1">
      <c r="A78" s="2"/>
      <c r="B78" s="561"/>
      <c r="C78" s="454"/>
      <c r="D78" s="35" t="s">
        <v>340</v>
      </c>
      <c r="E78" s="113">
        <f>IFERROR(aurora_data!D1798,0)</f>
        <v>0</v>
      </c>
      <c r="F78" s="253">
        <f>IFERROR(aurora_data!E1798,0)</f>
        <v>0</v>
      </c>
      <c r="G78" s="253">
        <f>IFERROR(aurora_data!F1798,0)</f>
        <v>0</v>
      </c>
      <c r="H78" s="253">
        <f>IFERROR(aurora_data!G1798,0)</f>
        <v>0</v>
      </c>
      <c r="I78" s="254">
        <f>IFERROR(aurora_data!H1798,0)</f>
        <v>0</v>
      </c>
      <c r="J78" s="113">
        <f>IFERROR(aurora_data!I1798,0)</f>
        <v>0</v>
      </c>
      <c r="K78" s="253">
        <f>IFERROR(aurora_data!J1798,0)</f>
        <v>0</v>
      </c>
      <c r="L78" s="253">
        <f>IFERROR(aurora_data!K1798,0)</f>
        <v>0</v>
      </c>
      <c r="M78" s="253">
        <f>IFERROR(aurora_data!L1798,0)</f>
        <v>0</v>
      </c>
      <c r="N78" s="254">
        <f>IFERROR(aurora_data!M1798,0)</f>
        <v>0</v>
      </c>
      <c r="O78" s="113">
        <f>IFERROR(aurora_data!N1798,0)</f>
        <v>0</v>
      </c>
      <c r="P78" s="253">
        <f>IFERROR(aurora_data!O1798,0)</f>
        <v>0</v>
      </c>
      <c r="Q78" s="253">
        <f>IFERROR(aurora_data!P1798,0)</f>
        <v>0</v>
      </c>
      <c r="R78" s="254">
        <f>IFERROR(aurora_data!Q1798,0)</f>
        <v>0</v>
      </c>
      <c r="S78" s="253">
        <f>IFERROR(aurora_data!R1798,0)</f>
        <v>0</v>
      </c>
      <c r="T78" s="253">
        <f>IFERROR(aurora_data!S1798,0)</f>
        <v>0</v>
      </c>
      <c r="U78" s="254">
        <f>IFERROR(aurora_data!T1398,0)</f>
        <v>0</v>
      </c>
      <c r="V78" s="61" t="s">
        <v>354</v>
      </c>
      <c r="W78" s="113">
        <f>IFERROR(aurora_data!U1798,0)</f>
        <v>0</v>
      </c>
      <c r="X78" s="255">
        <f t="shared" si="15"/>
        <v>0</v>
      </c>
      <c r="Y78" s="2"/>
      <c r="AA78" s="452"/>
      <c r="AB78" s="454"/>
      <c r="AC78" s="35" t="s">
        <v>340</v>
      </c>
      <c r="AD78" s="113">
        <f>IFERROR(aurora_data!D1798,0)+IFERROR(aurora_data!E1798,0)</f>
        <v>0</v>
      </c>
      <c r="AE78" s="253">
        <f>IFERROR(aurora_data!F1798,0)</f>
        <v>0</v>
      </c>
      <c r="AF78" s="253">
        <f>IFERROR(aurora_data!G1798,0)</f>
        <v>0</v>
      </c>
      <c r="AG78" s="253">
        <f>IFERROR(aurora_data!H1798,0)</f>
        <v>0</v>
      </c>
      <c r="AH78" s="61" t="s">
        <v>354</v>
      </c>
      <c r="AI78" s="113">
        <f>IFERROR(aurora_data!U1798,0)</f>
        <v>0</v>
      </c>
      <c r="AJ78" s="255">
        <f t="shared" si="14"/>
        <v>0</v>
      </c>
    </row>
    <row r="79" spans="1:36" customFormat="1">
      <c r="A79" s="2"/>
      <c r="B79" s="561"/>
      <c r="C79" s="454"/>
      <c r="D79" s="35" t="s">
        <v>298</v>
      </c>
      <c r="E79" s="113">
        <f>IFERROR(aurora_data!D1799,0)</f>
        <v>0</v>
      </c>
      <c r="F79" s="253">
        <f>IFERROR(aurora_data!E1799,0)</f>
        <v>0</v>
      </c>
      <c r="G79" s="253">
        <f>IFERROR(aurora_data!F1799,0)</f>
        <v>0</v>
      </c>
      <c r="H79" s="253">
        <f>IFERROR(aurora_data!G1799,0)</f>
        <v>0</v>
      </c>
      <c r="I79" s="254">
        <f>IFERROR(aurora_data!H1799,0)</f>
        <v>0</v>
      </c>
      <c r="J79" s="113">
        <f>IFERROR(aurora_data!I1799,0)</f>
        <v>0</v>
      </c>
      <c r="K79" s="253">
        <f>IFERROR(aurora_data!J1799,0)</f>
        <v>0</v>
      </c>
      <c r="L79" s="253">
        <f>IFERROR(aurora_data!K1799,0)</f>
        <v>0</v>
      </c>
      <c r="M79" s="253">
        <f>IFERROR(aurora_data!L1799,0)</f>
        <v>0</v>
      </c>
      <c r="N79" s="254">
        <f>IFERROR(aurora_data!M1799,0)</f>
        <v>0</v>
      </c>
      <c r="O79" s="113">
        <f>IFERROR(aurora_data!N1799,0)</f>
        <v>0</v>
      </c>
      <c r="P79" s="253">
        <f>IFERROR(aurora_data!O1799,0)</f>
        <v>0</v>
      </c>
      <c r="Q79" s="253">
        <f>IFERROR(aurora_data!P1799,0)</f>
        <v>0</v>
      </c>
      <c r="R79" s="254">
        <f>IFERROR(aurora_data!Q1799,0)</f>
        <v>0</v>
      </c>
      <c r="S79" s="253">
        <f>IFERROR(aurora_data!R1799,0)</f>
        <v>0</v>
      </c>
      <c r="T79" s="253">
        <f>IFERROR(aurora_data!S1799,0)</f>
        <v>0</v>
      </c>
      <c r="U79" s="254">
        <f>IFERROR(aurora_data!T1399,0)</f>
        <v>0</v>
      </c>
      <c r="V79" s="61" t="s">
        <v>354</v>
      </c>
      <c r="W79" s="113">
        <f>IFERROR(aurora_data!U1799,0)</f>
        <v>0</v>
      </c>
      <c r="X79" s="255">
        <f t="shared" si="15"/>
        <v>0</v>
      </c>
      <c r="Y79" s="2"/>
      <c r="AA79" s="452"/>
      <c r="AB79" s="454"/>
      <c r="AC79" s="35" t="s">
        <v>298</v>
      </c>
      <c r="AD79" s="113">
        <f>IFERROR(aurora_data!D1799,0)+IFERROR(aurora_data!E1799,0)</f>
        <v>0</v>
      </c>
      <c r="AE79" s="253">
        <f>IFERROR(aurora_data!F1799,0)</f>
        <v>0</v>
      </c>
      <c r="AF79" s="253">
        <f>IFERROR(aurora_data!G1799,0)</f>
        <v>0</v>
      </c>
      <c r="AG79" s="253">
        <f>IFERROR(aurora_data!H1799,0)</f>
        <v>0</v>
      </c>
      <c r="AH79" s="61" t="s">
        <v>354</v>
      </c>
      <c r="AI79" s="113">
        <f>IFERROR(aurora_data!U1799,0)</f>
        <v>0</v>
      </c>
      <c r="AJ79" s="255">
        <f t="shared" si="14"/>
        <v>0</v>
      </c>
    </row>
    <row r="80" spans="1:36" customFormat="1">
      <c r="A80" s="2"/>
      <c r="B80" s="561"/>
      <c r="C80" s="454"/>
      <c r="D80" s="35" t="s">
        <v>341</v>
      </c>
      <c r="E80" s="113">
        <f>IFERROR(aurora_data!D1800,0)</f>
        <v>0</v>
      </c>
      <c r="F80" s="253">
        <f>IFERROR(aurora_data!E1800,0)</f>
        <v>0</v>
      </c>
      <c r="G80" s="253">
        <f>IFERROR(aurora_data!F1800,0)</f>
        <v>0</v>
      </c>
      <c r="H80" s="253">
        <f>IFERROR(aurora_data!G1800,0)</f>
        <v>0</v>
      </c>
      <c r="I80" s="254">
        <f>IFERROR(aurora_data!H1800,0)</f>
        <v>0</v>
      </c>
      <c r="J80" s="113">
        <f>IFERROR(aurora_data!I1800,0)</f>
        <v>0</v>
      </c>
      <c r="K80" s="253">
        <f>IFERROR(aurora_data!J1800,0)</f>
        <v>0</v>
      </c>
      <c r="L80" s="253">
        <f>IFERROR(aurora_data!K1800,0)</f>
        <v>0</v>
      </c>
      <c r="M80" s="253">
        <f>IFERROR(aurora_data!L1800,0)</f>
        <v>0</v>
      </c>
      <c r="N80" s="254">
        <f>IFERROR(aurora_data!M1800,0)</f>
        <v>0</v>
      </c>
      <c r="O80" s="113">
        <f>IFERROR(aurora_data!N1800,0)</f>
        <v>0</v>
      </c>
      <c r="P80" s="253">
        <f>IFERROR(aurora_data!O1800,0)</f>
        <v>0</v>
      </c>
      <c r="Q80" s="253">
        <f>IFERROR(aurora_data!P1800,0)</f>
        <v>0</v>
      </c>
      <c r="R80" s="254">
        <f>IFERROR(aurora_data!Q1800,0)</f>
        <v>0</v>
      </c>
      <c r="S80" s="253">
        <f>IFERROR(aurora_data!R1800,0)</f>
        <v>0</v>
      </c>
      <c r="T80" s="253">
        <f>IFERROR(aurora_data!S1800,0)</f>
        <v>0</v>
      </c>
      <c r="U80" s="254">
        <f>IFERROR(aurora_data!T1400,0)</f>
        <v>0</v>
      </c>
      <c r="V80" s="61" t="s">
        <v>354</v>
      </c>
      <c r="W80" s="113">
        <f>IFERROR(aurora_data!U1800,0)</f>
        <v>0</v>
      </c>
      <c r="X80" s="255">
        <f t="shared" si="15"/>
        <v>0</v>
      </c>
      <c r="Y80" s="2"/>
      <c r="AA80" s="452"/>
      <c r="AB80" s="454"/>
      <c r="AC80" s="35" t="s">
        <v>341</v>
      </c>
      <c r="AD80" s="113">
        <f>IFERROR(aurora_data!D1800,0)+IFERROR(aurora_data!E1800,0)</f>
        <v>0</v>
      </c>
      <c r="AE80" s="253">
        <f>IFERROR(aurora_data!F1800,0)</f>
        <v>0</v>
      </c>
      <c r="AF80" s="253">
        <f>IFERROR(aurora_data!G1800,0)</f>
        <v>0</v>
      </c>
      <c r="AG80" s="253">
        <f>IFERROR(aurora_data!H1800,0)</f>
        <v>0</v>
      </c>
      <c r="AH80" s="61" t="s">
        <v>354</v>
      </c>
      <c r="AI80" s="113">
        <f>IFERROR(aurora_data!U1800,0)</f>
        <v>0</v>
      </c>
      <c r="AJ80" s="255">
        <f t="shared" si="14"/>
        <v>0</v>
      </c>
    </row>
    <row r="81" spans="1:36" customFormat="1" ht="16.5" thickBot="1">
      <c r="A81" s="2"/>
      <c r="B81" s="561"/>
      <c r="C81" s="454"/>
      <c r="D81" s="35" t="s">
        <v>342</v>
      </c>
      <c r="E81" s="113">
        <f>IFERROR(aurora_data!D1801,0)</f>
        <v>0</v>
      </c>
      <c r="F81" s="253">
        <f>IFERROR(aurora_data!E1801,0)</f>
        <v>0</v>
      </c>
      <c r="G81" s="253">
        <f>IFERROR(aurora_data!F1801,0)</f>
        <v>0</v>
      </c>
      <c r="H81" s="253">
        <f>IFERROR(aurora_data!G1801,0)</f>
        <v>0</v>
      </c>
      <c r="I81" s="254">
        <f>IFERROR(aurora_data!H1801,0)</f>
        <v>0</v>
      </c>
      <c r="J81" s="113">
        <f>IFERROR(aurora_data!I1801,0)</f>
        <v>0</v>
      </c>
      <c r="K81" s="253">
        <f>IFERROR(aurora_data!J1801,0)</f>
        <v>0</v>
      </c>
      <c r="L81" s="253">
        <f>IFERROR(aurora_data!K1801,0)</f>
        <v>0</v>
      </c>
      <c r="M81" s="253">
        <f>IFERROR(aurora_data!L1801,0)</f>
        <v>0</v>
      </c>
      <c r="N81" s="254">
        <f>IFERROR(aurora_data!M1801,0)</f>
        <v>0</v>
      </c>
      <c r="O81" s="113">
        <f>IFERROR(aurora_data!N1801,0)</f>
        <v>0</v>
      </c>
      <c r="P81" s="253">
        <f>IFERROR(aurora_data!O1801,0)</f>
        <v>0</v>
      </c>
      <c r="Q81" s="253">
        <f>IFERROR(aurora_data!P1801,0)</f>
        <v>0</v>
      </c>
      <c r="R81" s="254">
        <f>IFERROR(aurora_data!Q1801,0)</f>
        <v>0</v>
      </c>
      <c r="S81" s="253">
        <f>IFERROR(aurora_data!R1801,0)</f>
        <v>0</v>
      </c>
      <c r="T81" s="253">
        <f>IFERROR(aurora_data!S1801,0)</f>
        <v>0</v>
      </c>
      <c r="U81" s="254">
        <f>IFERROR(aurora_data!T1401,0)</f>
        <v>0</v>
      </c>
      <c r="V81" s="61" t="s">
        <v>354</v>
      </c>
      <c r="W81" s="113">
        <f>IFERROR(aurora_data!U1801,0)</f>
        <v>0</v>
      </c>
      <c r="X81" s="255">
        <f t="shared" si="15"/>
        <v>0</v>
      </c>
      <c r="Y81" s="2"/>
      <c r="AA81" s="452"/>
      <c r="AB81" s="454"/>
      <c r="AC81" s="35" t="s">
        <v>342</v>
      </c>
      <c r="AD81" s="113">
        <f>IFERROR(aurora_data!D1801,0)+IFERROR(aurora_data!E1801,0)</f>
        <v>0</v>
      </c>
      <c r="AE81" s="253">
        <f>IFERROR(aurora_data!F1801,0)</f>
        <v>0</v>
      </c>
      <c r="AF81" s="253">
        <f>IFERROR(aurora_data!G1801,0)</f>
        <v>0</v>
      </c>
      <c r="AG81" s="253">
        <f>IFERROR(aurora_data!H1801,0)</f>
        <v>0</v>
      </c>
      <c r="AH81" s="61" t="s">
        <v>354</v>
      </c>
      <c r="AI81" s="113">
        <f>IFERROR(aurora_data!U1801,0)</f>
        <v>0</v>
      </c>
      <c r="AJ81" s="255">
        <f t="shared" si="14"/>
        <v>0</v>
      </c>
    </row>
    <row r="82" spans="1:36" customFormat="1" ht="16.5" thickBot="1">
      <c r="A82" s="2"/>
      <c r="B82" s="561"/>
      <c r="C82" s="454"/>
      <c r="D82" s="37" t="s">
        <v>17</v>
      </c>
      <c r="E82" s="59">
        <f>IFERROR(aurora_data!D1802,0)</f>
        <v>1</v>
      </c>
      <c r="F82" s="64">
        <f>IFERROR(aurora_data!E1802,0)</f>
        <v>1</v>
      </c>
      <c r="G82" s="64">
        <f>IFERROR(aurora_data!F1802,0)</f>
        <v>2</v>
      </c>
      <c r="H82" s="64">
        <f>IFERROR(aurora_data!G1802,0)</f>
        <v>3</v>
      </c>
      <c r="I82" s="65">
        <f>IFERROR(aurora_data!H1802,0)</f>
        <v>3</v>
      </c>
      <c r="J82" s="59">
        <f>IFERROR(aurora_data!I1802,0)</f>
        <v>1</v>
      </c>
      <c r="K82" s="64">
        <f>IFERROR(aurora_data!J1802,0)</f>
        <v>3</v>
      </c>
      <c r="L82" s="64">
        <f>IFERROR(aurora_data!K1802,0)</f>
        <v>3</v>
      </c>
      <c r="M82" s="64">
        <f>IFERROR(aurora_data!L1802,0)</f>
        <v>1</v>
      </c>
      <c r="N82" s="65">
        <f>IFERROR(aurora_data!M1802,0)</f>
        <v>2</v>
      </c>
      <c r="O82" s="59">
        <f>IFERROR(aurora_data!N1802,0)</f>
        <v>1</v>
      </c>
      <c r="P82" s="64">
        <f>IFERROR(aurora_data!O1802,0)</f>
        <v>1</v>
      </c>
      <c r="Q82" s="64">
        <f>IFERROR(aurora_data!P1802,0)</f>
        <v>6</v>
      </c>
      <c r="R82" s="65">
        <f>IFERROR(aurora_data!Q1802,0)</f>
        <v>2</v>
      </c>
      <c r="S82" s="64">
        <f>IFERROR(aurora_data!R1802,0)</f>
        <v>5</v>
      </c>
      <c r="T82" s="64">
        <f>IFERROR(aurora_data!S1802,0)</f>
        <v>5</v>
      </c>
      <c r="U82" s="65">
        <f>IFERROR(aurora_data!T1402,0)</f>
        <v>0</v>
      </c>
      <c r="V82" s="66" t="s">
        <v>354</v>
      </c>
      <c r="W82" s="59">
        <f>IFERROR(aurora_data!U1802,0)</f>
        <v>10</v>
      </c>
      <c r="X82" s="70">
        <f t="shared" si="15"/>
        <v>1.1111111111111112</v>
      </c>
      <c r="Y82" s="2"/>
      <c r="AA82" s="452"/>
      <c r="AB82" s="454"/>
      <c r="AC82" s="37" t="s">
        <v>17</v>
      </c>
      <c r="AD82" s="59">
        <f>IFERROR(aurora_data!D1802,0)+IFERROR(aurora_data!E1802,0)</f>
        <v>2</v>
      </c>
      <c r="AE82" s="64">
        <f>IFERROR(aurora_data!F1802,0)</f>
        <v>2</v>
      </c>
      <c r="AF82" s="64">
        <f>IFERROR(aurora_data!G1802,0)</f>
        <v>3</v>
      </c>
      <c r="AG82" s="64">
        <f>IFERROR(aurora_data!H1802,0)</f>
        <v>3</v>
      </c>
      <c r="AH82" s="66" t="s">
        <v>354</v>
      </c>
      <c r="AI82" s="59">
        <f>IFERROR(aurora_data!U1802,0)</f>
        <v>10</v>
      </c>
      <c r="AJ82" s="70">
        <f t="shared" si="14"/>
        <v>1.1111111111111112</v>
      </c>
    </row>
    <row r="83" spans="1:36" customFormat="1" ht="16.5" thickBot="1">
      <c r="A83" s="2"/>
      <c r="B83" s="561"/>
      <c r="C83" s="454"/>
      <c r="D83" s="38" t="s">
        <v>343</v>
      </c>
      <c r="E83" s="256">
        <f>IFERROR(aurora_data!D1803,0)</f>
        <v>0</v>
      </c>
      <c r="F83" s="257">
        <f>IFERROR(aurora_data!E1803,0)</f>
        <v>0</v>
      </c>
      <c r="G83" s="257">
        <f>IFERROR(aurora_data!F1803,0)</f>
        <v>0</v>
      </c>
      <c r="H83" s="257">
        <f>IFERROR(aurora_data!G1803,0)</f>
        <v>0</v>
      </c>
      <c r="I83" s="258">
        <f>IFERROR(aurora_data!H1803,0)</f>
        <v>0</v>
      </c>
      <c r="J83" s="256">
        <f>IFERROR(aurora_data!I1803,0)</f>
        <v>0</v>
      </c>
      <c r="K83" s="257">
        <f>IFERROR(aurora_data!J1803,0)</f>
        <v>0</v>
      </c>
      <c r="L83" s="257">
        <f>IFERROR(aurora_data!K1803,0)</f>
        <v>0</v>
      </c>
      <c r="M83" s="257">
        <f>IFERROR(aurora_data!L1803,0)</f>
        <v>0</v>
      </c>
      <c r="N83" s="258">
        <f>IFERROR(aurora_data!M1803,0)</f>
        <v>0</v>
      </c>
      <c r="O83" s="256">
        <f>IFERROR(aurora_data!N1803,0)</f>
        <v>0</v>
      </c>
      <c r="P83" s="257">
        <f>IFERROR(aurora_data!O1803,0)</f>
        <v>0</v>
      </c>
      <c r="Q83" s="257">
        <f>IFERROR(aurora_data!P1803,0)</f>
        <v>0</v>
      </c>
      <c r="R83" s="258">
        <f>IFERROR(aurora_data!Q1803,0)</f>
        <v>0</v>
      </c>
      <c r="S83" s="257">
        <f>IFERROR(aurora_data!R1803,0)</f>
        <v>0</v>
      </c>
      <c r="T83" s="257">
        <f>IFERROR(aurora_data!S1803,0)</f>
        <v>0</v>
      </c>
      <c r="U83" s="259">
        <f>IFERROR(aurora_data!T1403,0)</f>
        <v>0</v>
      </c>
      <c r="V83" s="260" t="s">
        <v>354</v>
      </c>
      <c r="W83" s="256">
        <f>IFERROR(aurora_data!U1803,0)</f>
        <v>0</v>
      </c>
      <c r="X83" s="261">
        <f t="shared" si="15"/>
        <v>0</v>
      </c>
      <c r="Y83" s="2"/>
      <c r="AA83" s="452"/>
      <c r="AB83" s="454"/>
      <c r="AC83" s="38" t="s">
        <v>343</v>
      </c>
      <c r="AD83" s="256">
        <f>IFERROR(aurora_data!D1803,0)+IFERROR(aurora_data!E1803,0)</f>
        <v>0</v>
      </c>
      <c r="AE83" s="257">
        <f>IFERROR(aurora_data!F1803,0)</f>
        <v>0</v>
      </c>
      <c r="AF83" s="257">
        <f>IFERROR(aurora_data!G1803,0)</f>
        <v>0</v>
      </c>
      <c r="AG83" s="257">
        <f>IFERROR(aurora_data!H1803,0)</f>
        <v>0</v>
      </c>
      <c r="AH83" s="260" t="s">
        <v>354</v>
      </c>
      <c r="AI83" s="256">
        <f>IFERROR(aurora_data!U1803,0)</f>
        <v>0</v>
      </c>
      <c r="AJ83" s="261">
        <f t="shared" si="14"/>
        <v>0</v>
      </c>
    </row>
    <row r="84" spans="1:36" customFormat="1">
      <c r="A84" s="2"/>
      <c r="B84" s="560" t="s">
        <v>362</v>
      </c>
      <c r="C84" s="453" t="str">
        <f>aurora_data!A1804</f>
        <v>14.00.00-14.11.30</v>
      </c>
      <c r="D84" s="34" t="s">
        <v>306</v>
      </c>
      <c r="E84" s="39">
        <f>IFERROR(aurora_data!D1804,0)</f>
        <v>0.36</v>
      </c>
      <c r="F84" s="40">
        <f>IFERROR(aurora_data!E1804,0)</f>
        <v>0.61</v>
      </c>
      <c r="G84" s="40">
        <f>IFERROR(aurora_data!F1804,0)</f>
        <v>1.81</v>
      </c>
      <c r="H84" s="40">
        <f>IFERROR(aurora_data!G1804,0)</f>
        <v>2.84</v>
      </c>
      <c r="I84" s="41">
        <f>IFERROR(aurora_data!H1804,0)</f>
        <v>3.38</v>
      </c>
      <c r="J84" s="39">
        <f>IFERROR(aurora_data!I1804,0)</f>
        <v>1</v>
      </c>
      <c r="K84" s="40">
        <f>IFERROR(aurora_data!J1804,0)</f>
        <v>1</v>
      </c>
      <c r="L84" s="40">
        <f>IFERROR(aurora_data!K1804,0)</f>
        <v>1</v>
      </c>
      <c r="M84" s="40">
        <f>IFERROR(aurora_data!L1804,0)</f>
        <v>1</v>
      </c>
      <c r="N84" s="41">
        <f>IFERROR(aurora_data!M1804,0)</f>
        <v>1</v>
      </c>
      <c r="O84" s="39">
        <f>IFERROR(aurora_data!N1804,0)</f>
        <v>1</v>
      </c>
      <c r="P84" s="40">
        <f>IFERROR(aurora_data!O1804,0)</f>
        <v>1</v>
      </c>
      <c r="Q84" s="40">
        <f>IFERROR(aurora_data!P1804,0)</f>
        <v>1</v>
      </c>
      <c r="R84" s="41">
        <f>IFERROR(aurora_data!Q1804,0)</f>
        <v>1</v>
      </c>
      <c r="S84" s="40">
        <f>IFERROR(aurora_data!R1804,0)</f>
        <v>1</v>
      </c>
      <c r="T84" s="40">
        <f>IFERROR(aurora_data!S1804,0)</f>
        <v>1</v>
      </c>
      <c r="U84" s="41">
        <f>IFERROR(aurora_data!T1404,0)</f>
        <v>0</v>
      </c>
      <c r="V84" s="61" t="s">
        <v>354</v>
      </c>
      <c r="W84" s="39">
        <f>IFERROR(aurora_data!U1804,0)</f>
        <v>9</v>
      </c>
      <c r="X84" s="69">
        <f>IFERROR(W84/$W$84,0)</f>
        <v>1</v>
      </c>
      <c r="Y84" s="2"/>
      <c r="AA84" s="451" t="s">
        <v>338</v>
      </c>
      <c r="AB84" s="453" t="str">
        <f>aurora_data!A1804</f>
        <v>14.00.00-14.11.30</v>
      </c>
      <c r="AC84" s="34" t="s">
        <v>306</v>
      </c>
      <c r="AD84" s="338">
        <v>2</v>
      </c>
      <c r="AE84" s="40">
        <f>IFERROR(aurora_data!F1804,0)</f>
        <v>1.81</v>
      </c>
      <c r="AF84" s="40">
        <f>IFERROR(aurora_data!G1804,0)</f>
        <v>2.84</v>
      </c>
      <c r="AG84" s="337">
        <v>2</v>
      </c>
      <c r="AH84" s="61" t="s">
        <v>354</v>
      </c>
      <c r="AI84" s="39">
        <f>IFERROR(aurora_data!U1804,0)</f>
        <v>9</v>
      </c>
      <c r="AJ84" s="69">
        <f t="shared" ref="AJ84:AJ92" si="16">IFERROR(AI84/$AI$84,0)</f>
        <v>1</v>
      </c>
    </row>
    <row r="85" spans="1:36" customFormat="1">
      <c r="A85" s="2"/>
      <c r="B85" s="561"/>
      <c r="C85" s="454"/>
      <c r="D85" s="35" t="s">
        <v>339</v>
      </c>
      <c r="E85" s="113">
        <f>IFERROR(aurora_data!D1805,0)</f>
        <v>2</v>
      </c>
      <c r="F85" s="253">
        <f>IFERROR(aurora_data!E1805,0)</f>
        <v>0</v>
      </c>
      <c r="G85" s="253">
        <f>IFERROR(aurora_data!F1805,0)</f>
        <v>2</v>
      </c>
      <c r="H85" s="253">
        <f>IFERROR(aurora_data!G1805,0)</f>
        <v>3</v>
      </c>
      <c r="I85" s="254">
        <f>IFERROR(aurora_data!H1805,0)</f>
        <v>2</v>
      </c>
      <c r="J85" s="113">
        <f>IFERROR(aurora_data!I1805,0)</f>
        <v>1</v>
      </c>
      <c r="K85" s="253">
        <f>IFERROR(aurora_data!J1805,0)</f>
        <v>2</v>
      </c>
      <c r="L85" s="253">
        <f>IFERROR(aurora_data!K1805,0)</f>
        <v>2</v>
      </c>
      <c r="M85" s="253">
        <f>IFERROR(aurora_data!L1805,0)</f>
        <v>1</v>
      </c>
      <c r="N85" s="254">
        <f>IFERROR(aurora_data!M1805,0)</f>
        <v>3</v>
      </c>
      <c r="O85" s="113">
        <f>IFERROR(aurora_data!N1805,0)</f>
        <v>0</v>
      </c>
      <c r="P85" s="253">
        <f>IFERROR(aurora_data!O1805,0)</f>
        <v>1</v>
      </c>
      <c r="Q85" s="253">
        <f>IFERROR(aurora_data!P1805,0)</f>
        <v>6</v>
      </c>
      <c r="R85" s="254">
        <f>IFERROR(aurora_data!Q1805,0)</f>
        <v>2</v>
      </c>
      <c r="S85" s="253">
        <f>IFERROR(aurora_data!R1805,0)</f>
        <v>6</v>
      </c>
      <c r="T85" s="253">
        <f>IFERROR(aurora_data!S1805,0)</f>
        <v>3</v>
      </c>
      <c r="U85" s="254">
        <f>IFERROR(aurora_data!T1405,0)</f>
        <v>0</v>
      </c>
      <c r="V85" s="61" t="s">
        <v>354</v>
      </c>
      <c r="W85" s="113">
        <f>IFERROR(aurora_data!U1805,0)</f>
        <v>9</v>
      </c>
      <c r="X85" s="255">
        <f t="shared" ref="X85:X92" si="17">IFERROR(W85/$W$84,0)</f>
        <v>1</v>
      </c>
      <c r="Y85" s="2"/>
      <c r="AA85" s="452"/>
      <c r="AB85" s="454"/>
      <c r="AC85" s="35" t="s">
        <v>339</v>
      </c>
      <c r="AD85" s="113">
        <f>IFERROR(aurora_data!D1805,0)+IFERROR(aurora_data!E1805,0)</f>
        <v>2</v>
      </c>
      <c r="AE85" s="253">
        <f>IFERROR(aurora_data!F1805,0)</f>
        <v>2</v>
      </c>
      <c r="AF85" s="253">
        <f>IFERROR(aurora_data!G1805,0)</f>
        <v>3</v>
      </c>
      <c r="AG85" s="253">
        <f>IFERROR(aurora_data!H1805,0)</f>
        <v>2</v>
      </c>
      <c r="AH85" s="61" t="s">
        <v>354</v>
      </c>
      <c r="AI85" s="113">
        <f>IFERROR(aurora_data!U1805,0)</f>
        <v>9</v>
      </c>
      <c r="AJ85" s="255">
        <f t="shared" si="16"/>
        <v>1</v>
      </c>
    </row>
    <row r="86" spans="1:36" customFormat="1">
      <c r="A86" s="2"/>
      <c r="B86" s="561"/>
      <c r="C86" s="454"/>
      <c r="D86" s="35" t="s">
        <v>291</v>
      </c>
      <c r="E86" s="113">
        <f>IFERROR(aurora_data!D1806,0)</f>
        <v>0</v>
      </c>
      <c r="F86" s="253">
        <f>IFERROR(aurora_data!E1806,0)</f>
        <v>0</v>
      </c>
      <c r="G86" s="253">
        <f>IFERROR(aurora_data!F1806,0)</f>
        <v>0</v>
      </c>
      <c r="H86" s="253">
        <f>IFERROR(aurora_data!G1806,0)</f>
        <v>0</v>
      </c>
      <c r="I86" s="254">
        <f>IFERROR(aurora_data!H1806,0)</f>
        <v>0</v>
      </c>
      <c r="J86" s="113">
        <f>IFERROR(aurora_data!I1806,0)</f>
        <v>0</v>
      </c>
      <c r="K86" s="253">
        <f>IFERROR(aurora_data!J1806,0)</f>
        <v>0</v>
      </c>
      <c r="L86" s="253">
        <f>IFERROR(aurora_data!K1806,0)</f>
        <v>0</v>
      </c>
      <c r="M86" s="253">
        <f>IFERROR(aurora_data!L1806,0)</f>
        <v>0</v>
      </c>
      <c r="N86" s="254">
        <f>IFERROR(aurora_data!M1806,0)</f>
        <v>0</v>
      </c>
      <c r="O86" s="113">
        <f>IFERROR(aurora_data!N1806,0)</f>
        <v>0</v>
      </c>
      <c r="P86" s="253">
        <f>IFERROR(aurora_data!O1806,0)</f>
        <v>0</v>
      </c>
      <c r="Q86" s="253">
        <f>IFERROR(aurora_data!P1806,0)</f>
        <v>0</v>
      </c>
      <c r="R86" s="254">
        <f>IFERROR(aurora_data!Q1806,0)</f>
        <v>0</v>
      </c>
      <c r="S86" s="253">
        <f>IFERROR(aurora_data!R1806,0)</f>
        <v>0</v>
      </c>
      <c r="T86" s="253">
        <f>IFERROR(aurora_data!S1806,0)</f>
        <v>0</v>
      </c>
      <c r="U86" s="254">
        <f>IFERROR(aurora_data!T1406,0)</f>
        <v>0</v>
      </c>
      <c r="V86" s="61" t="s">
        <v>354</v>
      </c>
      <c r="W86" s="113">
        <f>IFERROR(aurora_data!U1806,0)</f>
        <v>0</v>
      </c>
      <c r="X86" s="255">
        <f t="shared" si="17"/>
        <v>0</v>
      </c>
      <c r="Y86" s="2"/>
      <c r="AA86" s="452"/>
      <c r="AB86" s="454"/>
      <c r="AC86" s="35" t="s">
        <v>291</v>
      </c>
      <c r="AD86" s="113">
        <f>IFERROR(aurora_data!D1806,0)+IFERROR(aurora_data!E1806,0)</f>
        <v>0</v>
      </c>
      <c r="AE86" s="253">
        <f>IFERROR(aurora_data!F1806,0)</f>
        <v>0</v>
      </c>
      <c r="AF86" s="253">
        <f>IFERROR(aurora_data!G1806,0)</f>
        <v>0</v>
      </c>
      <c r="AG86" s="253">
        <f>IFERROR(aurora_data!H1806,0)</f>
        <v>0</v>
      </c>
      <c r="AH86" s="61" t="s">
        <v>354</v>
      </c>
      <c r="AI86" s="113">
        <f>IFERROR(aurora_data!U1806,0)</f>
        <v>0</v>
      </c>
      <c r="AJ86" s="255">
        <f t="shared" si="16"/>
        <v>0</v>
      </c>
    </row>
    <row r="87" spans="1:36" customFormat="1">
      <c r="A87" s="2"/>
      <c r="B87" s="561"/>
      <c r="C87" s="454"/>
      <c r="D87" s="35" t="s">
        <v>340</v>
      </c>
      <c r="E87" s="113">
        <f>IFERROR(aurora_data!D1807,0)</f>
        <v>0</v>
      </c>
      <c r="F87" s="253">
        <f>IFERROR(aurora_data!E1807,0)</f>
        <v>0</v>
      </c>
      <c r="G87" s="253">
        <f>IFERROR(aurora_data!F1807,0)</f>
        <v>0</v>
      </c>
      <c r="H87" s="253">
        <f>IFERROR(aurora_data!G1807,0)</f>
        <v>0</v>
      </c>
      <c r="I87" s="254">
        <f>IFERROR(aurora_data!H1807,0)</f>
        <v>0</v>
      </c>
      <c r="J87" s="113">
        <f>IFERROR(aurora_data!I1807,0)</f>
        <v>0</v>
      </c>
      <c r="K87" s="253">
        <f>IFERROR(aurora_data!J1807,0)</f>
        <v>0</v>
      </c>
      <c r="L87" s="253">
        <f>IFERROR(aurora_data!K1807,0)</f>
        <v>0</v>
      </c>
      <c r="M87" s="253">
        <f>IFERROR(aurora_data!L1807,0)</f>
        <v>0</v>
      </c>
      <c r="N87" s="254">
        <f>IFERROR(aurora_data!M1807,0)</f>
        <v>0</v>
      </c>
      <c r="O87" s="113">
        <f>IFERROR(aurora_data!N1807,0)</f>
        <v>0</v>
      </c>
      <c r="P87" s="253">
        <f>IFERROR(aurora_data!O1807,0)</f>
        <v>0</v>
      </c>
      <c r="Q87" s="253">
        <f>IFERROR(aurora_data!P1807,0)</f>
        <v>0</v>
      </c>
      <c r="R87" s="254">
        <f>IFERROR(aurora_data!Q1807,0)</f>
        <v>0</v>
      </c>
      <c r="S87" s="253">
        <f>IFERROR(aurora_data!R1807,0)</f>
        <v>0</v>
      </c>
      <c r="T87" s="253">
        <f>IFERROR(aurora_data!S1807,0)</f>
        <v>0</v>
      </c>
      <c r="U87" s="254">
        <f>IFERROR(aurora_data!T1407,0)</f>
        <v>0</v>
      </c>
      <c r="V87" s="61" t="s">
        <v>354</v>
      </c>
      <c r="W87" s="113">
        <f>IFERROR(aurora_data!U1807,0)</f>
        <v>0</v>
      </c>
      <c r="X87" s="255">
        <f t="shared" si="17"/>
        <v>0</v>
      </c>
      <c r="Y87" s="2"/>
      <c r="AA87" s="452"/>
      <c r="AB87" s="454"/>
      <c r="AC87" s="35" t="s">
        <v>340</v>
      </c>
      <c r="AD87" s="113">
        <f>IFERROR(aurora_data!D1807,0)+IFERROR(aurora_data!E1807,0)</f>
        <v>0</v>
      </c>
      <c r="AE87" s="253">
        <f>IFERROR(aurora_data!F1807,0)</f>
        <v>0</v>
      </c>
      <c r="AF87" s="253">
        <f>IFERROR(aurora_data!G1807,0)</f>
        <v>0</v>
      </c>
      <c r="AG87" s="253">
        <f>IFERROR(aurora_data!H1807,0)</f>
        <v>0</v>
      </c>
      <c r="AH87" s="61" t="s">
        <v>354</v>
      </c>
      <c r="AI87" s="113">
        <f>IFERROR(aurora_data!U1807,0)</f>
        <v>0</v>
      </c>
      <c r="AJ87" s="255">
        <f t="shared" si="16"/>
        <v>0</v>
      </c>
    </row>
    <row r="88" spans="1:36" customFormat="1">
      <c r="A88" s="2"/>
      <c r="B88" s="561"/>
      <c r="C88" s="454"/>
      <c r="D88" s="35" t="s">
        <v>298</v>
      </c>
      <c r="E88" s="113">
        <f>IFERROR(aurora_data!D1808,0)</f>
        <v>0</v>
      </c>
      <c r="F88" s="253">
        <f>IFERROR(aurora_data!E1808,0)</f>
        <v>0</v>
      </c>
      <c r="G88" s="253">
        <f>IFERROR(aurora_data!F1808,0)</f>
        <v>0</v>
      </c>
      <c r="H88" s="253">
        <f>IFERROR(aurora_data!G1808,0)</f>
        <v>0</v>
      </c>
      <c r="I88" s="254">
        <f>IFERROR(aurora_data!H1808,0)</f>
        <v>1</v>
      </c>
      <c r="J88" s="113">
        <f>IFERROR(aurora_data!I1808,0)</f>
        <v>1</v>
      </c>
      <c r="K88" s="253">
        <f>IFERROR(aurora_data!J1808,0)</f>
        <v>0</v>
      </c>
      <c r="L88" s="253">
        <f>IFERROR(aurora_data!K1808,0)</f>
        <v>0</v>
      </c>
      <c r="M88" s="253">
        <f>IFERROR(aurora_data!L1808,0)</f>
        <v>0</v>
      </c>
      <c r="N88" s="254">
        <f>IFERROR(aurora_data!M1808,0)</f>
        <v>0</v>
      </c>
      <c r="O88" s="113">
        <f>IFERROR(aurora_data!N1808,0)</f>
        <v>1</v>
      </c>
      <c r="P88" s="253">
        <f>IFERROR(aurora_data!O1808,0)</f>
        <v>0</v>
      </c>
      <c r="Q88" s="253">
        <f>IFERROR(aurora_data!P1808,0)</f>
        <v>0</v>
      </c>
      <c r="R88" s="254">
        <f>IFERROR(aurora_data!Q1808,0)</f>
        <v>0</v>
      </c>
      <c r="S88" s="253">
        <f>IFERROR(aurora_data!R1808,0)</f>
        <v>1</v>
      </c>
      <c r="T88" s="253">
        <f>IFERROR(aurora_data!S1808,0)</f>
        <v>0</v>
      </c>
      <c r="U88" s="254">
        <f>IFERROR(aurora_data!T1408,0)</f>
        <v>0</v>
      </c>
      <c r="V88" s="61" t="s">
        <v>354</v>
      </c>
      <c r="W88" s="113">
        <f>IFERROR(aurora_data!U1808,0)</f>
        <v>1</v>
      </c>
      <c r="X88" s="255">
        <f t="shared" si="17"/>
        <v>0.1111111111111111</v>
      </c>
      <c r="Y88" s="2"/>
      <c r="AA88" s="452"/>
      <c r="AB88" s="454"/>
      <c r="AC88" s="35" t="s">
        <v>298</v>
      </c>
      <c r="AD88" s="113">
        <f>IFERROR(aurora_data!D1808,0)+IFERROR(aurora_data!E1808,0)</f>
        <v>0</v>
      </c>
      <c r="AE88" s="253">
        <f>IFERROR(aurora_data!F1808,0)</f>
        <v>0</v>
      </c>
      <c r="AF88" s="253">
        <f>IFERROR(aurora_data!G1808,0)</f>
        <v>0</v>
      </c>
      <c r="AG88" s="253">
        <f>IFERROR(aurora_data!H1808,0)</f>
        <v>1</v>
      </c>
      <c r="AH88" s="61" t="s">
        <v>354</v>
      </c>
      <c r="AI88" s="113">
        <f>IFERROR(aurora_data!U1808,0)</f>
        <v>1</v>
      </c>
      <c r="AJ88" s="255">
        <f t="shared" si="16"/>
        <v>0.1111111111111111</v>
      </c>
    </row>
    <row r="89" spans="1:36" customFormat="1">
      <c r="A89" s="2"/>
      <c r="B89" s="561"/>
      <c r="C89" s="454"/>
      <c r="D89" s="35" t="s">
        <v>341</v>
      </c>
      <c r="E89" s="113">
        <f>IFERROR(aurora_data!D1809,0)</f>
        <v>0</v>
      </c>
      <c r="F89" s="253">
        <f>IFERROR(aurora_data!E1809,0)</f>
        <v>0</v>
      </c>
      <c r="G89" s="253">
        <f>IFERROR(aurora_data!F1809,0)</f>
        <v>0</v>
      </c>
      <c r="H89" s="253">
        <f>IFERROR(aurora_data!G1809,0)</f>
        <v>0</v>
      </c>
      <c r="I89" s="254">
        <f>IFERROR(aurora_data!H1809,0)</f>
        <v>0</v>
      </c>
      <c r="J89" s="113">
        <f>IFERROR(aurora_data!I1809,0)</f>
        <v>0</v>
      </c>
      <c r="K89" s="253">
        <f>IFERROR(aurora_data!J1809,0)</f>
        <v>0</v>
      </c>
      <c r="L89" s="253">
        <f>IFERROR(aurora_data!K1809,0)</f>
        <v>0</v>
      </c>
      <c r="M89" s="253">
        <f>IFERROR(aurora_data!L1809,0)</f>
        <v>0</v>
      </c>
      <c r="N89" s="254">
        <f>IFERROR(aurora_data!M1809,0)</f>
        <v>0</v>
      </c>
      <c r="O89" s="113">
        <f>IFERROR(aurora_data!N1809,0)</f>
        <v>0</v>
      </c>
      <c r="P89" s="253">
        <f>IFERROR(aurora_data!O1809,0)</f>
        <v>0</v>
      </c>
      <c r="Q89" s="253">
        <f>IFERROR(aurora_data!P1809,0)</f>
        <v>0</v>
      </c>
      <c r="R89" s="254">
        <f>IFERROR(aurora_data!Q1809,0)</f>
        <v>0</v>
      </c>
      <c r="S89" s="253">
        <f>IFERROR(aurora_data!R1809,0)</f>
        <v>0</v>
      </c>
      <c r="T89" s="253">
        <f>IFERROR(aurora_data!S1809,0)</f>
        <v>0</v>
      </c>
      <c r="U89" s="254">
        <f>IFERROR(aurora_data!T1409,0)</f>
        <v>0</v>
      </c>
      <c r="V89" s="61" t="s">
        <v>354</v>
      </c>
      <c r="W89" s="113">
        <f>IFERROR(aurora_data!U1809,0)</f>
        <v>0</v>
      </c>
      <c r="X89" s="255">
        <f t="shared" si="17"/>
        <v>0</v>
      </c>
      <c r="Y89" s="2"/>
      <c r="AA89" s="452"/>
      <c r="AB89" s="454"/>
      <c r="AC89" s="35" t="s">
        <v>341</v>
      </c>
      <c r="AD89" s="113">
        <f>IFERROR(aurora_data!D1809,0)+IFERROR(aurora_data!E1809,0)</f>
        <v>0</v>
      </c>
      <c r="AE89" s="253">
        <f>IFERROR(aurora_data!F1809,0)</f>
        <v>0</v>
      </c>
      <c r="AF89" s="253">
        <f>IFERROR(aurora_data!G1809,0)</f>
        <v>0</v>
      </c>
      <c r="AG89" s="253">
        <f>IFERROR(aurora_data!H1809,0)</f>
        <v>0</v>
      </c>
      <c r="AH89" s="61" t="s">
        <v>354</v>
      </c>
      <c r="AI89" s="113">
        <f>IFERROR(aurora_data!U1809,0)</f>
        <v>0</v>
      </c>
      <c r="AJ89" s="255">
        <f t="shared" si="16"/>
        <v>0</v>
      </c>
    </row>
    <row r="90" spans="1:36" customFormat="1" ht="16.5" thickBot="1">
      <c r="A90" s="2"/>
      <c r="B90" s="561"/>
      <c r="C90" s="454"/>
      <c r="D90" s="35" t="s">
        <v>342</v>
      </c>
      <c r="E90" s="113">
        <f>IFERROR(aurora_data!D1810,0)</f>
        <v>0</v>
      </c>
      <c r="F90" s="253">
        <f>IFERROR(aurora_data!E1810,0)</f>
        <v>0</v>
      </c>
      <c r="G90" s="253">
        <f>IFERROR(aurora_data!F1810,0)</f>
        <v>0</v>
      </c>
      <c r="H90" s="253">
        <f>IFERROR(aurora_data!G1810,0)</f>
        <v>0</v>
      </c>
      <c r="I90" s="254">
        <f>IFERROR(aurora_data!H1810,0)</f>
        <v>0</v>
      </c>
      <c r="J90" s="113">
        <f>IFERROR(aurora_data!I1810,0)</f>
        <v>0</v>
      </c>
      <c r="K90" s="253">
        <f>IFERROR(aurora_data!J1810,0)</f>
        <v>0</v>
      </c>
      <c r="L90" s="253">
        <f>IFERROR(aurora_data!K1810,0)</f>
        <v>0</v>
      </c>
      <c r="M90" s="253">
        <f>IFERROR(aurora_data!L1810,0)</f>
        <v>0</v>
      </c>
      <c r="N90" s="254">
        <f>IFERROR(aurora_data!M1810,0)</f>
        <v>0</v>
      </c>
      <c r="O90" s="113">
        <f>IFERROR(aurora_data!N1810,0)</f>
        <v>0</v>
      </c>
      <c r="P90" s="253">
        <f>IFERROR(aurora_data!O1810,0)</f>
        <v>0</v>
      </c>
      <c r="Q90" s="253">
        <f>IFERROR(aurora_data!P1810,0)</f>
        <v>0</v>
      </c>
      <c r="R90" s="254">
        <f>IFERROR(aurora_data!Q1810,0)</f>
        <v>0</v>
      </c>
      <c r="S90" s="253">
        <f>IFERROR(aurora_data!R1810,0)</f>
        <v>0</v>
      </c>
      <c r="T90" s="253">
        <f>IFERROR(aurora_data!S1810,0)</f>
        <v>0</v>
      </c>
      <c r="U90" s="254">
        <f>IFERROR(aurora_data!T1410,0)</f>
        <v>0</v>
      </c>
      <c r="V90" s="61" t="s">
        <v>354</v>
      </c>
      <c r="W90" s="113">
        <f>IFERROR(aurora_data!U1810,0)</f>
        <v>0</v>
      </c>
      <c r="X90" s="255">
        <f t="shared" si="17"/>
        <v>0</v>
      </c>
      <c r="Y90" s="2"/>
      <c r="AA90" s="452"/>
      <c r="AB90" s="454"/>
      <c r="AC90" s="35" t="s">
        <v>342</v>
      </c>
      <c r="AD90" s="113">
        <f>IFERROR(aurora_data!D1810,0)+IFERROR(aurora_data!E1810,0)</f>
        <v>0</v>
      </c>
      <c r="AE90" s="253">
        <f>IFERROR(aurora_data!F1810,0)</f>
        <v>0</v>
      </c>
      <c r="AF90" s="253">
        <f>IFERROR(aurora_data!G1810,0)</f>
        <v>0</v>
      </c>
      <c r="AG90" s="253">
        <f>IFERROR(aurora_data!H1810,0)</f>
        <v>0</v>
      </c>
      <c r="AH90" s="61" t="s">
        <v>354</v>
      </c>
      <c r="AI90" s="113">
        <f>IFERROR(aurora_data!U1810,0)</f>
        <v>0</v>
      </c>
      <c r="AJ90" s="255">
        <f t="shared" si="16"/>
        <v>0</v>
      </c>
    </row>
    <row r="91" spans="1:36" customFormat="1" ht="16.5" thickBot="1">
      <c r="A91" s="2"/>
      <c r="B91" s="561"/>
      <c r="C91" s="454"/>
      <c r="D91" s="37" t="s">
        <v>17</v>
      </c>
      <c r="E91" s="59">
        <f>IFERROR(aurora_data!D1811,0)</f>
        <v>2</v>
      </c>
      <c r="F91" s="64">
        <f>IFERROR(aurora_data!E1811,0)</f>
        <v>0</v>
      </c>
      <c r="G91" s="64">
        <f>IFERROR(aurora_data!F1811,0)</f>
        <v>2</v>
      </c>
      <c r="H91" s="64">
        <f>IFERROR(aurora_data!G1811,0)</f>
        <v>3</v>
      </c>
      <c r="I91" s="65">
        <f>IFERROR(aurora_data!H1811,0)</f>
        <v>3</v>
      </c>
      <c r="J91" s="59">
        <f>IFERROR(aurora_data!I1811,0)</f>
        <v>2</v>
      </c>
      <c r="K91" s="64">
        <f>IFERROR(aurora_data!J1811,0)</f>
        <v>2</v>
      </c>
      <c r="L91" s="64">
        <f>IFERROR(aurora_data!K1811,0)</f>
        <v>2</v>
      </c>
      <c r="M91" s="64">
        <f>IFERROR(aurora_data!L1811,0)</f>
        <v>1</v>
      </c>
      <c r="N91" s="65">
        <f>IFERROR(aurora_data!M1811,0)</f>
        <v>3</v>
      </c>
      <c r="O91" s="59">
        <f>IFERROR(aurora_data!N1811,0)</f>
        <v>1</v>
      </c>
      <c r="P91" s="64">
        <f>IFERROR(aurora_data!O1811,0)</f>
        <v>1</v>
      </c>
      <c r="Q91" s="64">
        <f>IFERROR(aurora_data!P1811,0)</f>
        <v>6</v>
      </c>
      <c r="R91" s="65">
        <f>IFERROR(aurora_data!Q1811,0)</f>
        <v>2</v>
      </c>
      <c r="S91" s="64">
        <f>IFERROR(aurora_data!R1811,0)</f>
        <v>7</v>
      </c>
      <c r="T91" s="64">
        <f>IFERROR(aurora_data!S1811,0)</f>
        <v>3</v>
      </c>
      <c r="U91" s="65">
        <f>IFERROR(aurora_data!T1411,0)</f>
        <v>0</v>
      </c>
      <c r="V91" s="66" t="s">
        <v>354</v>
      </c>
      <c r="W91" s="59">
        <f>IFERROR(aurora_data!U1811,0)</f>
        <v>10</v>
      </c>
      <c r="X91" s="70">
        <f t="shared" si="17"/>
        <v>1.1111111111111112</v>
      </c>
      <c r="Y91" s="2"/>
      <c r="AA91" s="452"/>
      <c r="AB91" s="454"/>
      <c r="AC91" s="37" t="s">
        <v>17</v>
      </c>
      <c r="AD91" s="59">
        <f>IFERROR(aurora_data!D1811,0)+IFERROR(aurora_data!E1811,0)</f>
        <v>2</v>
      </c>
      <c r="AE91" s="64">
        <f>IFERROR(aurora_data!F1811,0)</f>
        <v>2</v>
      </c>
      <c r="AF91" s="64">
        <f>IFERROR(aurora_data!G1811,0)</f>
        <v>3</v>
      </c>
      <c r="AG91" s="64">
        <f>IFERROR(aurora_data!H1811,0)</f>
        <v>3</v>
      </c>
      <c r="AH91" s="66" t="s">
        <v>354</v>
      </c>
      <c r="AI91" s="59">
        <f>IFERROR(aurora_data!U1811,0)</f>
        <v>10</v>
      </c>
      <c r="AJ91" s="70">
        <f t="shared" si="16"/>
        <v>1.1111111111111112</v>
      </c>
    </row>
    <row r="92" spans="1:36" customFormat="1" ht="16.5" thickBot="1">
      <c r="A92" s="2"/>
      <c r="B92" s="561"/>
      <c r="C92" s="454"/>
      <c r="D92" s="38" t="s">
        <v>343</v>
      </c>
      <c r="E92" s="256">
        <f>IFERROR(aurora_data!D1812,0)</f>
        <v>0</v>
      </c>
      <c r="F92" s="257">
        <f>IFERROR(aurora_data!E1812,0)</f>
        <v>0</v>
      </c>
      <c r="G92" s="257">
        <f>IFERROR(aurora_data!F1812,0)</f>
        <v>0</v>
      </c>
      <c r="H92" s="257">
        <f>IFERROR(aurora_data!G1812,0)</f>
        <v>0</v>
      </c>
      <c r="I92" s="258">
        <f>IFERROR(aurora_data!H1812,0)</f>
        <v>0</v>
      </c>
      <c r="J92" s="256">
        <f>IFERROR(aurora_data!I1812,0)</f>
        <v>0</v>
      </c>
      <c r="K92" s="257">
        <f>IFERROR(aurora_data!J1812,0)</f>
        <v>0</v>
      </c>
      <c r="L92" s="257">
        <f>IFERROR(aurora_data!K1812,0)</f>
        <v>0</v>
      </c>
      <c r="M92" s="257">
        <f>IFERROR(aurora_data!L1812,0)</f>
        <v>0</v>
      </c>
      <c r="N92" s="258">
        <f>IFERROR(aurora_data!M1812,0)</f>
        <v>0</v>
      </c>
      <c r="O92" s="256">
        <f>IFERROR(aurora_data!N1812,0)</f>
        <v>0</v>
      </c>
      <c r="P92" s="257">
        <f>IFERROR(aurora_data!O1812,0)</f>
        <v>0</v>
      </c>
      <c r="Q92" s="257">
        <f>IFERROR(aurora_data!P1812,0)</f>
        <v>0</v>
      </c>
      <c r="R92" s="258">
        <f>IFERROR(aurora_data!Q1812,0)</f>
        <v>0</v>
      </c>
      <c r="S92" s="257">
        <f>IFERROR(aurora_data!R1812,0)</f>
        <v>0</v>
      </c>
      <c r="T92" s="257">
        <f>IFERROR(aurora_data!S1812,0)</f>
        <v>0</v>
      </c>
      <c r="U92" s="259">
        <f>IFERROR(aurora_data!T1412,0)</f>
        <v>0</v>
      </c>
      <c r="V92" s="260" t="s">
        <v>354</v>
      </c>
      <c r="W92" s="256">
        <f>IFERROR(aurora_data!U1812,0)</f>
        <v>0</v>
      </c>
      <c r="X92" s="261">
        <f t="shared" si="17"/>
        <v>0</v>
      </c>
      <c r="Y92" s="2"/>
      <c r="AA92" s="452"/>
      <c r="AB92" s="454"/>
      <c r="AC92" s="38" t="s">
        <v>343</v>
      </c>
      <c r="AD92" s="256">
        <f>IFERROR(aurora_data!D1812,0)+IFERROR(aurora_data!E1812,0)</f>
        <v>0</v>
      </c>
      <c r="AE92" s="257">
        <f>IFERROR(aurora_data!F1812,0)</f>
        <v>0</v>
      </c>
      <c r="AF92" s="257">
        <f>IFERROR(aurora_data!G1812,0)</f>
        <v>0</v>
      </c>
      <c r="AG92" s="257">
        <f>IFERROR(aurora_data!H1812,0)</f>
        <v>0</v>
      </c>
      <c r="AH92" s="260" t="s">
        <v>354</v>
      </c>
      <c r="AI92" s="256">
        <f>IFERROR(aurora_data!U1812,0)</f>
        <v>0</v>
      </c>
      <c r="AJ92" s="261">
        <f t="shared" si="16"/>
        <v>0</v>
      </c>
    </row>
    <row r="93" spans="1:36" customFormat="1">
      <c r="A93" s="2"/>
      <c r="B93" s="560" t="s">
        <v>362</v>
      </c>
      <c r="C93" s="453" t="str">
        <f>aurora_data!A1813</f>
        <v>15.00.00-15.11.30</v>
      </c>
      <c r="D93" s="34" t="s">
        <v>306</v>
      </c>
      <c r="E93" s="39">
        <f>IFERROR(aurora_data!D1813,0)</f>
        <v>0.35</v>
      </c>
      <c r="F93" s="40">
        <f>IFERROR(aurora_data!E1813,0)</f>
        <v>0.61</v>
      </c>
      <c r="G93" s="40">
        <f>IFERROR(aurora_data!F1813,0)</f>
        <v>1.79</v>
      </c>
      <c r="H93" s="40">
        <f>IFERROR(aurora_data!G1813,0)</f>
        <v>2.82</v>
      </c>
      <c r="I93" s="41">
        <f>IFERROR(aurora_data!H1813,0)</f>
        <v>3.43</v>
      </c>
      <c r="J93" s="39">
        <f>IFERROR(aurora_data!I1813,0)</f>
        <v>1</v>
      </c>
      <c r="K93" s="40">
        <f>IFERROR(aurora_data!J1813,0)</f>
        <v>1</v>
      </c>
      <c r="L93" s="40">
        <f>IFERROR(aurora_data!K1813,0)</f>
        <v>1</v>
      </c>
      <c r="M93" s="40">
        <f>IFERROR(aurora_data!L1813,0)</f>
        <v>1</v>
      </c>
      <c r="N93" s="41">
        <f>IFERROR(aurora_data!M1813,0)</f>
        <v>1</v>
      </c>
      <c r="O93" s="39">
        <f>IFERROR(aurora_data!N1813,0)</f>
        <v>1</v>
      </c>
      <c r="P93" s="40">
        <f>IFERROR(aurora_data!O1813,0)</f>
        <v>1</v>
      </c>
      <c r="Q93" s="40">
        <f>IFERROR(aurora_data!P1813,0)</f>
        <v>1</v>
      </c>
      <c r="R93" s="41">
        <f>IFERROR(aurora_data!Q1813,0)</f>
        <v>1</v>
      </c>
      <c r="S93" s="40">
        <f>IFERROR(aurora_data!R1813,0)</f>
        <v>1</v>
      </c>
      <c r="T93" s="40">
        <f>IFERROR(aurora_data!S1813,0)</f>
        <v>1</v>
      </c>
      <c r="U93" s="41">
        <f>IFERROR(aurora_data!T1413,0)</f>
        <v>0</v>
      </c>
      <c r="V93" s="61" t="s">
        <v>354</v>
      </c>
      <c r="W93" s="39">
        <f>IFERROR(aurora_data!U1813,0)</f>
        <v>9</v>
      </c>
      <c r="X93" s="69">
        <f>IFERROR(W93/$W$93,0)</f>
        <v>1</v>
      </c>
      <c r="Y93" s="2"/>
      <c r="AA93" s="451" t="s">
        <v>338</v>
      </c>
      <c r="AB93" s="453" t="str">
        <f>aurora_data!A1813</f>
        <v>15.00.00-15.11.30</v>
      </c>
      <c r="AC93" s="34" t="s">
        <v>306</v>
      </c>
      <c r="AD93" s="338">
        <v>2</v>
      </c>
      <c r="AE93" s="40">
        <f>IFERROR(aurora_data!F1813,0)</f>
        <v>1.79</v>
      </c>
      <c r="AF93" s="40">
        <f>IFERROR(aurora_data!G1813,0)</f>
        <v>2.82</v>
      </c>
      <c r="AG93" s="337">
        <v>2</v>
      </c>
      <c r="AH93" s="61" t="s">
        <v>354</v>
      </c>
      <c r="AI93" s="39">
        <f>IFERROR(aurora_data!U1813,0)</f>
        <v>9</v>
      </c>
      <c r="AJ93" s="69">
        <f t="shared" ref="AJ93:AJ101" si="18">IFERROR(AI93/$AI$93,0)</f>
        <v>1</v>
      </c>
    </row>
    <row r="94" spans="1:36" customFormat="1">
      <c r="A94" s="2"/>
      <c r="B94" s="561"/>
      <c r="C94" s="454"/>
      <c r="D94" s="35" t="s">
        <v>339</v>
      </c>
      <c r="E94" s="113">
        <f>IFERROR(aurora_data!D1814,0)</f>
        <v>0</v>
      </c>
      <c r="F94" s="253">
        <f>IFERROR(aurora_data!E1814,0)</f>
        <v>2</v>
      </c>
      <c r="G94" s="253">
        <f>IFERROR(aurora_data!F1814,0)</f>
        <v>2</v>
      </c>
      <c r="H94" s="253">
        <f>IFERROR(aurora_data!G1814,0)</f>
        <v>2</v>
      </c>
      <c r="I94" s="254">
        <f>IFERROR(aurora_data!H1814,0)</f>
        <v>3</v>
      </c>
      <c r="J94" s="113">
        <f>IFERROR(aurora_data!I1814,0)</f>
        <v>0</v>
      </c>
      <c r="K94" s="253">
        <f>IFERROR(aurora_data!J1814,0)</f>
        <v>3</v>
      </c>
      <c r="L94" s="253">
        <f>IFERROR(aurora_data!K1814,0)</f>
        <v>3</v>
      </c>
      <c r="M94" s="253">
        <f>IFERROR(aurora_data!L1814,0)</f>
        <v>2</v>
      </c>
      <c r="N94" s="254">
        <f>IFERROR(aurora_data!M1814,0)</f>
        <v>1</v>
      </c>
      <c r="O94" s="113">
        <f>IFERROR(aurora_data!N1814,0)</f>
        <v>1</v>
      </c>
      <c r="P94" s="253">
        <f>IFERROR(aurora_data!O1814,0)</f>
        <v>2</v>
      </c>
      <c r="Q94" s="253">
        <f>IFERROR(aurora_data!P1814,0)</f>
        <v>3</v>
      </c>
      <c r="R94" s="254">
        <f>IFERROR(aurora_data!Q1814,0)</f>
        <v>3</v>
      </c>
      <c r="S94" s="253">
        <f>IFERROR(aurora_data!R1814,0)</f>
        <v>4</v>
      </c>
      <c r="T94" s="253">
        <f>IFERROR(aurora_data!S1814,0)</f>
        <v>5</v>
      </c>
      <c r="U94" s="254">
        <f>IFERROR(aurora_data!T1414,0)</f>
        <v>0</v>
      </c>
      <c r="V94" s="61" t="s">
        <v>354</v>
      </c>
      <c r="W94" s="113">
        <f>IFERROR(aurora_data!U1814,0)</f>
        <v>9</v>
      </c>
      <c r="X94" s="255">
        <f t="shared" ref="X94:X101" si="19">IFERROR(W94/$W$93,0)</f>
        <v>1</v>
      </c>
      <c r="Y94" s="2"/>
      <c r="AA94" s="452"/>
      <c r="AB94" s="454"/>
      <c r="AC94" s="35" t="s">
        <v>339</v>
      </c>
      <c r="AD94" s="113">
        <f>IFERROR(aurora_data!D1814,0)+IFERROR(aurora_data!E1814,0)</f>
        <v>2</v>
      </c>
      <c r="AE94" s="253">
        <f>IFERROR(aurora_data!F1814,0)</f>
        <v>2</v>
      </c>
      <c r="AF94" s="253">
        <f>IFERROR(aurora_data!G1814,0)</f>
        <v>2</v>
      </c>
      <c r="AG94" s="253">
        <f>IFERROR(aurora_data!H1814,0)</f>
        <v>3</v>
      </c>
      <c r="AH94" s="61" t="s">
        <v>354</v>
      </c>
      <c r="AI94" s="113">
        <f>IFERROR(aurora_data!U1814,0)</f>
        <v>9</v>
      </c>
      <c r="AJ94" s="255">
        <f t="shared" si="18"/>
        <v>1</v>
      </c>
    </row>
    <row r="95" spans="1:36" customFormat="1">
      <c r="A95" s="2"/>
      <c r="B95" s="561"/>
      <c r="C95" s="454"/>
      <c r="D95" s="35" t="s">
        <v>291</v>
      </c>
      <c r="E95" s="113">
        <f>IFERROR(aurora_data!D1815,0)</f>
        <v>0</v>
      </c>
      <c r="F95" s="253">
        <f>IFERROR(aurora_data!E1815,0)</f>
        <v>0</v>
      </c>
      <c r="G95" s="253">
        <f>IFERROR(aurora_data!F1815,0)</f>
        <v>1</v>
      </c>
      <c r="H95" s="253">
        <f>IFERROR(aurora_data!G1815,0)</f>
        <v>0</v>
      </c>
      <c r="I95" s="254">
        <f>IFERROR(aurora_data!H1815,0)</f>
        <v>0</v>
      </c>
      <c r="J95" s="113">
        <f>IFERROR(aurora_data!I1815,0)</f>
        <v>0</v>
      </c>
      <c r="K95" s="253">
        <f>IFERROR(aurora_data!J1815,0)</f>
        <v>1</v>
      </c>
      <c r="L95" s="253">
        <f>IFERROR(aurora_data!K1815,0)</f>
        <v>0</v>
      </c>
      <c r="M95" s="253">
        <f>IFERROR(aurora_data!L1815,0)</f>
        <v>0</v>
      </c>
      <c r="N95" s="254">
        <f>IFERROR(aurora_data!M1815,0)</f>
        <v>0</v>
      </c>
      <c r="O95" s="113">
        <f>IFERROR(aurora_data!N1815,0)</f>
        <v>0</v>
      </c>
      <c r="P95" s="253">
        <f>IFERROR(aurora_data!O1815,0)</f>
        <v>1</v>
      </c>
      <c r="Q95" s="253">
        <f>IFERROR(aurora_data!P1815,0)</f>
        <v>0</v>
      </c>
      <c r="R95" s="254">
        <f>IFERROR(aurora_data!Q1815,0)</f>
        <v>0</v>
      </c>
      <c r="S95" s="253">
        <f>IFERROR(aurora_data!R1815,0)</f>
        <v>0</v>
      </c>
      <c r="T95" s="253">
        <f>IFERROR(aurora_data!S1815,0)</f>
        <v>1</v>
      </c>
      <c r="U95" s="254">
        <f>IFERROR(aurora_data!T1415,0)</f>
        <v>0</v>
      </c>
      <c r="V95" s="61" t="s">
        <v>354</v>
      </c>
      <c r="W95" s="113">
        <f>IFERROR(aurora_data!U1815,0)</f>
        <v>1</v>
      </c>
      <c r="X95" s="255">
        <f t="shared" si="19"/>
        <v>0.1111111111111111</v>
      </c>
      <c r="Y95" s="2"/>
      <c r="AA95" s="452"/>
      <c r="AB95" s="454"/>
      <c r="AC95" s="35" t="s">
        <v>291</v>
      </c>
      <c r="AD95" s="113">
        <f>IFERROR(aurora_data!D1815,0)+IFERROR(aurora_data!E1815,0)</f>
        <v>0</v>
      </c>
      <c r="AE95" s="253">
        <f>IFERROR(aurora_data!F1815,0)</f>
        <v>1</v>
      </c>
      <c r="AF95" s="253">
        <f>IFERROR(aurora_data!G1815,0)</f>
        <v>0</v>
      </c>
      <c r="AG95" s="253">
        <f>IFERROR(aurora_data!H1815,0)</f>
        <v>0</v>
      </c>
      <c r="AH95" s="61" t="s">
        <v>354</v>
      </c>
      <c r="AI95" s="113">
        <f>IFERROR(aurora_data!U1815,0)</f>
        <v>1</v>
      </c>
      <c r="AJ95" s="255">
        <f t="shared" si="18"/>
        <v>0.1111111111111111</v>
      </c>
    </row>
    <row r="96" spans="1:36" customFormat="1">
      <c r="A96" s="2"/>
      <c r="B96" s="561"/>
      <c r="C96" s="454"/>
      <c r="D96" s="35" t="s">
        <v>340</v>
      </c>
      <c r="E96" s="113">
        <f>IFERROR(aurora_data!D1816,0)</f>
        <v>0</v>
      </c>
      <c r="F96" s="253">
        <f>IFERROR(aurora_data!E1816,0)</f>
        <v>0</v>
      </c>
      <c r="G96" s="253">
        <f>IFERROR(aurora_data!F1816,0)</f>
        <v>0</v>
      </c>
      <c r="H96" s="253">
        <f>IFERROR(aurora_data!G1816,0)</f>
        <v>0</v>
      </c>
      <c r="I96" s="254">
        <f>IFERROR(aurora_data!H1816,0)</f>
        <v>0</v>
      </c>
      <c r="J96" s="113">
        <f>IFERROR(aurora_data!I1816,0)</f>
        <v>0</v>
      </c>
      <c r="K96" s="253">
        <f>IFERROR(aurora_data!J1816,0)</f>
        <v>0</v>
      </c>
      <c r="L96" s="253">
        <f>IFERROR(aurora_data!K1816,0)</f>
        <v>0</v>
      </c>
      <c r="M96" s="253">
        <f>IFERROR(aurora_data!L1816,0)</f>
        <v>0</v>
      </c>
      <c r="N96" s="254">
        <f>IFERROR(aurora_data!M1816,0)</f>
        <v>0</v>
      </c>
      <c r="O96" s="113">
        <f>IFERROR(aurora_data!N1816,0)</f>
        <v>0</v>
      </c>
      <c r="P96" s="253">
        <f>IFERROR(aurora_data!O1816,0)</f>
        <v>0</v>
      </c>
      <c r="Q96" s="253">
        <f>IFERROR(aurora_data!P1816,0)</f>
        <v>0</v>
      </c>
      <c r="R96" s="254">
        <f>IFERROR(aurora_data!Q1816,0)</f>
        <v>0</v>
      </c>
      <c r="S96" s="253">
        <f>IFERROR(aurora_data!R1816,0)</f>
        <v>0</v>
      </c>
      <c r="T96" s="253">
        <f>IFERROR(aurora_data!S1816,0)</f>
        <v>0</v>
      </c>
      <c r="U96" s="254">
        <f>IFERROR(aurora_data!T1416,0)</f>
        <v>0</v>
      </c>
      <c r="V96" s="61" t="s">
        <v>354</v>
      </c>
      <c r="W96" s="113">
        <f>IFERROR(aurora_data!U1816,0)</f>
        <v>0</v>
      </c>
      <c r="X96" s="255">
        <f t="shared" si="19"/>
        <v>0</v>
      </c>
      <c r="Y96" s="2"/>
      <c r="AA96" s="452"/>
      <c r="AB96" s="454"/>
      <c r="AC96" s="35" t="s">
        <v>340</v>
      </c>
      <c r="AD96" s="113">
        <f>IFERROR(aurora_data!D1816,0)+IFERROR(aurora_data!E1816,0)</f>
        <v>0</v>
      </c>
      <c r="AE96" s="253">
        <f>IFERROR(aurora_data!F1816,0)</f>
        <v>0</v>
      </c>
      <c r="AF96" s="253">
        <f>IFERROR(aurora_data!G1816,0)</f>
        <v>0</v>
      </c>
      <c r="AG96" s="253">
        <f>IFERROR(aurora_data!H1816,0)</f>
        <v>0</v>
      </c>
      <c r="AH96" s="61" t="s">
        <v>354</v>
      </c>
      <c r="AI96" s="113">
        <f>IFERROR(aurora_data!U1816,0)</f>
        <v>0</v>
      </c>
      <c r="AJ96" s="255">
        <f t="shared" si="18"/>
        <v>0</v>
      </c>
    </row>
    <row r="97" spans="1:36" customFormat="1">
      <c r="A97" s="2"/>
      <c r="B97" s="561"/>
      <c r="C97" s="454"/>
      <c r="D97" s="35" t="s">
        <v>298</v>
      </c>
      <c r="E97" s="113">
        <f>IFERROR(aurora_data!D1817,0)</f>
        <v>0</v>
      </c>
      <c r="F97" s="253">
        <f>IFERROR(aurora_data!E1817,0)</f>
        <v>0</v>
      </c>
      <c r="G97" s="253">
        <f>IFERROR(aurora_data!F1817,0)</f>
        <v>0</v>
      </c>
      <c r="H97" s="253">
        <f>IFERROR(aurora_data!G1817,0)</f>
        <v>1</v>
      </c>
      <c r="I97" s="254">
        <f>IFERROR(aurora_data!H1817,0)</f>
        <v>0</v>
      </c>
      <c r="J97" s="113">
        <f>IFERROR(aurora_data!I1817,0)</f>
        <v>0</v>
      </c>
      <c r="K97" s="253">
        <f>IFERROR(aurora_data!J1817,0)</f>
        <v>0</v>
      </c>
      <c r="L97" s="253">
        <f>IFERROR(aurora_data!K1817,0)</f>
        <v>0</v>
      </c>
      <c r="M97" s="253">
        <f>IFERROR(aurora_data!L1817,0)</f>
        <v>0</v>
      </c>
      <c r="N97" s="254">
        <f>IFERROR(aurora_data!M1817,0)</f>
        <v>1</v>
      </c>
      <c r="O97" s="113">
        <f>IFERROR(aurora_data!N1817,0)</f>
        <v>0</v>
      </c>
      <c r="P97" s="253">
        <f>IFERROR(aurora_data!O1817,0)</f>
        <v>0</v>
      </c>
      <c r="Q97" s="253">
        <f>IFERROR(aurora_data!P1817,0)</f>
        <v>1</v>
      </c>
      <c r="R97" s="254">
        <f>IFERROR(aurora_data!Q1817,0)</f>
        <v>0</v>
      </c>
      <c r="S97" s="253">
        <f>IFERROR(aurora_data!R1817,0)</f>
        <v>1</v>
      </c>
      <c r="T97" s="253">
        <f>IFERROR(aurora_data!S1817,0)</f>
        <v>0</v>
      </c>
      <c r="U97" s="254">
        <f>IFERROR(aurora_data!T1417,0)</f>
        <v>0</v>
      </c>
      <c r="V97" s="61" t="s">
        <v>354</v>
      </c>
      <c r="W97" s="113">
        <f>IFERROR(aurora_data!U1817,0)</f>
        <v>1</v>
      </c>
      <c r="X97" s="255">
        <f t="shared" si="19"/>
        <v>0.1111111111111111</v>
      </c>
      <c r="Y97" s="2"/>
      <c r="AA97" s="452"/>
      <c r="AB97" s="454"/>
      <c r="AC97" s="35" t="s">
        <v>298</v>
      </c>
      <c r="AD97" s="113">
        <f>IFERROR(aurora_data!D1817,0)+IFERROR(aurora_data!E1817,0)</f>
        <v>0</v>
      </c>
      <c r="AE97" s="253">
        <f>IFERROR(aurora_data!F1817,0)</f>
        <v>0</v>
      </c>
      <c r="AF97" s="253">
        <f>IFERROR(aurora_data!G1817,0)</f>
        <v>1</v>
      </c>
      <c r="AG97" s="253">
        <f>IFERROR(aurora_data!H1817,0)</f>
        <v>0</v>
      </c>
      <c r="AH97" s="61" t="s">
        <v>354</v>
      </c>
      <c r="AI97" s="113">
        <f>IFERROR(aurora_data!U1817,0)</f>
        <v>1</v>
      </c>
      <c r="AJ97" s="255">
        <f t="shared" si="18"/>
        <v>0.1111111111111111</v>
      </c>
    </row>
    <row r="98" spans="1:36" customFormat="1">
      <c r="A98" s="2"/>
      <c r="B98" s="561"/>
      <c r="C98" s="454"/>
      <c r="D98" s="35" t="s">
        <v>341</v>
      </c>
      <c r="E98" s="113">
        <f>IFERROR(aurora_data!D1818,0)</f>
        <v>0</v>
      </c>
      <c r="F98" s="253">
        <f>IFERROR(aurora_data!E1818,0)</f>
        <v>0</v>
      </c>
      <c r="G98" s="253">
        <f>IFERROR(aurora_data!F1818,0)</f>
        <v>1</v>
      </c>
      <c r="H98" s="253">
        <f>IFERROR(aurora_data!G1818,0)</f>
        <v>0</v>
      </c>
      <c r="I98" s="254">
        <f>IFERROR(aurora_data!H1818,0)</f>
        <v>2</v>
      </c>
      <c r="J98" s="113">
        <f>IFERROR(aurora_data!I1818,0)</f>
        <v>1</v>
      </c>
      <c r="K98" s="253">
        <f>IFERROR(aurora_data!J1818,0)</f>
        <v>1</v>
      </c>
      <c r="L98" s="253">
        <f>IFERROR(aurora_data!K1818,0)</f>
        <v>0</v>
      </c>
      <c r="M98" s="253">
        <f>IFERROR(aurora_data!L1818,0)</f>
        <v>1</v>
      </c>
      <c r="N98" s="254">
        <f>IFERROR(aurora_data!M1818,0)</f>
        <v>0</v>
      </c>
      <c r="O98" s="113">
        <f>IFERROR(aurora_data!N1818,0)</f>
        <v>0</v>
      </c>
      <c r="P98" s="253">
        <f>IFERROR(aurora_data!O1818,0)</f>
        <v>0</v>
      </c>
      <c r="Q98" s="253">
        <f>IFERROR(aurora_data!P1818,0)</f>
        <v>2</v>
      </c>
      <c r="R98" s="254">
        <f>IFERROR(aurora_data!Q1818,0)</f>
        <v>1</v>
      </c>
      <c r="S98" s="253">
        <f>IFERROR(aurora_data!R1818,0)</f>
        <v>0</v>
      </c>
      <c r="T98" s="253">
        <f>IFERROR(aurora_data!S1818,0)</f>
        <v>3</v>
      </c>
      <c r="U98" s="254">
        <f>IFERROR(aurora_data!T1418,0)</f>
        <v>0</v>
      </c>
      <c r="V98" s="61" t="s">
        <v>354</v>
      </c>
      <c r="W98" s="113">
        <f>IFERROR(aurora_data!U1818,0)</f>
        <v>3</v>
      </c>
      <c r="X98" s="255">
        <f t="shared" si="19"/>
        <v>0.33333333333333331</v>
      </c>
      <c r="Y98" s="2"/>
      <c r="AA98" s="452"/>
      <c r="AB98" s="454"/>
      <c r="AC98" s="35" t="s">
        <v>341</v>
      </c>
      <c r="AD98" s="113">
        <f>IFERROR(aurora_data!D1818,0)+IFERROR(aurora_data!E1818,0)</f>
        <v>0</v>
      </c>
      <c r="AE98" s="253">
        <f>IFERROR(aurora_data!F1818,0)</f>
        <v>1</v>
      </c>
      <c r="AF98" s="253">
        <f>IFERROR(aurora_data!G1818,0)</f>
        <v>0</v>
      </c>
      <c r="AG98" s="253">
        <f>IFERROR(aurora_data!H1818,0)</f>
        <v>2</v>
      </c>
      <c r="AH98" s="61" t="s">
        <v>354</v>
      </c>
      <c r="AI98" s="113">
        <f>IFERROR(aurora_data!U1818,0)</f>
        <v>3</v>
      </c>
      <c r="AJ98" s="255">
        <f t="shared" si="18"/>
        <v>0.33333333333333331</v>
      </c>
    </row>
    <row r="99" spans="1:36" customFormat="1" ht="16.5" thickBot="1">
      <c r="A99" s="2"/>
      <c r="B99" s="561"/>
      <c r="C99" s="454"/>
      <c r="D99" s="35" t="s">
        <v>342</v>
      </c>
      <c r="E99" s="113">
        <f>IFERROR(aurora_data!D1819,0)</f>
        <v>0</v>
      </c>
      <c r="F99" s="253">
        <f>IFERROR(aurora_data!E1819,0)</f>
        <v>0</v>
      </c>
      <c r="G99" s="253">
        <f>IFERROR(aurora_data!F1819,0)</f>
        <v>0</v>
      </c>
      <c r="H99" s="253">
        <f>IFERROR(aurora_data!G1819,0)</f>
        <v>0</v>
      </c>
      <c r="I99" s="254">
        <f>IFERROR(aurora_data!H1819,0)</f>
        <v>0</v>
      </c>
      <c r="J99" s="113">
        <f>IFERROR(aurora_data!I1819,0)</f>
        <v>0</v>
      </c>
      <c r="K99" s="253">
        <f>IFERROR(aurora_data!J1819,0)</f>
        <v>0</v>
      </c>
      <c r="L99" s="253">
        <f>IFERROR(aurora_data!K1819,0)</f>
        <v>0</v>
      </c>
      <c r="M99" s="253">
        <f>IFERROR(aurora_data!L1819,0)</f>
        <v>0</v>
      </c>
      <c r="N99" s="254">
        <f>IFERROR(aurora_data!M1819,0)</f>
        <v>0</v>
      </c>
      <c r="O99" s="113">
        <f>IFERROR(aurora_data!N1819,0)</f>
        <v>0</v>
      </c>
      <c r="P99" s="253">
        <f>IFERROR(aurora_data!O1819,0)</f>
        <v>0</v>
      </c>
      <c r="Q99" s="253">
        <f>IFERROR(aurora_data!P1819,0)</f>
        <v>0</v>
      </c>
      <c r="R99" s="254">
        <f>IFERROR(aurora_data!Q1819,0)</f>
        <v>0</v>
      </c>
      <c r="S99" s="253">
        <f>IFERROR(aurora_data!R1819,0)</f>
        <v>0</v>
      </c>
      <c r="T99" s="253">
        <f>IFERROR(aurora_data!S1819,0)</f>
        <v>0</v>
      </c>
      <c r="U99" s="254">
        <f>IFERROR(aurora_data!T1419,0)</f>
        <v>0</v>
      </c>
      <c r="V99" s="61" t="s">
        <v>354</v>
      </c>
      <c r="W99" s="113">
        <f>IFERROR(aurora_data!U1819,0)</f>
        <v>0</v>
      </c>
      <c r="X99" s="255">
        <f t="shared" si="19"/>
        <v>0</v>
      </c>
      <c r="Y99" s="2"/>
      <c r="AA99" s="452"/>
      <c r="AB99" s="454"/>
      <c r="AC99" s="35" t="s">
        <v>342</v>
      </c>
      <c r="AD99" s="113">
        <f>IFERROR(aurora_data!D1819,0)+IFERROR(aurora_data!E1819,0)</f>
        <v>0</v>
      </c>
      <c r="AE99" s="253">
        <f>IFERROR(aurora_data!F1819,0)</f>
        <v>0</v>
      </c>
      <c r="AF99" s="253">
        <f>IFERROR(aurora_data!G1819,0)</f>
        <v>0</v>
      </c>
      <c r="AG99" s="253">
        <f>IFERROR(aurora_data!H1819,0)</f>
        <v>0</v>
      </c>
      <c r="AH99" s="61" t="s">
        <v>354</v>
      </c>
      <c r="AI99" s="113">
        <f>IFERROR(aurora_data!U1819,0)</f>
        <v>0</v>
      </c>
      <c r="AJ99" s="255">
        <f t="shared" si="18"/>
        <v>0</v>
      </c>
    </row>
    <row r="100" spans="1:36" customFormat="1" ht="16.5" thickBot="1">
      <c r="A100" s="2"/>
      <c r="B100" s="561"/>
      <c r="C100" s="454"/>
      <c r="D100" s="37" t="s">
        <v>17</v>
      </c>
      <c r="E100" s="59">
        <f>IFERROR(aurora_data!D1820,0)</f>
        <v>0</v>
      </c>
      <c r="F100" s="64">
        <f>IFERROR(aurora_data!E1820,0)</f>
        <v>2</v>
      </c>
      <c r="G100" s="64">
        <f>IFERROR(aurora_data!F1820,0)</f>
        <v>4</v>
      </c>
      <c r="H100" s="64">
        <f>IFERROR(aurora_data!G1820,0)</f>
        <v>3</v>
      </c>
      <c r="I100" s="65">
        <f>IFERROR(aurora_data!H1820,0)</f>
        <v>5</v>
      </c>
      <c r="J100" s="59">
        <f>IFERROR(aurora_data!I1820,0)</f>
        <v>1</v>
      </c>
      <c r="K100" s="64">
        <f>IFERROR(aurora_data!J1820,0)</f>
        <v>5</v>
      </c>
      <c r="L100" s="64">
        <f>IFERROR(aurora_data!K1820,0)</f>
        <v>3</v>
      </c>
      <c r="M100" s="64">
        <f>IFERROR(aurora_data!L1820,0)</f>
        <v>3</v>
      </c>
      <c r="N100" s="65">
        <f>IFERROR(aurora_data!M1820,0)</f>
        <v>2</v>
      </c>
      <c r="O100" s="59">
        <f>IFERROR(aurora_data!N1820,0)</f>
        <v>1</v>
      </c>
      <c r="P100" s="64">
        <f>IFERROR(aurora_data!O1820,0)</f>
        <v>3</v>
      </c>
      <c r="Q100" s="64">
        <f>IFERROR(aurora_data!P1820,0)</f>
        <v>6</v>
      </c>
      <c r="R100" s="65">
        <f>IFERROR(aurora_data!Q1820,0)</f>
        <v>4</v>
      </c>
      <c r="S100" s="64">
        <f>IFERROR(aurora_data!R1820,0)</f>
        <v>5</v>
      </c>
      <c r="T100" s="64">
        <f>IFERROR(aurora_data!S1820,0)</f>
        <v>9</v>
      </c>
      <c r="U100" s="65">
        <f>IFERROR(aurora_data!T1420,0)</f>
        <v>0</v>
      </c>
      <c r="V100" s="66" t="s">
        <v>354</v>
      </c>
      <c r="W100" s="59">
        <f>IFERROR(aurora_data!U1820,0)</f>
        <v>14</v>
      </c>
      <c r="X100" s="70">
        <f t="shared" si="19"/>
        <v>1.5555555555555556</v>
      </c>
      <c r="Y100" s="2"/>
      <c r="AA100" s="452"/>
      <c r="AB100" s="454"/>
      <c r="AC100" s="37" t="s">
        <v>17</v>
      </c>
      <c r="AD100" s="59">
        <f>IFERROR(aurora_data!D1820,0)+IFERROR(aurora_data!E1820,0)</f>
        <v>2</v>
      </c>
      <c r="AE100" s="64">
        <f>IFERROR(aurora_data!F1820,0)</f>
        <v>4</v>
      </c>
      <c r="AF100" s="64">
        <f>IFERROR(aurora_data!G1820,0)</f>
        <v>3</v>
      </c>
      <c r="AG100" s="64">
        <f>IFERROR(aurora_data!H1820,0)</f>
        <v>5</v>
      </c>
      <c r="AH100" s="66" t="s">
        <v>354</v>
      </c>
      <c r="AI100" s="59">
        <f>IFERROR(aurora_data!U1820,0)</f>
        <v>14</v>
      </c>
      <c r="AJ100" s="70">
        <f t="shared" si="18"/>
        <v>1.5555555555555556</v>
      </c>
    </row>
    <row r="101" spans="1:36" customFormat="1" ht="16.5" thickBot="1">
      <c r="A101" s="2"/>
      <c r="B101" s="561"/>
      <c r="C101" s="454"/>
      <c r="D101" s="38" t="s">
        <v>343</v>
      </c>
      <c r="E101" s="256">
        <f>IFERROR(aurora_data!D1821,0)</f>
        <v>0</v>
      </c>
      <c r="F101" s="257">
        <f>IFERROR(aurora_data!E1821,0)</f>
        <v>0</v>
      </c>
      <c r="G101" s="257">
        <f>IFERROR(aurora_data!F1821,0)</f>
        <v>0</v>
      </c>
      <c r="H101" s="257">
        <f>IFERROR(aurora_data!G1821,0)</f>
        <v>0</v>
      </c>
      <c r="I101" s="258">
        <f>IFERROR(aurora_data!H1821,0)</f>
        <v>0</v>
      </c>
      <c r="J101" s="256">
        <f>IFERROR(aurora_data!I1821,0)</f>
        <v>0</v>
      </c>
      <c r="K101" s="257">
        <f>IFERROR(aurora_data!J1821,0)</f>
        <v>0</v>
      </c>
      <c r="L101" s="257">
        <f>IFERROR(aurora_data!K1821,0)</f>
        <v>0</v>
      </c>
      <c r="M101" s="257">
        <f>IFERROR(aurora_data!L1821,0)</f>
        <v>0</v>
      </c>
      <c r="N101" s="258">
        <f>IFERROR(aurora_data!M1821,0)</f>
        <v>0</v>
      </c>
      <c r="O101" s="256">
        <f>IFERROR(aurora_data!N1821,0)</f>
        <v>0</v>
      </c>
      <c r="P101" s="257">
        <f>IFERROR(aurora_data!O1821,0)</f>
        <v>0</v>
      </c>
      <c r="Q101" s="257">
        <f>IFERROR(aurora_data!P1821,0)</f>
        <v>0</v>
      </c>
      <c r="R101" s="258">
        <f>IFERROR(aurora_data!Q1821,0)</f>
        <v>0</v>
      </c>
      <c r="S101" s="257">
        <f>IFERROR(aurora_data!R1821,0)</f>
        <v>0</v>
      </c>
      <c r="T101" s="257">
        <f>IFERROR(aurora_data!S1821,0)</f>
        <v>0</v>
      </c>
      <c r="U101" s="259">
        <f>IFERROR(aurora_data!T1421,0)</f>
        <v>0</v>
      </c>
      <c r="V101" s="260" t="s">
        <v>354</v>
      </c>
      <c r="W101" s="256">
        <f>IFERROR(aurora_data!U1821,0)</f>
        <v>0</v>
      </c>
      <c r="X101" s="261">
        <f t="shared" si="19"/>
        <v>0</v>
      </c>
      <c r="Y101" s="2"/>
      <c r="AA101" s="452"/>
      <c r="AB101" s="454"/>
      <c r="AC101" s="38" t="s">
        <v>343</v>
      </c>
      <c r="AD101" s="256">
        <f>IFERROR(aurora_data!D1821,0)+IFERROR(aurora_data!E1821,0)</f>
        <v>0</v>
      </c>
      <c r="AE101" s="257">
        <f>IFERROR(aurora_data!F1821,0)</f>
        <v>0</v>
      </c>
      <c r="AF101" s="257">
        <f>IFERROR(aurora_data!G1821,0)</f>
        <v>0</v>
      </c>
      <c r="AG101" s="257">
        <f>IFERROR(aurora_data!H1821,0)</f>
        <v>0</v>
      </c>
      <c r="AH101" s="260" t="s">
        <v>354</v>
      </c>
      <c r="AI101" s="256">
        <f>IFERROR(aurora_data!U1821,0)</f>
        <v>0</v>
      </c>
      <c r="AJ101" s="261">
        <f t="shared" si="18"/>
        <v>0</v>
      </c>
    </row>
    <row r="102" spans="1:36" customFormat="1">
      <c r="A102" s="2"/>
      <c r="B102" s="451" t="s">
        <v>338</v>
      </c>
      <c r="C102" s="453" t="str">
        <f>aurora_data!A1822</f>
        <v>16.00.00-16.11.30</v>
      </c>
      <c r="D102" s="34" t="s">
        <v>306</v>
      </c>
      <c r="E102" s="39">
        <f>IFERROR(aurora_data!D1822,0)</f>
        <v>0.36</v>
      </c>
      <c r="F102" s="40">
        <f>IFERROR(aurora_data!E1822,0)</f>
        <v>0.57999999999999996</v>
      </c>
      <c r="G102" s="40">
        <f>IFERROR(aurora_data!F1822,0)</f>
        <v>1.82</v>
      </c>
      <c r="H102" s="40">
        <f>IFERROR(aurora_data!G1822,0)</f>
        <v>2.84</v>
      </c>
      <c r="I102" s="41">
        <f>IFERROR(aurora_data!H1822,0)</f>
        <v>3.4</v>
      </c>
      <c r="J102" s="39">
        <f>IFERROR(aurora_data!I1822,0)</f>
        <v>1</v>
      </c>
      <c r="K102" s="40">
        <f>IFERROR(aurora_data!J1822,0)</f>
        <v>1</v>
      </c>
      <c r="L102" s="40">
        <f>IFERROR(aurora_data!K1822,0)</f>
        <v>1</v>
      </c>
      <c r="M102" s="40">
        <f>IFERROR(aurora_data!L1822,0)</f>
        <v>1</v>
      </c>
      <c r="N102" s="41">
        <f>IFERROR(aurora_data!M1822,0)</f>
        <v>1</v>
      </c>
      <c r="O102" s="39">
        <f>IFERROR(aurora_data!N1822,0)</f>
        <v>1</v>
      </c>
      <c r="P102" s="40">
        <f>IFERROR(aurora_data!O1822,0)</f>
        <v>1</v>
      </c>
      <c r="Q102" s="40">
        <f>IFERROR(aurora_data!P1822,0)</f>
        <v>1</v>
      </c>
      <c r="R102" s="41">
        <f>IFERROR(aurora_data!Q1822,0)</f>
        <v>1</v>
      </c>
      <c r="S102" s="40">
        <f>IFERROR(aurora_data!R1822,0)</f>
        <v>1</v>
      </c>
      <c r="T102" s="40">
        <f>IFERROR(aurora_data!S1822,0)</f>
        <v>1</v>
      </c>
      <c r="U102" s="41">
        <f>IFERROR(aurora_data!T1422,0)</f>
        <v>0</v>
      </c>
      <c r="V102" s="61" t="s">
        <v>354</v>
      </c>
      <c r="W102" s="39">
        <f>IFERROR(aurora_data!U1822,0)</f>
        <v>9</v>
      </c>
      <c r="X102" s="69">
        <f>IFERROR(W102/$W$102,0)</f>
        <v>1</v>
      </c>
      <c r="Y102" s="2"/>
      <c r="AA102" s="451" t="s">
        <v>338</v>
      </c>
      <c r="AB102" s="453" t="str">
        <f>aurora_data!A1822</f>
        <v>16.00.00-16.11.30</v>
      </c>
      <c r="AC102" s="34" t="s">
        <v>306</v>
      </c>
      <c r="AD102" s="338">
        <v>2</v>
      </c>
      <c r="AE102" s="40">
        <f>IFERROR(aurora_data!F1822,0)</f>
        <v>1.82</v>
      </c>
      <c r="AF102" s="40">
        <f>IFERROR(aurora_data!G1822,0)</f>
        <v>2.84</v>
      </c>
      <c r="AG102" s="337">
        <v>2</v>
      </c>
      <c r="AH102" s="61" t="s">
        <v>354</v>
      </c>
      <c r="AI102" s="39">
        <f>IFERROR(aurora_data!U1822,0)</f>
        <v>9</v>
      </c>
      <c r="AJ102" s="69">
        <f t="shared" ref="AJ102:AJ110" si="20">IFERROR(AI102/$AI$102,0)</f>
        <v>1</v>
      </c>
    </row>
    <row r="103" spans="1:36" customFormat="1">
      <c r="A103" s="2"/>
      <c r="B103" s="452"/>
      <c r="C103" s="454"/>
      <c r="D103" s="35" t="s">
        <v>339</v>
      </c>
      <c r="E103" s="113">
        <f>IFERROR(aurora_data!D1823,0)</f>
        <v>1</v>
      </c>
      <c r="F103" s="253">
        <f>IFERROR(aurora_data!E1823,0)</f>
        <v>2</v>
      </c>
      <c r="G103" s="253">
        <f>IFERROR(aurora_data!F1823,0)</f>
        <v>1</v>
      </c>
      <c r="H103" s="253">
        <f>IFERROR(aurora_data!G1823,0)</f>
        <v>1</v>
      </c>
      <c r="I103" s="254">
        <f>IFERROR(aurora_data!H1823,0)</f>
        <v>2</v>
      </c>
      <c r="J103" s="113">
        <f>IFERROR(aurora_data!I1823,0)</f>
        <v>0</v>
      </c>
      <c r="K103" s="253">
        <f>IFERROR(aurora_data!J1823,0)</f>
        <v>2</v>
      </c>
      <c r="L103" s="253">
        <f>IFERROR(aurora_data!K1823,0)</f>
        <v>2</v>
      </c>
      <c r="M103" s="253">
        <f>IFERROR(aurora_data!L1823,0)</f>
        <v>1</v>
      </c>
      <c r="N103" s="254">
        <f>IFERROR(aurora_data!M1823,0)</f>
        <v>2</v>
      </c>
      <c r="O103" s="113">
        <f>IFERROR(aurora_data!N1823,0)</f>
        <v>1</v>
      </c>
      <c r="P103" s="253">
        <f>IFERROR(aurora_data!O1823,0)</f>
        <v>2</v>
      </c>
      <c r="Q103" s="253">
        <f>IFERROR(aurora_data!P1823,0)</f>
        <v>4</v>
      </c>
      <c r="R103" s="254">
        <f>IFERROR(aurora_data!Q1823,0)</f>
        <v>0</v>
      </c>
      <c r="S103" s="253">
        <f>IFERROR(aurora_data!R1823,0)</f>
        <v>2</v>
      </c>
      <c r="T103" s="253">
        <f>IFERROR(aurora_data!S1823,0)</f>
        <v>5</v>
      </c>
      <c r="U103" s="254">
        <f>IFERROR(aurora_data!T1423,0)</f>
        <v>0</v>
      </c>
      <c r="V103" s="61" t="s">
        <v>354</v>
      </c>
      <c r="W103" s="113">
        <f>IFERROR(aurora_data!U1823,0)</f>
        <v>7</v>
      </c>
      <c r="X103" s="255">
        <f t="shared" ref="X103:X110" si="21">IFERROR(W103/$W$102,0)</f>
        <v>0.77777777777777779</v>
      </c>
      <c r="Y103" s="2"/>
      <c r="AA103" s="452"/>
      <c r="AB103" s="454"/>
      <c r="AC103" s="35" t="s">
        <v>339</v>
      </c>
      <c r="AD103" s="113">
        <f>IFERROR(aurora_data!D1823,0)+IFERROR(aurora_data!E1823,0)</f>
        <v>3</v>
      </c>
      <c r="AE103" s="253">
        <f>IFERROR(aurora_data!F1823,0)</f>
        <v>1</v>
      </c>
      <c r="AF103" s="253">
        <f>IFERROR(aurora_data!G1823,0)</f>
        <v>1</v>
      </c>
      <c r="AG103" s="253">
        <f>IFERROR(aurora_data!H1823,0)</f>
        <v>2</v>
      </c>
      <c r="AH103" s="61" t="s">
        <v>354</v>
      </c>
      <c r="AI103" s="113">
        <f>IFERROR(aurora_data!U1823,0)</f>
        <v>7</v>
      </c>
      <c r="AJ103" s="255">
        <f t="shared" si="20"/>
        <v>0.77777777777777779</v>
      </c>
    </row>
    <row r="104" spans="1:36" customFormat="1">
      <c r="A104" s="2"/>
      <c r="B104" s="452"/>
      <c r="C104" s="454"/>
      <c r="D104" s="35" t="s">
        <v>291</v>
      </c>
      <c r="E104" s="113">
        <f>IFERROR(aurora_data!D1824,0)</f>
        <v>0</v>
      </c>
      <c r="F104" s="253">
        <f>IFERROR(aurora_data!E1824,0)</f>
        <v>0</v>
      </c>
      <c r="G104" s="253">
        <f>IFERROR(aurora_data!F1824,0)</f>
        <v>0</v>
      </c>
      <c r="H104" s="253">
        <f>IFERROR(aurora_data!G1824,0)</f>
        <v>0</v>
      </c>
      <c r="I104" s="254">
        <f>IFERROR(aurora_data!H1824,0)</f>
        <v>0</v>
      </c>
      <c r="J104" s="113">
        <f>IFERROR(aurora_data!I1824,0)</f>
        <v>0</v>
      </c>
      <c r="K104" s="253">
        <f>IFERROR(aurora_data!J1824,0)</f>
        <v>0</v>
      </c>
      <c r="L104" s="253">
        <f>IFERROR(aurora_data!K1824,0)</f>
        <v>0</v>
      </c>
      <c r="M104" s="253">
        <f>IFERROR(aurora_data!L1824,0)</f>
        <v>0</v>
      </c>
      <c r="N104" s="254">
        <f>IFERROR(aurora_data!M1824,0)</f>
        <v>0</v>
      </c>
      <c r="O104" s="113">
        <f>IFERROR(aurora_data!N1824,0)</f>
        <v>0</v>
      </c>
      <c r="P104" s="253">
        <f>IFERROR(aurora_data!O1824,0)</f>
        <v>0</v>
      </c>
      <c r="Q104" s="253">
        <f>IFERROR(aurora_data!P1824,0)</f>
        <v>0</v>
      </c>
      <c r="R104" s="254">
        <f>IFERROR(aurora_data!Q1824,0)</f>
        <v>0</v>
      </c>
      <c r="S104" s="253">
        <f>IFERROR(aurora_data!R1824,0)</f>
        <v>0</v>
      </c>
      <c r="T104" s="253">
        <f>IFERROR(aurora_data!S1824,0)</f>
        <v>0</v>
      </c>
      <c r="U104" s="254">
        <f>IFERROR(aurora_data!T1424,0)</f>
        <v>0</v>
      </c>
      <c r="V104" s="61" t="s">
        <v>354</v>
      </c>
      <c r="W104" s="113">
        <f>IFERROR(aurora_data!U1824,0)</f>
        <v>0</v>
      </c>
      <c r="X104" s="255">
        <f t="shared" si="21"/>
        <v>0</v>
      </c>
      <c r="Y104" s="2"/>
      <c r="AA104" s="452"/>
      <c r="AB104" s="454"/>
      <c r="AC104" s="35" t="s">
        <v>291</v>
      </c>
      <c r="AD104" s="113">
        <f>IFERROR(aurora_data!D1824,0)+IFERROR(aurora_data!E1824,0)</f>
        <v>0</v>
      </c>
      <c r="AE104" s="253">
        <f>IFERROR(aurora_data!F1824,0)</f>
        <v>0</v>
      </c>
      <c r="AF104" s="253">
        <f>IFERROR(aurora_data!G1824,0)</f>
        <v>0</v>
      </c>
      <c r="AG104" s="253">
        <f>IFERROR(aurora_data!H1824,0)</f>
        <v>0</v>
      </c>
      <c r="AH104" s="61" t="s">
        <v>354</v>
      </c>
      <c r="AI104" s="113">
        <f>IFERROR(aurora_data!U1824,0)</f>
        <v>0</v>
      </c>
      <c r="AJ104" s="255">
        <f t="shared" si="20"/>
        <v>0</v>
      </c>
    </row>
    <row r="105" spans="1:36" customFormat="1">
      <c r="A105" s="2"/>
      <c r="B105" s="452"/>
      <c r="C105" s="454"/>
      <c r="D105" s="35" t="s">
        <v>340</v>
      </c>
      <c r="E105" s="113">
        <f>IFERROR(aurora_data!D1825,0)</f>
        <v>0</v>
      </c>
      <c r="F105" s="253">
        <f>IFERROR(aurora_data!E1825,0)</f>
        <v>0</v>
      </c>
      <c r="G105" s="253">
        <f>IFERROR(aurora_data!F1825,0)</f>
        <v>0</v>
      </c>
      <c r="H105" s="253">
        <f>IFERROR(aurora_data!G1825,0)</f>
        <v>0</v>
      </c>
      <c r="I105" s="254">
        <f>IFERROR(aurora_data!H1825,0)</f>
        <v>0</v>
      </c>
      <c r="J105" s="113">
        <f>IFERROR(aurora_data!I1825,0)</f>
        <v>0</v>
      </c>
      <c r="K105" s="253">
        <f>IFERROR(aurora_data!J1825,0)</f>
        <v>0</v>
      </c>
      <c r="L105" s="253">
        <f>IFERROR(aurora_data!K1825,0)</f>
        <v>0</v>
      </c>
      <c r="M105" s="253">
        <f>IFERROR(aurora_data!L1825,0)</f>
        <v>0</v>
      </c>
      <c r="N105" s="254">
        <f>IFERROR(aurora_data!M1825,0)</f>
        <v>0</v>
      </c>
      <c r="O105" s="113">
        <f>IFERROR(aurora_data!N1825,0)</f>
        <v>0</v>
      </c>
      <c r="P105" s="253">
        <f>IFERROR(aurora_data!O1825,0)</f>
        <v>0</v>
      </c>
      <c r="Q105" s="253">
        <f>IFERROR(aurora_data!P1825,0)</f>
        <v>0</v>
      </c>
      <c r="R105" s="254">
        <f>IFERROR(aurora_data!Q1825,0)</f>
        <v>0</v>
      </c>
      <c r="S105" s="253">
        <f>IFERROR(aurora_data!R1825,0)</f>
        <v>0</v>
      </c>
      <c r="T105" s="253">
        <f>IFERROR(aurora_data!S1825,0)</f>
        <v>0</v>
      </c>
      <c r="U105" s="254">
        <f>IFERROR(aurora_data!T1425,0)</f>
        <v>0</v>
      </c>
      <c r="V105" s="61" t="s">
        <v>354</v>
      </c>
      <c r="W105" s="113">
        <f>IFERROR(aurora_data!U1825,0)</f>
        <v>0</v>
      </c>
      <c r="X105" s="255">
        <f t="shared" si="21"/>
        <v>0</v>
      </c>
      <c r="Y105" s="2"/>
      <c r="AA105" s="452"/>
      <c r="AB105" s="454"/>
      <c r="AC105" s="35" t="s">
        <v>340</v>
      </c>
      <c r="AD105" s="113">
        <f>IFERROR(aurora_data!D1825,0)+IFERROR(aurora_data!E1825,0)</f>
        <v>0</v>
      </c>
      <c r="AE105" s="253">
        <f>IFERROR(aurora_data!F1825,0)</f>
        <v>0</v>
      </c>
      <c r="AF105" s="253">
        <f>IFERROR(aurora_data!G1825,0)</f>
        <v>0</v>
      </c>
      <c r="AG105" s="253">
        <f>IFERROR(aurora_data!H1825,0)</f>
        <v>0</v>
      </c>
      <c r="AH105" s="61" t="s">
        <v>354</v>
      </c>
      <c r="AI105" s="113">
        <f>IFERROR(aurora_data!U1825,0)</f>
        <v>0</v>
      </c>
      <c r="AJ105" s="255">
        <f t="shared" si="20"/>
        <v>0</v>
      </c>
    </row>
    <row r="106" spans="1:36" customFormat="1">
      <c r="A106" s="2"/>
      <c r="B106" s="452"/>
      <c r="C106" s="454"/>
      <c r="D106" s="35" t="s">
        <v>298</v>
      </c>
      <c r="E106" s="113">
        <f>IFERROR(aurora_data!D1826,0)</f>
        <v>0</v>
      </c>
      <c r="F106" s="253">
        <f>IFERROR(aurora_data!E1826,0)</f>
        <v>0</v>
      </c>
      <c r="G106" s="253">
        <f>IFERROR(aurora_data!F1826,0)</f>
        <v>0</v>
      </c>
      <c r="H106" s="253">
        <f>IFERROR(aurora_data!G1826,0)</f>
        <v>0</v>
      </c>
      <c r="I106" s="254">
        <f>IFERROR(aurora_data!H1826,0)</f>
        <v>0</v>
      </c>
      <c r="J106" s="113">
        <f>IFERROR(aurora_data!I1826,0)</f>
        <v>0</v>
      </c>
      <c r="K106" s="253">
        <f>IFERROR(aurora_data!J1826,0)</f>
        <v>0</v>
      </c>
      <c r="L106" s="253">
        <f>IFERROR(aurora_data!K1826,0)</f>
        <v>0</v>
      </c>
      <c r="M106" s="253">
        <f>IFERROR(aurora_data!L1826,0)</f>
        <v>0</v>
      </c>
      <c r="N106" s="254">
        <f>IFERROR(aurora_data!M1826,0)</f>
        <v>0</v>
      </c>
      <c r="O106" s="113">
        <f>IFERROR(aurora_data!N1826,0)</f>
        <v>0</v>
      </c>
      <c r="P106" s="253">
        <f>IFERROR(aurora_data!O1826,0)</f>
        <v>0</v>
      </c>
      <c r="Q106" s="253">
        <f>IFERROR(aurora_data!P1826,0)</f>
        <v>0</v>
      </c>
      <c r="R106" s="254">
        <f>IFERROR(aurora_data!Q1826,0)</f>
        <v>0</v>
      </c>
      <c r="S106" s="253">
        <f>IFERROR(aurora_data!R1826,0)</f>
        <v>0</v>
      </c>
      <c r="T106" s="253">
        <f>IFERROR(aurora_data!S1826,0)</f>
        <v>0</v>
      </c>
      <c r="U106" s="254">
        <f>IFERROR(aurora_data!T1426,0)</f>
        <v>0</v>
      </c>
      <c r="V106" s="61" t="s">
        <v>354</v>
      </c>
      <c r="W106" s="113">
        <f>IFERROR(aurora_data!U1826,0)</f>
        <v>0</v>
      </c>
      <c r="X106" s="255">
        <f t="shared" si="21"/>
        <v>0</v>
      </c>
      <c r="Y106" s="2"/>
      <c r="AA106" s="452"/>
      <c r="AB106" s="454"/>
      <c r="AC106" s="35" t="s">
        <v>298</v>
      </c>
      <c r="AD106" s="113">
        <f>IFERROR(aurora_data!D1826,0)+IFERROR(aurora_data!E1826,0)</f>
        <v>0</v>
      </c>
      <c r="AE106" s="253">
        <f>IFERROR(aurora_data!F1826,0)</f>
        <v>0</v>
      </c>
      <c r="AF106" s="253">
        <f>IFERROR(aurora_data!G1826,0)</f>
        <v>0</v>
      </c>
      <c r="AG106" s="253">
        <f>IFERROR(aurora_data!H1826,0)</f>
        <v>0</v>
      </c>
      <c r="AH106" s="61" t="s">
        <v>354</v>
      </c>
      <c r="AI106" s="113">
        <f>IFERROR(aurora_data!U1826,0)</f>
        <v>0</v>
      </c>
      <c r="AJ106" s="255">
        <f t="shared" si="20"/>
        <v>0</v>
      </c>
    </row>
    <row r="107" spans="1:36" customFormat="1">
      <c r="A107" s="2"/>
      <c r="B107" s="452"/>
      <c r="C107" s="454"/>
      <c r="D107" s="35" t="s">
        <v>341</v>
      </c>
      <c r="E107" s="113">
        <f>IFERROR(aurora_data!D1827,0)</f>
        <v>0</v>
      </c>
      <c r="F107" s="253">
        <f>IFERROR(aurora_data!E1827,0)</f>
        <v>0</v>
      </c>
      <c r="G107" s="253">
        <f>IFERROR(aurora_data!F1827,0)</f>
        <v>0</v>
      </c>
      <c r="H107" s="253">
        <f>IFERROR(aurora_data!G1827,0)</f>
        <v>3</v>
      </c>
      <c r="I107" s="254">
        <f>IFERROR(aurora_data!H1827,0)</f>
        <v>1</v>
      </c>
      <c r="J107" s="113">
        <f>IFERROR(aurora_data!I1827,0)</f>
        <v>1</v>
      </c>
      <c r="K107" s="253">
        <f>IFERROR(aurora_data!J1827,0)</f>
        <v>1</v>
      </c>
      <c r="L107" s="253">
        <f>IFERROR(aurora_data!K1827,0)</f>
        <v>0</v>
      </c>
      <c r="M107" s="253">
        <f>IFERROR(aurora_data!L1827,0)</f>
        <v>0</v>
      </c>
      <c r="N107" s="254">
        <f>IFERROR(aurora_data!M1827,0)</f>
        <v>2</v>
      </c>
      <c r="O107" s="113">
        <f>IFERROR(aurora_data!N1827,0)</f>
        <v>1</v>
      </c>
      <c r="P107" s="253">
        <f>IFERROR(aurora_data!O1827,0)</f>
        <v>1</v>
      </c>
      <c r="Q107" s="253">
        <f>IFERROR(aurora_data!P1827,0)</f>
        <v>1</v>
      </c>
      <c r="R107" s="254">
        <f>IFERROR(aurora_data!Q1827,0)</f>
        <v>1</v>
      </c>
      <c r="S107" s="253">
        <f>IFERROR(aurora_data!R1827,0)</f>
        <v>1</v>
      </c>
      <c r="T107" s="253">
        <f>IFERROR(aurora_data!S1827,0)</f>
        <v>3</v>
      </c>
      <c r="U107" s="254">
        <f>IFERROR(aurora_data!T1427,0)</f>
        <v>0</v>
      </c>
      <c r="V107" s="61" t="s">
        <v>354</v>
      </c>
      <c r="W107" s="113">
        <f>IFERROR(aurora_data!U1827,0)</f>
        <v>4</v>
      </c>
      <c r="X107" s="255">
        <f t="shared" si="21"/>
        <v>0.44444444444444442</v>
      </c>
      <c r="Y107" s="2"/>
      <c r="AA107" s="452"/>
      <c r="AB107" s="454"/>
      <c r="AC107" s="35" t="s">
        <v>341</v>
      </c>
      <c r="AD107" s="113">
        <f>IFERROR(aurora_data!D1827,0)+IFERROR(aurora_data!E1827,0)</f>
        <v>0</v>
      </c>
      <c r="AE107" s="253">
        <f>IFERROR(aurora_data!F1827,0)</f>
        <v>0</v>
      </c>
      <c r="AF107" s="253">
        <f>IFERROR(aurora_data!G1827,0)</f>
        <v>3</v>
      </c>
      <c r="AG107" s="253">
        <f>IFERROR(aurora_data!H1827,0)</f>
        <v>1</v>
      </c>
      <c r="AH107" s="61" t="s">
        <v>354</v>
      </c>
      <c r="AI107" s="113">
        <f>IFERROR(aurora_data!U1827,0)</f>
        <v>4</v>
      </c>
      <c r="AJ107" s="255">
        <f t="shared" si="20"/>
        <v>0.44444444444444442</v>
      </c>
    </row>
    <row r="108" spans="1:36" customFormat="1" ht="16.5" thickBot="1">
      <c r="A108" s="2"/>
      <c r="B108" s="452"/>
      <c r="C108" s="454"/>
      <c r="D108" s="35" t="s">
        <v>342</v>
      </c>
      <c r="E108" s="113">
        <f>IFERROR(aurora_data!D1828,0)</f>
        <v>0</v>
      </c>
      <c r="F108" s="253">
        <f>IFERROR(aurora_data!E1828,0)</f>
        <v>0</v>
      </c>
      <c r="G108" s="253">
        <f>IFERROR(aurora_data!F1828,0)</f>
        <v>0</v>
      </c>
      <c r="H108" s="253">
        <f>IFERROR(aurora_data!G1828,0)</f>
        <v>0</v>
      </c>
      <c r="I108" s="254">
        <f>IFERROR(aurora_data!H1828,0)</f>
        <v>0</v>
      </c>
      <c r="J108" s="113">
        <f>IFERROR(aurora_data!I1828,0)</f>
        <v>0</v>
      </c>
      <c r="K108" s="253">
        <f>IFERROR(aurora_data!J1828,0)</f>
        <v>0</v>
      </c>
      <c r="L108" s="253">
        <f>IFERROR(aurora_data!K1828,0)</f>
        <v>0</v>
      </c>
      <c r="M108" s="253">
        <f>IFERROR(aurora_data!L1828,0)</f>
        <v>0</v>
      </c>
      <c r="N108" s="254">
        <f>IFERROR(aurora_data!M1828,0)</f>
        <v>0</v>
      </c>
      <c r="O108" s="113">
        <f>IFERROR(aurora_data!N1828,0)</f>
        <v>0</v>
      </c>
      <c r="P108" s="253">
        <f>IFERROR(aurora_data!O1828,0)</f>
        <v>0</v>
      </c>
      <c r="Q108" s="253">
        <f>IFERROR(aurora_data!P1828,0)</f>
        <v>0</v>
      </c>
      <c r="R108" s="254">
        <f>IFERROR(aurora_data!Q1828,0)</f>
        <v>0</v>
      </c>
      <c r="S108" s="253">
        <f>IFERROR(aurora_data!R1828,0)</f>
        <v>0</v>
      </c>
      <c r="T108" s="253">
        <f>IFERROR(aurora_data!S1828,0)</f>
        <v>0</v>
      </c>
      <c r="U108" s="254">
        <f>IFERROR(aurora_data!T1428,0)</f>
        <v>0</v>
      </c>
      <c r="V108" s="61" t="s">
        <v>354</v>
      </c>
      <c r="W108" s="113">
        <f>IFERROR(aurora_data!U1828,0)</f>
        <v>0</v>
      </c>
      <c r="X108" s="255">
        <f t="shared" si="21"/>
        <v>0</v>
      </c>
      <c r="Y108" s="2"/>
      <c r="AA108" s="452"/>
      <c r="AB108" s="454"/>
      <c r="AC108" s="35" t="s">
        <v>342</v>
      </c>
      <c r="AD108" s="113">
        <f>IFERROR(aurora_data!D1828,0)+IFERROR(aurora_data!E1828,0)</f>
        <v>0</v>
      </c>
      <c r="AE108" s="253">
        <f>IFERROR(aurora_data!F1828,0)</f>
        <v>0</v>
      </c>
      <c r="AF108" s="253">
        <f>IFERROR(aurora_data!G1828,0)</f>
        <v>0</v>
      </c>
      <c r="AG108" s="253">
        <f>IFERROR(aurora_data!H1828,0)</f>
        <v>0</v>
      </c>
      <c r="AH108" s="61" t="s">
        <v>354</v>
      </c>
      <c r="AI108" s="113">
        <f>IFERROR(aurora_data!U1828,0)</f>
        <v>0</v>
      </c>
      <c r="AJ108" s="255">
        <f t="shared" si="20"/>
        <v>0</v>
      </c>
    </row>
    <row r="109" spans="1:36" customFormat="1" ht="16.5" thickBot="1">
      <c r="A109" s="2"/>
      <c r="B109" s="452"/>
      <c r="C109" s="454"/>
      <c r="D109" s="37" t="s">
        <v>17</v>
      </c>
      <c r="E109" s="59">
        <f>IFERROR(aurora_data!D1829,0)</f>
        <v>1</v>
      </c>
      <c r="F109" s="64">
        <f>IFERROR(aurora_data!E1829,0)</f>
        <v>2</v>
      </c>
      <c r="G109" s="64">
        <f>IFERROR(aurora_data!F1829,0)</f>
        <v>1</v>
      </c>
      <c r="H109" s="64">
        <f>IFERROR(aurora_data!G1829,0)</f>
        <v>4</v>
      </c>
      <c r="I109" s="65">
        <f>IFERROR(aurora_data!H1829,0)</f>
        <v>3</v>
      </c>
      <c r="J109" s="59">
        <f>IFERROR(aurora_data!I1829,0)</f>
        <v>1</v>
      </c>
      <c r="K109" s="64">
        <f>IFERROR(aurora_data!J1829,0)</f>
        <v>3</v>
      </c>
      <c r="L109" s="64">
        <f>IFERROR(aurora_data!K1829,0)</f>
        <v>2</v>
      </c>
      <c r="M109" s="64">
        <f>IFERROR(aurora_data!L1829,0)</f>
        <v>1</v>
      </c>
      <c r="N109" s="65">
        <f>IFERROR(aurora_data!M1829,0)</f>
        <v>4</v>
      </c>
      <c r="O109" s="59">
        <f>IFERROR(aurora_data!N1829,0)</f>
        <v>2</v>
      </c>
      <c r="P109" s="64">
        <f>IFERROR(aurora_data!O1829,0)</f>
        <v>3</v>
      </c>
      <c r="Q109" s="64">
        <f>IFERROR(aurora_data!P1829,0)</f>
        <v>5</v>
      </c>
      <c r="R109" s="65">
        <f>IFERROR(aurora_data!Q1829,0)</f>
        <v>1</v>
      </c>
      <c r="S109" s="64">
        <f>IFERROR(aurora_data!R1829,0)</f>
        <v>3</v>
      </c>
      <c r="T109" s="64">
        <f>IFERROR(aurora_data!S1829,0)</f>
        <v>8</v>
      </c>
      <c r="U109" s="65">
        <f>IFERROR(aurora_data!T1429,0)</f>
        <v>0</v>
      </c>
      <c r="V109" s="66" t="s">
        <v>354</v>
      </c>
      <c r="W109" s="59">
        <f>IFERROR(aurora_data!U1829,0)</f>
        <v>11</v>
      </c>
      <c r="X109" s="70">
        <f t="shared" si="21"/>
        <v>1.2222222222222223</v>
      </c>
      <c r="Y109" s="2"/>
      <c r="AA109" s="452"/>
      <c r="AB109" s="454"/>
      <c r="AC109" s="37" t="s">
        <v>17</v>
      </c>
      <c r="AD109" s="59">
        <f>IFERROR(aurora_data!D1829,0)+IFERROR(aurora_data!E1829,0)</f>
        <v>3</v>
      </c>
      <c r="AE109" s="64">
        <f>IFERROR(aurora_data!F1829,0)</f>
        <v>1</v>
      </c>
      <c r="AF109" s="64">
        <f>IFERROR(aurora_data!G1829,0)</f>
        <v>4</v>
      </c>
      <c r="AG109" s="64">
        <f>IFERROR(aurora_data!H1829,0)</f>
        <v>3</v>
      </c>
      <c r="AH109" s="66" t="s">
        <v>354</v>
      </c>
      <c r="AI109" s="59">
        <f>IFERROR(aurora_data!U1829,0)</f>
        <v>11</v>
      </c>
      <c r="AJ109" s="70">
        <f t="shared" si="20"/>
        <v>1.2222222222222223</v>
      </c>
    </row>
    <row r="110" spans="1:36" customFormat="1" ht="16.5" thickBot="1">
      <c r="A110" s="2"/>
      <c r="B110" s="452"/>
      <c r="C110" s="454"/>
      <c r="D110" s="38" t="s">
        <v>343</v>
      </c>
      <c r="E110" s="256">
        <f>IFERROR(aurora_data!D1830,0)</f>
        <v>0</v>
      </c>
      <c r="F110" s="257">
        <f>IFERROR(aurora_data!E1830,0)</f>
        <v>0</v>
      </c>
      <c r="G110" s="257">
        <f>IFERROR(aurora_data!F1830,0)</f>
        <v>0</v>
      </c>
      <c r="H110" s="257">
        <f>IFERROR(aurora_data!G1830,0)</f>
        <v>0</v>
      </c>
      <c r="I110" s="258">
        <f>IFERROR(aurora_data!H1830,0)</f>
        <v>0</v>
      </c>
      <c r="J110" s="256">
        <f>IFERROR(aurora_data!I1830,0)</f>
        <v>0</v>
      </c>
      <c r="K110" s="257">
        <f>IFERROR(aurora_data!J1830,0)</f>
        <v>0</v>
      </c>
      <c r="L110" s="257">
        <f>IFERROR(aurora_data!K1830,0)</f>
        <v>0</v>
      </c>
      <c r="M110" s="257">
        <f>IFERROR(aurora_data!L1830,0)</f>
        <v>0</v>
      </c>
      <c r="N110" s="258">
        <f>IFERROR(aurora_data!M1830,0)</f>
        <v>0</v>
      </c>
      <c r="O110" s="256">
        <f>IFERROR(aurora_data!N1830,0)</f>
        <v>0</v>
      </c>
      <c r="P110" s="257">
        <f>IFERROR(aurora_data!O1830,0)</f>
        <v>0</v>
      </c>
      <c r="Q110" s="257">
        <f>IFERROR(aurora_data!P1830,0)</f>
        <v>0</v>
      </c>
      <c r="R110" s="258">
        <f>IFERROR(aurora_data!Q1830,0)</f>
        <v>0</v>
      </c>
      <c r="S110" s="257">
        <f>IFERROR(aurora_data!R1830,0)</f>
        <v>0</v>
      </c>
      <c r="T110" s="257">
        <f>IFERROR(aurora_data!S1830,0)</f>
        <v>0</v>
      </c>
      <c r="U110" s="259">
        <f>IFERROR(aurora_data!T1430,0)</f>
        <v>0</v>
      </c>
      <c r="V110" s="260" t="s">
        <v>354</v>
      </c>
      <c r="W110" s="256">
        <f>IFERROR(aurora_data!U1830,0)</f>
        <v>0</v>
      </c>
      <c r="X110" s="261">
        <f t="shared" si="21"/>
        <v>0</v>
      </c>
      <c r="Y110" s="2"/>
      <c r="AA110" s="452"/>
      <c r="AB110" s="454"/>
      <c r="AC110" s="38" t="s">
        <v>343</v>
      </c>
      <c r="AD110" s="256">
        <f>IFERROR(aurora_data!D1830,0)+IFERROR(aurora_data!E1830,0)</f>
        <v>0</v>
      </c>
      <c r="AE110" s="257">
        <f>IFERROR(aurora_data!F1830,0)</f>
        <v>0</v>
      </c>
      <c r="AF110" s="257">
        <f>IFERROR(aurora_data!G1830,0)</f>
        <v>0</v>
      </c>
      <c r="AG110" s="257">
        <f>IFERROR(aurora_data!H1830,0)</f>
        <v>0</v>
      </c>
      <c r="AH110" s="260" t="s">
        <v>354</v>
      </c>
      <c r="AI110" s="256">
        <f>IFERROR(aurora_data!U1830,0)</f>
        <v>0</v>
      </c>
      <c r="AJ110" s="261">
        <f t="shared" si="20"/>
        <v>0</v>
      </c>
    </row>
    <row r="111" spans="1:36" customFormat="1">
      <c r="A111" s="2"/>
      <c r="B111" s="451" t="s">
        <v>338</v>
      </c>
      <c r="C111" s="449" t="s">
        <v>150</v>
      </c>
      <c r="D111" s="34" t="s">
        <v>306</v>
      </c>
      <c r="E111" s="39">
        <f>IFERROR(aurora_data!D1831,0)</f>
        <v>3.32</v>
      </c>
      <c r="F111" s="40">
        <f>IFERROR(aurora_data!E1831,0)</f>
        <v>5.9</v>
      </c>
      <c r="G111" s="40">
        <f>IFERROR(aurora_data!F1831,0)</f>
        <v>19.940000000000001</v>
      </c>
      <c r="H111" s="40">
        <f>IFERROR(aurora_data!G1831,0)</f>
        <v>31.94</v>
      </c>
      <c r="I111" s="41">
        <f>IFERROR(aurora_data!H1831,0)</f>
        <v>38.9</v>
      </c>
      <c r="J111" s="39">
        <f>IFERROR(aurora_data!I1831,0)</f>
        <v>11</v>
      </c>
      <c r="K111" s="40">
        <f>IFERROR(aurora_data!J1831,0)</f>
        <v>11</v>
      </c>
      <c r="L111" s="40">
        <f>IFERROR(aurora_data!K1831,0)</f>
        <v>11</v>
      </c>
      <c r="M111" s="40">
        <f>IFERROR(aurora_data!L1831,0)</f>
        <v>11</v>
      </c>
      <c r="N111" s="41">
        <f>IFERROR(aurora_data!M1831,0)</f>
        <v>11</v>
      </c>
      <c r="O111" s="39">
        <f>IFERROR(aurora_data!N1831,0)</f>
        <v>11</v>
      </c>
      <c r="P111" s="40">
        <f>IFERROR(aurora_data!O1831,0)</f>
        <v>11</v>
      </c>
      <c r="Q111" s="40">
        <f>IFERROR(aurora_data!P1831,0)</f>
        <v>11</v>
      </c>
      <c r="R111" s="41">
        <f>IFERROR(aurora_data!Q1831,0)</f>
        <v>11</v>
      </c>
      <c r="S111" s="40">
        <f>IFERROR(aurora_data!R1831,0)</f>
        <v>11</v>
      </c>
      <c r="T111" s="40">
        <f>IFERROR(aurora_data!S1831,0)</f>
        <v>11</v>
      </c>
      <c r="U111" s="41">
        <f>IFERROR(aurora_data!T1431,0)</f>
        <v>0</v>
      </c>
      <c r="V111" s="61" t="s">
        <v>354</v>
      </c>
      <c r="W111" s="39">
        <f>IFERROR(aurora_data!U1831,0)</f>
        <v>100</v>
      </c>
      <c r="X111" s="69">
        <f>IFERROR(W111/$W$111,0)</f>
        <v>1</v>
      </c>
      <c r="Y111" s="2"/>
      <c r="AA111" s="451" t="s">
        <v>338</v>
      </c>
      <c r="AB111" s="449" t="s">
        <v>150</v>
      </c>
      <c r="AC111" s="34" t="s">
        <v>306</v>
      </c>
      <c r="AD111" s="338">
        <v>22</v>
      </c>
      <c r="AE111" s="337">
        <v>22</v>
      </c>
      <c r="AF111" s="337">
        <v>27</v>
      </c>
      <c r="AG111" s="337">
        <v>29</v>
      </c>
      <c r="AH111" s="61" t="s">
        <v>354</v>
      </c>
      <c r="AI111" s="39">
        <f>IFERROR(aurora_data!U1831,0)</f>
        <v>100</v>
      </c>
      <c r="AJ111" s="69">
        <f t="shared" ref="AJ111:AJ119" si="22">IFERROR(AI111/$AI$111,0)</f>
        <v>1</v>
      </c>
    </row>
    <row r="112" spans="1:36" customFormat="1" ht="16.5" customHeight="1">
      <c r="A112" s="2"/>
      <c r="B112" s="452"/>
      <c r="C112" s="450"/>
      <c r="D112" s="35" t="s">
        <v>339</v>
      </c>
      <c r="E112" s="113">
        <f>IFERROR(aurora_data!D1832,0)</f>
        <v>8</v>
      </c>
      <c r="F112" s="253">
        <f>IFERROR(aurora_data!E1832,0)</f>
        <v>12</v>
      </c>
      <c r="G112" s="253">
        <f>IFERROR(aurora_data!F1832,0)</f>
        <v>21</v>
      </c>
      <c r="H112" s="253">
        <f>IFERROR(aurora_data!G1832,0)</f>
        <v>26</v>
      </c>
      <c r="I112" s="254">
        <f>IFERROR(aurora_data!H1832,0)</f>
        <v>28</v>
      </c>
      <c r="J112" s="113">
        <f>IFERROR(aurora_data!I1832,0)</f>
        <v>7</v>
      </c>
      <c r="K112" s="253">
        <f>IFERROR(aurora_data!J1832,0)</f>
        <v>22</v>
      </c>
      <c r="L112" s="253">
        <f>IFERROR(aurora_data!K1832,0)</f>
        <v>29</v>
      </c>
      <c r="M112" s="253">
        <f>IFERROR(aurora_data!L1832,0)</f>
        <v>16</v>
      </c>
      <c r="N112" s="254">
        <f>IFERROR(aurora_data!M1832,0)</f>
        <v>21</v>
      </c>
      <c r="O112" s="113">
        <f>IFERROR(aurora_data!N1832,0)</f>
        <v>18</v>
      </c>
      <c r="P112" s="253">
        <f>IFERROR(aurora_data!O1832,0)</f>
        <v>17</v>
      </c>
      <c r="Q112" s="253">
        <f>IFERROR(aurora_data!P1832,0)</f>
        <v>36</v>
      </c>
      <c r="R112" s="254">
        <f>IFERROR(aurora_data!Q1832,0)</f>
        <v>24</v>
      </c>
      <c r="S112" s="253">
        <f>IFERROR(aurora_data!R1832,0)</f>
        <v>48</v>
      </c>
      <c r="T112" s="253">
        <f>IFERROR(aurora_data!S1832,0)</f>
        <v>47</v>
      </c>
      <c r="U112" s="254">
        <f>IFERROR(aurora_data!T1432,0)</f>
        <v>0</v>
      </c>
      <c r="V112" s="61" t="s">
        <v>354</v>
      </c>
      <c r="W112" s="113">
        <f>IFERROR(aurora_data!U1832,0)</f>
        <v>95</v>
      </c>
      <c r="X112" s="255">
        <f t="shared" ref="X112:X119" si="23">IFERROR(W112/$W$111,0)</f>
        <v>0.95</v>
      </c>
      <c r="Y112" s="2"/>
      <c r="AA112" s="452"/>
      <c r="AB112" s="450"/>
      <c r="AC112" s="35" t="s">
        <v>339</v>
      </c>
      <c r="AD112" s="113">
        <f>IFERROR(aurora_data!D1832,0)+IFERROR(aurora_data!E1832,0)</f>
        <v>20</v>
      </c>
      <c r="AE112" s="253">
        <f>IFERROR(aurora_data!F1832,0)</f>
        <v>21</v>
      </c>
      <c r="AF112" s="253">
        <f>IFERROR(aurora_data!G1832,0)</f>
        <v>26</v>
      </c>
      <c r="AG112" s="253">
        <f>IFERROR(aurora_data!H1832,0)</f>
        <v>28</v>
      </c>
      <c r="AH112" s="61" t="s">
        <v>354</v>
      </c>
      <c r="AI112" s="113">
        <f>IFERROR(aurora_data!U1832,0)</f>
        <v>95</v>
      </c>
      <c r="AJ112" s="255">
        <f t="shared" si="22"/>
        <v>0.95</v>
      </c>
    </row>
    <row r="113" spans="1:36" customFormat="1" ht="16.5" customHeight="1">
      <c r="A113" s="2"/>
      <c r="B113" s="452"/>
      <c r="C113" s="450"/>
      <c r="D113" s="35" t="s">
        <v>291</v>
      </c>
      <c r="E113" s="113">
        <f>IFERROR(aurora_data!D1833,0)</f>
        <v>0</v>
      </c>
      <c r="F113" s="253">
        <f>IFERROR(aurora_data!E1833,0)</f>
        <v>0</v>
      </c>
      <c r="G113" s="253">
        <f>IFERROR(aurora_data!F1833,0)</f>
        <v>4</v>
      </c>
      <c r="H113" s="253">
        <f>IFERROR(aurora_data!G1833,0)</f>
        <v>3</v>
      </c>
      <c r="I113" s="254">
        <f>IFERROR(aurora_data!H1833,0)</f>
        <v>16</v>
      </c>
      <c r="J113" s="113">
        <f>IFERROR(aurora_data!I1833,0)</f>
        <v>0</v>
      </c>
      <c r="K113" s="253">
        <f>IFERROR(aurora_data!J1833,0)</f>
        <v>3</v>
      </c>
      <c r="L113" s="253">
        <f>IFERROR(aurora_data!K1833,0)</f>
        <v>2</v>
      </c>
      <c r="M113" s="253">
        <f>IFERROR(aurora_data!L1833,0)</f>
        <v>2</v>
      </c>
      <c r="N113" s="254">
        <f>IFERROR(aurora_data!M1833,0)</f>
        <v>16</v>
      </c>
      <c r="O113" s="113">
        <f>IFERROR(aurora_data!N1833,0)</f>
        <v>5</v>
      </c>
      <c r="P113" s="253">
        <f>IFERROR(aurora_data!O1833,0)</f>
        <v>6</v>
      </c>
      <c r="Q113" s="253">
        <f>IFERROR(aurora_data!P1833,0)</f>
        <v>5</v>
      </c>
      <c r="R113" s="254">
        <f>IFERROR(aurora_data!Q1833,0)</f>
        <v>7</v>
      </c>
      <c r="S113" s="253">
        <f>IFERROR(aurora_data!R1833,0)</f>
        <v>16</v>
      </c>
      <c r="T113" s="253">
        <f>IFERROR(aurora_data!S1833,0)</f>
        <v>7</v>
      </c>
      <c r="U113" s="254">
        <f>IFERROR(aurora_data!T1433,0)</f>
        <v>0</v>
      </c>
      <c r="V113" s="61" t="s">
        <v>354</v>
      </c>
      <c r="W113" s="113">
        <f>IFERROR(aurora_data!U1833,0)</f>
        <v>23</v>
      </c>
      <c r="X113" s="255">
        <f t="shared" si="23"/>
        <v>0.23</v>
      </c>
      <c r="Y113" s="2"/>
      <c r="AA113" s="452"/>
      <c r="AB113" s="450"/>
      <c r="AC113" s="35" t="s">
        <v>291</v>
      </c>
      <c r="AD113" s="113">
        <f>IFERROR(aurora_data!D1833,0)+IFERROR(aurora_data!E1833,0)</f>
        <v>0</v>
      </c>
      <c r="AE113" s="253">
        <f>IFERROR(aurora_data!F1833,0)</f>
        <v>4</v>
      </c>
      <c r="AF113" s="253">
        <f>IFERROR(aurora_data!G1833,0)</f>
        <v>3</v>
      </c>
      <c r="AG113" s="253">
        <f>IFERROR(aurora_data!H1833,0)</f>
        <v>16</v>
      </c>
      <c r="AH113" s="61" t="s">
        <v>354</v>
      </c>
      <c r="AI113" s="113">
        <f>IFERROR(aurora_data!U1833,0)</f>
        <v>23</v>
      </c>
      <c r="AJ113" s="255">
        <f t="shared" si="22"/>
        <v>0.23</v>
      </c>
    </row>
    <row r="114" spans="1:36" customFormat="1">
      <c r="A114" s="2"/>
      <c r="B114" s="452"/>
      <c r="C114" s="450"/>
      <c r="D114" s="35" t="s">
        <v>340</v>
      </c>
      <c r="E114" s="113">
        <f>IFERROR(aurora_data!D1834,0)</f>
        <v>1</v>
      </c>
      <c r="F114" s="253">
        <f>IFERROR(aurora_data!E1834,0)</f>
        <v>0</v>
      </c>
      <c r="G114" s="253">
        <f>IFERROR(aurora_data!F1834,0)</f>
        <v>0</v>
      </c>
      <c r="H114" s="253">
        <f>IFERROR(aurora_data!G1834,0)</f>
        <v>0</v>
      </c>
      <c r="I114" s="254">
        <f>IFERROR(aurora_data!H1834,0)</f>
        <v>0</v>
      </c>
      <c r="J114" s="113">
        <f>IFERROR(aurora_data!I1834,0)</f>
        <v>0</v>
      </c>
      <c r="K114" s="253">
        <f>IFERROR(aurora_data!J1834,0)</f>
        <v>0</v>
      </c>
      <c r="L114" s="253">
        <f>IFERROR(aurora_data!K1834,0)</f>
        <v>1</v>
      </c>
      <c r="M114" s="253">
        <f>IFERROR(aurora_data!L1834,0)</f>
        <v>0</v>
      </c>
      <c r="N114" s="254">
        <f>IFERROR(aurora_data!M1834,0)</f>
        <v>0</v>
      </c>
      <c r="O114" s="113">
        <f>IFERROR(aurora_data!N1834,0)</f>
        <v>0</v>
      </c>
      <c r="P114" s="253">
        <f>IFERROR(aurora_data!O1834,0)</f>
        <v>0</v>
      </c>
      <c r="Q114" s="253">
        <f>IFERROR(aurora_data!P1834,0)</f>
        <v>1</v>
      </c>
      <c r="R114" s="254">
        <f>IFERROR(aurora_data!Q1834,0)</f>
        <v>0</v>
      </c>
      <c r="S114" s="253">
        <f>IFERROR(aurora_data!R1834,0)</f>
        <v>0</v>
      </c>
      <c r="T114" s="253">
        <f>IFERROR(aurora_data!S1834,0)</f>
        <v>1</v>
      </c>
      <c r="U114" s="254">
        <f>IFERROR(aurora_data!T1434,0)</f>
        <v>0</v>
      </c>
      <c r="V114" s="61" t="s">
        <v>354</v>
      </c>
      <c r="W114" s="113">
        <f>IFERROR(aurora_data!U1834,0)</f>
        <v>1</v>
      </c>
      <c r="X114" s="255">
        <f t="shared" si="23"/>
        <v>0.01</v>
      </c>
      <c r="Y114" s="2"/>
      <c r="AA114" s="452"/>
      <c r="AB114" s="450"/>
      <c r="AC114" s="35" t="s">
        <v>340</v>
      </c>
      <c r="AD114" s="113">
        <f>IFERROR(aurora_data!D1834,0)+IFERROR(aurora_data!E1834,0)</f>
        <v>1</v>
      </c>
      <c r="AE114" s="253">
        <f>IFERROR(aurora_data!F1834,0)</f>
        <v>0</v>
      </c>
      <c r="AF114" s="253">
        <f>IFERROR(aurora_data!G1834,0)</f>
        <v>0</v>
      </c>
      <c r="AG114" s="253">
        <f>IFERROR(aurora_data!H1834,0)</f>
        <v>0</v>
      </c>
      <c r="AH114" s="61" t="s">
        <v>354</v>
      </c>
      <c r="AI114" s="113">
        <f>IFERROR(aurora_data!U1834,0)</f>
        <v>1</v>
      </c>
      <c r="AJ114" s="255">
        <f t="shared" si="22"/>
        <v>0.01</v>
      </c>
    </row>
    <row r="115" spans="1:36" customFormat="1">
      <c r="A115" s="2"/>
      <c r="B115" s="452"/>
      <c r="C115" s="450"/>
      <c r="D115" s="35" t="s">
        <v>298</v>
      </c>
      <c r="E115" s="113">
        <f>IFERROR(aurora_data!D1835,0)</f>
        <v>0</v>
      </c>
      <c r="F115" s="253">
        <f>IFERROR(aurora_data!E1835,0)</f>
        <v>0</v>
      </c>
      <c r="G115" s="253">
        <f>IFERROR(aurora_data!F1835,0)</f>
        <v>1</v>
      </c>
      <c r="H115" s="253">
        <f>IFERROR(aurora_data!G1835,0)</f>
        <v>1</v>
      </c>
      <c r="I115" s="254">
        <f>IFERROR(aurora_data!H1835,0)</f>
        <v>2</v>
      </c>
      <c r="J115" s="113">
        <f>IFERROR(aurora_data!I1835,0)</f>
        <v>3</v>
      </c>
      <c r="K115" s="253">
        <f>IFERROR(aurora_data!J1835,0)</f>
        <v>0</v>
      </c>
      <c r="L115" s="253">
        <f>IFERROR(aurora_data!K1835,0)</f>
        <v>0</v>
      </c>
      <c r="M115" s="253">
        <f>IFERROR(aurora_data!L1835,0)</f>
        <v>0</v>
      </c>
      <c r="N115" s="254">
        <f>IFERROR(aurora_data!M1835,0)</f>
        <v>1</v>
      </c>
      <c r="O115" s="113">
        <f>IFERROR(aurora_data!N1835,0)</f>
        <v>1</v>
      </c>
      <c r="P115" s="253">
        <f>IFERROR(aurora_data!O1835,0)</f>
        <v>0</v>
      </c>
      <c r="Q115" s="253">
        <f>IFERROR(aurora_data!P1835,0)</f>
        <v>2</v>
      </c>
      <c r="R115" s="254">
        <f>IFERROR(aurora_data!Q1835,0)</f>
        <v>1</v>
      </c>
      <c r="S115" s="253">
        <f>IFERROR(aurora_data!R1835,0)</f>
        <v>2</v>
      </c>
      <c r="T115" s="253">
        <f>IFERROR(aurora_data!S1835,0)</f>
        <v>2</v>
      </c>
      <c r="U115" s="254">
        <f>IFERROR(aurora_data!T1435,0)</f>
        <v>0</v>
      </c>
      <c r="V115" s="61" t="s">
        <v>354</v>
      </c>
      <c r="W115" s="113">
        <f>IFERROR(aurora_data!U1835,0)</f>
        <v>4</v>
      </c>
      <c r="X115" s="255">
        <f t="shared" si="23"/>
        <v>0.04</v>
      </c>
      <c r="Y115" s="2"/>
      <c r="AA115" s="452"/>
      <c r="AB115" s="450"/>
      <c r="AC115" s="35" t="s">
        <v>298</v>
      </c>
      <c r="AD115" s="113">
        <f>IFERROR(aurora_data!D1835,0)+IFERROR(aurora_data!E1835,0)</f>
        <v>0</v>
      </c>
      <c r="AE115" s="253">
        <f>IFERROR(aurora_data!F1835,0)</f>
        <v>1</v>
      </c>
      <c r="AF115" s="253">
        <f>IFERROR(aurora_data!G1835,0)</f>
        <v>1</v>
      </c>
      <c r="AG115" s="253">
        <f>IFERROR(aurora_data!H1835,0)</f>
        <v>2</v>
      </c>
      <c r="AH115" s="61" t="s">
        <v>354</v>
      </c>
      <c r="AI115" s="113">
        <f>IFERROR(aurora_data!U1835,0)</f>
        <v>4</v>
      </c>
      <c r="AJ115" s="255">
        <f t="shared" si="22"/>
        <v>0.04</v>
      </c>
    </row>
    <row r="116" spans="1:36" customFormat="1" ht="16.5" customHeight="1">
      <c r="A116" s="2"/>
      <c r="B116" s="452"/>
      <c r="C116" s="450"/>
      <c r="D116" s="35" t="s">
        <v>341</v>
      </c>
      <c r="E116" s="113">
        <f>IFERROR(aurora_data!D1836,0)</f>
        <v>3</v>
      </c>
      <c r="F116" s="253">
        <f>IFERROR(aurora_data!E1836,0)</f>
        <v>0</v>
      </c>
      <c r="G116" s="253">
        <f>IFERROR(aurora_data!F1836,0)</f>
        <v>2</v>
      </c>
      <c r="H116" s="253">
        <f>IFERROR(aurora_data!G1836,0)</f>
        <v>4</v>
      </c>
      <c r="I116" s="254">
        <f>IFERROR(aurora_data!H1836,0)</f>
        <v>4</v>
      </c>
      <c r="J116" s="113">
        <f>IFERROR(aurora_data!I1836,0)</f>
        <v>3</v>
      </c>
      <c r="K116" s="253">
        <f>IFERROR(aurora_data!J1836,0)</f>
        <v>4</v>
      </c>
      <c r="L116" s="253">
        <f>IFERROR(aurora_data!K1836,0)</f>
        <v>2</v>
      </c>
      <c r="M116" s="253">
        <f>IFERROR(aurora_data!L1836,0)</f>
        <v>1</v>
      </c>
      <c r="N116" s="254">
        <f>IFERROR(aurora_data!M1836,0)</f>
        <v>3</v>
      </c>
      <c r="O116" s="113">
        <f>IFERROR(aurora_data!N1836,0)</f>
        <v>2</v>
      </c>
      <c r="P116" s="253">
        <f>IFERROR(aurora_data!O1836,0)</f>
        <v>2</v>
      </c>
      <c r="Q116" s="253">
        <f>IFERROR(aurora_data!P1836,0)</f>
        <v>5</v>
      </c>
      <c r="R116" s="254">
        <f>IFERROR(aurora_data!Q1836,0)</f>
        <v>4</v>
      </c>
      <c r="S116" s="253">
        <f>IFERROR(aurora_data!R1836,0)</f>
        <v>4</v>
      </c>
      <c r="T116" s="253">
        <f>IFERROR(aurora_data!S1836,0)</f>
        <v>9</v>
      </c>
      <c r="U116" s="254">
        <f>IFERROR(aurora_data!T1436,0)</f>
        <v>0</v>
      </c>
      <c r="V116" s="61" t="s">
        <v>354</v>
      </c>
      <c r="W116" s="113">
        <f>IFERROR(aurora_data!U1836,0)</f>
        <v>13</v>
      </c>
      <c r="X116" s="255">
        <f t="shared" si="23"/>
        <v>0.13</v>
      </c>
      <c r="Y116" s="2"/>
      <c r="AA116" s="452"/>
      <c r="AB116" s="450"/>
      <c r="AC116" s="35" t="s">
        <v>341</v>
      </c>
      <c r="AD116" s="113">
        <f>IFERROR(aurora_data!D1836,0)+IFERROR(aurora_data!E1836,0)</f>
        <v>3</v>
      </c>
      <c r="AE116" s="253">
        <f>IFERROR(aurora_data!F1836,0)</f>
        <v>2</v>
      </c>
      <c r="AF116" s="253">
        <f>IFERROR(aurora_data!G1836,0)</f>
        <v>4</v>
      </c>
      <c r="AG116" s="253">
        <f>IFERROR(aurora_data!H1836,0)</f>
        <v>4</v>
      </c>
      <c r="AH116" s="61" t="s">
        <v>354</v>
      </c>
      <c r="AI116" s="113">
        <f>IFERROR(aurora_data!U1836,0)</f>
        <v>13</v>
      </c>
      <c r="AJ116" s="255">
        <f t="shared" si="22"/>
        <v>0.13</v>
      </c>
    </row>
    <row r="117" spans="1:36" customFormat="1" ht="16.5" customHeight="1" thickBot="1">
      <c r="A117" s="2"/>
      <c r="B117" s="452"/>
      <c r="C117" s="450"/>
      <c r="D117" s="35" t="s">
        <v>342</v>
      </c>
      <c r="E117" s="113">
        <f>IFERROR(aurora_data!D1837,0)</f>
        <v>0</v>
      </c>
      <c r="F117" s="253">
        <f>IFERROR(aurora_data!E1837,0)</f>
        <v>0</v>
      </c>
      <c r="G117" s="253">
        <f>IFERROR(aurora_data!F1837,0)</f>
        <v>0</v>
      </c>
      <c r="H117" s="253">
        <f>IFERROR(aurora_data!G1837,0)</f>
        <v>0</v>
      </c>
      <c r="I117" s="254">
        <f>IFERROR(aurora_data!H1837,0)</f>
        <v>0</v>
      </c>
      <c r="J117" s="113">
        <f>IFERROR(aurora_data!I1837,0)</f>
        <v>0</v>
      </c>
      <c r="K117" s="253">
        <f>IFERROR(aurora_data!J1837,0)</f>
        <v>0</v>
      </c>
      <c r="L117" s="253">
        <f>IFERROR(aurora_data!K1837,0)</f>
        <v>0</v>
      </c>
      <c r="M117" s="253">
        <f>IFERROR(aurora_data!L1837,0)</f>
        <v>0</v>
      </c>
      <c r="N117" s="254">
        <f>IFERROR(aurora_data!M1837,0)</f>
        <v>0</v>
      </c>
      <c r="O117" s="113">
        <f>IFERROR(aurora_data!N1837,0)</f>
        <v>0</v>
      </c>
      <c r="P117" s="253">
        <f>IFERROR(aurora_data!O1837,0)</f>
        <v>0</v>
      </c>
      <c r="Q117" s="253">
        <f>IFERROR(aurora_data!P1837,0)</f>
        <v>0</v>
      </c>
      <c r="R117" s="254">
        <f>IFERROR(aurora_data!Q1837,0)</f>
        <v>0</v>
      </c>
      <c r="S117" s="253">
        <f>IFERROR(aurora_data!R1837,0)</f>
        <v>0</v>
      </c>
      <c r="T117" s="253">
        <f>IFERROR(aurora_data!S1837,0)</f>
        <v>0</v>
      </c>
      <c r="U117" s="254">
        <f>IFERROR(aurora_data!T1437,0)</f>
        <v>0</v>
      </c>
      <c r="V117" s="61" t="s">
        <v>354</v>
      </c>
      <c r="W117" s="113">
        <f>IFERROR(aurora_data!U1837,0)</f>
        <v>0</v>
      </c>
      <c r="X117" s="255">
        <f t="shared" si="23"/>
        <v>0</v>
      </c>
      <c r="Y117" s="2"/>
      <c r="AA117" s="452"/>
      <c r="AB117" s="450"/>
      <c r="AC117" s="35" t="s">
        <v>342</v>
      </c>
      <c r="AD117" s="113">
        <f>IFERROR(aurora_data!D1837,0)+IFERROR(aurora_data!E1837,0)</f>
        <v>0</v>
      </c>
      <c r="AE117" s="253">
        <f>IFERROR(aurora_data!F1837,0)</f>
        <v>0</v>
      </c>
      <c r="AF117" s="253">
        <f>IFERROR(aurora_data!G1837,0)</f>
        <v>0</v>
      </c>
      <c r="AG117" s="253">
        <f>IFERROR(aurora_data!H1837,0)</f>
        <v>0</v>
      </c>
      <c r="AH117" s="61" t="s">
        <v>354</v>
      </c>
      <c r="AI117" s="113">
        <f>IFERROR(aurora_data!U1837,0)</f>
        <v>0</v>
      </c>
      <c r="AJ117" s="255">
        <f t="shared" si="22"/>
        <v>0</v>
      </c>
    </row>
    <row r="118" spans="1:36" customFormat="1" ht="16.5" customHeight="1" thickBot="1">
      <c r="A118" s="2"/>
      <c r="B118" s="452"/>
      <c r="C118" s="450"/>
      <c r="D118" s="37" t="s">
        <v>17</v>
      </c>
      <c r="E118" s="59">
        <f>IFERROR(aurora_data!D1838,0)</f>
        <v>12</v>
      </c>
      <c r="F118" s="64">
        <f>IFERROR(aurora_data!E1838,0)</f>
        <v>12</v>
      </c>
      <c r="G118" s="64">
        <f>IFERROR(aurora_data!F1838,0)</f>
        <v>28</v>
      </c>
      <c r="H118" s="64">
        <f>IFERROR(aurora_data!G1838,0)</f>
        <v>34</v>
      </c>
      <c r="I118" s="65">
        <f>IFERROR(aurora_data!H1838,0)</f>
        <v>50</v>
      </c>
      <c r="J118" s="59">
        <f>IFERROR(aurora_data!I1838,0)</f>
        <v>13</v>
      </c>
      <c r="K118" s="64">
        <f>IFERROR(aurora_data!J1838,0)</f>
        <v>29</v>
      </c>
      <c r="L118" s="64">
        <f>IFERROR(aurora_data!K1838,0)</f>
        <v>34</v>
      </c>
      <c r="M118" s="64">
        <f>IFERROR(aurora_data!L1838,0)</f>
        <v>19</v>
      </c>
      <c r="N118" s="65">
        <f>IFERROR(aurora_data!M1838,0)</f>
        <v>41</v>
      </c>
      <c r="O118" s="59">
        <f>IFERROR(aurora_data!N1838,0)</f>
        <v>26</v>
      </c>
      <c r="P118" s="64">
        <f>IFERROR(aurora_data!O1838,0)</f>
        <v>25</v>
      </c>
      <c r="Q118" s="64">
        <f>IFERROR(aurora_data!P1838,0)</f>
        <v>49</v>
      </c>
      <c r="R118" s="65">
        <f>IFERROR(aurora_data!Q1838,0)</f>
        <v>36</v>
      </c>
      <c r="S118" s="64">
        <f>IFERROR(aurora_data!R1838,0)</f>
        <v>70</v>
      </c>
      <c r="T118" s="64">
        <f>IFERROR(aurora_data!S1838,0)</f>
        <v>66</v>
      </c>
      <c r="U118" s="65">
        <f>IFERROR(aurora_data!T1438,0)</f>
        <v>0</v>
      </c>
      <c r="V118" s="66" t="s">
        <v>354</v>
      </c>
      <c r="W118" s="59">
        <f>IFERROR(aurora_data!U1838,0)</f>
        <v>136</v>
      </c>
      <c r="X118" s="70">
        <f t="shared" si="23"/>
        <v>1.36</v>
      </c>
      <c r="Y118" s="2"/>
      <c r="AA118" s="452"/>
      <c r="AB118" s="450"/>
      <c r="AC118" s="37" t="s">
        <v>17</v>
      </c>
      <c r="AD118" s="59">
        <f>IFERROR(aurora_data!D1838,0)+IFERROR(aurora_data!E1838,0)</f>
        <v>24</v>
      </c>
      <c r="AE118" s="64">
        <f>IFERROR(aurora_data!F1838,0)</f>
        <v>28</v>
      </c>
      <c r="AF118" s="64">
        <f>IFERROR(aurora_data!G1838,0)</f>
        <v>34</v>
      </c>
      <c r="AG118" s="64">
        <f>IFERROR(aurora_data!H1838,0)</f>
        <v>50</v>
      </c>
      <c r="AH118" s="66" t="s">
        <v>354</v>
      </c>
      <c r="AI118" s="59">
        <f>IFERROR(aurora_data!U1838,0)</f>
        <v>136</v>
      </c>
      <c r="AJ118" s="70">
        <f t="shared" si="22"/>
        <v>1.36</v>
      </c>
    </row>
    <row r="119" spans="1:36" customFormat="1" ht="16.5" thickBot="1">
      <c r="A119" s="2"/>
      <c r="B119" s="452"/>
      <c r="C119" s="450"/>
      <c r="D119" s="38" t="s">
        <v>343</v>
      </c>
      <c r="E119" s="256">
        <f>IFERROR(aurora_data!D1839,0)</f>
        <v>0</v>
      </c>
      <c r="F119" s="257">
        <f>IFERROR(aurora_data!E1839,0)</f>
        <v>0</v>
      </c>
      <c r="G119" s="257">
        <f>IFERROR(aurora_data!F1839,0)</f>
        <v>0</v>
      </c>
      <c r="H119" s="257">
        <f>IFERROR(aurora_data!G1839,0)</f>
        <v>0</v>
      </c>
      <c r="I119" s="258">
        <f>IFERROR(aurora_data!H1839,0)</f>
        <v>0</v>
      </c>
      <c r="J119" s="256">
        <f>IFERROR(aurora_data!I1839,0)</f>
        <v>0</v>
      </c>
      <c r="K119" s="257">
        <f>IFERROR(aurora_data!J1839,0)</f>
        <v>0</v>
      </c>
      <c r="L119" s="257">
        <f>IFERROR(aurora_data!K1839,0)</f>
        <v>0</v>
      </c>
      <c r="M119" s="257">
        <f>IFERROR(aurora_data!L1839,0)</f>
        <v>0</v>
      </c>
      <c r="N119" s="258">
        <f>IFERROR(aurora_data!M1839,0)</f>
        <v>0</v>
      </c>
      <c r="O119" s="256">
        <f>IFERROR(aurora_data!N1839,0)</f>
        <v>0</v>
      </c>
      <c r="P119" s="257">
        <f>IFERROR(aurora_data!O1839,0)</f>
        <v>0</v>
      </c>
      <c r="Q119" s="257">
        <f>IFERROR(aurora_data!P1839,0)</f>
        <v>0</v>
      </c>
      <c r="R119" s="258">
        <f>IFERROR(aurora_data!Q1839,0)</f>
        <v>0</v>
      </c>
      <c r="S119" s="257">
        <f>IFERROR(aurora_data!R1839,0)</f>
        <v>0</v>
      </c>
      <c r="T119" s="257">
        <f>IFERROR(aurora_data!S1839,0)</f>
        <v>0</v>
      </c>
      <c r="U119" s="259">
        <f>IFERROR(aurora_data!T1439,0)</f>
        <v>0</v>
      </c>
      <c r="V119" s="260" t="s">
        <v>354</v>
      </c>
      <c r="W119" s="256">
        <f>IFERROR(aurora_data!U1839,0)</f>
        <v>0</v>
      </c>
      <c r="X119" s="261">
        <f t="shared" si="23"/>
        <v>0</v>
      </c>
      <c r="Y119" s="2"/>
      <c r="AA119" s="456"/>
      <c r="AB119" s="567"/>
      <c r="AC119" s="38" t="s">
        <v>343</v>
      </c>
      <c r="AD119" s="256">
        <f>IFERROR(aurora_data!D1839,0)+IFERROR(aurora_data!E1839,0)</f>
        <v>0</v>
      </c>
      <c r="AE119" s="257">
        <f>IFERROR(aurora_data!F1839,0)</f>
        <v>0</v>
      </c>
      <c r="AF119" s="257">
        <f>IFERROR(aurora_data!G1839,0)</f>
        <v>0</v>
      </c>
      <c r="AG119" s="257">
        <f>IFERROR(aurora_data!H1839,0)</f>
        <v>0</v>
      </c>
      <c r="AH119" s="322" t="s">
        <v>354</v>
      </c>
      <c r="AI119" s="256">
        <f>IFERROR(aurora_data!U1839,0)</f>
        <v>0</v>
      </c>
      <c r="AJ119" s="261">
        <f t="shared" si="22"/>
        <v>0</v>
      </c>
    </row>
    <row r="120" spans="1:36" ht="16.5" customHeight="1" outlineLevel="1" thickBot="1">
      <c r="B120" s="147"/>
      <c r="C120" s="227"/>
      <c r="D120" s="199" t="s">
        <v>344</v>
      </c>
      <c r="E120" s="271">
        <f>ROUNDDOWN((E122+$E$9)*($W111),0)</f>
        <v>5</v>
      </c>
      <c r="F120" s="272">
        <f>ROUNDDOWN((F122+$E$9)*($W111),0)</f>
        <v>7</v>
      </c>
      <c r="G120" s="272">
        <f>ROUNDDOWN((G122+$E$9)*($W111),0)</f>
        <v>21</v>
      </c>
      <c r="H120" s="272">
        <f>ROUNDDOWN((H122+$E$9)*($W111),0)</f>
        <v>33</v>
      </c>
      <c r="I120" s="272">
        <f>ROUNDDOWN((I122+$E$9)*($W111),0)</f>
        <v>40</v>
      </c>
      <c r="J120" s="229"/>
      <c r="K120" s="230"/>
      <c r="L120" s="230"/>
      <c r="M120" s="230"/>
      <c r="N120" s="231"/>
      <c r="O120" s="229"/>
      <c r="P120" s="230"/>
      <c r="Q120" s="230"/>
      <c r="R120" s="231"/>
      <c r="S120" s="230"/>
      <c r="T120" s="230"/>
      <c r="U120" s="232"/>
      <c r="V120" s="233"/>
      <c r="W120" s="229"/>
      <c r="X120" s="234"/>
    </row>
    <row r="121" spans="1:36" ht="16.5" outlineLevel="1" thickBot="1">
      <c r="B121" s="147"/>
      <c r="C121" s="227"/>
      <c r="D121" s="199" t="s">
        <v>345</v>
      </c>
      <c r="E121" s="276">
        <f>IF(ROUND(((E122-$E$9)*($W111))+0.25,0) &lt;=0,1,((E122-$E$9)*($W111))+0.25)</f>
        <v>1.57</v>
      </c>
      <c r="F121" s="277">
        <f>IF(ROUND(((F122-$E$9)*($W111))+0.25,0) &lt;=0,1,((F122-$E$9)*($W111))+0.25)</f>
        <v>4.1500000000000004</v>
      </c>
      <c r="G121" s="277">
        <f t="shared" ref="G121:I121" si="24">IF(ROUND(((G122-$E$9)*($W111))+0.25,0) &lt;=0,1,((G122-$E$9)*($W111))+0.25)</f>
        <v>18.190000000000005</v>
      </c>
      <c r="H121" s="277">
        <f t="shared" si="24"/>
        <v>30.19</v>
      </c>
      <c r="I121" s="277">
        <f t="shared" si="24"/>
        <v>37.15</v>
      </c>
      <c r="J121" s="229"/>
      <c r="K121" s="230"/>
      <c r="L121" s="230"/>
      <c r="M121" s="230"/>
      <c r="N121" s="231"/>
      <c r="O121" s="229"/>
      <c r="P121" s="230"/>
      <c r="Q121" s="230"/>
      <c r="R121" s="231"/>
      <c r="S121" s="230"/>
      <c r="T121" s="230"/>
      <c r="U121" s="232"/>
      <c r="V121" s="233"/>
      <c r="W121" s="229"/>
      <c r="X121" s="234"/>
    </row>
    <row r="122" spans="1:36" ht="16.5" outlineLevel="1" thickBot="1">
      <c r="B122" s="147"/>
      <c r="C122" s="227"/>
      <c r="D122" s="95" t="s">
        <v>346</v>
      </c>
      <c r="E122" s="159">
        <f>IFERROR(E111/$W111,0)</f>
        <v>3.32E-2</v>
      </c>
      <c r="F122" s="160">
        <f t="shared" ref="F122" si="25">IFERROR(F111/$W111,0)</f>
        <v>5.9000000000000004E-2</v>
      </c>
      <c r="G122" s="160">
        <f>IFERROR(G111/$W111,0)</f>
        <v>0.19940000000000002</v>
      </c>
      <c r="H122" s="160">
        <f t="shared" ref="H122" si="26">IFERROR(H111/$W111,0)</f>
        <v>0.31940000000000002</v>
      </c>
      <c r="I122" s="160">
        <f>IFERROR(I111/$W111,0)</f>
        <v>0.38900000000000001</v>
      </c>
      <c r="J122" s="229"/>
      <c r="K122" s="230"/>
      <c r="L122" s="230"/>
      <c r="M122" s="230"/>
      <c r="N122" s="231"/>
      <c r="O122" s="229"/>
      <c r="P122" s="230"/>
      <c r="Q122" s="230"/>
      <c r="R122" s="231"/>
      <c r="S122" s="230"/>
      <c r="T122" s="230"/>
      <c r="U122" s="232"/>
      <c r="V122" s="233"/>
      <c r="W122" s="229"/>
      <c r="X122" s="234"/>
    </row>
    <row r="123" spans="1:36" ht="16.5" outlineLevel="1" thickBot="1">
      <c r="B123" s="147"/>
      <c r="C123" s="227"/>
      <c r="D123" s="180" t="s">
        <v>347</v>
      </c>
      <c r="E123" s="159">
        <f>IFERROR(E112/$W111,0)</f>
        <v>0.08</v>
      </c>
      <c r="F123" s="160">
        <f t="shared" ref="F123:I123" si="27">IFERROR(F112/$W111,0)</f>
        <v>0.12</v>
      </c>
      <c r="G123" s="160">
        <f t="shared" si="27"/>
        <v>0.21</v>
      </c>
      <c r="H123" s="160">
        <f t="shared" si="27"/>
        <v>0.26</v>
      </c>
      <c r="I123" s="160">
        <f t="shared" si="27"/>
        <v>0.28000000000000003</v>
      </c>
      <c r="J123" s="229"/>
      <c r="K123" s="230"/>
      <c r="L123" s="230"/>
      <c r="M123" s="230"/>
      <c r="N123" s="231"/>
      <c r="O123" s="229"/>
      <c r="P123" s="230"/>
      <c r="Q123" s="230"/>
      <c r="R123" s="231"/>
      <c r="S123" s="230"/>
      <c r="T123" s="230"/>
      <c r="U123" s="232"/>
      <c r="V123" s="233"/>
      <c r="W123" s="229"/>
      <c r="X123" s="234"/>
    </row>
    <row r="124" spans="1:36" outlineLevel="1">
      <c r="B124" s="235"/>
      <c r="C124" s="236"/>
      <c r="D124" s="237" t="s">
        <v>348</v>
      </c>
      <c r="E124" s="238">
        <f>E123-E122</f>
        <v>4.6800000000000001E-2</v>
      </c>
      <c r="F124" s="239">
        <f t="shared" ref="F124:I124" si="28">F123-F122</f>
        <v>6.0999999999999992E-2</v>
      </c>
      <c r="G124" s="239">
        <f t="shared" si="28"/>
        <v>1.0599999999999971E-2</v>
      </c>
      <c r="H124" s="239">
        <f t="shared" si="28"/>
        <v>-5.9400000000000008E-2</v>
      </c>
      <c r="I124" s="239">
        <f t="shared" si="28"/>
        <v>-0.10899999999999999</v>
      </c>
      <c r="J124" s="240"/>
      <c r="K124" s="241"/>
      <c r="L124" s="241"/>
      <c r="M124" s="241"/>
      <c r="N124" s="242"/>
      <c r="O124" s="240"/>
      <c r="P124" s="241"/>
      <c r="Q124" s="241"/>
      <c r="R124" s="242"/>
      <c r="S124" s="241"/>
      <c r="T124" s="241"/>
      <c r="U124" s="243"/>
      <c r="V124" s="244"/>
      <c r="W124" s="240"/>
      <c r="X124" s="245"/>
    </row>
  </sheetData>
  <mergeCells count="78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J10:N10"/>
    <mergeCell ref="O10:R10"/>
    <mergeCell ref="S10:U10"/>
    <mergeCell ref="C12:C20"/>
    <mergeCell ref="B30:B38"/>
    <mergeCell ref="C30:C38"/>
    <mergeCell ref="B39:B47"/>
    <mergeCell ref="C39:C47"/>
    <mergeCell ref="B21:B29"/>
    <mergeCell ref="C21:C29"/>
    <mergeCell ref="B12:B20"/>
    <mergeCell ref="B48:B56"/>
    <mergeCell ref="C48:C56"/>
    <mergeCell ref="B57:B65"/>
    <mergeCell ref="C57:C65"/>
    <mergeCell ref="B66:B74"/>
    <mergeCell ref="C66:C74"/>
    <mergeCell ref="B75:B83"/>
    <mergeCell ref="C75:C83"/>
    <mergeCell ref="B111:B119"/>
    <mergeCell ref="C111:C119"/>
    <mergeCell ref="B84:B92"/>
    <mergeCell ref="C84:C92"/>
    <mergeCell ref="B93:B101"/>
    <mergeCell ref="C93:C101"/>
    <mergeCell ref="B102:B110"/>
    <mergeCell ref="C102:C110"/>
    <mergeCell ref="AB30:AB38"/>
    <mergeCell ref="AA8:AC8"/>
    <mergeCell ref="AD8:AG8"/>
    <mergeCell ref="AI8:AJ11"/>
    <mergeCell ref="AA9:AB9"/>
    <mergeCell ref="AD9:AG9"/>
    <mergeCell ref="AA10:AA11"/>
    <mergeCell ref="AD10:AG10"/>
    <mergeCell ref="AA111:AA119"/>
    <mergeCell ref="AB111:AB119"/>
    <mergeCell ref="AA66:AA74"/>
    <mergeCell ref="AB66:AB74"/>
    <mergeCell ref="AA75:AA83"/>
    <mergeCell ref="AB75:AB83"/>
    <mergeCell ref="AA84:AA92"/>
    <mergeCell ref="AB84:AB92"/>
    <mergeCell ref="AA5:AG6"/>
    <mergeCell ref="AA93:AA101"/>
    <mergeCell ref="AB93:AB101"/>
    <mergeCell ref="AA102:AA110"/>
    <mergeCell ref="AB102:AB110"/>
    <mergeCell ref="AA39:AA47"/>
    <mergeCell ref="AB39:AB47"/>
    <mergeCell ref="AA48:AA56"/>
    <mergeCell ref="AB48:AB56"/>
    <mergeCell ref="AA57:AA65"/>
    <mergeCell ref="AB57:AB65"/>
    <mergeCell ref="AA12:AA20"/>
    <mergeCell ref="AB12:AB20"/>
    <mergeCell ref="AA21:AA29"/>
    <mergeCell ref="AB21:AB29"/>
    <mergeCell ref="AA30:AA38"/>
  </mergeCells>
  <conditionalFormatting sqref="E13:W13">
    <cfRule type="expression" dxfId="52" priority="105">
      <formula>ROUND(E13,0) &gt;= ROUND(E12,0)</formula>
    </cfRule>
  </conditionalFormatting>
  <conditionalFormatting sqref="E19:W19 AD19:AI19">
    <cfRule type="expression" dxfId="51" priority="106">
      <formula>ROUND(E$19,0) &lt; ROUND(E$12,0)</formula>
    </cfRule>
  </conditionalFormatting>
  <conditionalFormatting sqref="E22:W22">
    <cfRule type="expression" dxfId="50" priority="23">
      <formula>ROUND(E22,0) &gt;= ROUND(E21,0)</formula>
    </cfRule>
  </conditionalFormatting>
  <conditionalFormatting sqref="E28:W28">
    <cfRule type="expression" dxfId="49" priority="58">
      <formula>ROUND(E28,0) &lt; ROUND(E21,0)</formula>
    </cfRule>
  </conditionalFormatting>
  <conditionalFormatting sqref="E31:W31">
    <cfRule type="expression" dxfId="48" priority="22">
      <formula>ROUND(E31,0) &gt;= ROUND(E30,0)</formula>
    </cfRule>
  </conditionalFormatting>
  <conditionalFormatting sqref="E37:W37">
    <cfRule type="expression" dxfId="47" priority="57">
      <formula>ROUND(E37,0) &lt; ROUND(E30,0)</formula>
    </cfRule>
  </conditionalFormatting>
  <conditionalFormatting sqref="E40:W40">
    <cfRule type="expression" dxfId="46" priority="21">
      <formula>ROUND(E40,0) &gt;= ROUND(E39,0)</formula>
    </cfRule>
  </conditionalFormatting>
  <conditionalFormatting sqref="E46:W46">
    <cfRule type="expression" dxfId="45" priority="56">
      <formula>ROUND(E46,0) &lt; ROUND(E39,0)</formula>
    </cfRule>
  </conditionalFormatting>
  <conditionalFormatting sqref="E49:W49">
    <cfRule type="expression" dxfId="44" priority="20">
      <formula>ROUND(E49,0) &gt;= ROUND(E48,0)</formula>
    </cfRule>
  </conditionalFormatting>
  <conditionalFormatting sqref="E55:W55">
    <cfRule type="expression" dxfId="43" priority="55">
      <formula>ROUND(E55,0) &lt; ROUND(E48,0)</formula>
    </cfRule>
  </conditionalFormatting>
  <conditionalFormatting sqref="E58:W58">
    <cfRule type="expression" dxfId="42" priority="19">
      <formula>ROUND(E58,0) &gt;= ROUND(E57,0)</formula>
    </cfRule>
  </conditionalFormatting>
  <conditionalFormatting sqref="E64:W64">
    <cfRule type="expression" dxfId="41" priority="54">
      <formula>ROUND(E64,0) &lt; ROUND(E57,0)</formula>
    </cfRule>
  </conditionalFormatting>
  <conditionalFormatting sqref="E67:W67">
    <cfRule type="expression" dxfId="40" priority="18">
      <formula>ROUND(E67,0) &gt;= ROUND(E66,0)</formula>
    </cfRule>
  </conditionalFormatting>
  <conditionalFormatting sqref="E73:W73">
    <cfRule type="expression" dxfId="39" priority="53">
      <formula>ROUND(E73,0) &lt; ROUND(E66,0)</formula>
    </cfRule>
  </conditionalFormatting>
  <conditionalFormatting sqref="E76:W76">
    <cfRule type="expression" dxfId="38" priority="17">
      <formula>ROUND(E76,0) &gt;= ROUND(E75,0)</formula>
    </cfRule>
  </conditionalFormatting>
  <conditionalFormatting sqref="E82:W82">
    <cfRule type="expression" dxfId="37" priority="52">
      <formula>ROUND(E82,0) &lt; ROUND(E75,0)</formula>
    </cfRule>
  </conditionalFormatting>
  <conditionalFormatting sqref="E85:W85">
    <cfRule type="expression" dxfId="36" priority="16">
      <formula>ROUND(E85,0) &gt;= ROUND(E84,0)</formula>
    </cfRule>
  </conditionalFormatting>
  <conditionalFormatting sqref="E91:W91">
    <cfRule type="expression" dxfId="35" priority="51">
      <formula>ROUND(E91,0) &lt; ROUND(E84,0)</formula>
    </cfRule>
  </conditionalFormatting>
  <conditionalFormatting sqref="E94:W94">
    <cfRule type="expression" dxfId="34" priority="15">
      <formula>ROUND(E94,0) &gt;= ROUND(E93,0)</formula>
    </cfRule>
  </conditionalFormatting>
  <conditionalFormatting sqref="E100:W100">
    <cfRule type="expression" dxfId="33" priority="50">
      <formula>ROUND(E100,0) &lt; ROUND(E93,0)</formula>
    </cfRule>
  </conditionalFormatting>
  <conditionalFormatting sqref="E103:W103">
    <cfRule type="expression" dxfId="32" priority="14">
      <formula>ROUND(E103,0) &gt;= ROUND(E102,0)</formula>
    </cfRule>
  </conditionalFormatting>
  <conditionalFormatting sqref="E109:W109">
    <cfRule type="expression" dxfId="31" priority="49">
      <formula>ROUND(E109,0) &lt; ROUND(E102,0)</formula>
    </cfRule>
  </conditionalFormatting>
  <conditionalFormatting sqref="E112:W112">
    <cfRule type="expression" dxfId="30" priority="13">
      <formula>ROUND(E112,0) &gt;= ROUND(E111,0)</formula>
    </cfRule>
  </conditionalFormatting>
  <conditionalFormatting sqref="E118:W118">
    <cfRule type="expression" dxfId="29" priority="48">
      <formula>ROUND(E118,0) &lt; ROUND(E111,0)</formula>
    </cfRule>
  </conditionalFormatting>
  <conditionalFormatting sqref="AD13:AI13">
    <cfRule type="expression" dxfId="28" priority="12">
      <formula>ROUND(AD13,0) &gt;= ROUND(AD12,0)</formula>
    </cfRule>
  </conditionalFormatting>
  <conditionalFormatting sqref="AD19:AI19">
    <cfRule type="expression" dxfId="27" priority="101">
      <formula>ROUND(AD19,0) &lt; ROUND(AD12,0)</formula>
    </cfRule>
  </conditionalFormatting>
  <conditionalFormatting sqref="AD22:AI22">
    <cfRule type="expression" dxfId="26" priority="11">
      <formula>ROUND(AD22,0) &gt;= ROUND(AD21,0)</formula>
    </cfRule>
  </conditionalFormatting>
  <conditionalFormatting sqref="AD28:AI28">
    <cfRule type="expression" dxfId="25" priority="46">
      <formula>ROUND(AD28,0) &lt; ROUND(AD21,0)</formula>
    </cfRule>
  </conditionalFormatting>
  <conditionalFormatting sqref="AD31:AI31">
    <cfRule type="expression" dxfId="24" priority="10">
      <formula>ROUND(AD31,0) &gt;= ROUND(AD30,0)</formula>
    </cfRule>
  </conditionalFormatting>
  <conditionalFormatting sqref="AD37:AI37">
    <cfRule type="expression" dxfId="23" priority="44">
      <formula>ROUND(AD37,0) &lt; ROUND(AD30,0)</formula>
    </cfRule>
  </conditionalFormatting>
  <conditionalFormatting sqref="AD40:AI40">
    <cfRule type="expression" dxfId="22" priority="9">
      <formula>ROUND(AD40,0) &gt;= ROUND(AD39,0)</formula>
    </cfRule>
  </conditionalFormatting>
  <conditionalFormatting sqref="AD46:AI46">
    <cfRule type="expression" dxfId="21" priority="42">
      <formula>ROUND(AD46,0) &lt; ROUND(AD39,0)</formula>
    </cfRule>
  </conditionalFormatting>
  <conditionalFormatting sqref="AD49:AI49">
    <cfRule type="expression" dxfId="20" priority="8">
      <formula>ROUND(AD49,0) &gt;= ROUND(AD48,0)</formula>
    </cfRule>
  </conditionalFormatting>
  <conditionalFormatting sqref="AD55:AI55">
    <cfRule type="expression" dxfId="19" priority="40">
      <formula>ROUND(AD55,0) &lt; ROUND(AD48,0)</formula>
    </cfRule>
  </conditionalFormatting>
  <conditionalFormatting sqref="AD58:AI58">
    <cfRule type="expression" dxfId="18" priority="7">
      <formula>ROUND(AD58,0) &gt;= ROUND(AD57,0)</formula>
    </cfRule>
  </conditionalFormatting>
  <conditionalFormatting sqref="AD64:AI64">
    <cfRule type="expression" dxfId="17" priority="38">
      <formula>ROUND(AD64,0) &lt; ROUND(AD57,0)</formula>
    </cfRule>
  </conditionalFormatting>
  <conditionalFormatting sqref="AD67:AI67">
    <cfRule type="expression" dxfId="16" priority="6">
      <formula>ROUND(AD67,0) &gt;= ROUND(AD66,0)</formula>
    </cfRule>
  </conditionalFormatting>
  <conditionalFormatting sqref="AD73:AI73">
    <cfRule type="expression" dxfId="15" priority="36">
      <formula>ROUND(AD73,0) &lt; ROUND(AD66,0)</formula>
    </cfRule>
  </conditionalFormatting>
  <conditionalFormatting sqref="AD76:AI76">
    <cfRule type="expression" dxfId="14" priority="5">
      <formula>ROUND(AD76,0) &gt;= ROUND(AD75,0)</formula>
    </cfRule>
  </conditionalFormatting>
  <conditionalFormatting sqref="AD82:AI82">
    <cfRule type="expression" dxfId="13" priority="34">
      <formula>ROUND(AD82,0) &lt; ROUND(AD75,0)</formula>
    </cfRule>
  </conditionalFormatting>
  <conditionalFormatting sqref="AD85:AI85">
    <cfRule type="expression" dxfId="12" priority="4">
      <formula>ROUND(AD85,0) &gt;= ROUND(AD84,0)</formula>
    </cfRule>
  </conditionalFormatting>
  <conditionalFormatting sqref="AD91:AI91">
    <cfRule type="expression" dxfId="11" priority="32">
      <formula>ROUND(AD91,0) &lt; ROUND(AD84,0)</formula>
    </cfRule>
  </conditionalFormatting>
  <conditionalFormatting sqref="AD94:AI94">
    <cfRule type="expression" dxfId="10" priority="3">
      <formula>ROUND(AD94,0) &gt;= ROUND(AD93,0)</formula>
    </cfRule>
  </conditionalFormatting>
  <conditionalFormatting sqref="AD100:AI100">
    <cfRule type="expression" dxfId="9" priority="30">
      <formula>ROUND(AD100,0) &lt; ROUND(AD93,0)</formula>
    </cfRule>
  </conditionalFormatting>
  <conditionalFormatting sqref="AD103:AI103">
    <cfRule type="expression" dxfId="8" priority="2">
      <formula>ROUND(AD103,0) &gt;= ROUND(AD102,0)</formula>
    </cfRule>
  </conditionalFormatting>
  <conditionalFormatting sqref="AD109:AI109">
    <cfRule type="expression" dxfId="7" priority="28">
      <formula>ROUND(AD109,0) &lt; ROUND(AD102,0)</formula>
    </cfRule>
  </conditionalFormatting>
  <conditionalFormatting sqref="AD112:AI112">
    <cfRule type="expression" dxfId="6" priority="1">
      <formula>ROUND(AD112,0) &gt;= ROUND(AD111,0)</formula>
    </cfRule>
  </conditionalFormatting>
  <conditionalFormatting sqref="AD118:AI118">
    <cfRule type="expression" dxfId="5" priority="26">
      <formula>ROUND(AD118,0) &lt; ROUND(AD111,0)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A2E9-238E-4A45-97F2-18A7EF1F6BDF}">
  <sheetPr>
    <tabColor rgb="FFB482DA"/>
  </sheetPr>
  <dimension ref="A1:Y34"/>
  <sheetViews>
    <sheetView topLeftCell="B1" zoomScale="85" zoomScaleNormal="85" workbookViewId="0">
      <selection activeCell="K25" sqref="K25"/>
    </sheetView>
  </sheetViews>
  <sheetFormatPr defaultColWidth="2.5" defaultRowHeight="15.75" outlineLevelRow="1"/>
  <cols>
    <col min="1" max="1" width="1.125" style="2" customWidth="1"/>
    <col min="2" max="2" width="10.625" style="2" customWidth="1"/>
    <col min="3" max="3" width="15.5" style="2" customWidth="1"/>
    <col min="4" max="4" width="22.5" style="4" customWidth="1"/>
    <col min="5" max="20" width="7.5" style="4" customWidth="1"/>
    <col min="21" max="21" width="4.125" style="4" hidden="1" customWidth="1"/>
    <col min="22" max="22" width="0.5" style="2" customWidth="1"/>
    <col min="23" max="24" width="5.625" style="2" customWidth="1"/>
    <col min="25" max="25" width="12.5" style="2" customWidth="1"/>
    <col min="26" max="26" width="2.5" style="2" customWidth="1"/>
    <col min="27" max="37" width="7.5" style="2" customWidth="1"/>
    <col min="38" max="16296" width="2.5" style="2"/>
    <col min="16297" max="16297" width="1.125" style="2" customWidth="1"/>
    <col min="16298" max="16298" width="2.5" style="2" customWidth="1"/>
    <col min="16299" max="16299" width="3.5" style="2" customWidth="1"/>
    <col min="16300" max="16300" width="1" style="2" customWidth="1"/>
    <col min="16301" max="16301" width="0.625" style="2" customWidth="1"/>
    <col min="16302" max="16302" width="2.125" style="2" customWidth="1"/>
    <col min="16303" max="16384" width="20.125" style="2" customWidth="1"/>
  </cols>
  <sheetData>
    <row r="1" spans="1:25" customFormat="1" ht="25.5" customHeight="1">
      <c r="A1" s="494" t="s">
        <v>324</v>
      </c>
      <c r="B1" s="495"/>
      <c r="C1" s="496"/>
      <c r="D1" s="497" t="s">
        <v>325</v>
      </c>
      <c r="E1" s="498"/>
      <c r="F1" s="498"/>
      <c r="G1" s="498"/>
      <c r="H1" s="542"/>
      <c r="I1" s="97"/>
      <c r="J1" s="203"/>
      <c r="K1" s="99"/>
      <c r="L1" s="99"/>
      <c r="M1" s="99"/>
      <c r="N1" s="99" t="s">
        <v>326</v>
      </c>
      <c r="O1" s="99"/>
      <c r="P1" s="99"/>
      <c r="Q1" s="99"/>
      <c r="R1" s="99"/>
      <c r="S1" s="99"/>
      <c r="T1" s="99"/>
      <c r="U1" s="99"/>
      <c r="V1" s="99"/>
      <c r="W1" s="99"/>
      <c r="X1" s="105"/>
      <c r="Y1" s="107"/>
    </row>
    <row r="2" spans="1:25" customFormat="1" ht="31.5" customHeight="1">
      <c r="A2" s="499" t="s">
        <v>327</v>
      </c>
      <c r="B2" s="499"/>
      <c r="C2" s="500"/>
      <c r="D2" s="580" t="str">
        <f>_xlfn.CONCAT("Study Name: ","
Counterbalance WAIS-5/WISC-6 - Paper")</f>
        <v>Study Name: 
Counterbalance WAIS-5/WISC-6 - Paper</v>
      </c>
      <c r="E2" s="581"/>
      <c r="F2" s="581"/>
      <c r="G2" s="581"/>
      <c r="H2" s="582"/>
      <c r="I2" s="4"/>
      <c r="J2" s="4"/>
      <c r="K2" s="504" t="s">
        <v>358</v>
      </c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6"/>
      <c r="Y2" s="102"/>
    </row>
    <row r="3" spans="1:25" customFormat="1" ht="30.75" customHeight="1" thickBot="1">
      <c r="A3" s="2"/>
      <c r="B3" s="2"/>
      <c r="C3" s="2"/>
      <c r="D3" s="536" t="str">
        <f>_xlfn.CONCAT("Study Acronym: ","
CB_WAIS5_P")</f>
        <v>Study Acronym: 
CB_WAIS5_P</v>
      </c>
      <c r="E3" s="512"/>
      <c r="F3" s="583" t="s">
        <v>394</v>
      </c>
      <c r="G3" s="583"/>
      <c r="H3" s="584"/>
      <c r="I3" s="4"/>
      <c r="J3" s="4"/>
      <c r="K3" s="504"/>
      <c r="L3" s="505"/>
      <c r="M3" s="505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6"/>
      <c r="Y3" s="102"/>
    </row>
    <row r="4" spans="1:25" customFormat="1" ht="16.5" customHeight="1">
      <c r="A4" s="2"/>
      <c r="B4" s="24"/>
      <c r="C4" s="2"/>
      <c r="D4" s="2"/>
      <c r="E4" s="25"/>
      <c r="F4" s="25"/>
      <c r="G4" s="25"/>
      <c r="H4" s="25"/>
      <c r="I4" s="25"/>
      <c r="J4" s="25"/>
      <c r="K4" s="504"/>
      <c r="L4" s="505"/>
      <c r="M4" s="505"/>
      <c r="N4" s="505"/>
      <c r="O4" s="505"/>
      <c r="P4" s="505"/>
      <c r="Q4" s="505"/>
      <c r="R4" s="505"/>
      <c r="S4" s="505"/>
      <c r="T4" s="505"/>
      <c r="U4" s="505"/>
      <c r="V4" s="505"/>
      <c r="W4" s="505"/>
      <c r="X4" s="506"/>
      <c r="Y4" s="103"/>
    </row>
    <row r="5" spans="1:25" customFormat="1" ht="22.35" customHeight="1" thickBot="1">
      <c r="A5" s="2"/>
      <c r="B5" s="2"/>
      <c r="C5" s="101"/>
      <c r="D5" s="497" t="s">
        <v>330</v>
      </c>
      <c r="E5" s="498"/>
      <c r="F5" s="498"/>
      <c r="G5" s="498"/>
      <c r="H5" s="100"/>
      <c r="I5" s="97"/>
      <c r="J5" s="97"/>
      <c r="K5" s="504"/>
      <c r="L5" s="505"/>
      <c r="M5" s="505"/>
      <c r="N5" s="505"/>
      <c r="O5" s="505"/>
      <c r="P5" s="505"/>
      <c r="Q5" s="505"/>
      <c r="R5" s="505"/>
      <c r="S5" s="505"/>
      <c r="T5" s="505"/>
      <c r="U5" s="505"/>
      <c r="V5" s="505"/>
      <c r="W5" s="505"/>
      <c r="X5" s="506"/>
      <c r="Y5" s="104"/>
    </row>
    <row r="6" spans="1:25" customFormat="1" ht="106.5" customHeight="1" thickBot="1">
      <c r="A6" s="2"/>
      <c r="B6" s="2"/>
      <c r="C6" s="98"/>
      <c r="D6" s="585" t="s">
        <v>395</v>
      </c>
      <c r="E6" s="586"/>
      <c r="F6" s="586"/>
      <c r="G6" s="586"/>
      <c r="H6" s="587"/>
      <c r="I6" s="406"/>
      <c r="J6" s="406"/>
      <c r="K6" s="507"/>
      <c r="L6" s="508"/>
      <c r="M6" s="508"/>
      <c r="N6" s="508"/>
      <c r="O6" s="508"/>
      <c r="P6" s="508"/>
      <c r="Q6" s="508"/>
      <c r="R6" s="508"/>
      <c r="S6" s="508"/>
      <c r="T6" s="508"/>
      <c r="U6" s="508"/>
      <c r="V6" s="508"/>
      <c r="W6" s="508"/>
      <c r="X6" s="509"/>
      <c r="Y6" s="106"/>
    </row>
    <row r="7" spans="1:25" customFormat="1" ht="16.5" customHeight="1" thickBot="1">
      <c r="A7" s="2"/>
      <c r="B7" s="3"/>
      <c r="C7" s="26"/>
      <c r="D7" s="27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8"/>
      <c r="W7" s="3"/>
      <c r="X7" s="3"/>
      <c r="Y7" s="2"/>
    </row>
    <row r="8" spans="1:25" customFormat="1">
      <c r="A8" s="2"/>
      <c r="B8" s="482" t="str">
        <f>_xlfn.CONCAT("Last Refreshed at: ",aurora_data!V2032)</f>
        <v>Last Refreshed at: 09/17/2026 @ 7:18 AM</v>
      </c>
      <c r="C8" s="483"/>
      <c r="D8" s="483"/>
      <c r="E8" s="540" t="s">
        <v>332</v>
      </c>
      <c r="F8" s="541"/>
      <c r="G8" s="541"/>
      <c r="H8" s="541"/>
      <c r="I8" s="541"/>
      <c r="J8" s="541"/>
      <c r="K8" s="541"/>
      <c r="L8" s="541"/>
      <c r="M8" s="541"/>
      <c r="N8" s="541"/>
      <c r="O8" s="541"/>
      <c r="P8" s="541"/>
      <c r="Q8" s="541"/>
      <c r="R8" s="541"/>
      <c r="S8" s="541"/>
      <c r="T8" s="541"/>
      <c r="U8" s="566"/>
      <c r="V8" s="44"/>
      <c r="W8" s="546" t="s">
        <v>337</v>
      </c>
      <c r="X8" s="547"/>
      <c r="Y8" s="2"/>
    </row>
    <row r="9" spans="1:25" customFormat="1" ht="16.5" customHeight="1" thickBot="1">
      <c r="A9" s="2"/>
      <c r="B9" s="486"/>
      <c r="C9" s="487"/>
      <c r="D9" s="29" t="s">
        <v>333</v>
      </c>
      <c r="E9" s="591">
        <f>2%</f>
        <v>0.02</v>
      </c>
      <c r="F9" s="529"/>
      <c r="G9" s="529"/>
      <c r="H9" s="529"/>
      <c r="I9" s="529"/>
      <c r="J9" s="530" t="s">
        <v>361</v>
      </c>
      <c r="K9" s="531"/>
      <c r="L9" s="531"/>
      <c r="M9" s="531"/>
      <c r="N9" s="531"/>
      <c r="O9" s="532" t="s">
        <v>361</v>
      </c>
      <c r="P9" s="533"/>
      <c r="Q9" s="533"/>
      <c r="R9" s="533"/>
      <c r="S9" s="534" t="s">
        <v>361</v>
      </c>
      <c r="T9" s="535"/>
      <c r="U9" s="535"/>
      <c r="V9" s="28"/>
      <c r="W9" s="548"/>
      <c r="X9" s="549"/>
      <c r="Y9" s="2"/>
    </row>
    <row r="10" spans="1:25" customFormat="1" ht="17.25" thickTop="1" thickBot="1">
      <c r="A10" s="2"/>
      <c r="B10" s="463" t="s">
        <v>334</v>
      </c>
      <c r="C10" s="30"/>
      <c r="D10" s="31"/>
      <c r="E10" s="543" t="s">
        <v>350</v>
      </c>
      <c r="F10" s="476"/>
      <c r="G10" s="476"/>
      <c r="H10" s="476"/>
      <c r="I10" s="477"/>
      <c r="J10" s="476" t="s">
        <v>351</v>
      </c>
      <c r="K10" s="476"/>
      <c r="L10" s="476"/>
      <c r="M10" s="476"/>
      <c r="N10" s="477"/>
      <c r="O10" s="466" t="s">
        <v>336</v>
      </c>
      <c r="P10" s="466"/>
      <c r="Q10" s="466"/>
      <c r="R10" s="466"/>
      <c r="S10" s="544" t="s">
        <v>25</v>
      </c>
      <c r="T10" s="545"/>
      <c r="U10" s="558"/>
      <c r="V10" s="32"/>
      <c r="W10" s="548"/>
      <c r="X10" s="549"/>
      <c r="Y10" s="2"/>
    </row>
    <row r="11" spans="1:25" customFormat="1" ht="17.25" thickTop="1" thickBot="1">
      <c r="A11" s="2"/>
      <c r="B11" s="463"/>
      <c r="C11" s="30" t="s">
        <v>5</v>
      </c>
      <c r="D11" s="33" t="s">
        <v>260</v>
      </c>
      <c r="E11" s="94">
        <v>1</v>
      </c>
      <c r="F11" s="92">
        <v>2</v>
      </c>
      <c r="G11" s="93" t="s">
        <v>50</v>
      </c>
      <c r="H11" s="93">
        <v>4</v>
      </c>
      <c r="I11" s="93">
        <v>5</v>
      </c>
      <c r="J11" s="87" t="s">
        <v>22</v>
      </c>
      <c r="K11" s="87" t="s">
        <v>36</v>
      </c>
      <c r="L11" s="87" t="s">
        <v>24</v>
      </c>
      <c r="M11" s="91" t="s">
        <v>31</v>
      </c>
      <c r="N11" s="91" t="s">
        <v>39</v>
      </c>
      <c r="O11" s="87" t="s">
        <v>59</v>
      </c>
      <c r="P11" s="87" t="s">
        <v>47</v>
      </c>
      <c r="Q11" s="87" t="s">
        <v>33</v>
      </c>
      <c r="R11" s="87" t="s">
        <v>60</v>
      </c>
      <c r="S11" s="88" t="s">
        <v>45</v>
      </c>
      <c r="T11" s="89" t="s">
        <v>34</v>
      </c>
      <c r="U11" s="90" t="s">
        <v>353</v>
      </c>
      <c r="V11" s="28"/>
      <c r="W11" s="550"/>
      <c r="X11" s="551"/>
      <c r="Y11" s="2"/>
    </row>
    <row r="12" spans="1:25" customFormat="1">
      <c r="A12" s="2"/>
      <c r="B12" s="451" t="s">
        <v>338</v>
      </c>
      <c r="C12" s="453" t="str">
        <f>aurora_data!A2032</f>
        <v>16.00.00-16.11.30</v>
      </c>
      <c r="D12" s="34" t="s">
        <v>306</v>
      </c>
      <c r="E12" s="39">
        <f>IFERROR(aurora_data!D2032,0)</f>
        <v>2.0099999999999998</v>
      </c>
      <c r="F12" s="40">
        <f>IFERROR(aurora_data!E2032,0)</f>
        <v>3.2</v>
      </c>
      <c r="G12" s="40">
        <f>IFERROR(aurora_data!F2032,0)</f>
        <v>10.11</v>
      </c>
      <c r="H12" s="40">
        <f>IFERROR(aurora_data!G2032,0)</f>
        <v>15.78</v>
      </c>
      <c r="I12" s="41">
        <f>IFERROR(aurora_data!H2032,0)</f>
        <v>18.89</v>
      </c>
      <c r="J12" s="39">
        <f>IFERROR(aurora_data!I2032,0)</f>
        <v>1</v>
      </c>
      <c r="K12" s="40">
        <f>IFERROR(aurora_data!J2032,0)</f>
        <v>1</v>
      </c>
      <c r="L12" s="40">
        <f>IFERROR(aurora_data!K2032,0)</f>
        <v>1</v>
      </c>
      <c r="M12" s="40">
        <f>IFERROR(aurora_data!L2032,0)</f>
        <v>1</v>
      </c>
      <c r="N12" s="41">
        <f>IFERROR(aurora_data!M2032,0)</f>
        <v>1</v>
      </c>
      <c r="O12" s="39">
        <f>IFERROR(aurora_data!N2032,0)</f>
        <v>1</v>
      </c>
      <c r="P12" s="40">
        <f>IFERROR(aurora_data!O2032,0)</f>
        <v>1</v>
      </c>
      <c r="Q12" s="40">
        <f>IFERROR(aurora_data!P2032,0)</f>
        <v>1</v>
      </c>
      <c r="R12" s="41">
        <f>IFERROR(aurora_data!Q2032,0)</f>
        <v>1</v>
      </c>
      <c r="S12" s="40">
        <f>IFERROR(aurora_data!R2032,0)</f>
        <v>1</v>
      </c>
      <c r="T12" s="40">
        <f>IFERROR(aurora_data!S2032,0)</f>
        <v>1</v>
      </c>
      <c r="U12" s="74">
        <f>IFERROR(aurora_data!T1732,0)</f>
        <v>0</v>
      </c>
      <c r="V12" s="61" t="s">
        <v>354</v>
      </c>
      <c r="W12" s="39">
        <f>IFERROR(aurora_data!U2032,0)</f>
        <v>50</v>
      </c>
      <c r="X12" s="69">
        <f>IFERROR(W12/$W$12,0)</f>
        <v>1</v>
      </c>
      <c r="Y12" s="2"/>
    </row>
    <row r="13" spans="1:25" customFormat="1">
      <c r="A13" s="2"/>
      <c r="B13" s="452"/>
      <c r="C13" s="454"/>
      <c r="D13" s="35" t="s">
        <v>339</v>
      </c>
      <c r="E13" s="113">
        <f>IFERROR(aurora_data!D2033,0)</f>
        <v>2</v>
      </c>
      <c r="F13" s="253">
        <f>IFERROR(aurora_data!E2033,0)</f>
        <v>3</v>
      </c>
      <c r="G13" s="253">
        <f>IFERROR(aurora_data!F2033,0)</f>
        <v>2</v>
      </c>
      <c r="H13" s="253">
        <f>IFERROR(aurora_data!G2033,0)</f>
        <v>13</v>
      </c>
      <c r="I13" s="254">
        <f>IFERROR(aurora_data!H2033,0)</f>
        <v>19</v>
      </c>
      <c r="J13" s="113">
        <f>IFERROR(aurora_data!I2033,0)</f>
        <v>3</v>
      </c>
      <c r="K13" s="253">
        <f>IFERROR(aurora_data!J2033,0)</f>
        <v>5</v>
      </c>
      <c r="L13" s="253">
        <f>IFERROR(aurora_data!K2033,0)</f>
        <v>10</v>
      </c>
      <c r="M13" s="253">
        <f>IFERROR(aurora_data!L2033,0)</f>
        <v>2</v>
      </c>
      <c r="N13" s="254">
        <f>IFERROR(aurora_data!M2033,0)</f>
        <v>19</v>
      </c>
      <c r="O13" s="113">
        <f>IFERROR(aurora_data!N2033,0)</f>
        <v>7</v>
      </c>
      <c r="P13" s="253">
        <f>IFERROR(aurora_data!O2033,0)</f>
        <v>8</v>
      </c>
      <c r="Q13" s="253">
        <f>IFERROR(aurora_data!P2033,0)</f>
        <v>12</v>
      </c>
      <c r="R13" s="254">
        <f>IFERROR(aurora_data!Q2033,0)</f>
        <v>12</v>
      </c>
      <c r="S13" s="253">
        <f>IFERROR(aurora_data!R2033,0)</f>
        <v>17</v>
      </c>
      <c r="T13" s="253">
        <f>IFERROR(aurora_data!S2033,0)</f>
        <v>22</v>
      </c>
      <c r="U13" s="254">
        <f>IFERROR(aurora_data!T1733,0)</f>
        <v>0</v>
      </c>
      <c r="V13" s="61" t="s">
        <v>354</v>
      </c>
      <c r="W13" s="113">
        <f>IFERROR(aurora_data!U2033,0)</f>
        <v>39</v>
      </c>
      <c r="X13" s="255">
        <f t="shared" ref="X13:X20" si="0">IFERROR(W13/$W$12,0)</f>
        <v>0.78</v>
      </c>
      <c r="Y13" s="2"/>
    </row>
    <row r="14" spans="1:25" customFormat="1">
      <c r="A14" s="2"/>
      <c r="B14" s="452"/>
      <c r="C14" s="454"/>
      <c r="D14" s="35" t="s">
        <v>291</v>
      </c>
      <c r="E14" s="113">
        <f>IFERROR(aurora_data!D2034,0)</f>
        <v>0</v>
      </c>
      <c r="F14" s="253">
        <f>IFERROR(aurora_data!E2034,0)</f>
        <v>2</v>
      </c>
      <c r="G14" s="253">
        <f>IFERROR(aurora_data!F2034,0)</f>
        <v>0</v>
      </c>
      <c r="H14" s="253">
        <f>IFERROR(aurora_data!G2034,0)</f>
        <v>0</v>
      </c>
      <c r="I14" s="254">
        <f>IFERROR(aurora_data!H2034,0)</f>
        <v>1</v>
      </c>
      <c r="J14" s="113">
        <f>IFERROR(aurora_data!I2034,0)</f>
        <v>0</v>
      </c>
      <c r="K14" s="253">
        <f>IFERROR(aurora_data!J2034,0)</f>
        <v>0</v>
      </c>
      <c r="L14" s="253">
        <f>IFERROR(aurora_data!K2034,0)</f>
        <v>1</v>
      </c>
      <c r="M14" s="253">
        <f>IFERROR(aurora_data!L2034,0)</f>
        <v>0</v>
      </c>
      <c r="N14" s="254">
        <f>IFERROR(aurora_data!M2034,0)</f>
        <v>2</v>
      </c>
      <c r="O14" s="113">
        <f>IFERROR(aurora_data!N2034,0)</f>
        <v>0</v>
      </c>
      <c r="P14" s="253">
        <f>IFERROR(aurora_data!O2034,0)</f>
        <v>1</v>
      </c>
      <c r="Q14" s="253">
        <f>IFERROR(aurora_data!P2034,0)</f>
        <v>1</v>
      </c>
      <c r="R14" s="254">
        <f>IFERROR(aurora_data!Q2034,0)</f>
        <v>1</v>
      </c>
      <c r="S14" s="253">
        <f>IFERROR(aurora_data!R2034,0)</f>
        <v>1</v>
      </c>
      <c r="T14" s="253">
        <f>IFERROR(aurora_data!S2034,0)</f>
        <v>2</v>
      </c>
      <c r="U14" s="254">
        <f>IFERROR(aurora_data!T1734,0)</f>
        <v>0</v>
      </c>
      <c r="V14" s="61" t="s">
        <v>354</v>
      </c>
      <c r="W14" s="113">
        <f>IFERROR(aurora_data!U2034,0)</f>
        <v>3</v>
      </c>
      <c r="X14" s="255">
        <f t="shared" si="0"/>
        <v>0.06</v>
      </c>
      <c r="Y14" s="2"/>
    </row>
    <row r="15" spans="1:25" customFormat="1">
      <c r="A15" s="2"/>
      <c r="B15" s="452"/>
      <c r="C15" s="454"/>
      <c r="D15" s="35" t="s">
        <v>340</v>
      </c>
      <c r="E15" s="113">
        <f>IFERROR(aurora_data!D2035,0)</f>
        <v>0</v>
      </c>
      <c r="F15" s="253">
        <f>IFERROR(aurora_data!E2035,0)</f>
        <v>0</v>
      </c>
      <c r="G15" s="253">
        <f>IFERROR(aurora_data!F2035,0)</f>
        <v>0</v>
      </c>
      <c r="H15" s="253">
        <f>IFERROR(aurora_data!G2035,0)</f>
        <v>0</v>
      </c>
      <c r="I15" s="254">
        <f>IFERROR(aurora_data!H2035,0)</f>
        <v>2</v>
      </c>
      <c r="J15" s="113">
        <f>IFERROR(aurora_data!I2035,0)</f>
        <v>0</v>
      </c>
      <c r="K15" s="253">
        <f>IFERROR(aurora_data!J2035,0)</f>
        <v>0</v>
      </c>
      <c r="L15" s="253">
        <f>IFERROR(aurora_data!K2035,0)</f>
        <v>0</v>
      </c>
      <c r="M15" s="253">
        <f>IFERROR(aurora_data!L2035,0)</f>
        <v>0</v>
      </c>
      <c r="N15" s="254">
        <f>IFERROR(aurora_data!M2035,0)</f>
        <v>2</v>
      </c>
      <c r="O15" s="113">
        <f>IFERROR(aurora_data!N2035,0)</f>
        <v>0</v>
      </c>
      <c r="P15" s="253">
        <f>IFERROR(aurora_data!O2035,0)</f>
        <v>0</v>
      </c>
      <c r="Q15" s="253">
        <f>IFERROR(aurora_data!P2035,0)</f>
        <v>2</v>
      </c>
      <c r="R15" s="254">
        <f>IFERROR(aurora_data!Q2035,0)</f>
        <v>0</v>
      </c>
      <c r="S15" s="253">
        <f>IFERROR(aurora_data!R2035,0)</f>
        <v>1</v>
      </c>
      <c r="T15" s="253">
        <f>IFERROR(aurora_data!S2035,0)</f>
        <v>1</v>
      </c>
      <c r="U15" s="254">
        <f>IFERROR(aurora_data!T1735,0)</f>
        <v>0</v>
      </c>
      <c r="V15" s="61" t="s">
        <v>354</v>
      </c>
      <c r="W15" s="113">
        <f>IFERROR(aurora_data!U2035,0)</f>
        <v>2</v>
      </c>
      <c r="X15" s="255">
        <f t="shared" si="0"/>
        <v>0.04</v>
      </c>
      <c r="Y15" s="2"/>
    </row>
    <row r="16" spans="1:25" customFormat="1">
      <c r="A16" s="2"/>
      <c r="B16" s="452"/>
      <c r="C16" s="454"/>
      <c r="D16" s="35" t="s">
        <v>298</v>
      </c>
      <c r="E16" s="113">
        <f>IFERROR(aurora_data!D2036,0)</f>
        <v>0</v>
      </c>
      <c r="F16" s="253">
        <f>IFERROR(aurora_data!E2036,0)</f>
        <v>0</v>
      </c>
      <c r="G16" s="253">
        <f>IFERROR(aurora_data!F2036,0)</f>
        <v>0</v>
      </c>
      <c r="H16" s="253">
        <f>IFERROR(aurora_data!G2036,0)</f>
        <v>2</v>
      </c>
      <c r="I16" s="254">
        <f>IFERROR(aurora_data!H2036,0)</f>
        <v>1</v>
      </c>
      <c r="J16" s="113">
        <f>IFERROR(aurora_data!I2036,0)</f>
        <v>0</v>
      </c>
      <c r="K16" s="253">
        <f>IFERROR(aurora_data!J2036,0)</f>
        <v>0</v>
      </c>
      <c r="L16" s="253">
        <f>IFERROR(aurora_data!K2036,0)</f>
        <v>0</v>
      </c>
      <c r="M16" s="253">
        <f>IFERROR(aurora_data!L2036,0)</f>
        <v>0</v>
      </c>
      <c r="N16" s="254">
        <f>IFERROR(aurora_data!M2036,0)</f>
        <v>3</v>
      </c>
      <c r="O16" s="113">
        <f>IFERROR(aurora_data!N2036,0)</f>
        <v>1</v>
      </c>
      <c r="P16" s="253">
        <f>IFERROR(aurora_data!O2036,0)</f>
        <v>0</v>
      </c>
      <c r="Q16" s="253">
        <f>IFERROR(aurora_data!P2036,0)</f>
        <v>1</v>
      </c>
      <c r="R16" s="254">
        <f>IFERROR(aurora_data!Q2036,0)</f>
        <v>1</v>
      </c>
      <c r="S16" s="253">
        <f>IFERROR(aurora_data!R2036,0)</f>
        <v>2</v>
      </c>
      <c r="T16" s="253">
        <f>IFERROR(aurora_data!S2036,0)</f>
        <v>1</v>
      </c>
      <c r="U16" s="254">
        <f>IFERROR(aurora_data!T1736,0)</f>
        <v>0</v>
      </c>
      <c r="V16" s="61" t="s">
        <v>354</v>
      </c>
      <c r="W16" s="113">
        <f>IFERROR(aurora_data!U2036,0)</f>
        <v>3</v>
      </c>
      <c r="X16" s="255">
        <f t="shared" si="0"/>
        <v>0.06</v>
      </c>
      <c r="Y16" s="2"/>
    </row>
    <row r="17" spans="1:25" customFormat="1">
      <c r="A17" s="2"/>
      <c r="B17" s="452"/>
      <c r="C17" s="454"/>
      <c r="D17" s="35" t="s">
        <v>341</v>
      </c>
      <c r="E17" s="113">
        <f>IFERROR(aurora_data!D2037,0)</f>
        <v>0</v>
      </c>
      <c r="F17" s="253">
        <f>IFERROR(aurora_data!E2037,0)</f>
        <v>0</v>
      </c>
      <c r="G17" s="253">
        <f>IFERROR(aurora_data!F2037,0)</f>
        <v>7</v>
      </c>
      <c r="H17" s="253">
        <f>IFERROR(aurora_data!G2037,0)</f>
        <v>3</v>
      </c>
      <c r="I17" s="254">
        <f>IFERROR(aurora_data!H2037,0)</f>
        <v>2</v>
      </c>
      <c r="J17" s="113">
        <f>IFERROR(aurora_data!I2037,0)</f>
        <v>0</v>
      </c>
      <c r="K17" s="253">
        <f>IFERROR(aurora_data!J2037,0)</f>
        <v>2</v>
      </c>
      <c r="L17" s="253">
        <f>IFERROR(aurora_data!K2037,0)</f>
        <v>4</v>
      </c>
      <c r="M17" s="253">
        <f>IFERROR(aurora_data!L2037,0)</f>
        <v>0</v>
      </c>
      <c r="N17" s="254">
        <f>IFERROR(aurora_data!M2037,0)</f>
        <v>6</v>
      </c>
      <c r="O17" s="113">
        <f>IFERROR(aurora_data!N2037,0)</f>
        <v>0</v>
      </c>
      <c r="P17" s="253">
        <f>IFERROR(aurora_data!O2037,0)</f>
        <v>4</v>
      </c>
      <c r="Q17" s="253">
        <f>IFERROR(aurora_data!P2037,0)</f>
        <v>4</v>
      </c>
      <c r="R17" s="254">
        <f>IFERROR(aurora_data!Q2037,0)</f>
        <v>4</v>
      </c>
      <c r="S17" s="253">
        <f>IFERROR(aurora_data!R2037,0)</f>
        <v>4</v>
      </c>
      <c r="T17" s="253">
        <f>IFERROR(aurora_data!S2037,0)</f>
        <v>8</v>
      </c>
      <c r="U17" s="254">
        <f>IFERROR(aurora_data!T1737,0)</f>
        <v>0</v>
      </c>
      <c r="V17" s="61" t="s">
        <v>354</v>
      </c>
      <c r="W17" s="113">
        <f>IFERROR(aurora_data!U2037,0)</f>
        <v>12</v>
      </c>
      <c r="X17" s="255">
        <f t="shared" si="0"/>
        <v>0.24</v>
      </c>
      <c r="Y17" s="2"/>
    </row>
    <row r="18" spans="1:25" customFormat="1" ht="16.5" thickBot="1">
      <c r="A18" s="2"/>
      <c r="B18" s="452"/>
      <c r="C18" s="454"/>
      <c r="D18" s="35" t="s">
        <v>342</v>
      </c>
      <c r="E18" s="113">
        <f>IFERROR(aurora_data!D2038,0)</f>
        <v>0</v>
      </c>
      <c r="F18" s="253">
        <f>IFERROR(aurora_data!E2038,0)</f>
        <v>0</v>
      </c>
      <c r="G18" s="253">
        <f>IFERROR(aurora_data!F2038,0)</f>
        <v>0</v>
      </c>
      <c r="H18" s="253">
        <f>IFERROR(aurora_data!G2038,0)</f>
        <v>0</v>
      </c>
      <c r="I18" s="254">
        <f>IFERROR(aurora_data!H2038,0)</f>
        <v>0</v>
      </c>
      <c r="J18" s="113">
        <f>IFERROR(aurora_data!I2038,0)</f>
        <v>0</v>
      </c>
      <c r="K18" s="253">
        <f>IFERROR(aurora_data!J2038,0)</f>
        <v>0</v>
      </c>
      <c r="L18" s="253">
        <f>IFERROR(aurora_data!K2038,0)</f>
        <v>0</v>
      </c>
      <c r="M18" s="253">
        <f>IFERROR(aurora_data!L2038,0)</f>
        <v>0</v>
      </c>
      <c r="N18" s="254">
        <f>IFERROR(aurora_data!M2038,0)</f>
        <v>0</v>
      </c>
      <c r="O18" s="113">
        <f>IFERROR(aurora_data!N2038,0)</f>
        <v>0</v>
      </c>
      <c r="P18" s="253">
        <f>IFERROR(aurora_data!O2038,0)</f>
        <v>0</v>
      </c>
      <c r="Q18" s="253">
        <f>IFERROR(aurora_data!P2038,0)</f>
        <v>0</v>
      </c>
      <c r="R18" s="254">
        <f>IFERROR(aurora_data!Q2038,0)</f>
        <v>0</v>
      </c>
      <c r="S18" s="253">
        <f>IFERROR(aurora_data!R2038,0)</f>
        <v>0</v>
      </c>
      <c r="T18" s="253">
        <f>IFERROR(aurora_data!S2038,0)</f>
        <v>0</v>
      </c>
      <c r="U18" s="254">
        <f>IFERROR(aurora_data!T1738,0)</f>
        <v>0</v>
      </c>
      <c r="V18" s="61" t="s">
        <v>354</v>
      </c>
      <c r="W18" s="113">
        <f>IFERROR(aurora_data!U2038,0)</f>
        <v>0</v>
      </c>
      <c r="X18" s="255">
        <f t="shared" si="0"/>
        <v>0</v>
      </c>
      <c r="Y18" s="2"/>
    </row>
    <row r="19" spans="1:25" customFormat="1" ht="16.5" thickBot="1">
      <c r="A19" s="2"/>
      <c r="B19" s="452"/>
      <c r="C19" s="454"/>
      <c r="D19" s="37" t="s">
        <v>17</v>
      </c>
      <c r="E19" s="59">
        <f>IFERROR(aurora_data!D2039,0)</f>
        <v>2</v>
      </c>
      <c r="F19" s="64">
        <f>IFERROR(aurora_data!E2039,0)</f>
        <v>5</v>
      </c>
      <c r="G19" s="64">
        <f>IFERROR(aurora_data!F2039,0)</f>
        <v>9</v>
      </c>
      <c r="H19" s="64">
        <f>IFERROR(aurora_data!G2039,0)</f>
        <v>18</v>
      </c>
      <c r="I19" s="65">
        <f>IFERROR(aurora_data!H2039,0)</f>
        <v>25</v>
      </c>
      <c r="J19" s="59">
        <f>IFERROR(aurora_data!I2039,0)</f>
        <v>3</v>
      </c>
      <c r="K19" s="64">
        <f>IFERROR(aurora_data!J2039,0)</f>
        <v>7</v>
      </c>
      <c r="L19" s="64">
        <f>IFERROR(aurora_data!K2039,0)</f>
        <v>15</v>
      </c>
      <c r="M19" s="64">
        <f>IFERROR(aurora_data!L2039,0)</f>
        <v>2</v>
      </c>
      <c r="N19" s="65">
        <f>IFERROR(aurora_data!M2039,0)</f>
        <v>32</v>
      </c>
      <c r="O19" s="59">
        <f>IFERROR(aurora_data!N2039,0)</f>
        <v>8</v>
      </c>
      <c r="P19" s="64">
        <f>IFERROR(aurora_data!O2039,0)</f>
        <v>13</v>
      </c>
      <c r="Q19" s="64">
        <f>IFERROR(aurora_data!P2039,0)</f>
        <v>20</v>
      </c>
      <c r="R19" s="65">
        <f>IFERROR(aurora_data!Q2039,0)</f>
        <v>18</v>
      </c>
      <c r="S19" s="64">
        <f>IFERROR(aurora_data!R2039,0)</f>
        <v>25</v>
      </c>
      <c r="T19" s="64">
        <f>IFERROR(aurora_data!S2039,0)</f>
        <v>34</v>
      </c>
      <c r="U19" s="65">
        <f>IFERROR(aurora_data!T1739,0)</f>
        <v>0</v>
      </c>
      <c r="V19" s="66" t="s">
        <v>354</v>
      </c>
      <c r="W19" s="59">
        <f>IFERROR(aurora_data!U2039,0)</f>
        <v>59</v>
      </c>
      <c r="X19" s="70">
        <f t="shared" si="0"/>
        <v>1.18</v>
      </c>
      <c r="Y19" s="2"/>
    </row>
    <row r="20" spans="1:25" customFormat="1" ht="17.25" customHeight="1" thickBot="1">
      <c r="A20" s="2"/>
      <c r="B20" s="452"/>
      <c r="C20" s="454"/>
      <c r="D20" s="35" t="s">
        <v>343</v>
      </c>
      <c r="E20" s="113">
        <f>IFERROR(aurora_data!D2040,0)</f>
        <v>0</v>
      </c>
      <c r="F20" s="253">
        <f>IFERROR(aurora_data!E2040,0)</f>
        <v>0</v>
      </c>
      <c r="G20" s="253">
        <f>IFERROR(aurora_data!F2040,0)</f>
        <v>0</v>
      </c>
      <c r="H20" s="253">
        <f>IFERROR(aurora_data!G2040,0)</f>
        <v>0</v>
      </c>
      <c r="I20" s="254">
        <f>IFERROR(aurora_data!H2040,0)</f>
        <v>0</v>
      </c>
      <c r="J20" s="113">
        <f>IFERROR(aurora_data!I2040,0)</f>
        <v>0</v>
      </c>
      <c r="K20" s="253">
        <f>IFERROR(aurora_data!J2040,0)</f>
        <v>0</v>
      </c>
      <c r="L20" s="253">
        <f>IFERROR(aurora_data!K2040,0)</f>
        <v>0</v>
      </c>
      <c r="M20" s="253">
        <f>IFERROR(aurora_data!L2040,0)</f>
        <v>0</v>
      </c>
      <c r="N20" s="254">
        <f>IFERROR(aurora_data!M2040,0)</f>
        <v>0</v>
      </c>
      <c r="O20" s="113">
        <f>IFERROR(aurora_data!N2040,0)</f>
        <v>0</v>
      </c>
      <c r="P20" s="253">
        <f>IFERROR(aurora_data!O2040,0)</f>
        <v>0</v>
      </c>
      <c r="Q20" s="253">
        <f>IFERROR(aurora_data!P2040,0)</f>
        <v>0</v>
      </c>
      <c r="R20" s="254">
        <f>IFERROR(aurora_data!Q2040,0)</f>
        <v>0</v>
      </c>
      <c r="S20" s="253">
        <f>IFERROR(aurora_data!R2040,0)</f>
        <v>0</v>
      </c>
      <c r="T20" s="253">
        <f>IFERROR(aurora_data!S2040,0)</f>
        <v>0</v>
      </c>
      <c r="U20" s="319">
        <f>IFERROR(aurora_data!T1740,0)</f>
        <v>0</v>
      </c>
      <c r="V20" s="260" t="s">
        <v>354</v>
      </c>
      <c r="W20" s="113">
        <f>IFERROR(aurora_data!U2040,0)</f>
        <v>0</v>
      </c>
      <c r="X20" s="320">
        <f t="shared" si="0"/>
        <v>0</v>
      </c>
      <c r="Y20" s="2"/>
    </row>
    <row r="21" spans="1:25" customFormat="1">
      <c r="A21" s="2"/>
      <c r="B21" s="451" t="s">
        <v>338</v>
      </c>
      <c r="C21" s="449" t="s">
        <v>150</v>
      </c>
      <c r="D21" s="34" t="s">
        <v>306</v>
      </c>
      <c r="E21" s="39">
        <f>IFERROR(aurora_data!D2041,0)</f>
        <v>2.0099999999999998</v>
      </c>
      <c r="F21" s="40">
        <f>IFERROR(aurora_data!E2041,0)</f>
        <v>3.2</v>
      </c>
      <c r="G21" s="40">
        <f>IFERROR(aurora_data!F2041,0)</f>
        <v>10.11</v>
      </c>
      <c r="H21" s="40">
        <f>IFERROR(aurora_data!G2041,0)</f>
        <v>15.78</v>
      </c>
      <c r="I21" s="41">
        <f>IFERROR(aurora_data!H2041,0)</f>
        <v>18.89</v>
      </c>
      <c r="J21" s="39">
        <f>IFERROR(aurora_data!I2041,0)</f>
        <v>1</v>
      </c>
      <c r="K21" s="40">
        <f>IFERROR(aurora_data!J2041,0)</f>
        <v>1</v>
      </c>
      <c r="L21" s="40">
        <f>IFERROR(aurora_data!K2041,0)</f>
        <v>1</v>
      </c>
      <c r="M21" s="40">
        <f>IFERROR(aurora_data!L2041,0)</f>
        <v>1</v>
      </c>
      <c r="N21" s="41">
        <f>IFERROR(aurora_data!M2041,0)</f>
        <v>1</v>
      </c>
      <c r="O21" s="39">
        <f>IFERROR(aurora_data!N2041,0)</f>
        <v>1</v>
      </c>
      <c r="P21" s="40">
        <f>IFERROR(aurora_data!O2041,0)</f>
        <v>1</v>
      </c>
      <c r="Q21" s="40">
        <f>IFERROR(aurora_data!P2041,0)</f>
        <v>1</v>
      </c>
      <c r="R21" s="41">
        <f>IFERROR(aurora_data!Q2041,0)</f>
        <v>1</v>
      </c>
      <c r="S21" s="40">
        <f>IFERROR(aurora_data!R2041,0)</f>
        <v>1</v>
      </c>
      <c r="T21" s="40">
        <f>IFERROR(aurora_data!S2041,0)</f>
        <v>1</v>
      </c>
      <c r="U21" s="41">
        <f>IFERROR(aurora_data!T1741,0)</f>
        <v>0</v>
      </c>
      <c r="V21" s="321" t="s">
        <v>354</v>
      </c>
      <c r="W21" s="39">
        <f>IFERROR(aurora_data!U2041,0)</f>
        <v>50</v>
      </c>
      <c r="X21" s="69">
        <f>IFERROR(W21/$W$21,0)</f>
        <v>1</v>
      </c>
      <c r="Y21" s="2"/>
    </row>
    <row r="22" spans="1:25" customFormat="1" ht="16.5" customHeight="1">
      <c r="A22" s="2"/>
      <c r="B22" s="452"/>
      <c r="C22" s="450"/>
      <c r="D22" s="35" t="s">
        <v>339</v>
      </c>
      <c r="E22" s="113">
        <f>IFERROR(aurora_data!D2042,0)</f>
        <v>2</v>
      </c>
      <c r="F22" s="253">
        <f>IFERROR(aurora_data!E2042,0)</f>
        <v>3</v>
      </c>
      <c r="G22" s="253">
        <f>IFERROR(aurora_data!F2042,0)</f>
        <v>2</v>
      </c>
      <c r="H22" s="253">
        <f>IFERROR(aurora_data!G2042,0)</f>
        <v>13</v>
      </c>
      <c r="I22" s="254">
        <f>IFERROR(aurora_data!H2042,0)</f>
        <v>19</v>
      </c>
      <c r="J22" s="113">
        <f>IFERROR(aurora_data!I2042,0)</f>
        <v>3</v>
      </c>
      <c r="K22" s="253">
        <f>IFERROR(aurora_data!J2042,0)</f>
        <v>5</v>
      </c>
      <c r="L22" s="253">
        <f>IFERROR(aurora_data!K2042,0)</f>
        <v>10</v>
      </c>
      <c r="M22" s="253">
        <f>IFERROR(aurora_data!L2042,0)</f>
        <v>2</v>
      </c>
      <c r="N22" s="254">
        <f>IFERROR(aurora_data!M2042,0)</f>
        <v>19</v>
      </c>
      <c r="O22" s="113">
        <f>IFERROR(aurora_data!N2042,0)</f>
        <v>7</v>
      </c>
      <c r="P22" s="253">
        <f>IFERROR(aurora_data!O2042,0)</f>
        <v>8</v>
      </c>
      <c r="Q22" s="253">
        <f>IFERROR(aurora_data!P2042,0)</f>
        <v>12</v>
      </c>
      <c r="R22" s="254">
        <f>IFERROR(aurora_data!Q2042,0)</f>
        <v>12</v>
      </c>
      <c r="S22" s="253">
        <f>IFERROR(aurora_data!R2042,0)</f>
        <v>17</v>
      </c>
      <c r="T22" s="253">
        <f>IFERROR(aurora_data!S2042,0)</f>
        <v>22</v>
      </c>
      <c r="U22" s="254">
        <f>IFERROR(aurora_data!T1742,0)</f>
        <v>0</v>
      </c>
      <c r="V22" s="61" t="s">
        <v>354</v>
      </c>
      <c r="W22" s="113">
        <f>IFERROR(aurora_data!U2042,0)</f>
        <v>39</v>
      </c>
      <c r="X22" s="255">
        <f t="shared" ref="X22:X29" si="1">IFERROR(W22/$W$21,0)</f>
        <v>0.78</v>
      </c>
      <c r="Y22" s="2"/>
    </row>
    <row r="23" spans="1:25" customFormat="1" ht="16.5" customHeight="1">
      <c r="A23" s="2"/>
      <c r="B23" s="452"/>
      <c r="C23" s="450"/>
      <c r="D23" s="35" t="s">
        <v>291</v>
      </c>
      <c r="E23" s="113">
        <f>IFERROR(aurora_data!D2043,0)</f>
        <v>0</v>
      </c>
      <c r="F23" s="253">
        <f>IFERROR(aurora_data!E2043,0)</f>
        <v>2</v>
      </c>
      <c r="G23" s="253">
        <f>IFERROR(aurora_data!F2043,0)</f>
        <v>0</v>
      </c>
      <c r="H23" s="253">
        <f>IFERROR(aurora_data!G2043,0)</f>
        <v>0</v>
      </c>
      <c r="I23" s="254">
        <f>IFERROR(aurora_data!H2043,0)</f>
        <v>1</v>
      </c>
      <c r="J23" s="113">
        <f>IFERROR(aurora_data!I2043,0)</f>
        <v>0</v>
      </c>
      <c r="K23" s="253">
        <f>IFERROR(aurora_data!J2043,0)</f>
        <v>0</v>
      </c>
      <c r="L23" s="253">
        <f>IFERROR(aurora_data!K2043,0)</f>
        <v>1</v>
      </c>
      <c r="M23" s="253">
        <f>IFERROR(aurora_data!L2043,0)</f>
        <v>0</v>
      </c>
      <c r="N23" s="254">
        <f>IFERROR(aurora_data!M2043,0)</f>
        <v>2</v>
      </c>
      <c r="O23" s="113">
        <f>IFERROR(aurora_data!N2043,0)</f>
        <v>0</v>
      </c>
      <c r="P23" s="253">
        <f>IFERROR(aurora_data!O2043,0)</f>
        <v>1</v>
      </c>
      <c r="Q23" s="253">
        <f>IFERROR(aurora_data!P2043,0)</f>
        <v>1</v>
      </c>
      <c r="R23" s="254">
        <f>IFERROR(aurora_data!Q2043,0)</f>
        <v>1</v>
      </c>
      <c r="S23" s="253">
        <f>IFERROR(aurora_data!R2043,0)</f>
        <v>1</v>
      </c>
      <c r="T23" s="253">
        <f>IFERROR(aurora_data!S2043,0)</f>
        <v>2</v>
      </c>
      <c r="U23" s="254">
        <f>IFERROR(aurora_data!T1743,0)</f>
        <v>0</v>
      </c>
      <c r="V23" s="61" t="s">
        <v>354</v>
      </c>
      <c r="W23" s="113">
        <f>IFERROR(aurora_data!U2043,0)</f>
        <v>3</v>
      </c>
      <c r="X23" s="255">
        <f t="shared" si="1"/>
        <v>0.06</v>
      </c>
      <c r="Y23" s="2"/>
    </row>
    <row r="24" spans="1:25" customFormat="1">
      <c r="A24" s="2"/>
      <c r="B24" s="452"/>
      <c r="C24" s="450"/>
      <c r="D24" s="35" t="s">
        <v>340</v>
      </c>
      <c r="E24" s="113">
        <f>IFERROR(aurora_data!D2044,0)</f>
        <v>0</v>
      </c>
      <c r="F24" s="253">
        <f>IFERROR(aurora_data!E2044,0)</f>
        <v>0</v>
      </c>
      <c r="G24" s="253">
        <f>IFERROR(aurora_data!F2044,0)</f>
        <v>0</v>
      </c>
      <c r="H24" s="253">
        <f>IFERROR(aurora_data!G2044,0)</f>
        <v>0</v>
      </c>
      <c r="I24" s="254">
        <f>IFERROR(aurora_data!H2044,0)</f>
        <v>2</v>
      </c>
      <c r="J24" s="113">
        <f>IFERROR(aurora_data!I2044,0)</f>
        <v>0</v>
      </c>
      <c r="K24" s="253">
        <f>IFERROR(aurora_data!J2044,0)</f>
        <v>0</v>
      </c>
      <c r="L24" s="253">
        <f>IFERROR(aurora_data!K2044,0)</f>
        <v>0</v>
      </c>
      <c r="M24" s="253">
        <f>IFERROR(aurora_data!L2044,0)</f>
        <v>0</v>
      </c>
      <c r="N24" s="254">
        <f>IFERROR(aurora_data!M2044,0)</f>
        <v>2</v>
      </c>
      <c r="O24" s="113">
        <f>IFERROR(aurora_data!N2044,0)</f>
        <v>0</v>
      </c>
      <c r="P24" s="253">
        <f>IFERROR(aurora_data!O2044,0)</f>
        <v>0</v>
      </c>
      <c r="Q24" s="253">
        <f>IFERROR(aurora_data!P2044,0)</f>
        <v>2</v>
      </c>
      <c r="R24" s="254">
        <f>IFERROR(aurora_data!Q2044,0)</f>
        <v>0</v>
      </c>
      <c r="S24" s="253">
        <f>IFERROR(aurora_data!R2044,0)</f>
        <v>1</v>
      </c>
      <c r="T24" s="253">
        <f>IFERROR(aurora_data!S2044,0)</f>
        <v>1</v>
      </c>
      <c r="U24" s="254">
        <f>IFERROR(aurora_data!T1744,0)</f>
        <v>0</v>
      </c>
      <c r="V24" s="61" t="s">
        <v>354</v>
      </c>
      <c r="W24" s="113">
        <f>IFERROR(aurora_data!U2044,0)</f>
        <v>2</v>
      </c>
      <c r="X24" s="255">
        <f t="shared" si="1"/>
        <v>0.04</v>
      </c>
      <c r="Y24" s="2"/>
    </row>
    <row r="25" spans="1:25" customFormat="1">
      <c r="A25" s="2"/>
      <c r="B25" s="452"/>
      <c r="C25" s="450"/>
      <c r="D25" s="35" t="s">
        <v>298</v>
      </c>
      <c r="E25" s="113">
        <f>IFERROR(aurora_data!D2045,0)</f>
        <v>0</v>
      </c>
      <c r="F25" s="253">
        <f>IFERROR(aurora_data!E2045,0)</f>
        <v>0</v>
      </c>
      <c r="G25" s="253">
        <f>IFERROR(aurora_data!F2045,0)</f>
        <v>0</v>
      </c>
      <c r="H25" s="253">
        <f>IFERROR(aurora_data!G2045,0)</f>
        <v>2</v>
      </c>
      <c r="I25" s="254">
        <f>IFERROR(aurora_data!H2045,0)</f>
        <v>1</v>
      </c>
      <c r="J25" s="113">
        <f>IFERROR(aurora_data!I2045,0)</f>
        <v>0</v>
      </c>
      <c r="K25" s="253">
        <f>IFERROR(aurora_data!J2045,0)</f>
        <v>0</v>
      </c>
      <c r="L25" s="253">
        <f>IFERROR(aurora_data!K2045,0)</f>
        <v>0</v>
      </c>
      <c r="M25" s="253">
        <f>IFERROR(aurora_data!L2045,0)</f>
        <v>0</v>
      </c>
      <c r="N25" s="254">
        <f>IFERROR(aurora_data!M2045,0)</f>
        <v>3</v>
      </c>
      <c r="O25" s="113">
        <f>IFERROR(aurora_data!N2045,0)</f>
        <v>1</v>
      </c>
      <c r="P25" s="253">
        <f>IFERROR(aurora_data!O2045,0)</f>
        <v>0</v>
      </c>
      <c r="Q25" s="253">
        <f>IFERROR(aurora_data!P2045,0)</f>
        <v>1</v>
      </c>
      <c r="R25" s="254">
        <f>IFERROR(aurora_data!Q2045,0)</f>
        <v>1</v>
      </c>
      <c r="S25" s="253">
        <f>IFERROR(aurora_data!R2045,0)</f>
        <v>2</v>
      </c>
      <c r="T25" s="253">
        <f>IFERROR(aurora_data!S2045,0)</f>
        <v>1</v>
      </c>
      <c r="U25" s="254">
        <f>IFERROR(aurora_data!T1745,0)</f>
        <v>0</v>
      </c>
      <c r="V25" s="61" t="s">
        <v>354</v>
      </c>
      <c r="W25" s="113">
        <f>IFERROR(aurora_data!U2045,0)</f>
        <v>3</v>
      </c>
      <c r="X25" s="255">
        <f t="shared" si="1"/>
        <v>0.06</v>
      </c>
      <c r="Y25" s="2"/>
    </row>
    <row r="26" spans="1:25" customFormat="1" ht="16.5" customHeight="1">
      <c r="A26" s="2"/>
      <c r="B26" s="452"/>
      <c r="C26" s="450"/>
      <c r="D26" s="35" t="s">
        <v>341</v>
      </c>
      <c r="E26" s="113">
        <f>IFERROR(aurora_data!D2046,0)</f>
        <v>0</v>
      </c>
      <c r="F26" s="253">
        <f>IFERROR(aurora_data!E2046,0)</f>
        <v>0</v>
      </c>
      <c r="G26" s="253">
        <f>IFERROR(aurora_data!F2046,0)</f>
        <v>7</v>
      </c>
      <c r="H26" s="253">
        <f>IFERROR(aurora_data!G2046,0)</f>
        <v>3</v>
      </c>
      <c r="I26" s="254">
        <f>IFERROR(aurora_data!H2046,0)</f>
        <v>2</v>
      </c>
      <c r="J26" s="113">
        <f>IFERROR(aurora_data!I2046,0)</f>
        <v>0</v>
      </c>
      <c r="K26" s="253">
        <f>IFERROR(aurora_data!J2046,0)</f>
        <v>2</v>
      </c>
      <c r="L26" s="253">
        <f>IFERROR(aurora_data!K2046,0)</f>
        <v>4</v>
      </c>
      <c r="M26" s="253">
        <f>IFERROR(aurora_data!L2046,0)</f>
        <v>0</v>
      </c>
      <c r="N26" s="254">
        <f>IFERROR(aurora_data!M2046,0)</f>
        <v>6</v>
      </c>
      <c r="O26" s="113">
        <f>IFERROR(aurora_data!N2046,0)</f>
        <v>0</v>
      </c>
      <c r="P26" s="253">
        <f>IFERROR(aurora_data!O2046,0)</f>
        <v>4</v>
      </c>
      <c r="Q26" s="253">
        <f>IFERROR(aurora_data!P2046,0)</f>
        <v>4</v>
      </c>
      <c r="R26" s="254">
        <f>IFERROR(aurora_data!Q2046,0)</f>
        <v>4</v>
      </c>
      <c r="S26" s="253">
        <f>IFERROR(aurora_data!R2046,0)</f>
        <v>4</v>
      </c>
      <c r="T26" s="253">
        <f>IFERROR(aurora_data!S2046,0)</f>
        <v>8</v>
      </c>
      <c r="U26" s="254">
        <f>IFERROR(aurora_data!T1746,0)</f>
        <v>0</v>
      </c>
      <c r="V26" s="61" t="s">
        <v>354</v>
      </c>
      <c r="W26" s="113">
        <f>IFERROR(aurora_data!U2046,0)</f>
        <v>12</v>
      </c>
      <c r="X26" s="255">
        <f t="shared" si="1"/>
        <v>0.24</v>
      </c>
      <c r="Y26" s="2"/>
    </row>
    <row r="27" spans="1:25" customFormat="1" ht="16.5" customHeight="1" thickBot="1">
      <c r="A27" s="2"/>
      <c r="B27" s="452"/>
      <c r="C27" s="450"/>
      <c r="D27" s="35" t="s">
        <v>342</v>
      </c>
      <c r="E27" s="113">
        <f>IFERROR(aurora_data!D2047,0)</f>
        <v>0</v>
      </c>
      <c r="F27" s="253">
        <f>IFERROR(aurora_data!E2047,0)</f>
        <v>0</v>
      </c>
      <c r="G27" s="253">
        <f>IFERROR(aurora_data!F2047,0)</f>
        <v>0</v>
      </c>
      <c r="H27" s="253">
        <f>IFERROR(aurora_data!G2047,0)</f>
        <v>0</v>
      </c>
      <c r="I27" s="254">
        <f>IFERROR(aurora_data!H2047,0)</f>
        <v>0</v>
      </c>
      <c r="J27" s="113">
        <f>IFERROR(aurora_data!I2047,0)</f>
        <v>0</v>
      </c>
      <c r="K27" s="253">
        <f>IFERROR(aurora_data!J2047,0)</f>
        <v>0</v>
      </c>
      <c r="L27" s="253">
        <f>IFERROR(aurora_data!K2047,0)</f>
        <v>0</v>
      </c>
      <c r="M27" s="253">
        <f>IFERROR(aurora_data!L2047,0)</f>
        <v>0</v>
      </c>
      <c r="N27" s="254">
        <f>IFERROR(aurora_data!M2047,0)</f>
        <v>0</v>
      </c>
      <c r="O27" s="113">
        <f>IFERROR(aurora_data!N2047,0)</f>
        <v>0</v>
      </c>
      <c r="P27" s="253">
        <f>IFERROR(aurora_data!O2047,0)</f>
        <v>0</v>
      </c>
      <c r="Q27" s="253">
        <f>IFERROR(aurora_data!P2047,0)</f>
        <v>0</v>
      </c>
      <c r="R27" s="254">
        <f>IFERROR(aurora_data!Q2047,0)</f>
        <v>0</v>
      </c>
      <c r="S27" s="253">
        <f>IFERROR(aurora_data!R2047,0)</f>
        <v>0</v>
      </c>
      <c r="T27" s="253">
        <f>IFERROR(aurora_data!S2047,0)</f>
        <v>0</v>
      </c>
      <c r="U27" s="254">
        <f>IFERROR(aurora_data!T1747,0)</f>
        <v>0</v>
      </c>
      <c r="V27" s="61" t="s">
        <v>354</v>
      </c>
      <c r="W27" s="113">
        <f>IFERROR(aurora_data!U2047,0)</f>
        <v>0</v>
      </c>
      <c r="X27" s="255">
        <f t="shared" si="1"/>
        <v>0</v>
      </c>
      <c r="Y27" s="2"/>
    </row>
    <row r="28" spans="1:25" customFormat="1" ht="16.5" customHeight="1" thickBot="1">
      <c r="A28" s="2"/>
      <c r="B28" s="452"/>
      <c r="C28" s="450"/>
      <c r="D28" s="37" t="s">
        <v>17</v>
      </c>
      <c r="E28" s="59">
        <f>IFERROR(aurora_data!D2048,0)</f>
        <v>2</v>
      </c>
      <c r="F28" s="64">
        <f>IFERROR(aurora_data!E2048,0)</f>
        <v>5</v>
      </c>
      <c r="G28" s="64">
        <f>IFERROR(aurora_data!F2048,0)</f>
        <v>9</v>
      </c>
      <c r="H28" s="64">
        <f>IFERROR(aurora_data!G2048,0)</f>
        <v>18</v>
      </c>
      <c r="I28" s="65">
        <f>IFERROR(aurora_data!H2048,0)</f>
        <v>25</v>
      </c>
      <c r="J28" s="59">
        <f>IFERROR(aurora_data!I2048,0)</f>
        <v>3</v>
      </c>
      <c r="K28" s="64">
        <f>IFERROR(aurora_data!J2048,0)</f>
        <v>7</v>
      </c>
      <c r="L28" s="64">
        <f>IFERROR(aurora_data!K2048,0)</f>
        <v>15</v>
      </c>
      <c r="M28" s="64">
        <f>IFERROR(aurora_data!L2048,0)</f>
        <v>2</v>
      </c>
      <c r="N28" s="65">
        <f>IFERROR(aurora_data!M2048,0)</f>
        <v>32</v>
      </c>
      <c r="O28" s="59">
        <f>IFERROR(aurora_data!N2048,0)</f>
        <v>8</v>
      </c>
      <c r="P28" s="64">
        <f>IFERROR(aurora_data!O2048,0)</f>
        <v>13</v>
      </c>
      <c r="Q28" s="64">
        <f>IFERROR(aurora_data!P2048,0)</f>
        <v>20</v>
      </c>
      <c r="R28" s="65">
        <f>IFERROR(aurora_data!Q2048,0)</f>
        <v>18</v>
      </c>
      <c r="S28" s="64">
        <f>IFERROR(aurora_data!R2048,0)</f>
        <v>25</v>
      </c>
      <c r="T28" s="64">
        <f>IFERROR(aurora_data!S2048,0)</f>
        <v>34</v>
      </c>
      <c r="U28" s="65">
        <f>IFERROR(aurora_data!T1748,0)</f>
        <v>0</v>
      </c>
      <c r="V28" s="66" t="s">
        <v>354</v>
      </c>
      <c r="W28" s="59">
        <f>IFERROR(aurora_data!U2048,0)</f>
        <v>59</v>
      </c>
      <c r="X28" s="70">
        <f t="shared" si="1"/>
        <v>1.18</v>
      </c>
      <c r="Y28" s="2"/>
    </row>
    <row r="29" spans="1:25" customFormat="1" ht="16.5" thickBot="1">
      <c r="A29" s="2"/>
      <c r="B29" s="456"/>
      <c r="C29" s="567"/>
      <c r="D29" s="38" t="s">
        <v>343</v>
      </c>
      <c r="E29" s="256">
        <f>IFERROR(aurora_data!D2049,0)</f>
        <v>0</v>
      </c>
      <c r="F29" s="257">
        <f>IFERROR(aurora_data!E2049,0)</f>
        <v>0</v>
      </c>
      <c r="G29" s="257">
        <f>IFERROR(aurora_data!F2049,0)</f>
        <v>0</v>
      </c>
      <c r="H29" s="257">
        <f>IFERROR(aurora_data!G2049,0)</f>
        <v>0</v>
      </c>
      <c r="I29" s="258">
        <f>IFERROR(aurora_data!H2049,0)</f>
        <v>0</v>
      </c>
      <c r="J29" s="256">
        <f>IFERROR(aurora_data!I2049,0)</f>
        <v>0</v>
      </c>
      <c r="K29" s="257">
        <f>IFERROR(aurora_data!J2049,0)</f>
        <v>0</v>
      </c>
      <c r="L29" s="257">
        <f>IFERROR(aurora_data!K2049,0)</f>
        <v>0</v>
      </c>
      <c r="M29" s="257">
        <f>IFERROR(aurora_data!L2049,0)</f>
        <v>0</v>
      </c>
      <c r="N29" s="258">
        <f>IFERROR(aurora_data!M2049,0)</f>
        <v>0</v>
      </c>
      <c r="O29" s="256">
        <f>IFERROR(aurora_data!N2049,0)</f>
        <v>0</v>
      </c>
      <c r="P29" s="257">
        <f>IFERROR(aurora_data!O2049,0)</f>
        <v>0</v>
      </c>
      <c r="Q29" s="257">
        <f>IFERROR(aurora_data!P2049,0)</f>
        <v>0</v>
      </c>
      <c r="R29" s="258">
        <f>IFERROR(aurora_data!Q2049,0)</f>
        <v>0</v>
      </c>
      <c r="S29" s="257">
        <f>IFERROR(aurora_data!R2049,0)</f>
        <v>0</v>
      </c>
      <c r="T29" s="257">
        <f>IFERROR(aurora_data!S2049,0)</f>
        <v>0</v>
      </c>
      <c r="U29" s="259">
        <f>IFERROR(aurora_data!T1749,0)</f>
        <v>0</v>
      </c>
      <c r="V29" s="322" t="s">
        <v>354</v>
      </c>
      <c r="W29" s="256">
        <f>IFERROR(aurora_data!U2049,0)</f>
        <v>0</v>
      </c>
      <c r="X29" s="261">
        <f t="shared" si="1"/>
        <v>0</v>
      </c>
      <c r="Y29" s="2"/>
    </row>
    <row r="30" spans="1:25" ht="16.5" customHeight="1" outlineLevel="1" thickBot="1">
      <c r="B30" s="147"/>
      <c r="C30" s="227"/>
      <c r="D30" s="199" t="s">
        <v>344</v>
      </c>
      <c r="E30" s="271">
        <f>ROUNDDOWN((E32+$E$9)*($W21),0)</f>
        <v>3</v>
      </c>
      <c r="F30" s="272">
        <f>ROUNDDOWN((F32+$E$9)*($W21),0)</f>
        <v>4</v>
      </c>
      <c r="G30" s="272">
        <f>ROUNDDOWN((G32+$E$9)*($W21),0)</f>
        <v>11</v>
      </c>
      <c r="H30" s="272">
        <f>ROUNDDOWN((H32+$E$9)*($W21),0)</f>
        <v>16</v>
      </c>
      <c r="I30" s="272">
        <f>ROUNDDOWN((I32+$E$9)*($W21),0)</f>
        <v>19</v>
      </c>
      <c r="J30" s="229"/>
      <c r="K30" s="230"/>
      <c r="L30" s="230"/>
      <c r="M30" s="230"/>
      <c r="N30" s="231"/>
      <c r="O30" s="229"/>
      <c r="P30" s="230"/>
      <c r="Q30" s="230"/>
      <c r="R30" s="231"/>
      <c r="S30" s="230"/>
      <c r="T30" s="230"/>
      <c r="U30" s="231"/>
      <c r="V30" s="233"/>
      <c r="W30" s="229"/>
      <c r="X30" s="234"/>
    </row>
    <row r="31" spans="1:25" ht="16.5" outlineLevel="1" thickBot="1">
      <c r="B31" s="147"/>
      <c r="C31" s="227"/>
      <c r="D31" s="199" t="s">
        <v>345</v>
      </c>
      <c r="E31" s="276">
        <f>IF(ROUND(((E32-$E$9)*($W21))+0.25,0) &lt;=0,1,((E32-$E$9)*($W21))+0.25)</f>
        <v>1.2599999999999996</v>
      </c>
      <c r="F31" s="277">
        <f>IF(ROUND(((F32-$E$9)*($W21))+0.25,0) &lt;=0,1,((F32-$E$9)*($W21))+0.25)</f>
        <v>2.4499999999999997</v>
      </c>
      <c r="G31" s="277">
        <f t="shared" ref="G31:I31" si="2">IF(ROUND(((G32-$E$9)*($W21))+0.25,0) &lt;=0,1,((G32-$E$9)*($W21))+0.25)</f>
        <v>9.36</v>
      </c>
      <c r="H31" s="277">
        <f t="shared" si="2"/>
        <v>15.03</v>
      </c>
      <c r="I31" s="277">
        <f t="shared" si="2"/>
        <v>18.14</v>
      </c>
      <c r="J31" s="229"/>
      <c r="K31" s="230"/>
      <c r="L31" s="230"/>
      <c r="M31" s="230"/>
      <c r="N31" s="231"/>
      <c r="O31" s="229"/>
      <c r="P31" s="230"/>
      <c r="Q31" s="230"/>
      <c r="R31" s="231"/>
      <c r="S31" s="230"/>
      <c r="T31" s="230"/>
      <c r="U31" s="232"/>
      <c r="V31" s="233"/>
      <c r="W31" s="229"/>
      <c r="X31" s="234"/>
    </row>
    <row r="32" spans="1:25" ht="16.5" outlineLevel="1" thickBot="1">
      <c r="B32" s="147"/>
      <c r="C32" s="227"/>
      <c r="D32" s="95" t="s">
        <v>346</v>
      </c>
      <c r="E32" s="159">
        <f>IFERROR(E21/$W21,0)</f>
        <v>4.0199999999999993E-2</v>
      </c>
      <c r="F32" s="160">
        <f t="shared" ref="F32" si="3">IFERROR(F21/$W21,0)</f>
        <v>6.4000000000000001E-2</v>
      </c>
      <c r="G32" s="160">
        <f>IFERROR(G21/$W21,0)</f>
        <v>0.20219999999999999</v>
      </c>
      <c r="H32" s="160">
        <f t="shared" ref="H32" si="4">IFERROR(H21/$W21,0)</f>
        <v>0.31559999999999999</v>
      </c>
      <c r="I32" s="160">
        <f>IFERROR(I21/$W21,0)</f>
        <v>0.37780000000000002</v>
      </c>
      <c r="J32" s="229"/>
      <c r="K32" s="230"/>
      <c r="L32" s="230"/>
      <c r="M32" s="230"/>
      <c r="N32" s="231"/>
      <c r="O32" s="229"/>
      <c r="P32" s="230"/>
      <c r="Q32" s="230"/>
      <c r="R32" s="231"/>
      <c r="S32" s="230"/>
      <c r="T32" s="230"/>
      <c r="U32" s="232"/>
      <c r="V32" s="233"/>
      <c r="W32" s="229"/>
      <c r="X32" s="234"/>
    </row>
    <row r="33" spans="2:24" ht="16.5" outlineLevel="1" thickBot="1">
      <c r="B33" s="147"/>
      <c r="C33" s="227"/>
      <c r="D33" s="180" t="s">
        <v>347</v>
      </c>
      <c r="E33" s="159">
        <f>IFERROR(E22/$W21,0)</f>
        <v>0.04</v>
      </c>
      <c r="F33" s="160">
        <f t="shared" ref="F33:I33" si="5">IFERROR(F22/$W21,0)</f>
        <v>0.06</v>
      </c>
      <c r="G33" s="160">
        <f t="shared" si="5"/>
        <v>0.04</v>
      </c>
      <c r="H33" s="160">
        <f t="shared" si="5"/>
        <v>0.26</v>
      </c>
      <c r="I33" s="160">
        <f t="shared" si="5"/>
        <v>0.38</v>
      </c>
      <c r="J33" s="229"/>
      <c r="K33" s="230"/>
      <c r="L33" s="230"/>
      <c r="M33" s="230"/>
      <c r="N33" s="231"/>
      <c r="O33" s="229"/>
      <c r="P33" s="230"/>
      <c r="Q33" s="230"/>
      <c r="R33" s="231"/>
      <c r="S33" s="230"/>
      <c r="T33" s="230"/>
      <c r="U33" s="232"/>
      <c r="V33" s="233"/>
      <c r="W33" s="229"/>
      <c r="X33" s="234"/>
    </row>
    <row r="34" spans="2:24" outlineLevel="1">
      <c r="B34" s="235"/>
      <c r="C34" s="236"/>
      <c r="D34" s="237" t="s">
        <v>348</v>
      </c>
      <c r="E34" s="238">
        <f>E33-E32</f>
        <v>-1.9999999999999185E-4</v>
      </c>
      <c r="F34" s="239">
        <f t="shared" ref="F34:I34" si="6">F33-F32</f>
        <v>-4.0000000000000036E-3</v>
      </c>
      <c r="G34" s="239">
        <f t="shared" si="6"/>
        <v>-0.16219999999999998</v>
      </c>
      <c r="H34" s="239">
        <f t="shared" si="6"/>
        <v>-5.5599999999999983E-2</v>
      </c>
      <c r="I34" s="239">
        <f t="shared" si="6"/>
        <v>2.1999999999999797E-3</v>
      </c>
      <c r="J34" s="240"/>
      <c r="K34" s="241"/>
      <c r="L34" s="241"/>
      <c r="M34" s="241"/>
      <c r="N34" s="242"/>
      <c r="O34" s="240"/>
      <c r="P34" s="241"/>
      <c r="Q34" s="241"/>
      <c r="R34" s="242"/>
      <c r="S34" s="241"/>
      <c r="T34" s="241"/>
      <c r="U34" s="243"/>
      <c r="V34" s="244"/>
      <c r="W34" s="240"/>
      <c r="X34" s="245"/>
    </row>
  </sheetData>
  <mergeCells count="26">
    <mergeCell ref="A1:C1"/>
    <mergeCell ref="D1:H1"/>
    <mergeCell ref="A2:C2"/>
    <mergeCell ref="D2:H2"/>
    <mergeCell ref="K2:X6"/>
    <mergeCell ref="D3:E3"/>
    <mergeCell ref="F3:H3"/>
    <mergeCell ref="D5:G5"/>
    <mergeCell ref="D6:H6"/>
    <mergeCell ref="B8:D8"/>
    <mergeCell ref="E8:U8"/>
    <mergeCell ref="W8:X11"/>
    <mergeCell ref="B9:C9"/>
    <mergeCell ref="E9:I9"/>
    <mergeCell ref="J9:N9"/>
    <mergeCell ref="O9:R9"/>
    <mergeCell ref="S9:U9"/>
    <mergeCell ref="B10:B11"/>
    <mergeCell ref="E10:I10"/>
    <mergeCell ref="B21:B29"/>
    <mergeCell ref="C21:C29"/>
    <mergeCell ref="J10:N10"/>
    <mergeCell ref="O10:R10"/>
    <mergeCell ref="S10:U10"/>
    <mergeCell ref="B12:B20"/>
    <mergeCell ref="C12:C20"/>
  </mergeCells>
  <conditionalFormatting sqref="E13:W13">
    <cfRule type="expression" dxfId="4" priority="11">
      <formula>ROUND(E13,0) &gt;= ROUND(E12,0)</formula>
    </cfRule>
  </conditionalFormatting>
  <conditionalFormatting sqref="E19:W19">
    <cfRule type="expression" dxfId="3" priority="12">
      <formula>ROUND(E19,0) &lt; ROUND(E12,0)</formula>
    </cfRule>
  </conditionalFormatting>
  <conditionalFormatting sqref="E22:W22">
    <cfRule type="expression" dxfId="2" priority="1">
      <formula>ROUND(E22,0) &gt;= ROUND(E21,0)</formula>
    </cfRule>
  </conditionalFormatting>
  <conditionalFormatting sqref="E28:W28">
    <cfRule type="expression" dxfId="1" priority="2">
      <formula>ROUND(E28,0) &lt; ROUND(E21,0)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D74E-17FF-4BD5-A316-380CA0CDB750}">
  <dimension ref="A1:K29"/>
  <sheetViews>
    <sheetView workbookViewId="0">
      <selection activeCell="K8" sqref="K8"/>
    </sheetView>
  </sheetViews>
  <sheetFormatPr defaultRowHeight="15.75"/>
  <cols>
    <col min="1" max="1" width="15.5" bestFit="1" customWidth="1"/>
    <col min="2" max="2" width="9.125" customWidth="1"/>
    <col min="3" max="3" width="18.25" bestFit="1" customWidth="1"/>
    <col min="4" max="4" width="11.125" bestFit="1" customWidth="1"/>
    <col min="5" max="5" width="11.875" bestFit="1" customWidth="1"/>
    <col min="6" max="6" width="8.25" customWidth="1"/>
  </cols>
  <sheetData>
    <row r="1" spans="1:11" ht="18.75">
      <c r="A1" s="378" t="s">
        <v>396</v>
      </c>
      <c r="B1" s="378"/>
      <c r="D1" s="377">
        <v>46266</v>
      </c>
      <c r="E1" s="362" t="s">
        <v>397</v>
      </c>
    </row>
    <row r="2" spans="1:11">
      <c r="A2" s="595" t="s">
        <v>398</v>
      </c>
      <c r="B2" s="595"/>
    </row>
    <row r="3" spans="1:11">
      <c r="A3" s="43" t="s">
        <v>399</v>
      </c>
    </row>
    <row r="4" spans="1:11" ht="18.75">
      <c r="A4" s="370" t="s">
        <v>400</v>
      </c>
      <c r="B4" s="370" t="s">
        <v>401</v>
      </c>
      <c r="C4" s="370" t="s">
        <v>402</v>
      </c>
      <c r="D4" s="370" t="s">
        <v>403</v>
      </c>
      <c r="E4" s="370" t="s">
        <v>404</v>
      </c>
      <c r="F4" s="371"/>
      <c r="G4" s="367" t="s">
        <v>405</v>
      </c>
    </row>
    <row r="5" spans="1:11" ht="26.25">
      <c r="A5" s="441" t="s">
        <v>100</v>
      </c>
      <c r="B5" s="441">
        <f>SUM(MAX(0,WISC6_STDZ_P!AL13-WISC6_STDZ_P!AL14),MAX(0,WISC6_STDZ_P!AL26-WISC6_STDZ_P!AL27),MAX(0,WISC6_STDZ_P!AL40-WISC6_STDZ_P!AL41),MAX(0,WISC6_STDZ_P!AL53-WISC6_STDZ_P!AL54),MAX(0,WISC6_STDZ_P!AL66-WISC6_STDZ_P!AL67),MAX(0,WISC6_STDZ_P!AL79-WISC6_STDZ_P!AL80),MAX(0,WISC6_STDZ_P!AL92-WISC6_STDZ_P!AL93),MAX(0,WISC6_STDZ_P!AL105-WISC6_STDZ_P!AL106),MAX(0,WISC6_STDZ_P!AL118-WISC6_STDZ_P!AL119),MAX(0,WISC6_STDZ_P!AL131-WISC6_STDZ_P!AL132),MAX(0,WISC6_STDZ_P!AL144-WISC6_STDZ_P!AL145))</f>
        <v>51</v>
      </c>
      <c r="C5" s="441" t="s">
        <v>406</v>
      </c>
      <c r="D5" s="442">
        <f>B5*VLOOKUP("WISC6_P",$I$6:$K$19,2,FALSE)</f>
        <v>20400</v>
      </c>
      <c r="E5" s="442">
        <f>B5*VLOOKUP("WISC6_P",$I$6:$K$19,3,FALSE)</f>
        <v>11220</v>
      </c>
      <c r="F5" s="372"/>
      <c r="G5" s="597" t="s">
        <v>407</v>
      </c>
      <c r="H5" s="597"/>
      <c r="I5" s="382" t="s">
        <v>408</v>
      </c>
      <c r="J5" s="383" t="s">
        <v>403</v>
      </c>
      <c r="K5" s="383" t="s">
        <v>404</v>
      </c>
    </row>
    <row r="6" spans="1:11">
      <c r="A6" s="441" t="s">
        <v>103</v>
      </c>
      <c r="B6" s="441">
        <f>SUM(MAX(0,WISC6_STDZ_D!AL13-WISC6_STDZ_D!AL14),MAX(0,WISC6_STDZ_D!AL26-WISC6_STDZ_D!AL27),MAX(0,WISC6_STDZ_D!AL39-WISC6_STDZ_D!AL40),MAX(0,WISC6_STDZ_D!AL52-WISC6_STDZ_D!AL53),MAX(0,WISC6_STDZ_D!AL65-WISC6_STDZ_D!AL66),MAX(0,WISC6_STDZ_D!AL78-WISC6_STDZ_D!AL79),MAX(0,WISC6_STDZ_D!AL91-WISC6_STDZ_D!AL92),MAX(0,WISC6_STDZ_D!AL104-WISC6_STDZ_D!AL105),MAX(0,WISC6_STDZ_D!AL117-WISC6_STDZ_D!AL118),MAX(0,WISC6_STDZ_D!AL130-WISC6_STDZ_D!AL131),MAX(0,WISC6_STDZ_D!AL143-WISC6_STDZ_D!AL144))</f>
        <v>113</v>
      </c>
      <c r="C6" s="441" t="s">
        <v>409</v>
      </c>
      <c r="D6" s="442">
        <f>B6*VLOOKUP("WISC6_D",$I$6:$K$19,2,FALSE)</f>
        <v>28250</v>
      </c>
      <c r="E6" s="442">
        <f>B6*VLOOKUP("WISC6_D",$I$6:$K$19,3,FALSE)</f>
        <v>11300</v>
      </c>
      <c r="F6" s="372"/>
      <c r="G6" s="380" t="s">
        <v>410</v>
      </c>
      <c r="H6" s="380"/>
      <c r="I6" s="380" t="s">
        <v>406</v>
      </c>
      <c r="J6" s="384">
        <v>400</v>
      </c>
      <c r="K6" s="384">
        <v>220</v>
      </c>
    </row>
    <row r="7" spans="1:11" ht="16.5" thickBot="1">
      <c r="A7" s="441" t="s">
        <v>106</v>
      </c>
      <c r="B7" s="443">
        <f>SUM(MAX(0,R_WISC6_STDZ_P!W12-R_WISC6_STDZ_P!W13),MAX(0,R_WISC6_STDZ_P!W26-R_WISC6_STDZ_P!W27),MAX(0,R_WISC6_STDZ_P!W40-R_WISC6_STDZ_P!W41),MAX(0,R_WISC6_STDZ_P!W54-R_WISC6_STDZ_P!W55),MAX(0,R_WISC6_STDZ_P!W68-R_WISC6_STDZ_P!W69),MAX(0,R_WISC6_STDZ_P!W82-R_WISC6_STDZ_P!W83),MAX(0,R_WISC6_STDZ_P!W96-R_WISC6_STDZ_P!W97),MAX(0,R_WISC6_STDZ_P!W110-R_WISC6_STDZ_P!W111),MAX(0,R_WISC6_STDZ_P!W124-R_WISC6_STDZ_P!W125),MAX(0,R_WISC6_STDZ_P!W138-R_WISC6_STDZ_P!W139),MAX(0,R_WISC6_STDZ_P!W152-R_WISC6_STDZ_P!W153))</f>
        <v>1</v>
      </c>
      <c r="C7" s="441" t="s">
        <v>411</v>
      </c>
      <c r="D7" s="442">
        <f>B7*VLOOKUP("R_WISC6_P",$I$6:$K$19,2,FALSE)</f>
        <v>400</v>
      </c>
      <c r="E7" s="442">
        <f>B7*VLOOKUP("R_WISC6_P",$I$6:$K$19,3,FALSE)</f>
        <v>220</v>
      </c>
      <c r="F7" s="372"/>
      <c r="G7" s="385" t="s">
        <v>412</v>
      </c>
      <c r="H7" s="385"/>
      <c r="I7" s="385" t="s">
        <v>411</v>
      </c>
      <c r="J7" s="386">
        <v>400</v>
      </c>
      <c r="K7" s="386">
        <v>220</v>
      </c>
    </row>
    <row r="8" spans="1:11">
      <c r="A8" s="441" t="s">
        <v>111</v>
      </c>
      <c r="B8" s="443">
        <f>SUM(MAX(0,R_WISC6_STDZ_D!W12-R_WISC6_STDZ_D!W13),MAX(0,R_WISC6_STDZ_D!W21-R_WISC6_STDZ_D!W22),MAX(0,R_WISC6_STDZ_D!W30-R_WISC6_STDZ_D!W31))</f>
        <v>19</v>
      </c>
      <c r="C8" s="441" t="s">
        <v>413</v>
      </c>
      <c r="D8" s="442">
        <f>B8*VLOOKUP("RC_WISC6_D",$I$6:$K$19,2,FALSE)</f>
        <v>950</v>
      </c>
      <c r="E8" s="442">
        <f>B8*VLOOKUP("RC_WISC6_D",$I$6:$K$19,3,FALSE)</f>
        <v>950</v>
      </c>
      <c r="F8" s="372"/>
      <c r="G8" s="380" t="s">
        <v>414</v>
      </c>
      <c r="H8" s="380"/>
      <c r="I8" s="380" t="s">
        <v>409</v>
      </c>
      <c r="J8" s="384">
        <v>250</v>
      </c>
      <c r="K8" s="384">
        <v>100</v>
      </c>
    </row>
    <row r="9" spans="1:11" ht="16.5" thickBot="1">
      <c r="A9" s="441" t="s">
        <v>123</v>
      </c>
      <c r="B9" s="443">
        <f>SUM(MAX(0,V_WAIS5_P!W12-V_WAIS5_P!W13))</f>
        <v>0</v>
      </c>
      <c r="C9" s="441" t="s">
        <v>415</v>
      </c>
      <c r="D9" s="442">
        <f>B9*(VLOOKUP("WISC6_P",$I$6:$K$19,2,FALSE)+VLOOKUP("WAIS5_P",$I$6:$K$19,2,FALSE))</f>
        <v>0</v>
      </c>
      <c r="E9" s="442">
        <f>B9*(VLOOKUP("WISC6_P",$I$6:$K$19,3,FALSE)+VLOOKUP("WAIS5_P",$I$6:$K$19,3,FALSE))</f>
        <v>0</v>
      </c>
      <c r="F9" s="372"/>
      <c r="G9" s="385" t="s">
        <v>416</v>
      </c>
      <c r="H9" s="385"/>
      <c r="I9" s="385" t="s">
        <v>413</v>
      </c>
      <c r="J9" s="386">
        <v>50</v>
      </c>
      <c r="K9" s="386">
        <v>50</v>
      </c>
    </row>
    <row r="10" spans="1:11">
      <c r="A10" s="441" t="s">
        <v>127</v>
      </c>
      <c r="B10" s="443">
        <f>SUM(MAX(0,V_WIAT4_P!AI12-V_WIAT4_P!AI13),MAX(0,V_WIAT4_P!AI26-V_WIAT4_P!AI27),MAX(0,V_WIAT4_P!AI40-V_WIAT4_P!AI41),MAX(0,V_WIAT4_P!AI54-V_WIAT4_P!AI55),MAX(0,V_WIAT4_P!AI68-V_WIAT4_P!AI69),MAX(0,V_WIAT4_P!AI82-V_WIAT4_P!AI83),MAX(0,V_WIAT4_P!AI96-V_WIAT4_P!AI97),MAX(0,V_WIAT4_P!AI110-V_WIAT4_P!AI111),MAX(0,V_WIAT4_P!AI124-V_WIAT4_P!AI125),MAX(0,V_WIAT4_P!AI138-V_WIAT4_P!AI139),MAX(0,V_WIAT4_P!AI152-V_WIAT4_P!AI153))</f>
        <v>3</v>
      </c>
      <c r="C10" s="441" t="s">
        <v>417</v>
      </c>
      <c r="D10" s="442">
        <f>B10*(VLOOKUP("WISC6_P",$I$6:$K$19,2,FALSE)+VLOOKUP("WIAT4_P",$I$6:$K$19,2,FALSE))</f>
        <v>1950</v>
      </c>
      <c r="E10" s="442">
        <f>B10*(VLOOKUP("WISC6_P",$I$6:$K$19,3,FALSE)+VLOOKUP("WIAT4_P",$I$6:$K$19,3,FALSE))</f>
        <v>960</v>
      </c>
      <c r="F10" s="372"/>
      <c r="G10" s="380" t="s">
        <v>418</v>
      </c>
      <c r="H10" s="380"/>
      <c r="I10" s="380" t="s">
        <v>419</v>
      </c>
      <c r="J10" s="384">
        <v>250</v>
      </c>
      <c r="K10" s="384">
        <v>100</v>
      </c>
    </row>
    <row r="11" spans="1:11">
      <c r="A11" s="441" t="s">
        <v>131</v>
      </c>
      <c r="B11" s="443">
        <f>SUM(MAX(0,V_KTEA3_P!AJ12-V_KTEA3_P!AJ13),MAX(0,V_KTEA3_P!AJ26-V_KTEA3_P!AJ27),MAX(0,V_KTEA3_P!AJ40-V_KTEA3_P!AJ41),MAX(0,V_KTEA3_P!AJ54-V_KTEA3_P!AJ55),MAX(0,V_KTEA3_P!AJ68-V_KTEA3_P!AJ69),MAX(0,V_KTEA3_P!AJ82-V_KTEA3_P!AJ83),MAX(0,V_KTEA3_P!AJ96-V_KTEA3_P!AJ97),MAX(0,V_KTEA3_P!AJ110-V_KTEA3_P!AJ111),MAX(0,V_KTEA3_P!AJ124-V_KTEA3_P!AJ125),MAX(0,V_KTEA3_P!AJ138-V_KTEA3_P!AJ139),MAX(0,V_KTEA3_P!AJ152-V_KTEA3_P!AJ153))</f>
        <v>9</v>
      </c>
      <c r="C11" s="441" t="s">
        <v>420</v>
      </c>
      <c r="D11" s="442">
        <f>B11*(VLOOKUP("WISC6_P",$I$6:$K$19,2,FALSE)+VLOOKUP("KTEA3_P",$I$6:$K$19,2,FALSE))</f>
        <v>5850</v>
      </c>
      <c r="E11" s="442">
        <f>B11*(VLOOKUP("WISC6_P",$I$6:$K$19,3,FALSE)+VLOOKUP("KTEA3_P",$I$6:$K$19,3,FALSE))</f>
        <v>2880</v>
      </c>
      <c r="F11" s="372"/>
      <c r="G11" s="380" t="s">
        <v>421</v>
      </c>
      <c r="H11" s="380"/>
      <c r="I11" s="380" t="s">
        <v>422</v>
      </c>
      <c r="J11" s="384">
        <v>175</v>
      </c>
      <c r="K11" s="384">
        <v>75</v>
      </c>
    </row>
    <row r="12" spans="1:11">
      <c r="A12" s="441" t="s">
        <v>119</v>
      </c>
      <c r="B12" s="443">
        <f>SUM(MAX(0,V_WPPSI4_P!AI12-V_WPPSI4_P!AI13),MAX(0,V_WPPSI4_P!AI26-V_WPPSI4_P!AI27))</f>
        <v>1</v>
      </c>
      <c r="C12" s="441" t="s">
        <v>423</v>
      </c>
      <c r="D12" s="442">
        <f>B12*(VLOOKUP("WISC6_P",$I$6:$K$19,2,FALSE)+VLOOKUP("WPPSI4_P",$I$6:$K$19,2,FALSE))</f>
        <v>575</v>
      </c>
      <c r="E12" s="442">
        <f>B12*(VLOOKUP("WISC6_P",$I$6:$K$19,3,FALSE)+VLOOKUP("WPPSI4_P",$I$6:$K$19,3,FALSE))</f>
        <v>295</v>
      </c>
      <c r="F12" s="372"/>
      <c r="G12" s="380" t="s">
        <v>424</v>
      </c>
      <c r="H12" s="380"/>
      <c r="I12" s="380" t="s">
        <v>425</v>
      </c>
      <c r="J12" s="384">
        <v>250</v>
      </c>
      <c r="K12" s="384">
        <v>100</v>
      </c>
    </row>
    <row r="13" spans="1:11">
      <c r="A13" s="441" t="s">
        <v>115</v>
      </c>
      <c r="B13" s="443">
        <f>SUM(MAX(0,V_WISC5P_P!AI12-V_WISC5P_P!AI13),MAX(0,V_WISC5P_P!AI26-V_WISC5P_P!AI27),MAX(0,V_WISC5P_P!AI40-V_WISC5P_P!AI41),MAX(0,V_WISC5P_P!AI54-V_WISC5P_P!AI55),MAX(0,V_WISC5P_P!AI68-V_WISC5P_P!AI69),MAX(0,V_WISC5P_P!AI82-V_WISC5P_P!AI83),MAX(0,V_WISC5P_P!AI96-V_WISC5P_P!AI97),MAX(0,V_WISC5P_P!AI110-V_WISC5P_P!AI111),MAX(0,V_WISC5P_P!AI124-V_WISC5P_P!AI125),MAX(0,V_WISC5P_P!AI138-V_WISC5P_P!AI139),MAX(0,V_WISC5P_P!AI152-V_WISC5P_P!AI153))</f>
        <v>5</v>
      </c>
      <c r="C13" s="441" t="s">
        <v>426</v>
      </c>
      <c r="D13" s="442">
        <f>B13*(VLOOKUP("WISC6_P",$I$6:$K$19,2,FALSE)+VLOOKUP("WISC5P_P",$I$6:$K$19,2,FALSE))</f>
        <v>3250</v>
      </c>
      <c r="E13" s="442">
        <f>B13*(VLOOKUP("WISC6_P",$I$6:$K$19,3,FALSE)+VLOOKUP("WISC5P_P",$I$6:$K$19,3,FALSE))</f>
        <v>1600</v>
      </c>
      <c r="F13" s="372"/>
      <c r="G13" s="380" t="s">
        <v>427</v>
      </c>
      <c r="H13" s="380"/>
      <c r="I13" s="380" t="s">
        <v>428</v>
      </c>
      <c r="J13" s="384">
        <v>250</v>
      </c>
      <c r="K13" s="384">
        <v>100</v>
      </c>
    </row>
    <row r="14" spans="1:11" ht="16.5" thickBot="1">
      <c r="A14" s="441" t="s">
        <v>139</v>
      </c>
      <c r="B14" s="443">
        <f>SUM(MAX(0,CB_WPPSI4_P!AI12-CB_WPPSI4_P!AI13),MAX(0,CB_WPPSI4_P!AI21-CB_WPPSI4_P!AI22))</f>
        <v>7</v>
      </c>
      <c r="C14" s="441" t="s">
        <v>423</v>
      </c>
      <c r="D14" s="442">
        <f>B14*(VLOOKUP("WISC6_P",$I$6:$K$19,2,FALSE)+VLOOKUP("WPPSI4_P",$I$6:$K$19,2,FALSE))</f>
        <v>4025</v>
      </c>
      <c r="E14" s="442">
        <f>B14*(VLOOKUP("WISC6_P",$I$6:$K$19,3,FALSE)+VLOOKUP("WPPSI4_P",$I$6:$K$19,3,FALSE))</f>
        <v>2065</v>
      </c>
      <c r="F14" s="372"/>
      <c r="G14" s="385" t="s">
        <v>429</v>
      </c>
      <c r="H14" s="385"/>
      <c r="I14" s="385" t="s">
        <v>430</v>
      </c>
      <c r="J14" s="386">
        <v>250</v>
      </c>
      <c r="K14" s="386">
        <v>100</v>
      </c>
    </row>
    <row r="15" spans="1:11">
      <c r="A15" s="441" t="s">
        <v>135</v>
      </c>
      <c r="B15" s="443">
        <f>SUM(MAX(0,CB_WISC5P_P!AI12-CB_WISC5P_P!AI13),MAX(0,CB_WISC5P_P!AI21-CB_WISC5P_P!AI22),MAX(0,CB_WISC5P_P!AI30-CB_WISC5P_P!AI31),MAX(0,CB_WISC5P_P!AI39-CB_WISC5P_P!AI40),MAX(0,CB_WISC5P_P!AI48-CB_WISC5P_P!AI49),MAX(0,CB_WISC5P_P!AI57-CB_WISC5P_P!AI58),MAX(0,CB_WISC5P_P!AI66-CB_WISC5P_P!AI67),MAX(0,CB_WISC5P_P!AI75-CB_WISC5P_P!AI76),MAX(0,CB_WISC5P_P!AI84-CB_WISC5P_P!AI85),MAX(0,CB_WISC5P_P!AI93-CB_WISC5P_P!AI94),MAX(0,CB_WISC5P_P!AI102-CB_WISC5P_P!AI103))</f>
        <v>5</v>
      </c>
      <c r="C15" s="441" t="s">
        <v>426</v>
      </c>
      <c r="D15" s="442">
        <f>B15*(VLOOKUP("WISC6_P",$I$6:$K$19,2,FALSE)+VLOOKUP("WISC5P_P",$I$6:$K$19,2,FALSE))</f>
        <v>3250</v>
      </c>
      <c r="E15" s="442">
        <f>B15*(VLOOKUP("WISC6_P",$I$6:$K$19,3,FALSE)+VLOOKUP("WISC5P_P",$I$6:$K$19,3,FALSE))</f>
        <v>1600</v>
      </c>
      <c r="F15" s="372"/>
      <c r="G15" s="380" t="s">
        <v>431</v>
      </c>
      <c r="H15" s="380"/>
      <c r="I15" s="380" t="s">
        <v>432</v>
      </c>
      <c r="J15" s="384">
        <v>25</v>
      </c>
      <c r="K15" s="384">
        <v>50</v>
      </c>
    </row>
    <row r="16" spans="1:11">
      <c r="A16" s="441" t="s">
        <v>143</v>
      </c>
      <c r="B16" s="443">
        <f>SUM(MAX(0,CB_WAIS5_P!W12-CB_WAIS5_P!W13))</f>
        <v>11</v>
      </c>
      <c r="C16" s="441" t="s">
        <v>415</v>
      </c>
      <c r="D16" s="442">
        <f>B16*(VLOOKUP("WISC6_P",$I$6:$K$19,2,FALSE)+VLOOKUP("WAIS5_P",$I$6:$K$19,2,FALSE))</f>
        <v>7150</v>
      </c>
      <c r="E16" s="442">
        <f>B16*(VLOOKUP("WISC6_P",$I$6:$K$19,3,FALSE)+VLOOKUP("WAIS5_P",$I$6:$K$19,3,FALSE))</f>
        <v>3520</v>
      </c>
      <c r="F16" s="372"/>
      <c r="G16" s="380" t="s">
        <v>433</v>
      </c>
      <c r="H16" s="380"/>
      <c r="I16" s="380" t="s">
        <v>434</v>
      </c>
      <c r="J16" s="384">
        <v>25</v>
      </c>
      <c r="K16" s="384">
        <v>30</v>
      </c>
    </row>
    <row r="17" spans="1:11">
      <c r="A17" s="368" t="s">
        <v>435</v>
      </c>
      <c r="B17" s="368">
        <f>SUM(B5:B16)</f>
        <v>225</v>
      </c>
      <c r="C17" s="368"/>
      <c r="D17" s="369">
        <f>SUM(D5:D16)</f>
        <v>76050</v>
      </c>
      <c r="E17" s="369">
        <f>SUM(E5:E16)</f>
        <v>36610</v>
      </c>
      <c r="F17" s="372"/>
      <c r="G17" s="380" t="s">
        <v>436</v>
      </c>
      <c r="H17" s="380"/>
      <c r="I17" s="380" t="s">
        <v>437</v>
      </c>
      <c r="J17" s="384">
        <v>25</v>
      </c>
      <c r="K17" s="384">
        <v>30</v>
      </c>
    </row>
    <row r="18" spans="1:11">
      <c r="F18" s="373"/>
      <c r="G18" s="380" t="s">
        <v>438</v>
      </c>
      <c r="H18" s="380"/>
      <c r="I18" s="380" t="s">
        <v>439</v>
      </c>
      <c r="J18" s="384">
        <v>125</v>
      </c>
      <c r="K18" s="384">
        <v>90</v>
      </c>
    </row>
    <row r="19" spans="1:11" ht="16.5" thickBot="1">
      <c r="G19" s="385" t="s">
        <v>440</v>
      </c>
      <c r="H19" s="385"/>
      <c r="I19" s="385" t="s">
        <v>441</v>
      </c>
      <c r="J19" s="386">
        <v>125</v>
      </c>
      <c r="K19" s="386">
        <v>90</v>
      </c>
    </row>
    <row r="20" spans="1:11">
      <c r="A20" s="596" t="s">
        <v>442</v>
      </c>
      <c r="B20" s="596"/>
    </row>
    <row r="21" spans="1:11">
      <c r="A21" s="364" t="s">
        <v>400</v>
      </c>
      <c r="B21" s="364" t="s">
        <v>443</v>
      </c>
      <c r="C21" s="364"/>
      <c r="D21" s="364" t="s">
        <v>444</v>
      </c>
      <c r="E21" s="364" t="s">
        <v>445</v>
      </c>
    </row>
    <row r="22" spans="1:11" ht="18.75">
      <c r="A22" s="444" t="s">
        <v>100</v>
      </c>
      <c r="B22" s="445">
        <f>SUM(MAX(0,ROUNDUP(SUM(WISC6_STDZ_P!E13,WISC6_STDZ_P!J13,WISC6_STDZ_P!O13,WISC6_STDZ_P!T13,WISC6_STDZ_P!Y13),0)-SUM(WISC6_STDZ_P!E14,WISC6_STDZ_P!J14,WISC6_STDZ_P!O14,WISC6_STDZ_P!T14,WISC6_STDZ_P!Y14)),MAX(0,ROUNDUP(SUM(WISC6_STDZ_P!E26,WISC6_STDZ_P!J26,WISC6_STDZ_P!O26,WISC6_STDZ_P!T26,WISC6_STDZ_P!Y26),0)-SUM(WISC6_STDZ_P!E27,WISC6_STDZ_P!J27,WISC6_STDZ_P!O27,WISC6_STDZ_P!T27,WISC6_STDZ_P!Y27)),MAX(0,ROUNDUP(SUM(WISC6_STDZ_P!E40,WISC6_STDZ_P!J40,WISC6_STDZ_P!O40,WISC6_STDZ_P!T40,WISC6_STDZ_P!Y40),0)-SUM(WISC6_STDZ_P!E41,WISC6_STDZ_P!J41,WISC6_STDZ_P!O41,WISC6_STDZ_P!T41,WISC6_STDZ_P!Y41)),MAX(0,ROUNDUP(SUM(WISC6_STDZ_P!E53,WISC6_STDZ_P!J53,WISC6_STDZ_P!O53,WISC6_STDZ_P!T53,WISC6_STDZ_P!Y53),0)-SUM(WISC6_STDZ_P!E54,WISC6_STDZ_P!J54,WISC6_STDZ_P!O54,WISC6_STDZ_P!T54,WISC6_STDZ_P!Y54)),MAX(0,ROUNDUP(SUM(WISC6_STDZ_P!E66,WISC6_STDZ_P!J66,WISC6_STDZ_P!O66,WISC6_STDZ_P!T66,WISC6_STDZ_P!Y66),0)-SUM(WISC6_STDZ_P!E67,WISC6_STDZ_P!J67,WISC6_STDZ_P!O67,WISC6_STDZ_P!T67,WISC6_STDZ_P!Y67)),MAX(0,ROUNDUP(SUM(WISC6_STDZ_P!E79,WISC6_STDZ_P!J79,WISC6_STDZ_P!O79,WISC6_STDZ_P!T79,WISC6_STDZ_P!Y79),0)-SUM(WISC6_STDZ_P!E80,WISC6_STDZ_P!J80,WISC6_STDZ_P!O80,WISC6_STDZ_P!T80,WISC6_STDZ_P!Y80)),MAX(0,ROUNDUP(SUM(WISC6_STDZ_P!E92,WISC6_STDZ_P!J92,WISC6_STDZ_P!O92,WISC6_STDZ_P!T92,WISC6_STDZ_P!Y92),0)-SUM(WISC6_STDZ_P!E93,WISC6_STDZ_P!J93,WISC6_STDZ_P!O93,WISC6_STDZ_P!T93,WISC6_STDZ_P!Y93)),MAX(0,ROUNDUP(SUM(WISC6_STDZ_P!E105,WISC6_STDZ_P!J105,WISC6_STDZ_P!O105,WISC6_STDZ_P!T105,WISC6_STDZ_P!Y105),0)-SUM(WISC6_STDZ_P!E106,WISC6_STDZ_P!J106,WISC6_STDZ_P!O106,WISC6_STDZ_P!T106,WISC6_STDZ_P!Y106)),MAX(0,ROUNDUP(SUM(WISC6_STDZ_P!E118,WISC6_STDZ_P!J118,WISC6_STDZ_P!O118,WISC6_STDZ_P!T118,WISC6_STDZ_P!Y118),0)-SUM(WISC6_STDZ_P!E119,WISC6_STDZ_P!J119,WISC6_STDZ_P!O119,WISC6_STDZ_P!T119,WISC6_STDZ_P!Y119)),MAX(0,ROUNDUP(SUM(WISC6_STDZ_P!E131,WISC6_STDZ_P!J131,WISC6_STDZ_P!O131,WISC6_STDZ_P!T131,WISC6_STDZ_P!Y131),0)-SUM(WISC6_STDZ_P!E132,WISC6_STDZ_P!J132,WISC6_STDZ_P!O132,WISC6_STDZ_P!T132,WISC6_STDZ_P!Y132)),MAX(0,ROUNDUP(SUM(WISC6_STDZ_P!E144,WISC6_STDZ_P!J144,WISC6_STDZ_P!O144,WISC6_STDZ_P!T144,WISC6_STDZ_P!Y144),0)-SUM(WISC6_STDZ_P!E145,WISC6_STDZ_P!J145,WISC6_STDZ_P!O145,WISC6_STDZ_P!T145,WISC6_STDZ_P!Y145)))</f>
        <v>15</v>
      </c>
      <c r="C22" s="444"/>
      <c r="D22" s="446">
        <f>B22*VLOOKUP(A22,$I$24:$K$25,2,FALSE)</f>
        <v>375</v>
      </c>
      <c r="E22" s="446">
        <f>B22*VLOOKUP(A22,$I$24:$K$25,3,FALSE)</f>
        <v>375</v>
      </c>
      <c r="G22" s="367" t="s">
        <v>446</v>
      </c>
      <c r="H22" s="366"/>
      <c r="I22" s="366"/>
      <c r="J22" s="366"/>
      <c r="K22" s="366"/>
    </row>
    <row r="23" spans="1:11" ht="26.25">
      <c r="A23" s="444" t="s">
        <v>103</v>
      </c>
      <c r="B23" s="445">
        <f>SUM(MAX(0,ROUNDUP(SUM(WISC6_STDZ_D!E13,WISC6_STDZ_D!J13,WISC6_STDZ_D!O13,WISC6_STDZ_D!T13,WISC6_STDZ_D!Y13),0)-SUM(WISC6_STDZ_D!E14,WISC6_STDZ_D!J14,WISC6_STDZ_D!O14,WISC6_STDZ_D!T14,WISC6_STDZ_D!Y14)),MAX(0,ROUNDUP(SUM(WISC6_STDZ_D!E26,WISC6_STDZ_D!J26,WISC6_STDZ_D!O26,WISC6_STDZ_D!T26,WISC6_STDZ_D!Y26),0)-SUM(WISC6_STDZ_D!E27,WISC6_STDZ_D!J27,WISC6_STDZ_D!O27,WISC6_STDZ_D!T27,WISC6_STDZ_D!Y27)),MAX(0,ROUNDUP(SUM(WISC6_STDZ_D!E39,WISC6_STDZ_D!J39,WISC6_STDZ_D!O39,WISC6_STDZ_D!T39,WISC6_STDZ_D!Y39),0)-SUM(WISC6_STDZ_D!E40,WISC6_STDZ_D!J40,WISC6_STDZ_D!O40,WISC6_STDZ_D!T40,WISC6_STDZ_D!Y40)),MAX(0,ROUNDUP(SUM(WISC6_STDZ_D!E52,WISC6_STDZ_D!J52,WISC6_STDZ_D!O52,WISC6_STDZ_D!T52,WISC6_STDZ_D!Y52),0)-SUM(WISC6_STDZ_D!E53,WISC6_STDZ_D!J53,WISC6_STDZ_D!O53,WISC6_STDZ_D!T53,WISC6_STDZ_D!Y53)),MAX(0,ROUNDUP(SUM(WISC6_STDZ_D!E65,WISC6_STDZ_D!J65,WISC6_STDZ_D!O65,WISC6_STDZ_D!T65,WISC6_STDZ_D!Y65),0)-SUM(WISC6_STDZ_D!E66,WISC6_STDZ_D!J66,WISC6_STDZ_D!O66,WISC6_STDZ_D!T66,WISC6_STDZ_D!Y66)),MAX(0,ROUNDUP(SUM(WISC6_STDZ_D!E78,WISC6_STDZ_D!J78,WISC6_STDZ_D!O78,WISC6_STDZ_D!T78,WISC6_STDZ_D!Y78),0)-SUM(WISC6_STDZ_D!E79,WISC6_STDZ_D!J79,WISC6_STDZ_D!O79,WISC6_STDZ_D!T79,WISC6_STDZ_D!Y79)),MAX(0,ROUNDUP(SUM(WISC6_STDZ_D!E91,WISC6_STDZ_D!J91,WISC6_STDZ_D!O91,WISC6_STDZ_D!T91,WISC6_STDZ_D!Y91),0)-SUM(WISC6_STDZ_D!E92,WISC6_STDZ_D!J92,WISC6_STDZ_D!O92,WISC6_STDZ_D!T92,WISC6_STDZ_D!Y92)),MAX(0,ROUNDUP(SUM(WISC6_STDZ_D!E104,WISC6_STDZ_D!J104,WISC6_STDZ_D!O104,WISC6_STDZ_D!T104,WISC6_STDZ_D!Y104),0)-SUM(WISC6_STDZ_D!E105,WISC6_STDZ_D!J105,WISC6_STDZ_D!O105,WISC6_STDZ_D!T105,WISC6_STDZ_D!Y105)),MAX(0,ROUNDUP(SUM(WISC6_STDZ_D!E117,WISC6_STDZ_D!J117,WISC6_STDZ_D!O117,WISC6_STDZ_D!T117,WISC6_STDZ_D!Y117),0)-SUM(WISC6_STDZ_D!E118,WISC6_STDZ_D!J118,WISC6_STDZ_D!O118,WISC6_STDZ_D!T118,WISC6_STDZ_D!Y118)),MAX(0,ROUNDUP(SUM(WISC6_STDZ_D!E130,WISC6_STDZ_D!J130,WISC6_STDZ_D!O130,WISC6_STDZ_D!T130,WISC6_STDZ_D!Y130),0)-SUM(WISC6_STDZ_D!E131,WISC6_STDZ_D!J131,WISC6_STDZ_D!O131,WISC6_STDZ_D!T131,WISC6_STDZ_D!Y131)),MAX(0,ROUNDUP(SUM(WISC6_STDZ_D!E143,WISC6_STDZ_D!J143,WISC6_STDZ_D!O143,WISC6_STDZ_D!T143,WISC6_STDZ_D!Y143),0)-SUM(WISC6_STDZ_D!E144,WISC6_STDZ_D!J144,WISC6_STDZ_D!O144,WISC6_STDZ_D!T144,WISC6_STDZ_D!Y144)))</f>
        <v>12</v>
      </c>
      <c r="C23" s="444"/>
      <c r="D23" s="446">
        <f>B23*VLOOKUP(A23,$I$24:$K$25,2,FALSE)</f>
        <v>300</v>
      </c>
      <c r="E23" s="446">
        <f>B23*VLOOKUP(A23,$I$24:$K$25,3,FALSE)</f>
        <v>300</v>
      </c>
      <c r="G23" s="597" t="s">
        <v>447</v>
      </c>
      <c r="H23" s="597"/>
      <c r="I23" s="387" t="s">
        <v>408</v>
      </c>
      <c r="J23" s="379" t="s">
        <v>448</v>
      </c>
      <c r="K23" s="379" t="s">
        <v>449</v>
      </c>
    </row>
    <row r="24" spans="1:11" ht="15.6" customHeight="1">
      <c r="A24" s="365" t="s">
        <v>450</v>
      </c>
      <c r="B24" s="389">
        <f>SUM(B22:B23)</f>
        <v>27</v>
      </c>
      <c r="C24" s="365"/>
      <c r="D24" s="374">
        <f>SUM(D22:D23)</f>
        <v>675</v>
      </c>
      <c r="E24" s="374">
        <f>SUM(E22:E23)</f>
        <v>675</v>
      </c>
      <c r="G24" s="594" t="s">
        <v>451</v>
      </c>
      <c r="H24" s="594"/>
      <c r="I24" s="380" t="s">
        <v>100</v>
      </c>
      <c r="J24" s="381">
        <v>25</v>
      </c>
      <c r="K24" s="381">
        <v>25</v>
      </c>
    </row>
    <row r="25" spans="1:11" ht="15.6" customHeight="1">
      <c r="G25" s="594" t="s">
        <v>452</v>
      </c>
      <c r="H25" s="594"/>
      <c r="I25" s="380" t="s">
        <v>103</v>
      </c>
      <c r="J25" s="381">
        <v>25</v>
      </c>
      <c r="K25" s="381">
        <v>25</v>
      </c>
    </row>
    <row r="26" spans="1:11" ht="32.1" customHeight="1">
      <c r="A26" s="363" t="s">
        <v>453</v>
      </c>
      <c r="B26" s="363"/>
      <c r="C26" s="363"/>
      <c r="D26" s="388" t="s">
        <v>454</v>
      </c>
      <c r="E26" s="388" t="s">
        <v>455</v>
      </c>
      <c r="G26" s="5"/>
      <c r="H26" s="5"/>
      <c r="I26" s="5"/>
      <c r="J26" s="5"/>
      <c r="K26" s="5"/>
    </row>
    <row r="27" spans="1:11">
      <c r="A27" s="444" t="s">
        <v>456</v>
      </c>
      <c r="B27" s="444"/>
      <c r="C27" s="444"/>
      <c r="D27" s="446">
        <f>D17</f>
        <v>76050</v>
      </c>
      <c r="E27" s="446">
        <f>E17</f>
        <v>36610</v>
      </c>
    </row>
    <row r="28" spans="1:11">
      <c r="A28" s="444" t="s">
        <v>457</v>
      </c>
      <c r="B28" s="444"/>
      <c r="C28" s="444"/>
      <c r="D28" s="446">
        <f>D24</f>
        <v>675</v>
      </c>
      <c r="E28" s="446">
        <f>E24</f>
        <v>675</v>
      </c>
    </row>
    <row r="29" spans="1:11">
      <c r="A29" s="375" t="s">
        <v>435</v>
      </c>
      <c r="B29" s="375"/>
      <c r="C29" s="375"/>
      <c r="D29" s="376">
        <f>D27+D28</f>
        <v>76725</v>
      </c>
      <c r="E29" s="376">
        <f>E27+E28</f>
        <v>37285</v>
      </c>
    </row>
  </sheetData>
  <mergeCells count="6">
    <mergeCell ref="G24:H24"/>
    <mergeCell ref="G25:H25"/>
    <mergeCell ref="A2:B2"/>
    <mergeCell ref="A20:B20"/>
    <mergeCell ref="G5:H5"/>
    <mergeCell ref="G23:H2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C890-087F-48E4-8BE3-9DA988D47B25}">
  <dimension ref="A1:G177"/>
  <sheetViews>
    <sheetView workbookViewId="0"/>
  </sheetViews>
  <sheetFormatPr defaultRowHeight="15.75"/>
  <cols>
    <col min="1" max="1" width="20.875" customWidth="1"/>
    <col min="2" max="2" width="13.375" customWidth="1"/>
    <col min="3" max="3" width="16.625" customWidth="1"/>
    <col min="4" max="6" width="10.875" customWidth="1"/>
    <col min="7" max="7" width="22.5" customWidth="1"/>
  </cols>
  <sheetData>
    <row r="1" spans="1:7" ht="23.25">
      <c r="A1" s="598" t="s">
        <v>458</v>
      </c>
      <c r="B1" s="598"/>
      <c r="C1" s="598"/>
      <c r="D1" s="598"/>
      <c r="E1" s="598"/>
      <c r="F1" s="598"/>
      <c r="G1" s="598"/>
    </row>
    <row r="2" spans="1:7">
      <c r="A2" s="599" t="s">
        <v>459</v>
      </c>
      <c r="B2" s="599"/>
      <c r="C2" s="599"/>
      <c r="D2" s="599"/>
      <c r="E2" s="599"/>
      <c r="F2" s="599"/>
      <c r="G2" s="599"/>
    </row>
    <row r="3" spans="1:7">
      <c r="A3" s="43" t="s">
        <v>460</v>
      </c>
      <c r="B3" s="390">
        <f>ROWS(BelowTargetEthEd[Age Band])</f>
        <v>172</v>
      </c>
    </row>
    <row r="5" spans="1:7">
      <c r="A5" s="391" t="s">
        <v>461</v>
      </c>
      <c r="B5" s="391" t="s">
        <v>351</v>
      </c>
      <c r="C5" s="391" t="s">
        <v>350</v>
      </c>
      <c r="D5" s="391" t="s">
        <v>306</v>
      </c>
      <c r="E5" s="391" t="s">
        <v>339</v>
      </c>
      <c r="F5" s="391" t="s">
        <v>462</v>
      </c>
      <c r="G5" s="391" t="s">
        <v>463</v>
      </c>
    </row>
    <row r="6" spans="1:7">
      <c r="A6" t="s">
        <v>65</v>
      </c>
      <c r="B6" t="s">
        <v>22</v>
      </c>
      <c r="C6">
        <v>1</v>
      </c>
      <c r="D6" s="392">
        <f>WISC6_STDZ_P!E13</f>
        <v>0.41</v>
      </c>
      <c r="E6" s="392">
        <f>WISC6_STDZ_P!E14</f>
        <v>0</v>
      </c>
      <c r="F6" s="392">
        <f t="shared" ref="F6:F37" si="0">D6-E6</f>
        <v>0.41</v>
      </c>
      <c r="G6" t="s">
        <v>464</v>
      </c>
    </row>
    <row r="7" spans="1:7">
      <c r="A7" t="s">
        <v>65</v>
      </c>
      <c r="B7" t="s">
        <v>22</v>
      </c>
      <c r="C7">
        <v>2</v>
      </c>
      <c r="D7" s="392">
        <f>WISC6_STDZ_P!F13</f>
        <v>0.42</v>
      </c>
      <c r="E7" s="392">
        <f>WISC6_STDZ_P!F14</f>
        <v>0</v>
      </c>
      <c r="F7" s="392">
        <f t="shared" si="0"/>
        <v>0.42</v>
      </c>
      <c r="G7" t="s">
        <v>465</v>
      </c>
    </row>
    <row r="8" spans="1:7">
      <c r="A8" t="s">
        <v>65</v>
      </c>
      <c r="B8" t="s">
        <v>22</v>
      </c>
      <c r="C8">
        <v>3</v>
      </c>
      <c r="D8" s="392">
        <f>WISC6_STDZ_P!G13</f>
        <v>0.98</v>
      </c>
      <c r="E8" s="392">
        <f>WISC6_STDZ_P!G14</f>
        <v>0</v>
      </c>
      <c r="F8" s="392">
        <f t="shared" si="0"/>
        <v>0.98</v>
      </c>
      <c r="G8" t="s">
        <v>466</v>
      </c>
    </row>
    <row r="9" spans="1:7">
      <c r="A9" t="s">
        <v>65</v>
      </c>
      <c r="B9" t="s">
        <v>36</v>
      </c>
      <c r="C9">
        <v>1</v>
      </c>
      <c r="D9" s="392">
        <f>WISC6_STDZ_P!J13</f>
        <v>0.39</v>
      </c>
      <c r="E9" s="392">
        <f>WISC6_STDZ_P!J14</f>
        <v>0</v>
      </c>
      <c r="F9" s="392">
        <f t="shared" si="0"/>
        <v>0.39</v>
      </c>
      <c r="G9" t="s">
        <v>467</v>
      </c>
    </row>
    <row r="10" spans="1:7">
      <c r="A10" t="s">
        <v>65</v>
      </c>
      <c r="B10" t="s">
        <v>36</v>
      </c>
      <c r="C10">
        <v>2</v>
      </c>
      <c r="D10" s="392">
        <f>WISC6_STDZ_P!K13</f>
        <v>1.48</v>
      </c>
      <c r="E10" s="392">
        <f>WISC6_STDZ_P!K14</f>
        <v>1</v>
      </c>
      <c r="F10" s="392">
        <f t="shared" si="0"/>
        <v>0.48</v>
      </c>
      <c r="G10" t="s">
        <v>468</v>
      </c>
    </row>
    <row r="11" spans="1:7">
      <c r="A11" t="s">
        <v>65</v>
      </c>
      <c r="B11" t="s">
        <v>36</v>
      </c>
      <c r="C11">
        <v>3</v>
      </c>
      <c r="D11" s="392">
        <f>WISC6_STDZ_P!L13</f>
        <v>7.01</v>
      </c>
      <c r="E11" s="392">
        <f>WISC6_STDZ_P!L14</f>
        <v>7</v>
      </c>
      <c r="F11" s="392">
        <f t="shared" si="0"/>
        <v>9.9999999999997868E-3</v>
      </c>
      <c r="G11" t="s">
        <v>469</v>
      </c>
    </row>
    <row r="12" spans="1:7">
      <c r="A12" t="s">
        <v>65</v>
      </c>
      <c r="B12" t="s">
        <v>36</v>
      </c>
      <c r="C12">
        <v>4</v>
      </c>
      <c r="D12" s="392">
        <f>WISC6_STDZ_P!M13</f>
        <v>9.06</v>
      </c>
      <c r="E12" s="392">
        <f>WISC6_STDZ_P!M14</f>
        <v>9</v>
      </c>
      <c r="F12" s="392">
        <f t="shared" si="0"/>
        <v>6.0000000000000497E-2</v>
      </c>
      <c r="G12" t="s">
        <v>470</v>
      </c>
    </row>
    <row r="13" spans="1:7">
      <c r="A13" t="s">
        <v>65</v>
      </c>
      <c r="B13" t="s">
        <v>24</v>
      </c>
      <c r="C13">
        <v>2</v>
      </c>
      <c r="D13" s="392">
        <f>WISC6_STDZ_P!P13</f>
        <v>5.43</v>
      </c>
      <c r="E13" s="392">
        <f>WISC6_STDZ_P!P14</f>
        <v>4</v>
      </c>
      <c r="F13" s="392">
        <f t="shared" si="0"/>
        <v>1.4299999999999997</v>
      </c>
      <c r="G13" t="s">
        <v>471</v>
      </c>
    </row>
    <row r="14" spans="1:7">
      <c r="A14" t="s">
        <v>65</v>
      </c>
      <c r="B14" t="s">
        <v>24</v>
      </c>
      <c r="C14">
        <v>5</v>
      </c>
      <c r="D14" s="392">
        <f>WISC6_STDZ_P!S13</f>
        <v>11</v>
      </c>
      <c r="E14" s="392">
        <f>WISC6_STDZ_P!S14</f>
        <v>10</v>
      </c>
      <c r="F14" s="392">
        <f t="shared" si="0"/>
        <v>1</v>
      </c>
      <c r="G14" t="s">
        <v>472</v>
      </c>
    </row>
    <row r="15" spans="1:7">
      <c r="A15" t="s">
        <v>65</v>
      </c>
      <c r="B15" t="s">
        <v>31</v>
      </c>
      <c r="C15">
        <v>1</v>
      </c>
      <c r="D15" s="392">
        <f>WISC6_STDZ_P!T13</f>
        <v>0.42</v>
      </c>
      <c r="E15" s="392">
        <f>WISC6_STDZ_P!T14</f>
        <v>1</v>
      </c>
      <c r="F15" s="392">
        <f t="shared" si="0"/>
        <v>-0.58000000000000007</v>
      </c>
      <c r="G15" t="s">
        <v>473</v>
      </c>
    </row>
    <row r="16" spans="1:7">
      <c r="A16" t="s">
        <v>65</v>
      </c>
      <c r="B16" t="s">
        <v>31</v>
      </c>
      <c r="C16">
        <v>2</v>
      </c>
      <c r="D16" s="392">
        <f>WISC6_STDZ_P!U13</f>
        <v>0.82</v>
      </c>
      <c r="E16" s="392">
        <f>WISC6_STDZ_P!U14</f>
        <v>1</v>
      </c>
      <c r="F16" s="392">
        <f t="shared" si="0"/>
        <v>-0.18000000000000005</v>
      </c>
      <c r="G16" t="s">
        <v>474</v>
      </c>
    </row>
    <row r="17" spans="1:7">
      <c r="A17" t="s">
        <v>65</v>
      </c>
      <c r="B17" t="s">
        <v>31</v>
      </c>
      <c r="C17">
        <v>3</v>
      </c>
      <c r="D17" s="392">
        <f>WISC6_STDZ_P!V13</f>
        <v>3.66</v>
      </c>
      <c r="E17" s="392">
        <f>WISC6_STDZ_P!V14</f>
        <v>3</v>
      </c>
      <c r="F17" s="392">
        <f t="shared" si="0"/>
        <v>0.66000000000000014</v>
      </c>
      <c r="G17" t="s">
        <v>475</v>
      </c>
    </row>
    <row r="18" spans="1:7">
      <c r="A18" t="s">
        <v>65</v>
      </c>
      <c r="B18" t="s">
        <v>31</v>
      </c>
      <c r="C18">
        <v>5</v>
      </c>
      <c r="D18" s="392">
        <f>WISC6_STDZ_P!X13</f>
        <v>8.6300000000000008</v>
      </c>
      <c r="E18" s="392">
        <f>WISC6_STDZ_P!X14</f>
        <v>8</v>
      </c>
      <c r="F18" s="392">
        <f t="shared" si="0"/>
        <v>0.63000000000000078</v>
      </c>
      <c r="G18" t="s">
        <v>476</v>
      </c>
    </row>
    <row r="19" spans="1:7">
      <c r="A19" t="s">
        <v>65</v>
      </c>
      <c r="B19" t="s">
        <v>39</v>
      </c>
      <c r="C19">
        <v>1</v>
      </c>
      <c r="D19" s="392">
        <f>WISC6_STDZ_P!Y13</f>
        <v>1.1200000000000001</v>
      </c>
      <c r="E19" s="392">
        <f>WISC6_STDZ_P!Y14</f>
        <v>0</v>
      </c>
      <c r="F19" s="392">
        <f t="shared" si="0"/>
        <v>1.1200000000000001</v>
      </c>
      <c r="G19" t="s">
        <v>477</v>
      </c>
    </row>
    <row r="20" spans="1:7">
      <c r="A20" t="s">
        <v>65</v>
      </c>
      <c r="B20" t="s">
        <v>39</v>
      </c>
      <c r="C20">
        <v>2</v>
      </c>
      <c r="D20" s="392">
        <f>WISC6_STDZ_P!Z13</f>
        <v>1.76</v>
      </c>
      <c r="E20" s="392">
        <f>WISC6_STDZ_P!Z14</f>
        <v>0</v>
      </c>
      <c r="F20" s="392">
        <f t="shared" si="0"/>
        <v>1.76</v>
      </c>
      <c r="G20" t="s">
        <v>478</v>
      </c>
    </row>
    <row r="21" spans="1:7">
      <c r="A21" t="s">
        <v>65</v>
      </c>
      <c r="B21" t="s">
        <v>39</v>
      </c>
      <c r="C21">
        <v>3</v>
      </c>
      <c r="D21" s="392">
        <f>WISC6_STDZ_P!AA13</f>
        <v>14.7</v>
      </c>
      <c r="E21" s="392">
        <f>WISC6_STDZ_P!AA14</f>
        <v>13</v>
      </c>
      <c r="F21" s="392">
        <f t="shared" si="0"/>
        <v>1.6999999999999993</v>
      </c>
      <c r="G21" t="s">
        <v>479</v>
      </c>
    </row>
    <row r="22" spans="1:7">
      <c r="A22" t="s">
        <v>65</v>
      </c>
      <c r="B22" t="s">
        <v>39</v>
      </c>
      <c r="C22">
        <v>4</v>
      </c>
      <c r="D22" s="392">
        <f>WISC6_STDZ_P!AB13</f>
        <v>31.08</v>
      </c>
      <c r="E22" s="392">
        <f>WISC6_STDZ_P!AB14</f>
        <v>31</v>
      </c>
      <c r="F22" s="392">
        <f t="shared" si="0"/>
        <v>7.9999999999998295E-2</v>
      </c>
      <c r="G22" t="s">
        <v>480</v>
      </c>
    </row>
    <row r="23" spans="1:7">
      <c r="A23" t="s">
        <v>40</v>
      </c>
      <c r="B23" t="s">
        <v>22</v>
      </c>
      <c r="C23">
        <v>1</v>
      </c>
      <c r="D23" s="392">
        <f>WISC6_STDZ_P!E26</f>
        <v>0.28000000000000003</v>
      </c>
      <c r="E23" s="392">
        <f>WISC6_STDZ_P!E27</f>
        <v>0</v>
      </c>
      <c r="F23" s="392">
        <f t="shared" si="0"/>
        <v>0.28000000000000003</v>
      </c>
      <c r="G23" t="s">
        <v>481</v>
      </c>
    </row>
    <row r="24" spans="1:7">
      <c r="A24" t="s">
        <v>40</v>
      </c>
      <c r="B24" t="s">
        <v>22</v>
      </c>
      <c r="C24">
        <v>2</v>
      </c>
      <c r="D24" s="392">
        <f>WISC6_STDZ_P!F26</f>
        <v>0.32</v>
      </c>
      <c r="E24" s="392">
        <f>WISC6_STDZ_P!F27</f>
        <v>0</v>
      </c>
      <c r="F24" s="392">
        <f t="shared" si="0"/>
        <v>0.32</v>
      </c>
      <c r="G24" t="s">
        <v>482</v>
      </c>
    </row>
    <row r="25" spans="1:7">
      <c r="A25" t="s">
        <v>40</v>
      </c>
      <c r="B25" t="s">
        <v>22</v>
      </c>
      <c r="C25">
        <v>5</v>
      </c>
      <c r="D25" s="392">
        <f>WISC6_STDZ_P!I26</f>
        <v>6.48</v>
      </c>
      <c r="E25" s="392">
        <f>WISC6_STDZ_P!I27</f>
        <v>6</v>
      </c>
      <c r="F25" s="392">
        <f t="shared" si="0"/>
        <v>0.48000000000000043</v>
      </c>
      <c r="G25" t="s">
        <v>483</v>
      </c>
    </row>
    <row r="26" spans="1:7">
      <c r="A26" t="s">
        <v>40</v>
      </c>
      <c r="B26" t="s">
        <v>36</v>
      </c>
      <c r="C26">
        <v>1</v>
      </c>
      <c r="D26" s="392">
        <f>WISC6_STDZ_P!J26</f>
        <v>0.47</v>
      </c>
      <c r="E26" s="392">
        <f>WISC6_STDZ_P!J27</f>
        <v>0</v>
      </c>
      <c r="F26" s="392">
        <f t="shared" si="0"/>
        <v>0.47</v>
      </c>
      <c r="G26" t="s">
        <v>484</v>
      </c>
    </row>
    <row r="27" spans="1:7">
      <c r="A27" t="s">
        <v>40</v>
      </c>
      <c r="B27" t="s">
        <v>24</v>
      </c>
      <c r="C27">
        <v>1</v>
      </c>
      <c r="D27" s="392">
        <f>WISC6_STDZ_P!O26</f>
        <v>3.25</v>
      </c>
      <c r="E27" s="392">
        <f>WISC6_STDZ_P!O27</f>
        <v>3</v>
      </c>
      <c r="F27" s="392">
        <f t="shared" si="0"/>
        <v>0.25</v>
      </c>
      <c r="G27" t="s">
        <v>485</v>
      </c>
    </row>
    <row r="28" spans="1:7">
      <c r="A28" t="s">
        <v>40</v>
      </c>
      <c r="B28" t="s">
        <v>24</v>
      </c>
      <c r="C28">
        <v>3</v>
      </c>
      <c r="D28" s="392">
        <f>WISC6_STDZ_P!Q26</f>
        <v>13.94</v>
      </c>
      <c r="E28" s="392">
        <f>WISC6_STDZ_P!Q27</f>
        <v>12</v>
      </c>
      <c r="F28" s="392">
        <f t="shared" si="0"/>
        <v>1.9399999999999995</v>
      </c>
      <c r="G28" t="s">
        <v>486</v>
      </c>
    </row>
    <row r="29" spans="1:7">
      <c r="A29" t="s">
        <v>40</v>
      </c>
      <c r="B29" t="s">
        <v>24</v>
      </c>
      <c r="C29">
        <v>5</v>
      </c>
      <c r="D29" s="392">
        <f>WISC6_STDZ_P!S26</f>
        <v>10.37</v>
      </c>
      <c r="E29" s="392">
        <f>WISC6_STDZ_P!S27</f>
        <v>10</v>
      </c>
      <c r="F29" s="392">
        <f t="shared" si="0"/>
        <v>0.36999999999999922</v>
      </c>
      <c r="G29" t="s">
        <v>487</v>
      </c>
    </row>
    <row r="30" spans="1:7">
      <c r="A30" t="s">
        <v>40</v>
      </c>
      <c r="B30" t="s">
        <v>31</v>
      </c>
      <c r="C30">
        <v>1</v>
      </c>
      <c r="D30" s="392">
        <f>WISC6_STDZ_P!T26</f>
        <v>0.4</v>
      </c>
      <c r="E30" s="392">
        <f>WISC6_STDZ_P!T27</f>
        <v>1</v>
      </c>
      <c r="F30" s="392">
        <f t="shared" si="0"/>
        <v>-0.6</v>
      </c>
      <c r="G30" t="s">
        <v>488</v>
      </c>
    </row>
    <row r="31" spans="1:7">
      <c r="A31" t="s">
        <v>40</v>
      </c>
      <c r="B31" t="s">
        <v>31</v>
      </c>
      <c r="C31">
        <v>2</v>
      </c>
      <c r="D31" s="392">
        <f>WISC6_STDZ_P!U26</f>
        <v>0.74</v>
      </c>
      <c r="E31" s="392">
        <f>WISC6_STDZ_P!U27</f>
        <v>1</v>
      </c>
      <c r="F31" s="392">
        <f t="shared" si="0"/>
        <v>-0.26</v>
      </c>
      <c r="G31" t="s">
        <v>489</v>
      </c>
    </row>
    <row r="32" spans="1:7">
      <c r="A32" t="s">
        <v>40</v>
      </c>
      <c r="B32" t="s">
        <v>31</v>
      </c>
      <c r="C32">
        <v>3</v>
      </c>
      <c r="D32" s="392">
        <f>WISC6_STDZ_P!V26</f>
        <v>3.2</v>
      </c>
      <c r="E32" s="392">
        <f>WISC6_STDZ_P!V27</f>
        <v>3</v>
      </c>
      <c r="F32" s="392">
        <f t="shared" si="0"/>
        <v>0.20000000000000018</v>
      </c>
      <c r="G32" t="s">
        <v>490</v>
      </c>
    </row>
    <row r="33" spans="1:7">
      <c r="A33" t="s">
        <v>40</v>
      </c>
      <c r="B33" t="s">
        <v>31</v>
      </c>
      <c r="C33">
        <v>5</v>
      </c>
      <c r="D33" s="392">
        <f>WISC6_STDZ_P!X26</f>
        <v>8.07</v>
      </c>
      <c r="E33" s="392">
        <f>WISC6_STDZ_P!X27</f>
        <v>8</v>
      </c>
      <c r="F33" s="392">
        <f t="shared" si="0"/>
        <v>7.0000000000000284E-2</v>
      </c>
      <c r="G33" t="s">
        <v>491</v>
      </c>
    </row>
    <row r="34" spans="1:7">
      <c r="A34" t="s">
        <v>40</v>
      </c>
      <c r="B34" t="s">
        <v>39</v>
      </c>
      <c r="C34">
        <v>1</v>
      </c>
      <c r="D34" s="392">
        <f>WISC6_STDZ_P!Y26</f>
        <v>1.02</v>
      </c>
      <c r="E34" s="392">
        <f>WISC6_STDZ_P!Y27</f>
        <v>1</v>
      </c>
      <c r="F34" s="392">
        <f t="shared" si="0"/>
        <v>2.0000000000000018E-2</v>
      </c>
      <c r="G34" t="s">
        <v>492</v>
      </c>
    </row>
    <row r="35" spans="1:7">
      <c r="A35" t="s">
        <v>40</v>
      </c>
      <c r="B35" t="s">
        <v>39</v>
      </c>
      <c r="C35">
        <v>2</v>
      </c>
      <c r="D35" s="392">
        <f>WISC6_STDZ_P!Z26</f>
        <v>2.08</v>
      </c>
      <c r="E35" s="392">
        <f>WISC6_STDZ_P!Z27</f>
        <v>0</v>
      </c>
      <c r="F35" s="392">
        <f t="shared" si="0"/>
        <v>2.08</v>
      </c>
      <c r="G35" t="s">
        <v>493</v>
      </c>
    </row>
    <row r="36" spans="1:7">
      <c r="A36" t="s">
        <v>41</v>
      </c>
      <c r="B36" t="s">
        <v>22</v>
      </c>
      <c r="C36">
        <v>1</v>
      </c>
      <c r="D36" s="392">
        <f>WISC6_STDZ_P!E40</f>
        <v>0.31</v>
      </c>
      <c r="E36" s="392">
        <f>WISC6_STDZ_P!E41</f>
        <v>0</v>
      </c>
      <c r="F36" s="392">
        <f t="shared" si="0"/>
        <v>0.31</v>
      </c>
      <c r="G36" t="s">
        <v>494</v>
      </c>
    </row>
    <row r="37" spans="1:7">
      <c r="A37" t="s">
        <v>41</v>
      </c>
      <c r="B37" t="s">
        <v>22</v>
      </c>
      <c r="C37">
        <v>2</v>
      </c>
      <c r="D37" s="392">
        <f>WISC6_STDZ_P!F40</f>
        <v>0.31</v>
      </c>
      <c r="E37" s="392">
        <f>WISC6_STDZ_P!F41</f>
        <v>0</v>
      </c>
      <c r="F37" s="392">
        <f t="shared" si="0"/>
        <v>0.31</v>
      </c>
      <c r="G37" t="s">
        <v>495</v>
      </c>
    </row>
    <row r="38" spans="1:7">
      <c r="A38" t="s">
        <v>41</v>
      </c>
      <c r="B38" t="s">
        <v>22</v>
      </c>
      <c r="C38">
        <v>4</v>
      </c>
      <c r="D38" s="392">
        <f>WISC6_STDZ_P!H40</f>
        <v>1.45</v>
      </c>
      <c r="E38" s="392">
        <f>WISC6_STDZ_P!H41</f>
        <v>1</v>
      </c>
      <c r="F38" s="392">
        <f t="shared" ref="F38:F69" si="1">D38-E38</f>
        <v>0.44999999999999996</v>
      </c>
      <c r="G38" t="s">
        <v>496</v>
      </c>
    </row>
    <row r="39" spans="1:7">
      <c r="A39" t="s">
        <v>41</v>
      </c>
      <c r="B39" t="s">
        <v>22</v>
      </c>
      <c r="C39">
        <v>5</v>
      </c>
      <c r="D39" s="392">
        <f>WISC6_STDZ_P!I40</f>
        <v>6.38</v>
      </c>
      <c r="E39" s="392">
        <f>WISC6_STDZ_P!I41</f>
        <v>6</v>
      </c>
      <c r="F39" s="392">
        <f t="shared" si="1"/>
        <v>0.37999999999999989</v>
      </c>
      <c r="G39" t="s">
        <v>497</v>
      </c>
    </row>
    <row r="40" spans="1:7">
      <c r="A40" t="s">
        <v>41</v>
      </c>
      <c r="B40" t="s">
        <v>36</v>
      </c>
      <c r="C40">
        <v>3</v>
      </c>
      <c r="D40" s="392">
        <f>WISC6_STDZ_P!L40</f>
        <v>6.47</v>
      </c>
      <c r="E40" s="392">
        <f>WISC6_STDZ_P!L41</f>
        <v>6</v>
      </c>
      <c r="F40" s="392">
        <f t="shared" si="1"/>
        <v>0.46999999999999975</v>
      </c>
      <c r="G40" t="s">
        <v>498</v>
      </c>
    </row>
    <row r="41" spans="1:7">
      <c r="A41" t="s">
        <v>41</v>
      </c>
      <c r="B41" t="s">
        <v>36</v>
      </c>
      <c r="C41">
        <v>4</v>
      </c>
      <c r="D41" s="392">
        <f>WISC6_STDZ_P!M40</f>
        <v>10.14</v>
      </c>
      <c r="E41" s="392">
        <f>WISC6_STDZ_P!M41</f>
        <v>9</v>
      </c>
      <c r="F41" s="392">
        <f t="shared" si="1"/>
        <v>1.1400000000000006</v>
      </c>
      <c r="G41" t="s">
        <v>499</v>
      </c>
    </row>
    <row r="42" spans="1:7">
      <c r="A42" t="s">
        <v>41</v>
      </c>
      <c r="B42" t="s">
        <v>24</v>
      </c>
      <c r="C42">
        <v>1</v>
      </c>
      <c r="D42" s="392">
        <f>WISC6_STDZ_P!O40</f>
        <v>3.42</v>
      </c>
      <c r="E42" s="392">
        <f>WISC6_STDZ_P!O41</f>
        <v>2</v>
      </c>
      <c r="F42" s="392">
        <f t="shared" si="1"/>
        <v>1.42</v>
      </c>
      <c r="G42" t="s">
        <v>500</v>
      </c>
    </row>
    <row r="43" spans="1:7">
      <c r="A43" t="s">
        <v>41</v>
      </c>
      <c r="B43" t="s">
        <v>24</v>
      </c>
      <c r="C43">
        <v>3</v>
      </c>
      <c r="D43" s="392">
        <f>WISC6_STDZ_P!Q40</f>
        <v>13.39</v>
      </c>
      <c r="E43" s="392">
        <f>WISC6_STDZ_P!Q41</f>
        <v>13</v>
      </c>
      <c r="F43" s="392">
        <f t="shared" si="1"/>
        <v>0.39000000000000057</v>
      </c>
      <c r="G43" t="s">
        <v>501</v>
      </c>
    </row>
    <row r="44" spans="1:7">
      <c r="A44" t="s">
        <v>41</v>
      </c>
      <c r="B44" t="s">
        <v>31</v>
      </c>
      <c r="C44">
        <v>1</v>
      </c>
      <c r="D44" s="392">
        <f>WISC6_STDZ_P!T40</f>
        <v>0.3</v>
      </c>
      <c r="E44" s="392">
        <f>WISC6_STDZ_P!T41</f>
        <v>0</v>
      </c>
      <c r="F44" s="392">
        <f t="shared" si="1"/>
        <v>0.3</v>
      </c>
      <c r="G44" t="s">
        <v>502</v>
      </c>
    </row>
    <row r="45" spans="1:7">
      <c r="A45" t="s">
        <v>41</v>
      </c>
      <c r="B45" t="s">
        <v>31</v>
      </c>
      <c r="C45">
        <v>3</v>
      </c>
      <c r="D45" s="392">
        <f>WISC6_STDZ_P!V40</f>
        <v>3.32</v>
      </c>
      <c r="E45" s="392">
        <f>WISC6_STDZ_P!V41</f>
        <v>2</v>
      </c>
      <c r="F45" s="392">
        <f t="shared" si="1"/>
        <v>1.3199999999999998</v>
      </c>
      <c r="G45" t="s">
        <v>503</v>
      </c>
    </row>
    <row r="46" spans="1:7">
      <c r="A46" t="s">
        <v>41</v>
      </c>
      <c r="B46" t="s">
        <v>31</v>
      </c>
      <c r="C46">
        <v>5</v>
      </c>
      <c r="D46" s="392">
        <f>WISC6_STDZ_P!X40</f>
        <v>8.4</v>
      </c>
      <c r="E46" s="392">
        <f>WISC6_STDZ_P!X41</f>
        <v>8</v>
      </c>
      <c r="F46" s="392">
        <f t="shared" si="1"/>
        <v>0.40000000000000036</v>
      </c>
      <c r="G46" t="s">
        <v>504</v>
      </c>
    </row>
    <row r="47" spans="1:7">
      <c r="A47" t="s">
        <v>41</v>
      </c>
      <c r="B47" t="s">
        <v>39</v>
      </c>
      <c r="C47">
        <v>2</v>
      </c>
      <c r="D47" s="392">
        <f>WISC6_STDZ_P!Z40</f>
        <v>2.0499999999999998</v>
      </c>
      <c r="E47" s="392">
        <f>WISC6_STDZ_P!Z41</f>
        <v>1</v>
      </c>
      <c r="F47" s="392">
        <f t="shared" si="1"/>
        <v>1.0499999999999998</v>
      </c>
      <c r="G47" t="s">
        <v>505</v>
      </c>
    </row>
    <row r="48" spans="1:7">
      <c r="A48" t="s">
        <v>41</v>
      </c>
      <c r="B48" t="s">
        <v>39</v>
      </c>
      <c r="C48">
        <v>3</v>
      </c>
      <c r="D48" s="392">
        <f>WISC6_STDZ_P!AA40</f>
        <v>15.23</v>
      </c>
      <c r="E48" s="392">
        <f>WISC6_STDZ_P!AA41</f>
        <v>14</v>
      </c>
      <c r="F48" s="392">
        <f t="shared" si="1"/>
        <v>1.2300000000000004</v>
      </c>
      <c r="G48" t="s">
        <v>506</v>
      </c>
    </row>
    <row r="49" spans="1:7">
      <c r="A49" t="s">
        <v>41</v>
      </c>
      <c r="B49" t="s">
        <v>39</v>
      </c>
      <c r="C49">
        <v>4</v>
      </c>
      <c r="D49" s="392">
        <f>WISC6_STDZ_P!AB40</f>
        <v>30.25</v>
      </c>
      <c r="E49" s="392">
        <f>WISC6_STDZ_P!AB41</f>
        <v>30</v>
      </c>
      <c r="F49" s="392">
        <f t="shared" si="1"/>
        <v>0.25</v>
      </c>
      <c r="G49" t="s">
        <v>507</v>
      </c>
    </row>
    <row r="50" spans="1:7">
      <c r="A50" t="s">
        <v>43</v>
      </c>
      <c r="B50" t="s">
        <v>22</v>
      </c>
      <c r="C50">
        <v>2</v>
      </c>
      <c r="D50" s="392">
        <f>WISC6_STDZ_P!F53</f>
        <v>0.35</v>
      </c>
      <c r="E50" s="392">
        <f>WISC6_STDZ_P!F54</f>
        <v>0</v>
      </c>
      <c r="F50" s="392">
        <f t="shared" si="1"/>
        <v>0.35</v>
      </c>
      <c r="G50" t="s">
        <v>508</v>
      </c>
    </row>
    <row r="51" spans="1:7">
      <c r="A51" t="s">
        <v>43</v>
      </c>
      <c r="B51" t="s">
        <v>22</v>
      </c>
      <c r="C51">
        <v>3</v>
      </c>
      <c r="D51" s="392">
        <f>WISC6_STDZ_P!G53</f>
        <v>1.21</v>
      </c>
      <c r="E51" s="392">
        <f>WISC6_STDZ_P!G54</f>
        <v>0</v>
      </c>
      <c r="F51" s="392">
        <f t="shared" si="1"/>
        <v>1.21</v>
      </c>
      <c r="G51" t="s">
        <v>509</v>
      </c>
    </row>
    <row r="52" spans="1:7">
      <c r="A52" t="s">
        <v>43</v>
      </c>
      <c r="B52" t="s">
        <v>36</v>
      </c>
      <c r="C52">
        <v>3</v>
      </c>
      <c r="D52" s="392">
        <f>WISC6_STDZ_P!L53</f>
        <v>7.47</v>
      </c>
      <c r="E52" s="392">
        <f>WISC6_STDZ_P!L54</f>
        <v>7</v>
      </c>
      <c r="F52" s="392">
        <f t="shared" si="1"/>
        <v>0.46999999999999975</v>
      </c>
      <c r="G52" t="s">
        <v>510</v>
      </c>
    </row>
    <row r="53" spans="1:7">
      <c r="A53" t="s">
        <v>43</v>
      </c>
      <c r="B53" t="s">
        <v>36</v>
      </c>
      <c r="C53">
        <v>5</v>
      </c>
      <c r="D53" s="392">
        <f>WISC6_STDZ_P!N53</f>
        <v>6.17</v>
      </c>
      <c r="E53" s="392">
        <f>WISC6_STDZ_P!N54</f>
        <v>6</v>
      </c>
      <c r="F53" s="392">
        <f t="shared" si="1"/>
        <v>0.16999999999999993</v>
      </c>
      <c r="G53" t="s">
        <v>511</v>
      </c>
    </row>
    <row r="54" spans="1:7">
      <c r="A54" t="s">
        <v>43</v>
      </c>
      <c r="B54" t="s">
        <v>24</v>
      </c>
      <c r="C54">
        <v>1</v>
      </c>
      <c r="D54" s="392">
        <f>WISC6_STDZ_P!O53</f>
        <v>3.27</v>
      </c>
      <c r="E54" s="392">
        <f>WISC6_STDZ_P!O54</f>
        <v>2</v>
      </c>
      <c r="F54" s="392">
        <f t="shared" si="1"/>
        <v>1.27</v>
      </c>
      <c r="G54" t="s">
        <v>512</v>
      </c>
    </row>
    <row r="55" spans="1:7">
      <c r="A55" t="s">
        <v>43</v>
      </c>
      <c r="B55" t="s">
        <v>24</v>
      </c>
      <c r="C55">
        <v>2</v>
      </c>
      <c r="D55" s="392">
        <f>WISC6_STDZ_P!P53</f>
        <v>6.29</v>
      </c>
      <c r="E55" s="392">
        <f>WISC6_STDZ_P!P54</f>
        <v>6</v>
      </c>
      <c r="F55" s="392">
        <f t="shared" si="1"/>
        <v>0.29000000000000004</v>
      </c>
      <c r="G55" t="s">
        <v>513</v>
      </c>
    </row>
    <row r="56" spans="1:7">
      <c r="A56" t="s">
        <v>43</v>
      </c>
      <c r="B56" t="s">
        <v>24</v>
      </c>
      <c r="C56">
        <v>3</v>
      </c>
      <c r="D56" s="392">
        <f>WISC6_STDZ_P!Q53</f>
        <v>13.47</v>
      </c>
      <c r="E56" s="392">
        <f>WISC6_STDZ_P!Q54</f>
        <v>12</v>
      </c>
      <c r="F56" s="392">
        <f t="shared" si="1"/>
        <v>1.4700000000000006</v>
      </c>
      <c r="G56" t="s">
        <v>514</v>
      </c>
    </row>
    <row r="57" spans="1:7">
      <c r="A57" t="s">
        <v>43</v>
      </c>
      <c r="B57" t="s">
        <v>24</v>
      </c>
      <c r="C57">
        <v>5</v>
      </c>
      <c r="D57" s="392">
        <f>WISC6_STDZ_P!S53</f>
        <v>10.31</v>
      </c>
      <c r="E57" s="392">
        <f>WISC6_STDZ_P!S54</f>
        <v>10</v>
      </c>
      <c r="F57" s="392">
        <f t="shared" si="1"/>
        <v>0.3100000000000005</v>
      </c>
      <c r="G57" t="s">
        <v>515</v>
      </c>
    </row>
    <row r="58" spans="1:7">
      <c r="A58" t="s">
        <v>43</v>
      </c>
      <c r="B58" t="s">
        <v>31</v>
      </c>
      <c r="C58">
        <v>1</v>
      </c>
      <c r="D58" s="392">
        <f>WISC6_STDZ_P!T53</f>
        <v>0.34</v>
      </c>
      <c r="E58" s="392">
        <f>WISC6_STDZ_P!T54</f>
        <v>0</v>
      </c>
      <c r="F58" s="392">
        <f t="shared" si="1"/>
        <v>0.34</v>
      </c>
      <c r="G58" t="s">
        <v>516</v>
      </c>
    </row>
    <row r="59" spans="1:7">
      <c r="A59" t="s">
        <v>43</v>
      </c>
      <c r="B59" t="s">
        <v>31</v>
      </c>
      <c r="C59">
        <v>4</v>
      </c>
      <c r="D59" s="392">
        <f>WISC6_STDZ_P!W53</f>
        <v>7.05</v>
      </c>
      <c r="E59" s="392">
        <f>WISC6_STDZ_P!W54</f>
        <v>7</v>
      </c>
      <c r="F59" s="392">
        <f t="shared" si="1"/>
        <v>4.9999999999999822E-2</v>
      </c>
      <c r="G59" t="s">
        <v>517</v>
      </c>
    </row>
    <row r="60" spans="1:7">
      <c r="A60" t="s">
        <v>43</v>
      </c>
      <c r="B60" t="s">
        <v>31</v>
      </c>
      <c r="C60">
        <v>5</v>
      </c>
      <c r="D60" s="392">
        <f>WISC6_STDZ_P!X53</f>
        <v>8.01</v>
      </c>
      <c r="E60" s="392">
        <f>WISC6_STDZ_P!X54</f>
        <v>8</v>
      </c>
      <c r="F60" s="392">
        <f t="shared" si="1"/>
        <v>9.9999999999997868E-3</v>
      </c>
      <c r="G60" t="s">
        <v>518</v>
      </c>
    </row>
    <row r="61" spans="1:7">
      <c r="A61" t="s">
        <v>43</v>
      </c>
      <c r="B61" t="s">
        <v>39</v>
      </c>
      <c r="C61">
        <v>2</v>
      </c>
      <c r="D61" s="392">
        <f>WISC6_STDZ_P!Z53</f>
        <v>2.15</v>
      </c>
      <c r="E61" s="392">
        <f>WISC6_STDZ_P!Z54</f>
        <v>2</v>
      </c>
      <c r="F61" s="392">
        <f t="shared" si="1"/>
        <v>0.14999999999999991</v>
      </c>
      <c r="G61" t="s">
        <v>519</v>
      </c>
    </row>
    <row r="62" spans="1:7">
      <c r="A62" t="s">
        <v>43</v>
      </c>
      <c r="B62" t="s">
        <v>39</v>
      </c>
      <c r="C62">
        <v>3</v>
      </c>
      <c r="D62" s="392">
        <f>WISC6_STDZ_P!AA53</f>
        <v>14.44</v>
      </c>
      <c r="E62" s="392">
        <f>WISC6_STDZ_P!AA54</f>
        <v>14</v>
      </c>
      <c r="F62" s="392">
        <f t="shared" si="1"/>
        <v>0.4399999999999995</v>
      </c>
      <c r="G62" t="s">
        <v>520</v>
      </c>
    </row>
    <row r="63" spans="1:7">
      <c r="A63" t="s">
        <v>43</v>
      </c>
      <c r="B63" t="s">
        <v>39</v>
      </c>
      <c r="C63">
        <v>5</v>
      </c>
      <c r="D63" s="392">
        <f>WISC6_STDZ_P!AC53</f>
        <v>48.2</v>
      </c>
      <c r="E63" s="392">
        <f>WISC6_STDZ_P!AC54</f>
        <v>48</v>
      </c>
      <c r="F63" s="392">
        <f t="shared" si="1"/>
        <v>0.20000000000000284</v>
      </c>
      <c r="G63" t="s">
        <v>521</v>
      </c>
    </row>
    <row r="64" spans="1:7">
      <c r="A64" t="s">
        <v>46</v>
      </c>
      <c r="B64" t="s">
        <v>22</v>
      </c>
      <c r="C64">
        <v>1</v>
      </c>
      <c r="D64" s="392">
        <f>WISC6_STDZ_P!E66</f>
        <v>0.28000000000000003</v>
      </c>
      <c r="E64" s="392">
        <f>WISC6_STDZ_P!E67</f>
        <v>0</v>
      </c>
      <c r="F64" s="392">
        <f t="shared" si="1"/>
        <v>0.28000000000000003</v>
      </c>
      <c r="G64" t="s">
        <v>522</v>
      </c>
    </row>
    <row r="65" spans="1:7">
      <c r="A65" t="s">
        <v>46</v>
      </c>
      <c r="B65" t="s">
        <v>22</v>
      </c>
      <c r="C65">
        <v>2</v>
      </c>
      <c r="D65" s="392">
        <f>WISC6_STDZ_P!F66</f>
        <v>0.51</v>
      </c>
      <c r="E65" s="392">
        <f>WISC6_STDZ_P!F67</f>
        <v>0</v>
      </c>
      <c r="F65" s="392">
        <f t="shared" si="1"/>
        <v>0.51</v>
      </c>
      <c r="G65" t="s">
        <v>523</v>
      </c>
    </row>
    <row r="66" spans="1:7">
      <c r="A66" t="s">
        <v>46</v>
      </c>
      <c r="B66" t="s">
        <v>22</v>
      </c>
      <c r="C66">
        <v>3</v>
      </c>
      <c r="D66" s="392">
        <f>WISC6_STDZ_P!G66</f>
        <v>1.1499999999999999</v>
      </c>
      <c r="E66" s="392">
        <f>WISC6_STDZ_P!G67</f>
        <v>1</v>
      </c>
      <c r="F66" s="392">
        <f t="shared" si="1"/>
        <v>0.14999999999999991</v>
      </c>
      <c r="G66" t="s">
        <v>524</v>
      </c>
    </row>
    <row r="67" spans="1:7">
      <c r="A67" t="s">
        <v>46</v>
      </c>
      <c r="B67" t="s">
        <v>36</v>
      </c>
      <c r="C67">
        <v>2</v>
      </c>
      <c r="D67" s="392">
        <f>WISC6_STDZ_P!K66</f>
        <v>1.85</v>
      </c>
      <c r="E67" s="392">
        <f>WISC6_STDZ_P!K67</f>
        <v>2</v>
      </c>
      <c r="F67" s="392">
        <f t="shared" si="1"/>
        <v>-0.14999999999999991</v>
      </c>
      <c r="G67" t="s">
        <v>525</v>
      </c>
    </row>
    <row r="68" spans="1:7">
      <c r="A68" t="s">
        <v>46</v>
      </c>
      <c r="B68" t="s">
        <v>36</v>
      </c>
      <c r="C68">
        <v>3</v>
      </c>
      <c r="D68" s="392">
        <f>WISC6_STDZ_P!L66</f>
        <v>7.36</v>
      </c>
      <c r="E68" s="392">
        <f>WISC6_STDZ_P!L67</f>
        <v>7</v>
      </c>
      <c r="F68" s="392">
        <f t="shared" si="1"/>
        <v>0.36000000000000032</v>
      </c>
      <c r="G68" t="s">
        <v>526</v>
      </c>
    </row>
    <row r="69" spans="1:7">
      <c r="A69" t="s">
        <v>46</v>
      </c>
      <c r="B69" t="s">
        <v>36</v>
      </c>
      <c r="C69">
        <v>4</v>
      </c>
      <c r="D69" s="392">
        <f>WISC6_STDZ_P!M66</f>
        <v>9.39</v>
      </c>
      <c r="E69" s="392">
        <f>WISC6_STDZ_P!M67</f>
        <v>9</v>
      </c>
      <c r="F69" s="392">
        <f t="shared" si="1"/>
        <v>0.39000000000000057</v>
      </c>
      <c r="G69" t="s">
        <v>527</v>
      </c>
    </row>
    <row r="70" spans="1:7">
      <c r="A70" t="s">
        <v>46</v>
      </c>
      <c r="B70" t="s">
        <v>24</v>
      </c>
      <c r="C70">
        <v>1</v>
      </c>
      <c r="D70" s="392">
        <f>WISC6_STDZ_P!O66</f>
        <v>3.96</v>
      </c>
      <c r="E70" s="392">
        <f>WISC6_STDZ_P!O67</f>
        <v>3</v>
      </c>
      <c r="F70" s="392">
        <f t="shared" ref="F70:F101" si="2">D70-E70</f>
        <v>0.96</v>
      </c>
      <c r="G70" t="s">
        <v>528</v>
      </c>
    </row>
    <row r="71" spans="1:7">
      <c r="A71" t="s">
        <v>46</v>
      </c>
      <c r="B71" t="s">
        <v>24</v>
      </c>
      <c r="C71">
        <v>2</v>
      </c>
      <c r="D71" s="392">
        <f>WISC6_STDZ_P!P66</f>
        <v>6.18</v>
      </c>
      <c r="E71" s="392">
        <f>WISC6_STDZ_P!P67</f>
        <v>6</v>
      </c>
      <c r="F71" s="392">
        <f t="shared" si="2"/>
        <v>0.17999999999999972</v>
      </c>
      <c r="G71" t="s">
        <v>529</v>
      </c>
    </row>
    <row r="72" spans="1:7">
      <c r="A72" t="s">
        <v>46</v>
      </c>
      <c r="B72" t="s">
        <v>24</v>
      </c>
      <c r="C72">
        <v>3</v>
      </c>
      <c r="D72" s="392">
        <f>WISC6_STDZ_P!Q66</f>
        <v>13.52</v>
      </c>
      <c r="E72" s="392">
        <f>WISC6_STDZ_P!Q67</f>
        <v>14</v>
      </c>
      <c r="F72" s="392">
        <f t="shared" si="2"/>
        <v>-0.48000000000000043</v>
      </c>
      <c r="G72" t="s">
        <v>530</v>
      </c>
    </row>
    <row r="73" spans="1:7">
      <c r="A73" t="s">
        <v>46</v>
      </c>
      <c r="B73" t="s">
        <v>31</v>
      </c>
      <c r="C73">
        <v>1</v>
      </c>
      <c r="D73" s="392">
        <f>WISC6_STDZ_P!T66</f>
        <v>0.28000000000000003</v>
      </c>
      <c r="E73" s="392">
        <f>WISC6_STDZ_P!T67</f>
        <v>1</v>
      </c>
      <c r="F73" s="392">
        <f t="shared" si="2"/>
        <v>-0.72</v>
      </c>
      <c r="G73" t="s">
        <v>531</v>
      </c>
    </row>
    <row r="74" spans="1:7">
      <c r="A74" t="s">
        <v>46</v>
      </c>
      <c r="B74" t="s">
        <v>31</v>
      </c>
      <c r="C74">
        <v>3</v>
      </c>
      <c r="D74" s="392">
        <f>WISC6_STDZ_P!V66</f>
        <v>3.37</v>
      </c>
      <c r="E74" s="392">
        <f>WISC6_STDZ_P!V67</f>
        <v>3</v>
      </c>
      <c r="F74" s="392">
        <f t="shared" si="2"/>
        <v>0.37000000000000011</v>
      </c>
      <c r="G74" t="s">
        <v>532</v>
      </c>
    </row>
    <row r="75" spans="1:7">
      <c r="A75" t="s">
        <v>46</v>
      </c>
      <c r="B75" t="s">
        <v>39</v>
      </c>
      <c r="C75">
        <v>1</v>
      </c>
      <c r="D75" s="392">
        <f>WISC6_STDZ_P!Y66</f>
        <v>1.08</v>
      </c>
      <c r="E75" s="392">
        <f>WISC6_STDZ_P!Y67</f>
        <v>1</v>
      </c>
      <c r="F75" s="392">
        <f t="shared" si="2"/>
        <v>8.0000000000000071E-2</v>
      </c>
      <c r="G75" t="s">
        <v>533</v>
      </c>
    </row>
    <row r="76" spans="1:7">
      <c r="A76" t="s">
        <v>46</v>
      </c>
      <c r="B76" t="s">
        <v>39</v>
      </c>
      <c r="C76">
        <v>2</v>
      </c>
      <c r="D76" s="392">
        <f>WISC6_STDZ_P!Z66</f>
        <v>2.2000000000000002</v>
      </c>
      <c r="E76" s="392">
        <f>WISC6_STDZ_P!Z67</f>
        <v>2</v>
      </c>
      <c r="F76" s="392">
        <f t="shared" si="2"/>
        <v>0.20000000000000018</v>
      </c>
      <c r="G76" t="s">
        <v>534</v>
      </c>
    </row>
    <row r="77" spans="1:7">
      <c r="A77" t="s">
        <v>46</v>
      </c>
      <c r="B77" t="s">
        <v>39</v>
      </c>
      <c r="C77">
        <v>4</v>
      </c>
      <c r="D77" s="392">
        <f>WISC6_STDZ_P!AB66</f>
        <v>31.38</v>
      </c>
      <c r="E77" s="392">
        <f>WISC6_STDZ_P!AB67</f>
        <v>31</v>
      </c>
      <c r="F77" s="392">
        <f t="shared" si="2"/>
        <v>0.37999999999999901</v>
      </c>
      <c r="G77" t="s">
        <v>535</v>
      </c>
    </row>
    <row r="78" spans="1:7">
      <c r="A78" t="s">
        <v>46</v>
      </c>
      <c r="B78" t="s">
        <v>39</v>
      </c>
      <c r="C78">
        <v>5</v>
      </c>
      <c r="D78" s="392">
        <f>WISC6_STDZ_P!AC66</f>
        <v>46.66</v>
      </c>
      <c r="E78" s="392">
        <f>WISC6_STDZ_P!AC67</f>
        <v>43</v>
      </c>
      <c r="F78" s="392">
        <f t="shared" si="2"/>
        <v>3.6599999999999966</v>
      </c>
      <c r="G78" t="s">
        <v>536</v>
      </c>
    </row>
    <row r="79" spans="1:7">
      <c r="A79" t="s">
        <v>48</v>
      </c>
      <c r="B79" t="s">
        <v>22</v>
      </c>
      <c r="C79">
        <v>2</v>
      </c>
      <c r="D79" s="392">
        <f>WISC6_STDZ_P!F79</f>
        <v>0.5</v>
      </c>
      <c r="E79" s="392">
        <f>WISC6_STDZ_P!F80</f>
        <v>0</v>
      </c>
      <c r="F79" s="392">
        <f t="shared" si="2"/>
        <v>0.5</v>
      </c>
      <c r="G79" t="s">
        <v>537</v>
      </c>
    </row>
    <row r="80" spans="1:7">
      <c r="A80" t="s">
        <v>48</v>
      </c>
      <c r="B80" t="s">
        <v>22</v>
      </c>
      <c r="C80">
        <v>3</v>
      </c>
      <c r="D80" s="392">
        <f>WISC6_STDZ_P!G79</f>
        <v>1.1499999999999999</v>
      </c>
      <c r="E80" s="392">
        <f>WISC6_STDZ_P!G80</f>
        <v>1</v>
      </c>
      <c r="F80" s="392">
        <f t="shared" si="2"/>
        <v>0.14999999999999991</v>
      </c>
      <c r="G80" t="s">
        <v>538</v>
      </c>
    </row>
    <row r="81" spans="1:7">
      <c r="A81" t="s">
        <v>48</v>
      </c>
      <c r="B81" t="s">
        <v>22</v>
      </c>
      <c r="C81">
        <v>5</v>
      </c>
      <c r="D81" s="392">
        <f>WISC6_STDZ_P!I79</f>
        <v>6.87</v>
      </c>
      <c r="E81" s="392">
        <f>WISC6_STDZ_P!I80</f>
        <v>6</v>
      </c>
      <c r="F81" s="392">
        <f t="shared" si="2"/>
        <v>0.87000000000000011</v>
      </c>
      <c r="G81" t="s">
        <v>539</v>
      </c>
    </row>
    <row r="82" spans="1:7">
      <c r="A82" t="s">
        <v>48</v>
      </c>
      <c r="B82" t="s">
        <v>36</v>
      </c>
      <c r="C82">
        <v>5</v>
      </c>
      <c r="D82" s="392">
        <f>WISC6_STDZ_P!N79</f>
        <v>6.49</v>
      </c>
      <c r="E82" s="392">
        <f>WISC6_STDZ_P!N80</f>
        <v>6</v>
      </c>
      <c r="F82" s="392">
        <f t="shared" si="2"/>
        <v>0.49000000000000021</v>
      </c>
      <c r="G82" t="s">
        <v>540</v>
      </c>
    </row>
    <row r="83" spans="1:7">
      <c r="A83" t="s">
        <v>48</v>
      </c>
      <c r="B83" t="s">
        <v>24</v>
      </c>
      <c r="C83">
        <v>1</v>
      </c>
      <c r="D83" s="392">
        <f>WISC6_STDZ_P!O79</f>
        <v>4.08</v>
      </c>
      <c r="E83" s="392">
        <f>WISC6_STDZ_P!O80</f>
        <v>4</v>
      </c>
      <c r="F83" s="392">
        <f t="shared" si="2"/>
        <v>8.0000000000000071E-2</v>
      </c>
      <c r="G83" t="s">
        <v>541</v>
      </c>
    </row>
    <row r="84" spans="1:7">
      <c r="A84" t="s">
        <v>48</v>
      </c>
      <c r="B84" t="s">
        <v>24</v>
      </c>
      <c r="C84">
        <v>2</v>
      </c>
      <c r="D84" s="392">
        <f>WISC6_STDZ_P!P79</f>
        <v>6.61</v>
      </c>
      <c r="E84" s="392">
        <f>WISC6_STDZ_P!P80</f>
        <v>6</v>
      </c>
      <c r="F84" s="392">
        <f t="shared" si="2"/>
        <v>0.61000000000000032</v>
      </c>
      <c r="G84" t="s">
        <v>542</v>
      </c>
    </row>
    <row r="85" spans="1:7">
      <c r="A85" t="s">
        <v>48</v>
      </c>
      <c r="B85" t="s">
        <v>24</v>
      </c>
      <c r="C85">
        <v>3</v>
      </c>
      <c r="D85" s="392">
        <f>WISC6_STDZ_P!Q79</f>
        <v>13.96</v>
      </c>
      <c r="E85" s="392">
        <f>WISC6_STDZ_P!Q80</f>
        <v>14</v>
      </c>
      <c r="F85" s="392">
        <f t="shared" si="2"/>
        <v>-3.9999999999999147E-2</v>
      </c>
      <c r="G85" t="s">
        <v>543</v>
      </c>
    </row>
    <row r="86" spans="1:7">
      <c r="A86" t="s">
        <v>48</v>
      </c>
      <c r="B86" t="s">
        <v>24</v>
      </c>
      <c r="C86">
        <v>5</v>
      </c>
      <c r="D86" s="392">
        <f>WISC6_STDZ_P!S79</f>
        <v>10.09</v>
      </c>
      <c r="E86" s="392">
        <f>WISC6_STDZ_P!S80</f>
        <v>10</v>
      </c>
      <c r="F86" s="392">
        <f t="shared" si="2"/>
        <v>8.9999999999999858E-2</v>
      </c>
      <c r="G86" t="s">
        <v>544</v>
      </c>
    </row>
    <row r="87" spans="1:7">
      <c r="A87" t="s">
        <v>48</v>
      </c>
      <c r="B87" t="s">
        <v>31</v>
      </c>
      <c r="C87">
        <v>1</v>
      </c>
      <c r="D87" s="392">
        <f>WISC6_STDZ_P!T79</f>
        <v>0.38</v>
      </c>
      <c r="E87" s="392">
        <f>WISC6_STDZ_P!T80</f>
        <v>0</v>
      </c>
      <c r="F87" s="392">
        <f t="shared" si="2"/>
        <v>0.38</v>
      </c>
      <c r="G87" t="s">
        <v>545</v>
      </c>
    </row>
    <row r="88" spans="1:7">
      <c r="A88" t="s">
        <v>48</v>
      </c>
      <c r="B88" t="s">
        <v>31</v>
      </c>
      <c r="C88">
        <v>2</v>
      </c>
      <c r="D88" s="392">
        <f>WISC6_STDZ_P!U79</f>
        <v>0.8</v>
      </c>
      <c r="E88" s="392">
        <f>WISC6_STDZ_P!U80</f>
        <v>0</v>
      </c>
      <c r="F88" s="392">
        <f t="shared" si="2"/>
        <v>0.8</v>
      </c>
      <c r="G88" t="s">
        <v>546</v>
      </c>
    </row>
    <row r="89" spans="1:7">
      <c r="A89" t="s">
        <v>48</v>
      </c>
      <c r="B89" t="s">
        <v>31</v>
      </c>
      <c r="C89">
        <v>3</v>
      </c>
      <c r="D89" s="392">
        <f>WISC6_STDZ_P!V79</f>
        <v>3.31</v>
      </c>
      <c r="E89" s="392">
        <f>WISC6_STDZ_P!V80</f>
        <v>3</v>
      </c>
      <c r="F89" s="392">
        <f t="shared" si="2"/>
        <v>0.31000000000000005</v>
      </c>
      <c r="G89" t="s">
        <v>547</v>
      </c>
    </row>
    <row r="90" spans="1:7">
      <c r="A90" t="s">
        <v>48</v>
      </c>
      <c r="B90" t="s">
        <v>31</v>
      </c>
      <c r="C90">
        <v>5</v>
      </c>
      <c r="D90" s="392">
        <f>WISC6_STDZ_P!X79</f>
        <v>8.0500000000000007</v>
      </c>
      <c r="E90" s="392">
        <f>WISC6_STDZ_P!X80</f>
        <v>8</v>
      </c>
      <c r="F90" s="392">
        <f t="shared" si="2"/>
        <v>5.0000000000000711E-2</v>
      </c>
      <c r="G90" t="s">
        <v>548</v>
      </c>
    </row>
    <row r="91" spans="1:7">
      <c r="A91" t="s">
        <v>48</v>
      </c>
      <c r="B91" t="s">
        <v>39</v>
      </c>
      <c r="C91">
        <v>1</v>
      </c>
      <c r="D91" s="392">
        <f>WISC6_STDZ_P!Y79</f>
        <v>1.21</v>
      </c>
      <c r="E91" s="392">
        <f>WISC6_STDZ_P!Y80</f>
        <v>1</v>
      </c>
      <c r="F91" s="392">
        <f t="shared" si="2"/>
        <v>0.20999999999999996</v>
      </c>
      <c r="G91" t="s">
        <v>549</v>
      </c>
    </row>
    <row r="92" spans="1:7">
      <c r="A92" t="s">
        <v>48</v>
      </c>
      <c r="B92" t="s">
        <v>39</v>
      </c>
      <c r="C92">
        <v>2</v>
      </c>
      <c r="D92" s="392">
        <f>WISC6_STDZ_P!Z79</f>
        <v>1.81</v>
      </c>
      <c r="E92" s="392">
        <f>WISC6_STDZ_P!Z80</f>
        <v>0</v>
      </c>
      <c r="F92" s="392">
        <f t="shared" si="2"/>
        <v>1.81</v>
      </c>
      <c r="G92" t="s">
        <v>550</v>
      </c>
    </row>
    <row r="93" spans="1:7">
      <c r="A93" t="s">
        <v>48</v>
      </c>
      <c r="B93" t="s">
        <v>39</v>
      </c>
      <c r="C93">
        <v>4</v>
      </c>
      <c r="D93" s="392">
        <f>WISC6_STDZ_P!AB79</f>
        <v>31.13</v>
      </c>
      <c r="E93" s="392">
        <f>WISC6_STDZ_P!AB80</f>
        <v>30</v>
      </c>
      <c r="F93" s="392">
        <f t="shared" si="2"/>
        <v>1.129999999999999</v>
      </c>
      <c r="G93" t="s">
        <v>551</v>
      </c>
    </row>
    <row r="94" spans="1:7">
      <c r="A94" t="s">
        <v>49</v>
      </c>
      <c r="B94" t="s">
        <v>22</v>
      </c>
      <c r="C94">
        <v>1</v>
      </c>
      <c r="D94" s="392">
        <f>WISC6_STDZ_P!E92</f>
        <v>0.35</v>
      </c>
      <c r="E94" s="392">
        <f>WISC6_STDZ_P!E93</f>
        <v>0</v>
      </c>
      <c r="F94" s="392">
        <f t="shared" si="2"/>
        <v>0.35</v>
      </c>
      <c r="G94" t="s">
        <v>552</v>
      </c>
    </row>
    <row r="95" spans="1:7">
      <c r="A95" t="s">
        <v>49</v>
      </c>
      <c r="B95" t="s">
        <v>22</v>
      </c>
      <c r="C95">
        <v>3</v>
      </c>
      <c r="D95" s="392">
        <f>WISC6_STDZ_P!G92</f>
        <v>1.23</v>
      </c>
      <c r="E95" s="392">
        <f>WISC6_STDZ_P!G93</f>
        <v>1</v>
      </c>
      <c r="F95" s="392">
        <f t="shared" si="2"/>
        <v>0.22999999999999998</v>
      </c>
      <c r="G95" t="s">
        <v>553</v>
      </c>
    </row>
    <row r="96" spans="1:7">
      <c r="A96" t="s">
        <v>49</v>
      </c>
      <c r="B96" t="s">
        <v>36</v>
      </c>
      <c r="C96">
        <v>3</v>
      </c>
      <c r="D96" s="392">
        <f>WISC6_STDZ_P!L92</f>
        <v>6.43</v>
      </c>
      <c r="E96" s="392">
        <f>WISC6_STDZ_P!L93</f>
        <v>6</v>
      </c>
      <c r="F96" s="392">
        <f t="shared" si="2"/>
        <v>0.42999999999999972</v>
      </c>
      <c r="G96" t="s">
        <v>554</v>
      </c>
    </row>
    <row r="97" spans="1:7">
      <c r="A97" t="s">
        <v>49</v>
      </c>
      <c r="B97" t="s">
        <v>24</v>
      </c>
      <c r="C97">
        <v>2</v>
      </c>
      <c r="D97" s="392">
        <f>WISC6_STDZ_P!P92</f>
        <v>6.69</v>
      </c>
      <c r="E97" s="392">
        <f>WISC6_STDZ_P!P93</f>
        <v>7</v>
      </c>
      <c r="F97" s="392">
        <f t="shared" si="2"/>
        <v>-0.30999999999999961</v>
      </c>
      <c r="G97" t="s">
        <v>555</v>
      </c>
    </row>
    <row r="98" spans="1:7">
      <c r="A98" t="s">
        <v>49</v>
      </c>
      <c r="B98" t="s">
        <v>31</v>
      </c>
      <c r="C98">
        <v>1</v>
      </c>
      <c r="D98" s="392">
        <f>WISC6_STDZ_P!T92</f>
        <v>0.41</v>
      </c>
      <c r="E98" s="392">
        <f>WISC6_STDZ_P!T93</f>
        <v>0</v>
      </c>
      <c r="F98" s="392">
        <f t="shared" si="2"/>
        <v>0.41</v>
      </c>
      <c r="G98" t="s">
        <v>556</v>
      </c>
    </row>
    <row r="99" spans="1:7">
      <c r="A99" t="s">
        <v>49</v>
      </c>
      <c r="B99" t="s">
        <v>31</v>
      </c>
      <c r="C99">
        <v>2</v>
      </c>
      <c r="D99" s="392">
        <f>WISC6_STDZ_P!U92</f>
        <v>0.82</v>
      </c>
      <c r="E99" s="392">
        <f>WISC6_STDZ_P!U93</f>
        <v>0</v>
      </c>
      <c r="F99" s="392">
        <f t="shared" si="2"/>
        <v>0.82</v>
      </c>
      <c r="G99" t="s">
        <v>557</v>
      </c>
    </row>
    <row r="100" spans="1:7">
      <c r="A100" t="s">
        <v>49</v>
      </c>
      <c r="B100" t="s">
        <v>31</v>
      </c>
      <c r="C100">
        <v>3</v>
      </c>
      <c r="D100" s="392">
        <f>WISC6_STDZ_P!V92</f>
        <v>3.71</v>
      </c>
      <c r="E100" s="392">
        <f>WISC6_STDZ_P!V93</f>
        <v>3</v>
      </c>
      <c r="F100" s="392">
        <f t="shared" si="2"/>
        <v>0.71</v>
      </c>
      <c r="G100" t="s">
        <v>558</v>
      </c>
    </row>
    <row r="101" spans="1:7">
      <c r="A101" t="s">
        <v>49</v>
      </c>
      <c r="B101" t="s">
        <v>31</v>
      </c>
      <c r="C101">
        <v>5</v>
      </c>
      <c r="D101" s="392">
        <f>WISC6_STDZ_P!X92</f>
        <v>7.41</v>
      </c>
      <c r="E101" s="392">
        <f>WISC6_STDZ_P!X93</f>
        <v>7</v>
      </c>
      <c r="F101" s="392">
        <f t="shared" si="2"/>
        <v>0.41000000000000014</v>
      </c>
      <c r="G101" t="s">
        <v>559</v>
      </c>
    </row>
    <row r="102" spans="1:7">
      <c r="A102" t="s">
        <v>49</v>
      </c>
      <c r="B102" t="s">
        <v>39</v>
      </c>
      <c r="C102">
        <v>1</v>
      </c>
      <c r="D102" s="392">
        <f>WISC6_STDZ_P!Y92</f>
        <v>1.05</v>
      </c>
      <c r="E102" s="392">
        <f>WISC6_STDZ_P!Y93</f>
        <v>1</v>
      </c>
      <c r="F102" s="392">
        <f t="shared" ref="F102:F133" si="3">D102-E102</f>
        <v>5.0000000000000044E-2</v>
      </c>
      <c r="G102" t="s">
        <v>560</v>
      </c>
    </row>
    <row r="103" spans="1:7">
      <c r="A103" t="s">
        <v>49</v>
      </c>
      <c r="B103" t="s">
        <v>39</v>
      </c>
      <c r="C103">
        <v>2</v>
      </c>
      <c r="D103" s="392">
        <f>WISC6_STDZ_P!Z92</f>
        <v>2.2999999999999998</v>
      </c>
      <c r="E103" s="392">
        <f>WISC6_STDZ_P!Z93</f>
        <v>2</v>
      </c>
      <c r="F103" s="392">
        <f t="shared" si="3"/>
        <v>0.29999999999999982</v>
      </c>
      <c r="G103" t="s">
        <v>561</v>
      </c>
    </row>
    <row r="104" spans="1:7">
      <c r="A104" t="s">
        <v>49</v>
      </c>
      <c r="B104" t="s">
        <v>39</v>
      </c>
      <c r="C104">
        <v>5</v>
      </c>
      <c r="D104" s="392">
        <f>WISC6_STDZ_P!AC92</f>
        <v>46.39</v>
      </c>
      <c r="E104" s="392">
        <f>WISC6_STDZ_P!AC93</f>
        <v>46</v>
      </c>
      <c r="F104" s="392">
        <f t="shared" si="3"/>
        <v>0.39000000000000057</v>
      </c>
      <c r="G104" t="s">
        <v>562</v>
      </c>
    </row>
    <row r="105" spans="1:7">
      <c r="A105" t="s">
        <v>51</v>
      </c>
      <c r="B105" t="s">
        <v>22</v>
      </c>
      <c r="C105">
        <v>1</v>
      </c>
      <c r="D105" s="392">
        <f>WISC6_STDZ_P!E105</f>
        <v>0.45</v>
      </c>
      <c r="E105" s="392">
        <f>WISC6_STDZ_P!E106</f>
        <v>0</v>
      </c>
      <c r="F105" s="392">
        <f t="shared" si="3"/>
        <v>0.45</v>
      </c>
      <c r="G105" t="s">
        <v>563</v>
      </c>
    </row>
    <row r="106" spans="1:7">
      <c r="A106" t="s">
        <v>51</v>
      </c>
      <c r="B106" t="s">
        <v>22</v>
      </c>
      <c r="C106">
        <v>3</v>
      </c>
      <c r="D106" s="392">
        <f>WISC6_STDZ_P!G105</f>
        <v>1.32</v>
      </c>
      <c r="E106" s="392">
        <f>WISC6_STDZ_P!G106</f>
        <v>1</v>
      </c>
      <c r="F106" s="392">
        <f t="shared" si="3"/>
        <v>0.32000000000000006</v>
      </c>
      <c r="G106" t="s">
        <v>564</v>
      </c>
    </row>
    <row r="107" spans="1:7">
      <c r="A107" t="s">
        <v>51</v>
      </c>
      <c r="B107" t="s">
        <v>36</v>
      </c>
      <c r="C107">
        <v>1</v>
      </c>
      <c r="D107" s="392">
        <f>WISC6_STDZ_P!J105</f>
        <v>0.44</v>
      </c>
      <c r="E107" s="392">
        <f>WISC6_STDZ_P!J106</f>
        <v>0</v>
      </c>
      <c r="F107" s="392">
        <f t="shared" si="3"/>
        <v>0.44</v>
      </c>
      <c r="G107" t="s">
        <v>565</v>
      </c>
    </row>
    <row r="108" spans="1:7">
      <c r="A108" t="s">
        <v>51</v>
      </c>
      <c r="B108" t="s">
        <v>36</v>
      </c>
      <c r="C108">
        <v>3</v>
      </c>
      <c r="D108" s="392">
        <f>WISC6_STDZ_P!L105</f>
        <v>7.31</v>
      </c>
      <c r="E108" s="392">
        <f>WISC6_STDZ_P!L106</f>
        <v>7</v>
      </c>
      <c r="F108" s="392">
        <f t="shared" si="3"/>
        <v>0.30999999999999961</v>
      </c>
      <c r="G108" t="s">
        <v>566</v>
      </c>
    </row>
    <row r="109" spans="1:7">
      <c r="A109" t="s">
        <v>51</v>
      </c>
      <c r="B109" t="s">
        <v>24</v>
      </c>
      <c r="C109">
        <v>1</v>
      </c>
      <c r="D109" s="392">
        <f>WISC6_STDZ_P!O105</f>
        <v>5.18</v>
      </c>
      <c r="E109" s="392">
        <f>WISC6_STDZ_P!O106</f>
        <v>5</v>
      </c>
      <c r="F109" s="392">
        <f t="shared" si="3"/>
        <v>0.17999999999999972</v>
      </c>
      <c r="G109" t="s">
        <v>567</v>
      </c>
    </row>
    <row r="110" spans="1:7">
      <c r="A110" t="s">
        <v>51</v>
      </c>
      <c r="B110" t="s">
        <v>24</v>
      </c>
      <c r="C110">
        <v>2</v>
      </c>
      <c r="D110" s="392">
        <f>WISC6_STDZ_P!P105</f>
        <v>7.42</v>
      </c>
      <c r="E110" s="392">
        <f>WISC6_STDZ_P!P106</f>
        <v>6</v>
      </c>
      <c r="F110" s="392">
        <f t="shared" si="3"/>
        <v>1.42</v>
      </c>
      <c r="G110" t="s">
        <v>568</v>
      </c>
    </row>
    <row r="111" spans="1:7">
      <c r="A111" t="s">
        <v>51</v>
      </c>
      <c r="B111" t="s">
        <v>24</v>
      </c>
      <c r="C111">
        <v>3</v>
      </c>
      <c r="D111" s="392">
        <f>WISC6_STDZ_P!Q105</f>
        <v>13.93</v>
      </c>
      <c r="E111" s="392">
        <f>WISC6_STDZ_P!Q106</f>
        <v>12</v>
      </c>
      <c r="F111" s="392">
        <f t="shared" si="3"/>
        <v>1.9299999999999997</v>
      </c>
      <c r="G111" t="s">
        <v>569</v>
      </c>
    </row>
    <row r="112" spans="1:7">
      <c r="A112" t="s">
        <v>51</v>
      </c>
      <c r="B112" t="s">
        <v>24</v>
      </c>
      <c r="C112">
        <v>4</v>
      </c>
      <c r="D112" s="392">
        <f>WISC6_STDZ_P!R105</f>
        <v>14.34</v>
      </c>
      <c r="E112" s="392">
        <f>WISC6_STDZ_P!R106</f>
        <v>14</v>
      </c>
      <c r="F112" s="392">
        <f t="shared" si="3"/>
        <v>0.33999999999999986</v>
      </c>
      <c r="G112" t="s">
        <v>570</v>
      </c>
    </row>
    <row r="113" spans="1:7">
      <c r="A113" t="s">
        <v>51</v>
      </c>
      <c r="B113" t="s">
        <v>24</v>
      </c>
      <c r="C113">
        <v>5</v>
      </c>
      <c r="D113" s="392">
        <f>WISC6_STDZ_P!S105</f>
        <v>10.029999999999999</v>
      </c>
      <c r="E113" s="392">
        <f>WISC6_STDZ_P!S106</f>
        <v>10</v>
      </c>
      <c r="F113" s="392">
        <f t="shared" si="3"/>
        <v>2.9999999999999361E-2</v>
      </c>
      <c r="G113" t="s">
        <v>571</v>
      </c>
    </row>
    <row r="114" spans="1:7">
      <c r="A114" t="s">
        <v>51</v>
      </c>
      <c r="B114" t="s">
        <v>31</v>
      </c>
      <c r="C114">
        <v>1</v>
      </c>
      <c r="D114" s="392">
        <f>WISC6_STDZ_P!T105</f>
        <v>0.4</v>
      </c>
      <c r="E114" s="392">
        <f>WISC6_STDZ_P!T106</f>
        <v>0</v>
      </c>
      <c r="F114" s="392">
        <f t="shared" si="3"/>
        <v>0.4</v>
      </c>
      <c r="G114" t="s">
        <v>572</v>
      </c>
    </row>
    <row r="115" spans="1:7">
      <c r="A115" t="s">
        <v>51</v>
      </c>
      <c r="B115" t="s">
        <v>31</v>
      </c>
      <c r="C115">
        <v>4</v>
      </c>
      <c r="D115" s="392">
        <f>WISC6_STDZ_P!W105</f>
        <v>6.7</v>
      </c>
      <c r="E115" s="392">
        <f>WISC6_STDZ_P!W106</f>
        <v>5</v>
      </c>
      <c r="F115" s="392">
        <f t="shared" si="3"/>
        <v>1.7000000000000002</v>
      </c>
      <c r="G115" t="s">
        <v>573</v>
      </c>
    </row>
    <row r="116" spans="1:7">
      <c r="A116" t="s">
        <v>51</v>
      </c>
      <c r="B116" t="s">
        <v>39</v>
      </c>
      <c r="C116">
        <v>1</v>
      </c>
      <c r="D116" s="392">
        <f>WISC6_STDZ_P!Y105</f>
        <v>1.18</v>
      </c>
      <c r="E116" s="392">
        <f>WISC6_STDZ_P!Y106</f>
        <v>1</v>
      </c>
      <c r="F116" s="392">
        <f t="shared" si="3"/>
        <v>0.17999999999999994</v>
      </c>
      <c r="G116" t="s">
        <v>574</v>
      </c>
    </row>
    <row r="117" spans="1:7">
      <c r="A117" t="s">
        <v>51</v>
      </c>
      <c r="B117" t="s">
        <v>39</v>
      </c>
      <c r="C117">
        <v>2</v>
      </c>
      <c r="D117" s="392">
        <f>WISC6_STDZ_P!Z105</f>
        <v>2.0099999999999998</v>
      </c>
      <c r="E117" s="392">
        <f>WISC6_STDZ_P!Z106</f>
        <v>2</v>
      </c>
      <c r="F117" s="392">
        <f t="shared" si="3"/>
        <v>9.9999999999997868E-3</v>
      </c>
      <c r="G117" t="s">
        <v>575</v>
      </c>
    </row>
    <row r="118" spans="1:7">
      <c r="A118" t="s">
        <v>51</v>
      </c>
      <c r="B118" t="s">
        <v>39</v>
      </c>
      <c r="C118">
        <v>4</v>
      </c>
      <c r="D118" s="392">
        <f>WISC6_STDZ_P!AB105</f>
        <v>31.01</v>
      </c>
      <c r="E118" s="392">
        <f>WISC6_STDZ_P!AB106</f>
        <v>31</v>
      </c>
      <c r="F118" s="392">
        <f t="shared" si="3"/>
        <v>1.0000000000001563E-2</v>
      </c>
      <c r="G118" t="s">
        <v>576</v>
      </c>
    </row>
    <row r="119" spans="1:7">
      <c r="A119" t="s">
        <v>52</v>
      </c>
      <c r="B119" t="s">
        <v>22</v>
      </c>
      <c r="C119">
        <v>2</v>
      </c>
      <c r="D119" s="392">
        <f>WISC6_STDZ_P!F118</f>
        <v>0.54</v>
      </c>
      <c r="E119" s="392">
        <f>WISC6_STDZ_P!F119</f>
        <v>1</v>
      </c>
      <c r="F119" s="392">
        <f t="shared" si="3"/>
        <v>-0.45999999999999996</v>
      </c>
      <c r="G119" t="s">
        <v>577</v>
      </c>
    </row>
    <row r="120" spans="1:7">
      <c r="A120" t="s">
        <v>52</v>
      </c>
      <c r="B120" t="s">
        <v>22</v>
      </c>
      <c r="C120">
        <v>3</v>
      </c>
      <c r="D120" s="392">
        <f>WISC6_STDZ_P!G118</f>
        <v>1.2</v>
      </c>
      <c r="E120" s="392">
        <f>WISC6_STDZ_P!G119</f>
        <v>1</v>
      </c>
      <c r="F120" s="392">
        <f t="shared" si="3"/>
        <v>0.19999999999999996</v>
      </c>
      <c r="G120" t="s">
        <v>578</v>
      </c>
    </row>
    <row r="121" spans="1:7">
      <c r="A121" t="s">
        <v>52</v>
      </c>
      <c r="B121" t="s">
        <v>22</v>
      </c>
      <c r="C121">
        <v>5</v>
      </c>
      <c r="D121" s="392">
        <f>WISC6_STDZ_P!I118</f>
        <v>6.28</v>
      </c>
      <c r="E121" s="392">
        <f>WISC6_STDZ_P!I119</f>
        <v>6</v>
      </c>
      <c r="F121" s="392">
        <f t="shared" si="3"/>
        <v>0.28000000000000025</v>
      </c>
      <c r="G121" t="s">
        <v>579</v>
      </c>
    </row>
    <row r="122" spans="1:7">
      <c r="A122" t="s">
        <v>52</v>
      </c>
      <c r="B122" t="s">
        <v>36</v>
      </c>
      <c r="C122">
        <v>1</v>
      </c>
      <c r="D122" s="392">
        <f>WISC6_STDZ_P!J118</f>
        <v>0.47</v>
      </c>
      <c r="E122" s="392">
        <f>WISC6_STDZ_P!J119</f>
        <v>0</v>
      </c>
      <c r="F122" s="392">
        <f t="shared" si="3"/>
        <v>0.47</v>
      </c>
      <c r="G122" t="s">
        <v>580</v>
      </c>
    </row>
    <row r="123" spans="1:7">
      <c r="A123" t="s">
        <v>52</v>
      </c>
      <c r="B123" t="s">
        <v>36</v>
      </c>
      <c r="C123">
        <v>3</v>
      </c>
      <c r="D123" s="392">
        <f>WISC6_STDZ_P!L118</f>
        <v>7.01</v>
      </c>
      <c r="E123" s="392">
        <f>WISC6_STDZ_P!L119</f>
        <v>7</v>
      </c>
      <c r="F123" s="392">
        <f t="shared" si="3"/>
        <v>9.9999999999997868E-3</v>
      </c>
      <c r="G123" t="s">
        <v>581</v>
      </c>
    </row>
    <row r="124" spans="1:7">
      <c r="A124" t="s">
        <v>52</v>
      </c>
      <c r="B124" t="s">
        <v>36</v>
      </c>
      <c r="C124">
        <v>4</v>
      </c>
      <c r="D124" s="392">
        <f>WISC6_STDZ_P!M118</f>
        <v>9.31</v>
      </c>
      <c r="E124" s="392">
        <f>WISC6_STDZ_P!M119</f>
        <v>9</v>
      </c>
      <c r="F124" s="392">
        <f t="shared" si="3"/>
        <v>0.3100000000000005</v>
      </c>
      <c r="G124" t="s">
        <v>582</v>
      </c>
    </row>
    <row r="125" spans="1:7">
      <c r="A125" t="s">
        <v>52</v>
      </c>
      <c r="B125" t="s">
        <v>24</v>
      </c>
      <c r="C125">
        <v>2</v>
      </c>
      <c r="D125" s="392">
        <f>WISC6_STDZ_P!P118</f>
        <v>8.1199999999999992</v>
      </c>
      <c r="E125" s="392">
        <f>WISC6_STDZ_P!P119</f>
        <v>7</v>
      </c>
      <c r="F125" s="392">
        <f t="shared" si="3"/>
        <v>1.1199999999999992</v>
      </c>
      <c r="G125" t="s">
        <v>583</v>
      </c>
    </row>
    <row r="126" spans="1:7">
      <c r="A126" t="s">
        <v>52</v>
      </c>
      <c r="B126" t="s">
        <v>24</v>
      </c>
      <c r="C126">
        <v>3</v>
      </c>
      <c r="D126" s="392">
        <f>WISC6_STDZ_P!Q118</f>
        <v>14.18</v>
      </c>
      <c r="E126" s="392">
        <f>WISC6_STDZ_P!Q119</f>
        <v>14</v>
      </c>
      <c r="F126" s="392">
        <f t="shared" si="3"/>
        <v>0.17999999999999972</v>
      </c>
      <c r="G126" t="s">
        <v>584</v>
      </c>
    </row>
    <row r="127" spans="1:7">
      <c r="A127" t="s">
        <v>52</v>
      </c>
      <c r="B127" t="s">
        <v>24</v>
      </c>
      <c r="C127">
        <v>4</v>
      </c>
      <c r="D127" s="392">
        <f>WISC6_STDZ_P!R118</f>
        <v>15.01</v>
      </c>
      <c r="E127" s="392">
        <f>WISC6_STDZ_P!R119</f>
        <v>15</v>
      </c>
      <c r="F127" s="392">
        <f t="shared" si="3"/>
        <v>9.9999999999997868E-3</v>
      </c>
      <c r="G127" t="s">
        <v>585</v>
      </c>
    </row>
    <row r="128" spans="1:7">
      <c r="A128" t="s">
        <v>52</v>
      </c>
      <c r="B128" t="s">
        <v>31</v>
      </c>
      <c r="C128">
        <v>1</v>
      </c>
      <c r="D128" s="392">
        <f>WISC6_STDZ_P!T118</f>
        <v>0.41</v>
      </c>
      <c r="E128" s="392">
        <f>WISC6_STDZ_P!T119</f>
        <v>0</v>
      </c>
      <c r="F128" s="392">
        <f t="shared" si="3"/>
        <v>0.41</v>
      </c>
      <c r="G128" t="s">
        <v>586</v>
      </c>
    </row>
    <row r="129" spans="1:7">
      <c r="A129" t="s">
        <v>52</v>
      </c>
      <c r="B129" t="s">
        <v>31</v>
      </c>
      <c r="C129">
        <v>3</v>
      </c>
      <c r="D129" s="392">
        <f>WISC6_STDZ_P!V118</f>
        <v>3.4</v>
      </c>
      <c r="E129" s="392">
        <f>WISC6_STDZ_P!V119</f>
        <v>1</v>
      </c>
      <c r="F129" s="392">
        <f t="shared" si="3"/>
        <v>2.4</v>
      </c>
      <c r="G129" t="s">
        <v>587</v>
      </c>
    </row>
    <row r="130" spans="1:7">
      <c r="A130" t="s">
        <v>52</v>
      </c>
      <c r="B130" t="s">
        <v>39</v>
      </c>
      <c r="C130">
        <v>1</v>
      </c>
      <c r="D130" s="392">
        <f>WISC6_STDZ_P!Y118</f>
        <v>1.1100000000000001</v>
      </c>
      <c r="E130" s="392">
        <f>WISC6_STDZ_P!Y119</f>
        <v>0</v>
      </c>
      <c r="F130" s="392">
        <f t="shared" si="3"/>
        <v>1.1100000000000001</v>
      </c>
      <c r="G130" t="s">
        <v>588</v>
      </c>
    </row>
    <row r="131" spans="1:7">
      <c r="A131" t="s">
        <v>52</v>
      </c>
      <c r="B131" t="s">
        <v>39</v>
      </c>
      <c r="C131">
        <v>2</v>
      </c>
      <c r="D131" s="392">
        <f>WISC6_STDZ_P!Z118</f>
        <v>2.2599999999999998</v>
      </c>
      <c r="E131" s="392">
        <f>WISC6_STDZ_P!Z119</f>
        <v>2</v>
      </c>
      <c r="F131" s="392">
        <f t="shared" si="3"/>
        <v>0.25999999999999979</v>
      </c>
      <c r="G131" t="s">
        <v>589</v>
      </c>
    </row>
    <row r="132" spans="1:7">
      <c r="A132" t="s">
        <v>52</v>
      </c>
      <c r="B132" t="s">
        <v>39</v>
      </c>
      <c r="C132">
        <v>3</v>
      </c>
      <c r="D132" s="392">
        <f>WISC6_STDZ_P!AA118</f>
        <v>14.49</v>
      </c>
      <c r="E132" s="392">
        <f>WISC6_STDZ_P!AA119</f>
        <v>12</v>
      </c>
      <c r="F132" s="392">
        <f t="shared" si="3"/>
        <v>2.4900000000000002</v>
      </c>
      <c r="G132" t="s">
        <v>590</v>
      </c>
    </row>
    <row r="133" spans="1:7">
      <c r="A133" t="s">
        <v>52</v>
      </c>
      <c r="B133" t="s">
        <v>39</v>
      </c>
      <c r="C133">
        <v>4</v>
      </c>
      <c r="D133" s="392">
        <f>WISC6_STDZ_P!AB118</f>
        <v>30.13</v>
      </c>
      <c r="E133" s="392">
        <f>WISC6_STDZ_P!AB119</f>
        <v>30</v>
      </c>
      <c r="F133" s="392">
        <f t="shared" si="3"/>
        <v>0.12999999999999901</v>
      </c>
      <c r="G133" t="s">
        <v>591</v>
      </c>
    </row>
    <row r="134" spans="1:7">
      <c r="A134" t="s">
        <v>53</v>
      </c>
      <c r="B134" t="s">
        <v>22</v>
      </c>
      <c r="C134">
        <v>1</v>
      </c>
      <c r="D134" s="392">
        <f>WISC6_STDZ_P!E131</f>
        <v>0.45</v>
      </c>
      <c r="E134" s="392">
        <f>WISC6_STDZ_P!E132</f>
        <v>0</v>
      </c>
      <c r="F134" s="392">
        <f t="shared" ref="F134:F165" si="4">D134-E134</f>
        <v>0.45</v>
      </c>
      <c r="G134" t="s">
        <v>592</v>
      </c>
    </row>
    <row r="135" spans="1:7">
      <c r="A135" t="s">
        <v>53</v>
      </c>
      <c r="B135" t="s">
        <v>22</v>
      </c>
      <c r="C135">
        <v>2</v>
      </c>
      <c r="D135" s="392">
        <f>WISC6_STDZ_P!F131</f>
        <v>0.6</v>
      </c>
      <c r="E135" s="392">
        <f>WISC6_STDZ_P!F132</f>
        <v>0</v>
      </c>
      <c r="F135" s="392">
        <f t="shared" si="4"/>
        <v>0.6</v>
      </c>
      <c r="G135" t="s">
        <v>593</v>
      </c>
    </row>
    <row r="136" spans="1:7">
      <c r="A136" t="s">
        <v>53</v>
      </c>
      <c r="B136" t="s">
        <v>22</v>
      </c>
      <c r="C136">
        <v>3</v>
      </c>
      <c r="D136" s="392">
        <f>WISC6_STDZ_P!G131</f>
        <v>1.06</v>
      </c>
      <c r="E136" s="392">
        <f>WISC6_STDZ_P!G132</f>
        <v>0</v>
      </c>
      <c r="F136" s="392">
        <f t="shared" si="4"/>
        <v>1.06</v>
      </c>
      <c r="G136" t="s">
        <v>594</v>
      </c>
    </row>
    <row r="137" spans="1:7">
      <c r="A137" t="s">
        <v>53</v>
      </c>
      <c r="B137" t="s">
        <v>22</v>
      </c>
      <c r="C137">
        <v>4</v>
      </c>
      <c r="D137" s="392">
        <f>WISC6_STDZ_P!H131</f>
        <v>1.95</v>
      </c>
      <c r="E137" s="392">
        <f>WISC6_STDZ_P!H132</f>
        <v>2</v>
      </c>
      <c r="F137" s="392">
        <f t="shared" si="4"/>
        <v>-5.0000000000000044E-2</v>
      </c>
      <c r="G137" t="s">
        <v>595</v>
      </c>
    </row>
    <row r="138" spans="1:7">
      <c r="A138" t="s">
        <v>53</v>
      </c>
      <c r="B138" t="s">
        <v>24</v>
      </c>
      <c r="C138">
        <v>1</v>
      </c>
      <c r="D138" s="392">
        <f>WISC6_STDZ_P!O131</f>
        <v>5.28</v>
      </c>
      <c r="E138" s="392">
        <f>WISC6_STDZ_P!O132</f>
        <v>4</v>
      </c>
      <c r="F138" s="392">
        <f t="shared" si="4"/>
        <v>1.2800000000000002</v>
      </c>
      <c r="G138" t="s">
        <v>596</v>
      </c>
    </row>
    <row r="139" spans="1:7">
      <c r="A139" t="s">
        <v>53</v>
      </c>
      <c r="B139" t="s">
        <v>24</v>
      </c>
      <c r="C139">
        <v>3</v>
      </c>
      <c r="D139" s="392">
        <f>WISC6_STDZ_P!Q131</f>
        <v>13.54</v>
      </c>
      <c r="E139" s="392">
        <f>WISC6_STDZ_P!Q132</f>
        <v>14</v>
      </c>
      <c r="F139" s="392">
        <f t="shared" si="4"/>
        <v>-0.46000000000000085</v>
      </c>
      <c r="G139" t="s">
        <v>597</v>
      </c>
    </row>
    <row r="140" spans="1:7">
      <c r="A140" t="s">
        <v>53</v>
      </c>
      <c r="B140" t="s">
        <v>24</v>
      </c>
      <c r="C140">
        <v>4</v>
      </c>
      <c r="D140" s="392">
        <f>WISC6_STDZ_P!R131</f>
        <v>13.39</v>
      </c>
      <c r="E140" s="392">
        <f>WISC6_STDZ_P!R132</f>
        <v>13</v>
      </c>
      <c r="F140" s="392">
        <f t="shared" si="4"/>
        <v>0.39000000000000057</v>
      </c>
      <c r="G140" t="s">
        <v>598</v>
      </c>
    </row>
    <row r="141" spans="1:7">
      <c r="A141" t="s">
        <v>53</v>
      </c>
      <c r="B141" t="s">
        <v>31</v>
      </c>
      <c r="C141">
        <v>1</v>
      </c>
      <c r="D141" s="392">
        <f>WISC6_STDZ_P!T131</f>
        <v>0.4</v>
      </c>
      <c r="E141" s="392">
        <f>WISC6_STDZ_P!T132</f>
        <v>0</v>
      </c>
      <c r="F141" s="392">
        <f t="shared" si="4"/>
        <v>0.4</v>
      </c>
      <c r="G141" t="s">
        <v>599</v>
      </c>
    </row>
    <row r="142" spans="1:7">
      <c r="A142" t="s">
        <v>53</v>
      </c>
      <c r="B142" t="s">
        <v>31</v>
      </c>
      <c r="C142">
        <v>3</v>
      </c>
      <c r="D142" s="392">
        <f>WISC6_STDZ_P!V131</f>
        <v>3.29</v>
      </c>
      <c r="E142" s="392">
        <f>WISC6_STDZ_P!V132</f>
        <v>3</v>
      </c>
      <c r="F142" s="392">
        <f t="shared" si="4"/>
        <v>0.29000000000000004</v>
      </c>
      <c r="G142" t="s">
        <v>600</v>
      </c>
    </row>
    <row r="143" spans="1:7">
      <c r="A143" t="s">
        <v>53</v>
      </c>
      <c r="B143" t="s">
        <v>31</v>
      </c>
      <c r="C143">
        <v>4</v>
      </c>
      <c r="D143" s="392">
        <f>WISC6_STDZ_P!W131</f>
        <v>6.26</v>
      </c>
      <c r="E143" s="392">
        <f>WISC6_STDZ_P!W132</f>
        <v>6</v>
      </c>
      <c r="F143" s="392">
        <f t="shared" si="4"/>
        <v>0.25999999999999979</v>
      </c>
      <c r="G143" t="s">
        <v>601</v>
      </c>
    </row>
    <row r="144" spans="1:7">
      <c r="A144" t="s">
        <v>53</v>
      </c>
      <c r="B144" t="s">
        <v>39</v>
      </c>
      <c r="C144">
        <v>1</v>
      </c>
      <c r="D144" s="392">
        <f>WISC6_STDZ_P!Y131</f>
        <v>1.1200000000000001</v>
      </c>
      <c r="E144" s="392">
        <f>WISC6_STDZ_P!Y132</f>
        <v>1</v>
      </c>
      <c r="F144" s="392">
        <f t="shared" si="4"/>
        <v>0.12000000000000011</v>
      </c>
      <c r="G144" t="s">
        <v>602</v>
      </c>
    </row>
    <row r="145" spans="1:7">
      <c r="A145" t="s">
        <v>53</v>
      </c>
      <c r="B145" t="s">
        <v>39</v>
      </c>
      <c r="C145">
        <v>2</v>
      </c>
      <c r="D145" s="392">
        <f>WISC6_STDZ_P!Z131</f>
        <v>2.4700000000000002</v>
      </c>
      <c r="E145" s="392">
        <f>WISC6_STDZ_P!Z132</f>
        <v>2</v>
      </c>
      <c r="F145" s="392">
        <f t="shared" si="4"/>
        <v>0.4700000000000002</v>
      </c>
      <c r="G145" t="s">
        <v>603</v>
      </c>
    </row>
    <row r="146" spans="1:7">
      <c r="A146" t="s">
        <v>53</v>
      </c>
      <c r="B146" t="s">
        <v>39</v>
      </c>
      <c r="C146">
        <v>3</v>
      </c>
      <c r="D146" s="392">
        <f>WISC6_STDZ_P!AA131</f>
        <v>15.08</v>
      </c>
      <c r="E146" s="392">
        <f>WISC6_STDZ_P!AA132</f>
        <v>14</v>
      </c>
      <c r="F146" s="392">
        <f t="shared" si="4"/>
        <v>1.08</v>
      </c>
      <c r="G146" t="s">
        <v>604</v>
      </c>
    </row>
    <row r="147" spans="1:7">
      <c r="A147" t="s">
        <v>53</v>
      </c>
      <c r="B147" t="s">
        <v>39</v>
      </c>
      <c r="C147">
        <v>5</v>
      </c>
      <c r="D147" s="392">
        <f>WISC6_STDZ_P!AC131</f>
        <v>47.04</v>
      </c>
      <c r="E147" s="392">
        <f>WISC6_STDZ_P!AC132</f>
        <v>47</v>
      </c>
      <c r="F147" s="392">
        <f t="shared" si="4"/>
        <v>3.9999999999999147E-2</v>
      </c>
      <c r="G147" t="s">
        <v>605</v>
      </c>
    </row>
    <row r="148" spans="1:7">
      <c r="A148" t="s">
        <v>54</v>
      </c>
      <c r="B148" t="s">
        <v>22</v>
      </c>
      <c r="C148">
        <v>3</v>
      </c>
      <c r="D148" s="392">
        <f>WISC6_STDZ_P!G144</f>
        <v>1.23</v>
      </c>
      <c r="E148" s="392">
        <f>WISC6_STDZ_P!G145</f>
        <v>0</v>
      </c>
      <c r="F148" s="392">
        <f t="shared" si="4"/>
        <v>1.23</v>
      </c>
      <c r="G148" t="s">
        <v>606</v>
      </c>
    </row>
    <row r="149" spans="1:7">
      <c r="A149" t="s">
        <v>54</v>
      </c>
      <c r="B149" t="s">
        <v>22</v>
      </c>
      <c r="C149">
        <v>4</v>
      </c>
      <c r="D149" s="392">
        <f>WISC6_STDZ_P!H144</f>
        <v>1.95</v>
      </c>
      <c r="E149" s="392">
        <f>WISC6_STDZ_P!H145</f>
        <v>1</v>
      </c>
      <c r="F149" s="392">
        <f t="shared" si="4"/>
        <v>0.95</v>
      </c>
      <c r="G149" t="s">
        <v>607</v>
      </c>
    </row>
    <row r="150" spans="1:7">
      <c r="A150" t="s">
        <v>54</v>
      </c>
      <c r="B150" t="s">
        <v>22</v>
      </c>
      <c r="C150">
        <v>5</v>
      </c>
      <c r="D150" s="392">
        <f>WISC6_STDZ_P!I144</f>
        <v>5.32</v>
      </c>
      <c r="E150" s="392">
        <f>WISC6_STDZ_P!I145</f>
        <v>5</v>
      </c>
      <c r="F150" s="392">
        <f t="shared" si="4"/>
        <v>0.32000000000000028</v>
      </c>
      <c r="G150" t="s">
        <v>608</v>
      </c>
    </row>
    <row r="151" spans="1:7">
      <c r="A151" t="s">
        <v>54</v>
      </c>
      <c r="B151" t="s">
        <v>36</v>
      </c>
      <c r="C151">
        <v>1</v>
      </c>
      <c r="D151" s="392">
        <f>WISC6_STDZ_P!J144</f>
        <v>0.55000000000000004</v>
      </c>
      <c r="E151" s="392">
        <f>WISC6_STDZ_P!J145</f>
        <v>0</v>
      </c>
      <c r="F151" s="392">
        <f t="shared" si="4"/>
        <v>0.55000000000000004</v>
      </c>
      <c r="G151" t="s">
        <v>609</v>
      </c>
    </row>
    <row r="152" spans="1:7">
      <c r="A152" t="s">
        <v>54</v>
      </c>
      <c r="B152" t="s">
        <v>36</v>
      </c>
      <c r="C152">
        <v>3</v>
      </c>
      <c r="D152" s="392">
        <f>WISC6_STDZ_P!L144</f>
        <v>6.84</v>
      </c>
      <c r="E152" s="392">
        <f>WISC6_STDZ_P!L145</f>
        <v>7</v>
      </c>
      <c r="F152" s="392">
        <f t="shared" si="4"/>
        <v>-0.16000000000000014</v>
      </c>
      <c r="G152" t="s">
        <v>610</v>
      </c>
    </row>
    <row r="153" spans="1:7">
      <c r="A153" t="s">
        <v>54</v>
      </c>
      <c r="B153" t="s">
        <v>36</v>
      </c>
      <c r="C153">
        <v>4</v>
      </c>
      <c r="D153" s="392">
        <f>WISC6_STDZ_P!M144</f>
        <v>10.18</v>
      </c>
      <c r="E153" s="392">
        <f>WISC6_STDZ_P!M145</f>
        <v>10</v>
      </c>
      <c r="F153" s="392">
        <f t="shared" si="4"/>
        <v>0.17999999999999972</v>
      </c>
      <c r="G153" t="s">
        <v>611</v>
      </c>
    </row>
    <row r="154" spans="1:7">
      <c r="A154" t="s">
        <v>54</v>
      </c>
      <c r="B154" t="s">
        <v>24</v>
      </c>
      <c r="C154">
        <v>2</v>
      </c>
      <c r="D154" s="392">
        <f>WISC6_STDZ_P!P144</f>
        <v>7.39</v>
      </c>
      <c r="E154" s="392">
        <f>WISC6_STDZ_P!P145</f>
        <v>7</v>
      </c>
      <c r="F154" s="392">
        <f t="shared" si="4"/>
        <v>0.38999999999999968</v>
      </c>
      <c r="G154" t="s">
        <v>612</v>
      </c>
    </row>
    <row r="155" spans="1:7">
      <c r="A155" t="s">
        <v>54</v>
      </c>
      <c r="B155" t="s">
        <v>24</v>
      </c>
      <c r="C155">
        <v>4</v>
      </c>
      <c r="D155" s="392">
        <f>WISC6_STDZ_P!R144</f>
        <v>13.25</v>
      </c>
      <c r="E155" s="392">
        <f>WISC6_STDZ_P!R145</f>
        <v>13</v>
      </c>
      <c r="F155" s="392">
        <f t="shared" si="4"/>
        <v>0.25</v>
      </c>
      <c r="G155" t="s">
        <v>613</v>
      </c>
    </row>
    <row r="156" spans="1:7">
      <c r="A156" t="s">
        <v>54</v>
      </c>
      <c r="B156" t="s">
        <v>31</v>
      </c>
      <c r="C156">
        <v>2</v>
      </c>
      <c r="D156" s="392">
        <f>WISC6_STDZ_P!U144</f>
        <v>0.87</v>
      </c>
      <c r="E156" s="392">
        <f>WISC6_STDZ_P!U145</f>
        <v>0</v>
      </c>
      <c r="F156" s="392">
        <f t="shared" si="4"/>
        <v>0.87</v>
      </c>
      <c r="G156" t="s">
        <v>614</v>
      </c>
    </row>
    <row r="157" spans="1:7">
      <c r="A157" t="s">
        <v>54</v>
      </c>
      <c r="B157" t="s">
        <v>31</v>
      </c>
      <c r="C157">
        <v>3</v>
      </c>
      <c r="D157" s="392">
        <f>WISC6_STDZ_P!V144</f>
        <v>3.39</v>
      </c>
      <c r="E157" s="392">
        <f>WISC6_STDZ_P!V145</f>
        <v>3</v>
      </c>
      <c r="F157" s="392">
        <f t="shared" si="4"/>
        <v>0.39000000000000012</v>
      </c>
      <c r="G157" t="s">
        <v>615</v>
      </c>
    </row>
    <row r="158" spans="1:7">
      <c r="A158" t="s">
        <v>54</v>
      </c>
      <c r="B158" t="s">
        <v>39</v>
      </c>
      <c r="C158">
        <v>1</v>
      </c>
      <c r="D158" s="392">
        <f>WISC6_STDZ_P!Y144</f>
        <v>1.0900000000000001</v>
      </c>
      <c r="E158" s="392">
        <f>WISC6_STDZ_P!Y145</f>
        <v>0</v>
      </c>
      <c r="F158" s="392">
        <f t="shared" si="4"/>
        <v>1.0900000000000001</v>
      </c>
      <c r="G158" t="s">
        <v>616</v>
      </c>
    </row>
    <row r="159" spans="1:7">
      <c r="A159" t="s">
        <v>54</v>
      </c>
      <c r="B159" t="s">
        <v>39</v>
      </c>
      <c r="C159">
        <v>2</v>
      </c>
      <c r="D159" s="392">
        <f>WISC6_STDZ_P!Z144</f>
        <v>2.3199999999999998</v>
      </c>
      <c r="E159" s="392">
        <f>WISC6_STDZ_P!Z145</f>
        <v>2</v>
      </c>
      <c r="F159" s="392">
        <f t="shared" si="4"/>
        <v>0.31999999999999984</v>
      </c>
      <c r="G159" t="s">
        <v>617</v>
      </c>
    </row>
    <row r="160" spans="1:7">
      <c r="A160" t="s">
        <v>54</v>
      </c>
      <c r="B160" t="s">
        <v>39</v>
      </c>
      <c r="C160">
        <v>3</v>
      </c>
      <c r="D160" s="392">
        <f>WISC6_STDZ_P!AA144</f>
        <v>15.86</v>
      </c>
      <c r="E160" s="392">
        <f>WISC6_STDZ_P!AA145</f>
        <v>14</v>
      </c>
      <c r="F160" s="392">
        <f t="shared" si="4"/>
        <v>1.8599999999999994</v>
      </c>
      <c r="G160" t="s">
        <v>618</v>
      </c>
    </row>
    <row r="161" spans="1:7">
      <c r="A161" t="s">
        <v>150</v>
      </c>
      <c r="B161" t="s">
        <v>22</v>
      </c>
      <c r="C161">
        <v>1</v>
      </c>
      <c r="D161" s="392">
        <f>WISC6_STDZ_P!E157</f>
        <v>4.24</v>
      </c>
      <c r="E161" s="392">
        <f>WISC6_STDZ_P!E158</f>
        <v>4</v>
      </c>
      <c r="F161" s="392">
        <f t="shared" si="4"/>
        <v>0.24000000000000021</v>
      </c>
      <c r="G161" t="s">
        <v>619</v>
      </c>
    </row>
    <row r="162" spans="1:7">
      <c r="A162" t="s">
        <v>150</v>
      </c>
      <c r="B162" t="s">
        <v>22</v>
      </c>
      <c r="C162">
        <v>2</v>
      </c>
      <c r="D162" s="392">
        <f>WISC6_STDZ_P!F157</f>
        <v>5.0199999999999996</v>
      </c>
      <c r="E162" s="392">
        <f>WISC6_STDZ_P!F158</f>
        <v>4</v>
      </c>
      <c r="F162" s="392">
        <f t="shared" si="4"/>
        <v>1.0199999999999996</v>
      </c>
      <c r="G162" t="s">
        <v>620</v>
      </c>
    </row>
    <row r="163" spans="1:7">
      <c r="A163" t="s">
        <v>150</v>
      </c>
      <c r="B163" t="s">
        <v>22</v>
      </c>
      <c r="C163">
        <v>3</v>
      </c>
      <c r="D163" s="392">
        <f>WISC6_STDZ_P!G157</f>
        <v>12.65</v>
      </c>
      <c r="E163" s="392">
        <f>WISC6_STDZ_P!G158</f>
        <v>9</v>
      </c>
      <c r="F163" s="392">
        <f t="shared" si="4"/>
        <v>3.6500000000000004</v>
      </c>
      <c r="G163" t="s">
        <v>621</v>
      </c>
    </row>
    <row r="164" spans="1:7">
      <c r="A164" t="s">
        <v>150</v>
      </c>
      <c r="B164" t="s">
        <v>36</v>
      </c>
      <c r="C164">
        <v>3</v>
      </c>
      <c r="D164" s="392">
        <f>WISC6_STDZ_P!L157</f>
        <v>76.36</v>
      </c>
      <c r="E164" s="392">
        <f>WISC6_STDZ_P!L158</f>
        <v>75</v>
      </c>
      <c r="F164" s="392">
        <f t="shared" si="4"/>
        <v>1.3599999999999994</v>
      </c>
      <c r="G164" t="s">
        <v>622</v>
      </c>
    </row>
    <row r="165" spans="1:7">
      <c r="A165" t="s">
        <v>150</v>
      </c>
      <c r="B165" t="s">
        <v>36</v>
      </c>
      <c r="C165">
        <v>4</v>
      </c>
      <c r="D165" s="392">
        <f>WISC6_STDZ_P!M157</f>
        <v>106.12</v>
      </c>
      <c r="E165" s="392">
        <f>WISC6_STDZ_P!M158</f>
        <v>104</v>
      </c>
      <c r="F165" s="392">
        <f t="shared" si="4"/>
        <v>2.1200000000000045</v>
      </c>
      <c r="G165" t="s">
        <v>623</v>
      </c>
    </row>
    <row r="166" spans="1:7">
      <c r="A166" t="s">
        <v>150</v>
      </c>
      <c r="B166" t="s">
        <v>24</v>
      </c>
      <c r="C166">
        <v>1</v>
      </c>
      <c r="D166" s="392">
        <f>WISC6_STDZ_P!O157</f>
        <v>47.42</v>
      </c>
      <c r="E166" s="392">
        <f>WISC6_STDZ_P!O158</f>
        <v>42</v>
      </c>
      <c r="F166" s="392">
        <f t="shared" ref="F166:F177" si="5">D166-E166</f>
        <v>5.4200000000000017</v>
      </c>
      <c r="G166" t="s">
        <v>624</v>
      </c>
    </row>
    <row r="167" spans="1:7">
      <c r="A167" t="s">
        <v>150</v>
      </c>
      <c r="B167" t="s">
        <v>24</v>
      </c>
      <c r="C167">
        <v>2</v>
      </c>
      <c r="D167" s="392">
        <f>WISC6_STDZ_P!P157</f>
        <v>73.69</v>
      </c>
      <c r="E167" s="392">
        <f>WISC6_STDZ_P!P158</f>
        <v>69</v>
      </c>
      <c r="F167" s="392">
        <f t="shared" si="5"/>
        <v>4.6899999999999977</v>
      </c>
      <c r="G167" t="s">
        <v>625</v>
      </c>
    </row>
    <row r="168" spans="1:7">
      <c r="A168" t="s">
        <v>150</v>
      </c>
      <c r="B168" t="s">
        <v>24</v>
      </c>
      <c r="C168">
        <v>3</v>
      </c>
      <c r="D168" s="392">
        <f>WISC6_STDZ_P!Q157</f>
        <v>150.24</v>
      </c>
      <c r="E168" s="392">
        <f>WISC6_STDZ_P!Q158</f>
        <v>145</v>
      </c>
      <c r="F168" s="392">
        <f t="shared" si="5"/>
        <v>5.2400000000000091</v>
      </c>
      <c r="G168" t="s">
        <v>626</v>
      </c>
    </row>
    <row r="169" spans="1:7">
      <c r="A169" t="s">
        <v>150</v>
      </c>
      <c r="B169" t="s">
        <v>31</v>
      </c>
      <c r="C169">
        <v>1</v>
      </c>
      <c r="D169" s="392">
        <f>WISC6_STDZ_P!T157</f>
        <v>4.2</v>
      </c>
      <c r="E169" s="392">
        <f>WISC6_STDZ_P!T158</f>
        <v>4</v>
      </c>
      <c r="F169" s="392">
        <f t="shared" si="5"/>
        <v>0.20000000000000018</v>
      </c>
      <c r="G169" t="s">
        <v>627</v>
      </c>
    </row>
    <row r="170" spans="1:7">
      <c r="A170" t="s">
        <v>150</v>
      </c>
      <c r="B170" t="s">
        <v>31</v>
      </c>
      <c r="C170">
        <v>2</v>
      </c>
      <c r="D170" s="392">
        <f>WISC6_STDZ_P!U157</f>
        <v>9.25</v>
      </c>
      <c r="E170" s="392">
        <f>WISC6_STDZ_P!U158</f>
        <v>8</v>
      </c>
      <c r="F170" s="392">
        <f t="shared" si="5"/>
        <v>1.25</v>
      </c>
      <c r="G170" t="s">
        <v>628</v>
      </c>
    </row>
    <row r="171" spans="1:7">
      <c r="A171" t="s">
        <v>150</v>
      </c>
      <c r="B171" t="s">
        <v>31</v>
      </c>
      <c r="C171">
        <v>3</v>
      </c>
      <c r="D171" s="392">
        <f>WISC6_STDZ_P!V157</f>
        <v>37.22</v>
      </c>
      <c r="E171" s="392">
        <f>WISC6_STDZ_P!V158</f>
        <v>31</v>
      </c>
      <c r="F171" s="392">
        <f t="shared" si="5"/>
        <v>6.2199999999999989</v>
      </c>
      <c r="G171" t="s">
        <v>629</v>
      </c>
    </row>
    <row r="172" spans="1:7">
      <c r="A172" t="s">
        <v>150</v>
      </c>
      <c r="B172" t="s">
        <v>31</v>
      </c>
      <c r="C172">
        <v>4</v>
      </c>
      <c r="D172" s="392">
        <f>WISC6_STDZ_P!W157</f>
        <v>73.25</v>
      </c>
      <c r="E172" s="392">
        <f>WISC6_STDZ_P!W158</f>
        <v>73</v>
      </c>
      <c r="F172" s="392">
        <f t="shared" si="5"/>
        <v>0.25</v>
      </c>
      <c r="G172" t="s">
        <v>630</v>
      </c>
    </row>
    <row r="173" spans="1:7">
      <c r="A173" t="s">
        <v>150</v>
      </c>
      <c r="B173" t="s">
        <v>39</v>
      </c>
      <c r="C173">
        <v>1</v>
      </c>
      <c r="D173" s="392">
        <f>WISC6_STDZ_P!Y157</f>
        <v>12.06</v>
      </c>
      <c r="E173" s="392">
        <f>WISC6_STDZ_P!Y158</f>
        <v>9</v>
      </c>
      <c r="F173" s="392">
        <f t="shared" si="5"/>
        <v>3.0600000000000005</v>
      </c>
      <c r="G173" t="s">
        <v>631</v>
      </c>
    </row>
    <row r="174" spans="1:7">
      <c r="A174" t="s">
        <v>150</v>
      </c>
      <c r="B174" t="s">
        <v>39</v>
      </c>
      <c r="C174">
        <v>2</v>
      </c>
      <c r="D174" s="392">
        <f>WISC6_STDZ_P!Z157</f>
        <v>23.41</v>
      </c>
      <c r="E174" s="392">
        <f>WISC6_STDZ_P!Z158</f>
        <v>15</v>
      </c>
      <c r="F174" s="392">
        <f t="shared" si="5"/>
        <v>8.41</v>
      </c>
      <c r="G174" t="s">
        <v>632</v>
      </c>
    </row>
    <row r="175" spans="1:7">
      <c r="A175" t="s">
        <v>150</v>
      </c>
      <c r="B175" t="s">
        <v>39</v>
      </c>
      <c r="C175">
        <v>3</v>
      </c>
      <c r="D175" s="392">
        <f>WISC6_STDZ_P!AA157</f>
        <v>162.52000000000001</v>
      </c>
      <c r="E175" s="392">
        <f>WISC6_STDZ_P!AA158</f>
        <v>154</v>
      </c>
      <c r="F175" s="392">
        <f t="shared" si="5"/>
        <v>8.5200000000000102</v>
      </c>
      <c r="G175" t="s">
        <v>633</v>
      </c>
    </row>
    <row r="176" spans="1:7">
      <c r="A176" t="s">
        <v>150</v>
      </c>
      <c r="B176" t="s">
        <v>39</v>
      </c>
      <c r="C176">
        <v>4</v>
      </c>
      <c r="D176" s="392">
        <f>WISC6_STDZ_P!AB157</f>
        <v>341.93</v>
      </c>
      <c r="E176" s="392">
        <f>WISC6_STDZ_P!AB158</f>
        <v>340</v>
      </c>
      <c r="F176" s="392">
        <f t="shared" si="5"/>
        <v>1.9300000000000068</v>
      </c>
      <c r="G176" t="s">
        <v>634</v>
      </c>
    </row>
    <row r="177" spans="1:7">
      <c r="A177" t="s">
        <v>150</v>
      </c>
      <c r="B177" t="s">
        <v>39</v>
      </c>
      <c r="C177">
        <v>5</v>
      </c>
      <c r="D177" s="392">
        <f>WISC6_STDZ_P!AC157</f>
        <v>515.54</v>
      </c>
      <c r="E177" s="392">
        <f>WISC6_STDZ_P!AC158</f>
        <v>513</v>
      </c>
      <c r="F177" s="392">
        <f t="shared" si="5"/>
        <v>2.5399999999999636</v>
      </c>
      <c r="G177" t="s">
        <v>635</v>
      </c>
    </row>
  </sheetData>
  <mergeCells count="2">
    <mergeCell ref="A1:G1"/>
    <mergeCell ref="A2:G2"/>
  </mergeCells>
  <conditionalFormatting sqref="F6:F177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24320BA0CE54A980154A6C0D5A146" ma:contentTypeVersion="21" ma:contentTypeDescription="Create a new document." ma:contentTypeScope="" ma:versionID="8a13163ac93bf87f5f9fb50c299bdbcd">
  <xsd:schema xmlns:xsd="http://www.w3.org/2001/XMLSchema" xmlns:xs="http://www.w3.org/2001/XMLSchema" xmlns:p="http://schemas.microsoft.com/office/2006/metadata/properties" xmlns:ns1="http://schemas.microsoft.com/sharepoint/v3" xmlns:ns2="b633eba6-0c01-4473-86ed-edf833d3ac8f" xmlns:ns3="83d9ddb6-4f63-42da-b469-6378bedc6469" targetNamespace="http://schemas.microsoft.com/office/2006/metadata/properties" ma:root="true" ma:fieldsID="2b69b10cd0b3c30e3686833a587217de" ns1:_="" ns2:_="" ns3:_="">
    <xsd:import namespace="http://schemas.microsoft.com/sharepoint/v3"/>
    <xsd:import namespace="b633eba6-0c01-4473-86ed-edf833d3ac8f"/>
    <xsd:import namespace="83d9ddb6-4f63-42da-b469-6378bedc64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3eba6-0c01-4473-86ed-edf833d3ac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342d94-4a90-4c9b-8c88-cb4c8647e9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9ddb6-4f63-42da-b469-6378bedc646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d2d47ed-d0ca-41f7-b01c-7a1931a4c289}" ma:internalName="TaxCatchAll" ma:showField="CatchAllData" ma:web="83d9ddb6-4f63-42da-b469-6378bedc6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33eba6-0c01-4473-86ed-edf833d3ac8f">
      <Terms xmlns="http://schemas.microsoft.com/office/infopath/2007/PartnerControls"/>
    </lcf76f155ced4ddcb4097134ff3c332f>
    <TaxCatchAll xmlns="83d9ddb6-4f63-42da-b469-6378bedc6469" xsi:nil="true"/>
    <SharedWithUsers xmlns="83d9ddb6-4f63-42da-b469-6378bedc6469">
      <UserInfo>
        <DisplayName>randlaltmann5</DisplayName>
        <AccountId>1192</AccountId>
        <AccountType/>
      </UserInfo>
      <UserInfo>
        <DisplayName>Jayne Denson</DisplayName>
        <AccountId>1661</AccountId>
        <AccountType/>
      </UserInfo>
      <UserInfo>
        <DisplayName>Maggie Medina-Boice</DisplayName>
        <AccountId>860</AccountId>
        <AccountType/>
      </UserInfo>
      <UserInfo>
        <DisplayName>Lesa Neugent</DisplayName>
        <AccountId>232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E98DDDB2-36FE-47A0-B438-75A9A9C52C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633eba6-0c01-4473-86ed-edf833d3ac8f"/>
    <ds:schemaRef ds:uri="83d9ddb6-4f63-42da-b469-6378bedc64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EC5A63-E974-4DEC-A49E-4F3724CB6B07}">
  <ds:schemaRefs>
    <ds:schemaRef ds:uri="http://schemas.microsoft.com/office/2006/metadata/properties"/>
    <ds:schemaRef ds:uri="http://schemas.microsoft.com/office/infopath/2007/PartnerControls"/>
    <ds:schemaRef ds:uri="b633eba6-0c01-4473-86ed-edf833d3ac8f"/>
    <ds:schemaRef ds:uri="83d9ddb6-4f63-42da-b469-6378bedc6469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01FC3DB-12AD-4C17-98D8-6C955AB945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0120B0E-E5E9-4A16-9E59-32DC213FD91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cc434d7-97d0-47d3-b5c5-14fe0e33e34b}" enabled="0" method="" siteId="{8cc434d7-97d0-47d3-b5c5-14fe0e33e3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Open Cells</vt:lpstr>
      <vt:lpstr>setup</vt:lpstr>
      <vt:lpstr>aurora_data</vt:lpstr>
      <vt:lpstr>Summary</vt:lpstr>
      <vt:lpstr>WISC6_STDZ_P</vt:lpstr>
      <vt:lpstr>WISC6_STDZ_P_2cross</vt:lpstr>
      <vt:lpstr>WISC6_STDZ_D</vt:lpstr>
      <vt:lpstr>WISC6_STDZ_D_2cross</vt:lpstr>
      <vt:lpstr>R_WISC6_STDZ_P</vt:lpstr>
      <vt:lpstr>R_WISC6_STDZ_P_agecombined</vt:lpstr>
      <vt:lpstr>R_WISC6_STDZ_D</vt:lpstr>
      <vt:lpstr>Open Cells Pivot</vt:lpstr>
      <vt:lpstr>V_WAIS5_P</vt:lpstr>
      <vt:lpstr>V_WIAT4_P</vt:lpstr>
      <vt:lpstr>V_KTEA3_P</vt:lpstr>
      <vt:lpstr>V_WPPSI4_P</vt:lpstr>
      <vt:lpstr>V_WISC5P_P</vt:lpstr>
      <vt:lpstr>CB_WPPSI4_P</vt:lpstr>
      <vt:lpstr>CB_WISC5P_P</vt:lpstr>
      <vt:lpstr>CB_WAIS5_P</vt:lpstr>
      <vt:lpstr>Remaining Assignments</vt:lpstr>
      <vt:lpstr>Below Target ETH-ED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LaToya Favre</cp:lastModifiedBy>
  <cp:revision/>
  <dcterms:created xsi:type="dcterms:W3CDTF">2022-01-04T22:24:11Z</dcterms:created>
  <dcterms:modified xsi:type="dcterms:W3CDTF">2026-09-21T19:15:17Z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0x010100FF324320BA0CE54A980154A6C0D5A146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